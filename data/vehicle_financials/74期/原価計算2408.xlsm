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sada\若林運送 Dropbox\管理部共有フォルダ\経理・財務\原価計算\74期　2023.8～2024.8\R6年8月\"/>
    </mc:Choice>
  </mc:AlternateContent>
  <xr:revisionPtr revIDLastSave="0" documentId="13_ncr:1_{F378AD40-DD9B-4825-ABB6-31B669B077FD}" xr6:coauthVersionLast="47" xr6:coauthVersionMax="47" xr10:uidLastSave="{00000000-0000-0000-0000-000000000000}"/>
  <bookViews>
    <workbookView xWindow="-120" yWindow="-120" windowWidth="20730" windowHeight="11160" xr2:uid="{9B3FCA39-34B9-4DAF-A8E6-7D3CB750AD2C}"/>
  </bookViews>
  <sheets>
    <sheet name="全社" sheetId="1" r:id="rId1"/>
    <sheet name="東京(営)" sheetId="2" r:id="rId2"/>
    <sheet name="東北部門" sheetId="3" r:id="rId3"/>
    <sheet name="小名浜(営)" sheetId="5" r:id="rId4"/>
    <sheet name="仙台(営)" sheetId="6" r:id="rId5"/>
    <sheet name="川崎(営)" sheetId="4" r:id="rId6"/>
    <sheet name="九州(営)" sheetId="7" r:id="rId7"/>
  </sheets>
  <definedNames>
    <definedName name="_xlnm.Print_Area" localSheetId="6">'九州(営)'!$A$1:$K$65</definedName>
    <definedName name="_xlnm.Print_Area" localSheetId="3">'小名浜(営)'!$A$1:$X$65</definedName>
    <definedName name="_xlnm.Print_Area" localSheetId="4">'仙台(営)'!$A$1:$L$65</definedName>
    <definedName name="_xlnm.Print_Area" localSheetId="5">'川崎(営)'!$A$1:$K$65</definedName>
    <definedName name="_xlnm.Print_Area" localSheetId="0">全社!$A$1:$AY$65</definedName>
    <definedName name="_xlnm.Print_Area" localSheetId="1">'東京(営)'!$A$1:$M$65</definedName>
    <definedName name="_xlnm.Print_Area" localSheetId="2">東北部門!$A$1:$AE$65</definedName>
    <definedName name="_xlnm.Print_Titles" localSheetId="6">'九州(営)'!$A:$B</definedName>
    <definedName name="_xlnm.Print_Titles" localSheetId="3">'小名浜(営)'!$A:$B</definedName>
    <definedName name="_xlnm.Print_Titles" localSheetId="4">'仙台(営)'!$A:$B</definedName>
    <definedName name="_xlnm.Print_Titles" localSheetId="5">'川崎(営)'!$A:$B</definedName>
    <definedName name="_xlnm.Print_Titles" localSheetId="0">全社!$A:$B</definedName>
    <definedName name="_xlnm.Print_Titles" localSheetId="1">'東京(営)'!$A:$B</definedName>
    <definedName name="_xlnm.Print_Titles" localSheetId="2">東北部門!$A:$B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62" i="5" l="1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D62" i="1"/>
  <c r="C62" i="1"/>
  <c r="J64" i="7"/>
  <c r="I64" i="7"/>
  <c r="K64" i="7" s="1"/>
  <c r="J63" i="7"/>
  <c r="I63" i="7"/>
  <c r="H60" i="7"/>
  <c r="G60" i="7"/>
  <c r="F60" i="7"/>
  <c r="E60" i="7"/>
  <c r="D60" i="7"/>
  <c r="C60" i="7"/>
  <c r="J60" i="7"/>
  <c r="J59" i="7"/>
  <c r="I59" i="7"/>
  <c r="J58" i="7"/>
  <c r="I58" i="7"/>
  <c r="K58" i="7" s="1"/>
  <c r="J57" i="7"/>
  <c r="I57" i="7"/>
  <c r="J56" i="7"/>
  <c r="I56" i="7"/>
  <c r="J55" i="7"/>
  <c r="I55" i="7"/>
  <c r="J54" i="7"/>
  <c r="I54" i="7"/>
  <c r="H53" i="7"/>
  <c r="G53" i="7"/>
  <c r="F53" i="7"/>
  <c r="E53" i="7"/>
  <c r="D53" i="7"/>
  <c r="C53" i="7"/>
  <c r="K52" i="7"/>
  <c r="J52" i="7"/>
  <c r="I52" i="7"/>
  <c r="J51" i="7"/>
  <c r="I51" i="7"/>
  <c r="K51" i="7" s="1"/>
  <c r="J50" i="7"/>
  <c r="I50" i="7"/>
  <c r="J49" i="7"/>
  <c r="I49" i="7"/>
  <c r="K49" i="7" s="1"/>
  <c r="J48" i="7"/>
  <c r="I48" i="7"/>
  <c r="K48" i="7" s="1"/>
  <c r="H47" i="7"/>
  <c r="G47" i="7"/>
  <c r="F47" i="7"/>
  <c r="E47" i="7"/>
  <c r="D47" i="7"/>
  <c r="J47" i="7" s="1"/>
  <c r="C47" i="7"/>
  <c r="J46" i="7"/>
  <c r="I46" i="7"/>
  <c r="K46" i="7" s="1"/>
  <c r="J45" i="7"/>
  <c r="I45" i="7"/>
  <c r="J44" i="7"/>
  <c r="I44" i="7"/>
  <c r="J43" i="7"/>
  <c r="I43" i="7"/>
  <c r="H42" i="7"/>
  <c r="G42" i="7"/>
  <c r="F42" i="7"/>
  <c r="E42" i="7"/>
  <c r="D42" i="7"/>
  <c r="I42" i="7" s="1"/>
  <c r="K42" i="7" s="1"/>
  <c r="C42" i="7"/>
  <c r="J41" i="7"/>
  <c r="I41" i="7"/>
  <c r="K41" i="7" s="1"/>
  <c r="J40" i="7"/>
  <c r="I40" i="7"/>
  <c r="K40" i="7" s="1"/>
  <c r="J39" i="7"/>
  <c r="I39" i="7"/>
  <c r="J38" i="7"/>
  <c r="I38" i="7"/>
  <c r="J37" i="7"/>
  <c r="I37" i="7"/>
  <c r="J36" i="7"/>
  <c r="I36" i="7"/>
  <c r="K36" i="7" s="1"/>
  <c r="H35" i="7"/>
  <c r="G35" i="7"/>
  <c r="F35" i="7"/>
  <c r="E35" i="7"/>
  <c r="J35" i="7" s="1"/>
  <c r="D35" i="7"/>
  <c r="C35" i="7"/>
  <c r="I35" i="7"/>
  <c r="K35" i="7" s="1"/>
  <c r="J34" i="7"/>
  <c r="I34" i="7"/>
  <c r="J33" i="7"/>
  <c r="I33" i="7"/>
  <c r="K33" i="7" s="1"/>
  <c r="J32" i="7"/>
  <c r="I32" i="7"/>
  <c r="K32" i="7" s="1"/>
  <c r="H31" i="7"/>
  <c r="G31" i="7"/>
  <c r="F31" i="7"/>
  <c r="E31" i="7"/>
  <c r="D31" i="7"/>
  <c r="J31" i="7" s="1"/>
  <c r="C31" i="7"/>
  <c r="J30" i="7"/>
  <c r="I30" i="7"/>
  <c r="K30" i="7" s="1"/>
  <c r="J28" i="7"/>
  <c r="I28" i="7"/>
  <c r="J27" i="7"/>
  <c r="I27" i="7"/>
  <c r="H26" i="7"/>
  <c r="H29" i="7" s="1"/>
  <c r="G26" i="7"/>
  <c r="G29" i="7" s="1"/>
  <c r="F26" i="7"/>
  <c r="F29" i="7" s="1"/>
  <c r="E26" i="7"/>
  <c r="E29" i="7" s="1"/>
  <c r="D26" i="7"/>
  <c r="D29" i="7" s="1"/>
  <c r="C26" i="7"/>
  <c r="C29" i="7" s="1"/>
  <c r="J25" i="7"/>
  <c r="I25" i="7"/>
  <c r="K24" i="7"/>
  <c r="J24" i="7"/>
  <c r="I24" i="7"/>
  <c r="H23" i="7"/>
  <c r="G23" i="7"/>
  <c r="F23" i="7"/>
  <c r="E23" i="7"/>
  <c r="D23" i="7"/>
  <c r="C23" i="7"/>
  <c r="J23" i="7" s="1"/>
  <c r="J22" i="7"/>
  <c r="I22" i="7"/>
  <c r="K22" i="7" s="1"/>
  <c r="J21" i="7"/>
  <c r="I21" i="7"/>
  <c r="J20" i="7"/>
  <c r="I20" i="7"/>
  <c r="J19" i="7"/>
  <c r="I19" i="7"/>
  <c r="J18" i="7"/>
  <c r="I18" i="7"/>
  <c r="J17" i="7"/>
  <c r="I17" i="7"/>
  <c r="H16" i="7"/>
  <c r="G16" i="7"/>
  <c r="F16" i="7"/>
  <c r="E16" i="7"/>
  <c r="D16" i="7"/>
  <c r="C16" i="7"/>
  <c r="H15" i="7"/>
  <c r="G15" i="7"/>
  <c r="F15" i="7"/>
  <c r="E15" i="7"/>
  <c r="D15" i="7"/>
  <c r="C15" i="7"/>
  <c r="J15" i="7"/>
  <c r="I14" i="7"/>
  <c r="J13" i="7"/>
  <c r="I13" i="7"/>
  <c r="I15" i="7" s="1"/>
  <c r="J11" i="7"/>
  <c r="I11" i="7"/>
  <c r="I9" i="7"/>
  <c r="K64" i="6"/>
  <c r="J64" i="6"/>
  <c r="K63" i="6"/>
  <c r="J63" i="6"/>
  <c r="I60" i="6"/>
  <c r="H60" i="6"/>
  <c r="G60" i="6"/>
  <c r="F60" i="6"/>
  <c r="J60" i="6" s="1"/>
  <c r="L60" i="6" s="1"/>
  <c r="E60" i="6"/>
  <c r="D60" i="6"/>
  <c r="K60" i="6" s="1"/>
  <c r="C60" i="6"/>
  <c r="K59" i="6"/>
  <c r="J59" i="6"/>
  <c r="K58" i="6"/>
  <c r="J58" i="6"/>
  <c r="K57" i="6"/>
  <c r="J57" i="6"/>
  <c r="L56" i="6"/>
  <c r="K56" i="6"/>
  <c r="J56" i="6"/>
  <c r="K55" i="6"/>
  <c r="J55" i="6"/>
  <c r="L55" i="6" s="1"/>
  <c r="K54" i="6"/>
  <c r="J54" i="6"/>
  <c r="I53" i="6"/>
  <c r="H53" i="6"/>
  <c r="G53" i="6"/>
  <c r="F53" i="6"/>
  <c r="E53" i="6"/>
  <c r="D53" i="6"/>
  <c r="C53" i="6"/>
  <c r="K52" i="6"/>
  <c r="J52" i="6"/>
  <c r="K51" i="6"/>
  <c r="J51" i="6"/>
  <c r="K50" i="6"/>
  <c r="J50" i="6"/>
  <c r="L50" i="6" s="1"/>
  <c r="K49" i="6"/>
  <c r="J49" i="6"/>
  <c r="K48" i="6"/>
  <c r="J48" i="6"/>
  <c r="L48" i="6" s="1"/>
  <c r="I47" i="6"/>
  <c r="H47" i="6"/>
  <c r="G47" i="6"/>
  <c r="F47" i="6"/>
  <c r="E47" i="6"/>
  <c r="D47" i="6"/>
  <c r="C47" i="6"/>
  <c r="K47" i="6"/>
  <c r="K46" i="6"/>
  <c r="J46" i="6"/>
  <c r="K45" i="6"/>
  <c r="J45" i="6"/>
  <c r="K44" i="6"/>
  <c r="J44" i="6"/>
  <c r="L44" i="6" s="1"/>
  <c r="K43" i="6"/>
  <c r="J43" i="6"/>
  <c r="I42" i="6"/>
  <c r="H42" i="6"/>
  <c r="G42" i="6"/>
  <c r="F42" i="6"/>
  <c r="E42" i="6"/>
  <c r="D42" i="6"/>
  <c r="C42" i="6"/>
  <c r="J42" i="6" s="1"/>
  <c r="L42" i="6" s="1"/>
  <c r="K41" i="6"/>
  <c r="J41" i="6"/>
  <c r="L41" i="6" s="1"/>
  <c r="K40" i="6"/>
  <c r="J40" i="6"/>
  <c r="K39" i="6"/>
  <c r="J39" i="6"/>
  <c r="K38" i="6"/>
  <c r="J38" i="6"/>
  <c r="L38" i="6" s="1"/>
  <c r="K37" i="6"/>
  <c r="J37" i="6"/>
  <c r="K36" i="6"/>
  <c r="J36" i="6"/>
  <c r="I35" i="6"/>
  <c r="H35" i="6"/>
  <c r="G35" i="6"/>
  <c r="F35" i="6"/>
  <c r="E35" i="6"/>
  <c r="K35" i="6" s="1"/>
  <c r="D35" i="6"/>
  <c r="C35" i="6"/>
  <c r="K34" i="6"/>
  <c r="J34" i="6"/>
  <c r="K33" i="6"/>
  <c r="J33" i="6"/>
  <c r="L32" i="6"/>
  <c r="K32" i="6"/>
  <c r="J32" i="6"/>
  <c r="I31" i="6"/>
  <c r="H31" i="6"/>
  <c r="G31" i="6"/>
  <c r="F31" i="6"/>
  <c r="E31" i="6"/>
  <c r="D31" i="6"/>
  <c r="K31" i="6" s="1"/>
  <c r="C31" i="6"/>
  <c r="L30" i="6"/>
  <c r="K30" i="6"/>
  <c r="J30" i="6"/>
  <c r="L28" i="6"/>
  <c r="K28" i="6"/>
  <c r="J28" i="6"/>
  <c r="K27" i="6"/>
  <c r="J27" i="6"/>
  <c r="L27" i="6" s="1"/>
  <c r="I26" i="6"/>
  <c r="I29" i="6" s="1"/>
  <c r="H26" i="6"/>
  <c r="H29" i="6" s="1"/>
  <c r="G26" i="6"/>
  <c r="G29" i="6" s="1"/>
  <c r="F26" i="6"/>
  <c r="F29" i="6" s="1"/>
  <c r="E26" i="6"/>
  <c r="E29" i="6" s="1"/>
  <c r="D26" i="6"/>
  <c r="D29" i="6" s="1"/>
  <c r="C26" i="6"/>
  <c r="C29" i="6" s="1"/>
  <c r="K25" i="6"/>
  <c r="J25" i="6"/>
  <c r="K24" i="6"/>
  <c r="J24" i="6"/>
  <c r="L24" i="6" s="1"/>
  <c r="I23" i="6"/>
  <c r="H23" i="6"/>
  <c r="G23" i="6"/>
  <c r="F23" i="6"/>
  <c r="E23" i="6"/>
  <c r="K23" i="6" s="1"/>
  <c r="D23" i="6"/>
  <c r="C23" i="6"/>
  <c r="K22" i="6"/>
  <c r="J22" i="6"/>
  <c r="K21" i="6"/>
  <c r="J21" i="6"/>
  <c r="L20" i="6"/>
  <c r="K20" i="6"/>
  <c r="J20" i="6"/>
  <c r="K19" i="6"/>
  <c r="J19" i="6"/>
  <c r="L19" i="6" s="1"/>
  <c r="K18" i="6"/>
  <c r="J18" i="6"/>
  <c r="K17" i="6"/>
  <c r="J17" i="6"/>
  <c r="I16" i="6"/>
  <c r="H16" i="6"/>
  <c r="G16" i="6"/>
  <c r="F16" i="6"/>
  <c r="E16" i="6"/>
  <c r="D16" i="6"/>
  <c r="C16" i="6"/>
  <c r="I15" i="6"/>
  <c r="H15" i="6"/>
  <c r="G15" i="6"/>
  <c r="F15" i="6"/>
  <c r="E15" i="6"/>
  <c r="K15" i="6" s="1"/>
  <c r="D15" i="6"/>
  <c r="C15" i="6"/>
  <c r="J14" i="6"/>
  <c r="K13" i="6"/>
  <c r="J13" i="6"/>
  <c r="K11" i="6"/>
  <c r="J11" i="6"/>
  <c r="J31" i="6" s="1"/>
  <c r="L31" i="6" s="1"/>
  <c r="J9" i="6"/>
  <c r="W64" i="5"/>
  <c r="V64" i="5"/>
  <c r="X64" i="5" s="1"/>
  <c r="W63" i="5"/>
  <c r="V63" i="5"/>
  <c r="U60" i="5"/>
  <c r="T60" i="5"/>
  <c r="S60" i="5"/>
  <c r="R60" i="5"/>
  <c r="Q60" i="5"/>
  <c r="P60" i="5"/>
  <c r="O60" i="5"/>
  <c r="N60" i="5"/>
  <c r="M60" i="5"/>
  <c r="L60" i="5"/>
  <c r="K60" i="5"/>
  <c r="J60" i="5"/>
  <c r="I60" i="5"/>
  <c r="H60" i="5"/>
  <c r="G60" i="5"/>
  <c r="F60" i="5"/>
  <c r="E60" i="5"/>
  <c r="D60" i="5"/>
  <c r="C60" i="5"/>
  <c r="W59" i="5"/>
  <c r="V59" i="5"/>
  <c r="W58" i="5"/>
  <c r="V58" i="5"/>
  <c r="W57" i="5"/>
  <c r="V57" i="5"/>
  <c r="X56" i="5"/>
  <c r="W56" i="5"/>
  <c r="V56" i="5"/>
  <c r="W55" i="5"/>
  <c r="V55" i="5"/>
  <c r="X55" i="5" s="1"/>
  <c r="W54" i="5"/>
  <c r="V54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D53" i="5"/>
  <c r="C53" i="5"/>
  <c r="W52" i="5"/>
  <c r="V52" i="5"/>
  <c r="W51" i="5"/>
  <c r="V51" i="5"/>
  <c r="W50" i="5"/>
  <c r="V50" i="5"/>
  <c r="W49" i="5"/>
  <c r="V49" i="5"/>
  <c r="W48" i="5"/>
  <c r="V48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W46" i="5"/>
  <c r="V46" i="5"/>
  <c r="W45" i="5"/>
  <c r="V45" i="5"/>
  <c r="W44" i="5"/>
  <c r="V44" i="5"/>
  <c r="W43" i="5"/>
  <c r="V43" i="5"/>
  <c r="V47" i="5" s="1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W41" i="5"/>
  <c r="V41" i="5"/>
  <c r="W40" i="5"/>
  <c r="V40" i="5"/>
  <c r="W39" i="5"/>
  <c r="V39" i="5"/>
  <c r="W38" i="5"/>
  <c r="V38" i="5"/>
  <c r="W37" i="5"/>
  <c r="V37" i="5"/>
  <c r="W36" i="5"/>
  <c r="V36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W34" i="5"/>
  <c r="V34" i="5"/>
  <c r="W33" i="5"/>
  <c r="V33" i="5"/>
  <c r="W32" i="5"/>
  <c r="V32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W30" i="5"/>
  <c r="V30" i="5"/>
  <c r="F29" i="5"/>
  <c r="W28" i="5"/>
  <c r="V28" i="5"/>
  <c r="W27" i="5"/>
  <c r="V27" i="5"/>
  <c r="U26" i="5"/>
  <c r="U29" i="5" s="1"/>
  <c r="T26" i="5"/>
  <c r="T29" i="5" s="1"/>
  <c r="S26" i="5"/>
  <c r="S29" i="5" s="1"/>
  <c r="R26" i="5"/>
  <c r="R29" i="5" s="1"/>
  <c r="Q26" i="5"/>
  <c r="Q29" i="5" s="1"/>
  <c r="P26" i="5"/>
  <c r="P29" i="5" s="1"/>
  <c r="O26" i="5"/>
  <c r="O29" i="5" s="1"/>
  <c r="N26" i="5"/>
  <c r="N29" i="5" s="1"/>
  <c r="M26" i="5"/>
  <c r="M29" i="5" s="1"/>
  <c r="L26" i="5"/>
  <c r="L29" i="5" s="1"/>
  <c r="K26" i="5"/>
  <c r="K29" i="5" s="1"/>
  <c r="J26" i="5"/>
  <c r="J29" i="5" s="1"/>
  <c r="I26" i="5"/>
  <c r="I29" i="5" s="1"/>
  <c r="H26" i="5"/>
  <c r="H29" i="5" s="1"/>
  <c r="G26" i="5"/>
  <c r="G29" i="5" s="1"/>
  <c r="F26" i="5"/>
  <c r="E26" i="5"/>
  <c r="E29" i="5" s="1"/>
  <c r="D26" i="5"/>
  <c r="D29" i="5" s="1"/>
  <c r="C26" i="5"/>
  <c r="C29" i="5" s="1"/>
  <c r="W25" i="5"/>
  <c r="V25" i="5"/>
  <c r="W24" i="5"/>
  <c r="V24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W22" i="5"/>
  <c r="V22" i="5"/>
  <c r="W21" i="5"/>
  <c r="V21" i="5"/>
  <c r="W20" i="5"/>
  <c r="V20" i="5"/>
  <c r="W19" i="5"/>
  <c r="V19" i="5"/>
  <c r="W18" i="5"/>
  <c r="V18" i="5"/>
  <c r="W17" i="5"/>
  <c r="V17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V14" i="5"/>
  <c r="W13" i="5"/>
  <c r="V13" i="5"/>
  <c r="X63" i="5" s="1"/>
  <c r="W11" i="5"/>
  <c r="V11" i="5"/>
  <c r="V9" i="5"/>
  <c r="J64" i="4"/>
  <c r="I64" i="4"/>
  <c r="K64" i="4" s="1"/>
  <c r="J63" i="4"/>
  <c r="I63" i="4"/>
  <c r="H60" i="4"/>
  <c r="G60" i="4"/>
  <c r="F60" i="4"/>
  <c r="E60" i="4"/>
  <c r="D60" i="4"/>
  <c r="C60" i="4"/>
  <c r="J60" i="4" s="1"/>
  <c r="J59" i="4"/>
  <c r="I59" i="4"/>
  <c r="J58" i="4"/>
  <c r="I58" i="4"/>
  <c r="K58" i="4" s="1"/>
  <c r="J57" i="4"/>
  <c r="I57" i="4"/>
  <c r="J56" i="4"/>
  <c r="I56" i="4"/>
  <c r="K56" i="4" s="1"/>
  <c r="J55" i="4"/>
  <c r="I55" i="4"/>
  <c r="J54" i="4"/>
  <c r="I54" i="4"/>
  <c r="K54" i="4" s="1"/>
  <c r="H53" i="4"/>
  <c r="G53" i="4"/>
  <c r="F53" i="4"/>
  <c r="E53" i="4"/>
  <c r="D53" i="4"/>
  <c r="C53" i="4"/>
  <c r="J52" i="4"/>
  <c r="I52" i="4"/>
  <c r="K52" i="4" s="1"/>
  <c r="J51" i="4"/>
  <c r="I51" i="4"/>
  <c r="J50" i="4"/>
  <c r="I50" i="4"/>
  <c r="K50" i="4" s="1"/>
  <c r="J49" i="4"/>
  <c r="I49" i="4"/>
  <c r="J48" i="4"/>
  <c r="I48" i="4"/>
  <c r="K48" i="4" s="1"/>
  <c r="H47" i="4"/>
  <c r="G47" i="4"/>
  <c r="F47" i="4"/>
  <c r="E47" i="4"/>
  <c r="D47" i="4"/>
  <c r="C47" i="4"/>
  <c r="K46" i="4"/>
  <c r="J46" i="4"/>
  <c r="I46" i="4"/>
  <c r="J45" i="4"/>
  <c r="I45" i="4"/>
  <c r="K45" i="4" s="1"/>
  <c r="J44" i="4"/>
  <c r="I44" i="4"/>
  <c r="J43" i="4"/>
  <c r="I43" i="4"/>
  <c r="I47" i="4" s="1"/>
  <c r="K47" i="4" s="1"/>
  <c r="H42" i="4"/>
  <c r="G42" i="4"/>
  <c r="F42" i="4"/>
  <c r="E42" i="4"/>
  <c r="D42" i="4"/>
  <c r="C42" i="4"/>
  <c r="J42" i="4" s="1"/>
  <c r="J41" i="4"/>
  <c r="I41" i="4"/>
  <c r="J40" i="4"/>
  <c r="I40" i="4"/>
  <c r="K40" i="4" s="1"/>
  <c r="J39" i="4"/>
  <c r="I39" i="4"/>
  <c r="J38" i="4"/>
  <c r="I38" i="4"/>
  <c r="J37" i="4"/>
  <c r="I37" i="4"/>
  <c r="J36" i="4"/>
  <c r="I36" i="4"/>
  <c r="K36" i="4" s="1"/>
  <c r="H35" i="4"/>
  <c r="G35" i="4"/>
  <c r="F35" i="4"/>
  <c r="E35" i="4"/>
  <c r="D35" i="4"/>
  <c r="C35" i="4"/>
  <c r="J35" i="4" s="1"/>
  <c r="J34" i="4"/>
  <c r="I34" i="4"/>
  <c r="K34" i="4" s="1"/>
  <c r="J33" i="4"/>
  <c r="I33" i="4"/>
  <c r="J32" i="4"/>
  <c r="I32" i="4"/>
  <c r="K32" i="4" s="1"/>
  <c r="H31" i="4"/>
  <c r="G31" i="4"/>
  <c r="F31" i="4"/>
  <c r="E31" i="4"/>
  <c r="D31" i="4"/>
  <c r="C31" i="4"/>
  <c r="J30" i="4"/>
  <c r="I30" i="4"/>
  <c r="K30" i="4" s="1"/>
  <c r="J28" i="4"/>
  <c r="I28" i="4"/>
  <c r="J27" i="4"/>
  <c r="I27" i="4"/>
  <c r="H26" i="4"/>
  <c r="H29" i="4" s="1"/>
  <c r="G26" i="4"/>
  <c r="G29" i="4" s="1"/>
  <c r="F26" i="4"/>
  <c r="F29" i="4" s="1"/>
  <c r="E26" i="4"/>
  <c r="E29" i="4" s="1"/>
  <c r="D26" i="4"/>
  <c r="D29" i="4" s="1"/>
  <c r="C26" i="4"/>
  <c r="C29" i="4" s="1"/>
  <c r="J25" i="4"/>
  <c r="I25" i="4"/>
  <c r="J24" i="4"/>
  <c r="I24" i="4"/>
  <c r="H23" i="4"/>
  <c r="G23" i="4"/>
  <c r="F23" i="4"/>
  <c r="E23" i="4"/>
  <c r="D23" i="4"/>
  <c r="C23" i="4"/>
  <c r="J22" i="4"/>
  <c r="I22" i="4"/>
  <c r="K22" i="4" s="1"/>
  <c r="J21" i="4"/>
  <c r="I21" i="4"/>
  <c r="K21" i="4" s="1"/>
  <c r="J20" i="4"/>
  <c r="I20" i="4"/>
  <c r="J19" i="4"/>
  <c r="I19" i="4"/>
  <c r="J18" i="4"/>
  <c r="I18" i="4"/>
  <c r="K18" i="4" s="1"/>
  <c r="J17" i="4"/>
  <c r="I17" i="4"/>
  <c r="H16" i="4"/>
  <c r="G16" i="4"/>
  <c r="F16" i="4"/>
  <c r="E16" i="4"/>
  <c r="D16" i="4"/>
  <c r="C16" i="4"/>
  <c r="H15" i="4"/>
  <c r="G15" i="4"/>
  <c r="F15" i="4"/>
  <c r="E15" i="4"/>
  <c r="D15" i="4"/>
  <c r="C15" i="4"/>
  <c r="I14" i="4"/>
  <c r="K13" i="4"/>
  <c r="J13" i="4"/>
  <c r="I13" i="4"/>
  <c r="J11" i="4"/>
  <c r="I11" i="4"/>
  <c r="I31" i="4" s="1"/>
  <c r="K31" i="4" s="1"/>
  <c r="I9" i="4"/>
  <c r="AD64" i="3"/>
  <c r="AC64" i="3"/>
  <c r="AD63" i="3"/>
  <c r="AC63" i="3"/>
  <c r="AB60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AD59" i="3"/>
  <c r="AC59" i="3"/>
  <c r="AD58" i="3"/>
  <c r="AC58" i="3"/>
  <c r="AD57" i="3"/>
  <c r="AC57" i="3"/>
  <c r="AD56" i="3"/>
  <c r="AC56" i="3"/>
  <c r="AD55" i="3"/>
  <c r="AC55" i="3"/>
  <c r="AD54" i="3"/>
  <c r="AC54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AC53" i="3" s="1"/>
  <c r="AD52" i="3"/>
  <c r="AC52" i="3"/>
  <c r="AD51" i="3"/>
  <c r="AC51" i="3"/>
  <c r="AD50" i="3"/>
  <c r="AC50" i="3"/>
  <c r="AD49" i="3"/>
  <c r="AC49" i="3"/>
  <c r="AD48" i="3"/>
  <c r="AC48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AD46" i="3"/>
  <c r="AC46" i="3"/>
  <c r="AD45" i="3"/>
  <c r="AC45" i="3"/>
  <c r="AD44" i="3"/>
  <c r="AC44" i="3"/>
  <c r="AD43" i="3"/>
  <c r="AC43" i="3"/>
  <c r="AC47" i="3" s="1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AC42" i="3" s="1"/>
  <c r="D42" i="3"/>
  <c r="C42" i="3"/>
  <c r="AD41" i="3"/>
  <c r="AC41" i="3"/>
  <c r="AD40" i="3"/>
  <c r="AC40" i="3"/>
  <c r="AD39" i="3"/>
  <c r="AC39" i="3"/>
  <c r="AD38" i="3"/>
  <c r="AC38" i="3"/>
  <c r="AD37" i="3"/>
  <c r="AC37" i="3"/>
  <c r="AD36" i="3"/>
  <c r="AC36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AD34" i="3"/>
  <c r="AC34" i="3"/>
  <c r="AD33" i="3"/>
  <c r="AC33" i="3"/>
  <c r="AD32" i="3"/>
  <c r="AC32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AD31" i="3" s="1"/>
  <c r="AD30" i="3"/>
  <c r="AC30" i="3"/>
  <c r="D29" i="3"/>
  <c r="AD28" i="3"/>
  <c r="AC28" i="3"/>
  <c r="AD27" i="3"/>
  <c r="AC27" i="3"/>
  <c r="AB26" i="3"/>
  <c r="AB29" i="3" s="1"/>
  <c r="AA26" i="3"/>
  <c r="AA29" i="3" s="1"/>
  <c r="Z26" i="3"/>
  <c r="Z29" i="3" s="1"/>
  <c r="Y26" i="3"/>
  <c r="Y29" i="3" s="1"/>
  <c r="X26" i="3"/>
  <c r="X29" i="3" s="1"/>
  <c r="W26" i="3"/>
  <c r="W29" i="3" s="1"/>
  <c r="V26" i="3"/>
  <c r="V29" i="3" s="1"/>
  <c r="U26" i="3"/>
  <c r="U29" i="3" s="1"/>
  <c r="T26" i="3"/>
  <c r="T29" i="3" s="1"/>
  <c r="S26" i="3"/>
  <c r="S29" i="3" s="1"/>
  <c r="R26" i="3"/>
  <c r="R29" i="3" s="1"/>
  <c r="Q26" i="3"/>
  <c r="Q29" i="3" s="1"/>
  <c r="P26" i="3"/>
  <c r="P29" i="3" s="1"/>
  <c r="O26" i="3"/>
  <c r="O29" i="3" s="1"/>
  <c r="N26" i="3"/>
  <c r="N29" i="3" s="1"/>
  <c r="M26" i="3"/>
  <c r="M29" i="3" s="1"/>
  <c r="L26" i="3"/>
  <c r="L29" i="3" s="1"/>
  <c r="K26" i="3"/>
  <c r="K29" i="3" s="1"/>
  <c r="J26" i="3"/>
  <c r="J29" i="3" s="1"/>
  <c r="I26" i="3"/>
  <c r="I29" i="3" s="1"/>
  <c r="H26" i="3"/>
  <c r="H29" i="3" s="1"/>
  <c r="G26" i="3"/>
  <c r="G29" i="3" s="1"/>
  <c r="F26" i="3"/>
  <c r="F29" i="3" s="1"/>
  <c r="E26" i="3"/>
  <c r="E29" i="3" s="1"/>
  <c r="D26" i="3"/>
  <c r="C26" i="3"/>
  <c r="C29" i="3" s="1"/>
  <c r="AD25" i="3"/>
  <c r="AC25" i="3"/>
  <c r="AD24" i="3"/>
  <c r="AC24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AC23" i="3" s="1"/>
  <c r="AE23" i="3" s="1"/>
  <c r="AD22" i="3"/>
  <c r="AC22" i="3"/>
  <c r="AD21" i="3"/>
  <c r="AC21" i="3"/>
  <c r="AD20" i="3"/>
  <c r="AC20" i="3"/>
  <c r="AD19" i="3"/>
  <c r="AC19" i="3"/>
  <c r="AD18" i="3"/>
  <c r="AC18" i="3"/>
  <c r="AD17" i="3"/>
  <c r="AC17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C14" i="3"/>
  <c r="AD13" i="3"/>
  <c r="AC13" i="3"/>
  <c r="AE36" i="3" s="1"/>
  <c r="AD11" i="3"/>
  <c r="AC11" i="3"/>
  <c r="AC9" i="3"/>
  <c r="E105" i="2"/>
  <c r="D105" i="2"/>
  <c r="C105" i="2"/>
  <c r="E100" i="2"/>
  <c r="D100" i="2"/>
  <c r="C100" i="2"/>
  <c r="E95" i="2"/>
  <c r="D95" i="2"/>
  <c r="C95" i="2"/>
  <c r="E90" i="2"/>
  <c r="D90" i="2"/>
  <c r="C90" i="2"/>
  <c r="E85" i="2"/>
  <c r="D85" i="2"/>
  <c r="C85" i="2"/>
  <c r="E80" i="2"/>
  <c r="D80" i="2"/>
  <c r="C80" i="2"/>
  <c r="E75" i="2"/>
  <c r="D75" i="2"/>
  <c r="C75" i="2"/>
  <c r="G70" i="2"/>
  <c r="F70" i="2"/>
  <c r="E70" i="2"/>
  <c r="D70" i="2"/>
  <c r="C70" i="2"/>
  <c r="L64" i="2"/>
  <c r="K64" i="2"/>
  <c r="M64" i="2" s="1"/>
  <c r="L63" i="2"/>
  <c r="K63" i="2"/>
  <c r="J60" i="2"/>
  <c r="I60" i="2"/>
  <c r="H60" i="2"/>
  <c r="G60" i="2"/>
  <c r="F60" i="2"/>
  <c r="E60" i="2"/>
  <c r="D60" i="2"/>
  <c r="C60" i="2"/>
  <c r="L59" i="2"/>
  <c r="K59" i="2"/>
  <c r="L58" i="2"/>
  <c r="K58" i="2"/>
  <c r="M58" i="2" s="1"/>
  <c r="L57" i="2"/>
  <c r="K57" i="2"/>
  <c r="L56" i="2"/>
  <c r="K56" i="2"/>
  <c r="M56" i="2" s="1"/>
  <c r="L55" i="2"/>
  <c r="K55" i="2"/>
  <c r="L54" i="2"/>
  <c r="K54" i="2"/>
  <c r="M54" i="2" s="1"/>
  <c r="J53" i="2"/>
  <c r="I53" i="2"/>
  <c r="H53" i="2"/>
  <c r="G53" i="2"/>
  <c r="F53" i="2"/>
  <c r="E53" i="2"/>
  <c r="D53" i="2"/>
  <c r="C53" i="2"/>
  <c r="L52" i="2"/>
  <c r="K52" i="2"/>
  <c r="M52" i="2" s="1"/>
  <c r="L51" i="2"/>
  <c r="K51" i="2"/>
  <c r="L50" i="2"/>
  <c r="K50" i="2"/>
  <c r="M50" i="2" s="1"/>
  <c r="L49" i="2"/>
  <c r="K49" i="2"/>
  <c r="L48" i="2"/>
  <c r="K48" i="2"/>
  <c r="M48" i="2" s="1"/>
  <c r="J47" i="2"/>
  <c r="I47" i="2"/>
  <c r="H47" i="2"/>
  <c r="G47" i="2"/>
  <c r="F47" i="2"/>
  <c r="E47" i="2"/>
  <c r="D47" i="2"/>
  <c r="C47" i="2"/>
  <c r="L46" i="2"/>
  <c r="K46" i="2"/>
  <c r="M46" i="2" s="1"/>
  <c r="L45" i="2"/>
  <c r="K45" i="2"/>
  <c r="L44" i="2"/>
  <c r="K44" i="2"/>
  <c r="M44" i="2" s="1"/>
  <c r="L43" i="2"/>
  <c r="K43" i="2"/>
  <c r="J42" i="2"/>
  <c r="I42" i="2"/>
  <c r="H42" i="2"/>
  <c r="G42" i="2"/>
  <c r="F42" i="2"/>
  <c r="E42" i="2"/>
  <c r="D42" i="2"/>
  <c r="C42" i="2"/>
  <c r="L41" i="2"/>
  <c r="K41" i="2"/>
  <c r="L40" i="2"/>
  <c r="K40" i="2"/>
  <c r="L39" i="2"/>
  <c r="K39" i="2"/>
  <c r="L38" i="2"/>
  <c r="K38" i="2"/>
  <c r="L37" i="2"/>
  <c r="K37" i="2"/>
  <c r="L36" i="2"/>
  <c r="K36" i="2"/>
  <c r="M36" i="2" s="1"/>
  <c r="J35" i="2"/>
  <c r="I35" i="2"/>
  <c r="H35" i="2"/>
  <c r="G35" i="2"/>
  <c r="F35" i="2"/>
  <c r="E35" i="2"/>
  <c r="D35" i="2"/>
  <c r="C35" i="2"/>
  <c r="K35" i="2" s="1"/>
  <c r="M35" i="2" s="1"/>
  <c r="L34" i="2"/>
  <c r="K34" i="2"/>
  <c r="L33" i="2"/>
  <c r="K33" i="2"/>
  <c r="L32" i="2"/>
  <c r="K32" i="2"/>
  <c r="J31" i="2"/>
  <c r="I31" i="2"/>
  <c r="H31" i="2"/>
  <c r="G31" i="2"/>
  <c r="F31" i="2"/>
  <c r="E31" i="2"/>
  <c r="D31" i="2"/>
  <c r="L31" i="2" s="1"/>
  <c r="C31" i="2"/>
  <c r="L30" i="2"/>
  <c r="K30" i="2"/>
  <c r="L28" i="2"/>
  <c r="K28" i="2"/>
  <c r="L27" i="2"/>
  <c r="K27" i="2"/>
  <c r="J26" i="2"/>
  <c r="J29" i="2" s="1"/>
  <c r="I26" i="2"/>
  <c r="I29" i="2" s="1"/>
  <c r="H26" i="2"/>
  <c r="H29" i="2" s="1"/>
  <c r="G26" i="2"/>
  <c r="G29" i="2" s="1"/>
  <c r="F26" i="2"/>
  <c r="F29" i="2" s="1"/>
  <c r="E26" i="2"/>
  <c r="E29" i="2" s="1"/>
  <c r="D26" i="2"/>
  <c r="D29" i="2" s="1"/>
  <c r="C26" i="2"/>
  <c r="C29" i="2" s="1"/>
  <c r="L25" i="2"/>
  <c r="K25" i="2"/>
  <c r="L24" i="2"/>
  <c r="K24" i="2"/>
  <c r="M24" i="2" s="1"/>
  <c r="J23" i="2"/>
  <c r="I23" i="2"/>
  <c r="H23" i="2"/>
  <c r="G23" i="2"/>
  <c r="F23" i="2"/>
  <c r="E23" i="2"/>
  <c r="D23" i="2"/>
  <c r="C23" i="2"/>
  <c r="K23" i="2" s="1"/>
  <c r="M23" i="2" s="1"/>
  <c r="L22" i="2"/>
  <c r="K22" i="2"/>
  <c r="L21" i="2"/>
  <c r="K21" i="2"/>
  <c r="L20" i="2"/>
  <c r="K20" i="2"/>
  <c r="L19" i="2"/>
  <c r="K19" i="2"/>
  <c r="L18" i="2"/>
  <c r="K18" i="2"/>
  <c r="M18" i="2" s="1"/>
  <c r="L17" i="2"/>
  <c r="K17" i="2"/>
  <c r="J16" i="2"/>
  <c r="I16" i="2"/>
  <c r="H16" i="2"/>
  <c r="G16" i="2"/>
  <c r="F16" i="2"/>
  <c r="E16" i="2"/>
  <c r="C16" i="2"/>
  <c r="J15" i="2"/>
  <c r="I15" i="2"/>
  <c r="H15" i="2"/>
  <c r="G15" i="2"/>
  <c r="F15" i="2"/>
  <c r="E15" i="2"/>
  <c r="D15" i="2"/>
  <c r="L15" i="2" s="1"/>
  <c r="C15" i="2"/>
  <c r="K14" i="2"/>
  <c r="L13" i="2"/>
  <c r="K13" i="2"/>
  <c r="M59" i="2" s="1"/>
  <c r="L11" i="2"/>
  <c r="K11" i="2"/>
  <c r="K9" i="2"/>
  <c r="AW46" i="1"/>
  <c r="AW14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C16" i="1"/>
  <c r="X47" i="5" l="1"/>
  <c r="X44" i="5"/>
  <c r="X48" i="5"/>
  <c r="X50" i="5"/>
  <c r="X32" i="5"/>
  <c r="X36" i="5"/>
  <c r="X38" i="5"/>
  <c r="X19" i="5"/>
  <c r="X20" i="5"/>
  <c r="X24" i="5"/>
  <c r="X30" i="5"/>
  <c r="AE53" i="3"/>
  <c r="K17" i="7"/>
  <c r="K20" i="7"/>
  <c r="K25" i="7"/>
  <c r="K27" i="7"/>
  <c r="K28" i="7"/>
  <c r="K55" i="7"/>
  <c r="I23" i="7"/>
  <c r="K23" i="7" s="1"/>
  <c r="K45" i="7"/>
  <c r="D61" i="7"/>
  <c r="D62" i="7" s="1"/>
  <c r="D65" i="7" s="1"/>
  <c r="K57" i="7"/>
  <c r="K59" i="7"/>
  <c r="K19" i="7"/>
  <c r="K38" i="7"/>
  <c r="I47" i="7"/>
  <c r="K47" i="7" s="1"/>
  <c r="K44" i="7"/>
  <c r="K56" i="7"/>
  <c r="K21" i="7"/>
  <c r="K34" i="7"/>
  <c r="K50" i="7"/>
  <c r="H61" i="7"/>
  <c r="H62" i="7" s="1"/>
  <c r="H65" i="7" s="1"/>
  <c r="I31" i="7"/>
  <c r="K31" i="7" s="1"/>
  <c r="K18" i="7"/>
  <c r="K37" i="7"/>
  <c r="K54" i="7"/>
  <c r="K63" i="7"/>
  <c r="J15" i="4"/>
  <c r="K17" i="4"/>
  <c r="K24" i="4"/>
  <c r="K28" i="4"/>
  <c r="J31" i="4"/>
  <c r="J47" i="4"/>
  <c r="I35" i="4"/>
  <c r="K35" i="4" s="1"/>
  <c r="K39" i="4"/>
  <c r="I42" i="4"/>
  <c r="K42" i="4" s="1"/>
  <c r="I53" i="4"/>
  <c r="K53" i="4" s="1"/>
  <c r="K63" i="4"/>
  <c r="J23" i="4"/>
  <c r="C61" i="7"/>
  <c r="C62" i="7" s="1"/>
  <c r="C65" i="7" s="1"/>
  <c r="G61" i="7"/>
  <c r="G62" i="7" s="1"/>
  <c r="G65" i="7" s="1"/>
  <c r="J29" i="7"/>
  <c r="I29" i="7"/>
  <c r="K29" i="7" s="1"/>
  <c r="E61" i="7"/>
  <c r="E62" i="7" s="1"/>
  <c r="E65" i="7" s="1"/>
  <c r="F61" i="7"/>
  <c r="F62" i="7" s="1"/>
  <c r="F65" i="7" s="1"/>
  <c r="I26" i="7"/>
  <c r="K26" i="7" s="1"/>
  <c r="K13" i="7"/>
  <c r="J26" i="7"/>
  <c r="K39" i="7"/>
  <c r="J42" i="7"/>
  <c r="K43" i="7"/>
  <c r="I53" i="7"/>
  <c r="K53" i="7" s="1"/>
  <c r="J53" i="7"/>
  <c r="I60" i="7"/>
  <c r="K60" i="7" s="1"/>
  <c r="J26" i="4"/>
  <c r="I23" i="4"/>
  <c r="K23" i="4" s="1"/>
  <c r="K33" i="4"/>
  <c r="K38" i="4"/>
  <c r="K51" i="4"/>
  <c r="I60" i="4"/>
  <c r="K60" i="4" s="1"/>
  <c r="K59" i="4"/>
  <c r="K20" i="4"/>
  <c r="K44" i="4"/>
  <c r="F61" i="4"/>
  <c r="F62" i="4" s="1"/>
  <c r="F65" i="4" s="1"/>
  <c r="K57" i="4"/>
  <c r="L36" i="6"/>
  <c r="L52" i="6"/>
  <c r="L59" i="6"/>
  <c r="L63" i="6"/>
  <c r="L18" i="6"/>
  <c r="L40" i="6"/>
  <c r="K42" i="6"/>
  <c r="L46" i="6"/>
  <c r="L49" i="6"/>
  <c r="L54" i="6"/>
  <c r="L64" i="6"/>
  <c r="L22" i="6"/>
  <c r="L25" i="6"/>
  <c r="L34" i="6"/>
  <c r="L37" i="6"/>
  <c r="J47" i="6"/>
  <c r="L47" i="6" s="1"/>
  <c r="C61" i="6"/>
  <c r="C62" i="6" s="1"/>
  <c r="C65" i="6" s="1"/>
  <c r="G61" i="6"/>
  <c r="G62" i="6" s="1"/>
  <c r="G65" i="6" s="1"/>
  <c r="L58" i="6"/>
  <c r="V31" i="5"/>
  <c r="X31" i="5" s="1"/>
  <c r="W23" i="5"/>
  <c r="W35" i="5"/>
  <c r="X40" i="5"/>
  <c r="W42" i="5"/>
  <c r="W47" i="5"/>
  <c r="X52" i="5"/>
  <c r="X59" i="5"/>
  <c r="V60" i="5"/>
  <c r="X60" i="5" s="1"/>
  <c r="W15" i="5"/>
  <c r="X18" i="5"/>
  <c r="X25" i="5"/>
  <c r="W31" i="5"/>
  <c r="X37" i="5"/>
  <c r="X49" i="5"/>
  <c r="F61" i="5"/>
  <c r="F65" i="5" s="1"/>
  <c r="J61" i="5"/>
  <c r="J65" i="5" s="1"/>
  <c r="N61" i="5"/>
  <c r="N65" i="5" s="1"/>
  <c r="R61" i="5"/>
  <c r="R65" i="5" s="1"/>
  <c r="X54" i="5"/>
  <c r="X22" i="5"/>
  <c r="X27" i="5"/>
  <c r="X28" i="5"/>
  <c r="X34" i="5"/>
  <c r="X41" i="5"/>
  <c r="V42" i="5"/>
  <c r="X42" i="5" s="1"/>
  <c r="X46" i="5"/>
  <c r="X58" i="5"/>
  <c r="W60" i="5"/>
  <c r="E61" i="6"/>
  <c r="E62" i="6" s="1"/>
  <c r="E65" i="6" s="1"/>
  <c r="I61" i="6"/>
  <c r="I62" i="6" s="1"/>
  <c r="I65" i="6" s="1"/>
  <c r="F61" i="6"/>
  <c r="F62" i="6" s="1"/>
  <c r="F65" i="6" s="1"/>
  <c r="J29" i="6"/>
  <c r="L29" i="6" s="1"/>
  <c r="K29" i="6"/>
  <c r="D61" i="6"/>
  <c r="D62" i="6" s="1"/>
  <c r="D65" i="6" s="1"/>
  <c r="H61" i="6"/>
  <c r="H62" i="6" s="1"/>
  <c r="H65" i="6" s="1"/>
  <c r="L13" i="6"/>
  <c r="J15" i="6"/>
  <c r="J23" i="6"/>
  <c r="L23" i="6" s="1"/>
  <c r="K26" i="6"/>
  <c r="J35" i="6"/>
  <c r="L35" i="6" s="1"/>
  <c r="L43" i="6"/>
  <c r="J53" i="6"/>
  <c r="L53" i="6" s="1"/>
  <c r="K53" i="6"/>
  <c r="J26" i="6"/>
  <c r="L26" i="6" s="1"/>
  <c r="L17" i="6"/>
  <c r="L21" i="6"/>
  <c r="L33" i="6"/>
  <c r="L39" i="6"/>
  <c r="L45" i="6"/>
  <c r="L51" i="6"/>
  <c r="L57" i="6"/>
  <c r="D61" i="5"/>
  <c r="D65" i="5" s="1"/>
  <c r="H61" i="5"/>
  <c r="H65" i="5" s="1"/>
  <c r="L61" i="5"/>
  <c r="L65" i="5" s="1"/>
  <c r="P61" i="5"/>
  <c r="P65" i="5" s="1"/>
  <c r="T61" i="5"/>
  <c r="T65" i="5" s="1"/>
  <c r="E61" i="5"/>
  <c r="E65" i="5" s="1"/>
  <c r="I61" i="5"/>
  <c r="I65" i="5" s="1"/>
  <c r="M61" i="5"/>
  <c r="M65" i="5" s="1"/>
  <c r="Q61" i="5"/>
  <c r="Q65" i="5" s="1"/>
  <c r="U61" i="5"/>
  <c r="U65" i="5" s="1"/>
  <c r="V29" i="5"/>
  <c r="X29" i="5" s="1"/>
  <c r="W29" i="5"/>
  <c r="C61" i="5"/>
  <c r="G61" i="5"/>
  <c r="G65" i="5" s="1"/>
  <c r="K61" i="5"/>
  <c r="K65" i="5" s="1"/>
  <c r="O61" i="5"/>
  <c r="O65" i="5" s="1"/>
  <c r="S61" i="5"/>
  <c r="S65" i="5" s="1"/>
  <c r="X13" i="5"/>
  <c r="V15" i="5"/>
  <c r="V23" i="5"/>
  <c r="X23" i="5" s="1"/>
  <c r="W26" i="5"/>
  <c r="V35" i="5"/>
  <c r="X35" i="5" s="1"/>
  <c r="X43" i="5"/>
  <c r="V53" i="5"/>
  <c r="X53" i="5" s="1"/>
  <c r="W53" i="5"/>
  <c r="V26" i="5"/>
  <c r="X26" i="5" s="1"/>
  <c r="X17" i="5"/>
  <c r="X21" i="5"/>
  <c r="X33" i="5"/>
  <c r="X39" i="5"/>
  <c r="X45" i="5"/>
  <c r="X51" i="5"/>
  <c r="X57" i="5"/>
  <c r="AE27" i="3"/>
  <c r="AD15" i="3"/>
  <c r="AE18" i="3"/>
  <c r="AE22" i="3"/>
  <c r="F61" i="3"/>
  <c r="F65" i="3" s="1"/>
  <c r="J61" i="3"/>
  <c r="J65" i="3" s="1"/>
  <c r="N61" i="3"/>
  <c r="N65" i="3" s="1"/>
  <c r="R61" i="3"/>
  <c r="R65" i="3" s="1"/>
  <c r="V61" i="3"/>
  <c r="V65" i="3" s="1"/>
  <c r="Z61" i="3"/>
  <c r="Z65" i="3" s="1"/>
  <c r="AD60" i="3"/>
  <c r="AE45" i="3"/>
  <c r="AE58" i="3"/>
  <c r="AD23" i="3"/>
  <c r="AE24" i="3"/>
  <c r="AE42" i="3"/>
  <c r="AE47" i="3"/>
  <c r="AE46" i="3"/>
  <c r="AE56" i="3"/>
  <c r="AD35" i="3"/>
  <c r="AD47" i="3"/>
  <c r="AE48" i="3"/>
  <c r="AE52" i="3"/>
  <c r="AE43" i="3"/>
  <c r="AE20" i="3"/>
  <c r="AE33" i="3"/>
  <c r="AE37" i="3"/>
  <c r="AE40" i="3"/>
  <c r="AE50" i="3"/>
  <c r="C61" i="3"/>
  <c r="C65" i="3" s="1"/>
  <c r="K61" i="3"/>
  <c r="K65" i="3" s="1"/>
  <c r="W61" i="3"/>
  <c r="W65" i="3" s="1"/>
  <c r="AE54" i="3"/>
  <c r="AC60" i="3"/>
  <c r="AE60" i="3" s="1"/>
  <c r="AE63" i="3"/>
  <c r="AE64" i="3"/>
  <c r="AE34" i="3"/>
  <c r="AE39" i="3"/>
  <c r="AD42" i="3"/>
  <c r="G61" i="3"/>
  <c r="G65" i="3" s="1"/>
  <c r="O61" i="3"/>
  <c r="O65" i="3" s="1"/>
  <c r="S61" i="3"/>
  <c r="S65" i="3" s="1"/>
  <c r="AA61" i="3"/>
  <c r="AA65" i="3" s="1"/>
  <c r="AE17" i="3"/>
  <c r="AE28" i="3"/>
  <c r="AE30" i="3"/>
  <c r="AC35" i="3"/>
  <c r="AE35" i="3" s="1"/>
  <c r="AE41" i="3"/>
  <c r="AE44" i="3"/>
  <c r="D61" i="3"/>
  <c r="D65" i="3" s="1"/>
  <c r="H61" i="3"/>
  <c r="H65" i="3" s="1"/>
  <c r="L61" i="3"/>
  <c r="L65" i="3" s="1"/>
  <c r="P61" i="3"/>
  <c r="P65" i="3" s="1"/>
  <c r="T61" i="3"/>
  <c r="T65" i="3" s="1"/>
  <c r="X61" i="3"/>
  <c r="X65" i="3" s="1"/>
  <c r="AB61" i="3"/>
  <c r="AB65" i="3" s="1"/>
  <c r="AE55" i="3"/>
  <c r="AE57" i="3"/>
  <c r="AD26" i="3"/>
  <c r="AC15" i="3"/>
  <c r="AE13" i="3"/>
  <c r="AE19" i="3"/>
  <c r="AE21" i="3"/>
  <c r="AE25" i="3"/>
  <c r="AE32" i="3"/>
  <c r="AE38" i="3"/>
  <c r="AE49" i="3"/>
  <c r="AE51" i="3"/>
  <c r="AE59" i="3"/>
  <c r="H61" i="2"/>
  <c r="H62" i="2" s="1"/>
  <c r="H65" i="2" s="1"/>
  <c r="K15" i="2"/>
  <c r="M13" i="2"/>
  <c r="M20" i="2"/>
  <c r="M32" i="2"/>
  <c r="M38" i="2"/>
  <c r="K60" i="2"/>
  <c r="M60" i="2" s="1"/>
  <c r="M63" i="2"/>
  <c r="D61" i="2"/>
  <c r="M17" i="2"/>
  <c r="L26" i="2"/>
  <c r="K42" i="2"/>
  <c r="M42" i="2" s="1"/>
  <c r="K47" i="2"/>
  <c r="M47" i="2" s="1"/>
  <c r="M45" i="2"/>
  <c r="L47" i="2"/>
  <c r="M51" i="2"/>
  <c r="M57" i="2"/>
  <c r="L60" i="2"/>
  <c r="M21" i="2"/>
  <c r="M22" i="2"/>
  <c r="L23" i="2"/>
  <c r="M25" i="2"/>
  <c r="M28" i="2"/>
  <c r="M30" i="2"/>
  <c r="M33" i="2"/>
  <c r="M34" i="2"/>
  <c r="L35" i="2"/>
  <c r="M39" i="2"/>
  <c r="M40" i="2"/>
  <c r="L42" i="2"/>
  <c r="K53" i="2"/>
  <c r="M53" i="2" s="1"/>
  <c r="I29" i="4"/>
  <c r="K29" i="4" s="1"/>
  <c r="C61" i="4"/>
  <c r="C62" i="4" s="1"/>
  <c r="C65" i="4" s="1"/>
  <c r="G61" i="4"/>
  <c r="G62" i="4" s="1"/>
  <c r="G65" i="4" s="1"/>
  <c r="D61" i="4"/>
  <c r="D62" i="4" s="1"/>
  <c r="D65" i="4" s="1"/>
  <c r="H61" i="4"/>
  <c r="H62" i="4" s="1"/>
  <c r="H65" i="4" s="1"/>
  <c r="J29" i="4"/>
  <c r="E61" i="4"/>
  <c r="E62" i="4" s="1"/>
  <c r="E65" i="4" s="1"/>
  <c r="I15" i="4"/>
  <c r="J53" i="4"/>
  <c r="I26" i="4"/>
  <c r="K26" i="4" s="1"/>
  <c r="K19" i="4"/>
  <c r="K25" i="4"/>
  <c r="K27" i="4"/>
  <c r="K37" i="4"/>
  <c r="K41" i="4"/>
  <c r="K43" i="4"/>
  <c r="K49" i="4"/>
  <c r="K55" i="4"/>
  <c r="AD29" i="3"/>
  <c r="AC29" i="3"/>
  <c r="AE29" i="3" s="1"/>
  <c r="E61" i="3"/>
  <c r="E65" i="3" s="1"/>
  <c r="I61" i="3"/>
  <c r="I65" i="3" s="1"/>
  <c r="M61" i="3"/>
  <c r="M65" i="3" s="1"/>
  <c r="Q61" i="3"/>
  <c r="Q65" i="3" s="1"/>
  <c r="U61" i="3"/>
  <c r="U65" i="3" s="1"/>
  <c r="Y61" i="3"/>
  <c r="Y65" i="3" s="1"/>
  <c r="AD53" i="3"/>
  <c r="AC31" i="3"/>
  <c r="AE31" i="3" s="1"/>
  <c r="AC26" i="3"/>
  <c r="AE26" i="3" s="1"/>
  <c r="K29" i="2"/>
  <c r="M29" i="2" s="1"/>
  <c r="E61" i="2"/>
  <c r="E62" i="2" s="1"/>
  <c r="E65" i="2" s="1"/>
  <c r="I61" i="2"/>
  <c r="I62" i="2" s="1"/>
  <c r="I65" i="2" s="1"/>
  <c r="F61" i="2"/>
  <c r="F62" i="2" s="1"/>
  <c r="F65" i="2" s="1"/>
  <c r="J61" i="2"/>
  <c r="J62" i="2" s="1"/>
  <c r="J65" i="2" s="1"/>
  <c r="D62" i="2"/>
  <c r="L29" i="2"/>
  <c r="G61" i="2"/>
  <c r="G62" i="2" s="1"/>
  <c r="G65" i="2" s="1"/>
  <c r="K31" i="2"/>
  <c r="M31" i="2" s="1"/>
  <c r="C61" i="2"/>
  <c r="L53" i="2"/>
  <c r="K26" i="2"/>
  <c r="M26" i="2" s="1"/>
  <c r="M19" i="2"/>
  <c r="M27" i="2"/>
  <c r="M37" i="2"/>
  <c r="M41" i="2"/>
  <c r="M43" i="2"/>
  <c r="M49" i="2"/>
  <c r="M55" i="2"/>
  <c r="E105" i="1"/>
  <c r="D105" i="1"/>
  <c r="C105" i="1"/>
  <c r="E100" i="1"/>
  <c r="D100" i="1"/>
  <c r="C100" i="1"/>
  <c r="E95" i="1"/>
  <c r="D95" i="1"/>
  <c r="C95" i="1"/>
  <c r="E90" i="1"/>
  <c r="D90" i="1"/>
  <c r="C90" i="1"/>
  <c r="E85" i="1"/>
  <c r="D85" i="1"/>
  <c r="C85" i="1"/>
  <c r="E80" i="1"/>
  <c r="D80" i="1"/>
  <c r="C80" i="1"/>
  <c r="E75" i="1"/>
  <c r="D75" i="1"/>
  <c r="C75" i="1"/>
  <c r="G70" i="1"/>
  <c r="F70" i="1"/>
  <c r="E70" i="1"/>
  <c r="D70" i="1"/>
  <c r="C70" i="1"/>
  <c r="AW58" i="1"/>
  <c r="AX57" i="1"/>
  <c r="AW57" i="1"/>
  <c r="AX56" i="1"/>
  <c r="AW56" i="1"/>
  <c r="AX55" i="1"/>
  <c r="AW55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C53" i="1"/>
  <c r="AX52" i="1"/>
  <c r="AW52" i="1"/>
  <c r="AX51" i="1"/>
  <c r="AW51" i="1"/>
  <c r="AX50" i="1"/>
  <c r="AW50" i="1"/>
  <c r="AX49" i="1"/>
  <c r="AW49" i="1"/>
  <c r="AX48" i="1"/>
  <c r="AW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AX45" i="1"/>
  <c r="AW45" i="1"/>
  <c r="AX44" i="1"/>
  <c r="AW44" i="1"/>
  <c r="AX43" i="1"/>
  <c r="AW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AX41" i="1"/>
  <c r="AW41" i="1"/>
  <c r="AX40" i="1"/>
  <c r="AW40" i="1"/>
  <c r="AX39" i="1"/>
  <c r="AW39" i="1"/>
  <c r="AX38" i="1"/>
  <c r="AW38" i="1"/>
  <c r="AX37" i="1"/>
  <c r="AW37" i="1"/>
  <c r="AX36" i="1"/>
  <c r="AW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AX34" i="1"/>
  <c r="AW34" i="1"/>
  <c r="AX33" i="1"/>
  <c r="AW33" i="1"/>
  <c r="AX32" i="1"/>
  <c r="AW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AX31" i="1" s="1"/>
  <c r="C31" i="1"/>
  <c r="AX30" i="1"/>
  <c r="AW30" i="1"/>
  <c r="AX28" i="1"/>
  <c r="AW28" i="1"/>
  <c r="AX27" i="1"/>
  <c r="AW27" i="1"/>
  <c r="AV26" i="1"/>
  <c r="AV29" i="1" s="1"/>
  <c r="AU26" i="1"/>
  <c r="AU29" i="1" s="1"/>
  <c r="AT26" i="1"/>
  <c r="AT29" i="1" s="1"/>
  <c r="AS26" i="1"/>
  <c r="AS29" i="1" s="1"/>
  <c r="AR26" i="1"/>
  <c r="AR29" i="1" s="1"/>
  <c r="AQ26" i="1"/>
  <c r="AQ29" i="1" s="1"/>
  <c r="AP26" i="1"/>
  <c r="AP29" i="1" s="1"/>
  <c r="AO26" i="1"/>
  <c r="AO29" i="1" s="1"/>
  <c r="AN26" i="1"/>
  <c r="AN29" i="1" s="1"/>
  <c r="AM26" i="1"/>
  <c r="AM29" i="1" s="1"/>
  <c r="AL26" i="1"/>
  <c r="AL29" i="1" s="1"/>
  <c r="AK26" i="1"/>
  <c r="AK29" i="1" s="1"/>
  <c r="AJ26" i="1"/>
  <c r="AJ29" i="1" s="1"/>
  <c r="AI26" i="1"/>
  <c r="AI29" i="1" s="1"/>
  <c r="AH26" i="1"/>
  <c r="AH29" i="1" s="1"/>
  <c r="AG26" i="1"/>
  <c r="AG29" i="1" s="1"/>
  <c r="AF26" i="1"/>
  <c r="AF29" i="1" s="1"/>
  <c r="AE26" i="1"/>
  <c r="AE29" i="1" s="1"/>
  <c r="AD26" i="1"/>
  <c r="AD29" i="1" s="1"/>
  <c r="AC26" i="1"/>
  <c r="AC29" i="1" s="1"/>
  <c r="AB26" i="1"/>
  <c r="AB29" i="1" s="1"/>
  <c r="AA26" i="1"/>
  <c r="AA29" i="1" s="1"/>
  <c r="Z26" i="1"/>
  <c r="Z29" i="1" s="1"/>
  <c r="Y26" i="1"/>
  <c r="Y29" i="1" s="1"/>
  <c r="X26" i="1"/>
  <c r="X29" i="1" s="1"/>
  <c r="W26" i="1"/>
  <c r="W29" i="1" s="1"/>
  <c r="V26" i="1"/>
  <c r="V29" i="1" s="1"/>
  <c r="U26" i="1"/>
  <c r="U29" i="1" s="1"/>
  <c r="T26" i="1"/>
  <c r="T29" i="1" s="1"/>
  <c r="S26" i="1"/>
  <c r="S29" i="1" s="1"/>
  <c r="R26" i="1"/>
  <c r="R29" i="1" s="1"/>
  <c r="Q26" i="1"/>
  <c r="Q29" i="1" s="1"/>
  <c r="P26" i="1"/>
  <c r="P29" i="1" s="1"/>
  <c r="O26" i="1"/>
  <c r="O29" i="1" s="1"/>
  <c r="N26" i="1"/>
  <c r="N29" i="1" s="1"/>
  <c r="M26" i="1"/>
  <c r="M29" i="1" s="1"/>
  <c r="L26" i="1"/>
  <c r="L29" i="1" s="1"/>
  <c r="K26" i="1"/>
  <c r="K29" i="1" s="1"/>
  <c r="J26" i="1"/>
  <c r="J29" i="1" s="1"/>
  <c r="I26" i="1"/>
  <c r="I29" i="1" s="1"/>
  <c r="H26" i="1"/>
  <c r="H29" i="1" s="1"/>
  <c r="G26" i="1"/>
  <c r="G29" i="1" s="1"/>
  <c r="F26" i="1"/>
  <c r="F29" i="1" s="1"/>
  <c r="E26" i="1"/>
  <c r="E29" i="1" s="1"/>
  <c r="D26" i="1"/>
  <c r="C26" i="1"/>
  <c r="AX25" i="1"/>
  <c r="AW25" i="1"/>
  <c r="AX24" i="1"/>
  <c r="AW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AX22" i="1"/>
  <c r="AW22" i="1"/>
  <c r="AX21" i="1"/>
  <c r="AW21" i="1"/>
  <c r="AX20" i="1"/>
  <c r="AW20" i="1"/>
  <c r="AX19" i="1"/>
  <c r="AW19" i="1"/>
  <c r="AX18" i="1"/>
  <c r="AW18" i="1"/>
  <c r="AX17" i="1"/>
  <c r="AW17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AX15" i="1" s="1"/>
  <c r="C15" i="1"/>
  <c r="AX13" i="1"/>
  <c r="AW13" i="1"/>
  <c r="AX11" i="1"/>
  <c r="AW11" i="1"/>
  <c r="AW9" i="1"/>
  <c r="J61" i="7" l="1"/>
  <c r="I61" i="7"/>
  <c r="K61" i="7" s="1"/>
  <c r="K61" i="6"/>
  <c r="J61" i="6"/>
  <c r="L61" i="6" s="1"/>
  <c r="W61" i="5"/>
  <c r="V61" i="5"/>
  <c r="X61" i="5" s="1"/>
  <c r="J65" i="4"/>
  <c r="J62" i="4"/>
  <c r="I61" i="4"/>
  <c r="K61" i="4" s="1"/>
  <c r="J61" i="4"/>
  <c r="AC61" i="3"/>
  <c r="AE61" i="3" s="1"/>
  <c r="AD65" i="3"/>
  <c r="AD62" i="3"/>
  <c r="AD61" i="3"/>
  <c r="K61" i="2"/>
  <c r="M61" i="2" s="1"/>
  <c r="C62" i="2"/>
  <c r="D65" i="2"/>
  <c r="L65" i="2" s="1"/>
  <c r="L62" i="2"/>
  <c r="L61" i="2"/>
  <c r="AW23" i="1"/>
  <c r="AW42" i="1"/>
  <c r="AY42" i="1" s="1"/>
  <c r="K60" i="1"/>
  <c r="K61" i="1" s="1"/>
  <c r="AA60" i="1"/>
  <c r="AA61" i="1" s="1"/>
  <c r="AA65" i="1" s="1"/>
  <c r="AU60" i="1"/>
  <c r="AU61" i="1" s="1"/>
  <c r="O60" i="1"/>
  <c r="O61" i="1" s="1"/>
  <c r="AE60" i="1"/>
  <c r="AE61" i="1" s="1"/>
  <c r="G60" i="1"/>
  <c r="G61" i="1" s="1"/>
  <c r="G65" i="1" s="1"/>
  <c r="W60" i="1"/>
  <c r="W61" i="1" s="1"/>
  <c r="W65" i="1" s="1"/>
  <c r="AM60" i="1"/>
  <c r="AM61" i="1" s="1"/>
  <c r="AM65" i="1" s="1"/>
  <c r="AX58" i="1"/>
  <c r="AQ60" i="1"/>
  <c r="AQ61" i="1" s="1"/>
  <c r="AT60" i="1"/>
  <c r="AT61" i="1" s="1"/>
  <c r="X60" i="1"/>
  <c r="X61" i="1" s="1"/>
  <c r="X65" i="1" s="1"/>
  <c r="AI60" i="1"/>
  <c r="AI61" i="1" s="1"/>
  <c r="AN60" i="1"/>
  <c r="AN61" i="1" s="1"/>
  <c r="R60" i="1"/>
  <c r="R61" i="1" s="1"/>
  <c r="AH60" i="1"/>
  <c r="AH61" i="1" s="1"/>
  <c r="AX23" i="1"/>
  <c r="AX42" i="1"/>
  <c r="AX59" i="1"/>
  <c r="L60" i="1"/>
  <c r="L61" i="1" s="1"/>
  <c r="P60" i="1"/>
  <c r="P61" i="1" s="1"/>
  <c r="T60" i="1"/>
  <c r="T61" i="1" s="1"/>
  <c r="AB60" i="1"/>
  <c r="AB61" i="1" s="1"/>
  <c r="AF60" i="1"/>
  <c r="AF61" i="1" s="1"/>
  <c r="AJ60" i="1"/>
  <c r="AJ61" i="1" s="1"/>
  <c r="AR60" i="1"/>
  <c r="AR61" i="1" s="1"/>
  <c r="AV60" i="1"/>
  <c r="AV61" i="1" s="1"/>
  <c r="AV65" i="1" s="1"/>
  <c r="AW31" i="1"/>
  <c r="AY31" i="1" s="1"/>
  <c r="AW35" i="1"/>
  <c r="AY35" i="1" s="1"/>
  <c r="E60" i="1"/>
  <c r="E61" i="1" s="1"/>
  <c r="I60" i="1"/>
  <c r="I61" i="1" s="1"/>
  <c r="I65" i="1" s="1"/>
  <c r="Q60" i="1"/>
  <c r="Q61" i="1" s="1"/>
  <c r="Q65" i="1" s="1"/>
  <c r="U60" i="1"/>
  <c r="U61" i="1" s="1"/>
  <c r="Y60" i="1"/>
  <c r="Y61" i="1" s="1"/>
  <c r="AG60" i="1"/>
  <c r="AG61" i="1" s="1"/>
  <c r="AG65" i="1" s="1"/>
  <c r="AK60" i="1"/>
  <c r="AK61" i="1" s="1"/>
  <c r="AO60" i="1"/>
  <c r="AO61" i="1" s="1"/>
  <c r="AX35" i="1"/>
  <c r="AW15" i="1"/>
  <c r="AY13" i="1"/>
  <c r="AY17" i="1"/>
  <c r="AY18" i="1"/>
  <c r="AY19" i="1"/>
  <c r="AY20" i="1"/>
  <c r="AY21" i="1"/>
  <c r="AY22" i="1"/>
  <c r="AY23" i="1"/>
  <c r="AY24" i="1"/>
  <c r="AY25" i="1"/>
  <c r="C29" i="1"/>
  <c r="AW26" i="1"/>
  <c r="AY26" i="1" s="1"/>
  <c r="D29" i="1"/>
  <c r="AX29" i="1" s="1"/>
  <c r="AX26" i="1"/>
  <c r="AY27" i="1"/>
  <c r="AY28" i="1"/>
  <c r="AY30" i="1"/>
  <c r="AY32" i="1"/>
  <c r="AY33" i="1"/>
  <c r="AY34" i="1"/>
  <c r="AY36" i="1"/>
  <c r="AY37" i="1"/>
  <c r="AY38" i="1"/>
  <c r="AY39" i="1"/>
  <c r="AY40" i="1"/>
  <c r="AY41" i="1"/>
  <c r="AY43" i="1"/>
  <c r="AY44" i="1"/>
  <c r="AY45" i="1"/>
  <c r="C47" i="1"/>
  <c r="AX47" i="1" s="1"/>
  <c r="AX46" i="1"/>
  <c r="AY48" i="1"/>
  <c r="AY49" i="1"/>
  <c r="AY50" i="1"/>
  <c r="AY51" i="1"/>
  <c r="AY52" i="1"/>
  <c r="AW53" i="1"/>
  <c r="AY53" i="1" s="1"/>
  <c r="AX53" i="1"/>
  <c r="C60" i="1"/>
  <c r="D60" i="1"/>
  <c r="AY55" i="1"/>
  <c r="AY56" i="1"/>
  <c r="AY57" i="1"/>
  <c r="AY58" i="1"/>
  <c r="I62" i="7" l="1"/>
  <c r="K62" i="7" s="1"/>
  <c r="J62" i="7"/>
  <c r="K62" i="6"/>
  <c r="J62" i="6"/>
  <c r="L62" i="6" s="1"/>
  <c r="C65" i="5"/>
  <c r="W62" i="5"/>
  <c r="V62" i="5"/>
  <c r="X62" i="5" s="1"/>
  <c r="I62" i="4"/>
  <c r="K62" i="4" s="1"/>
  <c r="I65" i="4"/>
  <c r="K65" i="4" s="1"/>
  <c r="AC62" i="3"/>
  <c r="AE62" i="3" s="1"/>
  <c r="AC65" i="3"/>
  <c r="AE65" i="3" s="1"/>
  <c r="K62" i="2"/>
  <c r="M62" i="2" s="1"/>
  <c r="C65" i="2"/>
  <c r="K65" i="2" s="1"/>
  <c r="M65" i="2" s="1"/>
  <c r="AK65" i="1"/>
  <c r="Y65" i="1"/>
  <c r="AN65" i="1"/>
  <c r="AO65" i="1"/>
  <c r="U65" i="1"/>
  <c r="AI65" i="1"/>
  <c r="AE65" i="1"/>
  <c r="K65" i="1"/>
  <c r="AX64" i="1"/>
  <c r="AW64" i="1"/>
  <c r="AY64" i="1" s="1"/>
  <c r="E65" i="1"/>
  <c r="AX63" i="1"/>
  <c r="AW63" i="1"/>
  <c r="AY63" i="1" s="1"/>
  <c r="AJ65" i="1"/>
  <c r="T65" i="1"/>
  <c r="AT65" i="1"/>
  <c r="AF65" i="1"/>
  <c r="P65" i="1"/>
  <c r="AH65" i="1"/>
  <c r="R65" i="1"/>
  <c r="O65" i="1"/>
  <c r="AU65" i="1"/>
  <c r="AQ65" i="1"/>
  <c r="AR65" i="1"/>
  <c r="AB65" i="1"/>
  <c r="L65" i="1"/>
  <c r="AW59" i="1"/>
  <c r="AY59" i="1" s="1"/>
  <c r="AD60" i="1"/>
  <c r="AD61" i="1" s="1"/>
  <c r="AD65" i="1" s="1"/>
  <c r="N60" i="1"/>
  <c r="N61" i="1" s="1"/>
  <c r="N65" i="1" s="1"/>
  <c r="AS60" i="1"/>
  <c r="AS61" i="1" s="1"/>
  <c r="AS65" i="1" s="1"/>
  <c r="AP60" i="1"/>
  <c r="AP61" i="1" s="1"/>
  <c r="AP65" i="1" s="1"/>
  <c r="Z60" i="1"/>
  <c r="Z61" i="1" s="1"/>
  <c r="Z65" i="1" s="1"/>
  <c r="J60" i="1"/>
  <c r="J61" i="1" s="1"/>
  <c r="J65" i="1" s="1"/>
  <c r="M60" i="1"/>
  <c r="M61" i="1" s="1"/>
  <c r="M65" i="1" s="1"/>
  <c r="S60" i="1"/>
  <c r="S61" i="1" s="1"/>
  <c r="S65" i="1" s="1"/>
  <c r="AL60" i="1"/>
  <c r="AL61" i="1" s="1"/>
  <c r="AL65" i="1" s="1"/>
  <c r="V60" i="1"/>
  <c r="V61" i="1" s="1"/>
  <c r="V65" i="1" s="1"/>
  <c r="F60" i="1"/>
  <c r="F61" i="1" s="1"/>
  <c r="F65" i="1" s="1"/>
  <c r="AC60" i="1"/>
  <c r="AC61" i="1" s="1"/>
  <c r="AC65" i="1" s="1"/>
  <c r="H60" i="1"/>
  <c r="H61" i="1" s="1"/>
  <c r="H65" i="1" s="1"/>
  <c r="AX54" i="1"/>
  <c r="AW54" i="1"/>
  <c r="AY54" i="1" s="1"/>
  <c r="D61" i="1"/>
  <c r="C61" i="1"/>
  <c r="AY46" i="1"/>
  <c r="AW47" i="1"/>
  <c r="AY47" i="1" s="1"/>
  <c r="AW29" i="1"/>
  <c r="AY29" i="1" s="1"/>
  <c r="J65" i="7" l="1"/>
  <c r="I65" i="7"/>
  <c r="K65" i="7" s="1"/>
  <c r="K65" i="6"/>
  <c r="J65" i="6"/>
  <c r="L65" i="6" s="1"/>
  <c r="W65" i="5"/>
  <c r="V65" i="5"/>
  <c r="X65" i="5" s="1"/>
  <c r="AW60" i="1"/>
  <c r="AY60" i="1" s="1"/>
  <c r="AX60" i="1"/>
  <c r="AW61" i="1"/>
  <c r="AY61" i="1" s="1"/>
  <c r="AX61" i="1"/>
  <c r="D65" i="1" l="1"/>
  <c r="AX65" i="1" s="1"/>
  <c r="AX62" i="1"/>
  <c r="C65" i="1"/>
  <c r="AW62" i="1"/>
  <c r="AY62" i="1" s="1"/>
  <c r="AW65" i="1" l="1"/>
  <c r="AY65" i="1" s="1"/>
</calcChain>
</file>

<file path=xl/sharedStrings.xml><?xml version="1.0" encoding="utf-8"?>
<sst xmlns="http://schemas.openxmlformats.org/spreadsheetml/2006/main" count="1332" uniqueCount="248">
  <si>
    <t>車番</t>
  </si>
  <si>
    <t>100</t>
  </si>
  <si>
    <t>1104</t>
  </si>
  <si>
    <t>1703</t>
  </si>
  <si>
    <t>3427</t>
  </si>
  <si>
    <t>3219</t>
  </si>
  <si>
    <t>3247</t>
  </si>
  <si>
    <t>3320</t>
  </si>
  <si>
    <t>2363</t>
  </si>
  <si>
    <t>1447</t>
  </si>
  <si>
    <t>1170</t>
  </si>
  <si>
    <t>00154</t>
  </si>
  <si>
    <t>01693</t>
  </si>
  <si>
    <t>11360</t>
  </si>
  <si>
    <t>19</t>
  </si>
  <si>
    <t>643</t>
  </si>
  <si>
    <t>A3640</t>
  </si>
  <si>
    <t>A700</t>
  </si>
  <si>
    <t>18</t>
  </si>
  <si>
    <t>A1116</t>
  </si>
  <si>
    <t>A1589</t>
  </si>
  <si>
    <t>A299</t>
  </si>
  <si>
    <t>530</t>
  </si>
  <si>
    <t>885</t>
  </si>
  <si>
    <t>88888</t>
  </si>
  <si>
    <t>99999</t>
  </si>
  <si>
    <t>5486</t>
  </si>
  <si>
    <t>C895</t>
  </si>
  <si>
    <t>6340</t>
  </si>
  <si>
    <t>A1246</t>
  </si>
  <si>
    <t>4055</t>
  </si>
  <si>
    <t>560</t>
  </si>
  <si>
    <t>827</t>
  </si>
  <si>
    <t>2919</t>
  </si>
  <si>
    <t>3148</t>
  </si>
  <si>
    <t>3677</t>
  </si>
  <si>
    <t>77777</t>
  </si>
  <si>
    <t>2602</t>
  </si>
  <si>
    <t>2637</t>
  </si>
  <si>
    <t>2648</t>
  </si>
  <si>
    <t>2763</t>
  </si>
  <si>
    <t>合計</t>
  </si>
  <si>
    <t>平均</t>
  </si>
  <si>
    <t>対売上比率</t>
  </si>
  <si>
    <t>部門コード</t>
  </si>
  <si>
    <t>部門名</t>
  </si>
  <si>
    <t>東京営業所</t>
  </si>
  <si>
    <t>小名浜営業所</t>
  </si>
  <si>
    <t>仙台営業所</t>
  </si>
  <si>
    <t>川崎営業所</t>
  </si>
  <si>
    <t>九州営業所</t>
  </si>
  <si>
    <t>ドライバー名</t>
  </si>
  <si>
    <t>年式</t>
  </si>
  <si>
    <t>タイヤ本数</t>
  </si>
  <si>
    <t>車種名</t>
  </si>
  <si>
    <t>ａ　吉田化学</t>
    <phoneticPr fontId="3"/>
  </si>
  <si>
    <t>Ｍ　メタノール</t>
    <phoneticPr fontId="3"/>
  </si>
  <si>
    <t>Ａプロセス</t>
    <phoneticPr fontId="3"/>
  </si>
  <si>
    <t>Ｆ　A重油</t>
    <phoneticPr fontId="3"/>
  </si>
  <si>
    <t>Ｎ　苛性</t>
    <phoneticPr fontId="3"/>
  </si>
  <si>
    <t>Ｏ　塩酸</t>
    <phoneticPr fontId="3"/>
  </si>
  <si>
    <t>Ｓ　硫酸ﾊﾞﾝﾄﾞ</t>
    <phoneticPr fontId="3"/>
  </si>
  <si>
    <t>その他</t>
    <phoneticPr fontId="3"/>
  </si>
  <si>
    <t>その他</t>
  </si>
  <si>
    <t>トレーラー</t>
    <phoneticPr fontId="3"/>
  </si>
  <si>
    <t>走行Ｋｍ</t>
  </si>
  <si>
    <t>輸送収入</t>
  </si>
  <si>
    <t>km単価</t>
  </si>
  <si>
    <t>車両費</t>
  </si>
  <si>
    <t>減価償却費</t>
  </si>
  <si>
    <t>割賦支払利息</t>
  </si>
  <si>
    <t>自動車税</t>
  </si>
  <si>
    <t>自動車取得税</t>
  </si>
  <si>
    <t>自動車重量税</t>
  </si>
  <si>
    <t>車検</t>
  </si>
  <si>
    <t>車両費計</t>
  </si>
  <si>
    <t>修繕費</t>
  </si>
  <si>
    <t>一般修理費</t>
  </si>
  <si>
    <t>部品費</t>
  </si>
  <si>
    <t>タイヤ・チューブ費</t>
  </si>
  <si>
    <t>事故（自車）</t>
  </si>
  <si>
    <t>事故（相手）</t>
  </si>
  <si>
    <t>修繕費計</t>
  </si>
  <si>
    <t>燃料費</t>
  </si>
  <si>
    <t>使用リットル</t>
  </si>
  <si>
    <t>ｋｍ／ｌ</t>
  </si>
  <si>
    <t>軽油費</t>
  </si>
  <si>
    <t>油脂費</t>
  </si>
  <si>
    <t>その他燃料費</t>
  </si>
  <si>
    <t>燃料費計</t>
  </si>
  <si>
    <t>保険料</t>
  </si>
  <si>
    <t>自賠責保険</t>
  </si>
  <si>
    <t>車両保険</t>
  </si>
  <si>
    <t>対人保険</t>
  </si>
  <si>
    <t>対物保険</t>
  </si>
  <si>
    <t xml:space="preserve">その他保険          </t>
    <phoneticPr fontId="3"/>
  </si>
  <si>
    <t>任意保険合計</t>
  </si>
  <si>
    <t>保険料計</t>
  </si>
  <si>
    <t>高速代</t>
  </si>
  <si>
    <t>プレート代</t>
  </si>
  <si>
    <t>有料代</t>
  </si>
  <si>
    <t>フェリー代他</t>
  </si>
  <si>
    <t>還付金</t>
  </si>
  <si>
    <t>高速代計</t>
  </si>
  <si>
    <t>人件費</t>
  </si>
  <si>
    <t>給与</t>
  </si>
  <si>
    <t>賞与</t>
  </si>
  <si>
    <t>無事故</t>
  </si>
  <si>
    <t>法定福利</t>
  </si>
  <si>
    <t>退職金</t>
  </si>
  <si>
    <t>人件費計</t>
  </si>
  <si>
    <t>諸経費</t>
  </si>
  <si>
    <t>地代・家賃</t>
  </si>
  <si>
    <t>携帯通信費</t>
  </si>
  <si>
    <t>外注費</t>
  </si>
  <si>
    <t>事故費</t>
  </si>
  <si>
    <t>営業所人件費</t>
  </si>
  <si>
    <t>営業所管理費</t>
  </si>
  <si>
    <t>諸経費計</t>
  </si>
  <si>
    <t>輸送原価計</t>
  </si>
  <si>
    <t>営業所損益</t>
    <phoneticPr fontId="3"/>
  </si>
  <si>
    <t>本社人件費</t>
    <phoneticPr fontId="3"/>
  </si>
  <si>
    <t>本社管理費</t>
    <phoneticPr fontId="3"/>
  </si>
  <si>
    <t>損益</t>
    <phoneticPr fontId="3"/>
  </si>
  <si>
    <t>本社</t>
  </si>
  <si>
    <t>地代・家賃1</t>
  </si>
  <si>
    <t>営業所人件費1</t>
  </si>
  <si>
    <t>営業所管理費1</t>
  </si>
  <si>
    <t>本社人件費</t>
  </si>
  <si>
    <t>本社管理費</t>
  </si>
  <si>
    <t>金額</t>
  </si>
  <si>
    <t>台数</t>
  </si>
  <si>
    <t>地代・家賃2</t>
    <phoneticPr fontId="3"/>
  </si>
  <si>
    <t>営業所人件費2</t>
    <phoneticPr fontId="3"/>
  </si>
  <si>
    <t>営業所管理費2</t>
    <phoneticPr fontId="3"/>
  </si>
  <si>
    <t>古殿営業所</t>
  </si>
  <si>
    <t>地代・家賃3</t>
    <phoneticPr fontId="3"/>
  </si>
  <si>
    <t>営業所人件費3</t>
    <phoneticPr fontId="3"/>
  </si>
  <si>
    <t>営業所管理費3</t>
    <phoneticPr fontId="3"/>
  </si>
  <si>
    <t>会津営業所</t>
  </si>
  <si>
    <t>地代・家賃4</t>
    <phoneticPr fontId="3"/>
  </si>
  <si>
    <t>営業所人件費4</t>
    <phoneticPr fontId="3"/>
  </si>
  <si>
    <t>営業所管理費4</t>
    <phoneticPr fontId="3"/>
  </si>
  <si>
    <t>原町営業所</t>
  </si>
  <si>
    <t>地代・家賃5</t>
    <phoneticPr fontId="3"/>
  </si>
  <si>
    <t>営業所人件費5</t>
    <phoneticPr fontId="3"/>
  </si>
  <si>
    <t>営業所管理費5</t>
    <phoneticPr fontId="3"/>
  </si>
  <si>
    <t>地代・家賃6</t>
    <phoneticPr fontId="3"/>
  </si>
  <si>
    <t>営業所人件費6</t>
    <phoneticPr fontId="3"/>
  </si>
  <si>
    <t>営業所管理費6</t>
    <phoneticPr fontId="3"/>
  </si>
  <si>
    <t>地代・家賃7</t>
    <phoneticPr fontId="3"/>
  </si>
  <si>
    <t>営業所人件費7</t>
    <phoneticPr fontId="3"/>
  </si>
  <si>
    <t>営業所管理費7</t>
    <phoneticPr fontId="3"/>
  </si>
  <si>
    <t>地代・家賃8</t>
    <phoneticPr fontId="3"/>
  </si>
  <si>
    <t>営業所人件費8</t>
    <phoneticPr fontId="3"/>
  </si>
  <si>
    <t>営業所管理費8</t>
    <phoneticPr fontId="3"/>
  </si>
  <si>
    <t>還付金％</t>
  </si>
  <si>
    <t>米山</t>
    <rPh sb="0" eb="2">
      <t>ヨネヤマ</t>
    </rPh>
    <phoneticPr fontId="3"/>
  </si>
  <si>
    <t>本間</t>
    <rPh sb="0" eb="2">
      <t>ホンマ</t>
    </rPh>
    <phoneticPr fontId="3"/>
  </si>
  <si>
    <t>土屋</t>
    <rPh sb="0" eb="2">
      <t>ツチヤ</t>
    </rPh>
    <phoneticPr fontId="3"/>
  </si>
  <si>
    <t>金子</t>
    <rPh sb="0" eb="2">
      <t>カネコ</t>
    </rPh>
    <phoneticPr fontId="3"/>
  </si>
  <si>
    <t>銅谷</t>
    <rPh sb="0" eb="1">
      <t>ドウ</t>
    </rPh>
    <rPh sb="1" eb="2">
      <t>タニ</t>
    </rPh>
    <phoneticPr fontId="3"/>
  </si>
  <si>
    <t>宮腰</t>
    <rPh sb="0" eb="2">
      <t>ミヤコシ</t>
    </rPh>
    <phoneticPr fontId="3"/>
  </si>
  <si>
    <t>雲藤他2名</t>
    <rPh sb="0" eb="2">
      <t>ウンドウ</t>
    </rPh>
    <rPh sb="2" eb="3">
      <t>タ</t>
    </rPh>
    <rPh sb="4" eb="5">
      <t>メイ</t>
    </rPh>
    <phoneticPr fontId="3"/>
  </si>
  <si>
    <t>齋藤(健)他2名</t>
    <rPh sb="0" eb="2">
      <t>サイトウ</t>
    </rPh>
    <rPh sb="3" eb="4">
      <t>ケン</t>
    </rPh>
    <rPh sb="5" eb="6">
      <t>タ</t>
    </rPh>
    <rPh sb="7" eb="8">
      <t>メイ</t>
    </rPh>
    <phoneticPr fontId="3"/>
  </si>
  <si>
    <t>井上他2名</t>
    <rPh sb="0" eb="2">
      <t>イノウエ</t>
    </rPh>
    <rPh sb="2" eb="3">
      <t>タ</t>
    </rPh>
    <rPh sb="4" eb="5">
      <t>メイ</t>
    </rPh>
    <phoneticPr fontId="3"/>
  </si>
  <si>
    <t>高橋(英)他2名</t>
    <rPh sb="0" eb="2">
      <t>タカハシ</t>
    </rPh>
    <rPh sb="3" eb="4">
      <t>エイ</t>
    </rPh>
    <rPh sb="5" eb="6">
      <t>タ</t>
    </rPh>
    <rPh sb="7" eb="8">
      <t>メイ</t>
    </rPh>
    <phoneticPr fontId="3"/>
  </si>
  <si>
    <t>高橋(徹)・井上</t>
    <rPh sb="0" eb="2">
      <t>タカハシ</t>
    </rPh>
    <rPh sb="3" eb="4">
      <t>テツ</t>
    </rPh>
    <rPh sb="6" eb="8">
      <t>イノウエ</t>
    </rPh>
    <phoneticPr fontId="3"/>
  </si>
  <si>
    <t>荒木他2名</t>
    <rPh sb="0" eb="2">
      <t>アラキ</t>
    </rPh>
    <rPh sb="2" eb="3">
      <t>タ</t>
    </rPh>
    <rPh sb="4" eb="5">
      <t>メイ</t>
    </rPh>
    <phoneticPr fontId="3"/>
  </si>
  <si>
    <t>味戸他3名</t>
    <rPh sb="0" eb="1">
      <t>アジ</t>
    </rPh>
    <rPh sb="1" eb="2">
      <t>ト</t>
    </rPh>
    <rPh sb="2" eb="3">
      <t>タ</t>
    </rPh>
    <rPh sb="4" eb="5">
      <t>メイ</t>
    </rPh>
    <phoneticPr fontId="3"/>
  </si>
  <si>
    <t>384-4247</t>
    <phoneticPr fontId="3"/>
  </si>
  <si>
    <t>菊地・齋藤(秀)</t>
    <rPh sb="0" eb="2">
      <t>キクチ</t>
    </rPh>
    <rPh sb="3" eb="5">
      <t>サイトウ</t>
    </rPh>
    <rPh sb="6" eb="7">
      <t>ヒデ</t>
    </rPh>
    <phoneticPr fontId="3"/>
  </si>
  <si>
    <t>吉田他2名</t>
    <rPh sb="0" eb="2">
      <t>ヨシダ</t>
    </rPh>
    <rPh sb="2" eb="3">
      <t>タ</t>
    </rPh>
    <rPh sb="4" eb="5">
      <t>メイ</t>
    </rPh>
    <phoneticPr fontId="3"/>
  </si>
  <si>
    <t>小林</t>
    <rPh sb="0" eb="2">
      <t>コバヤシ</t>
    </rPh>
    <phoneticPr fontId="3"/>
  </si>
  <si>
    <t>山口・吉田</t>
    <rPh sb="0" eb="2">
      <t>ヤマグチ</t>
    </rPh>
    <rPh sb="3" eb="5">
      <t>ヨシダ</t>
    </rPh>
    <phoneticPr fontId="3"/>
  </si>
  <si>
    <t>小田島・佐藤(守)</t>
    <rPh sb="0" eb="3">
      <t>オダジマ</t>
    </rPh>
    <rPh sb="4" eb="6">
      <t>サトウ</t>
    </rPh>
    <rPh sb="7" eb="8">
      <t>マモル</t>
    </rPh>
    <phoneticPr fontId="3"/>
  </si>
  <si>
    <t>鈴木(富)・齋藤(秀)</t>
    <rPh sb="0" eb="2">
      <t>スズキ</t>
    </rPh>
    <rPh sb="3" eb="4">
      <t>トミ</t>
    </rPh>
    <rPh sb="6" eb="8">
      <t>サイトウ</t>
    </rPh>
    <rPh sb="9" eb="10">
      <t>ヒデ</t>
    </rPh>
    <phoneticPr fontId="3"/>
  </si>
  <si>
    <t>大平他2名</t>
    <rPh sb="0" eb="2">
      <t>オオヒラ</t>
    </rPh>
    <rPh sb="2" eb="3">
      <t>タ</t>
    </rPh>
    <rPh sb="4" eb="5">
      <t>メイ</t>
    </rPh>
    <phoneticPr fontId="3"/>
  </si>
  <si>
    <t>鵜沼他4名</t>
    <rPh sb="0" eb="2">
      <t>ウヌマ</t>
    </rPh>
    <rPh sb="2" eb="3">
      <t>タ</t>
    </rPh>
    <rPh sb="4" eb="5">
      <t>メイ</t>
    </rPh>
    <phoneticPr fontId="3"/>
  </si>
  <si>
    <t>鈴木(浩)他3名</t>
    <rPh sb="0" eb="2">
      <t>スズキ</t>
    </rPh>
    <rPh sb="3" eb="4">
      <t>ヒロシ</t>
    </rPh>
    <rPh sb="5" eb="6">
      <t>タ</t>
    </rPh>
    <rPh sb="7" eb="8">
      <t>メイ</t>
    </rPh>
    <phoneticPr fontId="3"/>
  </si>
  <si>
    <t>渡邉(進)他4名</t>
    <rPh sb="0" eb="2">
      <t>ワタナベ</t>
    </rPh>
    <rPh sb="3" eb="4">
      <t>シン</t>
    </rPh>
    <rPh sb="5" eb="6">
      <t>タ</t>
    </rPh>
    <rPh sb="7" eb="8">
      <t>メイ</t>
    </rPh>
    <phoneticPr fontId="3"/>
  </si>
  <si>
    <t>渡邊(浩)他4名</t>
    <rPh sb="0" eb="2">
      <t>ワタナベ</t>
    </rPh>
    <rPh sb="3" eb="4">
      <t>ヒロシ</t>
    </rPh>
    <rPh sb="5" eb="6">
      <t>タ</t>
    </rPh>
    <rPh sb="7" eb="8">
      <t>メイ</t>
    </rPh>
    <phoneticPr fontId="3"/>
  </si>
  <si>
    <t>齋藤(秀)他2名</t>
    <rPh sb="0" eb="2">
      <t>サイトウ</t>
    </rPh>
    <rPh sb="3" eb="4">
      <t>ヒデ</t>
    </rPh>
    <rPh sb="5" eb="6">
      <t>タ</t>
    </rPh>
    <rPh sb="7" eb="8">
      <t>メイ</t>
    </rPh>
    <phoneticPr fontId="3"/>
  </si>
  <si>
    <t>土谷他5名</t>
    <rPh sb="0" eb="2">
      <t>ツチヤ</t>
    </rPh>
    <rPh sb="2" eb="3">
      <t>タ</t>
    </rPh>
    <rPh sb="4" eb="5">
      <t>メイ</t>
    </rPh>
    <phoneticPr fontId="3"/>
  </si>
  <si>
    <t>小田島他4名</t>
    <rPh sb="0" eb="3">
      <t>オダジマ</t>
    </rPh>
    <rPh sb="3" eb="4">
      <t>タ</t>
    </rPh>
    <rPh sb="5" eb="6">
      <t>メイ</t>
    </rPh>
    <phoneticPr fontId="3"/>
  </si>
  <si>
    <t>雲藤・小沼</t>
    <rPh sb="0" eb="2">
      <t>ウンドウ</t>
    </rPh>
    <rPh sb="3" eb="5">
      <t>コヌマ</t>
    </rPh>
    <phoneticPr fontId="3"/>
  </si>
  <si>
    <t>高橋(徹)他5名</t>
    <rPh sb="0" eb="2">
      <t>タカハシ</t>
    </rPh>
    <rPh sb="3" eb="4">
      <t>テツ</t>
    </rPh>
    <rPh sb="5" eb="6">
      <t>タ</t>
    </rPh>
    <rPh sb="7" eb="8">
      <t>メイ</t>
    </rPh>
    <phoneticPr fontId="3"/>
  </si>
  <si>
    <t>1137-7394</t>
    <phoneticPr fontId="3"/>
  </si>
  <si>
    <t>1825-6070</t>
    <phoneticPr fontId="3"/>
  </si>
  <si>
    <t>1862-5846</t>
    <phoneticPr fontId="3"/>
  </si>
  <si>
    <t>伊藤(正)・吉田</t>
    <rPh sb="0" eb="2">
      <t>イトウ</t>
    </rPh>
    <rPh sb="3" eb="4">
      <t>マサ</t>
    </rPh>
    <rPh sb="6" eb="8">
      <t>ヨシダ</t>
    </rPh>
    <phoneticPr fontId="3"/>
  </si>
  <si>
    <t>伊藤(憲)他3名</t>
    <rPh sb="0" eb="2">
      <t>イトウ</t>
    </rPh>
    <rPh sb="3" eb="4">
      <t>ノリ</t>
    </rPh>
    <rPh sb="5" eb="6">
      <t>タ</t>
    </rPh>
    <rPh sb="7" eb="8">
      <t>メイ</t>
    </rPh>
    <phoneticPr fontId="3"/>
  </si>
  <si>
    <t>菅原・伊藤(憲)</t>
    <rPh sb="0" eb="2">
      <t>スガワラ</t>
    </rPh>
    <rPh sb="3" eb="5">
      <t>イトウ</t>
    </rPh>
    <rPh sb="6" eb="7">
      <t>ノリ</t>
    </rPh>
    <phoneticPr fontId="3"/>
  </si>
  <si>
    <t>282-2223</t>
    <phoneticPr fontId="3"/>
  </si>
  <si>
    <t>4108-845</t>
    <phoneticPr fontId="3"/>
  </si>
  <si>
    <t>河村</t>
    <rPh sb="0" eb="2">
      <t>カワムラ</t>
    </rPh>
    <phoneticPr fontId="3"/>
  </si>
  <si>
    <t>河村他2名</t>
    <rPh sb="0" eb="2">
      <t>カワムラ</t>
    </rPh>
    <rPh sb="2" eb="3">
      <t>タ</t>
    </rPh>
    <rPh sb="4" eb="5">
      <t>メイ</t>
    </rPh>
    <phoneticPr fontId="3"/>
  </si>
  <si>
    <t>松井他3名</t>
    <rPh sb="0" eb="2">
      <t>マツイ</t>
    </rPh>
    <rPh sb="2" eb="3">
      <t>タ</t>
    </rPh>
    <rPh sb="4" eb="5">
      <t>メイ</t>
    </rPh>
    <phoneticPr fontId="3"/>
  </si>
  <si>
    <t>河村他2名</t>
    <rPh sb="0" eb="3">
      <t>カワムラタ</t>
    </rPh>
    <rPh sb="4" eb="5">
      <t>メイ</t>
    </rPh>
    <phoneticPr fontId="3"/>
  </si>
  <si>
    <t>櫻木他3名</t>
    <rPh sb="0" eb="3">
      <t>サクラギタ</t>
    </rPh>
    <rPh sb="4" eb="5">
      <t>メイ</t>
    </rPh>
    <phoneticPr fontId="3"/>
  </si>
  <si>
    <t>米澤他2名</t>
    <rPh sb="0" eb="3">
      <t>ヨネザワタ</t>
    </rPh>
    <rPh sb="4" eb="5">
      <t>メイ</t>
    </rPh>
    <phoneticPr fontId="3"/>
  </si>
  <si>
    <t>平成24年8月</t>
    <rPh sb="0" eb="2">
      <t>ヘイセイ</t>
    </rPh>
    <rPh sb="4" eb="5">
      <t>ネン</t>
    </rPh>
    <rPh sb="6" eb="7">
      <t>ガツ</t>
    </rPh>
    <phoneticPr fontId="3"/>
  </si>
  <si>
    <t>平成24年11月</t>
    <rPh sb="0" eb="2">
      <t>ヘイセイ</t>
    </rPh>
    <rPh sb="4" eb="5">
      <t>ネン</t>
    </rPh>
    <rPh sb="7" eb="8">
      <t>ガツ</t>
    </rPh>
    <phoneticPr fontId="3"/>
  </si>
  <si>
    <t>令和元年7月</t>
    <rPh sb="0" eb="2">
      <t>レイワ</t>
    </rPh>
    <rPh sb="2" eb="3">
      <t>ゲン</t>
    </rPh>
    <rPh sb="5" eb="6">
      <t>ガツ</t>
    </rPh>
    <phoneticPr fontId="3"/>
  </si>
  <si>
    <t>平成28年8月</t>
    <rPh sb="0" eb="2">
      <t>ヘイセイ</t>
    </rPh>
    <rPh sb="4" eb="5">
      <t>ネン</t>
    </rPh>
    <rPh sb="6" eb="7">
      <t>ガツ</t>
    </rPh>
    <phoneticPr fontId="3"/>
  </si>
  <si>
    <t>平成25年1月</t>
    <rPh sb="0" eb="2">
      <t>ヘイセイ</t>
    </rPh>
    <rPh sb="4" eb="5">
      <t>ネン</t>
    </rPh>
    <rPh sb="6" eb="7">
      <t>ガツ</t>
    </rPh>
    <phoneticPr fontId="3"/>
  </si>
  <si>
    <t>平成30年8月</t>
    <rPh sb="0" eb="2">
      <t>ヘイセイ</t>
    </rPh>
    <rPh sb="4" eb="5">
      <t>ネン</t>
    </rPh>
    <rPh sb="6" eb="7">
      <t>ガツ</t>
    </rPh>
    <phoneticPr fontId="3"/>
  </si>
  <si>
    <t>令和4年4月</t>
    <rPh sb="0" eb="2">
      <t>レイワ</t>
    </rPh>
    <rPh sb="3" eb="4">
      <t>ネン</t>
    </rPh>
    <rPh sb="5" eb="6">
      <t>ガツ</t>
    </rPh>
    <phoneticPr fontId="3"/>
  </si>
  <si>
    <t>平成18年3月</t>
    <rPh sb="0" eb="2">
      <t>ヘイセイ</t>
    </rPh>
    <rPh sb="4" eb="5">
      <t>ネン</t>
    </rPh>
    <rPh sb="6" eb="7">
      <t>ガツ</t>
    </rPh>
    <phoneticPr fontId="3"/>
  </si>
  <si>
    <t>平成20年2月</t>
    <rPh sb="0" eb="2">
      <t>ヘイセイ</t>
    </rPh>
    <rPh sb="4" eb="5">
      <t>ネン</t>
    </rPh>
    <rPh sb="6" eb="7">
      <t>ガツ</t>
    </rPh>
    <phoneticPr fontId="3"/>
  </si>
  <si>
    <t>平成14年11月</t>
    <rPh sb="0" eb="2">
      <t>ヘイセイ</t>
    </rPh>
    <rPh sb="4" eb="5">
      <t>ネン</t>
    </rPh>
    <rPh sb="7" eb="8">
      <t>ガツ</t>
    </rPh>
    <phoneticPr fontId="3"/>
  </si>
  <si>
    <t>平成22年8月</t>
    <rPh sb="0" eb="2">
      <t>ヘイセイ</t>
    </rPh>
    <rPh sb="4" eb="5">
      <t>ネン</t>
    </rPh>
    <rPh sb="6" eb="7">
      <t>ガツ</t>
    </rPh>
    <phoneticPr fontId="3"/>
  </si>
  <si>
    <t>平成31年10月</t>
    <rPh sb="0" eb="2">
      <t>ヘイセイ</t>
    </rPh>
    <rPh sb="4" eb="5">
      <t>ネン</t>
    </rPh>
    <rPh sb="7" eb="8">
      <t>ガツ</t>
    </rPh>
    <phoneticPr fontId="3"/>
  </si>
  <si>
    <t>平成13年6月</t>
    <rPh sb="0" eb="2">
      <t>ヘイセイ</t>
    </rPh>
    <rPh sb="4" eb="5">
      <t>ネン</t>
    </rPh>
    <rPh sb="6" eb="7">
      <t>ガツ</t>
    </rPh>
    <phoneticPr fontId="3"/>
  </si>
  <si>
    <t>平成20年6月</t>
    <rPh sb="0" eb="2">
      <t>ヘイセイ</t>
    </rPh>
    <rPh sb="4" eb="5">
      <t>ネン</t>
    </rPh>
    <rPh sb="6" eb="7">
      <t>ガツ</t>
    </rPh>
    <phoneticPr fontId="3"/>
  </si>
  <si>
    <t>平成28年9月</t>
    <rPh sb="0" eb="2">
      <t>ヘイセイ</t>
    </rPh>
    <rPh sb="4" eb="5">
      <t>ネン</t>
    </rPh>
    <rPh sb="6" eb="7">
      <t>ガツ</t>
    </rPh>
    <phoneticPr fontId="3"/>
  </si>
  <si>
    <t>平成30年6月</t>
    <rPh sb="0" eb="2">
      <t>ヘイセイ</t>
    </rPh>
    <rPh sb="4" eb="5">
      <t>ネン</t>
    </rPh>
    <rPh sb="6" eb="7">
      <t>ガツ</t>
    </rPh>
    <phoneticPr fontId="3"/>
  </si>
  <si>
    <t>平成25年6月</t>
    <rPh sb="0" eb="2">
      <t>ヘイセイ</t>
    </rPh>
    <rPh sb="4" eb="5">
      <t>ネン</t>
    </rPh>
    <rPh sb="6" eb="7">
      <t>ガツ</t>
    </rPh>
    <phoneticPr fontId="3"/>
  </si>
  <si>
    <t>令和3年6月</t>
    <rPh sb="0" eb="2">
      <t>レイワ</t>
    </rPh>
    <rPh sb="3" eb="4">
      <t>ネン</t>
    </rPh>
    <rPh sb="5" eb="6">
      <t>ガツ</t>
    </rPh>
    <phoneticPr fontId="3"/>
  </si>
  <si>
    <t>平成30年10月</t>
    <rPh sb="0" eb="2">
      <t>ヘイセイ</t>
    </rPh>
    <rPh sb="4" eb="5">
      <t>ネン</t>
    </rPh>
    <rPh sb="7" eb="8">
      <t>ガツ</t>
    </rPh>
    <phoneticPr fontId="3"/>
  </si>
  <si>
    <t>令和元年5月</t>
    <rPh sb="0" eb="2">
      <t>レイワ</t>
    </rPh>
    <rPh sb="2" eb="3">
      <t>ゲン</t>
    </rPh>
    <rPh sb="5" eb="6">
      <t>ガツ</t>
    </rPh>
    <phoneticPr fontId="3"/>
  </si>
  <si>
    <t>平成31年3月</t>
    <rPh sb="0" eb="2">
      <t>ヘイセイ</t>
    </rPh>
    <rPh sb="4" eb="5">
      <t>ネン</t>
    </rPh>
    <rPh sb="6" eb="7">
      <t>ガツ</t>
    </rPh>
    <phoneticPr fontId="3"/>
  </si>
  <si>
    <t>平成24年7月</t>
    <rPh sb="0" eb="2">
      <t>ヘイセイ</t>
    </rPh>
    <rPh sb="4" eb="5">
      <t>ネン</t>
    </rPh>
    <rPh sb="6" eb="7">
      <t>ガツ</t>
    </rPh>
    <phoneticPr fontId="3"/>
  </si>
  <si>
    <t>平成30年3月</t>
    <rPh sb="0" eb="2">
      <t>ヘイセイ</t>
    </rPh>
    <rPh sb="4" eb="5">
      <t>ネン</t>
    </rPh>
    <rPh sb="6" eb="7">
      <t>ガツ</t>
    </rPh>
    <phoneticPr fontId="3"/>
  </si>
  <si>
    <t>平成29年9月</t>
    <rPh sb="0" eb="2">
      <t>ヘイセイ</t>
    </rPh>
    <rPh sb="4" eb="5">
      <t>ネン</t>
    </rPh>
    <rPh sb="6" eb="7">
      <t>ガツ</t>
    </rPh>
    <phoneticPr fontId="3"/>
  </si>
  <si>
    <t>令和5年8月</t>
    <rPh sb="0" eb="2">
      <t>レイワ</t>
    </rPh>
    <rPh sb="3" eb="4">
      <t>ネン</t>
    </rPh>
    <rPh sb="5" eb="6">
      <t>ガツ</t>
    </rPh>
    <phoneticPr fontId="3"/>
  </si>
  <si>
    <t>平成28年3月</t>
    <rPh sb="0" eb="2">
      <t>ヘイセイ</t>
    </rPh>
    <rPh sb="4" eb="5">
      <t>ネン</t>
    </rPh>
    <rPh sb="6" eb="7">
      <t>ガツ</t>
    </rPh>
    <phoneticPr fontId="3"/>
  </si>
  <si>
    <t>平成27年6月</t>
    <rPh sb="0" eb="2">
      <t>ヘイセイ</t>
    </rPh>
    <rPh sb="4" eb="5">
      <t>ネン</t>
    </rPh>
    <rPh sb="6" eb="7">
      <t>ガツ</t>
    </rPh>
    <phoneticPr fontId="3"/>
  </si>
  <si>
    <t>平成24年2月</t>
    <rPh sb="0" eb="2">
      <t>ヘイセイ</t>
    </rPh>
    <rPh sb="4" eb="5">
      <t>ネン</t>
    </rPh>
    <rPh sb="6" eb="7">
      <t>ガツ</t>
    </rPh>
    <phoneticPr fontId="3"/>
  </si>
  <si>
    <t>平成24年12月</t>
    <rPh sb="0" eb="2">
      <t>ヘイセイ</t>
    </rPh>
    <rPh sb="4" eb="5">
      <t>ネン</t>
    </rPh>
    <rPh sb="7" eb="8">
      <t>ガツ</t>
    </rPh>
    <phoneticPr fontId="3"/>
  </si>
  <si>
    <t>平成17年7月</t>
    <rPh sb="0" eb="2">
      <t>ヘイセイ</t>
    </rPh>
    <rPh sb="4" eb="5">
      <t>ネン</t>
    </rPh>
    <rPh sb="6" eb="7">
      <t>ガツ</t>
    </rPh>
    <phoneticPr fontId="3"/>
  </si>
  <si>
    <t>平成29年11月</t>
    <rPh sb="0" eb="2">
      <t>ヘイセイ</t>
    </rPh>
    <rPh sb="4" eb="5">
      <t>ネン</t>
    </rPh>
    <rPh sb="7" eb="8">
      <t>ガツ</t>
    </rPh>
    <phoneticPr fontId="3"/>
  </si>
  <si>
    <t>平成20年5月</t>
    <rPh sb="0" eb="2">
      <t>ヘイセイ</t>
    </rPh>
    <rPh sb="4" eb="5">
      <t>ネン</t>
    </rPh>
    <rPh sb="6" eb="7">
      <t>ガツ</t>
    </rPh>
    <phoneticPr fontId="3"/>
  </si>
  <si>
    <t>平成26年12月</t>
    <rPh sb="0" eb="2">
      <t>ヘイセイ</t>
    </rPh>
    <rPh sb="4" eb="5">
      <t>ネン</t>
    </rPh>
    <rPh sb="7" eb="8">
      <t>ガツ</t>
    </rPh>
    <phoneticPr fontId="3"/>
  </si>
  <si>
    <t>平成30年9月</t>
    <rPh sb="0" eb="2">
      <t>ヘイセイ</t>
    </rPh>
    <rPh sb="4" eb="5">
      <t>ネン</t>
    </rPh>
    <rPh sb="6" eb="7">
      <t>ガツ</t>
    </rPh>
    <phoneticPr fontId="3"/>
  </si>
  <si>
    <t>平成20年9月</t>
    <rPh sb="0" eb="2">
      <t>ヘイセイ</t>
    </rPh>
    <rPh sb="4" eb="5">
      <t>ネン</t>
    </rPh>
    <rPh sb="6" eb="7">
      <t>ガツ</t>
    </rPh>
    <phoneticPr fontId="3"/>
  </si>
  <si>
    <t>令和3年1月</t>
    <rPh sb="0" eb="2">
      <t>レイワ</t>
    </rPh>
    <rPh sb="3" eb="4">
      <t>ネン</t>
    </rPh>
    <rPh sb="5" eb="6">
      <t>ガツ</t>
    </rPh>
    <phoneticPr fontId="3"/>
  </si>
  <si>
    <t>令和3年9月</t>
    <rPh sb="0" eb="2">
      <t>レイワ</t>
    </rPh>
    <rPh sb="3" eb="4">
      <t>ネン</t>
    </rPh>
    <rPh sb="5" eb="6">
      <t>ガツ</t>
    </rPh>
    <phoneticPr fontId="3"/>
  </si>
  <si>
    <t>令和5年2月</t>
    <rPh sb="0" eb="2">
      <t>レイワ</t>
    </rPh>
    <rPh sb="3" eb="4">
      <t>ネン</t>
    </rPh>
    <rPh sb="5" eb="6">
      <t>ガツ</t>
    </rPh>
    <phoneticPr fontId="3"/>
  </si>
  <si>
    <t>稼働時間</t>
    <rPh sb="0" eb="2">
      <t>カドウ</t>
    </rPh>
    <rPh sb="2" eb="4">
      <t>ジカン</t>
    </rPh>
    <phoneticPr fontId="3"/>
  </si>
  <si>
    <t>保障額</t>
    <rPh sb="0" eb="2">
      <t>ホショウ</t>
    </rPh>
    <rPh sb="2" eb="3">
      <t>ガク</t>
    </rPh>
    <phoneticPr fontId="3"/>
  </si>
  <si>
    <t>時間単価</t>
    <rPh sb="0" eb="2">
      <t>ジカン</t>
    </rPh>
    <rPh sb="2" eb="4">
      <t>タンカ</t>
    </rPh>
    <phoneticPr fontId="3"/>
  </si>
  <si>
    <t>東京営業所</t>
    <phoneticPr fontId="3"/>
  </si>
  <si>
    <t>東北部門</t>
    <rPh sb="0" eb="4">
      <t>トウホクブモン</t>
    </rPh>
    <phoneticPr fontId="3"/>
  </si>
  <si>
    <t>小名浜営業所</t>
    <phoneticPr fontId="3"/>
  </si>
  <si>
    <t>仙台営業所</t>
    <phoneticPr fontId="3"/>
  </si>
  <si>
    <t>川崎営業所</t>
    <phoneticPr fontId="3"/>
  </si>
  <si>
    <t>九州営業所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</si>
</sst>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 ;[Red]\-#,##0\ "/>
    <numFmt numFmtId="177" formatCode="#,##0.00_ ;[Red]\-#,##0.00\ "/>
  </numFmts>
  <fonts count="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b/>
      <sz val="11"/>
      <name val="ＭＳ Ｐ明朝"/>
      <family val="1"/>
      <charset val="128"/>
    </font>
    <font>
      <sz val="14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55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9" fontId="2" fillId="2" borderId="1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9" fontId="2" fillId="0" borderId="1" xfId="0" applyNumberFormat="1" applyFont="1" applyBorder="1"/>
    <xf numFmtId="176" fontId="2" fillId="0" borderId="1" xfId="1" applyNumberFormat="1" applyFont="1" applyBorder="1"/>
    <xf numFmtId="176" fontId="2" fillId="0" borderId="2" xfId="1" applyNumberFormat="1" applyFont="1" applyBorder="1"/>
    <xf numFmtId="176" fontId="2" fillId="0" borderId="2" xfId="0" applyNumberFormat="1" applyFont="1" applyBorder="1"/>
    <xf numFmtId="0" fontId="4" fillId="3" borderId="1" xfId="0" applyFont="1" applyFill="1" applyBorder="1"/>
    <xf numFmtId="176" fontId="4" fillId="3" borderId="1" xfId="1" applyNumberFormat="1" applyFont="1" applyFill="1" applyBorder="1"/>
    <xf numFmtId="176" fontId="4" fillId="3" borderId="2" xfId="1" applyNumberFormat="1" applyFont="1" applyFill="1" applyBorder="1"/>
    <xf numFmtId="176" fontId="4" fillId="3" borderId="2" xfId="0" applyNumberFormat="1" applyFont="1" applyFill="1" applyBorder="1"/>
    <xf numFmtId="9" fontId="4" fillId="3" borderId="1" xfId="0" applyNumberFormat="1" applyFont="1" applyFill="1" applyBorder="1"/>
    <xf numFmtId="176" fontId="2" fillId="2" borderId="1" xfId="1" applyNumberFormat="1" applyFont="1" applyFill="1" applyBorder="1"/>
    <xf numFmtId="176" fontId="2" fillId="2" borderId="2" xfId="1" applyNumberFormat="1" applyFont="1" applyFill="1" applyBorder="1"/>
    <xf numFmtId="176" fontId="2" fillId="2" borderId="2" xfId="0" applyNumberFormat="1" applyFont="1" applyFill="1" applyBorder="1"/>
    <xf numFmtId="177" fontId="2" fillId="0" borderId="1" xfId="0" applyNumberFormat="1" applyFont="1" applyBorder="1"/>
    <xf numFmtId="177" fontId="2" fillId="0" borderId="1" xfId="1" applyNumberFormat="1" applyFont="1" applyBorder="1"/>
    <xf numFmtId="177" fontId="2" fillId="0" borderId="2" xfId="1" applyNumberFormat="1" applyFont="1" applyBorder="1"/>
    <xf numFmtId="177" fontId="2" fillId="0" borderId="2" xfId="0" applyNumberFormat="1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3" xfId="0" applyFont="1" applyBorder="1" applyAlignment="1">
      <alignment horizontal="center"/>
    </xf>
    <xf numFmtId="0" fontId="2" fillId="0" borderId="3" xfId="0" applyFont="1" applyBorder="1"/>
    <xf numFmtId="0" fontId="2" fillId="0" borderId="6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6" xfId="0" applyFont="1" applyBorder="1"/>
    <xf numFmtId="0" fontId="2" fillId="2" borderId="1" xfId="0" applyFont="1" applyFill="1" applyBorder="1" applyAlignment="1">
      <alignment horizontal="center" shrinkToFit="1"/>
    </xf>
    <xf numFmtId="0" fontId="2" fillId="2" borderId="2" xfId="0" applyFont="1" applyFill="1" applyBorder="1" applyAlignment="1">
      <alignment horizontal="center" shrinkToFit="1"/>
    </xf>
    <xf numFmtId="0" fontId="2" fillId="2" borderId="1" xfId="0" applyFont="1" applyFill="1" applyBorder="1" applyAlignment="1">
      <alignment shrinkToFit="1"/>
    </xf>
    <xf numFmtId="0" fontId="2" fillId="2" borderId="2" xfId="0" applyFont="1" applyFill="1" applyBorder="1" applyAlignment="1">
      <alignment shrinkToFit="1"/>
    </xf>
    <xf numFmtId="0" fontId="2" fillId="0" borderId="1" xfId="0" applyFont="1" applyBorder="1" applyAlignment="1">
      <alignment horizontal="center" shrinkToFit="1"/>
    </xf>
    <xf numFmtId="0" fontId="2" fillId="0" borderId="1" xfId="0" applyFont="1" applyBorder="1" applyAlignment="1">
      <alignment shrinkToFit="1"/>
    </xf>
    <xf numFmtId="0" fontId="2" fillId="0" borderId="2" xfId="0" applyFont="1" applyBorder="1" applyAlignment="1">
      <alignment shrinkToFit="1"/>
    </xf>
    <xf numFmtId="46" fontId="2" fillId="0" borderId="1" xfId="1" applyNumberFormat="1" applyFont="1" applyBorder="1"/>
    <xf numFmtId="46" fontId="2" fillId="0" borderId="2" xfId="1" applyNumberFormat="1" applyFont="1" applyBorder="1"/>
    <xf numFmtId="0" fontId="5" fillId="0" borderId="0" xfId="0" applyFo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55" fontId="2" fillId="0" borderId="0" xfId="0" applyNumberFormat="1" applyFont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2</xdr:row>
          <xdr:rowOff>28575</xdr:rowOff>
        </xdr:from>
        <xdr:to>
          <xdr:col>1</xdr:col>
          <xdr:colOff>485775</xdr:colOff>
          <xdr:row>6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2</xdr:row>
          <xdr:rowOff>28575</xdr:rowOff>
        </xdr:from>
        <xdr:to>
          <xdr:col>1</xdr:col>
          <xdr:colOff>485775</xdr:colOff>
          <xdr:row>6</xdr:row>
          <xdr:rowOff>9525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2</xdr:row>
          <xdr:rowOff>28575</xdr:rowOff>
        </xdr:from>
        <xdr:to>
          <xdr:col>1</xdr:col>
          <xdr:colOff>485775</xdr:colOff>
          <xdr:row>6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2</xdr:row>
          <xdr:rowOff>28575</xdr:rowOff>
        </xdr:from>
        <xdr:to>
          <xdr:col>1</xdr:col>
          <xdr:colOff>485775</xdr:colOff>
          <xdr:row>6</xdr:row>
          <xdr:rowOff>9525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2</xdr:row>
          <xdr:rowOff>28575</xdr:rowOff>
        </xdr:from>
        <xdr:to>
          <xdr:col>1</xdr:col>
          <xdr:colOff>485775</xdr:colOff>
          <xdr:row>6</xdr:row>
          <xdr:rowOff>9525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2</xdr:row>
          <xdr:rowOff>28575</xdr:rowOff>
        </xdr:from>
        <xdr:to>
          <xdr:col>1</xdr:col>
          <xdr:colOff>485775</xdr:colOff>
          <xdr:row>6</xdr:row>
          <xdr:rowOff>9525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2</xdr:row>
          <xdr:rowOff>28575</xdr:rowOff>
        </xdr:from>
        <xdr:to>
          <xdr:col>1</xdr:col>
          <xdr:colOff>485775</xdr:colOff>
          <xdr:row>6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FF666-FCC7-41F1-801B-C7CBFE658A41}">
  <sheetPr codeName="Sheet1"/>
  <dimension ref="A1:AY107"/>
  <sheetViews>
    <sheetView tabSelected="1" topLeftCell="A3" workbookViewId="0">
      <selection activeCell="D62" sqref="D62:AV62"/>
    </sheetView>
  </sheetViews>
  <sheetFormatPr defaultRowHeight="13.5" x14ac:dyDescent="0.15"/>
  <cols>
    <col min="1" max="1" width="2.875" style="1" bestFit="1" customWidth="1"/>
    <col min="2" max="2" width="17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9" width="12.5" style="1" bestFit="1" customWidth="1"/>
    <col min="10" max="10" width="11" style="1" bestFit="1" customWidth="1"/>
    <col min="11" max="29" width="13" style="1" bestFit="1" customWidth="1"/>
    <col min="30" max="33" width="11" style="1" bestFit="1" customWidth="1"/>
    <col min="34" max="36" width="12.25" style="1" bestFit="1" customWidth="1"/>
    <col min="37" max="48" width="11" style="1" bestFit="1" customWidth="1"/>
    <col min="49" max="49" width="13.25" style="1" bestFit="1" customWidth="1"/>
    <col min="50" max="50" width="10" style="1" bestFit="1" customWidth="1"/>
    <col min="51" max="51" width="11" style="1" bestFit="1" customWidth="1"/>
    <col min="52" max="255" width="9" style="1"/>
    <col min="256" max="256" width="2.875" style="1" bestFit="1" customWidth="1"/>
    <col min="257" max="257" width="17.625" style="1" bestFit="1" customWidth="1"/>
    <col min="258" max="258" width="11.375" style="1" bestFit="1" customWidth="1"/>
    <col min="259" max="260" width="14.125" style="1" bestFit="1" customWidth="1"/>
    <col min="261" max="261" width="11.375" style="1" bestFit="1" customWidth="1"/>
    <col min="262" max="264" width="12.5" style="1" bestFit="1" customWidth="1"/>
    <col min="265" max="265" width="11" style="1" bestFit="1" customWidth="1"/>
    <col min="266" max="284" width="13" style="1" bestFit="1" customWidth="1"/>
    <col min="285" max="288" width="11" style="1" bestFit="1" customWidth="1"/>
    <col min="289" max="291" width="12.25" style="1" bestFit="1" customWidth="1"/>
    <col min="292" max="304" width="11" style="1" bestFit="1" customWidth="1"/>
    <col min="305" max="305" width="13.25" style="1" bestFit="1" customWidth="1"/>
    <col min="306" max="306" width="10" style="1" bestFit="1" customWidth="1"/>
    <col min="307" max="307" width="11" style="1" bestFit="1" customWidth="1"/>
    <col min="308" max="511" width="9" style="1"/>
    <col min="512" max="512" width="2.875" style="1" bestFit="1" customWidth="1"/>
    <col min="513" max="513" width="17.625" style="1" bestFit="1" customWidth="1"/>
    <col min="514" max="514" width="11.375" style="1" bestFit="1" customWidth="1"/>
    <col min="515" max="516" width="14.125" style="1" bestFit="1" customWidth="1"/>
    <col min="517" max="517" width="11.375" style="1" bestFit="1" customWidth="1"/>
    <col min="518" max="520" width="12.5" style="1" bestFit="1" customWidth="1"/>
    <col min="521" max="521" width="11" style="1" bestFit="1" customWidth="1"/>
    <col min="522" max="540" width="13" style="1" bestFit="1" customWidth="1"/>
    <col min="541" max="544" width="11" style="1" bestFit="1" customWidth="1"/>
    <col min="545" max="547" width="12.25" style="1" bestFit="1" customWidth="1"/>
    <col min="548" max="560" width="11" style="1" bestFit="1" customWidth="1"/>
    <col min="561" max="561" width="13.25" style="1" bestFit="1" customWidth="1"/>
    <col min="562" max="562" width="10" style="1" bestFit="1" customWidth="1"/>
    <col min="563" max="563" width="11" style="1" bestFit="1" customWidth="1"/>
    <col min="564" max="767" width="9" style="1"/>
    <col min="768" max="768" width="2.875" style="1" bestFit="1" customWidth="1"/>
    <col min="769" max="769" width="17.625" style="1" bestFit="1" customWidth="1"/>
    <col min="770" max="770" width="11.375" style="1" bestFit="1" customWidth="1"/>
    <col min="771" max="772" width="14.125" style="1" bestFit="1" customWidth="1"/>
    <col min="773" max="773" width="11.375" style="1" bestFit="1" customWidth="1"/>
    <col min="774" max="776" width="12.5" style="1" bestFit="1" customWidth="1"/>
    <col min="777" max="777" width="11" style="1" bestFit="1" customWidth="1"/>
    <col min="778" max="796" width="13" style="1" bestFit="1" customWidth="1"/>
    <col min="797" max="800" width="11" style="1" bestFit="1" customWidth="1"/>
    <col min="801" max="803" width="12.25" style="1" bestFit="1" customWidth="1"/>
    <col min="804" max="816" width="11" style="1" bestFit="1" customWidth="1"/>
    <col min="817" max="817" width="13.25" style="1" bestFit="1" customWidth="1"/>
    <col min="818" max="818" width="10" style="1" bestFit="1" customWidth="1"/>
    <col min="819" max="819" width="11" style="1" bestFit="1" customWidth="1"/>
    <col min="820" max="1023" width="9" style="1"/>
    <col min="1024" max="1024" width="2.875" style="1" bestFit="1" customWidth="1"/>
    <col min="1025" max="1025" width="17.625" style="1" bestFit="1" customWidth="1"/>
    <col min="1026" max="1026" width="11.375" style="1" bestFit="1" customWidth="1"/>
    <col min="1027" max="1028" width="14.125" style="1" bestFit="1" customWidth="1"/>
    <col min="1029" max="1029" width="11.375" style="1" bestFit="1" customWidth="1"/>
    <col min="1030" max="1032" width="12.5" style="1" bestFit="1" customWidth="1"/>
    <col min="1033" max="1033" width="11" style="1" bestFit="1" customWidth="1"/>
    <col min="1034" max="1052" width="13" style="1" bestFit="1" customWidth="1"/>
    <col min="1053" max="1056" width="11" style="1" bestFit="1" customWidth="1"/>
    <col min="1057" max="1059" width="12.25" style="1" bestFit="1" customWidth="1"/>
    <col min="1060" max="1072" width="11" style="1" bestFit="1" customWidth="1"/>
    <col min="1073" max="1073" width="13.25" style="1" bestFit="1" customWidth="1"/>
    <col min="1074" max="1074" width="10" style="1" bestFit="1" customWidth="1"/>
    <col min="1075" max="1075" width="11" style="1" bestFit="1" customWidth="1"/>
    <col min="1076" max="1279" width="9" style="1"/>
    <col min="1280" max="1280" width="2.875" style="1" bestFit="1" customWidth="1"/>
    <col min="1281" max="1281" width="17.625" style="1" bestFit="1" customWidth="1"/>
    <col min="1282" max="1282" width="11.375" style="1" bestFit="1" customWidth="1"/>
    <col min="1283" max="1284" width="14.125" style="1" bestFit="1" customWidth="1"/>
    <col min="1285" max="1285" width="11.375" style="1" bestFit="1" customWidth="1"/>
    <col min="1286" max="1288" width="12.5" style="1" bestFit="1" customWidth="1"/>
    <col min="1289" max="1289" width="11" style="1" bestFit="1" customWidth="1"/>
    <col min="1290" max="1308" width="13" style="1" bestFit="1" customWidth="1"/>
    <col min="1309" max="1312" width="11" style="1" bestFit="1" customWidth="1"/>
    <col min="1313" max="1315" width="12.25" style="1" bestFit="1" customWidth="1"/>
    <col min="1316" max="1328" width="11" style="1" bestFit="1" customWidth="1"/>
    <col min="1329" max="1329" width="13.25" style="1" bestFit="1" customWidth="1"/>
    <col min="1330" max="1330" width="10" style="1" bestFit="1" customWidth="1"/>
    <col min="1331" max="1331" width="11" style="1" bestFit="1" customWidth="1"/>
    <col min="1332" max="1535" width="9" style="1"/>
    <col min="1536" max="1536" width="2.875" style="1" bestFit="1" customWidth="1"/>
    <col min="1537" max="1537" width="17.625" style="1" bestFit="1" customWidth="1"/>
    <col min="1538" max="1538" width="11.375" style="1" bestFit="1" customWidth="1"/>
    <col min="1539" max="1540" width="14.125" style="1" bestFit="1" customWidth="1"/>
    <col min="1541" max="1541" width="11.375" style="1" bestFit="1" customWidth="1"/>
    <col min="1542" max="1544" width="12.5" style="1" bestFit="1" customWidth="1"/>
    <col min="1545" max="1545" width="11" style="1" bestFit="1" customWidth="1"/>
    <col min="1546" max="1564" width="13" style="1" bestFit="1" customWidth="1"/>
    <col min="1565" max="1568" width="11" style="1" bestFit="1" customWidth="1"/>
    <col min="1569" max="1571" width="12.25" style="1" bestFit="1" customWidth="1"/>
    <col min="1572" max="1584" width="11" style="1" bestFit="1" customWidth="1"/>
    <col min="1585" max="1585" width="13.25" style="1" bestFit="1" customWidth="1"/>
    <col min="1586" max="1586" width="10" style="1" bestFit="1" customWidth="1"/>
    <col min="1587" max="1587" width="11" style="1" bestFit="1" customWidth="1"/>
    <col min="1588" max="1791" width="9" style="1"/>
    <col min="1792" max="1792" width="2.875" style="1" bestFit="1" customWidth="1"/>
    <col min="1793" max="1793" width="17.625" style="1" bestFit="1" customWidth="1"/>
    <col min="1794" max="1794" width="11.375" style="1" bestFit="1" customWidth="1"/>
    <col min="1795" max="1796" width="14.125" style="1" bestFit="1" customWidth="1"/>
    <col min="1797" max="1797" width="11.375" style="1" bestFit="1" customWidth="1"/>
    <col min="1798" max="1800" width="12.5" style="1" bestFit="1" customWidth="1"/>
    <col min="1801" max="1801" width="11" style="1" bestFit="1" customWidth="1"/>
    <col min="1802" max="1820" width="13" style="1" bestFit="1" customWidth="1"/>
    <col min="1821" max="1824" width="11" style="1" bestFit="1" customWidth="1"/>
    <col min="1825" max="1827" width="12.25" style="1" bestFit="1" customWidth="1"/>
    <col min="1828" max="1840" width="11" style="1" bestFit="1" customWidth="1"/>
    <col min="1841" max="1841" width="13.25" style="1" bestFit="1" customWidth="1"/>
    <col min="1842" max="1842" width="10" style="1" bestFit="1" customWidth="1"/>
    <col min="1843" max="1843" width="11" style="1" bestFit="1" customWidth="1"/>
    <col min="1844" max="2047" width="9" style="1"/>
    <col min="2048" max="2048" width="2.875" style="1" bestFit="1" customWidth="1"/>
    <col min="2049" max="2049" width="17.625" style="1" bestFit="1" customWidth="1"/>
    <col min="2050" max="2050" width="11.375" style="1" bestFit="1" customWidth="1"/>
    <col min="2051" max="2052" width="14.125" style="1" bestFit="1" customWidth="1"/>
    <col min="2053" max="2053" width="11.375" style="1" bestFit="1" customWidth="1"/>
    <col min="2054" max="2056" width="12.5" style="1" bestFit="1" customWidth="1"/>
    <col min="2057" max="2057" width="11" style="1" bestFit="1" customWidth="1"/>
    <col min="2058" max="2076" width="13" style="1" bestFit="1" customWidth="1"/>
    <col min="2077" max="2080" width="11" style="1" bestFit="1" customWidth="1"/>
    <col min="2081" max="2083" width="12.25" style="1" bestFit="1" customWidth="1"/>
    <col min="2084" max="2096" width="11" style="1" bestFit="1" customWidth="1"/>
    <col min="2097" max="2097" width="13.25" style="1" bestFit="1" customWidth="1"/>
    <col min="2098" max="2098" width="10" style="1" bestFit="1" customWidth="1"/>
    <col min="2099" max="2099" width="11" style="1" bestFit="1" customWidth="1"/>
    <col min="2100" max="2303" width="9" style="1"/>
    <col min="2304" max="2304" width="2.875" style="1" bestFit="1" customWidth="1"/>
    <col min="2305" max="2305" width="17.625" style="1" bestFit="1" customWidth="1"/>
    <col min="2306" max="2306" width="11.375" style="1" bestFit="1" customWidth="1"/>
    <col min="2307" max="2308" width="14.125" style="1" bestFit="1" customWidth="1"/>
    <col min="2309" max="2309" width="11.375" style="1" bestFit="1" customWidth="1"/>
    <col min="2310" max="2312" width="12.5" style="1" bestFit="1" customWidth="1"/>
    <col min="2313" max="2313" width="11" style="1" bestFit="1" customWidth="1"/>
    <col min="2314" max="2332" width="13" style="1" bestFit="1" customWidth="1"/>
    <col min="2333" max="2336" width="11" style="1" bestFit="1" customWidth="1"/>
    <col min="2337" max="2339" width="12.25" style="1" bestFit="1" customWidth="1"/>
    <col min="2340" max="2352" width="11" style="1" bestFit="1" customWidth="1"/>
    <col min="2353" max="2353" width="13.25" style="1" bestFit="1" customWidth="1"/>
    <col min="2354" max="2354" width="10" style="1" bestFit="1" customWidth="1"/>
    <col min="2355" max="2355" width="11" style="1" bestFit="1" customWidth="1"/>
    <col min="2356" max="2559" width="9" style="1"/>
    <col min="2560" max="2560" width="2.875" style="1" bestFit="1" customWidth="1"/>
    <col min="2561" max="2561" width="17.625" style="1" bestFit="1" customWidth="1"/>
    <col min="2562" max="2562" width="11.375" style="1" bestFit="1" customWidth="1"/>
    <col min="2563" max="2564" width="14.125" style="1" bestFit="1" customWidth="1"/>
    <col min="2565" max="2565" width="11.375" style="1" bestFit="1" customWidth="1"/>
    <col min="2566" max="2568" width="12.5" style="1" bestFit="1" customWidth="1"/>
    <col min="2569" max="2569" width="11" style="1" bestFit="1" customWidth="1"/>
    <col min="2570" max="2588" width="13" style="1" bestFit="1" customWidth="1"/>
    <col min="2589" max="2592" width="11" style="1" bestFit="1" customWidth="1"/>
    <col min="2593" max="2595" width="12.25" style="1" bestFit="1" customWidth="1"/>
    <col min="2596" max="2608" width="11" style="1" bestFit="1" customWidth="1"/>
    <col min="2609" max="2609" width="13.25" style="1" bestFit="1" customWidth="1"/>
    <col min="2610" max="2610" width="10" style="1" bestFit="1" customWidth="1"/>
    <col min="2611" max="2611" width="11" style="1" bestFit="1" customWidth="1"/>
    <col min="2612" max="2815" width="9" style="1"/>
    <col min="2816" max="2816" width="2.875" style="1" bestFit="1" customWidth="1"/>
    <col min="2817" max="2817" width="17.625" style="1" bestFit="1" customWidth="1"/>
    <col min="2818" max="2818" width="11.375" style="1" bestFit="1" customWidth="1"/>
    <col min="2819" max="2820" width="14.125" style="1" bestFit="1" customWidth="1"/>
    <col min="2821" max="2821" width="11.375" style="1" bestFit="1" customWidth="1"/>
    <col min="2822" max="2824" width="12.5" style="1" bestFit="1" customWidth="1"/>
    <col min="2825" max="2825" width="11" style="1" bestFit="1" customWidth="1"/>
    <col min="2826" max="2844" width="13" style="1" bestFit="1" customWidth="1"/>
    <col min="2845" max="2848" width="11" style="1" bestFit="1" customWidth="1"/>
    <col min="2849" max="2851" width="12.25" style="1" bestFit="1" customWidth="1"/>
    <col min="2852" max="2864" width="11" style="1" bestFit="1" customWidth="1"/>
    <col min="2865" max="2865" width="13.25" style="1" bestFit="1" customWidth="1"/>
    <col min="2866" max="2866" width="10" style="1" bestFit="1" customWidth="1"/>
    <col min="2867" max="2867" width="11" style="1" bestFit="1" customWidth="1"/>
    <col min="2868" max="3071" width="9" style="1"/>
    <col min="3072" max="3072" width="2.875" style="1" bestFit="1" customWidth="1"/>
    <col min="3073" max="3073" width="17.625" style="1" bestFit="1" customWidth="1"/>
    <col min="3074" max="3074" width="11.375" style="1" bestFit="1" customWidth="1"/>
    <col min="3075" max="3076" width="14.125" style="1" bestFit="1" customWidth="1"/>
    <col min="3077" max="3077" width="11.375" style="1" bestFit="1" customWidth="1"/>
    <col min="3078" max="3080" width="12.5" style="1" bestFit="1" customWidth="1"/>
    <col min="3081" max="3081" width="11" style="1" bestFit="1" customWidth="1"/>
    <col min="3082" max="3100" width="13" style="1" bestFit="1" customWidth="1"/>
    <col min="3101" max="3104" width="11" style="1" bestFit="1" customWidth="1"/>
    <col min="3105" max="3107" width="12.25" style="1" bestFit="1" customWidth="1"/>
    <col min="3108" max="3120" width="11" style="1" bestFit="1" customWidth="1"/>
    <col min="3121" max="3121" width="13.25" style="1" bestFit="1" customWidth="1"/>
    <col min="3122" max="3122" width="10" style="1" bestFit="1" customWidth="1"/>
    <col min="3123" max="3123" width="11" style="1" bestFit="1" customWidth="1"/>
    <col min="3124" max="3327" width="9" style="1"/>
    <col min="3328" max="3328" width="2.875" style="1" bestFit="1" customWidth="1"/>
    <col min="3329" max="3329" width="17.625" style="1" bestFit="1" customWidth="1"/>
    <col min="3330" max="3330" width="11.375" style="1" bestFit="1" customWidth="1"/>
    <col min="3331" max="3332" width="14.125" style="1" bestFit="1" customWidth="1"/>
    <col min="3333" max="3333" width="11.375" style="1" bestFit="1" customWidth="1"/>
    <col min="3334" max="3336" width="12.5" style="1" bestFit="1" customWidth="1"/>
    <col min="3337" max="3337" width="11" style="1" bestFit="1" customWidth="1"/>
    <col min="3338" max="3356" width="13" style="1" bestFit="1" customWidth="1"/>
    <col min="3357" max="3360" width="11" style="1" bestFit="1" customWidth="1"/>
    <col min="3361" max="3363" width="12.25" style="1" bestFit="1" customWidth="1"/>
    <col min="3364" max="3376" width="11" style="1" bestFit="1" customWidth="1"/>
    <col min="3377" max="3377" width="13.25" style="1" bestFit="1" customWidth="1"/>
    <col min="3378" max="3378" width="10" style="1" bestFit="1" customWidth="1"/>
    <col min="3379" max="3379" width="11" style="1" bestFit="1" customWidth="1"/>
    <col min="3380" max="3583" width="9" style="1"/>
    <col min="3584" max="3584" width="2.875" style="1" bestFit="1" customWidth="1"/>
    <col min="3585" max="3585" width="17.625" style="1" bestFit="1" customWidth="1"/>
    <col min="3586" max="3586" width="11.375" style="1" bestFit="1" customWidth="1"/>
    <col min="3587" max="3588" width="14.125" style="1" bestFit="1" customWidth="1"/>
    <col min="3589" max="3589" width="11.375" style="1" bestFit="1" customWidth="1"/>
    <col min="3590" max="3592" width="12.5" style="1" bestFit="1" customWidth="1"/>
    <col min="3593" max="3593" width="11" style="1" bestFit="1" customWidth="1"/>
    <col min="3594" max="3612" width="13" style="1" bestFit="1" customWidth="1"/>
    <col min="3613" max="3616" width="11" style="1" bestFit="1" customWidth="1"/>
    <col min="3617" max="3619" width="12.25" style="1" bestFit="1" customWidth="1"/>
    <col min="3620" max="3632" width="11" style="1" bestFit="1" customWidth="1"/>
    <col min="3633" max="3633" width="13.25" style="1" bestFit="1" customWidth="1"/>
    <col min="3634" max="3634" width="10" style="1" bestFit="1" customWidth="1"/>
    <col min="3635" max="3635" width="11" style="1" bestFit="1" customWidth="1"/>
    <col min="3636" max="3839" width="9" style="1"/>
    <col min="3840" max="3840" width="2.875" style="1" bestFit="1" customWidth="1"/>
    <col min="3841" max="3841" width="17.625" style="1" bestFit="1" customWidth="1"/>
    <col min="3842" max="3842" width="11.375" style="1" bestFit="1" customWidth="1"/>
    <col min="3843" max="3844" width="14.125" style="1" bestFit="1" customWidth="1"/>
    <col min="3845" max="3845" width="11.375" style="1" bestFit="1" customWidth="1"/>
    <col min="3846" max="3848" width="12.5" style="1" bestFit="1" customWidth="1"/>
    <col min="3849" max="3849" width="11" style="1" bestFit="1" customWidth="1"/>
    <col min="3850" max="3868" width="13" style="1" bestFit="1" customWidth="1"/>
    <col min="3869" max="3872" width="11" style="1" bestFit="1" customWidth="1"/>
    <col min="3873" max="3875" width="12.25" style="1" bestFit="1" customWidth="1"/>
    <col min="3876" max="3888" width="11" style="1" bestFit="1" customWidth="1"/>
    <col min="3889" max="3889" width="13.25" style="1" bestFit="1" customWidth="1"/>
    <col min="3890" max="3890" width="10" style="1" bestFit="1" customWidth="1"/>
    <col min="3891" max="3891" width="11" style="1" bestFit="1" customWidth="1"/>
    <col min="3892" max="4095" width="9" style="1"/>
    <col min="4096" max="4096" width="2.875" style="1" bestFit="1" customWidth="1"/>
    <col min="4097" max="4097" width="17.625" style="1" bestFit="1" customWidth="1"/>
    <col min="4098" max="4098" width="11.375" style="1" bestFit="1" customWidth="1"/>
    <col min="4099" max="4100" width="14.125" style="1" bestFit="1" customWidth="1"/>
    <col min="4101" max="4101" width="11.375" style="1" bestFit="1" customWidth="1"/>
    <col min="4102" max="4104" width="12.5" style="1" bestFit="1" customWidth="1"/>
    <col min="4105" max="4105" width="11" style="1" bestFit="1" customWidth="1"/>
    <col min="4106" max="4124" width="13" style="1" bestFit="1" customWidth="1"/>
    <col min="4125" max="4128" width="11" style="1" bestFit="1" customWidth="1"/>
    <col min="4129" max="4131" width="12.25" style="1" bestFit="1" customWidth="1"/>
    <col min="4132" max="4144" width="11" style="1" bestFit="1" customWidth="1"/>
    <col min="4145" max="4145" width="13.25" style="1" bestFit="1" customWidth="1"/>
    <col min="4146" max="4146" width="10" style="1" bestFit="1" customWidth="1"/>
    <col min="4147" max="4147" width="11" style="1" bestFit="1" customWidth="1"/>
    <col min="4148" max="4351" width="9" style="1"/>
    <col min="4352" max="4352" width="2.875" style="1" bestFit="1" customWidth="1"/>
    <col min="4353" max="4353" width="17.625" style="1" bestFit="1" customWidth="1"/>
    <col min="4354" max="4354" width="11.375" style="1" bestFit="1" customWidth="1"/>
    <col min="4355" max="4356" width="14.125" style="1" bestFit="1" customWidth="1"/>
    <col min="4357" max="4357" width="11.375" style="1" bestFit="1" customWidth="1"/>
    <col min="4358" max="4360" width="12.5" style="1" bestFit="1" customWidth="1"/>
    <col min="4361" max="4361" width="11" style="1" bestFit="1" customWidth="1"/>
    <col min="4362" max="4380" width="13" style="1" bestFit="1" customWidth="1"/>
    <col min="4381" max="4384" width="11" style="1" bestFit="1" customWidth="1"/>
    <col min="4385" max="4387" width="12.25" style="1" bestFit="1" customWidth="1"/>
    <col min="4388" max="4400" width="11" style="1" bestFit="1" customWidth="1"/>
    <col min="4401" max="4401" width="13.25" style="1" bestFit="1" customWidth="1"/>
    <col min="4402" max="4402" width="10" style="1" bestFit="1" customWidth="1"/>
    <col min="4403" max="4403" width="11" style="1" bestFit="1" customWidth="1"/>
    <col min="4404" max="4607" width="9" style="1"/>
    <col min="4608" max="4608" width="2.875" style="1" bestFit="1" customWidth="1"/>
    <col min="4609" max="4609" width="17.625" style="1" bestFit="1" customWidth="1"/>
    <col min="4610" max="4610" width="11.375" style="1" bestFit="1" customWidth="1"/>
    <col min="4611" max="4612" width="14.125" style="1" bestFit="1" customWidth="1"/>
    <col min="4613" max="4613" width="11.375" style="1" bestFit="1" customWidth="1"/>
    <col min="4614" max="4616" width="12.5" style="1" bestFit="1" customWidth="1"/>
    <col min="4617" max="4617" width="11" style="1" bestFit="1" customWidth="1"/>
    <col min="4618" max="4636" width="13" style="1" bestFit="1" customWidth="1"/>
    <col min="4637" max="4640" width="11" style="1" bestFit="1" customWidth="1"/>
    <col min="4641" max="4643" width="12.25" style="1" bestFit="1" customWidth="1"/>
    <col min="4644" max="4656" width="11" style="1" bestFit="1" customWidth="1"/>
    <col min="4657" max="4657" width="13.25" style="1" bestFit="1" customWidth="1"/>
    <col min="4658" max="4658" width="10" style="1" bestFit="1" customWidth="1"/>
    <col min="4659" max="4659" width="11" style="1" bestFit="1" customWidth="1"/>
    <col min="4660" max="4863" width="9" style="1"/>
    <col min="4864" max="4864" width="2.875" style="1" bestFit="1" customWidth="1"/>
    <col min="4865" max="4865" width="17.625" style="1" bestFit="1" customWidth="1"/>
    <col min="4866" max="4866" width="11.375" style="1" bestFit="1" customWidth="1"/>
    <col min="4867" max="4868" width="14.125" style="1" bestFit="1" customWidth="1"/>
    <col min="4869" max="4869" width="11.375" style="1" bestFit="1" customWidth="1"/>
    <col min="4870" max="4872" width="12.5" style="1" bestFit="1" customWidth="1"/>
    <col min="4873" max="4873" width="11" style="1" bestFit="1" customWidth="1"/>
    <col min="4874" max="4892" width="13" style="1" bestFit="1" customWidth="1"/>
    <col min="4893" max="4896" width="11" style="1" bestFit="1" customWidth="1"/>
    <col min="4897" max="4899" width="12.25" style="1" bestFit="1" customWidth="1"/>
    <col min="4900" max="4912" width="11" style="1" bestFit="1" customWidth="1"/>
    <col min="4913" max="4913" width="13.25" style="1" bestFit="1" customWidth="1"/>
    <col min="4914" max="4914" width="10" style="1" bestFit="1" customWidth="1"/>
    <col min="4915" max="4915" width="11" style="1" bestFit="1" customWidth="1"/>
    <col min="4916" max="5119" width="9" style="1"/>
    <col min="5120" max="5120" width="2.875" style="1" bestFit="1" customWidth="1"/>
    <col min="5121" max="5121" width="17.625" style="1" bestFit="1" customWidth="1"/>
    <col min="5122" max="5122" width="11.375" style="1" bestFit="1" customWidth="1"/>
    <col min="5123" max="5124" width="14.125" style="1" bestFit="1" customWidth="1"/>
    <col min="5125" max="5125" width="11.375" style="1" bestFit="1" customWidth="1"/>
    <col min="5126" max="5128" width="12.5" style="1" bestFit="1" customWidth="1"/>
    <col min="5129" max="5129" width="11" style="1" bestFit="1" customWidth="1"/>
    <col min="5130" max="5148" width="13" style="1" bestFit="1" customWidth="1"/>
    <col min="5149" max="5152" width="11" style="1" bestFit="1" customWidth="1"/>
    <col min="5153" max="5155" width="12.25" style="1" bestFit="1" customWidth="1"/>
    <col min="5156" max="5168" width="11" style="1" bestFit="1" customWidth="1"/>
    <col min="5169" max="5169" width="13.25" style="1" bestFit="1" customWidth="1"/>
    <col min="5170" max="5170" width="10" style="1" bestFit="1" customWidth="1"/>
    <col min="5171" max="5171" width="11" style="1" bestFit="1" customWidth="1"/>
    <col min="5172" max="5375" width="9" style="1"/>
    <col min="5376" max="5376" width="2.875" style="1" bestFit="1" customWidth="1"/>
    <col min="5377" max="5377" width="17.625" style="1" bestFit="1" customWidth="1"/>
    <col min="5378" max="5378" width="11.375" style="1" bestFit="1" customWidth="1"/>
    <col min="5379" max="5380" width="14.125" style="1" bestFit="1" customWidth="1"/>
    <col min="5381" max="5381" width="11.375" style="1" bestFit="1" customWidth="1"/>
    <col min="5382" max="5384" width="12.5" style="1" bestFit="1" customWidth="1"/>
    <col min="5385" max="5385" width="11" style="1" bestFit="1" customWidth="1"/>
    <col min="5386" max="5404" width="13" style="1" bestFit="1" customWidth="1"/>
    <col min="5405" max="5408" width="11" style="1" bestFit="1" customWidth="1"/>
    <col min="5409" max="5411" width="12.25" style="1" bestFit="1" customWidth="1"/>
    <col min="5412" max="5424" width="11" style="1" bestFit="1" customWidth="1"/>
    <col min="5425" max="5425" width="13.25" style="1" bestFit="1" customWidth="1"/>
    <col min="5426" max="5426" width="10" style="1" bestFit="1" customWidth="1"/>
    <col min="5427" max="5427" width="11" style="1" bestFit="1" customWidth="1"/>
    <col min="5428" max="5631" width="9" style="1"/>
    <col min="5632" max="5632" width="2.875" style="1" bestFit="1" customWidth="1"/>
    <col min="5633" max="5633" width="17.625" style="1" bestFit="1" customWidth="1"/>
    <col min="5634" max="5634" width="11.375" style="1" bestFit="1" customWidth="1"/>
    <col min="5635" max="5636" width="14.125" style="1" bestFit="1" customWidth="1"/>
    <col min="5637" max="5637" width="11.375" style="1" bestFit="1" customWidth="1"/>
    <col min="5638" max="5640" width="12.5" style="1" bestFit="1" customWidth="1"/>
    <col min="5641" max="5641" width="11" style="1" bestFit="1" customWidth="1"/>
    <col min="5642" max="5660" width="13" style="1" bestFit="1" customWidth="1"/>
    <col min="5661" max="5664" width="11" style="1" bestFit="1" customWidth="1"/>
    <col min="5665" max="5667" width="12.25" style="1" bestFit="1" customWidth="1"/>
    <col min="5668" max="5680" width="11" style="1" bestFit="1" customWidth="1"/>
    <col min="5681" max="5681" width="13.25" style="1" bestFit="1" customWidth="1"/>
    <col min="5682" max="5682" width="10" style="1" bestFit="1" customWidth="1"/>
    <col min="5683" max="5683" width="11" style="1" bestFit="1" customWidth="1"/>
    <col min="5684" max="5887" width="9" style="1"/>
    <col min="5888" max="5888" width="2.875" style="1" bestFit="1" customWidth="1"/>
    <col min="5889" max="5889" width="17.625" style="1" bestFit="1" customWidth="1"/>
    <col min="5890" max="5890" width="11.375" style="1" bestFit="1" customWidth="1"/>
    <col min="5891" max="5892" width="14.125" style="1" bestFit="1" customWidth="1"/>
    <col min="5893" max="5893" width="11.375" style="1" bestFit="1" customWidth="1"/>
    <col min="5894" max="5896" width="12.5" style="1" bestFit="1" customWidth="1"/>
    <col min="5897" max="5897" width="11" style="1" bestFit="1" customWidth="1"/>
    <col min="5898" max="5916" width="13" style="1" bestFit="1" customWidth="1"/>
    <col min="5917" max="5920" width="11" style="1" bestFit="1" customWidth="1"/>
    <col min="5921" max="5923" width="12.25" style="1" bestFit="1" customWidth="1"/>
    <col min="5924" max="5936" width="11" style="1" bestFit="1" customWidth="1"/>
    <col min="5937" max="5937" width="13.25" style="1" bestFit="1" customWidth="1"/>
    <col min="5938" max="5938" width="10" style="1" bestFit="1" customWidth="1"/>
    <col min="5939" max="5939" width="11" style="1" bestFit="1" customWidth="1"/>
    <col min="5940" max="6143" width="9" style="1"/>
    <col min="6144" max="6144" width="2.875" style="1" bestFit="1" customWidth="1"/>
    <col min="6145" max="6145" width="17.625" style="1" bestFit="1" customWidth="1"/>
    <col min="6146" max="6146" width="11.375" style="1" bestFit="1" customWidth="1"/>
    <col min="6147" max="6148" width="14.125" style="1" bestFit="1" customWidth="1"/>
    <col min="6149" max="6149" width="11.375" style="1" bestFit="1" customWidth="1"/>
    <col min="6150" max="6152" width="12.5" style="1" bestFit="1" customWidth="1"/>
    <col min="6153" max="6153" width="11" style="1" bestFit="1" customWidth="1"/>
    <col min="6154" max="6172" width="13" style="1" bestFit="1" customWidth="1"/>
    <col min="6173" max="6176" width="11" style="1" bestFit="1" customWidth="1"/>
    <col min="6177" max="6179" width="12.25" style="1" bestFit="1" customWidth="1"/>
    <col min="6180" max="6192" width="11" style="1" bestFit="1" customWidth="1"/>
    <col min="6193" max="6193" width="13.25" style="1" bestFit="1" customWidth="1"/>
    <col min="6194" max="6194" width="10" style="1" bestFit="1" customWidth="1"/>
    <col min="6195" max="6195" width="11" style="1" bestFit="1" customWidth="1"/>
    <col min="6196" max="6399" width="9" style="1"/>
    <col min="6400" max="6400" width="2.875" style="1" bestFit="1" customWidth="1"/>
    <col min="6401" max="6401" width="17.625" style="1" bestFit="1" customWidth="1"/>
    <col min="6402" max="6402" width="11.375" style="1" bestFit="1" customWidth="1"/>
    <col min="6403" max="6404" width="14.125" style="1" bestFit="1" customWidth="1"/>
    <col min="6405" max="6405" width="11.375" style="1" bestFit="1" customWidth="1"/>
    <col min="6406" max="6408" width="12.5" style="1" bestFit="1" customWidth="1"/>
    <col min="6409" max="6409" width="11" style="1" bestFit="1" customWidth="1"/>
    <col min="6410" max="6428" width="13" style="1" bestFit="1" customWidth="1"/>
    <col min="6429" max="6432" width="11" style="1" bestFit="1" customWidth="1"/>
    <col min="6433" max="6435" width="12.25" style="1" bestFit="1" customWidth="1"/>
    <col min="6436" max="6448" width="11" style="1" bestFit="1" customWidth="1"/>
    <col min="6449" max="6449" width="13.25" style="1" bestFit="1" customWidth="1"/>
    <col min="6450" max="6450" width="10" style="1" bestFit="1" customWidth="1"/>
    <col min="6451" max="6451" width="11" style="1" bestFit="1" customWidth="1"/>
    <col min="6452" max="6655" width="9" style="1"/>
    <col min="6656" max="6656" width="2.875" style="1" bestFit="1" customWidth="1"/>
    <col min="6657" max="6657" width="17.625" style="1" bestFit="1" customWidth="1"/>
    <col min="6658" max="6658" width="11.375" style="1" bestFit="1" customWidth="1"/>
    <col min="6659" max="6660" width="14.125" style="1" bestFit="1" customWidth="1"/>
    <col min="6661" max="6661" width="11.375" style="1" bestFit="1" customWidth="1"/>
    <col min="6662" max="6664" width="12.5" style="1" bestFit="1" customWidth="1"/>
    <col min="6665" max="6665" width="11" style="1" bestFit="1" customWidth="1"/>
    <col min="6666" max="6684" width="13" style="1" bestFit="1" customWidth="1"/>
    <col min="6685" max="6688" width="11" style="1" bestFit="1" customWidth="1"/>
    <col min="6689" max="6691" width="12.25" style="1" bestFit="1" customWidth="1"/>
    <col min="6692" max="6704" width="11" style="1" bestFit="1" customWidth="1"/>
    <col min="6705" max="6705" width="13.25" style="1" bestFit="1" customWidth="1"/>
    <col min="6706" max="6706" width="10" style="1" bestFit="1" customWidth="1"/>
    <col min="6707" max="6707" width="11" style="1" bestFit="1" customWidth="1"/>
    <col min="6708" max="6911" width="9" style="1"/>
    <col min="6912" max="6912" width="2.875" style="1" bestFit="1" customWidth="1"/>
    <col min="6913" max="6913" width="17.625" style="1" bestFit="1" customWidth="1"/>
    <col min="6914" max="6914" width="11.375" style="1" bestFit="1" customWidth="1"/>
    <col min="6915" max="6916" width="14.125" style="1" bestFit="1" customWidth="1"/>
    <col min="6917" max="6917" width="11.375" style="1" bestFit="1" customWidth="1"/>
    <col min="6918" max="6920" width="12.5" style="1" bestFit="1" customWidth="1"/>
    <col min="6921" max="6921" width="11" style="1" bestFit="1" customWidth="1"/>
    <col min="6922" max="6940" width="13" style="1" bestFit="1" customWidth="1"/>
    <col min="6941" max="6944" width="11" style="1" bestFit="1" customWidth="1"/>
    <col min="6945" max="6947" width="12.25" style="1" bestFit="1" customWidth="1"/>
    <col min="6948" max="6960" width="11" style="1" bestFit="1" customWidth="1"/>
    <col min="6961" max="6961" width="13.25" style="1" bestFit="1" customWidth="1"/>
    <col min="6962" max="6962" width="10" style="1" bestFit="1" customWidth="1"/>
    <col min="6963" max="6963" width="11" style="1" bestFit="1" customWidth="1"/>
    <col min="6964" max="7167" width="9" style="1"/>
    <col min="7168" max="7168" width="2.875" style="1" bestFit="1" customWidth="1"/>
    <col min="7169" max="7169" width="17.625" style="1" bestFit="1" customWidth="1"/>
    <col min="7170" max="7170" width="11.375" style="1" bestFit="1" customWidth="1"/>
    <col min="7171" max="7172" width="14.125" style="1" bestFit="1" customWidth="1"/>
    <col min="7173" max="7173" width="11.375" style="1" bestFit="1" customWidth="1"/>
    <col min="7174" max="7176" width="12.5" style="1" bestFit="1" customWidth="1"/>
    <col min="7177" max="7177" width="11" style="1" bestFit="1" customWidth="1"/>
    <col min="7178" max="7196" width="13" style="1" bestFit="1" customWidth="1"/>
    <col min="7197" max="7200" width="11" style="1" bestFit="1" customWidth="1"/>
    <col min="7201" max="7203" width="12.25" style="1" bestFit="1" customWidth="1"/>
    <col min="7204" max="7216" width="11" style="1" bestFit="1" customWidth="1"/>
    <col min="7217" max="7217" width="13.25" style="1" bestFit="1" customWidth="1"/>
    <col min="7218" max="7218" width="10" style="1" bestFit="1" customWidth="1"/>
    <col min="7219" max="7219" width="11" style="1" bestFit="1" customWidth="1"/>
    <col min="7220" max="7423" width="9" style="1"/>
    <col min="7424" max="7424" width="2.875" style="1" bestFit="1" customWidth="1"/>
    <col min="7425" max="7425" width="17.625" style="1" bestFit="1" customWidth="1"/>
    <col min="7426" max="7426" width="11.375" style="1" bestFit="1" customWidth="1"/>
    <col min="7427" max="7428" width="14.125" style="1" bestFit="1" customWidth="1"/>
    <col min="7429" max="7429" width="11.375" style="1" bestFit="1" customWidth="1"/>
    <col min="7430" max="7432" width="12.5" style="1" bestFit="1" customWidth="1"/>
    <col min="7433" max="7433" width="11" style="1" bestFit="1" customWidth="1"/>
    <col min="7434" max="7452" width="13" style="1" bestFit="1" customWidth="1"/>
    <col min="7453" max="7456" width="11" style="1" bestFit="1" customWidth="1"/>
    <col min="7457" max="7459" width="12.25" style="1" bestFit="1" customWidth="1"/>
    <col min="7460" max="7472" width="11" style="1" bestFit="1" customWidth="1"/>
    <col min="7473" max="7473" width="13.25" style="1" bestFit="1" customWidth="1"/>
    <col min="7474" max="7474" width="10" style="1" bestFit="1" customWidth="1"/>
    <col min="7475" max="7475" width="11" style="1" bestFit="1" customWidth="1"/>
    <col min="7476" max="7679" width="9" style="1"/>
    <col min="7680" max="7680" width="2.875" style="1" bestFit="1" customWidth="1"/>
    <col min="7681" max="7681" width="17.625" style="1" bestFit="1" customWidth="1"/>
    <col min="7682" max="7682" width="11.375" style="1" bestFit="1" customWidth="1"/>
    <col min="7683" max="7684" width="14.125" style="1" bestFit="1" customWidth="1"/>
    <col min="7685" max="7685" width="11.375" style="1" bestFit="1" customWidth="1"/>
    <col min="7686" max="7688" width="12.5" style="1" bestFit="1" customWidth="1"/>
    <col min="7689" max="7689" width="11" style="1" bestFit="1" customWidth="1"/>
    <col min="7690" max="7708" width="13" style="1" bestFit="1" customWidth="1"/>
    <col min="7709" max="7712" width="11" style="1" bestFit="1" customWidth="1"/>
    <col min="7713" max="7715" width="12.25" style="1" bestFit="1" customWidth="1"/>
    <col min="7716" max="7728" width="11" style="1" bestFit="1" customWidth="1"/>
    <col min="7729" max="7729" width="13.25" style="1" bestFit="1" customWidth="1"/>
    <col min="7730" max="7730" width="10" style="1" bestFit="1" customWidth="1"/>
    <col min="7731" max="7731" width="11" style="1" bestFit="1" customWidth="1"/>
    <col min="7732" max="7935" width="9" style="1"/>
    <col min="7936" max="7936" width="2.875" style="1" bestFit="1" customWidth="1"/>
    <col min="7937" max="7937" width="17.625" style="1" bestFit="1" customWidth="1"/>
    <col min="7938" max="7938" width="11.375" style="1" bestFit="1" customWidth="1"/>
    <col min="7939" max="7940" width="14.125" style="1" bestFit="1" customWidth="1"/>
    <col min="7941" max="7941" width="11.375" style="1" bestFit="1" customWidth="1"/>
    <col min="7942" max="7944" width="12.5" style="1" bestFit="1" customWidth="1"/>
    <col min="7945" max="7945" width="11" style="1" bestFit="1" customWidth="1"/>
    <col min="7946" max="7964" width="13" style="1" bestFit="1" customWidth="1"/>
    <col min="7965" max="7968" width="11" style="1" bestFit="1" customWidth="1"/>
    <col min="7969" max="7971" width="12.25" style="1" bestFit="1" customWidth="1"/>
    <col min="7972" max="7984" width="11" style="1" bestFit="1" customWidth="1"/>
    <col min="7985" max="7985" width="13.25" style="1" bestFit="1" customWidth="1"/>
    <col min="7986" max="7986" width="10" style="1" bestFit="1" customWidth="1"/>
    <col min="7987" max="7987" width="11" style="1" bestFit="1" customWidth="1"/>
    <col min="7988" max="8191" width="9" style="1"/>
    <col min="8192" max="8192" width="2.875" style="1" bestFit="1" customWidth="1"/>
    <col min="8193" max="8193" width="17.625" style="1" bestFit="1" customWidth="1"/>
    <col min="8194" max="8194" width="11.375" style="1" bestFit="1" customWidth="1"/>
    <col min="8195" max="8196" width="14.125" style="1" bestFit="1" customWidth="1"/>
    <col min="8197" max="8197" width="11.375" style="1" bestFit="1" customWidth="1"/>
    <col min="8198" max="8200" width="12.5" style="1" bestFit="1" customWidth="1"/>
    <col min="8201" max="8201" width="11" style="1" bestFit="1" customWidth="1"/>
    <col min="8202" max="8220" width="13" style="1" bestFit="1" customWidth="1"/>
    <col min="8221" max="8224" width="11" style="1" bestFit="1" customWidth="1"/>
    <col min="8225" max="8227" width="12.25" style="1" bestFit="1" customWidth="1"/>
    <col min="8228" max="8240" width="11" style="1" bestFit="1" customWidth="1"/>
    <col min="8241" max="8241" width="13.25" style="1" bestFit="1" customWidth="1"/>
    <col min="8242" max="8242" width="10" style="1" bestFit="1" customWidth="1"/>
    <col min="8243" max="8243" width="11" style="1" bestFit="1" customWidth="1"/>
    <col min="8244" max="8447" width="9" style="1"/>
    <col min="8448" max="8448" width="2.875" style="1" bestFit="1" customWidth="1"/>
    <col min="8449" max="8449" width="17.625" style="1" bestFit="1" customWidth="1"/>
    <col min="8450" max="8450" width="11.375" style="1" bestFit="1" customWidth="1"/>
    <col min="8451" max="8452" width="14.125" style="1" bestFit="1" customWidth="1"/>
    <col min="8453" max="8453" width="11.375" style="1" bestFit="1" customWidth="1"/>
    <col min="8454" max="8456" width="12.5" style="1" bestFit="1" customWidth="1"/>
    <col min="8457" max="8457" width="11" style="1" bestFit="1" customWidth="1"/>
    <col min="8458" max="8476" width="13" style="1" bestFit="1" customWidth="1"/>
    <col min="8477" max="8480" width="11" style="1" bestFit="1" customWidth="1"/>
    <col min="8481" max="8483" width="12.25" style="1" bestFit="1" customWidth="1"/>
    <col min="8484" max="8496" width="11" style="1" bestFit="1" customWidth="1"/>
    <col min="8497" max="8497" width="13.25" style="1" bestFit="1" customWidth="1"/>
    <col min="8498" max="8498" width="10" style="1" bestFit="1" customWidth="1"/>
    <col min="8499" max="8499" width="11" style="1" bestFit="1" customWidth="1"/>
    <col min="8500" max="8703" width="9" style="1"/>
    <col min="8704" max="8704" width="2.875" style="1" bestFit="1" customWidth="1"/>
    <col min="8705" max="8705" width="17.625" style="1" bestFit="1" customWidth="1"/>
    <col min="8706" max="8706" width="11.375" style="1" bestFit="1" customWidth="1"/>
    <col min="8707" max="8708" width="14.125" style="1" bestFit="1" customWidth="1"/>
    <col min="8709" max="8709" width="11.375" style="1" bestFit="1" customWidth="1"/>
    <col min="8710" max="8712" width="12.5" style="1" bestFit="1" customWidth="1"/>
    <col min="8713" max="8713" width="11" style="1" bestFit="1" customWidth="1"/>
    <col min="8714" max="8732" width="13" style="1" bestFit="1" customWidth="1"/>
    <col min="8733" max="8736" width="11" style="1" bestFit="1" customWidth="1"/>
    <col min="8737" max="8739" width="12.25" style="1" bestFit="1" customWidth="1"/>
    <col min="8740" max="8752" width="11" style="1" bestFit="1" customWidth="1"/>
    <col min="8753" max="8753" width="13.25" style="1" bestFit="1" customWidth="1"/>
    <col min="8754" max="8754" width="10" style="1" bestFit="1" customWidth="1"/>
    <col min="8755" max="8755" width="11" style="1" bestFit="1" customWidth="1"/>
    <col min="8756" max="8959" width="9" style="1"/>
    <col min="8960" max="8960" width="2.875" style="1" bestFit="1" customWidth="1"/>
    <col min="8961" max="8961" width="17.625" style="1" bestFit="1" customWidth="1"/>
    <col min="8962" max="8962" width="11.375" style="1" bestFit="1" customWidth="1"/>
    <col min="8963" max="8964" width="14.125" style="1" bestFit="1" customWidth="1"/>
    <col min="8965" max="8965" width="11.375" style="1" bestFit="1" customWidth="1"/>
    <col min="8966" max="8968" width="12.5" style="1" bestFit="1" customWidth="1"/>
    <col min="8969" max="8969" width="11" style="1" bestFit="1" customWidth="1"/>
    <col min="8970" max="8988" width="13" style="1" bestFit="1" customWidth="1"/>
    <col min="8989" max="8992" width="11" style="1" bestFit="1" customWidth="1"/>
    <col min="8993" max="8995" width="12.25" style="1" bestFit="1" customWidth="1"/>
    <col min="8996" max="9008" width="11" style="1" bestFit="1" customWidth="1"/>
    <col min="9009" max="9009" width="13.25" style="1" bestFit="1" customWidth="1"/>
    <col min="9010" max="9010" width="10" style="1" bestFit="1" customWidth="1"/>
    <col min="9011" max="9011" width="11" style="1" bestFit="1" customWidth="1"/>
    <col min="9012" max="9215" width="9" style="1"/>
    <col min="9216" max="9216" width="2.875" style="1" bestFit="1" customWidth="1"/>
    <col min="9217" max="9217" width="17.625" style="1" bestFit="1" customWidth="1"/>
    <col min="9218" max="9218" width="11.375" style="1" bestFit="1" customWidth="1"/>
    <col min="9219" max="9220" width="14.125" style="1" bestFit="1" customWidth="1"/>
    <col min="9221" max="9221" width="11.375" style="1" bestFit="1" customWidth="1"/>
    <col min="9222" max="9224" width="12.5" style="1" bestFit="1" customWidth="1"/>
    <col min="9225" max="9225" width="11" style="1" bestFit="1" customWidth="1"/>
    <col min="9226" max="9244" width="13" style="1" bestFit="1" customWidth="1"/>
    <col min="9245" max="9248" width="11" style="1" bestFit="1" customWidth="1"/>
    <col min="9249" max="9251" width="12.25" style="1" bestFit="1" customWidth="1"/>
    <col min="9252" max="9264" width="11" style="1" bestFit="1" customWidth="1"/>
    <col min="9265" max="9265" width="13.25" style="1" bestFit="1" customWidth="1"/>
    <col min="9266" max="9266" width="10" style="1" bestFit="1" customWidth="1"/>
    <col min="9267" max="9267" width="11" style="1" bestFit="1" customWidth="1"/>
    <col min="9268" max="9471" width="9" style="1"/>
    <col min="9472" max="9472" width="2.875" style="1" bestFit="1" customWidth="1"/>
    <col min="9473" max="9473" width="17.625" style="1" bestFit="1" customWidth="1"/>
    <col min="9474" max="9474" width="11.375" style="1" bestFit="1" customWidth="1"/>
    <col min="9475" max="9476" width="14.125" style="1" bestFit="1" customWidth="1"/>
    <col min="9477" max="9477" width="11.375" style="1" bestFit="1" customWidth="1"/>
    <col min="9478" max="9480" width="12.5" style="1" bestFit="1" customWidth="1"/>
    <col min="9481" max="9481" width="11" style="1" bestFit="1" customWidth="1"/>
    <col min="9482" max="9500" width="13" style="1" bestFit="1" customWidth="1"/>
    <col min="9501" max="9504" width="11" style="1" bestFit="1" customWidth="1"/>
    <col min="9505" max="9507" width="12.25" style="1" bestFit="1" customWidth="1"/>
    <col min="9508" max="9520" width="11" style="1" bestFit="1" customWidth="1"/>
    <col min="9521" max="9521" width="13.25" style="1" bestFit="1" customWidth="1"/>
    <col min="9522" max="9522" width="10" style="1" bestFit="1" customWidth="1"/>
    <col min="9523" max="9523" width="11" style="1" bestFit="1" customWidth="1"/>
    <col min="9524" max="9727" width="9" style="1"/>
    <col min="9728" max="9728" width="2.875" style="1" bestFit="1" customWidth="1"/>
    <col min="9729" max="9729" width="17.625" style="1" bestFit="1" customWidth="1"/>
    <col min="9730" max="9730" width="11.375" style="1" bestFit="1" customWidth="1"/>
    <col min="9731" max="9732" width="14.125" style="1" bestFit="1" customWidth="1"/>
    <col min="9733" max="9733" width="11.375" style="1" bestFit="1" customWidth="1"/>
    <col min="9734" max="9736" width="12.5" style="1" bestFit="1" customWidth="1"/>
    <col min="9737" max="9737" width="11" style="1" bestFit="1" customWidth="1"/>
    <col min="9738" max="9756" width="13" style="1" bestFit="1" customWidth="1"/>
    <col min="9757" max="9760" width="11" style="1" bestFit="1" customWidth="1"/>
    <col min="9761" max="9763" width="12.25" style="1" bestFit="1" customWidth="1"/>
    <col min="9764" max="9776" width="11" style="1" bestFit="1" customWidth="1"/>
    <col min="9777" max="9777" width="13.25" style="1" bestFit="1" customWidth="1"/>
    <col min="9778" max="9778" width="10" style="1" bestFit="1" customWidth="1"/>
    <col min="9779" max="9779" width="11" style="1" bestFit="1" customWidth="1"/>
    <col min="9780" max="9983" width="9" style="1"/>
    <col min="9984" max="9984" width="2.875" style="1" bestFit="1" customWidth="1"/>
    <col min="9985" max="9985" width="17.625" style="1" bestFit="1" customWidth="1"/>
    <col min="9986" max="9986" width="11.375" style="1" bestFit="1" customWidth="1"/>
    <col min="9987" max="9988" width="14.125" style="1" bestFit="1" customWidth="1"/>
    <col min="9989" max="9989" width="11.375" style="1" bestFit="1" customWidth="1"/>
    <col min="9990" max="9992" width="12.5" style="1" bestFit="1" customWidth="1"/>
    <col min="9993" max="9993" width="11" style="1" bestFit="1" customWidth="1"/>
    <col min="9994" max="10012" width="13" style="1" bestFit="1" customWidth="1"/>
    <col min="10013" max="10016" width="11" style="1" bestFit="1" customWidth="1"/>
    <col min="10017" max="10019" width="12.25" style="1" bestFit="1" customWidth="1"/>
    <col min="10020" max="10032" width="11" style="1" bestFit="1" customWidth="1"/>
    <col min="10033" max="10033" width="13.25" style="1" bestFit="1" customWidth="1"/>
    <col min="10034" max="10034" width="10" style="1" bestFit="1" customWidth="1"/>
    <col min="10035" max="10035" width="11" style="1" bestFit="1" customWidth="1"/>
    <col min="10036" max="10239" width="9" style="1"/>
    <col min="10240" max="10240" width="2.875" style="1" bestFit="1" customWidth="1"/>
    <col min="10241" max="10241" width="17.625" style="1" bestFit="1" customWidth="1"/>
    <col min="10242" max="10242" width="11.375" style="1" bestFit="1" customWidth="1"/>
    <col min="10243" max="10244" width="14.125" style="1" bestFit="1" customWidth="1"/>
    <col min="10245" max="10245" width="11.375" style="1" bestFit="1" customWidth="1"/>
    <col min="10246" max="10248" width="12.5" style="1" bestFit="1" customWidth="1"/>
    <col min="10249" max="10249" width="11" style="1" bestFit="1" customWidth="1"/>
    <col min="10250" max="10268" width="13" style="1" bestFit="1" customWidth="1"/>
    <col min="10269" max="10272" width="11" style="1" bestFit="1" customWidth="1"/>
    <col min="10273" max="10275" width="12.25" style="1" bestFit="1" customWidth="1"/>
    <col min="10276" max="10288" width="11" style="1" bestFit="1" customWidth="1"/>
    <col min="10289" max="10289" width="13.25" style="1" bestFit="1" customWidth="1"/>
    <col min="10290" max="10290" width="10" style="1" bestFit="1" customWidth="1"/>
    <col min="10291" max="10291" width="11" style="1" bestFit="1" customWidth="1"/>
    <col min="10292" max="10495" width="9" style="1"/>
    <col min="10496" max="10496" width="2.875" style="1" bestFit="1" customWidth="1"/>
    <col min="10497" max="10497" width="17.625" style="1" bestFit="1" customWidth="1"/>
    <col min="10498" max="10498" width="11.375" style="1" bestFit="1" customWidth="1"/>
    <col min="10499" max="10500" width="14.125" style="1" bestFit="1" customWidth="1"/>
    <col min="10501" max="10501" width="11.375" style="1" bestFit="1" customWidth="1"/>
    <col min="10502" max="10504" width="12.5" style="1" bestFit="1" customWidth="1"/>
    <col min="10505" max="10505" width="11" style="1" bestFit="1" customWidth="1"/>
    <col min="10506" max="10524" width="13" style="1" bestFit="1" customWidth="1"/>
    <col min="10525" max="10528" width="11" style="1" bestFit="1" customWidth="1"/>
    <col min="10529" max="10531" width="12.25" style="1" bestFit="1" customWidth="1"/>
    <col min="10532" max="10544" width="11" style="1" bestFit="1" customWidth="1"/>
    <col min="10545" max="10545" width="13.25" style="1" bestFit="1" customWidth="1"/>
    <col min="10546" max="10546" width="10" style="1" bestFit="1" customWidth="1"/>
    <col min="10547" max="10547" width="11" style="1" bestFit="1" customWidth="1"/>
    <col min="10548" max="10751" width="9" style="1"/>
    <col min="10752" max="10752" width="2.875" style="1" bestFit="1" customWidth="1"/>
    <col min="10753" max="10753" width="17.625" style="1" bestFit="1" customWidth="1"/>
    <col min="10754" max="10754" width="11.375" style="1" bestFit="1" customWidth="1"/>
    <col min="10755" max="10756" width="14.125" style="1" bestFit="1" customWidth="1"/>
    <col min="10757" max="10757" width="11.375" style="1" bestFit="1" customWidth="1"/>
    <col min="10758" max="10760" width="12.5" style="1" bestFit="1" customWidth="1"/>
    <col min="10761" max="10761" width="11" style="1" bestFit="1" customWidth="1"/>
    <col min="10762" max="10780" width="13" style="1" bestFit="1" customWidth="1"/>
    <col min="10781" max="10784" width="11" style="1" bestFit="1" customWidth="1"/>
    <col min="10785" max="10787" width="12.25" style="1" bestFit="1" customWidth="1"/>
    <col min="10788" max="10800" width="11" style="1" bestFit="1" customWidth="1"/>
    <col min="10801" max="10801" width="13.25" style="1" bestFit="1" customWidth="1"/>
    <col min="10802" max="10802" width="10" style="1" bestFit="1" customWidth="1"/>
    <col min="10803" max="10803" width="11" style="1" bestFit="1" customWidth="1"/>
    <col min="10804" max="11007" width="9" style="1"/>
    <col min="11008" max="11008" width="2.875" style="1" bestFit="1" customWidth="1"/>
    <col min="11009" max="11009" width="17.625" style="1" bestFit="1" customWidth="1"/>
    <col min="11010" max="11010" width="11.375" style="1" bestFit="1" customWidth="1"/>
    <col min="11011" max="11012" width="14.125" style="1" bestFit="1" customWidth="1"/>
    <col min="11013" max="11013" width="11.375" style="1" bestFit="1" customWidth="1"/>
    <col min="11014" max="11016" width="12.5" style="1" bestFit="1" customWidth="1"/>
    <col min="11017" max="11017" width="11" style="1" bestFit="1" customWidth="1"/>
    <col min="11018" max="11036" width="13" style="1" bestFit="1" customWidth="1"/>
    <col min="11037" max="11040" width="11" style="1" bestFit="1" customWidth="1"/>
    <col min="11041" max="11043" width="12.25" style="1" bestFit="1" customWidth="1"/>
    <col min="11044" max="11056" width="11" style="1" bestFit="1" customWidth="1"/>
    <col min="11057" max="11057" width="13.25" style="1" bestFit="1" customWidth="1"/>
    <col min="11058" max="11058" width="10" style="1" bestFit="1" customWidth="1"/>
    <col min="11059" max="11059" width="11" style="1" bestFit="1" customWidth="1"/>
    <col min="11060" max="11263" width="9" style="1"/>
    <col min="11264" max="11264" width="2.875" style="1" bestFit="1" customWidth="1"/>
    <col min="11265" max="11265" width="17.625" style="1" bestFit="1" customWidth="1"/>
    <col min="11266" max="11266" width="11.375" style="1" bestFit="1" customWidth="1"/>
    <col min="11267" max="11268" width="14.125" style="1" bestFit="1" customWidth="1"/>
    <col min="11269" max="11269" width="11.375" style="1" bestFit="1" customWidth="1"/>
    <col min="11270" max="11272" width="12.5" style="1" bestFit="1" customWidth="1"/>
    <col min="11273" max="11273" width="11" style="1" bestFit="1" customWidth="1"/>
    <col min="11274" max="11292" width="13" style="1" bestFit="1" customWidth="1"/>
    <col min="11293" max="11296" width="11" style="1" bestFit="1" customWidth="1"/>
    <col min="11297" max="11299" width="12.25" style="1" bestFit="1" customWidth="1"/>
    <col min="11300" max="11312" width="11" style="1" bestFit="1" customWidth="1"/>
    <col min="11313" max="11313" width="13.25" style="1" bestFit="1" customWidth="1"/>
    <col min="11314" max="11314" width="10" style="1" bestFit="1" customWidth="1"/>
    <col min="11315" max="11315" width="11" style="1" bestFit="1" customWidth="1"/>
    <col min="11316" max="11519" width="9" style="1"/>
    <col min="11520" max="11520" width="2.875" style="1" bestFit="1" customWidth="1"/>
    <col min="11521" max="11521" width="17.625" style="1" bestFit="1" customWidth="1"/>
    <col min="11522" max="11522" width="11.375" style="1" bestFit="1" customWidth="1"/>
    <col min="11523" max="11524" width="14.125" style="1" bestFit="1" customWidth="1"/>
    <col min="11525" max="11525" width="11.375" style="1" bestFit="1" customWidth="1"/>
    <col min="11526" max="11528" width="12.5" style="1" bestFit="1" customWidth="1"/>
    <col min="11529" max="11529" width="11" style="1" bestFit="1" customWidth="1"/>
    <col min="11530" max="11548" width="13" style="1" bestFit="1" customWidth="1"/>
    <col min="11549" max="11552" width="11" style="1" bestFit="1" customWidth="1"/>
    <col min="11553" max="11555" width="12.25" style="1" bestFit="1" customWidth="1"/>
    <col min="11556" max="11568" width="11" style="1" bestFit="1" customWidth="1"/>
    <col min="11569" max="11569" width="13.25" style="1" bestFit="1" customWidth="1"/>
    <col min="11570" max="11570" width="10" style="1" bestFit="1" customWidth="1"/>
    <col min="11571" max="11571" width="11" style="1" bestFit="1" customWidth="1"/>
    <col min="11572" max="11775" width="9" style="1"/>
    <col min="11776" max="11776" width="2.875" style="1" bestFit="1" customWidth="1"/>
    <col min="11777" max="11777" width="17.625" style="1" bestFit="1" customWidth="1"/>
    <col min="11778" max="11778" width="11.375" style="1" bestFit="1" customWidth="1"/>
    <col min="11779" max="11780" width="14.125" style="1" bestFit="1" customWidth="1"/>
    <col min="11781" max="11781" width="11.375" style="1" bestFit="1" customWidth="1"/>
    <col min="11782" max="11784" width="12.5" style="1" bestFit="1" customWidth="1"/>
    <col min="11785" max="11785" width="11" style="1" bestFit="1" customWidth="1"/>
    <col min="11786" max="11804" width="13" style="1" bestFit="1" customWidth="1"/>
    <col min="11805" max="11808" width="11" style="1" bestFit="1" customWidth="1"/>
    <col min="11809" max="11811" width="12.25" style="1" bestFit="1" customWidth="1"/>
    <col min="11812" max="11824" width="11" style="1" bestFit="1" customWidth="1"/>
    <col min="11825" max="11825" width="13.25" style="1" bestFit="1" customWidth="1"/>
    <col min="11826" max="11826" width="10" style="1" bestFit="1" customWidth="1"/>
    <col min="11827" max="11827" width="11" style="1" bestFit="1" customWidth="1"/>
    <col min="11828" max="12031" width="9" style="1"/>
    <col min="12032" max="12032" width="2.875" style="1" bestFit="1" customWidth="1"/>
    <col min="12033" max="12033" width="17.625" style="1" bestFit="1" customWidth="1"/>
    <col min="12034" max="12034" width="11.375" style="1" bestFit="1" customWidth="1"/>
    <col min="12035" max="12036" width="14.125" style="1" bestFit="1" customWidth="1"/>
    <col min="12037" max="12037" width="11.375" style="1" bestFit="1" customWidth="1"/>
    <col min="12038" max="12040" width="12.5" style="1" bestFit="1" customWidth="1"/>
    <col min="12041" max="12041" width="11" style="1" bestFit="1" customWidth="1"/>
    <col min="12042" max="12060" width="13" style="1" bestFit="1" customWidth="1"/>
    <col min="12061" max="12064" width="11" style="1" bestFit="1" customWidth="1"/>
    <col min="12065" max="12067" width="12.25" style="1" bestFit="1" customWidth="1"/>
    <col min="12068" max="12080" width="11" style="1" bestFit="1" customWidth="1"/>
    <col min="12081" max="12081" width="13.25" style="1" bestFit="1" customWidth="1"/>
    <col min="12082" max="12082" width="10" style="1" bestFit="1" customWidth="1"/>
    <col min="12083" max="12083" width="11" style="1" bestFit="1" customWidth="1"/>
    <col min="12084" max="12287" width="9" style="1"/>
    <col min="12288" max="12288" width="2.875" style="1" bestFit="1" customWidth="1"/>
    <col min="12289" max="12289" width="17.625" style="1" bestFit="1" customWidth="1"/>
    <col min="12290" max="12290" width="11.375" style="1" bestFit="1" customWidth="1"/>
    <col min="12291" max="12292" width="14.125" style="1" bestFit="1" customWidth="1"/>
    <col min="12293" max="12293" width="11.375" style="1" bestFit="1" customWidth="1"/>
    <col min="12294" max="12296" width="12.5" style="1" bestFit="1" customWidth="1"/>
    <col min="12297" max="12297" width="11" style="1" bestFit="1" customWidth="1"/>
    <col min="12298" max="12316" width="13" style="1" bestFit="1" customWidth="1"/>
    <col min="12317" max="12320" width="11" style="1" bestFit="1" customWidth="1"/>
    <col min="12321" max="12323" width="12.25" style="1" bestFit="1" customWidth="1"/>
    <col min="12324" max="12336" width="11" style="1" bestFit="1" customWidth="1"/>
    <col min="12337" max="12337" width="13.25" style="1" bestFit="1" customWidth="1"/>
    <col min="12338" max="12338" width="10" style="1" bestFit="1" customWidth="1"/>
    <col min="12339" max="12339" width="11" style="1" bestFit="1" customWidth="1"/>
    <col min="12340" max="12543" width="9" style="1"/>
    <col min="12544" max="12544" width="2.875" style="1" bestFit="1" customWidth="1"/>
    <col min="12545" max="12545" width="17.625" style="1" bestFit="1" customWidth="1"/>
    <col min="12546" max="12546" width="11.375" style="1" bestFit="1" customWidth="1"/>
    <col min="12547" max="12548" width="14.125" style="1" bestFit="1" customWidth="1"/>
    <col min="12549" max="12549" width="11.375" style="1" bestFit="1" customWidth="1"/>
    <col min="12550" max="12552" width="12.5" style="1" bestFit="1" customWidth="1"/>
    <col min="12553" max="12553" width="11" style="1" bestFit="1" customWidth="1"/>
    <col min="12554" max="12572" width="13" style="1" bestFit="1" customWidth="1"/>
    <col min="12573" max="12576" width="11" style="1" bestFit="1" customWidth="1"/>
    <col min="12577" max="12579" width="12.25" style="1" bestFit="1" customWidth="1"/>
    <col min="12580" max="12592" width="11" style="1" bestFit="1" customWidth="1"/>
    <col min="12593" max="12593" width="13.25" style="1" bestFit="1" customWidth="1"/>
    <col min="12594" max="12594" width="10" style="1" bestFit="1" customWidth="1"/>
    <col min="12595" max="12595" width="11" style="1" bestFit="1" customWidth="1"/>
    <col min="12596" max="12799" width="9" style="1"/>
    <col min="12800" max="12800" width="2.875" style="1" bestFit="1" customWidth="1"/>
    <col min="12801" max="12801" width="17.625" style="1" bestFit="1" customWidth="1"/>
    <col min="12802" max="12802" width="11.375" style="1" bestFit="1" customWidth="1"/>
    <col min="12803" max="12804" width="14.125" style="1" bestFit="1" customWidth="1"/>
    <col min="12805" max="12805" width="11.375" style="1" bestFit="1" customWidth="1"/>
    <col min="12806" max="12808" width="12.5" style="1" bestFit="1" customWidth="1"/>
    <col min="12809" max="12809" width="11" style="1" bestFit="1" customWidth="1"/>
    <col min="12810" max="12828" width="13" style="1" bestFit="1" customWidth="1"/>
    <col min="12829" max="12832" width="11" style="1" bestFit="1" customWidth="1"/>
    <col min="12833" max="12835" width="12.25" style="1" bestFit="1" customWidth="1"/>
    <col min="12836" max="12848" width="11" style="1" bestFit="1" customWidth="1"/>
    <col min="12849" max="12849" width="13.25" style="1" bestFit="1" customWidth="1"/>
    <col min="12850" max="12850" width="10" style="1" bestFit="1" customWidth="1"/>
    <col min="12851" max="12851" width="11" style="1" bestFit="1" customWidth="1"/>
    <col min="12852" max="13055" width="9" style="1"/>
    <col min="13056" max="13056" width="2.875" style="1" bestFit="1" customWidth="1"/>
    <col min="13057" max="13057" width="17.625" style="1" bestFit="1" customWidth="1"/>
    <col min="13058" max="13058" width="11.375" style="1" bestFit="1" customWidth="1"/>
    <col min="13059" max="13060" width="14.125" style="1" bestFit="1" customWidth="1"/>
    <col min="13061" max="13061" width="11.375" style="1" bestFit="1" customWidth="1"/>
    <col min="13062" max="13064" width="12.5" style="1" bestFit="1" customWidth="1"/>
    <col min="13065" max="13065" width="11" style="1" bestFit="1" customWidth="1"/>
    <col min="13066" max="13084" width="13" style="1" bestFit="1" customWidth="1"/>
    <col min="13085" max="13088" width="11" style="1" bestFit="1" customWidth="1"/>
    <col min="13089" max="13091" width="12.25" style="1" bestFit="1" customWidth="1"/>
    <col min="13092" max="13104" width="11" style="1" bestFit="1" customWidth="1"/>
    <col min="13105" max="13105" width="13.25" style="1" bestFit="1" customWidth="1"/>
    <col min="13106" max="13106" width="10" style="1" bestFit="1" customWidth="1"/>
    <col min="13107" max="13107" width="11" style="1" bestFit="1" customWidth="1"/>
    <col min="13108" max="13311" width="9" style="1"/>
    <col min="13312" max="13312" width="2.875" style="1" bestFit="1" customWidth="1"/>
    <col min="13313" max="13313" width="17.625" style="1" bestFit="1" customWidth="1"/>
    <col min="13314" max="13314" width="11.375" style="1" bestFit="1" customWidth="1"/>
    <col min="13315" max="13316" width="14.125" style="1" bestFit="1" customWidth="1"/>
    <col min="13317" max="13317" width="11.375" style="1" bestFit="1" customWidth="1"/>
    <col min="13318" max="13320" width="12.5" style="1" bestFit="1" customWidth="1"/>
    <col min="13321" max="13321" width="11" style="1" bestFit="1" customWidth="1"/>
    <col min="13322" max="13340" width="13" style="1" bestFit="1" customWidth="1"/>
    <col min="13341" max="13344" width="11" style="1" bestFit="1" customWidth="1"/>
    <col min="13345" max="13347" width="12.25" style="1" bestFit="1" customWidth="1"/>
    <col min="13348" max="13360" width="11" style="1" bestFit="1" customWidth="1"/>
    <col min="13361" max="13361" width="13.25" style="1" bestFit="1" customWidth="1"/>
    <col min="13362" max="13362" width="10" style="1" bestFit="1" customWidth="1"/>
    <col min="13363" max="13363" width="11" style="1" bestFit="1" customWidth="1"/>
    <col min="13364" max="13567" width="9" style="1"/>
    <col min="13568" max="13568" width="2.875" style="1" bestFit="1" customWidth="1"/>
    <col min="13569" max="13569" width="17.625" style="1" bestFit="1" customWidth="1"/>
    <col min="13570" max="13570" width="11.375" style="1" bestFit="1" customWidth="1"/>
    <col min="13571" max="13572" width="14.125" style="1" bestFit="1" customWidth="1"/>
    <col min="13573" max="13573" width="11.375" style="1" bestFit="1" customWidth="1"/>
    <col min="13574" max="13576" width="12.5" style="1" bestFit="1" customWidth="1"/>
    <col min="13577" max="13577" width="11" style="1" bestFit="1" customWidth="1"/>
    <col min="13578" max="13596" width="13" style="1" bestFit="1" customWidth="1"/>
    <col min="13597" max="13600" width="11" style="1" bestFit="1" customWidth="1"/>
    <col min="13601" max="13603" width="12.25" style="1" bestFit="1" customWidth="1"/>
    <col min="13604" max="13616" width="11" style="1" bestFit="1" customWidth="1"/>
    <col min="13617" max="13617" width="13.25" style="1" bestFit="1" customWidth="1"/>
    <col min="13618" max="13618" width="10" style="1" bestFit="1" customWidth="1"/>
    <col min="13619" max="13619" width="11" style="1" bestFit="1" customWidth="1"/>
    <col min="13620" max="13823" width="9" style="1"/>
    <col min="13824" max="13824" width="2.875" style="1" bestFit="1" customWidth="1"/>
    <col min="13825" max="13825" width="17.625" style="1" bestFit="1" customWidth="1"/>
    <col min="13826" max="13826" width="11.375" style="1" bestFit="1" customWidth="1"/>
    <col min="13827" max="13828" width="14.125" style="1" bestFit="1" customWidth="1"/>
    <col min="13829" max="13829" width="11.375" style="1" bestFit="1" customWidth="1"/>
    <col min="13830" max="13832" width="12.5" style="1" bestFit="1" customWidth="1"/>
    <col min="13833" max="13833" width="11" style="1" bestFit="1" customWidth="1"/>
    <col min="13834" max="13852" width="13" style="1" bestFit="1" customWidth="1"/>
    <col min="13853" max="13856" width="11" style="1" bestFit="1" customWidth="1"/>
    <col min="13857" max="13859" width="12.25" style="1" bestFit="1" customWidth="1"/>
    <col min="13860" max="13872" width="11" style="1" bestFit="1" customWidth="1"/>
    <col min="13873" max="13873" width="13.25" style="1" bestFit="1" customWidth="1"/>
    <col min="13874" max="13874" width="10" style="1" bestFit="1" customWidth="1"/>
    <col min="13875" max="13875" width="11" style="1" bestFit="1" customWidth="1"/>
    <col min="13876" max="14079" width="9" style="1"/>
    <col min="14080" max="14080" width="2.875" style="1" bestFit="1" customWidth="1"/>
    <col min="14081" max="14081" width="17.625" style="1" bestFit="1" customWidth="1"/>
    <col min="14082" max="14082" width="11.375" style="1" bestFit="1" customWidth="1"/>
    <col min="14083" max="14084" width="14.125" style="1" bestFit="1" customWidth="1"/>
    <col min="14085" max="14085" width="11.375" style="1" bestFit="1" customWidth="1"/>
    <col min="14086" max="14088" width="12.5" style="1" bestFit="1" customWidth="1"/>
    <col min="14089" max="14089" width="11" style="1" bestFit="1" customWidth="1"/>
    <col min="14090" max="14108" width="13" style="1" bestFit="1" customWidth="1"/>
    <col min="14109" max="14112" width="11" style="1" bestFit="1" customWidth="1"/>
    <col min="14113" max="14115" width="12.25" style="1" bestFit="1" customWidth="1"/>
    <col min="14116" max="14128" width="11" style="1" bestFit="1" customWidth="1"/>
    <col min="14129" max="14129" width="13.25" style="1" bestFit="1" customWidth="1"/>
    <col min="14130" max="14130" width="10" style="1" bestFit="1" customWidth="1"/>
    <col min="14131" max="14131" width="11" style="1" bestFit="1" customWidth="1"/>
    <col min="14132" max="14335" width="9" style="1"/>
    <col min="14336" max="14336" width="2.875" style="1" bestFit="1" customWidth="1"/>
    <col min="14337" max="14337" width="17.625" style="1" bestFit="1" customWidth="1"/>
    <col min="14338" max="14338" width="11.375" style="1" bestFit="1" customWidth="1"/>
    <col min="14339" max="14340" width="14.125" style="1" bestFit="1" customWidth="1"/>
    <col min="14341" max="14341" width="11.375" style="1" bestFit="1" customWidth="1"/>
    <col min="14342" max="14344" width="12.5" style="1" bestFit="1" customWidth="1"/>
    <col min="14345" max="14345" width="11" style="1" bestFit="1" customWidth="1"/>
    <col min="14346" max="14364" width="13" style="1" bestFit="1" customWidth="1"/>
    <col min="14365" max="14368" width="11" style="1" bestFit="1" customWidth="1"/>
    <col min="14369" max="14371" width="12.25" style="1" bestFit="1" customWidth="1"/>
    <col min="14372" max="14384" width="11" style="1" bestFit="1" customWidth="1"/>
    <col min="14385" max="14385" width="13.25" style="1" bestFit="1" customWidth="1"/>
    <col min="14386" max="14386" width="10" style="1" bestFit="1" customWidth="1"/>
    <col min="14387" max="14387" width="11" style="1" bestFit="1" customWidth="1"/>
    <col min="14388" max="14591" width="9" style="1"/>
    <col min="14592" max="14592" width="2.875" style="1" bestFit="1" customWidth="1"/>
    <col min="14593" max="14593" width="17.625" style="1" bestFit="1" customWidth="1"/>
    <col min="14594" max="14594" width="11.375" style="1" bestFit="1" customWidth="1"/>
    <col min="14595" max="14596" width="14.125" style="1" bestFit="1" customWidth="1"/>
    <col min="14597" max="14597" width="11.375" style="1" bestFit="1" customWidth="1"/>
    <col min="14598" max="14600" width="12.5" style="1" bestFit="1" customWidth="1"/>
    <col min="14601" max="14601" width="11" style="1" bestFit="1" customWidth="1"/>
    <col min="14602" max="14620" width="13" style="1" bestFit="1" customWidth="1"/>
    <col min="14621" max="14624" width="11" style="1" bestFit="1" customWidth="1"/>
    <col min="14625" max="14627" width="12.25" style="1" bestFit="1" customWidth="1"/>
    <col min="14628" max="14640" width="11" style="1" bestFit="1" customWidth="1"/>
    <col min="14641" max="14641" width="13.25" style="1" bestFit="1" customWidth="1"/>
    <col min="14642" max="14642" width="10" style="1" bestFit="1" customWidth="1"/>
    <col min="14643" max="14643" width="11" style="1" bestFit="1" customWidth="1"/>
    <col min="14644" max="14847" width="9" style="1"/>
    <col min="14848" max="14848" width="2.875" style="1" bestFit="1" customWidth="1"/>
    <col min="14849" max="14849" width="17.625" style="1" bestFit="1" customWidth="1"/>
    <col min="14850" max="14850" width="11.375" style="1" bestFit="1" customWidth="1"/>
    <col min="14851" max="14852" width="14.125" style="1" bestFit="1" customWidth="1"/>
    <col min="14853" max="14853" width="11.375" style="1" bestFit="1" customWidth="1"/>
    <col min="14854" max="14856" width="12.5" style="1" bestFit="1" customWidth="1"/>
    <col min="14857" max="14857" width="11" style="1" bestFit="1" customWidth="1"/>
    <col min="14858" max="14876" width="13" style="1" bestFit="1" customWidth="1"/>
    <col min="14877" max="14880" width="11" style="1" bestFit="1" customWidth="1"/>
    <col min="14881" max="14883" width="12.25" style="1" bestFit="1" customWidth="1"/>
    <col min="14884" max="14896" width="11" style="1" bestFit="1" customWidth="1"/>
    <col min="14897" max="14897" width="13.25" style="1" bestFit="1" customWidth="1"/>
    <col min="14898" max="14898" width="10" style="1" bestFit="1" customWidth="1"/>
    <col min="14899" max="14899" width="11" style="1" bestFit="1" customWidth="1"/>
    <col min="14900" max="15103" width="9" style="1"/>
    <col min="15104" max="15104" width="2.875" style="1" bestFit="1" customWidth="1"/>
    <col min="15105" max="15105" width="17.625" style="1" bestFit="1" customWidth="1"/>
    <col min="15106" max="15106" width="11.375" style="1" bestFit="1" customWidth="1"/>
    <col min="15107" max="15108" width="14.125" style="1" bestFit="1" customWidth="1"/>
    <col min="15109" max="15109" width="11.375" style="1" bestFit="1" customWidth="1"/>
    <col min="15110" max="15112" width="12.5" style="1" bestFit="1" customWidth="1"/>
    <col min="15113" max="15113" width="11" style="1" bestFit="1" customWidth="1"/>
    <col min="15114" max="15132" width="13" style="1" bestFit="1" customWidth="1"/>
    <col min="15133" max="15136" width="11" style="1" bestFit="1" customWidth="1"/>
    <col min="15137" max="15139" width="12.25" style="1" bestFit="1" customWidth="1"/>
    <col min="15140" max="15152" width="11" style="1" bestFit="1" customWidth="1"/>
    <col min="15153" max="15153" width="13.25" style="1" bestFit="1" customWidth="1"/>
    <col min="15154" max="15154" width="10" style="1" bestFit="1" customWidth="1"/>
    <col min="15155" max="15155" width="11" style="1" bestFit="1" customWidth="1"/>
    <col min="15156" max="15359" width="9" style="1"/>
    <col min="15360" max="15360" width="2.875" style="1" bestFit="1" customWidth="1"/>
    <col min="15361" max="15361" width="17.625" style="1" bestFit="1" customWidth="1"/>
    <col min="15362" max="15362" width="11.375" style="1" bestFit="1" customWidth="1"/>
    <col min="15363" max="15364" width="14.125" style="1" bestFit="1" customWidth="1"/>
    <col min="15365" max="15365" width="11.375" style="1" bestFit="1" customWidth="1"/>
    <col min="15366" max="15368" width="12.5" style="1" bestFit="1" customWidth="1"/>
    <col min="15369" max="15369" width="11" style="1" bestFit="1" customWidth="1"/>
    <col min="15370" max="15388" width="13" style="1" bestFit="1" customWidth="1"/>
    <col min="15389" max="15392" width="11" style="1" bestFit="1" customWidth="1"/>
    <col min="15393" max="15395" width="12.25" style="1" bestFit="1" customWidth="1"/>
    <col min="15396" max="15408" width="11" style="1" bestFit="1" customWidth="1"/>
    <col min="15409" max="15409" width="13.25" style="1" bestFit="1" customWidth="1"/>
    <col min="15410" max="15410" width="10" style="1" bestFit="1" customWidth="1"/>
    <col min="15411" max="15411" width="11" style="1" bestFit="1" customWidth="1"/>
    <col min="15412" max="15615" width="9" style="1"/>
    <col min="15616" max="15616" width="2.875" style="1" bestFit="1" customWidth="1"/>
    <col min="15617" max="15617" width="17.625" style="1" bestFit="1" customWidth="1"/>
    <col min="15618" max="15618" width="11.375" style="1" bestFit="1" customWidth="1"/>
    <col min="15619" max="15620" width="14.125" style="1" bestFit="1" customWidth="1"/>
    <col min="15621" max="15621" width="11.375" style="1" bestFit="1" customWidth="1"/>
    <col min="15622" max="15624" width="12.5" style="1" bestFit="1" customWidth="1"/>
    <col min="15625" max="15625" width="11" style="1" bestFit="1" customWidth="1"/>
    <col min="15626" max="15644" width="13" style="1" bestFit="1" customWidth="1"/>
    <col min="15645" max="15648" width="11" style="1" bestFit="1" customWidth="1"/>
    <col min="15649" max="15651" width="12.25" style="1" bestFit="1" customWidth="1"/>
    <col min="15652" max="15664" width="11" style="1" bestFit="1" customWidth="1"/>
    <col min="15665" max="15665" width="13.25" style="1" bestFit="1" customWidth="1"/>
    <col min="15666" max="15666" width="10" style="1" bestFit="1" customWidth="1"/>
    <col min="15667" max="15667" width="11" style="1" bestFit="1" customWidth="1"/>
    <col min="15668" max="15871" width="9" style="1"/>
    <col min="15872" max="15872" width="2.875" style="1" bestFit="1" customWidth="1"/>
    <col min="15873" max="15873" width="17.625" style="1" bestFit="1" customWidth="1"/>
    <col min="15874" max="15874" width="11.375" style="1" bestFit="1" customWidth="1"/>
    <col min="15875" max="15876" width="14.125" style="1" bestFit="1" customWidth="1"/>
    <col min="15877" max="15877" width="11.375" style="1" bestFit="1" customWidth="1"/>
    <col min="15878" max="15880" width="12.5" style="1" bestFit="1" customWidth="1"/>
    <col min="15881" max="15881" width="11" style="1" bestFit="1" customWidth="1"/>
    <col min="15882" max="15900" width="13" style="1" bestFit="1" customWidth="1"/>
    <col min="15901" max="15904" width="11" style="1" bestFit="1" customWidth="1"/>
    <col min="15905" max="15907" width="12.25" style="1" bestFit="1" customWidth="1"/>
    <col min="15908" max="15920" width="11" style="1" bestFit="1" customWidth="1"/>
    <col min="15921" max="15921" width="13.25" style="1" bestFit="1" customWidth="1"/>
    <col min="15922" max="15922" width="10" style="1" bestFit="1" customWidth="1"/>
    <col min="15923" max="15923" width="11" style="1" bestFit="1" customWidth="1"/>
    <col min="15924" max="16127" width="9" style="1"/>
    <col min="16128" max="16128" width="2.875" style="1" bestFit="1" customWidth="1"/>
    <col min="16129" max="16129" width="17.625" style="1" bestFit="1" customWidth="1"/>
    <col min="16130" max="16130" width="11.375" style="1" bestFit="1" customWidth="1"/>
    <col min="16131" max="16132" width="14.125" style="1" bestFit="1" customWidth="1"/>
    <col min="16133" max="16133" width="11.375" style="1" bestFit="1" customWidth="1"/>
    <col min="16134" max="16136" width="12.5" style="1" bestFit="1" customWidth="1"/>
    <col min="16137" max="16137" width="11" style="1" bestFit="1" customWidth="1"/>
    <col min="16138" max="16156" width="13" style="1" bestFit="1" customWidth="1"/>
    <col min="16157" max="16160" width="11" style="1" bestFit="1" customWidth="1"/>
    <col min="16161" max="16163" width="12.25" style="1" bestFit="1" customWidth="1"/>
    <col min="16164" max="16176" width="11" style="1" bestFit="1" customWidth="1"/>
    <col min="16177" max="16177" width="13.25" style="1" bestFit="1" customWidth="1"/>
    <col min="16178" max="16178" width="10" style="1" bestFit="1" customWidth="1"/>
    <col min="16179" max="16179" width="11" style="1" bestFit="1" customWidth="1"/>
    <col min="16180" max="16384" width="9" style="1"/>
  </cols>
  <sheetData>
    <row r="1" spans="1:51" hidden="1" x14ac:dyDescent="0.15"/>
    <row r="2" spans="1:51" ht="30.75" hidden="1" customHeight="1" x14ac:dyDescent="0.15"/>
    <row r="3" spans="1:51" x14ac:dyDescent="0.15">
      <c r="A3" s="53">
        <v>45505</v>
      </c>
      <c r="B3" s="53"/>
    </row>
    <row r="4" spans="1:51" s="5" customFormat="1" ht="10.5" customHeight="1" x14ac:dyDescent="0.15">
      <c r="A4" s="46" t="s">
        <v>0</v>
      </c>
      <c r="B4" s="46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2" t="s">
        <v>10</v>
      </c>
      <c r="M4" s="2" t="s">
        <v>11</v>
      </c>
      <c r="N4" s="2" t="s">
        <v>12</v>
      </c>
      <c r="O4" s="2" t="s">
        <v>13</v>
      </c>
      <c r="P4" s="2" t="s">
        <v>14</v>
      </c>
      <c r="Q4" s="2" t="s">
        <v>170</v>
      </c>
      <c r="R4" s="2" t="s">
        <v>15</v>
      </c>
      <c r="S4" s="2" t="s">
        <v>16</v>
      </c>
      <c r="T4" s="2" t="s">
        <v>17</v>
      </c>
      <c r="U4" s="2" t="s">
        <v>18</v>
      </c>
      <c r="V4" s="2" t="s">
        <v>19</v>
      </c>
      <c r="W4" s="2" t="s">
        <v>20</v>
      </c>
      <c r="X4" s="2" t="s">
        <v>21</v>
      </c>
      <c r="Y4" s="2" t="s">
        <v>22</v>
      </c>
      <c r="Z4" s="2" t="s">
        <v>23</v>
      </c>
      <c r="AA4" s="2" t="s">
        <v>24</v>
      </c>
      <c r="AB4" s="2" t="s">
        <v>25</v>
      </c>
      <c r="AC4" s="2" t="s">
        <v>187</v>
      </c>
      <c r="AD4" s="2" t="s">
        <v>26</v>
      </c>
      <c r="AE4" s="2" t="s">
        <v>27</v>
      </c>
      <c r="AF4" s="2" t="s">
        <v>28</v>
      </c>
      <c r="AG4" s="2" t="s">
        <v>29</v>
      </c>
      <c r="AH4" s="2" t="s">
        <v>30</v>
      </c>
      <c r="AI4" s="2" t="s">
        <v>31</v>
      </c>
      <c r="AJ4" s="2" t="s">
        <v>32</v>
      </c>
      <c r="AK4" s="2" t="s">
        <v>188</v>
      </c>
      <c r="AL4" s="2" t="s">
        <v>189</v>
      </c>
      <c r="AM4" s="2" t="s">
        <v>33</v>
      </c>
      <c r="AN4" s="2" t="s">
        <v>34</v>
      </c>
      <c r="AO4" s="2" t="s">
        <v>35</v>
      </c>
      <c r="AP4" s="2" t="s">
        <v>36</v>
      </c>
      <c r="AQ4" s="2" t="s">
        <v>193</v>
      </c>
      <c r="AR4" s="2" t="s">
        <v>194</v>
      </c>
      <c r="AS4" s="2" t="s">
        <v>37</v>
      </c>
      <c r="AT4" s="2" t="s">
        <v>38</v>
      </c>
      <c r="AU4" s="2" t="s">
        <v>39</v>
      </c>
      <c r="AV4" s="3" t="s">
        <v>40</v>
      </c>
      <c r="AW4" s="3" t="s">
        <v>41</v>
      </c>
      <c r="AX4" s="3" t="s">
        <v>42</v>
      </c>
      <c r="AY4" s="4" t="s">
        <v>43</v>
      </c>
    </row>
    <row r="5" spans="1:51" s="5" customFormat="1" hidden="1" x14ac:dyDescent="0.15">
      <c r="A5" s="50" t="s">
        <v>44</v>
      </c>
      <c r="B5" s="54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2</v>
      </c>
      <c r="AC5" s="2">
        <v>2</v>
      </c>
      <c r="AD5" s="2">
        <v>6</v>
      </c>
      <c r="AE5" s="2">
        <v>6</v>
      </c>
      <c r="AF5" s="2">
        <v>6</v>
      </c>
      <c r="AG5" s="2">
        <v>6</v>
      </c>
      <c r="AH5" s="2">
        <v>6</v>
      </c>
      <c r="AI5" s="2">
        <v>6</v>
      </c>
      <c r="AJ5" s="2">
        <v>6</v>
      </c>
      <c r="AK5" s="2">
        <v>7</v>
      </c>
      <c r="AL5" s="2">
        <v>7</v>
      </c>
      <c r="AM5" s="2">
        <v>7</v>
      </c>
      <c r="AN5" s="2">
        <v>7</v>
      </c>
      <c r="AO5" s="2">
        <v>7</v>
      </c>
      <c r="AP5" s="2">
        <v>7</v>
      </c>
      <c r="AQ5" s="2">
        <v>8</v>
      </c>
      <c r="AR5" s="2">
        <v>8</v>
      </c>
      <c r="AS5" s="2">
        <v>8</v>
      </c>
      <c r="AT5" s="2">
        <v>8</v>
      </c>
      <c r="AU5" s="2">
        <v>8</v>
      </c>
      <c r="AV5" s="3">
        <v>8</v>
      </c>
      <c r="AW5" s="3"/>
      <c r="AX5" s="3"/>
      <c r="AY5" s="4"/>
    </row>
    <row r="6" spans="1:51" s="5" customFormat="1" hidden="1" x14ac:dyDescent="0.15">
      <c r="A6" s="50" t="s">
        <v>45</v>
      </c>
      <c r="B6" s="54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2" t="s">
        <v>47</v>
      </c>
      <c r="L6" s="2" t="s">
        <v>47</v>
      </c>
      <c r="M6" s="2" t="s">
        <v>47</v>
      </c>
      <c r="N6" s="2" t="s">
        <v>47</v>
      </c>
      <c r="O6" s="2" t="s">
        <v>47</v>
      </c>
      <c r="P6" s="2" t="s">
        <v>47</v>
      </c>
      <c r="Q6" s="2" t="s">
        <v>47</v>
      </c>
      <c r="R6" s="2" t="s">
        <v>47</v>
      </c>
      <c r="S6" s="2" t="s">
        <v>47</v>
      </c>
      <c r="T6" s="2" t="s">
        <v>47</v>
      </c>
      <c r="U6" s="2" t="s">
        <v>47</v>
      </c>
      <c r="V6" s="2" t="s">
        <v>47</v>
      </c>
      <c r="W6" s="2" t="s">
        <v>47</v>
      </c>
      <c r="X6" s="2" t="s">
        <v>47</v>
      </c>
      <c r="Y6" s="2" t="s">
        <v>47</v>
      </c>
      <c r="Z6" s="2" t="s">
        <v>47</v>
      </c>
      <c r="AA6" s="2" t="s">
        <v>47</v>
      </c>
      <c r="AB6" s="2" t="s">
        <v>47</v>
      </c>
      <c r="AC6" s="2" t="s">
        <v>47</v>
      </c>
      <c r="AD6" s="2" t="s">
        <v>48</v>
      </c>
      <c r="AE6" s="2" t="s">
        <v>48</v>
      </c>
      <c r="AF6" s="2" t="s">
        <v>48</v>
      </c>
      <c r="AG6" s="2" t="s">
        <v>48</v>
      </c>
      <c r="AH6" s="2" t="s">
        <v>48</v>
      </c>
      <c r="AI6" s="2" t="s">
        <v>48</v>
      </c>
      <c r="AJ6" s="2" t="s">
        <v>48</v>
      </c>
      <c r="AK6" s="2" t="s">
        <v>49</v>
      </c>
      <c r="AL6" s="2" t="s">
        <v>49</v>
      </c>
      <c r="AM6" s="2" t="s">
        <v>49</v>
      </c>
      <c r="AN6" s="2" t="s">
        <v>49</v>
      </c>
      <c r="AO6" s="2" t="s">
        <v>49</v>
      </c>
      <c r="AP6" s="2" t="s">
        <v>49</v>
      </c>
      <c r="AQ6" s="2" t="s">
        <v>50</v>
      </c>
      <c r="AR6" s="2" t="s">
        <v>50</v>
      </c>
      <c r="AS6" s="2" t="s">
        <v>50</v>
      </c>
      <c r="AT6" s="2" t="s">
        <v>50</v>
      </c>
      <c r="AU6" s="2" t="s">
        <v>50</v>
      </c>
      <c r="AV6" s="3" t="s">
        <v>50</v>
      </c>
      <c r="AW6" s="3"/>
      <c r="AX6" s="3"/>
      <c r="AY6" s="4"/>
    </row>
    <row r="7" spans="1:51" s="5" customFormat="1" ht="12" customHeight="1" x14ac:dyDescent="0.15">
      <c r="A7" s="52" t="s">
        <v>51</v>
      </c>
      <c r="B7" s="52"/>
      <c r="C7" s="36" t="s">
        <v>157</v>
      </c>
      <c r="D7" s="36"/>
      <c r="E7" s="36" t="s">
        <v>158</v>
      </c>
      <c r="F7" s="36" t="s">
        <v>159</v>
      </c>
      <c r="G7" s="36" t="s">
        <v>160</v>
      </c>
      <c r="H7" s="36" t="s">
        <v>161</v>
      </c>
      <c r="I7" s="36" t="s">
        <v>162</v>
      </c>
      <c r="J7" s="36"/>
      <c r="K7" s="36" t="s">
        <v>163</v>
      </c>
      <c r="L7" s="36" t="s">
        <v>164</v>
      </c>
      <c r="M7" s="36" t="s">
        <v>169</v>
      </c>
      <c r="N7" s="36" t="s">
        <v>176</v>
      </c>
      <c r="O7" s="36" t="s">
        <v>174</v>
      </c>
      <c r="P7" s="36" t="s">
        <v>168</v>
      </c>
      <c r="Q7" s="36" t="s">
        <v>171</v>
      </c>
      <c r="R7" s="36" t="s">
        <v>172</v>
      </c>
      <c r="S7" s="36" t="s">
        <v>177</v>
      </c>
      <c r="T7" s="36" t="s">
        <v>173</v>
      </c>
      <c r="U7" s="36" t="s">
        <v>178</v>
      </c>
      <c r="V7" s="36" t="s">
        <v>180</v>
      </c>
      <c r="W7" s="36" t="s">
        <v>181</v>
      </c>
      <c r="X7" s="36" t="s">
        <v>179</v>
      </c>
      <c r="Y7" s="36" t="s">
        <v>182</v>
      </c>
      <c r="Z7" s="36" t="s">
        <v>185</v>
      </c>
      <c r="AA7" s="36"/>
      <c r="AB7" s="36"/>
      <c r="AC7" s="36"/>
      <c r="AD7" s="36" t="s">
        <v>166</v>
      </c>
      <c r="AE7" s="36" t="s">
        <v>167</v>
      </c>
      <c r="AF7" s="36" t="s">
        <v>165</v>
      </c>
      <c r="AG7" s="36" t="s">
        <v>175</v>
      </c>
      <c r="AH7" s="36" t="s">
        <v>186</v>
      </c>
      <c r="AI7" s="36" t="s">
        <v>183</v>
      </c>
      <c r="AJ7" s="36" t="s">
        <v>184</v>
      </c>
      <c r="AK7" s="36" t="s">
        <v>190</v>
      </c>
      <c r="AL7" s="36" t="s">
        <v>172</v>
      </c>
      <c r="AM7" s="36" t="s">
        <v>191</v>
      </c>
      <c r="AN7" s="36" t="s">
        <v>192</v>
      </c>
      <c r="AO7" s="36" t="s">
        <v>191</v>
      </c>
      <c r="AP7" s="36"/>
      <c r="AQ7" s="36" t="s">
        <v>195</v>
      </c>
      <c r="AR7" s="36" t="s">
        <v>196</v>
      </c>
      <c r="AS7" s="36" t="s">
        <v>197</v>
      </c>
      <c r="AT7" s="36" t="s">
        <v>198</v>
      </c>
      <c r="AU7" s="36" t="s">
        <v>199</v>
      </c>
      <c r="AV7" s="37" t="s">
        <v>200</v>
      </c>
      <c r="AW7" s="6"/>
      <c r="AX7" s="6"/>
      <c r="AY7" s="7"/>
    </row>
    <row r="8" spans="1:51" s="5" customFormat="1" ht="12" customHeight="1" x14ac:dyDescent="0.15">
      <c r="A8" s="52" t="s">
        <v>52</v>
      </c>
      <c r="B8" s="52"/>
      <c r="C8" s="36" t="s">
        <v>201</v>
      </c>
      <c r="D8" s="36"/>
      <c r="E8" s="36" t="s">
        <v>202</v>
      </c>
      <c r="F8" s="36" t="s">
        <v>203</v>
      </c>
      <c r="G8" s="36" t="s">
        <v>204</v>
      </c>
      <c r="H8" s="36" t="s">
        <v>205</v>
      </c>
      <c r="I8" s="36" t="s">
        <v>206</v>
      </c>
      <c r="J8" s="36" t="s">
        <v>207</v>
      </c>
      <c r="K8" s="36" t="s">
        <v>208</v>
      </c>
      <c r="L8" s="36" t="s">
        <v>209</v>
      </c>
      <c r="M8" s="36" t="s">
        <v>210</v>
      </c>
      <c r="N8" s="36" t="s">
        <v>211</v>
      </c>
      <c r="O8" s="36" t="s">
        <v>202</v>
      </c>
      <c r="P8" s="36" t="s">
        <v>212</v>
      </c>
      <c r="Q8" s="36" t="s">
        <v>213</v>
      </c>
      <c r="R8" s="36" t="s">
        <v>214</v>
      </c>
      <c r="S8" s="36" t="s">
        <v>215</v>
      </c>
      <c r="T8" s="36" t="s">
        <v>216</v>
      </c>
      <c r="U8" s="36" t="s">
        <v>217</v>
      </c>
      <c r="V8" s="36" t="s">
        <v>218</v>
      </c>
      <c r="W8" s="36" t="s">
        <v>219</v>
      </c>
      <c r="X8" s="36" t="s">
        <v>220</v>
      </c>
      <c r="Y8" s="36" t="s">
        <v>221</v>
      </c>
      <c r="Z8" s="36" t="s">
        <v>222</v>
      </c>
      <c r="AA8" s="36"/>
      <c r="AB8" s="36"/>
      <c r="AC8" s="36" t="s">
        <v>223</v>
      </c>
      <c r="AD8" s="36" t="s">
        <v>224</v>
      </c>
      <c r="AE8" s="36" t="s">
        <v>225</v>
      </c>
      <c r="AF8" s="36" t="s">
        <v>226</v>
      </c>
      <c r="AG8" s="36" t="s">
        <v>227</v>
      </c>
      <c r="AH8" s="36" t="s">
        <v>228</v>
      </c>
      <c r="AI8" s="36" t="s">
        <v>229</v>
      </c>
      <c r="AJ8" s="36" t="s">
        <v>230</v>
      </c>
      <c r="AK8" s="36" t="s">
        <v>231</v>
      </c>
      <c r="AL8" s="36" t="s">
        <v>232</v>
      </c>
      <c r="AM8" s="36" t="s">
        <v>233</v>
      </c>
      <c r="AN8" s="36" t="s">
        <v>204</v>
      </c>
      <c r="AO8" s="36" t="s">
        <v>234</v>
      </c>
      <c r="AP8" s="36"/>
      <c r="AQ8" s="36" t="s">
        <v>235</v>
      </c>
      <c r="AR8" s="36" t="s">
        <v>226</v>
      </c>
      <c r="AS8" s="36" t="s">
        <v>236</v>
      </c>
      <c r="AT8" s="36" t="s">
        <v>218</v>
      </c>
      <c r="AU8" s="36" t="s">
        <v>237</v>
      </c>
      <c r="AV8" s="36" t="s">
        <v>238</v>
      </c>
      <c r="AW8" s="6"/>
      <c r="AX8" s="6"/>
      <c r="AY8" s="7"/>
    </row>
    <row r="9" spans="1:51" ht="12" customHeight="1" x14ac:dyDescent="0.15">
      <c r="A9" s="48" t="s">
        <v>53</v>
      </c>
      <c r="B9" s="49"/>
      <c r="C9" s="38">
        <v>10</v>
      </c>
      <c r="D9" s="38"/>
      <c r="E9" s="38">
        <v>10</v>
      </c>
      <c r="F9" s="38">
        <v>10</v>
      </c>
      <c r="G9" s="38">
        <v>8</v>
      </c>
      <c r="H9" s="38">
        <v>8</v>
      </c>
      <c r="I9" s="38">
        <v>8</v>
      </c>
      <c r="J9" s="38">
        <v>8</v>
      </c>
      <c r="K9" s="38">
        <v>8</v>
      </c>
      <c r="L9" s="38">
        <v>8</v>
      </c>
      <c r="M9" s="38">
        <v>10</v>
      </c>
      <c r="N9" s="38">
        <v>10</v>
      </c>
      <c r="O9" s="38">
        <v>10</v>
      </c>
      <c r="P9" s="38">
        <v>10</v>
      </c>
      <c r="Q9" s="38">
        <v>14</v>
      </c>
      <c r="R9" s="38">
        <v>10</v>
      </c>
      <c r="S9" s="38">
        <v>10</v>
      </c>
      <c r="T9" s="38">
        <v>10</v>
      </c>
      <c r="U9" s="38">
        <v>10</v>
      </c>
      <c r="V9" s="38">
        <v>10</v>
      </c>
      <c r="W9" s="38">
        <v>10</v>
      </c>
      <c r="X9" s="38">
        <v>10</v>
      </c>
      <c r="Y9" s="38">
        <v>10</v>
      </c>
      <c r="Z9" s="38">
        <v>10</v>
      </c>
      <c r="AA9" s="38"/>
      <c r="AB9" s="38"/>
      <c r="AC9" s="38">
        <v>14</v>
      </c>
      <c r="AD9" s="38">
        <v>8</v>
      </c>
      <c r="AE9" s="38">
        <v>8</v>
      </c>
      <c r="AF9" s="38">
        <v>8</v>
      </c>
      <c r="AG9" s="38">
        <v>10</v>
      </c>
      <c r="AH9" s="38">
        <v>10</v>
      </c>
      <c r="AI9" s="38">
        <v>10</v>
      </c>
      <c r="AJ9" s="38">
        <v>10</v>
      </c>
      <c r="AK9" s="38">
        <v>14</v>
      </c>
      <c r="AL9" s="38">
        <v>14</v>
      </c>
      <c r="AM9" s="38">
        <v>8</v>
      </c>
      <c r="AN9" s="38">
        <v>8</v>
      </c>
      <c r="AO9" s="38">
        <v>8</v>
      </c>
      <c r="AP9" s="38"/>
      <c r="AQ9" s="38">
        <v>14</v>
      </c>
      <c r="AR9" s="38">
        <v>18</v>
      </c>
      <c r="AS9" s="38">
        <v>8</v>
      </c>
      <c r="AT9" s="38">
        <v>8</v>
      </c>
      <c r="AU9" s="38">
        <v>8</v>
      </c>
      <c r="AV9" s="39">
        <v>8</v>
      </c>
      <c r="AW9" s="9">
        <f>SUM(C9:AV9)</f>
        <v>416</v>
      </c>
      <c r="AX9" s="9"/>
      <c r="AY9" s="10"/>
    </row>
    <row r="10" spans="1:51" ht="12.75" customHeight="1" x14ac:dyDescent="0.15">
      <c r="A10" s="46" t="s">
        <v>54</v>
      </c>
      <c r="B10" s="46"/>
      <c r="C10" s="40" t="s">
        <v>55</v>
      </c>
      <c r="D10" s="40" t="s">
        <v>55</v>
      </c>
      <c r="E10" s="40" t="s">
        <v>55</v>
      </c>
      <c r="F10" s="40" t="s">
        <v>55</v>
      </c>
      <c r="G10" s="40" t="s">
        <v>56</v>
      </c>
      <c r="H10" s="40" t="s">
        <v>56</v>
      </c>
      <c r="I10" s="40" t="s">
        <v>56</v>
      </c>
      <c r="J10" s="41"/>
      <c r="K10" s="41" t="s">
        <v>57</v>
      </c>
      <c r="L10" s="41" t="s">
        <v>58</v>
      </c>
      <c r="M10" s="41" t="s">
        <v>59</v>
      </c>
      <c r="N10" s="41" t="s">
        <v>59</v>
      </c>
      <c r="O10" s="41" t="s">
        <v>59</v>
      </c>
      <c r="P10" s="41" t="s">
        <v>59</v>
      </c>
      <c r="Q10" s="41" t="s">
        <v>59</v>
      </c>
      <c r="R10" s="41" t="s">
        <v>59</v>
      </c>
      <c r="S10" s="41" t="s">
        <v>59</v>
      </c>
      <c r="T10" s="41" t="s">
        <v>59</v>
      </c>
      <c r="U10" s="41" t="s">
        <v>60</v>
      </c>
      <c r="V10" s="41" t="s">
        <v>60</v>
      </c>
      <c r="W10" s="41" t="s">
        <v>60</v>
      </c>
      <c r="X10" s="41" t="s">
        <v>60</v>
      </c>
      <c r="Y10" s="41" t="s">
        <v>61</v>
      </c>
      <c r="Z10" s="41" t="s">
        <v>61</v>
      </c>
      <c r="AA10" s="41" t="s">
        <v>62</v>
      </c>
      <c r="AB10" s="41" t="s">
        <v>63</v>
      </c>
      <c r="AC10" s="41"/>
      <c r="AD10" s="41" t="s">
        <v>57</v>
      </c>
      <c r="AE10" s="41" t="s">
        <v>57</v>
      </c>
      <c r="AF10" s="41" t="s">
        <v>58</v>
      </c>
      <c r="AG10" s="41" t="s">
        <v>59</v>
      </c>
      <c r="AH10" s="41" t="s">
        <v>61</v>
      </c>
      <c r="AI10" s="41" t="s">
        <v>61</v>
      </c>
      <c r="AJ10" s="41" t="s">
        <v>61</v>
      </c>
      <c r="AK10" s="41" t="s">
        <v>64</v>
      </c>
      <c r="AL10" s="41" t="s">
        <v>64</v>
      </c>
      <c r="AM10" s="41" t="s">
        <v>62</v>
      </c>
      <c r="AN10" s="41" t="s">
        <v>62</v>
      </c>
      <c r="AO10" s="41" t="s">
        <v>62</v>
      </c>
      <c r="AP10" s="41"/>
      <c r="AQ10" s="41" t="s">
        <v>64</v>
      </c>
      <c r="AR10" s="41" t="s">
        <v>64</v>
      </c>
      <c r="AS10" s="41" t="s">
        <v>62</v>
      </c>
      <c r="AT10" s="41" t="s">
        <v>62</v>
      </c>
      <c r="AU10" s="41" t="s">
        <v>62</v>
      </c>
      <c r="AV10" s="42" t="s">
        <v>62</v>
      </c>
      <c r="AW10" s="12"/>
      <c r="AX10" s="12"/>
      <c r="AY10" s="13"/>
    </row>
    <row r="11" spans="1:51" ht="12.75" customHeight="1" x14ac:dyDescent="0.15">
      <c r="A11" s="46" t="s">
        <v>65</v>
      </c>
      <c r="B11" s="46"/>
      <c r="C11" s="14">
        <v>6845.2000000000007</v>
      </c>
      <c r="D11" s="14">
        <v>0</v>
      </c>
      <c r="E11" s="14">
        <v>6636.2000000000007</v>
      </c>
      <c r="F11" s="14">
        <v>6472.7</v>
      </c>
      <c r="G11" s="14">
        <v>3164.6</v>
      </c>
      <c r="H11" s="14">
        <v>3861.7999999999997</v>
      </c>
      <c r="I11" s="14">
        <v>3721.2000000000003</v>
      </c>
      <c r="J11" s="14">
        <v>0</v>
      </c>
      <c r="K11" s="14">
        <v>1254</v>
      </c>
      <c r="L11" s="14">
        <v>2409</v>
      </c>
      <c r="M11" s="14">
        <v>5269.1</v>
      </c>
      <c r="N11" s="14">
        <v>4650.4000000000005</v>
      </c>
      <c r="O11" s="14">
        <v>5736.5</v>
      </c>
      <c r="P11" s="14">
        <v>6337</v>
      </c>
      <c r="Q11" s="14">
        <v>3483</v>
      </c>
      <c r="R11" s="14">
        <v>5129.8999999999996</v>
      </c>
      <c r="S11" s="14">
        <v>6235.3</v>
      </c>
      <c r="T11" s="14">
        <v>4986.5</v>
      </c>
      <c r="U11" s="14">
        <v>6175.2999999999993</v>
      </c>
      <c r="V11" s="14">
        <v>7093.5</v>
      </c>
      <c r="W11" s="14">
        <v>6373.5</v>
      </c>
      <c r="X11" s="14">
        <v>6255.8</v>
      </c>
      <c r="Y11" s="14">
        <v>2317.1999999999998</v>
      </c>
      <c r="Z11" s="14">
        <v>1972.8</v>
      </c>
      <c r="AA11" s="14">
        <v>0</v>
      </c>
      <c r="AB11" s="14">
        <v>0</v>
      </c>
      <c r="AC11" s="14">
        <v>0</v>
      </c>
      <c r="AD11" s="14">
        <v>6777</v>
      </c>
      <c r="AE11" s="14">
        <v>5609</v>
      </c>
      <c r="AF11" s="14">
        <v>7399</v>
      </c>
      <c r="AG11" s="14">
        <v>9713</v>
      </c>
      <c r="AH11" s="14">
        <v>4236</v>
      </c>
      <c r="AI11" s="14">
        <v>6707</v>
      </c>
      <c r="AJ11" s="14">
        <v>2345</v>
      </c>
      <c r="AK11" s="14">
        <v>3089</v>
      </c>
      <c r="AL11" s="14">
        <v>3771.1</v>
      </c>
      <c r="AM11" s="14">
        <v>2829</v>
      </c>
      <c r="AN11" s="14">
        <v>2502.5</v>
      </c>
      <c r="AO11" s="14">
        <v>2520.5</v>
      </c>
      <c r="AP11" s="14">
        <v>0</v>
      </c>
      <c r="AQ11" s="14">
        <v>38.9</v>
      </c>
      <c r="AR11" s="14">
        <v>3924</v>
      </c>
      <c r="AS11" s="14">
        <v>4005.8</v>
      </c>
      <c r="AT11" s="14">
        <v>2573.3000000000002</v>
      </c>
      <c r="AU11" s="14">
        <v>3470.9</v>
      </c>
      <c r="AV11" s="15">
        <v>1917.3</v>
      </c>
      <c r="AW11" s="16">
        <f>SUM(C11:AV11)</f>
        <v>179808.79999999996</v>
      </c>
      <c r="AX11" s="16">
        <f t="shared" ref="AX11:AX45" si="0">AVERAGE(D11:AV11)</f>
        <v>3843.6355555555551</v>
      </c>
      <c r="AY11" s="13"/>
    </row>
    <row r="12" spans="1:51" ht="12.75" customHeight="1" x14ac:dyDescent="0.15">
      <c r="A12" s="50" t="s">
        <v>239</v>
      </c>
      <c r="B12" s="51"/>
      <c r="C12" s="43">
        <v>9.3513888888888896</v>
      </c>
      <c r="D12" s="43"/>
      <c r="E12" s="43">
        <v>11.075694444444444</v>
      </c>
      <c r="F12" s="43">
        <v>9.8555555555555561</v>
      </c>
      <c r="G12" s="43">
        <v>5.8506944444444446</v>
      </c>
      <c r="H12" s="43">
        <v>5.8888888888888893</v>
      </c>
      <c r="I12" s="43">
        <v>5.9722222222222223</v>
      </c>
      <c r="J12" s="43"/>
      <c r="K12" s="43">
        <v>1.6472222222222221</v>
      </c>
      <c r="L12" s="43"/>
      <c r="M12" s="43">
        <v>8.9444444444444446</v>
      </c>
      <c r="N12" s="43">
        <v>10.215277777777779</v>
      </c>
      <c r="O12" s="43">
        <v>11.02361111111111</v>
      </c>
      <c r="P12" s="43">
        <v>10.488194444444444</v>
      </c>
      <c r="Q12" s="43">
        <v>6.8972222222222221</v>
      </c>
      <c r="R12" s="43">
        <v>10.611111111111111</v>
      </c>
      <c r="S12" s="43">
        <v>9.7895833333333329</v>
      </c>
      <c r="T12" s="43">
        <v>9.2840277777777782</v>
      </c>
      <c r="U12" s="43">
        <v>10.664583333333333</v>
      </c>
      <c r="V12" s="43">
        <v>9.9972222222222218</v>
      </c>
      <c r="W12" s="43">
        <v>9.4916666666666671</v>
      </c>
      <c r="X12" s="43">
        <v>9.0458333333333325</v>
      </c>
      <c r="Y12" s="43">
        <v>3.067361111111111</v>
      </c>
      <c r="Z12" s="43">
        <v>3.1444444444444444</v>
      </c>
      <c r="AA12" s="43"/>
      <c r="AB12" s="43"/>
      <c r="AC12" s="43"/>
      <c r="AD12" s="43">
        <v>8.7298611111111111</v>
      </c>
      <c r="AE12" s="43">
        <v>6.8493055555555555</v>
      </c>
      <c r="AF12" s="43">
        <v>10.783333333333333</v>
      </c>
      <c r="AG12" s="43">
        <v>12.400694444444444</v>
      </c>
      <c r="AH12" s="43">
        <v>7.1111111111111107</v>
      </c>
      <c r="AI12" s="43">
        <v>9.2881944444444446</v>
      </c>
      <c r="AJ12" s="43">
        <v>3.6958333333333333</v>
      </c>
      <c r="AK12" s="43">
        <v>6.0395833333333337</v>
      </c>
      <c r="AL12" s="43">
        <v>6.0444444444444443</v>
      </c>
      <c r="AM12" s="43">
        <v>5.7333333333333334</v>
      </c>
      <c r="AN12" s="43">
        <v>5.25</v>
      </c>
      <c r="AO12" s="43">
        <v>3.7368055555555557</v>
      </c>
      <c r="AP12" s="43"/>
      <c r="AQ12" s="43">
        <v>1.5041666666666667</v>
      </c>
      <c r="AR12" s="43">
        <v>3.7798611111111109</v>
      </c>
      <c r="AS12" s="43">
        <v>5.3833333333333337</v>
      </c>
      <c r="AT12" s="43">
        <v>3.2041666666666666</v>
      </c>
      <c r="AU12" s="43">
        <v>4.209027777777778</v>
      </c>
      <c r="AV12" s="44">
        <v>4.0437500000000002</v>
      </c>
      <c r="AW12" s="16"/>
      <c r="AX12" s="16"/>
      <c r="AY12" s="13"/>
    </row>
    <row r="13" spans="1:51" ht="12.75" customHeight="1" x14ac:dyDescent="0.15">
      <c r="A13" s="46" t="s">
        <v>66</v>
      </c>
      <c r="B13" s="46"/>
      <c r="C13" s="14">
        <v>1396063</v>
      </c>
      <c r="D13" s="14">
        <v>1329959</v>
      </c>
      <c r="E13" s="14">
        <v>1356606</v>
      </c>
      <c r="F13" s="14">
        <v>1345378</v>
      </c>
      <c r="G13" s="14">
        <v>720154</v>
      </c>
      <c r="H13" s="14">
        <v>773288</v>
      </c>
      <c r="I13" s="14">
        <v>772806</v>
      </c>
      <c r="J13" s="14">
        <v>0</v>
      </c>
      <c r="K13" s="14">
        <v>296836</v>
      </c>
      <c r="L13" s="14">
        <v>797903</v>
      </c>
      <c r="M13" s="14">
        <v>1058570</v>
      </c>
      <c r="N13" s="14">
        <v>1167820</v>
      </c>
      <c r="O13" s="14">
        <v>1259740</v>
      </c>
      <c r="P13" s="14">
        <v>1238050</v>
      </c>
      <c r="Q13" s="14">
        <v>1086960</v>
      </c>
      <c r="R13" s="14">
        <v>1174180</v>
      </c>
      <c r="S13" s="14">
        <v>1166930</v>
      </c>
      <c r="T13" s="14">
        <v>1103250</v>
      </c>
      <c r="U13" s="14">
        <v>1158000</v>
      </c>
      <c r="V13" s="14">
        <v>1269890</v>
      </c>
      <c r="W13" s="14">
        <v>1160970</v>
      </c>
      <c r="X13" s="14">
        <v>1186670</v>
      </c>
      <c r="Y13" s="14">
        <v>561788</v>
      </c>
      <c r="Z13" s="14">
        <v>452402</v>
      </c>
      <c r="AA13" s="14">
        <v>17000</v>
      </c>
      <c r="AB13" s="14">
        <v>25152</v>
      </c>
      <c r="AC13" s="14">
        <v>0</v>
      </c>
      <c r="AD13" s="14">
        <v>1586771</v>
      </c>
      <c r="AE13" s="14">
        <v>1340753</v>
      </c>
      <c r="AF13" s="14">
        <v>1285348</v>
      </c>
      <c r="AG13" s="14">
        <v>1329600</v>
      </c>
      <c r="AH13" s="14">
        <v>929881</v>
      </c>
      <c r="AI13" s="14">
        <v>1387908</v>
      </c>
      <c r="AJ13" s="14">
        <v>452752</v>
      </c>
      <c r="AK13" s="14">
        <v>1407600</v>
      </c>
      <c r="AL13" s="14">
        <v>1251600</v>
      </c>
      <c r="AM13" s="14">
        <v>716687</v>
      </c>
      <c r="AN13" s="14">
        <v>683900</v>
      </c>
      <c r="AO13" s="14">
        <v>530104</v>
      </c>
      <c r="AP13" s="14">
        <v>256690</v>
      </c>
      <c r="AQ13" s="14">
        <v>0</v>
      </c>
      <c r="AR13" s="14">
        <v>766400</v>
      </c>
      <c r="AS13" s="14">
        <v>756100</v>
      </c>
      <c r="AT13" s="14">
        <v>456000</v>
      </c>
      <c r="AU13" s="14">
        <v>613000</v>
      </c>
      <c r="AV13" s="15">
        <v>440692</v>
      </c>
      <c r="AW13" s="16">
        <f>SUM(C13:AV13)</f>
        <v>40068151</v>
      </c>
      <c r="AX13" s="16">
        <f t="shared" si="0"/>
        <v>859379.73333333328</v>
      </c>
      <c r="AY13" s="13">
        <f>AW13/AW13</f>
        <v>1</v>
      </c>
    </row>
    <row r="14" spans="1:51" ht="12.75" customHeight="1" x14ac:dyDescent="0.15">
      <c r="A14" s="50" t="s">
        <v>240</v>
      </c>
      <c r="B14" s="51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>
        <v>150670</v>
      </c>
      <c r="N14" s="14">
        <v>50660</v>
      </c>
      <c r="O14" s="14"/>
      <c r="P14" s="14"/>
      <c r="Q14" s="14"/>
      <c r="R14" s="14">
        <v>30440</v>
      </c>
      <c r="S14" s="14">
        <v>66790</v>
      </c>
      <c r="T14" s="14">
        <v>110610</v>
      </c>
      <c r="U14" s="14">
        <v>51240</v>
      </c>
      <c r="V14" s="14"/>
      <c r="W14" s="14">
        <v>62130</v>
      </c>
      <c r="X14" s="14">
        <v>80710</v>
      </c>
      <c r="Y14" s="14">
        <v>302212</v>
      </c>
      <c r="Z14" s="14">
        <v>411598</v>
      </c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5"/>
      <c r="AW14" s="16">
        <f>SUM(C14:AV14)</f>
        <v>1317060</v>
      </c>
      <c r="AX14" s="16"/>
      <c r="AY14" s="13"/>
    </row>
    <row r="15" spans="1:51" ht="12.75" customHeight="1" x14ac:dyDescent="0.15">
      <c r="A15" s="46" t="s">
        <v>67</v>
      </c>
      <c r="B15" s="46"/>
      <c r="C15" s="14">
        <f>SUM(C13/C11)</f>
        <v>203.94772979606145</v>
      </c>
      <c r="D15" s="14" t="e">
        <f t="shared" ref="D15:AV15" si="1">SUM(D13/D11)</f>
        <v>#DIV/0!</v>
      </c>
      <c r="E15" s="14">
        <f t="shared" si="1"/>
        <v>204.42512281124738</v>
      </c>
      <c r="F15" s="14">
        <f t="shared" si="1"/>
        <v>207.85421848687565</v>
      </c>
      <c r="G15" s="14">
        <f t="shared" si="1"/>
        <v>227.56556910826012</v>
      </c>
      <c r="H15" s="14">
        <f t="shared" si="1"/>
        <v>200.2403024496349</v>
      </c>
      <c r="I15" s="14">
        <f t="shared" si="1"/>
        <v>207.67655594969364</v>
      </c>
      <c r="J15" s="14" t="e">
        <f t="shared" si="1"/>
        <v>#DIV/0!</v>
      </c>
      <c r="K15" s="14">
        <f t="shared" si="1"/>
        <v>236.71132376395533</v>
      </c>
      <c r="L15" s="14">
        <f t="shared" si="1"/>
        <v>331.21751764217515</v>
      </c>
      <c r="M15" s="14">
        <f t="shared" si="1"/>
        <v>200.9014822265662</v>
      </c>
      <c r="N15" s="14">
        <f t="shared" si="1"/>
        <v>251.12248408739029</v>
      </c>
      <c r="O15" s="14">
        <f t="shared" si="1"/>
        <v>219.60080188268108</v>
      </c>
      <c r="P15" s="14">
        <f t="shared" si="1"/>
        <v>195.36847088527693</v>
      </c>
      <c r="Q15" s="14">
        <f t="shared" si="1"/>
        <v>312.07579672695954</v>
      </c>
      <c r="R15" s="14">
        <f t="shared" si="1"/>
        <v>228.88945203610209</v>
      </c>
      <c r="S15" s="14">
        <f t="shared" si="1"/>
        <v>187.14897438776001</v>
      </c>
      <c r="T15" s="14">
        <f t="shared" si="1"/>
        <v>221.24736789331195</v>
      </c>
      <c r="U15" s="14">
        <f t="shared" si="1"/>
        <v>187.5212540281444</v>
      </c>
      <c r="V15" s="14">
        <f t="shared" si="1"/>
        <v>179.0216395291464</v>
      </c>
      <c r="W15" s="14">
        <f t="shared" si="1"/>
        <v>182.15580136502706</v>
      </c>
      <c r="X15" s="14">
        <f t="shared" si="1"/>
        <v>189.6911665973976</v>
      </c>
      <c r="Y15" s="14">
        <f t="shared" si="1"/>
        <v>242.4426031417228</v>
      </c>
      <c r="Z15" s="14">
        <f t="shared" si="1"/>
        <v>229.31974858069748</v>
      </c>
      <c r="AA15" s="14" t="e">
        <f t="shared" si="1"/>
        <v>#DIV/0!</v>
      </c>
      <c r="AB15" s="14" t="e">
        <f t="shared" si="1"/>
        <v>#DIV/0!</v>
      </c>
      <c r="AC15" s="14" t="e">
        <f t="shared" si="1"/>
        <v>#DIV/0!</v>
      </c>
      <c r="AD15" s="14">
        <f t="shared" si="1"/>
        <v>234.14062269440757</v>
      </c>
      <c r="AE15" s="14">
        <f t="shared" si="1"/>
        <v>239.03601354965235</v>
      </c>
      <c r="AF15" s="14">
        <f t="shared" si="1"/>
        <v>173.7191512366536</v>
      </c>
      <c r="AG15" s="14">
        <f t="shared" si="1"/>
        <v>136.88870585812828</v>
      </c>
      <c r="AH15" s="14">
        <f t="shared" si="1"/>
        <v>219.51864966949952</v>
      </c>
      <c r="AI15" s="14">
        <f t="shared" si="1"/>
        <v>206.93424780080514</v>
      </c>
      <c r="AJ15" s="14">
        <f t="shared" si="1"/>
        <v>193.07121535181236</v>
      </c>
      <c r="AK15" s="14">
        <f t="shared" si="1"/>
        <v>455.68145030754289</v>
      </c>
      <c r="AL15" s="14">
        <f t="shared" si="1"/>
        <v>331.89255124499482</v>
      </c>
      <c r="AM15" s="14">
        <f t="shared" si="1"/>
        <v>253.33580770590314</v>
      </c>
      <c r="AN15" s="14">
        <f t="shared" si="1"/>
        <v>273.28671328671328</v>
      </c>
      <c r="AO15" s="14">
        <f t="shared" si="1"/>
        <v>210.31700059512002</v>
      </c>
      <c r="AP15" s="14" t="e">
        <f t="shared" si="1"/>
        <v>#DIV/0!</v>
      </c>
      <c r="AQ15" s="14">
        <f t="shared" si="1"/>
        <v>0</v>
      </c>
      <c r="AR15" s="14">
        <f t="shared" si="1"/>
        <v>195.31090723751274</v>
      </c>
      <c r="AS15" s="14">
        <f t="shared" si="1"/>
        <v>188.75131059963053</v>
      </c>
      <c r="AT15" s="14">
        <f t="shared" si="1"/>
        <v>177.20436793222709</v>
      </c>
      <c r="AU15" s="14">
        <f t="shared" si="1"/>
        <v>176.61125356535769</v>
      </c>
      <c r="AV15" s="15">
        <f t="shared" si="1"/>
        <v>229.85031033223805</v>
      </c>
      <c r="AW15" s="12">
        <f>SUM(AW13/AW11)</f>
        <v>222.83754187781693</v>
      </c>
      <c r="AX15" s="16" t="e">
        <f t="shared" si="0"/>
        <v>#DIV/0!</v>
      </c>
      <c r="AY15" s="13"/>
    </row>
    <row r="16" spans="1:51" ht="12.75" customHeight="1" x14ac:dyDescent="0.15">
      <c r="A16" s="50" t="s">
        <v>241</v>
      </c>
      <c r="B16" s="51"/>
      <c r="C16" s="14">
        <f>C13/(C12*24)</f>
        <v>6220.390613396703</v>
      </c>
      <c r="D16" s="14"/>
      <c r="E16" s="14">
        <f t="shared" ref="E16:AV16" si="2">E13/(E12*24)</f>
        <v>5103.540033857922</v>
      </c>
      <c r="F16" s="14">
        <f t="shared" si="2"/>
        <v>5687.9002254791421</v>
      </c>
      <c r="G16" s="14">
        <f t="shared" si="2"/>
        <v>5128.6931750741833</v>
      </c>
      <c r="H16" s="14">
        <f t="shared" si="2"/>
        <v>5471.3773584905657</v>
      </c>
      <c r="I16" s="14">
        <f t="shared" si="2"/>
        <v>5391.6697674418601</v>
      </c>
      <c r="J16" s="14" t="e">
        <f t="shared" si="2"/>
        <v>#DIV/0!</v>
      </c>
      <c r="K16" s="14">
        <f t="shared" si="2"/>
        <v>7508.49915682968</v>
      </c>
      <c r="L16" s="14" t="e">
        <f t="shared" si="2"/>
        <v>#DIV/0!</v>
      </c>
      <c r="M16" s="14">
        <f t="shared" si="2"/>
        <v>4931.2267080745341</v>
      </c>
      <c r="N16" s="14">
        <f t="shared" si="2"/>
        <v>4763.371855880353</v>
      </c>
      <c r="O16" s="14">
        <f t="shared" si="2"/>
        <v>4761.5219856368903</v>
      </c>
      <c r="P16" s="14">
        <f t="shared" si="2"/>
        <v>4918.4268026219961</v>
      </c>
      <c r="Q16" s="14">
        <f t="shared" si="2"/>
        <v>6566.4115988723315</v>
      </c>
      <c r="R16" s="14">
        <f t="shared" si="2"/>
        <v>4610.6544502617799</v>
      </c>
      <c r="S16" s="14">
        <f t="shared" si="2"/>
        <v>4966.7163226218345</v>
      </c>
      <c r="T16" s="14">
        <f t="shared" si="2"/>
        <v>4951.3800583439297</v>
      </c>
      <c r="U16" s="14">
        <f t="shared" si="2"/>
        <v>4524.321156475874</v>
      </c>
      <c r="V16" s="14">
        <f t="shared" si="2"/>
        <v>5292.6785218116147</v>
      </c>
      <c r="W16" s="14">
        <f t="shared" si="2"/>
        <v>5096.4442493415272</v>
      </c>
      <c r="X16" s="14">
        <f t="shared" si="2"/>
        <v>5466.0064486411802</v>
      </c>
      <c r="Y16" s="14">
        <f t="shared" si="2"/>
        <v>7631.2610369028762</v>
      </c>
      <c r="Z16" s="14">
        <f t="shared" si="2"/>
        <v>5994.7261484098935</v>
      </c>
      <c r="AA16" s="14" t="e">
        <f t="shared" si="2"/>
        <v>#DIV/0!</v>
      </c>
      <c r="AB16" s="14" t="e">
        <f t="shared" si="2"/>
        <v>#DIV/0!</v>
      </c>
      <c r="AC16" s="14" t="e">
        <f t="shared" si="2"/>
        <v>#DIV/0!</v>
      </c>
      <c r="AD16" s="14">
        <f t="shared" si="2"/>
        <v>7573.4834142073032</v>
      </c>
      <c r="AE16" s="14">
        <f t="shared" si="2"/>
        <v>8156.258744803813</v>
      </c>
      <c r="AF16" s="14">
        <f t="shared" si="2"/>
        <v>4966.5687789799067</v>
      </c>
      <c r="AG16" s="14">
        <f t="shared" si="2"/>
        <v>4467.4917399339192</v>
      </c>
      <c r="AH16" s="14">
        <f t="shared" si="2"/>
        <v>5448.521484375</v>
      </c>
      <c r="AI16" s="14">
        <f t="shared" si="2"/>
        <v>6226.1293457943921</v>
      </c>
      <c r="AJ16" s="14">
        <f t="shared" si="2"/>
        <v>5104.3066516347235</v>
      </c>
      <c r="AK16" s="14">
        <f t="shared" si="2"/>
        <v>9710.9348051052075</v>
      </c>
      <c r="AL16" s="14">
        <f t="shared" si="2"/>
        <v>8627.7573529411766</v>
      </c>
      <c r="AM16" s="14">
        <f t="shared" si="2"/>
        <v>5208.4811046511632</v>
      </c>
      <c r="AN16" s="14">
        <f t="shared" si="2"/>
        <v>5427.7777777777774</v>
      </c>
      <c r="AO16" s="14">
        <f t="shared" si="2"/>
        <v>5910.8418509570711</v>
      </c>
      <c r="AP16" s="14" t="e">
        <f t="shared" si="2"/>
        <v>#DIV/0!</v>
      </c>
      <c r="AQ16" s="14">
        <f t="shared" si="2"/>
        <v>0</v>
      </c>
      <c r="AR16" s="14">
        <f t="shared" si="2"/>
        <v>8448.282197317656</v>
      </c>
      <c r="AS16" s="14">
        <f t="shared" si="2"/>
        <v>5852.1671826625379</v>
      </c>
      <c r="AT16" s="14">
        <f t="shared" si="2"/>
        <v>5929.7789336801034</v>
      </c>
      <c r="AU16" s="14">
        <f t="shared" si="2"/>
        <v>6068.3055601385904</v>
      </c>
      <c r="AV16" s="15">
        <f t="shared" si="2"/>
        <v>4540.8758371973208</v>
      </c>
      <c r="AW16" s="12"/>
      <c r="AX16" s="16"/>
      <c r="AY16" s="13"/>
    </row>
    <row r="17" spans="1:51" ht="12.75" customHeight="1" x14ac:dyDescent="0.15">
      <c r="A17" s="47" t="s">
        <v>68</v>
      </c>
      <c r="B17" s="11" t="s">
        <v>69</v>
      </c>
      <c r="C17" s="14">
        <v>0</v>
      </c>
      <c r="D17" s="14">
        <v>0</v>
      </c>
      <c r="E17" s="14">
        <v>0</v>
      </c>
      <c r="F17" s="14">
        <v>56250</v>
      </c>
      <c r="G17" s="14">
        <v>0</v>
      </c>
      <c r="H17" s="14">
        <v>0</v>
      </c>
      <c r="I17" s="14">
        <v>47898</v>
      </c>
      <c r="J17" s="14">
        <v>300174</v>
      </c>
      <c r="K17" s="14">
        <v>44688</v>
      </c>
      <c r="L17" s="14">
        <v>0</v>
      </c>
      <c r="M17" s="14">
        <v>0</v>
      </c>
      <c r="N17" s="14">
        <v>0</v>
      </c>
      <c r="O17" s="14">
        <v>0</v>
      </c>
      <c r="P17" s="14">
        <v>0</v>
      </c>
      <c r="Q17" s="14">
        <v>58860</v>
      </c>
      <c r="R17" s="14">
        <v>0</v>
      </c>
      <c r="S17" s="14">
        <v>0</v>
      </c>
      <c r="T17" s="14">
        <v>75708</v>
      </c>
      <c r="U17" s="14">
        <v>0</v>
      </c>
      <c r="V17" s="14">
        <v>213500</v>
      </c>
      <c r="W17" s="14">
        <v>51245</v>
      </c>
      <c r="X17" s="14">
        <v>56375</v>
      </c>
      <c r="Y17" s="14">
        <v>56708</v>
      </c>
      <c r="Z17" s="14">
        <v>0</v>
      </c>
      <c r="AA17" s="14">
        <v>0</v>
      </c>
      <c r="AB17" s="14">
        <v>0</v>
      </c>
      <c r="AC17" s="14">
        <v>0</v>
      </c>
      <c r="AD17" s="14">
        <v>82500</v>
      </c>
      <c r="AE17" s="14">
        <v>215200</v>
      </c>
      <c r="AF17" s="14">
        <v>0</v>
      </c>
      <c r="AG17" s="14">
        <v>0</v>
      </c>
      <c r="AH17" s="14">
        <v>0</v>
      </c>
      <c r="AI17" s="14">
        <v>0</v>
      </c>
      <c r="AJ17" s="14">
        <v>0</v>
      </c>
      <c r="AK17" s="14">
        <v>0</v>
      </c>
      <c r="AL17" s="14">
        <v>0</v>
      </c>
      <c r="AM17" s="14">
        <v>0</v>
      </c>
      <c r="AN17" s="14">
        <v>0</v>
      </c>
      <c r="AO17" s="14">
        <v>261500</v>
      </c>
      <c r="AP17" s="14">
        <v>0</v>
      </c>
      <c r="AQ17" s="14">
        <v>0</v>
      </c>
      <c r="AR17" s="14">
        <v>82900</v>
      </c>
      <c r="AS17" s="14">
        <v>271700</v>
      </c>
      <c r="AT17" s="14">
        <v>189600</v>
      </c>
      <c r="AU17" s="14">
        <v>245000</v>
      </c>
      <c r="AV17" s="15">
        <v>349400</v>
      </c>
      <c r="AW17" s="16">
        <f t="shared" ref="AW17:AW30" si="3">SUM(C17:AV17)</f>
        <v>2659206</v>
      </c>
      <c r="AX17" s="16">
        <f t="shared" si="0"/>
        <v>59093.466666666667</v>
      </c>
      <c r="AY17" s="13">
        <f>AW17/AW13</f>
        <v>6.6367075436048945E-2</v>
      </c>
    </row>
    <row r="18" spans="1:51" ht="12.75" customHeight="1" x14ac:dyDescent="0.15">
      <c r="A18" s="47"/>
      <c r="B18" s="11" t="s">
        <v>70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  <c r="W18" s="14">
        <v>0</v>
      </c>
      <c r="X18" s="14">
        <v>0</v>
      </c>
      <c r="Y18" s="14">
        <v>0</v>
      </c>
      <c r="Z18" s="14">
        <v>0</v>
      </c>
      <c r="AA18" s="14">
        <v>0</v>
      </c>
      <c r="AB18" s="14">
        <v>0</v>
      </c>
      <c r="AC18" s="14">
        <v>0</v>
      </c>
      <c r="AD18" s="14">
        <v>0</v>
      </c>
      <c r="AE18" s="14">
        <v>0</v>
      </c>
      <c r="AF18" s="14">
        <v>0</v>
      </c>
      <c r="AG18" s="14">
        <v>0</v>
      </c>
      <c r="AH18" s="14">
        <v>0</v>
      </c>
      <c r="AI18" s="14">
        <v>0</v>
      </c>
      <c r="AJ18" s="14">
        <v>0</v>
      </c>
      <c r="AK18" s="14">
        <v>0</v>
      </c>
      <c r="AL18" s="14">
        <v>0</v>
      </c>
      <c r="AM18" s="14">
        <v>0</v>
      </c>
      <c r="AN18" s="14">
        <v>0</v>
      </c>
      <c r="AO18" s="14">
        <v>0</v>
      </c>
      <c r="AP18" s="14">
        <v>0</v>
      </c>
      <c r="AQ18" s="14">
        <v>0</v>
      </c>
      <c r="AR18" s="14">
        <v>0</v>
      </c>
      <c r="AS18" s="14">
        <v>0</v>
      </c>
      <c r="AT18" s="14">
        <v>0</v>
      </c>
      <c r="AU18" s="14">
        <v>0</v>
      </c>
      <c r="AV18" s="15">
        <v>0</v>
      </c>
      <c r="AW18" s="16">
        <f t="shared" si="3"/>
        <v>0</v>
      </c>
      <c r="AX18" s="16">
        <f t="shared" si="0"/>
        <v>0</v>
      </c>
      <c r="AY18" s="13">
        <f>AW18/AW13</f>
        <v>0</v>
      </c>
    </row>
    <row r="19" spans="1:51" ht="12.75" customHeight="1" x14ac:dyDescent="0.15">
      <c r="A19" s="47"/>
      <c r="B19" s="11" t="s">
        <v>71</v>
      </c>
      <c r="C19" s="14">
        <v>5150</v>
      </c>
      <c r="D19" s="14">
        <v>0</v>
      </c>
      <c r="E19" s="14">
        <v>6133</v>
      </c>
      <c r="F19" s="14">
        <v>17710</v>
      </c>
      <c r="G19" s="14">
        <v>4025</v>
      </c>
      <c r="H19" s="14">
        <v>5150</v>
      </c>
      <c r="I19" s="14">
        <v>6925</v>
      </c>
      <c r="J19" s="14">
        <v>4812</v>
      </c>
      <c r="K19" s="14">
        <v>4400</v>
      </c>
      <c r="L19" s="14">
        <v>4825</v>
      </c>
      <c r="M19" s="14">
        <v>5150</v>
      </c>
      <c r="N19" s="14">
        <v>4400</v>
      </c>
      <c r="O19" s="14">
        <v>5150</v>
      </c>
      <c r="P19" s="14">
        <v>5250</v>
      </c>
      <c r="Q19" s="14">
        <v>6950</v>
      </c>
      <c r="R19" s="14">
        <v>4400</v>
      </c>
      <c r="S19" s="14">
        <v>4025</v>
      </c>
      <c r="T19" s="14">
        <v>39700</v>
      </c>
      <c r="U19" s="14">
        <v>4812</v>
      </c>
      <c r="V19" s="14">
        <v>0</v>
      </c>
      <c r="W19" s="14">
        <v>12911</v>
      </c>
      <c r="X19" s="14">
        <v>13200</v>
      </c>
      <c r="Y19" s="14">
        <v>11540</v>
      </c>
      <c r="Z19" s="14">
        <v>5642</v>
      </c>
      <c r="AA19" s="14">
        <v>0</v>
      </c>
      <c r="AB19" s="14">
        <v>0</v>
      </c>
      <c r="AC19" s="14">
        <v>7075</v>
      </c>
      <c r="AD19" s="14">
        <v>3249</v>
      </c>
      <c r="AE19" s="14">
        <v>0</v>
      </c>
      <c r="AF19" s="14">
        <v>4417</v>
      </c>
      <c r="AG19" s="14">
        <v>4025</v>
      </c>
      <c r="AH19" s="14">
        <v>5642</v>
      </c>
      <c r="AI19" s="14">
        <v>5642</v>
      </c>
      <c r="AJ19" s="14">
        <v>4825</v>
      </c>
      <c r="AK19" s="14">
        <v>6950</v>
      </c>
      <c r="AL19" s="14">
        <v>7075</v>
      </c>
      <c r="AM19" s="14">
        <v>4025</v>
      </c>
      <c r="AN19" s="14">
        <v>4825</v>
      </c>
      <c r="AO19" s="14">
        <v>0</v>
      </c>
      <c r="AP19" s="14">
        <v>0</v>
      </c>
      <c r="AQ19" s="14">
        <v>6000</v>
      </c>
      <c r="AR19" s="14">
        <v>6950</v>
      </c>
      <c r="AS19" s="14">
        <v>0</v>
      </c>
      <c r="AT19" s="14">
        <v>0</v>
      </c>
      <c r="AU19" s="14">
        <v>0</v>
      </c>
      <c r="AV19" s="15">
        <v>0</v>
      </c>
      <c r="AW19" s="16">
        <f t="shared" si="3"/>
        <v>252960</v>
      </c>
      <c r="AX19" s="16">
        <f t="shared" si="0"/>
        <v>5506.8888888888887</v>
      </c>
      <c r="AY19" s="13">
        <f>AW19/AW13</f>
        <v>6.3132436532946081E-3</v>
      </c>
    </row>
    <row r="20" spans="1:51" ht="12.75" customHeight="1" x14ac:dyDescent="0.15">
      <c r="A20" s="47"/>
      <c r="B20" s="11" t="s">
        <v>72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U20" s="14">
        <v>0</v>
      </c>
      <c r="V20" s="14"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14">
        <v>0</v>
      </c>
      <c r="AC20" s="14">
        <v>0</v>
      </c>
      <c r="AD20" s="14">
        <v>0</v>
      </c>
      <c r="AE20" s="14">
        <v>0</v>
      </c>
      <c r="AF20" s="14">
        <v>0</v>
      </c>
      <c r="AG20" s="14">
        <v>0</v>
      </c>
      <c r="AH20" s="14">
        <v>0</v>
      </c>
      <c r="AI20" s="14">
        <v>0</v>
      </c>
      <c r="AJ20" s="14">
        <v>0</v>
      </c>
      <c r="AK20" s="14">
        <v>0</v>
      </c>
      <c r="AL20" s="14">
        <v>0</v>
      </c>
      <c r="AM20" s="14">
        <v>0</v>
      </c>
      <c r="AN20" s="14">
        <v>0</v>
      </c>
      <c r="AO20" s="14">
        <v>0</v>
      </c>
      <c r="AP20" s="14">
        <v>0</v>
      </c>
      <c r="AQ20" s="14">
        <v>0</v>
      </c>
      <c r="AR20" s="14">
        <v>0</v>
      </c>
      <c r="AS20" s="14">
        <v>0</v>
      </c>
      <c r="AT20" s="14">
        <v>0</v>
      </c>
      <c r="AU20" s="14">
        <v>0</v>
      </c>
      <c r="AV20" s="15">
        <v>0</v>
      </c>
      <c r="AW20" s="16">
        <f t="shared" si="3"/>
        <v>0</v>
      </c>
      <c r="AX20" s="16">
        <f t="shared" si="0"/>
        <v>0</v>
      </c>
      <c r="AY20" s="13">
        <f>AW20/AW13</f>
        <v>0</v>
      </c>
    </row>
    <row r="21" spans="1:51" ht="12.75" customHeight="1" x14ac:dyDescent="0.15">
      <c r="A21" s="47"/>
      <c r="B21" s="11" t="s">
        <v>73</v>
      </c>
      <c r="C21" s="14">
        <v>4950</v>
      </c>
      <c r="D21" s="14">
        <v>0</v>
      </c>
      <c r="E21" s="14">
        <v>4766</v>
      </c>
      <c r="F21" s="14">
        <v>4583</v>
      </c>
      <c r="G21" s="14">
        <v>4587</v>
      </c>
      <c r="H21" s="14">
        <v>4766</v>
      </c>
      <c r="I21" s="14">
        <v>4774</v>
      </c>
      <c r="J21" s="14">
        <v>4766</v>
      </c>
      <c r="K21" s="14">
        <v>4950</v>
      </c>
      <c r="L21" s="14">
        <v>4950</v>
      </c>
      <c r="M21" s="14">
        <v>4766</v>
      </c>
      <c r="N21" s="14">
        <v>4950</v>
      </c>
      <c r="O21" s="14">
        <v>4766</v>
      </c>
      <c r="P21" s="14">
        <v>4950</v>
      </c>
      <c r="Q21" s="14">
        <v>8337</v>
      </c>
      <c r="R21" s="14">
        <v>4950</v>
      </c>
      <c r="S21" s="14">
        <v>4583</v>
      </c>
      <c r="T21" s="14">
        <v>4766</v>
      </c>
      <c r="U21" s="14">
        <v>4766</v>
      </c>
      <c r="V21" s="14">
        <v>5208</v>
      </c>
      <c r="W21" s="14">
        <v>4766</v>
      </c>
      <c r="X21" s="14">
        <v>5208</v>
      </c>
      <c r="Y21" s="14">
        <v>5208</v>
      </c>
      <c r="Z21" s="14">
        <v>4767</v>
      </c>
      <c r="AA21" s="14">
        <v>0</v>
      </c>
      <c r="AB21" s="14">
        <v>0</v>
      </c>
      <c r="AC21" s="14">
        <v>0</v>
      </c>
      <c r="AD21" s="14">
        <v>4550</v>
      </c>
      <c r="AE21" s="14">
        <v>0</v>
      </c>
      <c r="AF21" s="14">
        <v>4766</v>
      </c>
      <c r="AG21" s="14">
        <v>4583</v>
      </c>
      <c r="AH21" s="14">
        <v>4774</v>
      </c>
      <c r="AI21" s="14">
        <v>4774</v>
      </c>
      <c r="AJ21" s="14">
        <v>4950</v>
      </c>
      <c r="AK21" s="14">
        <v>8333</v>
      </c>
      <c r="AL21" s="14">
        <v>9000</v>
      </c>
      <c r="AM21" s="14">
        <v>4587</v>
      </c>
      <c r="AN21" s="14">
        <v>4950</v>
      </c>
      <c r="AO21" s="14">
        <v>4766</v>
      </c>
      <c r="AP21" s="14">
        <v>0</v>
      </c>
      <c r="AQ21" s="14">
        <v>8666</v>
      </c>
      <c r="AR21" s="14">
        <v>8337</v>
      </c>
      <c r="AS21" s="14">
        <v>4766</v>
      </c>
      <c r="AT21" s="14">
        <v>4766</v>
      </c>
      <c r="AU21" s="14">
        <v>4766</v>
      </c>
      <c r="AV21" s="15">
        <v>4583</v>
      </c>
      <c r="AW21" s="16">
        <f t="shared" si="3"/>
        <v>211000</v>
      </c>
      <c r="AX21" s="16">
        <f t="shared" si="0"/>
        <v>4578.8888888888887</v>
      </c>
      <c r="AY21" s="13">
        <f>AW21/AW13</f>
        <v>5.2660278733600661E-3</v>
      </c>
    </row>
    <row r="22" spans="1:51" ht="12.75" customHeight="1" x14ac:dyDescent="0.15">
      <c r="A22" s="47"/>
      <c r="B22" s="11" t="s">
        <v>74</v>
      </c>
      <c r="C22" s="14">
        <v>43755</v>
      </c>
      <c r="D22" s="14">
        <v>0</v>
      </c>
      <c r="E22" s="14">
        <v>28679</v>
      </c>
      <c r="F22" s="14">
        <v>9166</v>
      </c>
      <c r="G22" s="14">
        <v>45058</v>
      </c>
      <c r="H22" s="14">
        <v>25082</v>
      </c>
      <c r="I22" s="14">
        <v>34950</v>
      </c>
      <c r="J22" s="14">
        <v>18658</v>
      </c>
      <c r="K22" s="14">
        <v>26896</v>
      </c>
      <c r="L22" s="14">
        <v>33622</v>
      </c>
      <c r="M22" s="14">
        <v>39513</v>
      </c>
      <c r="N22" s="14">
        <v>32621</v>
      </c>
      <c r="O22" s="14">
        <v>25904</v>
      </c>
      <c r="P22" s="14">
        <v>35324</v>
      </c>
      <c r="Q22" s="14">
        <v>45820</v>
      </c>
      <c r="R22" s="14">
        <v>81250</v>
      </c>
      <c r="S22" s="14">
        <v>13368</v>
      </c>
      <c r="T22" s="14">
        <v>30531</v>
      </c>
      <c r="U22" s="14">
        <v>45794</v>
      </c>
      <c r="V22" s="14">
        <v>38383</v>
      </c>
      <c r="W22" s="14">
        <v>53355</v>
      </c>
      <c r="X22" s="14">
        <v>63356</v>
      </c>
      <c r="Y22" s="14">
        <v>17372</v>
      </c>
      <c r="Z22" s="14">
        <v>35967</v>
      </c>
      <c r="AA22" s="14">
        <v>0</v>
      </c>
      <c r="AB22" s="14">
        <v>0</v>
      </c>
      <c r="AC22" s="14">
        <v>0</v>
      </c>
      <c r="AD22" s="14">
        <v>49246</v>
      </c>
      <c r="AE22" s="14">
        <v>7468</v>
      </c>
      <c r="AF22" s="14">
        <v>68895</v>
      </c>
      <c r="AG22" s="14">
        <v>46162</v>
      </c>
      <c r="AH22" s="14">
        <v>47355</v>
      </c>
      <c r="AI22" s="14">
        <v>30980</v>
      </c>
      <c r="AJ22" s="14">
        <v>49902</v>
      </c>
      <c r="AK22" s="14">
        <v>90423</v>
      </c>
      <c r="AL22" s="14">
        <v>29549</v>
      </c>
      <c r="AM22" s="14">
        <v>31072</v>
      </c>
      <c r="AN22" s="14">
        <v>35766</v>
      </c>
      <c r="AO22" s="14">
        <v>27305</v>
      </c>
      <c r="AP22" s="14">
        <v>0</v>
      </c>
      <c r="AQ22" s="14">
        <v>42121</v>
      </c>
      <c r="AR22" s="14">
        <v>42468</v>
      </c>
      <c r="AS22" s="14">
        <v>25080</v>
      </c>
      <c r="AT22" s="14">
        <v>46616</v>
      </c>
      <c r="AU22" s="14">
        <v>29025</v>
      </c>
      <c r="AV22" s="15">
        <v>15220</v>
      </c>
      <c r="AW22" s="16">
        <f t="shared" si="3"/>
        <v>1539077</v>
      </c>
      <c r="AX22" s="16">
        <f t="shared" si="0"/>
        <v>33229.37777777778</v>
      </c>
      <c r="AY22" s="13">
        <f>AW22/AW13</f>
        <v>3.8411480479845453E-2</v>
      </c>
    </row>
    <row r="23" spans="1:51" ht="12.75" customHeight="1" x14ac:dyDescent="0.15">
      <c r="A23" s="47"/>
      <c r="B23" s="17" t="s">
        <v>75</v>
      </c>
      <c r="C23" s="18">
        <f>SUM(C17:C22)</f>
        <v>53855</v>
      </c>
      <c r="D23" s="18">
        <f t="shared" ref="D23:AV23" si="4">SUM(D17:D22)</f>
        <v>0</v>
      </c>
      <c r="E23" s="18">
        <f t="shared" si="4"/>
        <v>39578</v>
      </c>
      <c r="F23" s="18">
        <f t="shared" si="4"/>
        <v>87709</v>
      </c>
      <c r="G23" s="18">
        <f t="shared" si="4"/>
        <v>53670</v>
      </c>
      <c r="H23" s="18">
        <f t="shared" si="4"/>
        <v>34998</v>
      </c>
      <c r="I23" s="18">
        <f t="shared" si="4"/>
        <v>94547</v>
      </c>
      <c r="J23" s="18">
        <f t="shared" si="4"/>
        <v>328410</v>
      </c>
      <c r="K23" s="18">
        <f t="shared" si="4"/>
        <v>80934</v>
      </c>
      <c r="L23" s="18">
        <f t="shared" si="4"/>
        <v>43397</v>
      </c>
      <c r="M23" s="18">
        <f t="shared" si="4"/>
        <v>49429</v>
      </c>
      <c r="N23" s="18">
        <f t="shared" si="4"/>
        <v>41971</v>
      </c>
      <c r="O23" s="18">
        <f t="shared" si="4"/>
        <v>35820</v>
      </c>
      <c r="P23" s="18">
        <f t="shared" si="4"/>
        <v>45524</v>
      </c>
      <c r="Q23" s="18">
        <f t="shared" si="4"/>
        <v>119967</v>
      </c>
      <c r="R23" s="18">
        <f t="shared" si="4"/>
        <v>90600</v>
      </c>
      <c r="S23" s="18">
        <f t="shared" si="4"/>
        <v>21976</v>
      </c>
      <c r="T23" s="18">
        <f t="shared" si="4"/>
        <v>150705</v>
      </c>
      <c r="U23" s="18">
        <f t="shared" si="4"/>
        <v>55372</v>
      </c>
      <c r="V23" s="18">
        <f t="shared" si="4"/>
        <v>257091</v>
      </c>
      <c r="W23" s="18">
        <f t="shared" si="4"/>
        <v>122277</v>
      </c>
      <c r="X23" s="18">
        <f t="shared" si="4"/>
        <v>138139</v>
      </c>
      <c r="Y23" s="18">
        <f t="shared" si="4"/>
        <v>90828</v>
      </c>
      <c r="Z23" s="18">
        <f t="shared" si="4"/>
        <v>46376</v>
      </c>
      <c r="AA23" s="18">
        <f t="shared" si="4"/>
        <v>0</v>
      </c>
      <c r="AB23" s="18">
        <f t="shared" si="4"/>
        <v>0</v>
      </c>
      <c r="AC23" s="18">
        <f t="shared" si="4"/>
        <v>7075</v>
      </c>
      <c r="AD23" s="18">
        <f t="shared" si="4"/>
        <v>139545</v>
      </c>
      <c r="AE23" s="18">
        <f t="shared" si="4"/>
        <v>222668</v>
      </c>
      <c r="AF23" s="18">
        <f t="shared" si="4"/>
        <v>78078</v>
      </c>
      <c r="AG23" s="18">
        <f t="shared" si="4"/>
        <v>54770</v>
      </c>
      <c r="AH23" s="18">
        <f t="shared" si="4"/>
        <v>57771</v>
      </c>
      <c r="AI23" s="18">
        <f t="shared" si="4"/>
        <v>41396</v>
      </c>
      <c r="AJ23" s="18">
        <f t="shared" si="4"/>
        <v>59677</v>
      </c>
      <c r="AK23" s="18">
        <f t="shared" si="4"/>
        <v>105706</v>
      </c>
      <c r="AL23" s="18">
        <f t="shared" si="4"/>
        <v>45624</v>
      </c>
      <c r="AM23" s="18">
        <f t="shared" si="4"/>
        <v>39684</v>
      </c>
      <c r="AN23" s="18">
        <f t="shared" si="4"/>
        <v>45541</v>
      </c>
      <c r="AO23" s="18">
        <f t="shared" si="4"/>
        <v>293571</v>
      </c>
      <c r="AP23" s="18">
        <f t="shared" si="4"/>
        <v>0</v>
      </c>
      <c r="AQ23" s="18">
        <f t="shared" si="4"/>
        <v>56787</v>
      </c>
      <c r="AR23" s="18">
        <f t="shared" si="4"/>
        <v>140655</v>
      </c>
      <c r="AS23" s="18">
        <f t="shared" si="4"/>
        <v>301546</v>
      </c>
      <c r="AT23" s="18">
        <f t="shared" si="4"/>
        <v>240982</v>
      </c>
      <c r="AU23" s="18">
        <f t="shared" si="4"/>
        <v>278791</v>
      </c>
      <c r="AV23" s="19">
        <f t="shared" si="4"/>
        <v>369203</v>
      </c>
      <c r="AW23" s="20">
        <f t="shared" si="3"/>
        <v>4662243</v>
      </c>
      <c r="AX23" s="20">
        <f t="shared" si="0"/>
        <v>102408.62222222223</v>
      </c>
      <c r="AY23" s="21">
        <f>AW23/AW13</f>
        <v>0.11635782744254908</v>
      </c>
    </row>
    <row r="24" spans="1:51" ht="12.75" customHeight="1" x14ac:dyDescent="0.15">
      <c r="A24" s="47" t="s">
        <v>76</v>
      </c>
      <c r="B24" s="11" t="s">
        <v>77</v>
      </c>
      <c r="C24" s="14">
        <v>2700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162398</v>
      </c>
      <c r="M24" s="14">
        <v>0</v>
      </c>
      <c r="N24" s="14">
        <v>113593</v>
      </c>
      <c r="O24" s="14">
        <v>0</v>
      </c>
      <c r="P24" s="14">
        <v>0</v>
      </c>
      <c r="Q24" s="14">
        <v>524254</v>
      </c>
      <c r="R24" s="14">
        <v>0</v>
      </c>
      <c r="S24" s="14">
        <v>0</v>
      </c>
      <c r="T24" s="14">
        <v>58060</v>
      </c>
      <c r="U24" s="14">
        <v>0</v>
      </c>
      <c r="V24" s="14">
        <v>0</v>
      </c>
      <c r="W24" s="14">
        <v>0</v>
      </c>
      <c r="X24" s="14">
        <v>4250</v>
      </c>
      <c r="Y24" s="14">
        <v>0</v>
      </c>
      <c r="Z24" s="14">
        <v>19800</v>
      </c>
      <c r="AA24" s="14">
        <v>0</v>
      </c>
      <c r="AB24" s="14">
        <v>0</v>
      </c>
      <c r="AC24" s="14">
        <v>0</v>
      </c>
      <c r="AD24" s="14">
        <v>0</v>
      </c>
      <c r="AE24" s="14">
        <v>0</v>
      </c>
      <c r="AF24" s="14">
        <v>994027</v>
      </c>
      <c r="AG24" s="14">
        <v>0</v>
      </c>
      <c r="AH24" s="14">
        <v>86500</v>
      </c>
      <c r="AI24" s="14">
        <v>0</v>
      </c>
      <c r="AJ24" s="14">
        <v>92415</v>
      </c>
      <c r="AK24" s="14">
        <v>0</v>
      </c>
      <c r="AL24" s="14">
        <v>0</v>
      </c>
      <c r="AM24" s="14">
        <v>0</v>
      </c>
      <c r="AN24" s="14">
        <v>0</v>
      </c>
      <c r="AO24" s="14">
        <v>0</v>
      </c>
      <c r="AP24" s="14">
        <v>0</v>
      </c>
      <c r="AQ24" s="14">
        <v>249066</v>
      </c>
      <c r="AR24" s="14">
        <v>265700</v>
      </c>
      <c r="AS24" s="14">
        <v>0</v>
      </c>
      <c r="AT24" s="14">
        <v>0</v>
      </c>
      <c r="AU24" s="14">
        <v>0</v>
      </c>
      <c r="AV24" s="15">
        <v>90707</v>
      </c>
      <c r="AW24" s="16">
        <f t="shared" si="3"/>
        <v>2663470</v>
      </c>
      <c r="AX24" s="16">
        <f t="shared" si="0"/>
        <v>59128.222222222219</v>
      </c>
      <c r="AY24" s="13">
        <f>AW24/AW13</f>
        <v>6.6473494122551352E-2</v>
      </c>
    </row>
    <row r="25" spans="1:51" ht="12.75" customHeight="1" x14ac:dyDescent="0.15">
      <c r="A25" s="47"/>
      <c r="B25" s="11" t="s">
        <v>78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14">
        <v>0</v>
      </c>
      <c r="AC25" s="14">
        <v>0</v>
      </c>
      <c r="AD25" s="14">
        <v>0</v>
      </c>
      <c r="AE25" s="14">
        <v>0</v>
      </c>
      <c r="AF25" s="14">
        <v>0</v>
      </c>
      <c r="AG25" s="14">
        <v>0</v>
      </c>
      <c r="AH25" s="14">
        <v>0</v>
      </c>
      <c r="AI25" s="14">
        <v>0</v>
      </c>
      <c r="AJ25" s="14">
        <v>0</v>
      </c>
      <c r="AK25" s="14">
        <v>0</v>
      </c>
      <c r="AL25" s="14">
        <v>0</v>
      </c>
      <c r="AM25" s="14">
        <v>0</v>
      </c>
      <c r="AN25" s="14">
        <v>0</v>
      </c>
      <c r="AO25" s="14">
        <v>0</v>
      </c>
      <c r="AP25" s="14">
        <v>0</v>
      </c>
      <c r="AQ25" s="14">
        <v>0</v>
      </c>
      <c r="AR25" s="14">
        <v>0</v>
      </c>
      <c r="AS25" s="14">
        <v>0</v>
      </c>
      <c r="AT25" s="14">
        <v>0</v>
      </c>
      <c r="AU25" s="14">
        <v>0</v>
      </c>
      <c r="AV25" s="15">
        <v>0</v>
      </c>
      <c r="AW25" s="16">
        <f t="shared" si="3"/>
        <v>0</v>
      </c>
      <c r="AX25" s="16">
        <f t="shared" si="0"/>
        <v>0</v>
      </c>
      <c r="AY25" s="13">
        <f>AW25/AW13</f>
        <v>0</v>
      </c>
    </row>
    <row r="26" spans="1:51" ht="12.75" customHeight="1" x14ac:dyDescent="0.15">
      <c r="A26" s="47"/>
      <c r="B26" s="11" t="s">
        <v>79</v>
      </c>
      <c r="C26" s="14">
        <f t="shared" ref="C26:AV26" si="5">30000*C9/70000*C11</f>
        <v>29336.571428571431</v>
      </c>
      <c r="D26" s="14">
        <f t="shared" si="5"/>
        <v>0</v>
      </c>
      <c r="E26" s="14">
        <f t="shared" si="5"/>
        <v>28440.857142857145</v>
      </c>
      <c r="F26" s="14">
        <f t="shared" si="5"/>
        <v>27740.142857142855</v>
      </c>
      <c r="G26" s="14">
        <f t="shared" si="5"/>
        <v>10850.057142857142</v>
      </c>
      <c r="H26" s="14">
        <f t="shared" si="5"/>
        <v>13240.457142857142</v>
      </c>
      <c r="I26" s="14">
        <f t="shared" si="5"/>
        <v>12758.4</v>
      </c>
      <c r="J26" s="14">
        <f t="shared" si="5"/>
        <v>0</v>
      </c>
      <c r="K26" s="14">
        <f t="shared" si="5"/>
        <v>4299.4285714285716</v>
      </c>
      <c r="L26" s="14">
        <f t="shared" si="5"/>
        <v>8259.4285714285706</v>
      </c>
      <c r="M26" s="14">
        <f t="shared" si="5"/>
        <v>22581.857142857145</v>
      </c>
      <c r="N26" s="14">
        <f t="shared" si="5"/>
        <v>19930.285714285717</v>
      </c>
      <c r="O26" s="14">
        <f t="shared" si="5"/>
        <v>24585</v>
      </c>
      <c r="P26" s="14">
        <f t="shared" si="5"/>
        <v>27158.571428571428</v>
      </c>
      <c r="Q26" s="14">
        <f t="shared" si="5"/>
        <v>20898</v>
      </c>
      <c r="R26" s="14">
        <f t="shared" si="5"/>
        <v>21985.285714285714</v>
      </c>
      <c r="S26" s="14">
        <f t="shared" si="5"/>
        <v>26722.714285714286</v>
      </c>
      <c r="T26" s="14">
        <f t="shared" si="5"/>
        <v>21370.714285714286</v>
      </c>
      <c r="U26" s="14">
        <f t="shared" si="5"/>
        <v>26465.571428571424</v>
      </c>
      <c r="V26" s="14">
        <f t="shared" si="5"/>
        <v>30400.714285714286</v>
      </c>
      <c r="W26" s="14">
        <f t="shared" si="5"/>
        <v>27315</v>
      </c>
      <c r="X26" s="14">
        <f t="shared" si="5"/>
        <v>26810.571428571428</v>
      </c>
      <c r="Y26" s="14">
        <f t="shared" si="5"/>
        <v>9930.8571428571413</v>
      </c>
      <c r="Z26" s="14">
        <f t="shared" si="5"/>
        <v>8454.8571428571431</v>
      </c>
      <c r="AA26" s="14">
        <f t="shared" si="5"/>
        <v>0</v>
      </c>
      <c r="AB26" s="14">
        <f t="shared" si="5"/>
        <v>0</v>
      </c>
      <c r="AC26" s="14">
        <f t="shared" si="5"/>
        <v>0</v>
      </c>
      <c r="AD26" s="14">
        <f t="shared" si="5"/>
        <v>23235.428571428569</v>
      </c>
      <c r="AE26" s="14">
        <f t="shared" si="5"/>
        <v>19230.857142857141</v>
      </c>
      <c r="AF26" s="14">
        <f t="shared" si="5"/>
        <v>25368</v>
      </c>
      <c r="AG26" s="14">
        <f t="shared" si="5"/>
        <v>41627.142857142855</v>
      </c>
      <c r="AH26" s="14">
        <f t="shared" si="5"/>
        <v>18154.285714285714</v>
      </c>
      <c r="AI26" s="14">
        <f t="shared" si="5"/>
        <v>28744.285714285714</v>
      </c>
      <c r="AJ26" s="14">
        <f t="shared" si="5"/>
        <v>10050</v>
      </c>
      <c r="AK26" s="14">
        <f t="shared" si="5"/>
        <v>18534</v>
      </c>
      <c r="AL26" s="14">
        <f t="shared" si="5"/>
        <v>22626.6</v>
      </c>
      <c r="AM26" s="14">
        <f t="shared" si="5"/>
        <v>9699.4285714285706</v>
      </c>
      <c r="AN26" s="14">
        <f t="shared" si="5"/>
        <v>8580</v>
      </c>
      <c r="AO26" s="14">
        <f t="shared" si="5"/>
        <v>8641.7142857142844</v>
      </c>
      <c r="AP26" s="14">
        <f t="shared" si="5"/>
        <v>0</v>
      </c>
      <c r="AQ26" s="14">
        <f t="shared" si="5"/>
        <v>233.39999999999998</v>
      </c>
      <c r="AR26" s="14">
        <f t="shared" si="5"/>
        <v>30270.857142857145</v>
      </c>
      <c r="AS26" s="14">
        <f t="shared" si="5"/>
        <v>13734.171428571428</v>
      </c>
      <c r="AT26" s="14">
        <f t="shared" si="5"/>
        <v>8822.7428571428572</v>
      </c>
      <c r="AU26" s="14">
        <f t="shared" si="5"/>
        <v>11900.228571428572</v>
      </c>
      <c r="AV26" s="15">
        <f t="shared" si="5"/>
        <v>6573.5999999999995</v>
      </c>
      <c r="AW26" s="16">
        <f t="shared" si="3"/>
        <v>755562.08571428561</v>
      </c>
      <c r="AX26" s="16">
        <f t="shared" si="0"/>
        <v>16138.344761904758</v>
      </c>
      <c r="AY26" s="13">
        <f>AW26/AW13</f>
        <v>1.8856924186850688E-2</v>
      </c>
    </row>
    <row r="27" spans="1:51" ht="12.75" customHeight="1" x14ac:dyDescent="0.15">
      <c r="A27" s="47"/>
      <c r="B27" s="11" t="s">
        <v>80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14">
        <v>0</v>
      </c>
      <c r="AC27" s="14">
        <v>0</v>
      </c>
      <c r="AD27" s="14">
        <v>0</v>
      </c>
      <c r="AE27" s="14">
        <v>0</v>
      </c>
      <c r="AF27" s="14">
        <v>0</v>
      </c>
      <c r="AG27" s="14">
        <v>0</v>
      </c>
      <c r="AH27" s="14">
        <v>0</v>
      </c>
      <c r="AI27" s="14">
        <v>0</v>
      </c>
      <c r="AJ27" s="14">
        <v>0</v>
      </c>
      <c r="AK27" s="14">
        <v>0</v>
      </c>
      <c r="AL27" s="14">
        <v>0</v>
      </c>
      <c r="AM27" s="14">
        <v>0</v>
      </c>
      <c r="AN27" s="14">
        <v>0</v>
      </c>
      <c r="AO27" s="14">
        <v>0</v>
      </c>
      <c r="AP27" s="14">
        <v>0</v>
      </c>
      <c r="AQ27" s="14">
        <v>0</v>
      </c>
      <c r="AR27" s="14">
        <v>0</v>
      </c>
      <c r="AS27" s="14">
        <v>0</v>
      </c>
      <c r="AT27" s="14">
        <v>0</v>
      </c>
      <c r="AU27" s="14">
        <v>0</v>
      </c>
      <c r="AV27" s="15">
        <v>0</v>
      </c>
      <c r="AW27" s="16">
        <f t="shared" si="3"/>
        <v>0</v>
      </c>
      <c r="AX27" s="16">
        <f t="shared" si="0"/>
        <v>0</v>
      </c>
      <c r="AY27" s="13">
        <f>AW27/AW13</f>
        <v>0</v>
      </c>
    </row>
    <row r="28" spans="1:51" ht="12.75" customHeight="1" x14ac:dyDescent="0.15">
      <c r="A28" s="47"/>
      <c r="B28" s="11" t="s">
        <v>81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>
        <v>0</v>
      </c>
      <c r="AC28" s="14">
        <v>0</v>
      </c>
      <c r="AD28" s="14">
        <v>0</v>
      </c>
      <c r="AE28" s="14">
        <v>0</v>
      </c>
      <c r="AF28" s="14">
        <v>0</v>
      </c>
      <c r="AG28" s="14">
        <v>0</v>
      </c>
      <c r="AH28" s="14">
        <v>0</v>
      </c>
      <c r="AI28" s="14">
        <v>0</v>
      </c>
      <c r="AJ28" s="14">
        <v>0</v>
      </c>
      <c r="AK28" s="14">
        <v>0</v>
      </c>
      <c r="AL28" s="14">
        <v>0</v>
      </c>
      <c r="AM28" s="14">
        <v>0</v>
      </c>
      <c r="AN28" s="14">
        <v>0</v>
      </c>
      <c r="AO28" s="14">
        <v>0</v>
      </c>
      <c r="AP28" s="14">
        <v>0</v>
      </c>
      <c r="AQ28" s="14">
        <v>0</v>
      </c>
      <c r="AR28" s="14">
        <v>0</v>
      </c>
      <c r="AS28" s="14">
        <v>0</v>
      </c>
      <c r="AT28" s="14">
        <v>0</v>
      </c>
      <c r="AU28" s="14">
        <v>0</v>
      </c>
      <c r="AV28" s="15">
        <v>0</v>
      </c>
      <c r="AW28" s="16">
        <f t="shared" si="3"/>
        <v>0</v>
      </c>
      <c r="AX28" s="16">
        <f t="shared" si="0"/>
        <v>0</v>
      </c>
      <c r="AY28" s="13">
        <f>AW28/AW13</f>
        <v>0</v>
      </c>
    </row>
    <row r="29" spans="1:51" ht="12.75" customHeight="1" x14ac:dyDescent="0.15">
      <c r="A29" s="47"/>
      <c r="B29" s="17" t="s">
        <v>82</v>
      </c>
      <c r="C29" s="18">
        <f>SUM(C24:C28)</f>
        <v>32036.571428571431</v>
      </c>
      <c r="D29" s="18">
        <f t="shared" ref="D29:AV29" si="6">SUM(D24:D28)</f>
        <v>0</v>
      </c>
      <c r="E29" s="18">
        <f t="shared" si="6"/>
        <v>28440.857142857145</v>
      </c>
      <c r="F29" s="18">
        <f t="shared" si="6"/>
        <v>27740.142857142855</v>
      </c>
      <c r="G29" s="18">
        <f t="shared" si="6"/>
        <v>10850.057142857142</v>
      </c>
      <c r="H29" s="18">
        <f t="shared" si="6"/>
        <v>13240.457142857142</v>
      </c>
      <c r="I29" s="18">
        <f t="shared" si="6"/>
        <v>12758.4</v>
      </c>
      <c r="J29" s="18">
        <f t="shared" si="6"/>
        <v>0</v>
      </c>
      <c r="K29" s="18">
        <f t="shared" si="6"/>
        <v>4299.4285714285716</v>
      </c>
      <c r="L29" s="18">
        <f t="shared" si="6"/>
        <v>170657.42857142858</v>
      </c>
      <c r="M29" s="18">
        <f t="shared" si="6"/>
        <v>22581.857142857145</v>
      </c>
      <c r="N29" s="18">
        <f t="shared" si="6"/>
        <v>133523.28571428571</v>
      </c>
      <c r="O29" s="18">
        <f t="shared" si="6"/>
        <v>24585</v>
      </c>
      <c r="P29" s="18">
        <f t="shared" si="6"/>
        <v>27158.571428571428</v>
      </c>
      <c r="Q29" s="18">
        <f t="shared" si="6"/>
        <v>545152</v>
      </c>
      <c r="R29" s="18">
        <f t="shared" si="6"/>
        <v>21985.285714285714</v>
      </c>
      <c r="S29" s="18">
        <f t="shared" si="6"/>
        <v>26722.714285714286</v>
      </c>
      <c r="T29" s="18">
        <f t="shared" si="6"/>
        <v>79430.71428571429</v>
      </c>
      <c r="U29" s="18">
        <f t="shared" si="6"/>
        <v>26465.571428571424</v>
      </c>
      <c r="V29" s="18">
        <f t="shared" si="6"/>
        <v>30400.714285714286</v>
      </c>
      <c r="W29" s="18">
        <f t="shared" si="6"/>
        <v>27315</v>
      </c>
      <c r="X29" s="18">
        <f t="shared" si="6"/>
        <v>31060.571428571428</v>
      </c>
      <c r="Y29" s="18">
        <f t="shared" si="6"/>
        <v>9930.8571428571413</v>
      </c>
      <c r="Z29" s="18">
        <f t="shared" si="6"/>
        <v>28254.857142857145</v>
      </c>
      <c r="AA29" s="18">
        <f t="shared" si="6"/>
        <v>0</v>
      </c>
      <c r="AB29" s="18">
        <f t="shared" si="6"/>
        <v>0</v>
      </c>
      <c r="AC29" s="18">
        <f t="shared" si="6"/>
        <v>0</v>
      </c>
      <c r="AD29" s="18">
        <f t="shared" si="6"/>
        <v>23235.428571428569</v>
      </c>
      <c r="AE29" s="18">
        <f t="shared" si="6"/>
        <v>19230.857142857141</v>
      </c>
      <c r="AF29" s="18">
        <f t="shared" si="6"/>
        <v>1019395</v>
      </c>
      <c r="AG29" s="18">
        <f t="shared" si="6"/>
        <v>41627.142857142855</v>
      </c>
      <c r="AH29" s="18">
        <f t="shared" si="6"/>
        <v>104654.28571428571</v>
      </c>
      <c r="AI29" s="18">
        <f t="shared" si="6"/>
        <v>28744.285714285714</v>
      </c>
      <c r="AJ29" s="18">
        <f t="shared" si="6"/>
        <v>102465</v>
      </c>
      <c r="AK29" s="18">
        <f t="shared" si="6"/>
        <v>18534</v>
      </c>
      <c r="AL29" s="18">
        <f t="shared" si="6"/>
        <v>22626.6</v>
      </c>
      <c r="AM29" s="18">
        <f t="shared" si="6"/>
        <v>9699.4285714285706</v>
      </c>
      <c r="AN29" s="18">
        <f t="shared" si="6"/>
        <v>8580</v>
      </c>
      <c r="AO29" s="18">
        <f t="shared" si="6"/>
        <v>8641.7142857142844</v>
      </c>
      <c r="AP29" s="18">
        <f t="shared" si="6"/>
        <v>0</v>
      </c>
      <c r="AQ29" s="18">
        <f t="shared" si="6"/>
        <v>249299.4</v>
      </c>
      <c r="AR29" s="18">
        <f t="shared" si="6"/>
        <v>295970.85714285716</v>
      </c>
      <c r="AS29" s="18">
        <f t="shared" si="6"/>
        <v>13734.171428571428</v>
      </c>
      <c r="AT29" s="18">
        <f t="shared" si="6"/>
        <v>8822.7428571428572</v>
      </c>
      <c r="AU29" s="18">
        <f t="shared" si="6"/>
        <v>11900.228571428572</v>
      </c>
      <c r="AV29" s="19">
        <f t="shared" si="6"/>
        <v>97280.6</v>
      </c>
      <c r="AW29" s="20">
        <f t="shared" si="3"/>
        <v>3419032.0857142857</v>
      </c>
      <c r="AX29" s="20">
        <f t="shared" si="0"/>
        <v>75266.56698412697</v>
      </c>
      <c r="AY29" s="21">
        <f>AW29/AW13</f>
        <v>8.5330418309402037E-2</v>
      </c>
    </row>
    <row r="30" spans="1:51" ht="12.75" customHeight="1" x14ac:dyDescent="0.15">
      <c r="A30" s="47" t="s">
        <v>83</v>
      </c>
      <c r="B30" s="8" t="s">
        <v>84</v>
      </c>
      <c r="C30" s="22">
        <v>1607</v>
      </c>
      <c r="D30" s="22">
        <v>0</v>
      </c>
      <c r="E30" s="22">
        <v>1692</v>
      </c>
      <c r="F30" s="22">
        <v>1841</v>
      </c>
      <c r="G30" s="22">
        <v>792</v>
      </c>
      <c r="H30" s="22">
        <v>940</v>
      </c>
      <c r="I30" s="22">
        <v>830</v>
      </c>
      <c r="J30" s="22">
        <v>0</v>
      </c>
      <c r="K30" s="22">
        <v>300</v>
      </c>
      <c r="L30" s="22">
        <v>716</v>
      </c>
      <c r="M30" s="22">
        <v>1466</v>
      </c>
      <c r="N30" s="22">
        <v>1275</v>
      </c>
      <c r="O30" s="22">
        <v>1490</v>
      </c>
      <c r="P30" s="22">
        <v>1741</v>
      </c>
      <c r="Q30" s="22">
        <v>1423</v>
      </c>
      <c r="R30" s="22">
        <v>1365</v>
      </c>
      <c r="S30" s="22">
        <v>1605</v>
      </c>
      <c r="T30" s="22">
        <v>1315</v>
      </c>
      <c r="U30" s="22">
        <v>1618</v>
      </c>
      <c r="V30" s="22">
        <v>1784</v>
      </c>
      <c r="W30" s="22">
        <v>1633</v>
      </c>
      <c r="X30" s="22">
        <v>1716</v>
      </c>
      <c r="Y30" s="22">
        <v>677</v>
      </c>
      <c r="Z30" s="22">
        <v>505</v>
      </c>
      <c r="AA30" s="22">
        <v>0</v>
      </c>
      <c r="AB30" s="22">
        <v>0</v>
      </c>
      <c r="AC30" s="22">
        <v>0</v>
      </c>
      <c r="AD30" s="22">
        <v>1597</v>
      </c>
      <c r="AE30" s="22">
        <v>1249</v>
      </c>
      <c r="AF30" s="22">
        <v>1843</v>
      </c>
      <c r="AG30" s="22">
        <v>2275</v>
      </c>
      <c r="AH30" s="22">
        <v>1028</v>
      </c>
      <c r="AI30" s="22">
        <v>1669</v>
      </c>
      <c r="AJ30" s="22">
        <v>525</v>
      </c>
      <c r="AK30" s="22">
        <v>986</v>
      </c>
      <c r="AL30" s="22">
        <v>1246</v>
      </c>
      <c r="AM30" s="22">
        <v>673</v>
      </c>
      <c r="AN30" s="22">
        <v>819</v>
      </c>
      <c r="AO30" s="22">
        <v>495</v>
      </c>
      <c r="AP30" s="22">
        <v>0</v>
      </c>
      <c r="AQ30" s="22">
        <v>457</v>
      </c>
      <c r="AR30" s="22">
        <v>1062</v>
      </c>
      <c r="AS30" s="22">
        <v>1256</v>
      </c>
      <c r="AT30" s="22">
        <v>595</v>
      </c>
      <c r="AU30" s="22">
        <v>864</v>
      </c>
      <c r="AV30" s="23">
        <v>581</v>
      </c>
      <c r="AW30" s="24">
        <f t="shared" si="3"/>
        <v>47551</v>
      </c>
      <c r="AX30" s="24">
        <f t="shared" si="0"/>
        <v>1020.9777777777778</v>
      </c>
      <c r="AY30" s="10">
        <f>AW30/AW13</f>
        <v>1.1867530398395473E-3</v>
      </c>
    </row>
    <row r="31" spans="1:51" ht="12.75" customHeight="1" x14ac:dyDescent="0.15">
      <c r="A31" s="47"/>
      <c r="B31" s="25" t="s">
        <v>85</v>
      </c>
      <c r="C31" s="26">
        <f t="shared" ref="C31:AW31" si="7">SUM(C11/C30)</f>
        <v>4.2596141879278164</v>
      </c>
      <c r="D31" s="26" t="e">
        <f t="shared" si="7"/>
        <v>#DIV/0!</v>
      </c>
      <c r="E31" s="26">
        <f t="shared" si="7"/>
        <v>3.9221040189125298</v>
      </c>
      <c r="F31" s="26">
        <f t="shared" si="7"/>
        <v>3.5158609451385114</v>
      </c>
      <c r="G31" s="26">
        <f t="shared" si="7"/>
        <v>3.9957070707070708</v>
      </c>
      <c r="H31" s="26">
        <f t="shared" si="7"/>
        <v>4.1082978723404251</v>
      </c>
      <c r="I31" s="26">
        <f t="shared" si="7"/>
        <v>4.483373493975904</v>
      </c>
      <c r="J31" s="26" t="e">
        <f t="shared" si="7"/>
        <v>#DIV/0!</v>
      </c>
      <c r="K31" s="26">
        <f t="shared" si="7"/>
        <v>4.18</v>
      </c>
      <c r="L31" s="26">
        <f t="shared" si="7"/>
        <v>3.3645251396648046</v>
      </c>
      <c r="M31" s="26">
        <f t="shared" si="7"/>
        <v>3.5942019099590725</v>
      </c>
      <c r="N31" s="26">
        <f t="shared" si="7"/>
        <v>3.6473725490196083</v>
      </c>
      <c r="O31" s="26">
        <f t="shared" si="7"/>
        <v>3.85</v>
      </c>
      <c r="P31" s="26">
        <f t="shared" si="7"/>
        <v>3.6398621481906952</v>
      </c>
      <c r="Q31" s="26">
        <f t="shared" si="7"/>
        <v>2.4476458186929024</v>
      </c>
      <c r="R31" s="26">
        <f t="shared" si="7"/>
        <v>3.758168498168498</v>
      </c>
      <c r="S31" s="26">
        <f t="shared" si="7"/>
        <v>3.8849221183800626</v>
      </c>
      <c r="T31" s="26">
        <f t="shared" si="7"/>
        <v>3.7920152091254753</v>
      </c>
      <c r="U31" s="26">
        <f t="shared" si="7"/>
        <v>3.8166254635352281</v>
      </c>
      <c r="V31" s="26">
        <f t="shared" si="7"/>
        <v>3.9761771300448432</v>
      </c>
      <c r="W31" s="26">
        <f t="shared" si="7"/>
        <v>3.9029393753827311</v>
      </c>
      <c r="X31" s="26">
        <f t="shared" si="7"/>
        <v>3.6455710955710958</v>
      </c>
      <c r="Y31" s="26">
        <f t="shared" si="7"/>
        <v>3.4227474150664694</v>
      </c>
      <c r="Z31" s="26">
        <f t="shared" si="7"/>
        <v>3.9065346534653465</v>
      </c>
      <c r="AA31" s="26" t="e">
        <f t="shared" si="7"/>
        <v>#DIV/0!</v>
      </c>
      <c r="AB31" s="26" t="e">
        <f t="shared" si="7"/>
        <v>#DIV/0!</v>
      </c>
      <c r="AC31" s="26" t="e">
        <f t="shared" si="7"/>
        <v>#DIV/0!</v>
      </c>
      <c r="AD31" s="26">
        <f t="shared" si="7"/>
        <v>4.2435817157169691</v>
      </c>
      <c r="AE31" s="26">
        <f t="shared" si="7"/>
        <v>4.4907926341072857</v>
      </c>
      <c r="AF31" s="26">
        <f t="shared" si="7"/>
        <v>4.0146500271296794</v>
      </c>
      <c r="AG31" s="26">
        <f t="shared" si="7"/>
        <v>4.269450549450549</v>
      </c>
      <c r="AH31" s="26">
        <f t="shared" si="7"/>
        <v>4.1206225680933848</v>
      </c>
      <c r="AI31" s="26">
        <f t="shared" si="7"/>
        <v>4.0185739964050331</v>
      </c>
      <c r="AJ31" s="26">
        <f t="shared" si="7"/>
        <v>4.4666666666666668</v>
      </c>
      <c r="AK31" s="26">
        <f t="shared" si="7"/>
        <v>3.1328600405679512</v>
      </c>
      <c r="AL31" s="26">
        <f t="shared" si="7"/>
        <v>3.0265650080256821</v>
      </c>
      <c r="AM31" s="26">
        <f t="shared" si="7"/>
        <v>4.2035661218424965</v>
      </c>
      <c r="AN31" s="26">
        <f t="shared" si="7"/>
        <v>3.0555555555555554</v>
      </c>
      <c r="AO31" s="26">
        <f t="shared" si="7"/>
        <v>5.0919191919191915</v>
      </c>
      <c r="AP31" s="26" t="e">
        <f t="shared" si="7"/>
        <v>#DIV/0!</v>
      </c>
      <c r="AQ31" s="26">
        <f t="shared" si="7"/>
        <v>8.5120350109409187E-2</v>
      </c>
      <c r="AR31" s="26">
        <f t="shared" si="7"/>
        <v>3.6949152542372881</v>
      </c>
      <c r="AS31" s="26">
        <f t="shared" si="7"/>
        <v>3.1893312101910829</v>
      </c>
      <c r="AT31" s="26">
        <f t="shared" si="7"/>
        <v>4.3248739495798318</v>
      </c>
      <c r="AU31" s="26">
        <f t="shared" si="7"/>
        <v>4.0172453703703708</v>
      </c>
      <c r="AV31" s="27">
        <f t="shared" si="7"/>
        <v>3.3</v>
      </c>
      <c r="AW31" s="28">
        <f t="shared" si="7"/>
        <v>3.7813884040293573</v>
      </c>
      <c r="AX31" s="28" t="e">
        <f t="shared" si="0"/>
        <v>#DIV/0!</v>
      </c>
      <c r="AY31" s="25">
        <f>AW31/AW13</f>
        <v>9.4373918178289717E-8</v>
      </c>
    </row>
    <row r="32" spans="1:51" ht="12.75" customHeight="1" x14ac:dyDescent="0.15">
      <c r="A32" s="47"/>
      <c r="B32" s="11" t="s">
        <v>86</v>
      </c>
      <c r="C32" s="14">
        <v>188662</v>
      </c>
      <c r="D32" s="14">
        <v>0</v>
      </c>
      <c r="E32" s="14">
        <v>198641</v>
      </c>
      <c r="F32" s="14">
        <v>216133</v>
      </c>
      <c r="G32" s="14">
        <v>92981</v>
      </c>
      <c r="H32" s="14">
        <v>110356</v>
      </c>
      <c r="I32" s="14">
        <v>97442</v>
      </c>
      <c r="J32" s="14">
        <v>0</v>
      </c>
      <c r="K32" s="14">
        <v>33951</v>
      </c>
      <c r="L32" s="14">
        <v>81030</v>
      </c>
      <c r="M32" s="14">
        <v>165907</v>
      </c>
      <c r="N32" s="14">
        <v>144292</v>
      </c>
      <c r="O32" s="14">
        <v>168623</v>
      </c>
      <c r="P32" s="14">
        <v>197029</v>
      </c>
      <c r="Q32" s="14">
        <v>161041</v>
      </c>
      <c r="R32" s="14">
        <v>154477</v>
      </c>
      <c r="S32" s="14">
        <v>181638</v>
      </c>
      <c r="T32" s="14">
        <v>148819</v>
      </c>
      <c r="U32" s="14">
        <v>183109</v>
      </c>
      <c r="V32" s="14">
        <v>201895</v>
      </c>
      <c r="W32" s="14">
        <v>184807</v>
      </c>
      <c r="X32" s="14">
        <v>194200</v>
      </c>
      <c r="Y32" s="14">
        <v>76616</v>
      </c>
      <c r="Z32" s="14">
        <v>57151</v>
      </c>
      <c r="AA32" s="14">
        <v>0</v>
      </c>
      <c r="AB32" s="14">
        <v>0</v>
      </c>
      <c r="AC32" s="14">
        <v>0</v>
      </c>
      <c r="AD32" s="14">
        <v>180732</v>
      </c>
      <c r="AE32" s="14">
        <v>141349</v>
      </c>
      <c r="AF32" s="14">
        <v>208572</v>
      </c>
      <c r="AG32" s="14">
        <v>257462</v>
      </c>
      <c r="AH32" s="14">
        <v>116339</v>
      </c>
      <c r="AI32" s="14">
        <v>188881</v>
      </c>
      <c r="AJ32" s="14">
        <v>59414</v>
      </c>
      <c r="AK32" s="14">
        <v>115755</v>
      </c>
      <c r="AL32" s="14">
        <v>146278</v>
      </c>
      <c r="AM32" s="14">
        <v>79009</v>
      </c>
      <c r="AN32" s="14">
        <v>96149</v>
      </c>
      <c r="AO32" s="14">
        <v>57993</v>
      </c>
      <c r="AP32" s="14">
        <v>0</v>
      </c>
      <c r="AQ32" s="14">
        <v>53652</v>
      </c>
      <c r="AR32" s="14">
        <v>124677</v>
      </c>
      <c r="AS32" s="14">
        <v>147934</v>
      </c>
      <c r="AT32" s="14">
        <v>69852</v>
      </c>
      <c r="AU32" s="14">
        <v>101433</v>
      </c>
      <c r="AV32" s="15">
        <v>68209</v>
      </c>
      <c r="AW32" s="16">
        <f t="shared" ref="AW32:AW46" si="8">SUM(C32:AV32)</f>
        <v>5452490</v>
      </c>
      <c r="AX32" s="16">
        <f t="shared" si="0"/>
        <v>116973.95555555556</v>
      </c>
      <c r="AY32" s="13">
        <f>AW32/AW13</f>
        <v>0.1360803996171423</v>
      </c>
    </row>
    <row r="33" spans="1:51" ht="12.75" customHeight="1" x14ac:dyDescent="0.15">
      <c r="A33" s="47"/>
      <c r="B33" s="11" t="s">
        <v>87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9585</v>
      </c>
      <c r="P33" s="14">
        <v>0</v>
      </c>
      <c r="Q33" s="14">
        <v>11715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>
        <v>0</v>
      </c>
      <c r="AC33" s="14">
        <v>0</v>
      </c>
      <c r="AD33" s="14">
        <v>0</v>
      </c>
      <c r="AE33" s="14">
        <v>0</v>
      </c>
      <c r="AF33" s="14">
        <v>9585</v>
      </c>
      <c r="AG33" s="14">
        <v>9585</v>
      </c>
      <c r="AH33" s="14">
        <v>0</v>
      </c>
      <c r="AI33" s="14">
        <v>0</v>
      </c>
      <c r="AJ33" s="14">
        <v>0</v>
      </c>
      <c r="AK33" s="14">
        <v>0</v>
      </c>
      <c r="AL33" s="14">
        <v>0</v>
      </c>
      <c r="AM33" s="14">
        <v>0</v>
      </c>
      <c r="AN33" s="14">
        <v>0</v>
      </c>
      <c r="AO33" s="14">
        <v>0</v>
      </c>
      <c r="AP33" s="14">
        <v>0</v>
      </c>
      <c r="AQ33" s="14">
        <v>0</v>
      </c>
      <c r="AR33" s="14">
        <v>0</v>
      </c>
      <c r="AS33" s="14">
        <v>0</v>
      </c>
      <c r="AT33" s="14">
        <v>0</v>
      </c>
      <c r="AU33" s="14">
        <v>0</v>
      </c>
      <c r="AV33" s="15">
        <v>0</v>
      </c>
      <c r="AW33" s="16">
        <f t="shared" si="8"/>
        <v>40470</v>
      </c>
      <c r="AX33" s="16">
        <f t="shared" si="0"/>
        <v>899.33333333333337</v>
      </c>
      <c r="AY33" s="13">
        <f>AW33/AW13</f>
        <v>1.0100291376060752E-3</v>
      </c>
    </row>
    <row r="34" spans="1:51" ht="12.75" customHeight="1" x14ac:dyDescent="0.15">
      <c r="A34" s="47"/>
      <c r="B34" s="11" t="s">
        <v>88</v>
      </c>
      <c r="C34" s="14">
        <v>0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>
        <v>0</v>
      </c>
      <c r="AC34" s="14">
        <v>0</v>
      </c>
      <c r="AD34" s="14">
        <v>0</v>
      </c>
      <c r="AE34" s="14">
        <v>0</v>
      </c>
      <c r="AF34" s="14">
        <v>0</v>
      </c>
      <c r="AG34" s="14">
        <v>0</v>
      </c>
      <c r="AH34" s="14">
        <v>0</v>
      </c>
      <c r="AI34" s="14">
        <v>0</v>
      </c>
      <c r="AJ34" s="14">
        <v>0</v>
      </c>
      <c r="AK34" s="14">
        <v>2736</v>
      </c>
      <c r="AL34" s="14">
        <v>6103</v>
      </c>
      <c r="AM34" s="14">
        <v>2119</v>
      </c>
      <c r="AN34" s="14">
        <v>1544</v>
      </c>
      <c r="AO34" s="14">
        <v>2124</v>
      </c>
      <c r="AP34" s="14">
        <v>0</v>
      </c>
      <c r="AQ34" s="14">
        <v>0</v>
      </c>
      <c r="AR34" s="14">
        <v>0</v>
      </c>
      <c r="AS34" s="14">
        <v>0</v>
      </c>
      <c r="AT34" s="14">
        <v>0</v>
      </c>
      <c r="AU34" s="14">
        <v>0</v>
      </c>
      <c r="AV34" s="15">
        <v>0</v>
      </c>
      <c r="AW34" s="16">
        <f t="shared" si="8"/>
        <v>14626</v>
      </c>
      <c r="AX34" s="16">
        <f t="shared" si="0"/>
        <v>325.02222222222224</v>
      </c>
      <c r="AY34" s="13">
        <f>AW34/AW13</f>
        <v>3.6502807429272192E-4</v>
      </c>
    </row>
    <row r="35" spans="1:51" ht="12.75" customHeight="1" x14ac:dyDescent="0.15">
      <c r="A35" s="47"/>
      <c r="B35" s="17" t="s">
        <v>89</v>
      </c>
      <c r="C35" s="18">
        <f>SUM(C32:C34)</f>
        <v>188662</v>
      </c>
      <c r="D35" s="18">
        <f t="shared" ref="D35:AV35" si="9">SUM(D32:D34)</f>
        <v>0</v>
      </c>
      <c r="E35" s="18">
        <f t="shared" si="9"/>
        <v>198641</v>
      </c>
      <c r="F35" s="18">
        <f t="shared" si="9"/>
        <v>216133</v>
      </c>
      <c r="G35" s="18">
        <f t="shared" si="9"/>
        <v>92981</v>
      </c>
      <c r="H35" s="18">
        <f t="shared" si="9"/>
        <v>110356</v>
      </c>
      <c r="I35" s="18">
        <f t="shared" si="9"/>
        <v>97442</v>
      </c>
      <c r="J35" s="18">
        <f t="shared" si="9"/>
        <v>0</v>
      </c>
      <c r="K35" s="18">
        <f t="shared" si="9"/>
        <v>33951</v>
      </c>
      <c r="L35" s="18">
        <f t="shared" si="9"/>
        <v>81030</v>
      </c>
      <c r="M35" s="18">
        <f t="shared" si="9"/>
        <v>165907</v>
      </c>
      <c r="N35" s="18">
        <f t="shared" si="9"/>
        <v>144292</v>
      </c>
      <c r="O35" s="18">
        <f t="shared" si="9"/>
        <v>178208</v>
      </c>
      <c r="P35" s="18">
        <f t="shared" si="9"/>
        <v>197029</v>
      </c>
      <c r="Q35" s="18">
        <f t="shared" si="9"/>
        <v>172756</v>
      </c>
      <c r="R35" s="18">
        <f t="shared" si="9"/>
        <v>154477</v>
      </c>
      <c r="S35" s="18">
        <f t="shared" si="9"/>
        <v>181638</v>
      </c>
      <c r="T35" s="18">
        <f t="shared" si="9"/>
        <v>148819</v>
      </c>
      <c r="U35" s="18">
        <f t="shared" si="9"/>
        <v>183109</v>
      </c>
      <c r="V35" s="18">
        <f t="shared" si="9"/>
        <v>201895</v>
      </c>
      <c r="W35" s="18">
        <f t="shared" si="9"/>
        <v>184807</v>
      </c>
      <c r="X35" s="18">
        <f t="shared" si="9"/>
        <v>194200</v>
      </c>
      <c r="Y35" s="18">
        <f t="shared" si="9"/>
        <v>76616</v>
      </c>
      <c r="Z35" s="18">
        <f t="shared" si="9"/>
        <v>57151</v>
      </c>
      <c r="AA35" s="18">
        <f t="shared" si="9"/>
        <v>0</v>
      </c>
      <c r="AB35" s="18">
        <f t="shared" si="9"/>
        <v>0</v>
      </c>
      <c r="AC35" s="18">
        <f t="shared" si="9"/>
        <v>0</v>
      </c>
      <c r="AD35" s="18">
        <f t="shared" si="9"/>
        <v>180732</v>
      </c>
      <c r="AE35" s="18">
        <f t="shared" si="9"/>
        <v>141349</v>
      </c>
      <c r="AF35" s="18">
        <f t="shared" si="9"/>
        <v>218157</v>
      </c>
      <c r="AG35" s="18">
        <f t="shared" si="9"/>
        <v>267047</v>
      </c>
      <c r="AH35" s="18">
        <f t="shared" si="9"/>
        <v>116339</v>
      </c>
      <c r="AI35" s="18">
        <f t="shared" si="9"/>
        <v>188881</v>
      </c>
      <c r="AJ35" s="18">
        <f t="shared" si="9"/>
        <v>59414</v>
      </c>
      <c r="AK35" s="18">
        <f t="shared" si="9"/>
        <v>118491</v>
      </c>
      <c r="AL35" s="18">
        <f t="shared" si="9"/>
        <v>152381</v>
      </c>
      <c r="AM35" s="18">
        <f t="shared" si="9"/>
        <v>81128</v>
      </c>
      <c r="AN35" s="18">
        <f t="shared" si="9"/>
        <v>97693</v>
      </c>
      <c r="AO35" s="18">
        <f t="shared" si="9"/>
        <v>60117</v>
      </c>
      <c r="AP35" s="18">
        <f t="shared" si="9"/>
        <v>0</v>
      </c>
      <c r="AQ35" s="18">
        <f t="shared" si="9"/>
        <v>53652</v>
      </c>
      <c r="AR35" s="18">
        <f t="shared" si="9"/>
        <v>124677</v>
      </c>
      <c r="AS35" s="18">
        <f t="shared" si="9"/>
        <v>147934</v>
      </c>
      <c r="AT35" s="18">
        <f t="shared" si="9"/>
        <v>69852</v>
      </c>
      <c r="AU35" s="18">
        <f t="shared" si="9"/>
        <v>101433</v>
      </c>
      <c r="AV35" s="19">
        <f t="shared" si="9"/>
        <v>68209</v>
      </c>
      <c r="AW35" s="20">
        <f t="shared" si="8"/>
        <v>5507586</v>
      </c>
      <c r="AX35" s="20">
        <f t="shared" si="0"/>
        <v>118198.31111111111</v>
      </c>
      <c r="AY35" s="21">
        <f>AW35/AW13</f>
        <v>0.13745545682904109</v>
      </c>
    </row>
    <row r="36" spans="1:51" ht="12.75" customHeight="1" x14ac:dyDescent="0.15">
      <c r="A36" s="47" t="s">
        <v>90</v>
      </c>
      <c r="B36" s="11" t="s">
        <v>91</v>
      </c>
      <c r="C36" s="14">
        <v>2012</v>
      </c>
      <c r="D36" s="14">
        <v>0</v>
      </c>
      <c r="E36" s="14">
        <v>2008</v>
      </c>
      <c r="F36" s="14">
        <v>2008</v>
      </c>
      <c r="G36" s="14">
        <v>2008</v>
      </c>
      <c r="H36" s="14">
        <v>2008</v>
      </c>
      <c r="I36" s="14">
        <v>2008</v>
      </c>
      <c r="J36" s="14">
        <v>2008</v>
      </c>
      <c r="K36" s="14">
        <v>2008</v>
      </c>
      <c r="L36" s="14">
        <v>2008</v>
      </c>
      <c r="M36" s="14">
        <v>2008</v>
      </c>
      <c r="N36" s="14">
        <v>2008</v>
      </c>
      <c r="O36" s="14">
        <v>2008</v>
      </c>
      <c r="P36" s="14">
        <v>2008</v>
      </c>
      <c r="Q36" s="14">
        <v>2451</v>
      </c>
      <c r="R36" s="14">
        <v>2008</v>
      </c>
      <c r="S36" s="14">
        <v>2012</v>
      </c>
      <c r="T36" s="14">
        <v>2008</v>
      </c>
      <c r="U36" s="14">
        <v>2008</v>
      </c>
      <c r="V36" s="14">
        <v>2008</v>
      </c>
      <c r="W36" s="14">
        <v>2008</v>
      </c>
      <c r="X36" s="14">
        <v>2008</v>
      </c>
      <c r="Y36" s="14">
        <v>2008</v>
      </c>
      <c r="Z36" s="14">
        <v>2008</v>
      </c>
      <c r="AA36" s="14">
        <v>0</v>
      </c>
      <c r="AB36" s="14">
        <v>0</v>
      </c>
      <c r="AC36" s="14">
        <v>0</v>
      </c>
      <c r="AD36" s="14">
        <v>2012</v>
      </c>
      <c r="AE36" s="14">
        <v>2012</v>
      </c>
      <c r="AF36" s="14">
        <v>2008</v>
      </c>
      <c r="AG36" s="14">
        <v>2008</v>
      </c>
      <c r="AH36" s="14">
        <v>2008</v>
      </c>
      <c r="AI36" s="14">
        <v>2008</v>
      </c>
      <c r="AJ36" s="14">
        <v>2628</v>
      </c>
      <c r="AK36" s="14">
        <v>2451</v>
      </c>
      <c r="AL36" s="14">
        <v>2451</v>
      </c>
      <c r="AM36" s="14">
        <v>2008</v>
      </c>
      <c r="AN36" s="14">
        <v>2012</v>
      </c>
      <c r="AO36" s="14">
        <v>2012</v>
      </c>
      <c r="AP36" s="14">
        <v>0</v>
      </c>
      <c r="AQ36" s="14">
        <v>2451</v>
      </c>
      <c r="AR36" s="14">
        <v>2451</v>
      </c>
      <c r="AS36" s="14">
        <v>2008</v>
      </c>
      <c r="AT36" s="14">
        <v>2008</v>
      </c>
      <c r="AU36" s="14">
        <v>2012</v>
      </c>
      <c r="AV36" s="15">
        <v>2008</v>
      </c>
      <c r="AW36" s="16">
        <f t="shared" si="8"/>
        <v>85191</v>
      </c>
      <c r="AX36" s="16">
        <f t="shared" si="0"/>
        <v>1848.4222222222222</v>
      </c>
      <c r="AY36" s="13">
        <f>AW36/AW13</f>
        <v>2.1261525144996084E-3</v>
      </c>
    </row>
    <row r="37" spans="1:51" ht="12.75" customHeight="1" x14ac:dyDescent="0.15">
      <c r="A37" s="47"/>
      <c r="B37" s="11" t="s">
        <v>92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4">
        <v>0</v>
      </c>
      <c r="AD37" s="14">
        <v>0</v>
      </c>
      <c r="AE37" s="14">
        <v>0</v>
      </c>
      <c r="AF37" s="14">
        <v>0</v>
      </c>
      <c r="AG37" s="14">
        <v>0</v>
      </c>
      <c r="AH37" s="14">
        <v>0</v>
      </c>
      <c r="AI37" s="14">
        <v>0</v>
      </c>
      <c r="AJ37" s="14">
        <v>0</v>
      </c>
      <c r="AK37" s="14">
        <v>0</v>
      </c>
      <c r="AL37" s="14">
        <v>0</v>
      </c>
      <c r="AM37" s="14">
        <v>0</v>
      </c>
      <c r="AN37" s="14">
        <v>0</v>
      </c>
      <c r="AO37" s="14">
        <v>0</v>
      </c>
      <c r="AP37" s="14">
        <v>0</v>
      </c>
      <c r="AQ37" s="14">
        <v>0</v>
      </c>
      <c r="AR37" s="14">
        <v>0</v>
      </c>
      <c r="AS37" s="14">
        <v>0</v>
      </c>
      <c r="AT37" s="14">
        <v>0</v>
      </c>
      <c r="AU37" s="14">
        <v>0</v>
      </c>
      <c r="AV37" s="15">
        <v>0</v>
      </c>
      <c r="AW37" s="16">
        <f t="shared" si="8"/>
        <v>0</v>
      </c>
      <c r="AX37" s="16">
        <f t="shared" si="0"/>
        <v>0</v>
      </c>
      <c r="AY37" s="13">
        <f>AW37/AW13</f>
        <v>0</v>
      </c>
    </row>
    <row r="38" spans="1:51" ht="12.75" customHeight="1" x14ac:dyDescent="0.15">
      <c r="A38" s="47"/>
      <c r="B38" s="11" t="s">
        <v>93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4">
        <v>0</v>
      </c>
      <c r="W38" s="14">
        <v>0</v>
      </c>
      <c r="X38" s="14">
        <v>0</v>
      </c>
      <c r="Y38" s="14">
        <v>0</v>
      </c>
      <c r="Z38" s="14">
        <v>0</v>
      </c>
      <c r="AA38" s="14">
        <v>0</v>
      </c>
      <c r="AB38" s="14">
        <v>0</v>
      </c>
      <c r="AC38" s="14">
        <v>0</v>
      </c>
      <c r="AD38" s="14">
        <v>0</v>
      </c>
      <c r="AE38" s="14">
        <v>0</v>
      </c>
      <c r="AF38" s="14">
        <v>0</v>
      </c>
      <c r="AG38" s="14">
        <v>0</v>
      </c>
      <c r="AH38" s="14">
        <v>0</v>
      </c>
      <c r="AI38" s="14">
        <v>0</v>
      </c>
      <c r="AJ38" s="14">
        <v>0</v>
      </c>
      <c r="AK38" s="14">
        <v>0</v>
      </c>
      <c r="AL38" s="14">
        <v>0</v>
      </c>
      <c r="AM38" s="14">
        <v>0</v>
      </c>
      <c r="AN38" s="14">
        <v>0</v>
      </c>
      <c r="AO38" s="14">
        <v>0</v>
      </c>
      <c r="AP38" s="14">
        <v>0</v>
      </c>
      <c r="AQ38" s="14">
        <v>0</v>
      </c>
      <c r="AR38" s="14">
        <v>0</v>
      </c>
      <c r="AS38" s="14">
        <v>0</v>
      </c>
      <c r="AT38" s="14">
        <v>0</v>
      </c>
      <c r="AU38" s="14">
        <v>0</v>
      </c>
      <c r="AV38" s="15">
        <v>0</v>
      </c>
      <c r="AW38" s="16">
        <f t="shared" si="8"/>
        <v>0</v>
      </c>
      <c r="AX38" s="16">
        <f t="shared" si="0"/>
        <v>0</v>
      </c>
      <c r="AY38" s="13">
        <f>AW38/AW13</f>
        <v>0</v>
      </c>
    </row>
    <row r="39" spans="1:51" ht="12.75" customHeight="1" x14ac:dyDescent="0.15">
      <c r="A39" s="47"/>
      <c r="B39" s="11" t="s">
        <v>94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  <c r="W39" s="14">
        <v>0</v>
      </c>
      <c r="X39" s="14">
        <v>0</v>
      </c>
      <c r="Y39" s="14">
        <v>0</v>
      </c>
      <c r="Z39" s="14">
        <v>0</v>
      </c>
      <c r="AA39" s="14">
        <v>0</v>
      </c>
      <c r="AB39" s="14">
        <v>0</v>
      </c>
      <c r="AC39" s="14">
        <v>0</v>
      </c>
      <c r="AD39" s="14">
        <v>0</v>
      </c>
      <c r="AE39" s="14">
        <v>0</v>
      </c>
      <c r="AF39" s="14">
        <v>0</v>
      </c>
      <c r="AG39" s="14">
        <v>0</v>
      </c>
      <c r="AH39" s="14">
        <v>0</v>
      </c>
      <c r="AI39" s="14">
        <v>0</v>
      </c>
      <c r="AJ39" s="14">
        <v>0</v>
      </c>
      <c r="AK39" s="14">
        <v>0</v>
      </c>
      <c r="AL39" s="14">
        <v>0</v>
      </c>
      <c r="AM39" s="14">
        <v>0</v>
      </c>
      <c r="AN39" s="14">
        <v>0</v>
      </c>
      <c r="AO39" s="14">
        <v>0</v>
      </c>
      <c r="AP39" s="14">
        <v>0</v>
      </c>
      <c r="AQ39" s="14">
        <v>0</v>
      </c>
      <c r="AR39" s="14">
        <v>0</v>
      </c>
      <c r="AS39" s="14">
        <v>0</v>
      </c>
      <c r="AT39" s="14">
        <v>0</v>
      </c>
      <c r="AU39" s="14">
        <v>0</v>
      </c>
      <c r="AV39" s="15">
        <v>0</v>
      </c>
      <c r="AW39" s="16">
        <f t="shared" si="8"/>
        <v>0</v>
      </c>
      <c r="AX39" s="16">
        <f t="shared" si="0"/>
        <v>0</v>
      </c>
      <c r="AY39" s="13">
        <f>AW39/AW13</f>
        <v>0</v>
      </c>
    </row>
    <row r="40" spans="1:51" ht="12.75" customHeight="1" x14ac:dyDescent="0.15">
      <c r="A40" s="47"/>
      <c r="B40" s="11" t="s">
        <v>95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  <c r="W40" s="14">
        <v>0</v>
      </c>
      <c r="X40" s="14">
        <v>0</v>
      </c>
      <c r="Y40" s="14">
        <v>0</v>
      </c>
      <c r="Z40" s="14">
        <v>0</v>
      </c>
      <c r="AA40" s="14">
        <v>0</v>
      </c>
      <c r="AB40" s="14">
        <v>0</v>
      </c>
      <c r="AC40" s="14">
        <v>0</v>
      </c>
      <c r="AD40" s="14">
        <v>0</v>
      </c>
      <c r="AE40" s="14">
        <v>0</v>
      </c>
      <c r="AF40" s="14">
        <v>0</v>
      </c>
      <c r="AG40" s="14">
        <v>0</v>
      </c>
      <c r="AH40" s="14">
        <v>0</v>
      </c>
      <c r="AI40" s="14">
        <v>0</v>
      </c>
      <c r="AJ40" s="14">
        <v>0</v>
      </c>
      <c r="AK40" s="14">
        <v>0</v>
      </c>
      <c r="AL40" s="14">
        <v>0</v>
      </c>
      <c r="AM40" s="14">
        <v>0</v>
      </c>
      <c r="AN40" s="14">
        <v>0</v>
      </c>
      <c r="AO40" s="14">
        <v>0</v>
      </c>
      <c r="AP40" s="14">
        <v>0</v>
      </c>
      <c r="AQ40" s="14">
        <v>0</v>
      </c>
      <c r="AR40" s="14">
        <v>0</v>
      </c>
      <c r="AS40" s="14">
        <v>0</v>
      </c>
      <c r="AT40" s="14">
        <v>0</v>
      </c>
      <c r="AU40" s="14">
        <v>0</v>
      </c>
      <c r="AV40" s="15">
        <v>0</v>
      </c>
      <c r="AW40" s="16">
        <f t="shared" si="8"/>
        <v>0</v>
      </c>
      <c r="AX40" s="16">
        <f t="shared" si="0"/>
        <v>0</v>
      </c>
      <c r="AY40" s="13">
        <f>AW40/AW13</f>
        <v>0</v>
      </c>
    </row>
    <row r="41" spans="1:51" ht="12.75" customHeight="1" x14ac:dyDescent="0.15">
      <c r="A41" s="47"/>
      <c r="B41" s="11" t="s">
        <v>96</v>
      </c>
      <c r="C41" s="14">
        <v>4430</v>
      </c>
      <c r="D41" s="14">
        <v>0</v>
      </c>
      <c r="E41" s="14">
        <v>4430</v>
      </c>
      <c r="F41" s="14">
        <v>7050</v>
      </c>
      <c r="G41" s="14">
        <v>5150</v>
      </c>
      <c r="H41" s="14">
        <v>5150</v>
      </c>
      <c r="I41" s="14">
        <v>5150</v>
      </c>
      <c r="J41" s="14">
        <v>9073</v>
      </c>
      <c r="K41" s="14">
        <v>5150</v>
      </c>
      <c r="L41" s="14">
        <v>5150</v>
      </c>
      <c r="M41" s="14">
        <v>5150</v>
      </c>
      <c r="N41" s="14">
        <v>5150</v>
      </c>
      <c r="O41" s="14">
        <v>5150</v>
      </c>
      <c r="P41" s="14">
        <v>5150</v>
      </c>
      <c r="Q41" s="14">
        <v>10249</v>
      </c>
      <c r="R41" s="14">
        <v>5150</v>
      </c>
      <c r="S41" s="14">
        <v>5150</v>
      </c>
      <c r="T41" s="14">
        <v>7736</v>
      </c>
      <c r="U41" s="14">
        <v>5150</v>
      </c>
      <c r="V41" s="14">
        <v>8780</v>
      </c>
      <c r="W41" s="14">
        <v>5150</v>
      </c>
      <c r="X41" s="14">
        <v>7602</v>
      </c>
      <c r="Y41" s="14">
        <v>6832</v>
      </c>
      <c r="Z41" s="14">
        <v>4430</v>
      </c>
      <c r="AA41" s="14">
        <v>0</v>
      </c>
      <c r="AB41" s="14">
        <v>0</v>
      </c>
      <c r="AC41" s="14">
        <v>0</v>
      </c>
      <c r="AD41" s="14">
        <v>5150</v>
      </c>
      <c r="AE41" s="14">
        <v>9610</v>
      </c>
      <c r="AF41" s="14">
        <v>5150</v>
      </c>
      <c r="AG41" s="14">
        <v>5150</v>
      </c>
      <c r="AH41" s="14">
        <v>4430</v>
      </c>
      <c r="AI41" s="14">
        <v>4430</v>
      </c>
      <c r="AJ41" s="14">
        <v>4430</v>
      </c>
      <c r="AK41" s="14">
        <v>10249</v>
      </c>
      <c r="AL41" s="14">
        <v>10249</v>
      </c>
      <c r="AM41" s="14">
        <v>5150</v>
      </c>
      <c r="AN41" s="14">
        <v>5150</v>
      </c>
      <c r="AO41" s="14">
        <v>7990</v>
      </c>
      <c r="AP41" s="14">
        <v>0</v>
      </c>
      <c r="AQ41" s="14">
        <v>10249</v>
      </c>
      <c r="AR41" s="14">
        <v>10249</v>
      </c>
      <c r="AS41" s="14">
        <v>10005</v>
      </c>
      <c r="AT41" s="14">
        <v>8515</v>
      </c>
      <c r="AU41" s="14">
        <v>10163</v>
      </c>
      <c r="AV41" s="15">
        <v>11536</v>
      </c>
      <c r="AW41" s="16">
        <f t="shared" si="8"/>
        <v>275417</v>
      </c>
      <c r="AX41" s="16">
        <f t="shared" si="0"/>
        <v>6021.9333333333334</v>
      </c>
      <c r="AY41" s="13">
        <f>AW41/AW13</f>
        <v>6.8737137383753991E-3</v>
      </c>
    </row>
    <row r="42" spans="1:51" ht="12.75" customHeight="1" x14ac:dyDescent="0.15">
      <c r="A42" s="47"/>
      <c r="B42" s="17" t="s">
        <v>97</v>
      </c>
      <c r="C42" s="18">
        <f>SUM(C36:C41)</f>
        <v>6442</v>
      </c>
      <c r="D42" s="18">
        <f t="shared" ref="D42:AV42" si="10">SUM(D36:D41)</f>
        <v>0</v>
      </c>
      <c r="E42" s="18">
        <f t="shared" si="10"/>
        <v>6438</v>
      </c>
      <c r="F42" s="18">
        <f t="shared" si="10"/>
        <v>9058</v>
      </c>
      <c r="G42" s="18">
        <f t="shared" si="10"/>
        <v>7158</v>
      </c>
      <c r="H42" s="18">
        <f t="shared" si="10"/>
        <v>7158</v>
      </c>
      <c r="I42" s="18">
        <f t="shared" si="10"/>
        <v>7158</v>
      </c>
      <c r="J42" s="18">
        <f t="shared" si="10"/>
        <v>11081</v>
      </c>
      <c r="K42" s="18">
        <f t="shared" si="10"/>
        <v>7158</v>
      </c>
      <c r="L42" s="18">
        <f t="shared" si="10"/>
        <v>7158</v>
      </c>
      <c r="M42" s="18">
        <f t="shared" si="10"/>
        <v>7158</v>
      </c>
      <c r="N42" s="18">
        <f t="shared" si="10"/>
        <v>7158</v>
      </c>
      <c r="O42" s="18">
        <f t="shared" si="10"/>
        <v>7158</v>
      </c>
      <c r="P42" s="18">
        <f t="shared" si="10"/>
        <v>7158</v>
      </c>
      <c r="Q42" s="18">
        <f t="shared" si="10"/>
        <v>12700</v>
      </c>
      <c r="R42" s="18">
        <f t="shared" si="10"/>
        <v>7158</v>
      </c>
      <c r="S42" s="18">
        <f t="shared" si="10"/>
        <v>7162</v>
      </c>
      <c r="T42" s="18">
        <f t="shared" si="10"/>
        <v>9744</v>
      </c>
      <c r="U42" s="18">
        <f t="shared" si="10"/>
        <v>7158</v>
      </c>
      <c r="V42" s="18">
        <f t="shared" si="10"/>
        <v>10788</v>
      </c>
      <c r="W42" s="18">
        <f t="shared" si="10"/>
        <v>7158</v>
      </c>
      <c r="X42" s="18">
        <f t="shared" si="10"/>
        <v>9610</v>
      </c>
      <c r="Y42" s="18">
        <f t="shared" si="10"/>
        <v>8840</v>
      </c>
      <c r="Z42" s="18">
        <f t="shared" si="10"/>
        <v>6438</v>
      </c>
      <c r="AA42" s="18">
        <f t="shared" si="10"/>
        <v>0</v>
      </c>
      <c r="AB42" s="18">
        <f t="shared" si="10"/>
        <v>0</v>
      </c>
      <c r="AC42" s="18">
        <f t="shared" si="10"/>
        <v>0</v>
      </c>
      <c r="AD42" s="18">
        <f t="shared" si="10"/>
        <v>7162</v>
      </c>
      <c r="AE42" s="18">
        <f t="shared" si="10"/>
        <v>11622</v>
      </c>
      <c r="AF42" s="18">
        <f t="shared" si="10"/>
        <v>7158</v>
      </c>
      <c r="AG42" s="18">
        <f t="shared" si="10"/>
        <v>7158</v>
      </c>
      <c r="AH42" s="18">
        <f t="shared" si="10"/>
        <v>6438</v>
      </c>
      <c r="AI42" s="18">
        <f t="shared" si="10"/>
        <v>6438</v>
      </c>
      <c r="AJ42" s="18">
        <f t="shared" si="10"/>
        <v>7058</v>
      </c>
      <c r="AK42" s="18">
        <f t="shared" si="10"/>
        <v>12700</v>
      </c>
      <c r="AL42" s="18">
        <f t="shared" si="10"/>
        <v>12700</v>
      </c>
      <c r="AM42" s="18">
        <f t="shared" si="10"/>
        <v>7158</v>
      </c>
      <c r="AN42" s="18">
        <f t="shared" si="10"/>
        <v>7162</v>
      </c>
      <c r="AO42" s="18">
        <f t="shared" si="10"/>
        <v>10002</v>
      </c>
      <c r="AP42" s="18">
        <f t="shared" si="10"/>
        <v>0</v>
      </c>
      <c r="AQ42" s="18">
        <f t="shared" si="10"/>
        <v>12700</v>
      </c>
      <c r="AR42" s="18">
        <f t="shared" si="10"/>
        <v>12700</v>
      </c>
      <c r="AS42" s="18">
        <f t="shared" si="10"/>
        <v>12013</v>
      </c>
      <c r="AT42" s="18">
        <f t="shared" si="10"/>
        <v>10523</v>
      </c>
      <c r="AU42" s="18">
        <f t="shared" si="10"/>
        <v>12175</v>
      </c>
      <c r="AV42" s="19">
        <f t="shared" si="10"/>
        <v>13544</v>
      </c>
      <c r="AW42" s="20">
        <f t="shared" si="8"/>
        <v>360608</v>
      </c>
      <c r="AX42" s="20">
        <f t="shared" si="0"/>
        <v>7870.3555555555558</v>
      </c>
      <c r="AY42" s="21">
        <f>AW42/AW13</f>
        <v>8.9998662528750079E-3</v>
      </c>
    </row>
    <row r="43" spans="1:51" ht="12.75" customHeight="1" x14ac:dyDescent="0.15">
      <c r="A43" s="47" t="s">
        <v>98</v>
      </c>
      <c r="B43" s="11" t="s">
        <v>99</v>
      </c>
      <c r="C43" s="14">
        <v>210210</v>
      </c>
      <c r="D43" s="14">
        <v>131840</v>
      </c>
      <c r="E43" s="14">
        <v>186590</v>
      </c>
      <c r="F43" s="14">
        <v>194970</v>
      </c>
      <c r="G43" s="14">
        <v>102420</v>
      </c>
      <c r="H43" s="14">
        <v>160650</v>
      </c>
      <c r="I43" s="14">
        <v>143630</v>
      </c>
      <c r="J43" s="14">
        <v>0</v>
      </c>
      <c r="K43" s="14">
        <v>23000</v>
      </c>
      <c r="L43" s="14">
        <v>3940</v>
      </c>
      <c r="M43" s="14">
        <v>99820</v>
      </c>
      <c r="N43" s="14">
        <v>77270</v>
      </c>
      <c r="O43" s="14">
        <v>91730</v>
      </c>
      <c r="P43" s="14">
        <v>117340</v>
      </c>
      <c r="Q43" s="14">
        <v>121760</v>
      </c>
      <c r="R43" s="14">
        <v>75760</v>
      </c>
      <c r="S43" s="14">
        <v>94550</v>
      </c>
      <c r="T43" s="14">
        <v>83060</v>
      </c>
      <c r="U43" s="14">
        <v>103370</v>
      </c>
      <c r="V43" s="14">
        <v>131820</v>
      </c>
      <c r="W43" s="14">
        <v>119910</v>
      </c>
      <c r="X43" s="14">
        <v>129470</v>
      </c>
      <c r="Y43" s="14">
        <v>59390</v>
      </c>
      <c r="Z43" s="14">
        <v>31930</v>
      </c>
      <c r="AA43" s="14">
        <v>0</v>
      </c>
      <c r="AB43" s="14">
        <v>0</v>
      </c>
      <c r="AC43" s="14">
        <v>0</v>
      </c>
      <c r="AD43" s="14">
        <v>119870</v>
      </c>
      <c r="AE43" s="14">
        <v>103060</v>
      </c>
      <c r="AF43" s="14">
        <v>233550</v>
      </c>
      <c r="AG43" s="14">
        <v>205780</v>
      </c>
      <c r="AH43" s="14">
        <v>48520</v>
      </c>
      <c r="AI43" s="14">
        <v>132680</v>
      </c>
      <c r="AJ43" s="14">
        <v>44980</v>
      </c>
      <c r="AK43" s="14">
        <v>96790</v>
      </c>
      <c r="AL43" s="14">
        <v>182050</v>
      </c>
      <c r="AM43" s="14">
        <v>105330</v>
      </c>
      <c r="AN43" s="14">
        <v>93460</v>
      </c>
      <c r="AO43" s="14">
        <v>90740</v>
      </c>
      <c r="AP43" s="14">
        <v>0</v>
      </c>
      <c r="AQ43" s="14">
        <v>0</v>
      </c>
      <c r="AR43" s="14">
        <v>79360</v>
      </c>
      <c r="AS43" s="14">
        <v>66100</v>
      </c>
      <c r="AT43" s="14">
        <v>42430</v>
      </c>
      <c r="AU43" s="14">
        <v>63710</v>
      </c>
      <c r="AV43" s="15">
        <v>28380</v>
      </c>
      <c r="AW43" s="16">
        <f t="shared" si="8"/>
        <v>4231220</v>
      </c>
      <c r="AX43" s="16">
        <f t="shared" si="0"/>
        <v>89355.777777777781</v>
      </c>
      <c r="AY43" s="13">
        <f>AW43/AW13</f>
        <v>0.1056005803711781</v>
      </c>
    </row>
    <row r="44" spans="1:51" ht="12.75" customHeight="1" x14ac:dyDescent="0.15">
      <c r="A44" s="47"/>
      <c r="B44" s="11" t="s">
        <v>100</v>
      </c>
      <c r="C44" s="14">
        <v>-153599</v>
      </c>
      <c r="D44" s="14">
        <v>-131840</v>
      </c>
      <c r="E44" s="14">
        <v>-129579</v>
      </c>
      <c r="F44" s="14">
        <v>-153737</v>
      </c>
      <c r="G44" s="14">
        <v>-21056</v>
      </c>
      <c r="H44" s="14">
        <v>-51577</v>
      </c>
      <c r="I44" s="14">
        <v>-60239</v>
      </c>
      <c r="J44" s="14">
        <v>0</v>
      </c>
      <c r="K44" s="14">
        <v>-23000</v>
      </c>
      <c r="L44" s="14">
        <v>-3020</v>
      </c>
      <c r="M44" s="14">
        <v>-45995</v>
      </c>
      <c r="N44" s="14">
        <v>-24644</v>
      </c>
      <c r="O44" s="14">
        <v>-42336</v>
      </c>
      <c r="P44" s="14">
        <v>-63515</v>
      </c>
      <c r="Q44" s="14">
        <v>-62554</v>
      </c>
      <c r="R44" s="14">
        <v>-41766</v>
      </c>
      <c r="S44" s="14">
        <v>-33888</v>
      </c>
      <c r="T44" s="14">
        <v>-36657</v>
      </c>
      <c r="U44" s="14">
        <v>-61487</v>
      </c>
      <c r="V44" s="14">
        <v>-49486</v>
      </c>
      <c r="W44" s="14">
        <v>-62202</v>
      </c>
      <c r="X44" s="14">
        <v>-51315</v>
      </c>
      <c r="Y44" s="14">
        <v>-45270</v>
      </c>
      <c r="Z44" s="14">
        <v>-38020</v>
      </c>
      <c r="AA44" s="14">
        <v>0</v>
      </c>
      <c r="AB44" s="14">
        <v>0</v>
      </c>
      <c r="AC44" s="14">
        <v>0</v>
      </c>
      <c r="AD44" s="14">
        <v>-119870</v>
      </c>
      <c r="AE44" s="14">
        <v>-103060</v>
      </c>
      <c r="AF44" s="14">
        <v>-175670</v>
      </c>
      <c r="AG44" s="14">
        <v>-45868</v>
      </c>
      <c r="AH44" s="14">
        <v>0</v>
      </c>
      <c r="AI44" s="14">
        <v>0</v>
      </c>
      <c r="AJ44" s="14">
        <v>0</v>
      </c>
      <c r="AK44" s="14">
        <v>-77572</v>
      </c>
      <c r="AL44" s="14">
        <v>-123541</v>
      </c>
      <c r="AM44" s="14">
        <v>-49766</v>
      </c>
      <c r="AN44" s="14">
        <v>-48924</v>
      </c>
      <c r="AO44" s="14">
        <v>-44449</v>
      </c>
      <c r="AP44" s="14">
        <v>0</v>
      </c>
      <c r="AQ44" s="14">
        <v>0</v>
      </c>
      <c r="AR44" s="14">
        <v>-7215</v>
      </c>
      <c r="AS44" s="14">
        <v>-6009</v>
      </c>
      <c r="AT44" s="14">
        <v>-3857</v>
      </c>
      <c r="AU44" s="14">
        <v>-5792</v>
      </c>
      <c r="AV44" s="15">
        <v>-2580</v>
      </c>
      <c r="AW44" s="16">
        <f t="shared" si="8"/>
        <v>-2200955</v>
      </c>
      <c r="AX44" s="16">
        <f t="shared" si="0"/>
        <v>-45496.800000000003</v>
      </c>
      <c r="AY44" s="13">
        <f>AW44/AW13</f>
        <v>-5.4930286151711867E-2</v>
      </c>
    </row>
    <row r="45" spans="1:51" ht="12.75" customHeight="1" x14ac:dyDescent="0.15">
      <c r="A45" s="47"/>
      <c r="B45" s="11" t="s">
        <v>101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4">
        <v>0</v>
      </c>
      <c r="Z45" s="14">
        <v>0</v>
      </c>
      <c r="AA45" s="14">
        <v>0</v>
      </c>
      <c r="AB45" s="14">
        <v>0</v>
      </c>
      <c r="AC45" s="14">
        <v>0</v>
      </c>
      <c r="AD45" s="14">
        <v>0</v>
      </c>
      <c r="AE45" s="14">
        <v>0</v>
      </c>
      <c r="AF45" s="14">
        <v>0</v>
      </c>
      <c r="AG45" s="14">
        <v>0</v>
      </c>
      <c r="AH45" s="14">
        <v>0</v>
      </c>
      <c r="AI45" s="14">
        <v>0</v>
      </c>
      <c r="AJ45" s="14">
        <v>0</v>
      </c>
      <c r="AK45" s="14">
        <v>0</v>
      </c>
      <c r="AL45" s="14">
        <v>0</v>
      </c>
      <c r="AM45" s="14">
        <v>0</v>
      </c>
      <c r="AN45" s="14">
        <v>0</v>
      </c>
      <c r="AO45" s="14">
        <v>0</v>
      </c>
      <c r="AP45" s="14">
        <v>0</v>
      </c>
      <c r="AQ45" s="14">
        <v>0</v>
      </c>
      <c r="AR45" s="14">
        <v>0</v>
      </c>
      <c r="AS45" s="14">
        <v>0</v>
      </c>
      <c r="AT45" s="14">
        <v>0</v>
      </c>
      <c r="AU45" s="14">
        <v>0</v>
      </c>
      <c r="AV45" s="15">
        <v>0</v>
      </c>
      <c r="AW45" s="16">
        <f t="shared" si="8"/>
        <v>0</v>
      </c>
      <c r="AX45" s="16">
        <f t="shared" si="0"/>
        <v>0</v>
      </c>
      <c r="AY45" s="13">
        <f>AW45/AW13</f>
        <v>0</v>
      </c>
    </row>
    <row r="46" spans="1:51" ht="12.75" customHeight="1" x14ac:dyDescent="0.15">
      <c r="A46" s="47"/>
      <c r="B46" s="11" t="s">
        <v>102</v>
      </c>
      <c r="C46" s="14">
        <v>-67267.199999999997</v>
      </c>
      <c r="D46" s="14">
        <v>0</v>
      </c>
      <c r="E46" s="14">
        <v>-59708.800000000003</v>
      </c>
      <c r="F46" s="14">
        <v>-62390.400000000001</v>
      </c>
      <c r="G46" s="14">
        <v>-32774.400000000001</v>
      </c>
      <c r="H46" s="14">
        <v>-51408</v>
      </c>
      <c r="I46" s="14">
        <v>-45961.599999999999</v>
      </c>
      <c r="J46" s="14">
        <v>0</v>
      </c>
      <c r="K46" s="14">
        <v>-7360</v>
      </c>
      <c r="L46" s="14">
        <v>-1260.8</v>
      </c>
      <c r="M46" s="14">
        <v>-31942.400000000001</v>
      </c>
      <c r="N46" s="14">
        <v>-24726.400000000001</v>
      </c>
      <c r="O46" s="14">
        <v>-29353.599999999999</v>
      </c>
      <c r="P46" s="14">
        <v>-37548.800000000003</v>
      </c>
      <c r="Q46" s="14">
        <v>-38963.199999999997</v>
      </c>
      <c r="R46" s="14">
        <v>-24243.200000000001</v>
      </c>
      <c r="S46" s="14">
        <v>-30256</v>
      </c>
      <c r="T46" s="14">
        <v>-26579.200000000001</v>
      </c>
      <c r="U46" s="14">
        <v>-33078.400000000001</v>
      </c>
      <c r="V46" s="14">
        <v>-42182.400000000001</v>
      </c>
      <c r="W46" s="14">
        <v>-38371.199999999997</v>
      </c>
      <c r="X46" s="14">
        <v>-41430.400000000001</v>
      </c>
      <c r="Y46" s="14">
        <v>-19004.8</v>
      </c>
      <c r="Z46" s="14">
        <v>-10217.6</v>
      </c>
      <c r="AA46" s="14">
        <v>0</v>
      </c>
      <c r="AB46" s="14">
        <v>0</v>
      </c>
      <c r="AC46" s="14">
        <v>0</v>
      </c>
      <c r="AD46" s="14">
        <v>-38358.400000000001</v>
      </c>
      <c r="AE46" s="14">
        <v>-32979.199999999997</v>
      </c>
      <c r="AF46" s="14">
        <v>-74736</v>
      </c>
      <c r="AG46" s="14">
        <v>-65849.600000000006</v>
      </c>
      <c r="AH46" s="14">
        <v>-15526.4</v>
      </c>
      <c r="AI46" s="14">
        <v>-42457.599999999999</v>
      </c>
      <c r="AJ46" s="14">
        <v>-14393.6</v>
      </c>
      <c r="AK46" s="14">
        <v>-30972.799999999999</v>
      </c>
      <c r="AL46" s="14">
        <v>-58256</v>
      </c>
      <c r="AM46" s="14">
        <v>-33705.599999999999</v>
      </c>
      <c r="AN46" s="14">
        <v>-29907.200000000001</v>
      </c>
      <c r="AO46" s="14">
        <v>-29036.799999999999</v>
      </c>
      <c r="AP46" s="14">
        <v>0</v>
      </c>
      <c r="AQ46" s="14">
        <v>0</v>
      </c>
      <c r="AR46" s="14">
        <v>-25395.200000000001</v>
      </c>
      <c r="AS46" s="14">
        <v>-21152</v>
      </c>
      <c r="AT46" s="14">
        <v>-13577.6</v>
      </c>
      <c r="AU46" s="14">
        <v>-20387.2</v>
      </c>
      <c r="AV46" s="15">
        <v>-9081.6</v>
      </c>
      <c r="AW46" s="16">
        <f t="shared" si="8"/>
        <v>-1311801.6000000001</v>
      </c>
      <c r="AX46" s="16">
        <f>AVERAGE(B46:AV46)</f>
        <v>-28517.426086956522</v>
      </c>
      <c r="AY46" s="13">
        <f>AW46/AW13</f>
        <v>-3.2739259667859393E-2</v>
      </c>
    </row>
    <row r="47" spans="1:51" ht="12.75" customHeight="1" x14ac:dyDescent="0.15">
      <c r="A47" s="47"/>
      <c r="B47" s="17" t="s">
        <v>103</v>
      </c>
      <c r="C47" s="18">
        <f t="shared" ref="C47:AW47" si="11">SUM(C43:C46)</f>
        <v>-10656.199999999997</v>
      </c>
      <c r="D47" s="18">
        <f t="shared" si="11"/>
        <v>0</v>
      </c>
      <c r="E47" s="18">
        <f t="shared" si="11"/>
        <v>-2697.8000000000029</v>
      </c>
      <c r="F47" s="18">
        <f t="shared" si="11"/>
        <v>-21157.4</v>
      </c>
      <c r="G47" s="18">
        <f t="shared" si="11"/>
        <v>48589.599999999999</v>
      </c>
      <c r="H47" s="18">
        <f t="shared" si="11"/>
        <v>57665</v>
      </c>
      <c r="I47" s="18">
        <f t="shared" si="11"/>
        <v>37429.4</v>
      </c>
      <c r="J47" s="18">
        <f t="shared" si="11"/>
        <v>0</v>
      </c>
      <c r="K47" s="18">
        <f t="shared" si="11"/>
        <v>-7360</v>
      </c>
      <c r="L47" s="18">
        <f t="shared" si="11"/>
        <v>-340.79999999999995</v>
      </c>
      <c r="M47" s="18">
        <f t="shared" si="11"/>
        <v>21882.6</v>
      </c>
      <c r="N47" s="18">
        <f t="shared" si="11"/>
        <v>27899.599999999999</v>
      </c>
      <c r="O47" s="18">
        <f t="shared" si="11"/>
        <v>20040.400000000001</v>
      </c>
      <c r="P47" s="18">
        <f t="shared" si="11"/>
        <v>16276.199999999997</v>
      </c>
      <c r="Q47" s="18">
        <f t="shared" si="11"/>
        <v>20242.800000000003</v>
      </c>
      <c r="R47" s="18">
        <f t="shared" si="11"/>
        <v>9750.7999999999993</v>
      </c>
      <c r="S47" s="18">
        <f t="shared" si="11"/>
        <v>30406</v>
      </c>
      <c r="T47" s="18">
        <f t="shared" si="11"/>
        <v>19823.8</v>
      </c>
      <c r="U47" s="18">
        <f t="shared" si="11"/>
        <v>8804.5999999999985</v>
      </c>
      <c r="V47" s="18">
        <f t="shared" si="11"/>
        <v>40151.599999999999</v>
      </c>
      <c r="W47" s="18">
        <f t="shared" si="11"/>
        <v>19336.800000000003</v>
      </c>
      <c r="X47" s="18">
        <f t="shared" si="11"/>
        <v>36724.6</v>
      </c>
      <c r="Y47" s="18">
        <f t="shared" si="11"/>
        <v>-4884.7999999999993</v>
      </c>
      <c r="Z47" s="18">
        <f t="shared" si="11"/>
        <v>-16307.6</v>
      </c>
      <c r="AA47" s="18">
        <f t="shared" si="11"/>
        <v>0</v>
      </c>
      <c r="AB47" s="18">
        <f t="shared" si="11"/>
        <v>0</v>
      </c>
      <c r="AC47" s="18">
        <f t="shared" si="11"/>
        <v>0</v>
      </c>
      <c r="AD47" s="18">
        <f t="shared" si="11"/>
        <v>-38358.400000000001</v>
      </c>
      <c r="AE47" s="18">
        <f t="shared" si="11"/>
        <v>-32979.199999999997</v>
      </c>
      <c r="AF47" s="18">
        <f t="shared" si="11"/>
        <v>-16856</v>
      </c>
      <c r="AG47" s="18">
        <f t="shared" si="11"/>
        <v>94062.399999999994</v>
      </c>
      <c r="AH47" s="18">
        <f t="shared" si="11"/>
        <v>32993.599999999999</v>
      </c>
      <c r="AI47" s="18">
        <f t="shared" si="11"/>
        <v>90222.399999999994</v>
      </c>
      <c r="AJ47" s="18">
        <f t="shared" si="11"/>
        <v>30586.400000000001</v>
      </c>
      <c r="AK47" s="18">
        <f t="shared" si="11"/>
        <v>-11754.8</v>
      </c>
      <c r="AL47" s="18">
        <f t="shared" si="11"/>
        <v>253</v>
      </c>
      <c r="AM47" s="18">
        <f t="shared" si="11"/>
        <v>21858.400000000001</v>
      </c>
      <c r="AN47" s="18">
        <f t="shared" si="11"/>
        <v>14628.8</v>
      </c>
      <c r="AO47" s="18">
        <f t="shared" si="11"/>
        <v>17254.2</v>
      </c>
      <c r="AP47" s="18">
        <f t="shared" si="11"/>
        <v>0</v>
      </c>
      <c r="AQ47" s="18">
        <f t="shared" si="11"/>
        <v>0</v>
      </c>
      <c r="AR47" s="18">
        <f t="shared" si="11"/>
        <v>46749.8</v>
      </c>
      <c r="AS47" s="18">
        <f t="shared" si="11"/>
        <v>38939</v>
      </c>
      <c r="AT47" s="18">
        <f t="shared" si="11"/>
        <v>24995.4</v>
      </c>
      <c r="AU47" s="18">
        <f t="shared" si="11"/>
        <v>37530.800000000003</v>
      </c>
      <c r="AV47" s="19">
        <f t="shared" si="11"/>
        <v>16718.400000000001</v>
      </c>
      <c r="AW47" s="20">
        <f t="shared" si="11"/>
        <v>718463.39999999991</v>
      </c>
      <c r="AX47" s="20">
        <f>AVERAGE(B47:AV47)</f>
        <v>15618.769565217392</v>
      </c>
      <c r="AY47" s="21">
        <f>AW47/AW13</f>
        <v>1.7931034551606835E-2</v>
      </c>
    </row>
    <row r="48" spans="1:51" ht="12.75" customHeight="1" x14ac:dyDescent="0.15">
      <c r="A48" s="47" t="s">
        <v>104</v>
      </c>
      <c r="B48" s="11" t="s">
        <v>105</v>
      </c>
      <c r="C48" s="14">
        <v>399328</v>
      </c>
      <c r="D48" s="14">
        <v>0</v>
      </c>
      <c r="E48" s="14">
        <v>389588</v>
      </c>
      <c r="F48" s="14">
        <v>367597</v>
      </c>
      <c r="G48" s="14">
        <v>326188</v>
      </c>
      <c r="H48" s="14">
        <v>312073</v>
      </c>
      <c r="I48" s="14">
        <v>306600</v>
      </c>
      <c r="J48" s="14">
        <v>0</v>
      </c>
      <c r="K48" s="14">
        <v>93755</v>
      </c>
      <c r="L48" s="14">
        <v>361628</v>
      </c>
      <c r="M48" s="14">
        <v>549138</v>
      </c>
      <c r="N48" s="14">
        <v>361627</v>
      </c>
      <c r="O48" s="14">
        <v>375021</v>
      </c>
      <c r="P48" s="14">
        <v>334840</v>
      </c>
      <c r="Q48" s="14">
        <v>254479</v>
      </c>
      <c r="R48" s="14">
        <v>535744</v>
      </c>
      <c r="S48" s="14">
        <v>321447</v>
      </c>
      <c r="T48" s="14">
        <v>334840</v>
      </c>
      <c r="U48" s="14">
        <v>361627</v>
      </c>
      <c r="V48" s="14">
        <v>294660</v>
      </c>
      <c r="W48" s="14">
        <v>294659</v>
      </c>
      <c r="X48" s="14">
        <v>281264</v>
      </c>
      <c r="Y48" s="14">
        <v>147330</v>
      </c>
      <c r="Z48" s="14">
        <v>107148</v>
      </c>
      <c r="AA48" s="14">
        <v>0</v>
      </c>
      <c r="AB48" s="14">
        <v>0</v>
      </c>
      <c r="AC48" s="14">
        <v>0</v>
      </c>
      <c r="AD48" s="14">
        <v>281265</v>
      </c>
      <c r="AE48" s="14">
        <v>241084</v>
      </c>
      <c r="AF48" s="14">
        <v>321446</v>
      </c>
      <c r="AG48" s="14">
        <v>361627</v>
      </c>
      <c r="AH48" s="14">
        <v>361622</v>
      </c>
      <c r="AI48" s="14">
        <v>455381</v>
      </c>
      <c r="AJ48" s="14">
        <v>214297</v>
      </c>
      <c r="AK48" s="14">
        <v>292712</v>
      </c>
      <c r="AL48" s="14">
        <v>292711</v>
      </c>
      <c r="AM48" s="14">
        <v>315229</v>
      </c>
      <c r="AN48" s="14">
        <v>292712</v>
      </c>
      <c r="AO48" s="14">
        <v>202646</v>
      </c>
      <c r="AP48" s="14">
        <v>0</v>
      </c>
      <c r="AQ48" s="14">
        <v>58901</v>
      </c>
      <c r="AR48" s="14">
        <v>215969</v>
      </c>
      <c r="AS48" s="14">
        <v>255236</v>
      </c>
      <c r="AT48" s="14">
        <v>176703</v>
      </c>
      <c r="AU48" s="14">
        <v>196336</v>
      </c>
      <c r="AV48" s="15">
        <v>274867</v>
      </c>
      <c r="AW48" s="16">
        <f t="shared" ref="AW48:AW65" si="12">SUM(C48:AV48)</f>
        <v>11921325</v>
      </c>
      <c r="AX48" s="16">
        <f t="shared" ref="AX48:AX65" si="13">AVERAGE(D48:AV48)</f>
        <v>256044.37777777779</v>
      </c>
      <c r="AY48" s="13">
        <f>AW48/AW13</f>
        <v>0.29752620728618101</v>
      </c>
    </row>
    <row r="49" spans="1:51" ht="12.75" customHeight="1" x14ac:dyDescent="0.15">
      <c r="A49" s="47"/>
      <c r="B49" s="11" t="s">
        <v>106</v>
      </c>
      <c r="C49" s="14">
        <v>14000</v>
      </c>
      <c r="D49" s="14">
        <v>0</v>
      </c>
      <c r="E49" s="14">
        <v>11333</v>
      </c>
      <c r="F49" s="14">
        <v>12333</v>
      </c>
      <c r="G49" s="14">
        <v>18833</v>
      </c>
      <c r="H49" s="14">
        <v>12333</v>
      </c>
      <c r="I49" s="14">
        <v>13333</v>
      </c>
      <c r="J49" s="14">
        <v>0</v>
      </c>
      <c r="K49" s="14">
        <v>6145</v>
      </c>
      <c r="L49" s="14">
        <v>23701</v>
      </c>
      <c r="M49" s="14">
        <v>35991</v>
      </c>
      <c r="N49" s="14">
        <v>23701</v>
      </c>
      <c r="O49" s="14">
        <v>24579</v>
      </c>
      <c r="P49" s="14">
        <v>21946</v>
      </c>
      <c r="Q49" s="14">
        <v>16679</v>
      </c>
      <c r="R49" s="14">
        <v>35113</v>
      </c>
      <c r="S49" s="14">
        <v>21068</v>
      </c>
      <c r="T49" s="14">
        <v>21945</v>
      </c>
      <c r="U49" s="14">
        <v>23701</v>
      </c>
      <c r="V49" s="14">
        <v>19312</v>
      </c>
      <c r="W49" s="14">
        <v>19312</v>
      </c>
      <c r="X49" s="14">
        <v>18434</v>
      </c>
      <c r="Y49" s="14">
        <v>9656</v>
      </c>
      <c r="Z49" s="14">
        <v>7022</v>
      </c>
      <c r="AA49" s="14">
        <v>0</v>
      </c>
      <c r="AB49" s="14">
        <v>0</v>
      </c>
      <c r="AC49" s="14">
        <v>0</v>
      </c>
      <c r="AD49" s="14">
        <v>18434</v>
      </c>
      <c r="AE49" s="14">
        <v>15801</v>
      </c>
      <c r="AF49" s="14">
        <v>21068</v>
      </c>
      <c r="AG49" s="14">
        <v>23700</v>
      </c>
      <c r="AH49" s="14">
        <v>23696</v>
      </c>
      <c r="AI49" s="14">
        <v>29846</v>
      </c>
      <c r="AJ49" s="14">
        <v>14045</v>
      </c>
      <c r="AK49" s="14">
        <v>7868</v>
      </c>
      <c r="AL49" s="14">
        <v>7868</v>
      </c>
      <c r="AM49" s="14">
        <v>8474</v>
      </c>
      <c r="AN49" s="14">
        <v>7870</v>
      </c>
      <c r="AO49" s="14">
        <v>5447</v>
      </c>
      <c r="AP49" s="14">
        <v>0</v>
      </c>
      <c r="AQ49" s="14">
        <v>3966</v>
      </c>
      <c r="AR49" s="14">
        <v>14540</v>
      </c>
      <c r="AS49" s="14">
        <v>17183</v>
      </c>
      <c r="AT49" s="14">
        <v>11895</v>
      </c>
      <c r="AU49" s="14">
        <v>13219</v>
      </c>
      <c r="AV49" s="15">
        <v>18506</v>
      </c>
      <c r="AW49" s="16">
        <f t="shared" si="12"/>
        <v>673896</v>
      </c>
      <c r="AX49" s="16">
        <f t="shared" si="13"/>
        <v>14664.355555555556</v>
      </c>
      <c r="AY49" s="13">
        <f>AW49/AW13</f>
        <v>1.6818744643345283E-2</v>
      </c>
    </row>
    <row r="50" spans="1:51" ht="12.75" customHeight="1" x14ac:dyDescent="0.15">
      <c r="A50" s="47"/>
      <c r="B50" s="11" t="s">
        <v>107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4">
        <v>0</v>
      </c>
      <c r="S50" s="14">
        <v>0</v>
      </c>
      <c r="T50" s="14">
        <v>0</v>
      </c>
      <c r="U50" s="14">
        <v>0</v>
      </c>
      <c r="V50" s="14">
        <v>0</v>
      </c>
      <c r="W50" s="14">
        <v>0</v>
      </c>
      <c r="X50" s="14">
        <v>0</v>
      </c>
      <c r="Y50" s="14">
        <v>0</v>
      </c>
      <c r="Z50" s="14">
        <v>0</v>
      </c>
      <c r="AA50" s="14">
        <v>0</v>
      </c>
      <c r="AB50" s="14">
        <v>0</v>
      </c>
      <c r="AC50" s="14">
        <v>0</v>
      </c>
      <c r="AD50" s="14">
        <v>0</v>
      </c>
      <c r="AE50" s="14">
        <v>0</v>
      </c>
      <c r="AF50" s="14">
        <v>0</v>
      </c>
      <c r="AG50" s="14">
        <v>0</v>
      </c>
      <c r="AH50" s="14">
        <v>0</v>
      </c>
      <c r="AI50" s="14">
        <v>0</v>
      </c>
      <c r="AJ50" s="14">
        <v>0</v>
      </c>
      <c r="AK50" s="14">
        <v>0</v>
      </c>
      <c r="AL50" s="14">
        <v>0</v>
      </c>
      <c r="AM50" s="14">
        <v>0</v>
      </c>
      <c r="AN50" s="14">
        <v>0</v>
      </c>
      <c r="AO50" s="14">
        <v>0</v>
      </c>
      <c r="AP50" s="14">
        <v>0</v>
      </c>
      <c r="AQ50" s="14">
        <v>0</v>
      </c>
      <c r="AR50" s="14">
        <v>0</v>
      </c>
      <c r="AS50" s="14">
        <v>0</v>
      </c>
      <c r="AT50" s="14">
        <v>0</v>
      </c>
      <c r="AU50" s="14">
        <v>0</v>
      </c>
      <c r="AV50" s="15">
        <v>0</v>
      </c>
      <c r="AW50" s="16">
        <f t="shared" si="12"/>
        <v>0</v>
      </c>
      <c r="AX50" s="16">
        <f t="shared" si="13"/>
        <v>0</v>
      </c>
      <c r="AY50" s="13">
        <f>AW50/AW13</f>
        <v>0</v>
      </c>
    </row>
    <row r="51" spans="1:51" ht="12.75" customHeight="1" x14ac:dyDescent="0.15">
      <c r="A51" s="47"/>
      <c r="B51" s="11" t="s">
        <v>108</v>
      </c>
      <c r="C51" s="14">
        <v>61411</v>
      </c>
      <c r="D51" s="14">
        <v>0</v>
      </c>
      <c r="E51" s="14">
        <v>57977</v>
      </c>
      <c r="F51" s="14">
        <v>64188</v>
      </c>
      <c r="G51" s="14">
        <v>65173</v>
      </c>
      <c r="H51" s="14">
        <v>52068</v>
      </c>
      <c r="I51" s="14">
        <v>64340</v>
      </c>
      <c r="J51" s="14">
        <v>0</v>
      </c>
      <c r="K51" s="14">
        <v>17801</v>
      </c>
      <c r="L51" s="14">
        <v>68662</v>
      </c>
      <c r="M51" s="14">
        <v>104265</v>
      </c>
      <c r="N51" s="14">
        <v>68662</v>
      </c>
      <c r="O51" s="14">
        <v>71205</v>
      </c>
      <c r="P51" s="14">
        <v>63576</v>
      </c>
      <c r="Q51" s="14">
        <v>48318</v>
      </c>
      <c r="R51" s="14">
        <v>101722</v>
      </c>
      <c r="S51" s="14">
        <v>61033</v>
      </c>
      <c r="T51" s="14">
        <v>63576</v>
      </c>
      <c r="U51" s="14">
        <v>68662</v>
      </c>
      <c r="V51" s="14">
        <v>55947</v>
      </c>
      <c r="W51" s="14">
        <v>55947</v>
      </c>
      <c r="X51" s="14">
        <v>53404</v>
      </c>
      <c r="Y51" s="14">
        <v>27973</v>
      </c>
      <c r="Z51" s="14">
        <v>20344</v>
      </c>
      <c r="AA51" s="14">
        <v>0</v>
      </c>
      <c r="AB51" s="14">
        <v>0</v>
      </c>
      <c r="AC51" s="14">
        <v>0</v>
      </c>
      <c r="AD51" s="14">
        <v>53404</v>
      </c>
      <c r="AE51" s="14">
        <v>45775</v>
      </c>
      <c r="AF51" s="14">
        <v>61034</v>
      </c>
      <c r="AG51" s="14">
        <v>68663</v>
      </c>
      <c r="AH51" s="14">
        <v>68662</v>
      </c>
      <c r="AI51" s="14">
        <v>86464</v>
      </c>
      <c r="AJ51" s="14">
        <v>40688</v>
      </c>
      <c r="AK51" s="14">
        <v>50518</v>
      </c>
      <c r="AL51" s="14">
        <v>50518</v>
      </c>
      <c r="AM51" s="14">
        <v>54404</v>
      </c>
      <c r="AN51" s="14">
        <v>50521</v>
      </c>
      <c r="AO51" s="14">
        <v>34974</v>
      </c>
      <c r="AP51" s="14">
        <v>0</v>
      </c>
      <c r="AQ51" s="14">
        <v>10665</v>
      </c>
      <c r="AR51" s="14">
        <v>39104</v>
      </c>
      <c r="AS51" s="14">
        <v>46215</v>
      </c>
      <c r="AT51" s="14">
        <v>31995</v>
      </c>
      <c r="AU51" s="14">
        <v>35550</v>
      </c>
      <c r="AV51" s="15">
        <v>49767</v>
      </c>
      <c r="AW51" s="16">
        <f t="shared" si="12"/>
        <v>2195175</v>
      </c>
      <c r="AX51" s="16">
        <f t="shared" si="13"/>
        <v>47416.977777777778</v>
      </c>
      <c r="AY51" s="13">
        <f>AW51/AW13</f>
        <v>5.4786031928451107E-2</v>
      </c>
    </row>
    <row r="52" spans="1:51" ht="12.75" customHeight="1" x14ac:dyDescent="0.15">
      <c r="A52" s="47"/>
      <c r="B52" s="11" t="s">
        <v>109</v>
      </c>
      <c r="C52" s="14">
        <v>6000</v>
      </c>
      <c r="D52" s="14">
        <v>0</v>
      </c>
      <c r="E52" s="14">
        <v>6000</v>
      </c>
      <c r="F52" s="14">
        <v>6000</v>
      </c>
      <c r="G52" s="14">
        <v>6000</v>
      </c>
      <c r="H52" s="14">
        <v>6000</v>
      </c>
      <c r="I52" s="14">
        <v>6000</v>
      </c>
      <c r="J52" s="14">
        <v>0</v>
      </c>
      <c r="K52" s="14">
        <v>1078</v>
      </c>
      <c r="L52" s="14">
        <v>4154</v>
      </c>
      <c r="M52" s="14">
        <v>6308</v>
      </c>
      <c r="N52" s="14">
        <v>4154</v>
      </c>
      <c r="O52" s="14">
        <v>4308</v>
      </c>
      <c r="P52" s="14">
        <v>3846</v>
      </c>
      <c r="Q52" s="14">
        <v>2923</v>
      </c>
      <c r="R52" s="14">
        <v>6154</v>
      </c>
      <c r="S52" s="14">
        <v>3693</v>
      </c>
      <c r="T52" s="14">
        <v>3846</v>
      </c>
      <c r="U52" s="14">
        <v>4155</v>
      </c>
      <c r="V52" s="14">
        <v>3385</v>
      </c>
      <c r="W52" s="14">
        <v>3386</v>
      </c>
      <c r="X52" s="14">
        <v>3230</v>
      </c>
      <c r="Y52" s="14">
        <v>1693</v>
      </c>
      <c r="Z52" s="14">
        <v>1228</v>
      </c>
      <c r="AA52" s="14">
        <v>0</v>
      </c>
      <c r="AB52" s="14">
        <v>0</v>
      </c>
      <c r="AC52" s="14">
        <v>0</v>
      </c>
      <c r="AD52" s="14">
        <v>3231</v>
      </c>
      <c r="AE52" s="14">
        <v>2770</v>
      </c>
      <c r="AF52" s="14">
        <v>3692</v>
      </c>
      <c r="AG52" s="14">
        <v>4154</v>
      </c>
      <c r="AH52" s="14">
        <v>4149</v>
      </c>
      <c r="AI52" s="14">
        <v>5230</v>
      </c>
      <c r="AJ52" s="14">
        <v>2462</v>
      </c>
      <c r="AK52" s="14">
        <v>1258</v>
      </c>
      <c r="AL52" s="14">
        <v>1258</v>
      </c>
      <c r="AM52" s="14">
        <v>1356</v>
      </c>
      <c r="AN52" s="14">
        <v>1256</v>
      </c>
      <c r="AO52" s="14">
        <v>872</v>
      </c>
      <c r="AP52" s="14">
        <v>0</v>
      </c>
      <c r="AQ52" s="14">
        <v>878</v>
      </c>
      <c r="AR52" s="14">
        <v>3220</v>
      </c>
      <c r="AS52" s="14">
        <v>3805</v>
      </c>
      <c r="AT52" s="14">
        <v>2634</v>
      </c>
      <c r="AU52" s="14">
        <v>2926</v>
      </c>
      <c r="AV52" s="15">
        <v>4098</v>
      </c>
      <c r="AW52" s="16">
        <f t="shared" si="12"/>
        <v>142790</v>
      </c>
      <c r="AX52" s="16">
        <f t="shared" si="13"/>
        <v>3039.7777777777778</v>
      </c>
      <c r="AY52" s="13">
        <f>AW52/AW13</f>
        <v>3.5636782940146154E-3</v>
      </c>
    </row>
    <row r="53" spans="1:51" ht="12.75" customHeight="1" x14ac:dyDescent="0.15">
      <c r="A53" s="47"/>
      <c r="B53" s="17" t="s">
        <v>110</v>
      </c>
      <c r="C53" s="18">
        <f>SUM(C48:C52)</f>
        <v>480739</v>
      </c>
      <c r="D53" s="18">
        <f t="shared" ref="D53:AV53" si="14">SUM(D48:D52)</f>
        <v>0</v>
      </c>
      <c r="E53" s="18">
        <f t="shared" si="14"/>
        <v>464898</v>
      </c>
      <c r="F53" s="18">
        <f t="shared" si="14"/>
        <v>450118</v>
      </c>
      <c r="G53" s="18">
        <f t="shared" si="14"/>
        <v>416194</v>
      </c>
      <c r="H53" s="18">
        <f t="shared" si="14"/>
        <v>382474</v>
      </c>
      <c r="I53" s="18">
        <f t="shared" si="14"/>
        <v>390273</v>
      </c>
      <c r="J53" s="18">
        <f t="shared" si="14"/>
        <v>0</v>
      </c>
      <c r="K53" s="18">
        <f t="shared" si="14"/>
        <v>118779</v>
      </c>
      <c r="L53" s="18">
        <f t="shared" si="14"/>
        <v>458145</v>
      </c>
      <c r="M53" s="18">
        <f t="shared" si="14"/>
        <v>695702</v>
      </c>
      <c r="N53" s="18">
        <f t="shared" si="14"/>
        <v>458144</v>
      </c>
      <c r="O53" s="18">
        <f t="shared" si="14"/>
        <v>475113</v>
      </c>
      <c r="P53" s="18">
        <f t="shared" si="14"/>
        <v>424208</v>
      </c>
      <c r="Q53" s="18">
        <f t="shared" si="14"/>
        <v>322399</v>
      </c>
      <c r="R53" s="18">
        <f t="shared" si="14"/>
        <v>678733</v>
      </c>
      <c r="S53" s="18">
        <f t="shared" si="14"/>
        <v>407241</v>
      </c>
      <c r="T53" s="18">
        <f t="shared" si="14"/>
        <v>424207</v>
      </c>
      <c r="U53" s="18">
        <f t="shared" si="14"/>
        <v>458145</v>
      </c>
      <c r="V53" s="18">
        <f t="shared" si="14"/>
        <v>373304</v>
      </c>
      <c r="W53" s="18">
        <f t="shared" si="14"/>
        <v>373304</v>
      </c>
      <c r="X53" s="18">
        <f t="shared" si="14"/>
        <v>356332</v>
      </c>
      <c r="Y53" s="18">
        <f t="shared" si="14"/>
        <v>186652</v>
      </c>
      <c r="Z53" s="18">
        <f t="shared" si="14"/>
        <v>135742</v>
      </c>
      <c r="AA53" s="18">
        <f t="shared" si="14"/>
        <v>0</v>
      </c>
      <c r="AB53" s="18">
        <f t="shared" si="14"/>
        <v>0</v>
      </c>
      <c r="AC53" s="18">
        <f t="shared" si="14"/>
        <v>0</v>
      </c>
      <c r="AD53" s="18">
        <f t="shared" si="14"/>
        <v>356334</v>
      </c>
      <c r="AE53" s="18">
        <f t="shared" si="14"/>
        <v>305430</v>
      </c>
      <c r="AF53" s="18">
        <f t="shared" si="14"/>
        <v>407240</v>
      </c>
      <c r="AG53" s="18">
        <f t="shared" si="14"/>
        <v>458144</v>
      </c>
      <c r="AH53" s="18">
        <f t="shared" si="14"/>
        <v>458129</v>
      </c>
      <c r="AI53" s="18">
        <f t="shared" si="14"/>
        <v>576921</v>
      </c>
      <c r="AJ53" s="18">
        <f t="shared" si="14"/>
        <v>271492</v>
      </c>
      <c r="AK53" s="18">
        <f t="shared" si="14"/>
        <v>352356</v>
      </c>
      <c r="AL53" s="18">
        <f t="shared" si="14"/>
        <v>352355</v>
      </c>
      <c r="AM53" s="18">
        <f t="shared" si="14"/>
        <v>379463</v>
      </c>
      <c r="AN53" s="18">
        <f t="shared" si="14"/>
        <v>352359</v>
      </c>
      <c r="AO53" s="18">
        <f t="shared" si="14"/>
        <v>243939</v>
      </c>
      <c r="AP53" s="18">
        <f t="shared" si="14"/>
        <v>0</v>
      </c>
      <c r="AQ53" s="18">
        <f t="shared" si="14"/>
        <v>74410</v>
      </c>
      <c r="AR53" s="18">
        <f t="shared" si="14"/>
        <v>272833</v>
      </c>
      <c r="AS53" s="18">
        <f t="shared" si="14"/>
        <v>322439</v>
      </c>
      <c r="AT53" s="18">
        <f t="shared" si="14"/>
        <v>223227</v>
      </c>
      <c r="AU53" s="18">
        <f t="shared" si="14"/>
        <v>248031</v>
      </c>
      <c r="AV53" s="19">
        <f t="shared" si="14"/>
        <v>347238</v>
      </c>
      <c r="AW53" s="20">
        <f t="shared" si="12"/>
        <v>14933186</v>
      </c>
      <c r="AX53" s="20">
        <f t="shared" si="13"/>
        <v>321165.48888888891</v>
      </c>
      <c r="AY53" s="21">
        <f>AW53/AW13</f>
        <v>0.37269466215199198</v>
      </c>
    </row>
    <row r="54" spans="1:51" ht="12.75" customHeight="1" x14ac:dyDescent="0.15">
      <c r="A54" s="47" t="s">
        <v>111</v>
      </c>
      <c r="B54" s="11" t="s">
        <v>112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K54" s="14">
        <v>6941.1764705882351</v>
      </c>
      <c r="L54" s="14">
        <v>6941.1764705882351</v>
      </c>
      <c r="M54" s="14">
        <v>6941.1764705882351</v>
      </c>
      <c r="N54" s="14">
        <v>6941.1764705882351</v>
      </c>
      <c r="O54" s="14">
        <v>6941.1764705882351</v>
      </c>
      <c r="P54" s="14">
        <v>6941.1764705882351</v>
      </c>
      <c r="Q54" s="14">
        <v>6941.1764705882351</v>
      </c>
      <c r="R54" s="14">
        <v>6941.1764705882351</v>
      </c>
      <c r="S54" s="14">
        <v>6941.1764705882351</v>
      </c>
      <c r="T54" s="14">
        <v>6941.1764705882351</v>
      </c>
      <c r="U54" s="14">
        <v>6941.1764705882351</v>
      </c>
      <c r="V54" s="14">
        <v>6941.1764705882351</v>
      </c>
      <c r="W54" s="14">
        <v>6941.1764705882351</v>
      </c>
      <c r="X54" s="14">
        <v>6941.1764705882351</v>
      </c>
      <c r="Y54" s="14">
        <v>6941.1764705882351</v>
      </c>
      <c r="Z54" s="14">
        <v>6941.1764705882351</v>
      </c>
      <c r="AA54" s="14">
        <v>6941.1764705882351</v>
      </c>
      <c r="AB54" s="14">
        <v>0</v>
      </c>
      <c r="AC54" s="14">
        <v>0</v>
      </c>
      <c r="AD54" s="14">
        <v>21428.571428571428</v>
      </c>
      <c r="AE54" s="14">
        <v>21428.571428571428</v>
      </c>
      <c r="AF54" s="14">
        <v>21428.571428571428</v>
      </c>
      <c r="AG54" s="14">
        <v>21428.571428571428</v>
      </c>
      <c r="AH54" s="14">
        <v>21428.571428571428</v>
      </c>
      <c r="AI54" s="14">
        <v>21428.571428571428</v>
      </c>
      <c r="AJ54" s="14">
        <v>21428.571428571428</v>
      </c>
      <c r="AK54" s="14">
        <v>59400</v>
      </c>
      <c r="AL54" s="14">
        <v>59400</v>
      </c>
      <c r="AM54" s="14">
        <v>59400</v>
      </c>
      <c r="AN54" s="14">
        <v>59400</v>
      </c>
      <c r="AO54" s="14">
        <v>59400</v>
      </c>
      <c r="AP54" s="14">
        <v>0</v>
      </c>
      <c r="AQ54" s="14">
        <v>28333.333333333332</v>
      </c>
      <c r="AR54" s="14">
        <v>28333.333333333332</v>
      </c>
      <c r="AS54" s="14">
        <v>28333.333333333332</v>
      </c>
      <c r="AT54" s="14">
        <v>28333.333333333332</v>
      </c>
      <c r="AU54" s="14">
        <v>28333.333333333332</v>
      </c>
      <c r="AV54" s="15">
        <v>28333.333333333332</v>
      </c>
      <c r="AW54" s="16">
        <f t="shared" si="12"/>
        <v>735000.00000000023</v>
      </c>
      <c r="AX54" s="16">
        <f t="shared" si="13"/>
        <v>16333.333333333339</v>
      </c>
      <c r="AY54" s="13">
        <f>AW54/AW13</f>
        <v>1.8343746383505447E-2</v>
      </c>
    </row>
    <row r="55" spans="1:51" ht="12.75" customHeight="1" x14ac:dyDescent="0.15">
      <c r="A55" s="47"/>
      <c r="B55" s="11" t="s">
        <v>113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4">
        <v>0</v>
      </c>
      <c r="W55" s="14">
        <v>0</v>
      </c>
      <c r="X55" s="14">
        <v>0</v>
      </c>
      <c r="Y55" s="14">
        <v>0</v>
      </c>
      <c r="Z55" s="14">
        <v>0</v>
      </c>
      <c r="AA55" s="14">
        <v>0</v>
      </c>
      <c r="AB55" s="14">
        <v>0</v>
      </c>
      <c r="AC55" s="14">
        <v>0</v>
      </c>
      <c r="AD55" s="14">
        <v>0</v>
      </c>
      <c r="AE55" s="14">
        <v>0</v>
      </c>
      <c r="AF55" s="14">
        <v>0</v>
      </c>
      <c r="AG55" s="14">
        <v>0</v>
      </c>
      <c r="AH55" s="14">
        <v>0</v>
      </c>
      <c r="AI55" s="14">
        <v>0</v>
      </c>
      <c r="AJ55" s="14">
        <v>0</v>
      </c>
      <c r="AK55" s="14">
        <v>0</v>
      </c>
      <c r="AL55" s="14">
        <v>0</v>
      </c>
      <c r="AM55" s="14">
        <v>0</v>
      </c>
      <c r="AN55" s="14">
        <v>0</v>
      </c>
      <c r="AO55" s="14">
        <v>0</v>
      </c>
      <c r="AP55" s="14">
        <v>0</v>
      </c>
      <c r="AQ55" s="14">
        <v>0</v>
      </c>
      <c r="AR55" s="14">
        <v>0</v>
      </c>
      <c r="AS55" s="14">
        <v>0</v>
      </c>
      <c r="AT55" s="14">
        <v>0</v>
      </c>
      <c r="AU55" s="14">
        <v>0</v>
      </c>
      <c r="AV55" s="15">
        <v>0</v>
      </c>
      <c r="AW55" s="16">
        <f t="shared" si="12"/>
        <v>0</v>
      </c>
      <c r="AX55" s="16">
        <f t="shared" si="13"/>
        <v>0</v>
      </c>
      <c r="AY55" s="13">
        <f>AW55/AW13</f>
        <v>0</v>
      </c>
    </row>
    <row r="56" spans="1:51" ht="12.75" customHeight="1" x14ac:dyDescent="0.15">
      <c r="A56" s="47"/>
      <c r="B56" s="11" t="s">
        <v>114</v>
      </c>
      <c r="C56" s="14">
        <v>0</v>
      </c>
      <c r="D56" s="14">
        <v>1130465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4">
        <v>0</v>
      </c>
      <c r="S56" s="14">
        <v>0</v>
      </c>
      <c r="T56" s="14">
        <v>0</v>
      </c>
      <c r="U56" s="14">
        <v>0</v>
      </c>
      <c r="V56" s="14">
        <v>0</v>
      </c>
      <c r="W56" s="14">
        <v>0</v>
      </c>
      <c r="X56" s="14">
        <v>0</v>
      </c>
      <c r="Y56" s="14">
        <v>0</v>
      </c>
      <c r="Z56" s="14">
        <v>0</v>
      </c>
      <c r="AA56" s="14">
        <v>0</v>
      </c>
      <c r="AB56" s="14">
        <v>0</v>
      </c>
      <c r="AC56" s="14">
        <v>0</v>
      </c>
      <c r="AD56" s="14">
        <v>0</v>
      </c>
      <c r="AE56" s="14">
        <v>0</v>
      </c>
      <c r="AF56" s="14">
        <v>0</v>
      </c>
      <c r="AG56" s="14">
        <v>0</v>
      </c>
      <c r="AH56" s="14">
        <v>0</v>
      </c>
      <c r="AI56" s="14">
        <v>0</v>
      </c>
      <c r="AJ56" s="14">
        <v>0</v>
      </c>
      <c r="AK56" s="14">
        <v>0</v>
      </c>
      <c r="AL56" s="14">
        <v>0</v>
      </c>
      <c r="AM56" s="14">
        <v>0</v>
      </c>
      <c r="AN56" s="14">
        <v>0</v>
      </c>
      <c r="AO56" s="14">
        <v>0</v>
      </c>
      <c r="AP56" s="14">
        <v>0</v>
      </c>
      <c r="AQ56" s="14">
        <v>0</v>
      </c>
      <c r="AR56" s="14">
        <v>0</v>
      </c>
      <c r="AS56" s="14">
        <v>0</v>
      </c>
      <c r="AT56" s="14">
        <v>0</v>
      </c>
      <c r="AU56" s="14">
        <v>0</v>
      </c>
      <c r="AV56" s="15">
        <v>0</v>
      </c>
      <c r="AW56" s="16">
        <f t="shared" si="12"/>
        <v>1130465</v>
      </c>
      <c r="AX56" s="16">
        <f t="shared" si="13"/>
        <v>25121.444444444445</v>
      </c>
      <c r="AY56" s="13">
        <f>AW56/AW13</f>
        <v>2.8213555449563919E-2</v>
      </c>
    </row>
    <row r="57" spans="1:51" ht="12.75" customHeight="1" x14ac:dyDescent="0.15">
      <c r="A57" s="47"/>
      <c r="B57" s="11" t="s">
        <v>115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291458</v>
      </c>
      <c r="O57" s="14">
        <v>0</v>
      </c>
      <c r="P57" s="14">
        <v>0</v>
      </c>
      <c r="Q57" s="14">
        <v>0</v>
      </c>
      <c r="R57" s="14">
        <v>0</v>
      </c>
      <c r="S57" s="14">
        <v>0</v>
      </c>
      <c r="T57" s="14">
        <v>0</v>
      </c>
      <c r="U57" s="14">
        <v>0</v>
      </c>
      <c r="V57" s="14">
        <v>0</v>
      </c>
      <c r="W57" s="14">
        <v>0</v>
      </c>
      <c r="X57" s="14">
        <v>0</v>
      </c>
      <c r="Y57" s="14">
        <v>0</v>
      </c>
      <c r="Z57" s="14">
        <v>0</v>
      </c>
      <c r="AA57" s="14">
        <v>0</v>
      </c>
      <c r="AB57" s="14">
        <v>0</v>
      </c>
      <c r="AC57" s="14">
        <v>0</v>
      </c>
      <c r="AD57" s="14">
        <v>0</v>
      </c>
      <c r="AE57" s="14">
        <v>0</v>
      </c>
      <c r="AF57" s="14">
        <v>0</v>
      </c>
      <c r="AG57" s="14">
        <v>0</v>
      </c>
      <c r="AH57" s="14">
        <v>0</v>
      </c>
      <c r="AI57" s="14">
        <v>0</v>
      </c>
      <c r="AJ57" s="14">
        <v>0</v>
      </c>
      <c r="AK57" s="14">
        <v>0</v>
      </c>
      <c r="AL57" s="14">
        <v>0</v>
      </c>
      <c r="AM57" s="14">
        <v>0</v>
      </c>
      <c r="AN57" s="14">
        <v>0</v>
      </c>
      <c r="AO57" s="14">
        <v>0</v>
      </c>
      <c r="AP57" s="14">
        <v>0</v>
      </c>
      <c r="AQ57" s="14">
        <v>0</v>
      </c>
      <c r="AR57" s="14">
        <v>0</v>
      </c>
      <c r="AS57" s="14">
        <v>0</v>
      </c>
      <c r="AT57" s="14">
        <v>0</v>
      </c>
      <c r="AU57" s="14">
        <v>0</v>
      </c>
      <c r="AV57" s="15">
        <v>0</v>
      </c>
      <c r="AW57" s="16">
        <f t="shared" si="12"/>
        <v>291458</v>
      </c>
      <c r="AX57" s="16">
        <f t="shared" si="13"/>
        <v>6476.8444444444449</v>
      </c>
      <c r="AY57" s="13">
        <f>AW57/AW13</f>
        <v>7.2740566441411286E-3</v>
      </c>
    </row>
    <row r="58" spans="1:51" ht="12.75" customHeight="1" x14ac:dyDescent="0.15">
      <c r="A58" s="47"/>
      <c r="B58" s="11" t="s">
        <v>116</v>
      </c>
      <c r="C58" s="14">
        <v>94239.28571428571</v>
      </c>
      <c r="D58" s="14">
        <v>0</v>
      </c>
      <c r="E58" s="14">
        <v>94239.28571428571</v>
      </c>
      <c r="F58" s="14">
        <v>94239.28571428571</v>
      </c>
      <c r="G58" s="14">
        <v>94239.28571428571</v>
      </c>
      <c r="H58" s="14">
        <v>94239.28571428571</v>
      </c>
      <c r="I58" s="14">
        <v>94239.28571428571</v>
      </c>
      <c r="J58" s="14">
        <v>94239.28571428571</v>
      </c>
      <c r="K58" s="14">
        <v>106454.70588235294</v>
      </c>
      <c r="L58" s="14">
        <v>106454.70588235294</v>
      </c>
      <c r="M58" s="14">
        <v>106454.70588235294</v>
      </c>
      <c r="N58" s="14">
        <v>106454.70588235294</v>
      </c>
      <c r="O58" s="14">
        <v>106454.70588235294</v>
      </c>
      <c r="P58" s="14">
        <v>106454.70588235294</v>
      </c>
      <c r="Q58" s="14">
        <v>106454.70588235294</v>
      </c>
      <c r="R58" s="14">
        <v>106454.70588235294</v>
      </c>
      <c r="S58" s="14">
        <v>106454.70588235294</v>
      </c>
      <c r="T58" s="14">
        <v>106454.70588235294</v>
      </c>
      <c r="U58" s="14">
        <v>106454.70588235294</v>
      </c>
      <c r="V58" s="14">
        <v>106454.70588235294</v>
      </c>
      <c r="W58" s="14">
        <v>106454.70588235294</v>
      </c>
      <c r="X58" s="14">
        <v>106454.70588235294</v>
      </c>
      <c r="Y58" s="14">
        <v>106454.70588235294</v>
      </c>
      <c r="Z58" s="14">
        <v>106454.70588235294</v>
      </c>
      <c r="AA58" s="14">
        <v>106454.70588235294</v>
      </c>
      <c r="AB58" s="14">
        <v>0</v>
      </c>
      <c r="AC58" s="14">
        <v>0</v>
      </c>
      <c r="AD58" s="14">
        <v>85031.857142857145</v>
      </c>
      <c r="AE58" s="14">
        <v>85031.857142857145</v>
      </c>
      <c r="AF58" s="14">
        <v>85031.857142857145</v>
      </c>
      <c r="AG58" s="14">
        <v>85031.857142857145</v>
      </c>
      <c r="AH58" s="14">
        <v>85031.857142857145</v>
      </c>
      <c r="AI58" s="14">
        <v>85031.857142857145</v>
      </c>
      <c r="AJ58" s="14">
        <v>85031.857142857145</v>
      </c>
      <c r="AK58" s="14">
        <v>125196.8</v>
      </c>
      <c r="AL58" s="14">
        <v>125196.8</v>
      </c>
      <c r="AM58" s="14">
        <v>125196.8</v>
      </c>
      <c r="AN58" s="14">
        <v>125196.8</v>
      </c>
      <c r="AO58" s="14">
        <v>125196.8</v>
      </c>
      <c r="AP58" s="14">
        <v>0</v>
      </c>
      <c r="AQ58" s="14">
        <v>107509.83333333333</v>
      </c>
      <c r="AR58" s="14">
        <v>107509.83333333333</v>
      </c>
      <c r="AS58" s="14">
        <v>107509.83333333333</v>
      </c>
      <c r="AT58" s="14">
        <v>107509.83333333333</v>
      </c>
      <c r="AU58" s="14">
        <v>107509.83333333333</v>
      </c>
      <c r="AV58" s="15">
        <v>107509.83333333333</v>
      </c>
      <c r="AW58" s="16">
        <f t="shared" si="12"/>
        <v>4335671</v>
      </c>
      <c r="AX58" s="16">
        <f t="shared" si="13"/>
        <v>94254.038095238095</v>
      </c>
      <c r="AY58" s="13">
        <f>AW58/AW13</f>
        <v>0.10820741391335977</v>
      </c>
    </row>
    <row r="59" spans="1:51" ht="12.75" customHeight="1" x14ac:dyDescent="0.15">
      <c r="A59" s="47"/>
      <c r="B59" s="11" t="s">
        <v>117</v>
      </c>
      <c r="C59" s="14">
        <v>58494.142857142855</v>
      </c>
      <c r="D59" s="14">
        <v>0</v>
      </c>
      <c r="E59" s="14">
        <v>58494.142857142855</v>
      </c>
      <c r="F59" s="14">
        <v>58494.142857142855</v>
      </c>
      <c r="G59" s="14">
        <v>58494.142857142855</v>
      </c>
      <c r="H59" s="14">
        <v>58494.142857142855</v>
      </c>
      <c r="I59" s="14">
        <v>58494.142857142855</v>
      </c>
      <c r="J59" s="14">
        <v>58494.142857142855</v>
      </c>
      <c r="K59" s="14">
        <v>81606.941176470587</v>
      </c>
      <c r="L59" s="14">
        <v>81606.941176470587</v>
      </c>
      <c r="M59" s="14">
        <v>81606.941176470587</v>
      </c>
      <c r="N59" s="14">
        <v>81606.941176470587</v>
      </c>
      <c r="O59" s="14">
        <v>81606.941176470587</v>
      </c>
      <c r="P59" s="14">
        <v>81606.941176470587</v>
      </c>
      <c r="Q59" s="14">
        <v>81606.941176470587</v>
      </c>
      <c r="R59" s="14">
        <v>81606.941176470587</v>
      </c>
      <c r="S59" s="14">
        <v>81606.941176470587</v>
      </c>
      <c r="T59" s="14">
        <v>81606.941176470587</v>
      </c>
      <c r="U59" s="14">
        <v>81606.941176470587</v>
      </c>
      <c r="V59" s="14">
        <v>81606.941176470587</v>
      </c>
      <c r="W59" s="14">
        <v>81606.941176470587</v>
      </c>
      <c r="X59" s="14">
        <v>81606.941176470587</v>
      </c>
      <c r="Y59" s="14">
        <v>81606.941176470587</v>
      </c>
      <c r="Z59" s="14">
        <v>81606.941176470587</v>
      </c>
      <c r="AA59" s="14">
        <v>81606.941176470587</v>
      </c>
      <c r="AB59" s="14">
        <v>0</v>
      </c>
      <c r="AC59" s="14">
        <v>0</v>
      </c>
      <c r="AD59" s="14">
        <v>81607</v>
      </c>
      <c r="AE59" s="14">
        <v>81607</v>
      </c>
      <c r="AF59" s="14">
        <v>81607</v>
      </c>
      <c r="AG59" s="14">
        <v>81607</v>
      </c>
      <c r="AH59" s="14">
        <v>81607</v>
      </c>
      <c r="AI59" s="14">
        <v>81607</v>
      </c>
      <c r="AJ59" s="14">
        <v>81607</v>
      </c>
      <c r="AK59" s="14">
        <v>65053.2</v>
      </c>
      <c r="AL59" s="14">
        <v>65053.2</v>
      </c>
      <c r="AM59" s="14">
        <v>65053.2</v>
      </c>
      <c r="AN59" s="14">
        <v>65053.2</v>
      </c>
      <c r="AO59" s="14">
        <v>65053.2</v>
      </c>
      <c r="AP59" s="14">
        <v>0</v>
      </c>
      <c r="AQ59" s="14">
        <v>85423.5</v>
      </c>
      <c r="AR59" s="14">
        <v>85423.5</v>
      </c>
      <c r="AS59" s="14">
        <v>85423.5</v>
      </c>
      <c r="AT59" s="14">
        <v>85423.5</v>
      </c>
      <c r="AU59" s="14">
        <v>85423.5</v>
      </c>
      <c r="AV59" s="15">
        <v>85423.5</v>
      </c>
      <c r="AW59" s="16">
        <f t="shared" si="12"/>
        <v>3205833.0000000009</v>
      </c>
      <c r="AX59" s="16">
        <f t="shared" si="13"/>
        <v>69940.863492063509</v>
      </c>
      <c r="AY59" s="13">
        <f>AW59/AW13</f>
        <v>8.0009506802547509E-2</v>
      </c>
    </row>
    <row r="60" spans="1:51" ht="12.75" customHeight="1" x14ac:dyDescent="0.15">
      <c r="A60" s="47"/>
      <c r="B60" s="17" t="s">
        <v>118</v>
      </c>
      <c r="C60" s="18">
        <f>SUM(C54:C59)</f>
        <v>152733.42857142858</v>
      </c>
      <c r="D60" s="18">
        <f t="shared" ref="D60:AV60" si="15">SUM(D54:D59)</f>
        <v>1130465</v>
      </c>
      <c r="E60" s="18">
        <f t="shared" si="15"/>
        <v>152733.42857142858</v>
      </c>
      <c r="F60" s="18">
        <f t="shared" si="15"/>
        <v>152733.42857142858</v>
      </c>
      <c r="G60" s="18">
        <f t="shared" si="15"/>
        <v>152733.42857142858</v>
      </c>
      <c r="H60" s="18">
        <f t="shared" si="15"/>
        <v>152733.42857142858</v>
      </c>
      <c r="I60" s="18">
        <f t="shared" si="15"/>
        <v>152733.42857142858</v>
      </c>
      <c r="J60" s="18">
        <f t="shared" si="15"/>
        <v>152733.42857142858</v>
      </c>
      <c r="K60" s="18">
        <f t="shared" si="15"/>
        <v>195002.82352941175</v>
      </c>
      <c r="L60" s="18">
        <f t="shared" si="15"/>
        <v>195002.82352941175</v>
      </c>
      <c r="M60" s="18">
        <f t="shared" si="15"/>
        <v>195002.82352941175</v>
      </c>
      <c r="N60" s="18">
        <f t="shared" si="15"/>
        <v>486460.82352941181</v>
      </c>
      <c r="O60" s="18">
        <f t="shared" si="15"/>
        <v>195002.82352941175</v>
      </c>
      <c r="P60" s="18">
        <f t="shared" si="15"/>
        <v>195002.82352941175</v>
      </c>
      <c r="Q60" s="18">
        <f t="shared" si="15"/>
        <v>195002.82352941175</v>
      </c>
      <c r="R60" s="18">
        <f t="shared" si="15"/>
        <v>195002.82352941175</v>
      </c>
      <c r="S60" s="18">
        <f t="shared" si="15"/>
        <v>195002.82352941175</v>
      </c>
      <c r="T60" s="18">
        <f t="shared" si="15"/>
        <v>195002.82352941175</v>
      </c>
      <c r="U60" s="18">
        <f t="shared" si="15"/>
        <v>195002.82352941175</v>
      </c>
      <c r="V60" s="18">
        <f t="shared" si="15"/>
        <v>195002.82352941175</v>
      </c>
      <c r="W60" s="18">
        <f t="shared" si="15"/>
        <v>195002.82352941175</v>
      </c>
      <c r="X60" s="18">
        <f t="shared" si="15"/>
        <v>195002.82352941175</v>
      </c>
      <c r="Y60" s="18">
        <f t="shared" si="15"/>
        <v>195002.82352941175</v>
      </c>
      <c r="Z60" s="18">
        <f t="shared" si="15"/>
        <v>195002.82352941175</v>
      </c>
      <c r="AA60" s="18">
        <f t="shared" si="15"/>
        <v>195002.82352941175</v>
      </c>
      <c r="AB60" s="18">
        <f t="shared" si="15"/>
        <v>0</v>
      </c>
      <c r="AC60" s="18">
        <f t="shared" si="15"/>
        <v>0</v>
      </c>
      <c r="AD60" s="18">
        <f t="shared" si="15"/>
        <v>188067.42857142858</v>
      </c>
      <c r="AE60" s="18">
        <f t="shared" si="15"/>
        <v>188067.42857142858</v>
      </c>
      <c r="AF60" s="18">
        <f t="shared" si="15"/>
        <v>188067.42857142858</v>
      </c>
      <c r="AG60" s="18">
        <f t="shared" si="15"/>
        <v>188067.42857142858</v>
      </c>
      <c r="AH60" s="18">
        <f t="shared" si="15"/>
        <v>188067.42857142858</v>
      </c>
      <c r="AI60" s="18">
        <f t="shared" si="15"/>
        <v>188067.42857142858</v>
      </c>
      <c r="AJ60" s="18">
        <f t="shared" si="15"/>
        <v>188067.42857142858</v>
      </c>
      <c r="AK60" s="18">
        <f t="shared" si="15"/>
        <v>249650</v>
      </c>
      <c r="AL60" s="18">
        <f t="shared" si="15"/>
        <v>249650</v>
      </c>
      <c r="AM60" s="18">
        <f t="shared" si="15"/>
        <v>249650</v>
      </c>
      <c r="AN60" s="18">
        <f t="shared" si="15"/>
        <v>249650</v>
      </c>
      <c r="AO60" s="18">
        <f t="shared" si="15"/>
        <v>249650</v>
      </c>
      <c r="AP60" s="18">
        <f t="shared" si="15"/>
        <v>0</v>
      </c>
      <c r="AQ60" s="18">
        <f t="shared" si="15"/>
        <v>221266.66666666666</v>
      </c>
      <c r="AR60" s="18">
        <f t="shared" si="15"/>
        <v>221266.66666666666</v>
      </c>
      <c r="AS60" s="18">
        <f t="shared" si="15"/>
        <v>221266.66666666666</v>
      </c>
      <c r="AT60" s="18">
        <f t="shared" si="15"/>
        <v>221266.66666666666</v>
      </c>
      <c r="AU60" s="18">
        <f t="shared" si="15"/>
        <v>221266.66666666666</v>
      </c>
      <c r="AV60" s="19">
        <f t="shared" si="15"/>
        <v>221266.66666666666</v>
      </c>
      <c r="AW60" s="20">
        <f t="shared" si="12"/>
        <v>9698426.9999999963</v>
      </c>
      <c r="AX60" s="20">
        <f t="shared" si="13"/>
        <v>212126.52380952367</v>
      </c>
      <c r="AY60" s="21">
        <f>AW60/AW13</f>
        <v>0.24204827919311767</v>
      </c>
    </row>
    <row r="61" spans="1:51" ht="12.75" customHeight="1" x14ac:dyDescent="0.15">
      <c r="A61" s="46" t="s">
        <v>119</v>
      </c>
      <c r="B61" s="46"/>
      <c r="C61" s="14">
        <f t="shared" ref="C61:AV61" si="16">SUM(C53+C23+C29+C35+C42+C47+C60)</f>
        <v>903811.8</v>
      </c>
      <c r="D61" s="14">
        <f t="shared" si="16"/>
        <v>1130465</v>
      </c>
      <c r="E61" s="14">
        <f t="shared" si="16"/>
        <v>888031.48571428563</v>
      </c>
      <c r="F61" s="14">
        <f t="shared" si="16"/>
        <v>922334.17142857146</v>
      </c>
      <c r="G61" s="14">
        <f t="shared" si="16"/>
        <v>782176.08571428573</v>
      </c>
      <c r="H61" s="14">
        <f t="shared" si="16"/>
        <v>758624.88571428577</v>
      </c>
      <c r="I61" s="14">
        <f t="shared" si="16"/>
        <v>792341.22857142868</v>
      </c>
      <c r="J61" s="14">
        <f t="shared" si="16"/>
        <v>492224.42857142858</v>
      </c>
      <c r="K61" s="14">
        <f t="shared" si="16"/>
        <v>432764.25210084033</v>
      </c>
      <c r="L61" s="14">
        <f t="shared" si="16"/>
        <v>955049.4521008404</v>
      </c>
      <c r="M61" s="14">
        <f t="shared" si="16"/>
        <v>1157663.2806722689</v>
      </c>
      <c r="N61" s="14">
        <f t="shared" si="16"/>
        <v>1299448.7092436976</v>
      </c>
      <c r="O61" s="14">
        <f t="shared" si="16"/>
        <v>935927.22352941171</v>
      </c>
      <c r="P61" s="14">
        <f t="shared" si="16"/>
        <v>912356.59495798312</v>
      </c>
      <c r="Q61" s="14">
        <f t="shared" si="16"/>
        <v>1388219.6235294119</v>
      </c>
      <c r="R61" s="14">
        <f t="shared" si="16"/>
        <v>1157706.9092436975</v>
      </c>
      <c r="S61" s="14">
        <f t="shared" si="16"/>
        <v>870148.53781512612</v>
      </c>
      <c r="T61" s="14">
        <f t="shared" si="16"/>
        <v>1027732.3378151262</v>
      </c>
      <c r="U61" s="14">
        <f t="shared" si="16"/>
        <v>934056.99495798326</v>
      </c>
      <c r="V61" s="14">
        <f t="shared" si="16"/>
        <v>1108633.137815126</v>
      </c>
      <c r="W61" s="14">
        <f t="shared" si="16"/>
        <v>929200.62352941185</v>
      </c>
      <c r="X61" s="14">
        <f t="shared" si="16"/>
        <v>961068.99495798326</v>
      </c>
      <c r="Y61" s="14">
        <f t="shared" si="16"/>
        <v>562984.88067226892</v>
      </c>
      <c r="Z61" s="14">
        <f t="shared" si="16"/>
        <v>452657.08067226887</v>
      </c>
      <c r="AA61" s="14">
        <f t="shared" si="16"/>
        <v>195002.82352941175</v>
      </c>
      <c r="AB61" s="14">
        <f t="shared" si="16"/>
        <v>0</v>
      </c>
      <c r="AC61" s="14">
        <f t="shared" si="16"/>
        <v>7075</v>
      </c>
      <c r="AD61" s="14">
        <f t="shared" si="16"/>
        <v>856717.45714285714</v>
      </c>
      <c r="AE61" s="14">
        <f t="shared" si="16"/>
        <v>855388.08571428573</v>
      </c>
      <c r="AF61" s="14">
        <f t="shared" si="16"/>
        <v>1901239.4285714286</v>
      </c>
      <c r="AG61" s="14">
        <f t="shared" si="16"/>
        <v>1110875.9714285715</v>
      </c>
      <c r="AH61" s="14">
        <f t="shared" si="16"/>
        <v>964392.31428571418</v>
      </c>
      <c r="AI61" s="14">
        <f t="shared" si="16"/>
        <v>1120670.1142857142</v>
      </c>
      <c r="AJ61" s="14">
        <f t="shared" si="16"/>
        <v>718759.82857142854</v>
      </c>
      <c r="AK61" s="14">
        <f t="shared" si="16"/>
        <v>845682.2</v>
      </c>
      <c r="AL61" s="14">
        <f t="shared" si="16"/>
        <v>835589.6</v>
      </c>
      <c r="AM61" s="14">
        <f t="shared" si="16"/>
        <v>788640.82857142854</v>
      </c>
      <c r="AN61" s="14">
        <f t="shared" si="16"/>
        <v>775613.8</v>
      </c>
      <c r="AO61" s="14">
        <f t="shared" si="16"/>
        <v>883174.91428571427</v>
      </c>
      <c r="AP61" s="14">
        <f t="shared" si="16"/>
        <v>0</v>
      </c>
      <c r="AQ61" s="14">
        <f t="shared" si="16"/>
        <v>668115.06666666665</v>
      </c>
      <c r="AR61" s="14">
        <f t="shared" si="16"/>
        <v>1114852.3238095238</v>
      </c>
      <c r="AS61" s="14">
        <f t="shared" si="16"/>
        <v>1057871.8380952382</v>
      </c>
      <c r="AT61" s="14">
        <f t="shared" si="16"/>
        <v>799668.80952380947</v>
      </c>
      <c r="AU61" s="14">
        <f t="shared" si="16"/>
        <v>911127.69523809524</v>
      </c>
      <c r="AV61" s="15">
        <f t="shared" si="16"/>
        <v>1133459.6666666667</v>
      </c>
      <c r="AW61" s="16">
        <f t="shared" si="12"/>
        <v>39299545.485714287</v>
      </c>
      <c r="AX61" s="16">
        <f t="shared" si="13"/>
        <v>853238.52634920622</v>
      </c>
      <c r="AY61" s="13">
        <f>AW61/AW13</f>
        <v>0.9808175447305838</v>
      </c>
    </row>
    <row r="62" spans="1:51" ht="12.75" customHeight="1" x14ac:dyDescent="0.15">
      <c r="A62" s="46" t="s">
        <v>120</v>
      </c>
      <c r="B62" s="46"/>
      <c r="C62" s="14">
        <f>SUM(C13+C14-C61)</f>
        <v>492251.19999999995</v>
      </c>
      <c r="D62" s="14">
        <f t="shared" ref="D62:AV62" si="17">SUM(D13+D14-D61)</f>
        <v>199494</v>
      </c>
      <c r="E62" s="14">
        <f t="shared" si="17"/>
        <v>468574.51428571437</v>
      </c>
      <c r="F62" s="14">
        <f t="shared" si="17"/>
        <v>423043.82857142854</v>
      </c>
      <c r="G62" s="14">
        <f t="shared" si="17"/>
        <v>-62022.085714285728</v>
      </c>
      <c r="H62" s="14">
        <f t="shared" si="17"/>
        <v>14663.114285714226</v>
      </c>
      <c r="I62" s="14">
        <f t="shared" si="17"/>
        <v>-19535.228571428685</v>
      </c>
      <c r="J62" s="14">
        <f t="shared" si="17"/>
        <v>-492224.42857142858</v>
      </c>
      <c r="K62" s="14">
        <f t="shared" si="17"/>
        <v>-135928.25210084033</v>
      </c>
      <c r="L62" s="14">
        <f t="shared" si="17"/>
        <v>-157146.4521008404</v>
      </c>
      <c r="M62" s="14">
        <f t="shared" si="17"/>
        <v>51576.719327731058</v>
      </c>
      <c r="N62" s="14">
        <f t="shared" si="17"/>
        <v>-80968.70924369758</v>
      </c>
      <c r="O62" s="14">
        <f t="shared" si="17"/>
        <v>323812.77647058829</v>
      </c>
      <c r="P62" s="14">
        <f t="shared" si="17"/>
        <v>325693.40504201688</v>
      </c>
      <c r="Q62" s="14">
        <f t="shared" si="17"/>
        <v>-301259.62352941185</v>
      </c>
      <c r="R62" s="14">
        <f t="shared" si="17"/>
        <v>46913.090756302467</v>
      </c>
      <c r="S62" s="14">
        <f t="shared" si="17"/>
        <v>363571.46218487388</v>
      </c>
      <c r="T62" s="14">
        <f t="shared" si="17"/>
        <v>186127.66218487383</v>
      </c>
      <c r="U62" s="14">
        <f t="shared" si="17"/>
        <v>275183.00504201674</v>
      </c>
      <c r="V62" s="14">
        <f t="shared" si="17"/>
        <v>161256.86218487401</v>
      </c>
      <c r="W62" s="14">
        <f t="shared" si="17"/>
        <v>293899.37647058815</v>
      </c>
      <c r="X62" s="14">
        <f t="shared" si="17"/>
        <v>306311.00504201674</v>
      </c>
      <c r="Y62" s="14">
        <f t="shared" si="17"/>
        <v>301015.11932773108</v>
      </c>
      <c r="Z62" s="14">
        <f t="shared" si="17"/>
        <v>411342.91932773113</v>
      </c>
      <c r="AA62" s="14">
        <f t="shared" si="17"/>
        <v>-178002.82352941175</v>
      </c>
      <c r="AB62" s="14">
        <f t="shared" si="17"/>
        <v>25152</v>
      </c>
      <c r="AC62" s="14">
        <f t="shared" si="17"/>
        <v>-7075</v>
      </c>
      <c r="AD62" s="14">
        <f t="shared" si="17"/>
        <v>730053.54285714286</v>
      </c>
      <c r="AE62" s="14">
        <f t="shared" si="17"/>
        <v>485364.91428571427</v>
      </c>
      <c r="AF62" s="14">
        <f t="shared" si="17"/>
        <v>-615891.42857142864</v>
      </c>
      <c r="AG62" s="14">
        <f t="shared" si="17"/>
        <v>218724.0285714285</v>
      </c>
      <c r="AH62" s="14">
        <f t="shared" si="17"/>
        <v>-34511.314285714179</v>
      </c>
      <c r="AI62" s="14">
        <f t="shared" si="17"/>
        <v>267237.88571428577</v>
      </c>
      <c r="AJ62" s="14">
        <f t="shared" si="17"/>
        <v>-266007.82857142854</v>
      </c>
      <c r="AK62" s="14">
        <f t="shared" si="17"/>
        <v>561917.80000000005</v>
      </c>
      <c r="AL62" s="14">
        <f t="shared" si="17"/>
        <v>416010.4</v>
      </c>
      <c r="AM62" s="14">
        <f t="shared" si="17"/>
        <v>-71953.828571428545</v>
      </c>
      <c r="AN62" s="14">
        <f t="shared" si="17"/>
        <v>-91713.800000000047</v>
      </c>
      <c r="AO62" s="14">
        <f t="shared" si="17"/>
        <v>-353070.91428571427</v>
      </c>
      <c r="AP62" s="14">
        <f t="shared" si="17"/>
        <v>256690</v>
      </c>
      <c r="AQ62" s="14">
        <f t="shared" si="17"/>
        <v>-668115.06666666665</v>
      </c>
      <c r="AR62" s="14">
        <f t="shared" si="17"/>
        <v>-348452.32380952383</v>
      </c>
      <c r="AS62" s="14">
        <f t="shared" si="17"/>
        <v>-301771.8380952382</v>
      </c>
      <c r="AT62" s="14">
        <f t="shared" si="17"/>
        <v>-343668.80952380947</v>
      </c>
      <c r="AU62" s="14">
        <f t="shared" si="17"/>
        <v>-298127.69523809524</v>
      </c>
      <c r="AV62" s="15">
        <f t="shared" si="17"/>
        <v>-692767.66666666674</v>
      </c>
      <c r="AW62" s="16">
        <f t="shared" si="12"/>
        <v>2085665.5142857132</v>
      </c>
      <c r="AX62" s="16">
        <f t="shared" si="13"/>
        <v>35409.206984126977</v>
      </c>
      <c r="AY62" s="13">
        <f>AW62/AW13</f>
        <v>5.2052951339973563E-2</v>
      </c>
    </row>
    <row r="63" spans="1:51" ht="12.75" customHeight="1" x14ac:dyDescent="0.15">
      <c r="A63" s="46" t="s">
        <v>121</v>
      </c>
      <c r="B63" s="46"/>
      <c r="C63" s="14">
        <v>104592.76190476191</v>
      </c>
      <c r="D63" s="14">
        <v>0</v>
      </c>
      <c r="E63" s="14">
        <v>104592.76190476191</v>
      </c>
      <c r="F63" s="14">
        <v>104592.76190476191</v>
      </c>
      <c r="G63" s="14">
        <v>104592.76190476191</v>
      </c>
      <c r="H63" s="14">
        <v>104592.76190476191</v>
      </c>
      <c r="I63" s="14">
        <v>104592.76190476191</v>
      </c>
      <c r="J63" s="14">
        <v>104592.76190476191</v>
      </c>
      <c r="K63" s="14">
        <v>104592.76190476191</v>
      </c>
      <c r="L63" s="14">
        <v>104592.76190476191</v>
      </c>
      <c r="M63" s="14">
        <v>104592.76190476191</v>
      </c>
      <c r="N63" s="14">
        <v>104592.76190476191</v>
      </c>
      <c r="O63" s="14">
        <v>104592.76190476191</v>
      </c>
      <c r="P63" s="14">
        <v>104592.76190476191</v>
      </c>
      <c r="Q63" s="14">
        <v>104592.76190476191</v>
      </c>
      <c r="R63" s="14">
        <v>104592.76190476191</v>
      </c>
      <c r="S63" s="14">
        <v>104592.76190476191</v>
      </c>
      <c r="T63" s="14">
        <v>104592.76190476191</v>
      </c>
      <c r="U63" s="14">
        <v>104592.76190476191</v>
      </c>
      <c r="V63" s="14">
        <v>104592.76190476191</v>
      </c>
      <c r="W63" s="14">
        <v>104592.76190476191</v>
      </c>
      <c r="X63" s="14">
        <v>104592.76190476191</v>
      </c>
      <c r="Y63" s="14">
        <v>104592.76190476191</v>
      </c>
      <c r="Z63" s="14">
        <v>104592.76190476191</v>
      </c>
      <c r="AA63" s="14">
        <v>0</v>
      </c>
      <c r="AB63" s="14">
        <v>0</v>
      </c>
      <c r="AC63" s="14">
        <v>104592.76190476191</v>
      </c>
      <c r="AD63" s="14">
        <v>104592.76190476191</v>
      </c>
      <c r="AE63" s="14">
        <v>104592.76190476191</v>
      </c>
      <c r="AF63" s="14">
        <v>104592.76190476191</v>
      </c>
      <c r="AG63" s="14">
        <v>104592.76190476191</v>
      </c>
      <c r="AH63" s="14">
        <v>104592.76190476191</v>
      </c>
      <c r="AI63" s="14">
        <v>104592.76190476191</v>
      </c>
      <c r="AJ63" s="14">
        <v>104592.76190476191</v>
      </c>
      <c r="AK63" s="14">
        <v>104592.76190476191</v>
      </c>
      <c r="AL63" s="14">
        <v>104592.76190476191</v>
      </c>
      <c r="AM63" s="14">
        <v>104592.76190476191</v>
      </c>
      <c r="AN63" s="14">
        <v>104592.76190476191</v>
      </c>
      <c r="AO63" s="14">
        <v>104592.76190476191</v>
      </c>
      <c r="AP63" s="14">
        <v>0</v>
      </c>
      <c r="AQ63" s="14">
        <v>104592.76190476191</v>
      </c>
      <c r="AR63" s="14">
        <v>104592.76190476191</v>
      </c>
      <c r="AS63" s="14">
        <v>104592.76190476191</v>
      </c>
      <c r="AT63" s="14">
        <v>104592.76190476191</v>
      </c>
      <c r="AU63" s="14">
        <v>104592.76190476191</v>
      </c>
      <c r="AV63" s="15">
        <v>104592.76190476191</v>
      </c>
      <c r="AW63" s="16">
        <f t="shared" si="12"/>
        <v>4392896.0000000047</v>
      </c>
      <c r="AX63" s="16">
        <f t="shared" si="13"/>
        <v>95295.627513227606</v>
      </c>
      <c r="AY63" s="13">
        <f>AW63/AW13</f>
        <v>0.10963560559607566</v>
      </c>
    </row>
    <row r="64" spans="1:51" ht="12.75" customHeight="1" x14ac:dyDescent="0.15">
      <c r="A64" s="46" t="s">
        <v>122</v>
      </c>
      <c r="B64" s="46"/>
      <c r="C64" s="14">
        <v>32656.309523809523</v>
      </c>
      <c r="D64" s="14">
        <v>0</v>
      </c>
      <c r="E64" s="14">
        <v>32656.309523809523</v>
      </c>
      <c r="F64" s="14">
        <v>32656.309523809523</v>
      </c>
      <c r="G64" s="14">
        <v>32656.309523809523</v>
      </c>
      <c r="H64" s="14">
        <v>32656.309523809523</v>
      </c>
      <c r="I64" s="14">
        <v>32656.309523809523</v>
      </c>
      <c r="J64" s="14">
        <v>32656.309523809523</v>
      </c>
      <c r="K64" s="14">
        <v>32656.309523809523</v>
      </c>
      <c r="L64" s="14">
        <v>32656.309523809523</v>
      </c>
      <c r="M64" s="14">
        <v>32656.309523809523</v>
      </c>
      <c r="N64" s="14">
        <v>32656.309523809523</v>
      </c>
      <c r="O64" s="14">
        <v>32656.309523809523</v>
      </c>
      <c r="P64" s="14">
        <v>32656.309523809523</v>
      </c>
      <c r="Q64" s="14">
        <v>32656.309523809523</v>
      </c>
      <c r="R64" s="14">
        <v>32656.309523809523</v>
      </c>
      <c r="S64" s="14">
        <v>32656.309523809523</v>
      </c>
      <c r="T64" s="14">
        <v>32656.309523809523</v>
      </c>
      <c r="U64" s="14">
        <v>32656.309523809523</v>
      </c>
      <c r="V64" s="14">
        <v>32656.309523809523</v>
      </c>
      <c r="W64" s="14">
        <v>32656.309523809523</v>
      </c>
      <c r="X64" s="14">
        <v>32656.309523809523</v>
      </c>
      <c r="Y64" s="14">
        <v>32656.309523809523</v>
      </c>
      <c r="Z64" s="14">
        <v>32656.309523809523</v>
      </c>
      <c r="AA64" s="14">
        <v>0</v>
      </c>
      <c r="AB64" s="14">
        <v>0</v>
      </c>
      <c r="AC64" s="14">
        <v>32656.309523809523</v>
      </c>
      <c r="AD64" s="14">
        <v>32656.309523809523</v>
      </c>
      <c r="AE64" s="14">
        <v>32656.309523809523</v>
      </c>
      <c r="AF64" s="14">
        <v>32656.309523809523</v>
      </c>
      <c r="AG64" s="14">
        <v>32656.309523809523</v>
      </c>
      <c r="AH64" s="14">
        <v>32656.309523809523</v>
      </c>
      <c r="AI64" s="14">
        <v>32656.309523809523</v>
      </c>
      <c r="AJ64" s="14">
        <v>32656.309523809523</v>
      </c>
      <c r="AK64" s="14">
        <v>32656.309523809523</v>
      </c>
      <c r="AL64" s="14">
        <v>32656.309523809523</v>
      </c>
      <c r="AM64" s="14">
        <v>32656.309523809523</v>
      </c>
      <c r="AN64" s="14">
        <v>32656.309523809523</v>
      </c>
      <c r="AO64" s="14">
        <v>32656.309523809523</v>
      </c>
      <c r="AP64" s="14">
        <v>0</v>
      </c>
      <c r="AQ64" s="14">
        <v>32656.309523809523</v>
      </c>
      <c r="AR64" s="14">
        <v>32656.309523809523</v>
      </c>
      <c r="AS64" s="14">
        <v>32656.309523809523</v>
      </c>
      <c r="AT64" s="14">
        <v>32656.309523809523</v>
      </c>
      <c r="AU64" s="14">
        <v>32656.309523809523</v>
      </c>
      <c r="AV64" s="15">
        <v>32656.309523809523</v>
      </c>
      <c r="AW64" s="16">
        <f t="shared" si="12"/>
        <v>1371564.9999999986</v>
      </c>
      <c r="AX64" s="16">
        <f t="shared" si="13"/>
        <v>29753.526455026426</v>
      </c>
      <c r="AY64" s="13">
        <f>AW64/AW13</f>
        <v>3.4230803412915123E-2</v>
      </c>
    </row>
    <row r="65" spans="1:51" ht="12.75" customHeight="1" x14ac:dyDescent="0.15">
      <c r="A65" s="46" t="s">
        <v>123</v>
      </c>
      <c r="B65" s="46"/>
      <c r="C65" s="14">
        <f>SUM(C62-(C63+C64))</f>
        <v>355002.12857142853</v>
      </c>
      <c r="D65" s="14">
        <f t="shared" ref="D65:AV65" si="18">SUM(D62-(D63+D64))</f>
        <v>199494</v>
      </c>
      <c r="E65" s="14">
        <f t="shared" si="18"/>
        <v>331325.44285714295</v>
      </c>
      <c r="F65" s="14">
        <f t="shared" si="18"/>
        <v>285794.75714285712</v>
      </c>
      <c r="G65" s="14">
        <f t="shared" si="18"/>
        <v>-199271.15714285715</v>
      </c>
      <c r="H65" s="14">
        <f t="shared" si="18"/>
        <v>-122585.95714285719</v>
      </c>
      <c r="I65" s="14">
        <f t="shared" si="18"/>
        <v>-156784.3000000001</v>
      </c>
      <c r="J65" s="14">
        <f t="shared" si="18"/>
        <v>-629473.5</v>
      </c>
      <c r="K65" s="14">
        <f t="shared" si="18"/>
        <v>-273177.32352941175</v>
      </c>
      <c r="L65" s="14">
        <f t="shared" si="18"/>
        <v>-294395.52352941182</v>
      </c>
      <c r="M65" s="14">
        <f t="shared" si="18"/>
        <v>-85672.352100840362</v>
      </c>
      <c r="N65" s="14">
        <f t="shared" si="18"/>
        <v>-218217.780672269</v>
      </c>
      <c r="O65" s="14">
        <f t="shared" si="18"/>
        <v>186563.70504201687</v>
      </c>
      <c r="P65" s="14">
        <f t="shared" si="18"/>
        <v>188444.33361344546</v>
      </c>
      <c r="Q65" s="14">
        <f t="shared" si="18"/>
        <v>-438508.69495798327</v>
      </c>
      <c r="R65" s="14">
        <f t="shared" si="18"/>
        <v>-90335.980672268954</v>
      </c>
      <c r="S65" s="14">
        <f t="shared" si="18"/>
        <v>226322.39075630245</v>
      </c>
      <c r="T65" s="14">
        <f t="shared" si="18"/>
        <v>48878.590756302408</v>
      </c>
      <c r="U65" s="14">
        <f t="shared" si="18"/>
        <v>137933.93361344532</v>
      </c>
      <c r="V65" s="14">
        <f t="shared" si="18"/>
        <v>24007.790756302595</v>
      </c>
      <c r="W65" s="14">
        <f t="shared" si="18"/>
        <v>156650.30504201673</v>
      </c>
      <c r="X65" s="14">
        <f t="shared" si="18"/>
        <v>169061.93361344532</v>
      </c>
      <c r="Y65" s="14">
        <f t="shared" si="18"/>
        <v>163766.04789915966</v>
      </c>
      <c r="Z65" s="14">
        <f t="shared" si="18"/>
        <v>274093.84789915971</v>
      </c>
      <c r="AA65" s="14">
        <f t="shared" si="18"/>
        <v>-178002.82352941175</v>
      </c>
      <c r="AB65" s="14">
        <f t="shared" si="18"/>
        <v>25152</v>
      </c>
      <c r="AC65" s="14">
        <f t="shared" si="18"/>
        <v>-144324.07142857142</v>
      </c>
      <c r="AD65" s="14">
        <f t="shared" si="18"/>
        <v>592804.4714285715</v>
      </c>
      <c r="AE65" s="14">
        <f t="shared" si="18"/>
        <v>348115.84285714285</v>
      </c>
      <c r="AF65" s="14">
        <f t="shared" si="18"/>
        <v>-753140.5</v>
      </c>
      <c r="AG65" s="14">
        <f t="shared" si="18"/>
        <v>81474.957142857078</v>
      </c>
      <c r="AH65" s="14">
        <f t="shared" si="18"/>
        <v>-171760.3857142856</v>
      </c>
      <c r="AI65" s="14">
        <f t="shared" si="18"/>
        <v>129988.81428571435</v>
      </c>
      <c r="AJ65" s="14">
        <f t="shared" si="18"/>
        <v>-403256.89999999997</v>
      </c>
      <c r="AK65" s="14">
        <f t="shared" si="18"/>
        <v>424668.72857142863</v>
      </c>
      <c r="AL65" s="14">
        <f t="shared" si="18"/>
        <v>278761.3285714286</v>
      </c>
      <c r="AM65" s="14">
        <f t="shared" si="18"/>
        <v>-209202.89999999997</v>
      </c>
      <c r="AN65" s="14">
        <f t="shared" si="18"/>
        <v>-228962.87142857147</v>
      </c>
      <c r="AO65" s="14">
        <f t="shared" si="18"/>
        <v>-490319.98571428569</v>
      </c>
      <c r="AP65" s="14">
        <f t="shared" si="18"/>
        <v>256690</v>
      </c>
      <c r="AQ65" s="14">
        <f t="shared" si="18"/>
        <v>-805364.13809523801</v>
      </c>
      <c r="AR65" s="14">
        <f t="shared" si="18"/>
        <v>-485701.39523809525</v>
      </c>
      <c r="AS65" s="14">
        <f t="shared" si="18"/>
        <v>-439020.90952380962</v>
      </c>
      <c r="AT65" s="14">
        <f t="shared" si="18"/>
        <v>-480917.88095238089</v>
      </c>
      <c r="AU65" s="14">
        <f t="shared" si="18"/>
        <v>-435376.76666666666</v>
      </c>
      <c r="AV65" s="15">
        <f t="shared" si="18"/>
        <v>-830016.73809523811</v>
      </c>
      <c r="AW65" s="16">
        <f t="shared" si="12"/>
        <v>-3678795.4857142847</v>
      </c>
      <c r="AX65" s="16">
        <f t="shared" si="13"/>
        <v>-89639.946984126975</v>
      </c>
      <c r="AY65" s="13">
        <f>AW65/AW13</f>
        <v>-9.1813457669017093E-2</v>
      </c>
    </row>
    <row r="66" spans="1:51" x14ac:dyDescent="0.15">
      <c r="A66" s="11"/>
      <c r="B66" s="29" t="s">
        <v>46</v>
      </c>
      <c r="C66" s="29"/>
      <c r="D66" s="29"/>
      <c r="E66" s="29"/>
      <c r="F66" s="29" t="s">
        <v>124</v>
      </c>
      <c r="G66" s="29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</row>
    <row r="67" spans="1:51" x14ac:dyDescent="0.15">
      <c r="A67" s="12"/>
      <c r="B67" s="30"/>
      <c r="C67" s="31" t="s">
        <v>125</v>
      </c>
      <c r="D67" s="2" t="s">
        <v>126</v>
      </c>
      <c r="E67" s="2" t="s">
        <v>127</v>
      </c>
      <c r="F67" s="2" t="s">
        <v>128</v>
      </c>
      <c r="G67" s="2" t="s">
        <v>129</v>
      </c>
      <c r="H67" s="32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</row>
    <row r="68" spans="1:51" x14ac:dyDescent="0.15">
      <c r="A68" s="12"/>
      <c r="B68" s="33" t="s">
        <v>130</v>
      </c>
      <c r="C68" s="22">
        <v>0</v>
      </c>
      <c r="D68" s="22">
        <v>659675</v>
      </c>
      <c r="E68" s="22">
        <v>409459</v>
      </c>
      <c r="F68" s="22">
        <v>4392896</v>
      </c>
      <c r="G68" s="22">
        <v>1371565</v>
      </c>
      <c r="H68" s="32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</row>
    <row r="69" spans="1:51" x14ac:dyDescent="0.15">
      <c r="A69" s="12"/>
      <c r="B69" s="34" t="s">
        <v>131</v>
      </c>
      <c r="C69" s="22">
        <v>7</v>
      </c>
      <c r="D69" s="22">
        <v>7</v>
      </c>
      <c r="E69" s="22">
        <v>7</v>
      </c>
      <c r="F69" s="22">
        <v>42</v>
      </c>
      <c r="G69" s="22">
        <v>42</v>
      </c>
      <c r="H69" s="32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</row>
    <row r="70" spans="1:51" x14ac:dyDescent="0.15">
      <c r="A70" s="12"/>
      <c r="B70" s="34" t="s">
        <v>41</v>
      </c>
      <c r="C70" s="14">
        <f>SUM(C68/C69)</f>
        <v>0</v>
      </c>
      <c r="D70" s="14">
        <f t="shared" ref="D70:G70" si="19">SUM(D68/D69)</f>
        <v>94239.28571428571</v>
      </c>
      <c r="E70" s="14">
        <f t="shared" si="19"/>
        <v>58494.142857142855</v>
      </c>
      <c r="F70" s="14">
        <f t="shared" si="19"/>
        <v>104592.76190476191</v>
      </c>
      <c r="G70" s="14">
        <f t="shared" si="19"/>
        <v>32656.309523809523</v>
      </c>
      <c r="H70" s="32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</row>
    <row r="71" spans="1:51" x14ac:dyDescent="0.15">
      <c r="A71" s="11"/>
      <c r="B71" s="35" t="s">
        <v>47</v>
      </c>
      <c r="C71" s="35"/>
      <c r="D71" s="35"/>
      <c r="E71" s="35"/>
      <c r="F71" s="35"/>
      <c r="G71" s="35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</row>
    <row r="72" spans="1:51" x14ac:dyDescent="0.15">
      <c r="A72" s="11"/>
      <c r="B72" s="30"/>
      <c r="C72" s="31" t="s">
        <v>132</v>
      </c>
      <c r="D72" s="2" t="s">
        <v>133</v>
      </c>
      <c r="E72" s="2" t="s">
        <v>134</v>
      </c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</row>
    <row r="73" spans="1:51" x14ac:dyDescent="0.15">
      <c r="A73" s="11"/>
      <c r="B73" s="33" t="s">
        <v>130</v>
      </c>
      <c r="C73" s="22">
        <v>118000</v>
      </c>
      <c r="D73" s="22">
        <v>1809730</v>
      </c>
      <c r="E73" s="22">
        <v>1387318</v>
      </c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</row>
    <row r="74" spans="1:51" x14ac:dyDescent="0.15">
      <c r="A74" s="11"/>
      <c r="B74" s="34" t="s">
        <v>131</v>
      </c>
      <c r="C74" s="22">
        <v>17</v>
      </c>
      <c r="D74" s="22">
        <v>17</v>
      </c>
      <c r="E74" s="22">
        <v>17</v>
      </c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</row>
    <row r="75" spans="1:51" x14ac:dyDescent="0.15">
      <c r="A75" s="11"/>
      <c r="B75" s="34" t="s">
        <v>41</v>
      </c>
      <c r="C75" s="14">
        <f>SUM(C73/C74)</f>
        <v>6941.1764705882351</v>
      </c>
      <c r="D75" s="14">
        <f t="shared" ref="D75:E75" si="20">SUM(D73/D74)</f>
        <v>106454.70588235294</v>
      </c>
      <c r="E75" s="14">
        <f t="shared" si="20"/>
        <v>81606.941176470587</v>
      </c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</row>
    <row r="76" spans="1:51" x14ac:dyDescent="0.15">
      <c r="A76" s="11"/>
      <c r="B76" s="11" t="s">
        <v>135</v>
      </c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</row>
    <row r="77" spans="1:51" x14ac:dyDescent="0.15">
      <c r="A77" s="11"/>
      <c r="B77" s="30"/>
      <c r="C77" s="31" t="s">
        <v>136</v>
      </c>
      <c r="D77" s="2" t="s">
        <v>137</v>
      </c>
      <c r="E77" s="2" t="s">
        <v>138</v>
      </c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</row>
    <row r="78" spans="1:51" x14ac:dyDescent="0.15">
      <c r="A78" s="11"/>
      <c r="B78" s="33" t="s">
        <v>130</v>
      </c>
      <c r="C78" s="22"/>
      <c r="D78" s="22"/>
      <c r="E78" s="22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</row>
    <row r="79" spans="1:51" x14ac:dyDescent="0.15">
      <c r="A79" s="11"/>
      <c r="B79" s="34" t="s">
        <v>131</v>
      </c>
      <c r="C79" s="22"/>
      <c r="D79" s="22"/>
      <c r="E79" s="22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</row>
    <row r="80" spans="1:51" x14ac:dyDescent="0.15">
      <c r="A80" s="11"/>
      <c r="B80" s="34" t="s">
        <v>41</v>
      </c>
      <c r="C80" s="14" t="e">
        <f>SUM(C78/C79)</f>
        <v>#DIV/0!</v>
      </c>
      <c r="D80" s="14" t="e">
        <f t="shared" ref="D80:E80" si="21">SUM(D78/D79)</f>
        <v>#DIV/0!</v>
      </c>
      <c r="E80" s="14" t="e">
        <f t="shared" si="21"/>
        <v>#DIV/0!</v>
      </c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</row>
    <row r="81" spans="1:48" x14ac:dyDescent="0.15">
      <c r="A81" s="11"/>
      <c r="B81" s="11" t="s">
        <v>139</v>
      </c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</row>
    <row r="82" spans="1:48" x14ac:dyDescent="0.15">
      <c r="A82" s="11"/>
      <c r="B82" s="30"/>
      <c r="C82" s="31" t="s">
        <v>140</v>
      </c>
      <c r="D82" s="2" t="s">
        <v>141</v>
      </c>
      <c r="E82" s="2" t="s">
        <v>142</v>
      </c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</row>
    <row r="83" spans="1:48" x14ac:dyDescent="0.15">
      <c r="A83" s="11"/>
      <c r="B83" s="33" t="s">
        <v>130</v>
      </c>
      <c r="C83" s="22"/>
      <c r="D83" s="22"/>
      <c r="E83" s="22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</row>
    <row r="84" spans="1:48" x14ac:dyDescent="0.15">
      <c r="A84" s="11"/>
      <c r="B84" s="34" t="s">
        <v>131</v>
      </c>
      <c r="C84" s="22"/>
      <c r="D84" s="22"/>
      <c r="E84" s="22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</row>
    <row r="85" spans="1:48" x14ac:dyDescent="0.15">
      <c r="A85" s="11"/>
      <c r="B85" s="34" t="s">
        <v>41</v>
      </c>
      <c r="C85" s="14" t="e">
        <f>SUM(C83/C84)</f>
        <v>#DIV/0!</v>
      </c>
      <c r="D85" s="14" t="e">
        <f t="shared" ref="D85:E85" si="22">SUM(D83/D84)</f>
        <v>#DIV/0!</v>
      </c>
      <c r="E85" s="14" t="e">
        <f t="shared" si="22"/>
        <v>#DIV/0!</v>
      </c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</row>
    <row r="86" spans="1:48" x14ac:dyDescent="0.15">
      <c r="A86" s="11"/>
      <c r="B86" s="11" t="s">
        <v>143</v>
      </c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</row>
    <row r="87" spans="1:48" x14ac:dyDescent="0.15">
      <c r="A87" s="11"/>
      <c r="B87" s="30"/>
      <c r="C87" s="31" t="s">
        <v>144</v>
      </c>
      <c r="D87" s="2" t="s">
        <v>145</v>
      </c>
      <c r="E87" s="2" t="s">
        <v>146</v>
      </c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</row>
    <row r="88" spans="1:48" x14ac:dyDescent="0.15">
      <c r="A88" s="11"/>
      <c r="B88" s="33" t="s">
        <v>130</v>
      </c>
      <c r="C88" s="22"/>
      <c r="D88" s="22"/>
      <c r="E88" s="22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</row>
    <row r="89" spans="1:48" x14ac:dyDescent="0.15">
      <c r="A89" s="11"/>
      <c r="B89" s="34" t="s">
        <v>131</v>
      </c>
      <c r="C89" s="22"/>
      <c r="D89" s="22"/>
      <c r="E89" s="22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</row>
    <row r="90" spans="1:48" x14ac:dyDescent="0.15">
      <c r="A90" s="11"/>
      <c r="B90" s="34" t="s">
        <v>41</v>
      </c>
      <c r="C90" s="14" t="e">
        <f>SUM(C88/C89)</f>
        <v>#DIV/0!</v>
      </c>
      <c r="D90" s="14" t="e">
        <f t="shared" ref="D90:E90" si="23">SUM(D88/D89)</f>
        <v>#DIV/0!</v>
      </c>
      <c r="E90" s="14" t="e">
        <f t="shared" si="23"/>
        <v>#DIV/0!</v>
      </c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</row>
    <row r="91" spans="1:48" x14ac:dyDescent="0.1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</row>
    <row r="92" spans="1:48" x14ac:dyDescent="0.15">
      <c r="A92" s="11"/>
      <c r="B92" s="30"/>
      <c r="C92" s="31" t="s">
        <v>147</v>
      </c>
      <c r="D92" s="2" t="s">
        <v>148</v>
      </c>
      <c r="E92" s="2" t="s">
        <v>149</v>
      </c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</row>
    <row r="93" spans="1:48" x14ac:dyDescent="0.15">
      <c r="A93" s="11"/>
      <c r="B93" s="33" t="s">
        <v>130</v>
      </c>
      <c r="C93" s="22">
        <v>150000</v>
      </c>
      <c r="D93" s="22">
        <v>595223</v>
      </c>
      <c r="E93" s="22">
        <v>571249</v>
      </c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</row>
    <row r="94" spans="1:48" x14ac:dyDescent="0.15">
      <c r="B94" s="34" t="s">
        <v>131</v>
      </c>
      <c r="C94" s="22">
        <v>7</v>
      </c>
      <c r="D94" s="22">
        <v>7</v>
      </c>
      <c r="E94" s="22">
        <v>7</v>
      </c>
    </row>
    <row r="95" spans="1:48" x14ac:dyDescent="0.15">
      <c r="B95" s="34" t="s">
        <v>41</v>
      </c>
      <c r="C95" s="14">
        <f>SUM(C93/C94)</f>
        <v>21428.571428571428</v>
      </c>
      <c r="D95" s="14">
        <f t="shared" ref="D95:E95" si="24">SUM(D93/D94)</f>
        <v>85031.857142857145</v>
      </c>
      <c r="E95" s="14">
        <f t="shared" si="24"/>
        <v>81607</v>
      </c>
    </row>
    <row r="97" spans="2:5" x14ac:dyDescent="0.15">
      <c r="B97" s="30"/>
      <c r="C97" s="31" t="s">
        <v>150</v>
      </c>
      <c r="D97" s="2" t="s">
        <v>151</v>
      </c>
      <c r="E97" s="2" t="s">
        <v>152</v>
      </c>
    </row>
    <row r="98" spans="2:5" x14ac:dyDescent="0.15">
      <c r="B98" s="33" t="s">
        <v>130</v>
      </c>
      <c r="C98" s="22">
        <v>297000</v>
      </c>
      <c r="D98" s="22">
        <v>625984</v>
      </c>
      <c r="E98" s="22">
        <v>325266</v>
      </c>
    </row>
    <row r="99" spans="2:5" x14ac:dyDescent="0.15">
      <c r="B99" s="34" t="s">
        <v>131</v>
      </c>
      <c r="C99" s="22">
        <v>5</v>
      </c>
      <c r="D99" s="22">
        <v>5</v>
      </c>
      <c r="E99" s="22">
        <v>5</v>
      </c>
    </row>
    <row r="100" spans="2:5" x14ac:dyDescent="0.15">
      <c r="B100" s="34" t="s">
        <v>41</v>
      </c>
      <c r="C100" s="14">
        <f>SUM(C98/C99)</f>
        <v>59400</v>
      </c>
      <c r="D100" s="14">
        <f t="shared" ref="D100:E100" si="25">SUM(D98/D99)</f>
        <v>125196.8</v>
      </c>
      <c r="E100" s="14">
        <f t="shared" si="25"/>
        <v>65053.2</v>
      </c>
    </row>
    <row r="102" spans="2:5" x14ac:dyDescent="0.15">
      <c r="B102" s="30"/>
      <c r="C102" s="31" t="s">
        <v>153</v>
      </c>
      <c r="D102" s="2" t="s">
        <v>154</v>
      </c>
      <c r="E102" s="2" t="s">
        <v>155</v>
      </c>
    </row>
    <row r="103" spans="2:5" x14ac:dyDescent="0.15">
      <c r="B103" s="33" t="s">
        <v>130</v>
      </c>
      <c r="C103" s="22">
        <v>170000</v>
      </c>
      <c r="D103" s="22">
        <v>645059</v>
      </c>
      <c r="E103" s="22">
        <v>512541</v>
      </c>
    </row>
    <row r="104" spans="2:5" x14ac:dyDescent="0.15">
      <c r="B104" s="34" t="s">
        <v>131</v>
      </c>
      <c r="C104" s="22">
        <v>6</v>
      </c>
      <c r="D104" s="22">
        <v>6</v>
      </c>
      <c r="E104" s="22">
        <v>6</v>
      </c>
    </row>
    <row r="105" spans="2:5" x14ac:dyDescent="0.15">
      <c r="B105" s="34" t="s">
        <v>41</v>
      </c>
      <c r="C105" s="14">
        <f>SUM(C103/C104)</f>
        <v>28333.333333333332</v>
      </c>
      <c r="D105" s="14">
        <f t="shared" ref="D105:E105" si="26">SUM(D103/D104)</f>
        <v>107509.83333333333</v>
      </c>
      <c r="E105" s="14">
        <f t="shared" si="26"/>
        <v>85423.5</v>
      </c>
    </row>
    <row r="107" spans="2:5" x14ac:dyDescent="0.15">
      <c r="B107" s="11" t="s">
        <v>156</v>
      </c>
      <c r="C107" s="8">
        <v>32</v>
      </c>
    </row>
  </sheetData>
  <mergeCells count="26">
    <mergeCell ref="A8:B8"/>
    <mergeCell ref="A3:B3"/>
    <mergeCell ref="A4:B4"/>
    <mergeCell ref="A5:B5"/>
    <mergeCell ref="A6:B6"/>
    <mergeCell ref="A7:B7"/>
    <mergeCell ref="A54:A60"/>
    <mergeCell ref="A9:B9"/>
    <mergeCell ref="A10:B10"/>
    <mergeCell ref="A11:B11"/>
    <mergeCell ref="A13:B13"/>
    <mergeCell ref="A15:B15"/>
    <mergeCell ref="A17:A23"/>
    <mergeCell ref="A24:A29"/>
    <mergeCell ref="A30:A35"/>
    <mergeCell ref="A36:A42"/>
    <mergeCell ref="A43:A47"/>
    <mergeCell ref="A48:A53"/>
    <mergeCell ref="A12:B12"/>
    <mergeCell ref="A14:B14"/>
    <mergeCell ref="A16:B16"/>
    <mergeCell ref="A61:B61"/>
    <mergeCell ref="A62:B62"/>
    <mergeCell ref="A63:B63"/>
    <mergeCell ref="A64:B64"/>
    <mergeCell ref="A65:B65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0</xdr:col>
                <xdr:colOff>19050</xdr:colOff>
                <xdr:row>2</xdr:row>
                <xdr:rowOff>28575</xdr:rowOff>
              </from>
              <to>
                <xdr:col>1</xdr:col>
                <xdr:colOff>485775</xdr:colOff>
                <xdr:row>6</xdr:row>
                <xdr:rowOff>57150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268DF-9A34-4AB9-A812-DB58E0C5AF12}">
  <sheetPr codeName="Sheet2"/>
  <dimension ref="A1:M107"/>
  <sheetViews>
    <sheetView topLeftCell="A3" workbookViewId="0">
      <selection activeCell="K58" sqref="K58:K59"/>
    </sheetView>
  </sheetViews>
  <sheetFormatPr defaultRowHeight="13.5" x14ac:dyDescent="0.15"/>
  <cols>
    <col min="1" max="1" width="2.875" style="1" bestFit="1" customWidth="1"/>
    <col min="2" max="2" width="17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9" width="12.5" style="1" bestFit="1" customWidth="1"/>
    <col min="10" max="10" width="11" style="1" bestFit="1" customWidth="1"/>
    <col min="11" max="11" width="13.25" style="1" bestFit="1" customWidth="1"/>
    <col min="12" max="12" width="10" style="1" bestFit="1" customWidth="1"/>
    <col min="13" max="13" width="11" style="1" bestFit="1" customWidth="1"/>
    <col min="14" max="217" width="9" style="1"/>
    <col min="218" max="218" width="2.875" style="1" bestFit="1" customWidth="1"/>
    <col min="219" max="219" width="17.625" style="1" bestFit="1" customWidth="1"/>
    <col min="220" max="220" width="11.375" style="1" bestFit="1" customWidth="1"/>
    <col min="221" max="222" width="14.125" style="1" bestFit="1" customWidth="1"/>
    <col min="223" max="223" width="11.375" style="1" bestFit="1" customWidth="1"/>
    <col min="224" max="226" width="12.5" style="1" bestFit="1" customWidth="1"/>
    <col min="227" max="227" width="11" style="1" bestFit="1" customWidth="1"/>
    <col min="228" max="246" width="13" style="1" bestFit="1" customWidth="1"/>
    <col min="247" max="250" width="11" style="1" bestFit="1" customWidth="1"/>
    <col min="251" max="253" width="12.25" style="1" bestFit="1" customWidth="1"/>
    <col min="254" max="266" width="11" style="1" bestFit="1" customWidth="1"/>
    <col min="267" max="267" width="13.25" style="1" bestFit="1" customWidth="1"/>
    <col min="268" max="268" width="10" style="1" bestFit="1" customWidth="1"/>
    <col min="269" max="269" width="11" style="1" bestFit="1" customWidth="1"/>
    <col min="270" max="473" width="9" style="1"/>
    <col min="474" max="474" width="2.875" style="1" bestFit="1" customWidth="1"/>
    <col min="475" max="475" width="17.625" style="1" bestFit="1" customWidth="1"/>
    <col min="476" max="476" width="11.375" style="1" bestFit="1" customWidth="1"/>
    <col min="477" max="478" width="14.125" style="1" bestFit="1" customWidth="1"/>
    <col min="479" max="479" width="11.375" style="1" bestFit="1" customWidth="1"/>
    <col min="480" max="482" width="12.5" style="1" bestFit="1" customWidth="1"/>
    <col min="483" max="483" width="11" style="1" bestFit="1" customWidth="1"/>
    <col min="484" max="502" width="13" style="1" bestFit="1" customWidth="1"/>
    <col min="503" max="506" width="11" style="1" bestFit="1" customWidth="1"/>
    <col min="507" max="509" width="12.25" style="1" bestFit="1" customWidth="1"/>
    <col min="510" max="522" width="11" style="1" bestFit="1" customWidth="1"/>
    <col min="523" max="523" width="13.25" style="1" bestFit="1" customWidth="1"/>
    <col min="524" max="524" width="10" style="1" bestFit="1" customWidth="1"/>
    <col min="525" max="525" width="11" style="1" bestFit="1" customWidth="1"/>
    <col min="526" max="729" width="9" style="1"/>
    <col min="730" max="730" width="2.875" style="1" bestFit="1" customWidth="1"/>
    <col min="731" max="731" width="17.625" style="1" bestFit="1" customWidth="1"/>
    <col min="732" max="732" width="11.375" style="1" bestFit="1" customWidth="1"/>
    <col min="733" max="734" width="14.125" style="1" bestFit="1" customWidth="1"/>
    <col min="735" max="735" width="11.375" style="1" bestFit="1" customWidth="1"/>
    <col min="736" max="738" width="12.5" style="1" bestFit="1" customWidth="1"/>
    <col min="739" max="739" width="11" style="1" bestFit="1" customWidth="1"/>
    <col min="740" max="758" width="13" style="1" bestFit="1" customWidth="1"/>
    <col min="759" max="762" width="11" style="1" bestFit="1" customWidth="1"/>
    <col min="763" max="765" width="12.25" style="1" bestFit="1" customWidth="1"/>
    <col min="766" max="778" width="11" style="1" bestFit="1" customWidth="1"/>
    <col min="779" max="779" width="13.25" style="1" bestFit="1" customWidth="1"/>
    <col min="780" max="780" width="10" style="1" bestFit="1" customWidth="1"/>
    <col min="781" max="781" width="11" style="1" bestFit="1" customWidth="1"/>
    <col min="782" max="985" width="9" style="1"/>
    <col min="986" max="986" width="2.875" style="1" bestFit="1" customWidth="1"/>
    <col min="987" max="987" width="17.625" style="1" bestFit="1" customWidth="1"/>
    <col min="988" max="988" width="11.375" style="1" bestFit="1" customWidth="1"/>
    <col min="989" max="990" width="14.125" style="1" bestFit="1" customWidth="1"/>
    <col min="991" max="991" width="11.375" style="1" bestFit="1" customWidth="1"/>
    <col min="992" max="994" width="12.5" style="1" bestFit="1" customWidth="1"/>
    <col min="995" max="995" width="11" style="1" bestFit="1" customWidth="1"/>
    <col min="996" max="1014" width="13" style="1" bestFit="1" customWidth="1"/>
    <col min="1015" max="1018" width="11" style="1" bestFit="1" customWidth="1"/>
    <col min="1019" max="1021" width="12.25" style="1" bestFit="1" customWidth="1"/>
    <col min="1022" max="1034" width="11" style="1" bestFit="1" customWidth="1"/>
    <col min="1035" max="1035" width="13.25" style="1" bestFit="1" customWidth="1"/>
    <col min="1036" max="1036" width="10" style="1" bestFit="1" customWidth="1"/>
    <col min="1037" max="1037" width="11" style="1" bestFit="1" customWidth="1"/>
    <col min="1038" max="1241" width="9" style="1"/>
    <col min="1242" max="1242" width="2.875" style="1" bestFit="1" customWidth="1"/>
    <col min="1243" max="1243" width="17.625" style="1" bestFit="1" customWidth="1"/>
    <col min="1244" max="1244" width="11.375" style="1" bestFit="1" customWidth="1"/>
    <col min="1245" max="1246" width="14.125" style="1" bestFit="1" customWidth="1"/>
    <col min="1247" max="1247" width="11.375" style="1" bestFit="1" customWidth="1"/>
    <col min="1248" max="1250" width="12.5" style="1" bestFit="1" customWidth="1"/>
    <col min="1251" max="1251" width="11" style="1" bestFit="1" customWidth="1"/>
    <col min="1252" max="1270" width="13" style="1" bestFit="1" customWidth="1"/>
    <col min="1271" max="1274" width="11" style="1" bestFit="1" customWidth="1"/>
    <col min="1275" max="1277" width="12.25" style="1" bestFit="1" customWidth="1"/>
    <col min="1278" max="1290" width="11" style="1" bestFit="1" customWidth="1"/>
    <col min="1291" max="1291" width="13.25" style="1" bestFit="1" customWidth="1"/>
    <col min="1292" max="1292" width="10" style="1" bestFit="1" customWidth="1"/>
    <col min="1293" max="1293" width="11" style="1" bestFit="1" customWidth="1"/>
    <col min="1294" max="1497" width="9" style="1"/>
    <col min="1498" max="1498" width="2.875" style="1" bestFit="1" customWidth="1"/>
    <col min="1499" max="1499" width="17.625" style="1" bestFit="1" customWidth="1"/>
    <col min="1500" max="1500" width="11.375" style="1" bestFit="1" customWidth="1"/>
    <col min="1501" max="1502" width="14.125" style="1" bestFit="1" customWidth="1"/>
    <col min="1503" max="1503" width="11.375" style="1" bestFit="1" customWidth="1"/>
    <col min="1504" max="1506" width="12.5" style="1" bestFit="1" customWidth="1"/>
    <col min="1507" max="1507" width="11" style="1" bestFit="1" customWidth="1"/>
    <col min="1508" max="1526" width="13" style="1" bestFit="1" customWidth="1"/>
    <col min="1527" max="1530" width="11" style="1" bestFit="1" customWidth="1"/>
    <col min="1531" max="1533" width="12.25" style="1" bestFit="1" customWidth="1"/>
    <col min="1534" max="1546" width="11" style="1" bestFit="1" customWidth="1"/>
    <col min="1547" max="1547" width="13.25" style="1" bestFit="1" customWidth="1"/>
    <col min="1548" max="1548" width="10" style="1" bestFit="1" customWidth="1"/>
    <col min="1549" max="1549" width="11" style="1" bestFit="1" customWidth="1"/>
    <col min="1550" max="1753" width="9" style="1"/>
    <col min="1754" max="1754" width="2.875" style="1" bestFit="1" customWidth="1"/>
    <col min="1755" max="1755" width="17.625" style="1" bestFit="1" customWidth="1"/>
    <col min="1756" max="1756" width="11.375" style="1" bestFit="1" customWidth="1"/>
    <col min="1757" max="1758" width="14.125" style="1" bestFit="1" customWidth="1"/>
    <col min="1759" max="1759" width="11.375" style="1" bestFit="1" customWidth="1"/>
    <col min="1760" max="1762" width="12.5" style="1" bestFit="1" customWidth="1"/>
    <col min="1763" max="1763" width="11" style="1" bestFit="1" customWidth="1"/>
    <col min="1764" max="1782" width="13" style="1" bestFit="1" customWidth="1"/>
    <col min="1783" max="1786" width="11" style="1" bestFit="1" customWidth="1"/>
    <col min="1787" max="1789" width="12.25" style="1" bestFit="1" customWidth="1"/>
    <col min="1790" max="1802" width="11" style="1" bestFit="1" customWidth="1"/>
    <col min="1803" max="1803" width="13.25" style="1" bestFit="1" customWidth="1"/>
    <col min="1804" max="1804" width="10" style="1" bestFit="1" customWidth="1"/>
    <col min="1805" max="1805" width="11" style="1" bestFit="1" customWidth="1"/>
    <col min="1806" max="2009" width="9" style="1"/>
    <col min="2010" max="2010" width="2.875" style="1" bestFit="1" customWidth="1"/>
    <col min="2011" max="2011" width="17.625" style="1" bestFit="1" customWidth="1"/>
    <col min="2012" max="2012" width="11.375" style="1" bestFit="1" customWidth="1"/>
    <col min="2013" max="2014" width="14.125" style="1" bestFit="1" customWidth="1"/>
    <col min="2015" max="2015" width="11.375" style="1" bestFit="1" customWidth="1"/>
    <col min="2016" max="2018" width="12.5" style="1" bestFit="1" customWidth="1"/>
    <col min="2019" max="2019" width="11" style="1" bestFit="1" customWidth="1"/>
    <col min="2020" max="2038" width="13" style="1" bestFit="1" customWidth="1"/>
    <col min="2039" max="2042" width="11" style="1" bestFit="1" customWidth="1"/>
    <col min="2043" max="2045" width="12.25" style="1" bestFit="1" customWidth="1"/>
    <col min="2046" max="2058" width="11" style="1" bestFit="1" customWidth="1"/>
    <col min="2059" max="2059" width="13.25" style="1" bestFit="1" customWidth="1"/>
    <col min="2060" max="2060" width="10" style="1" bestFit="1" customWidth="1"/>
    <col min="2061" max="2061" width="11" style="1" bestFit="1" customWidth="1"/>
    <col min="2062" max="2265" width="9" style="1"/>
    <col min="2266" max="2266" width="2.875" style="1" bestFit="1" customWidth="1"/>
    <col min="2267" max="2267" width="17.625" style="1" bestFit="1" customWidth="1"/>
    <col min="2268" max="2268" width="11.375" style="1" bestFit="1" customWidth="1"/>
    <col min="2269" max="2270" width="14.125" style="1" bestFit="1" customWidth="1"/>
    <col min="2271" max="2271" width="11.375" style="1" bestFit="1" customWidth="1"/>
    <col min="2272" max="2274" width="12.5" style="1" bestFit="1" customWidth="1"/>
    <col min="2275" max="2275" width="11" style="1" bestFit="1" customWidth="1"/>
    <col min="2276" max="2294" width="13" style="1" bestFit="1" customWidth="1"/>
    <col min="2295" max="2298" width="11" style="1" bestFit="1" customWidth="1"/>
    <col min="2299" max="2301" width="12.25" style="1" bestFit="1" customWidth="1"/>
    <col min="2302" max="2314" width="11" style="1" bestFit="1" customWidth="1"/>
    <col min="2315" max="2315" width="13.25" style="1" bestFit="1" customWidth="1"/>
    <col min="2316" max="2316" width="10" style="1" bestFit="1" customWidth="1"/>
    <col min="2317" max="2317" width="11" style="1" bestFit="1" customWidth="1"/>
    <col min="2318" max="2521" width="9" style="1"/>
    <col min="2522" max="2522" width="2.875" style="1" bestFit="1" customWidth="1"/>
    <col min="2523" max="2523" width="17.625" style="1" bestFit="1" customWidth="1"/>
    <col min="2524" max="2524" width="11.375" style="1" bestFit="1" customWidth="1"/>
    <col min="2525" max="2526" width="14.125" style="1" bestFit="1" customWidth="1"/>
    <col min="2527" max="2527" width="11.375" style="1" bestFit="1" customWidth="1"/>
    <col min="2528" max="2530" width="12.5" style="1" bestFit="1" customWidth="1"/>
    <col min="2531" max="2531" width="11" style="1" bestFit="1" customWidth="1"/>
    <col min="2532" max="2550" width="13" style="1" bestFit="1" customWidth="1"/>
    <col min="2551" max="2554" width="11" style="1" bestFit="1" customWidth="1"/>
    <col min="2555" max="2557" width="12.25" style="1" bestFit="1" customWidth="1"/>
    <col min="2558" max="2570" width="11" style="1" bestFit="1" customWidth="1"/>
    <col min="2571" max="2571" width="13.25" style="1" bestFit="1" customWidth="1"/>
    <col min="2572" max="2572" width="10" style="1" bestFit="1" customWidth="1"/>
    <col min="2573" max="2573" width="11" style="1" bestFit="1" customWidth="1"/>
    <col min="2574" max="2777" width="9" style="1"/>
    <col min="2778" max="2778" width="2.875" style="1" bestFit="1" customWidth="1"/>
    <col min="2779" max="2779" width="17.625" style="1" bestFit="1" customWidth="1"/>
    <col min="2780" max="2780" width="11.375" style="1" bestFit="1" customWidth="1"/>
    <col min="2781" max="2782" width="14.125" style="1" bestFit="1" customWidth="1"/>
    <col min="2783" max="2783" width="11.375" style="1" bestFit="1" customWidth="1"/>
    <col min="2784" max="2786" width="12.5" style="1" bestFit="1" customWidth="1"/>
    <col min="2787" max="2787" width="11" style="1" bestFit="1" customWidth="1"/>
    <col min="2788" max="2806" width="13" style="1" bestFit="1" customWidth="1"/>
    <col min="2807" max="2810" width="11" style="1" bestFit="1" customWidth="1"/>
    <col min="2811" max="2813" width="12.25" style="1" bestFit="1" customWidth="1"/>
    <col min="2814" max="2826" width="11" style="1" bestFit="1" customWidth="1"/>
    <col min="2827" max="2827" width="13.25" style="1" bestFit="1" customWidth="1"/>
    <col min="2828" max="2828" width="10" style="1" bestFit="1" customWidth="1"/>
    <col min="2829" max="2829" width="11" style="1" bestFit="1" customWidth="1"/>
    <col min="2830" max="3033" width="9" style="1"/>
    <col min="3034" max="3034" width="2.875" style="1" bestFit="1" customWidth="1"/>
    <col min="3035" max="3035" width="17.625" style="1" bestFit="1" customWidth="1"/>
    <col min="3036" max="3036" width="11.375" style="1" bestFit="1" customWidth="1"/>
    <col min="3037" max="3038" width="14.125" style="1" bestFit="1" customWidth="1"/>
    <col min="3039" max="3039" width="11.375" style="1" bestFit="1" customWidth="1"/>
    <col min="3040" max="3042" width="12.5" style="1" bestFit="1" customWidth="1"/>
    <col min="3043" max="3043" width="11" style="1" bestFit="1" customWidth="1"/>
    <col min="3044" max="3062" width="13" style="1" bestFit="1" customWidth="1"/>
    <col min="3063" max="3066" width="11" style="1" bestFit="1" customWidth="1"/>
    <col min="3067" max="3069" width="12.25" style="1" bestFit="1" customWidth="1"/>
    <col min="3070" max="3082" width="11" style="1" bestFit="1" customWidth="1"/>
    <col min="3083" max="3083" width="13.25" style="1" bestFit="1" customWidth="1"/>
    <col min="3084" max="3084" width="10" style="1" bestFit="1" customWidth="1"/>
    <col min="3085" max="3085" width="11" style="1" bestFit="1" customWidth="1"/>
    <col min="3086" max="3289" width="9" style="1"/>
    <col min="3290" max="3290" width="2.875" style="1" bestFit="1" customWidth="1"/>
    <col min="3291" max="3291" width="17.625" style="1" bestFit="1" customWidth="1"/>
    <col min="3292" max="3292" width="11.375" style="1" bestFit="1" customWidth="1"/>
    <col min="3293" max="3294" width="14.125" style="1" bestFit="1" customWidth="1"/>
    <col min="3295" max="3295" width="11.375" style="1" bestFit="1" customWidth="1"/>
    <col min="3296" max="3298" width="12.5" style="1" bestFit="1" customWidth="1"/>
    <col min="3299" max="3299" width="11" style="1" bestFit="1" customWidth="1"/>
    <col min="3300" max="3318" width="13" style="1" bestFit="1" customWidth="1"/>
    <col min="3319" max="3322" width="11" style="1" bestFit="1" customWidth="1"/>
    <col min="3323" max="3325" width="12.25" style="1" bestFit="1" customWidth="1"/>
    <col min="3326" max="3338" width="11" style="1" bestFit="1" customWidth="1"/>
    <col min="3339" max="3339" width="13.25" style="1" bestFit="1" customWidth="1"/>
    <col min="3340" max="3340" width="10" style="1" bestFit="1" customWidth="1"/>
    <col min="3341" max="3341" width="11" style="1" bestFit="1" customWidth="1"/>
    <col min="3342" max="3545" width="9" style="1"/>
    <col min="3546" max="3546" width="2.875" style="1" bestFit="1" customWidth="1"/>
    <col min="3547" max="3547" width="17.625" style="1" bestFit="1" customWidth="1"/>
    <col min="3548" max="3548" width="11.375" style="1" bestFit="1" customWidth="1"/>
    <col min="3549" max="3550" width="14.125" style="1" bestFit="1" customWidth="1"/>
    <col min="3551" max="3551" width="11.375" style="1" bestFit="1" customWidth="1"/>
    <col min="3552" max="3554" width="12.5" style="1" bestFit="1" customWidth="1"/>
    <col min="3555" max="3555" width="11" style="1" bestFit="1" customWidth="1"/>
    <col min="3556" max="3574" width="13" style="1" bestFit="1" customWidth="1"/>
    <col min="3575" max="3578" width="11" style="1" bestFit="1" customWidth="1"/>
    <col min="3579" max="3581" width="12.25" style="1" bestFit="1" customWidth="1"/>
    <col min="3582" max="3594" width="11" style="1" bestFit="1" customWidth="1"/>
    <col min="3595" max="3595" width="13.25" style="1" bestFit="1" customWidth="1"/>
    <col min="3596" max="3596" width="10" style="1" bestFit="1" customWidth="1"/>
    <col min="3597" max="3597" width="11" style="1" bestFit="1" customWidth="1"/>
    <col min="3598" max="3801" width="9" style="1"/>
    <col min="3802" max="3802" width="2.875" style="1" bestFit="1" customWidth="1"/>
    <col min="3803" max="3803" width="17.625" style="1" bestFit="1" customWidth="1"/>
    <col min="3804" max="3804" width="11.375" style="1" bestFit="1" customWidth="1"/>
    <col min="3805" max="3806" width="14.125" style="1" bestFit="1" customWidth="1"/>
    <col min="3807" max="3807" width="11.375" style="1" bestFit="1" customWidth="1"/>
    <col min="3808" max="3810" width="12.5" style="1" bestFit="1" customWidth="1"/>
    <col min="3811" max="3811" width="11" style="1" bestFit="1" customWidth="1"/>
    <col min="3812" max="3830" width="13" style="1" bestFit="1" customWidth="1"/>
    <col min="3831" max="3834" width="11" style="1" bestFit="1" customWidth="1"/>
    <col min="3835" max="3837" width="12.25" style="1" bestFit="1" customWidth="1"/>
    <col min="3838" max="3850" width="11" style="1" bestFit="1" customWidth="1"/>
    <col min="3851" max="3851" width="13.25" style="1" bestFit="1" customWidth="1"/>
    <col min="3852" max="3852" width="10" style="1" bestFit="1" customWidth="1"/>
    <col min="3853" max="3853" width="11" style="1" bestFit="1" customWidth="1"/>
    <col min="3854" max="4057" width="9" style="1"/>
    <col min="4058" max="4058" width="2.875" style="1" bestFit="1" customWidth="1"/>
    <col min="4059" max="4059" width="17.625" style="1" bestFit="1" customWidth="1"/>
    <col min="4060" max="4060" width="11.375" style="1" bestFit="1" customWidth="1"/>
    <col min="4061" max="4062" width="14.125" style="1" bestFit="1" customWidth="1"/>
    <col min="4063" max="4063" width="11.375" style="1" bestFit="1" customWidth="1"/>
    <col min="4064" max="4066" width="12.5" style="1" bestFit="1" customWidth="1"/>
    <col min="4067" max="4067" width="11" style="1" bestFit="1" customWidth="1"/>
    <col min="4068" max="4086" width="13" style="1" bestFit="1" customWidth="1"/>
    <col min="4087" max="4090" width="11" style="1" bestFit="1" customWidth="1"/>
    <col min="4091" max="4093" width="12.25" style="1" bestFit="1" customWidth="1"/>
    <col min="4094" max="4106" width="11" style="1" bestFit="1" customWidth="1"/>
    <col min="4107" max="4107" width="13.25" style="1" bestFit="1" customWidth="1"/>
    <col min="4108" max="4108" width="10" style="1" bestFit="1" customWidth="1"/>
    <col min="4109" max="4109" width="11" style="1" bestFit="1" customWidth="1"/>
    <col min="4110" max="4313" width="9" style="1"/>
    <col min="4314" max="4314" width="2.875" style="1" bestFit="1" customWidth="1"/>
    <col min="4315" max="4315" width="17.625" style="1" bestFit="1" customWidth="1"/>
    <col min="4316" max="4316" width="11.375" style="1" bestFit="1" customWidth="1"/>
    <col min="4317" max="4318" width="14.125" style="1" bestFit="1" customWidth="1"/>
    <col min="4319" max="4319" width="11.375" style="1" bestFit="1" customWidth="1"/>
    <col min="4320" max="4322" width="12.5" style="1" bestFit="1" customWidth="1"/>
    <col min="4323" max="4323" width="11" style="1" bestFit="1" customWidth="1"/>
    <col min="4324" max="4342" width="13" style="1" bestFit="1" customWidth="1"/>
    <col min="4343" max="4346" width="11" style="1" bestFit="1" customWidth="1"/>
    <col min="4347" max="4349" width="12.25" style="1" bestFit="1" customWidth="1"/>
    <col min="4350" max="4362" width="11" style="1" bestFit="1" customWidth="1"/>
    <col min="4363" max="4363" width="13.25" style="1" bestFit="1" customWidth="1"/>
    <col min="4364" max="4364" width="10" style="1" bestFit="1" customWidth="1"/>
    <col min="4365" max="4365" width="11" style="1" bestFit="1" customWidth="1"/>
    <col min="4366" max="4569" width="9" style="1"/>
    <col min="4570" max="4570" width="2.875" style="1" bestFit="1" customWidth="1"/>
    <col min="4571" max="4571" width="17.625" style="1" bestFit="1" customWidth="1"/>
    <col min="4572" max="4572" width="11.375" style="1" bestFit="1" customWidth="1"/>
    <col min="4573" max="4574" width="14.125" style="1" bestFit="1" customWidth="1"/>
    <col min="4575" max="4575" width="11.375" style="1" bestFit="1" customWidth="1"/>
    <col min="4576" max="4578" width="12.5" style="1" bestFit="1" customWidth="1"/>
    <col min="4579" max="4579" width="11" style="1" bestFit="1" customWidth="1"/>
    <col min="4580" max="4598" width="13" style="1" bestFit="1" customWidth="1"/>
    <col min="4599" max="4602" width="11" style="1" bestFit="1" customWidth="1"/>
    <col min="4603" max="4605" width="12.25" style="1" bestFit="1" customWidth="1"/>
    <col min="4606" max="4618" width="11" style="1" bestFit="1" customWidth="1"/>
    <col min="4619" max="4619" width="13.25" style="1" bestFit="1" customWidth="1"/>
    <col min="4620" max="4620" width="10" style="1" bestFit="1" customWidth="1"/>
    <col min="4621" max="4621" width="11" style="1" bestFit="1" customWidth="1"/>
    <col min="4622" max="4825" width="9" style="1"/>
    <col min="4826" max="4826" width="2.875" style="1" bestFit="1" customWidth="1"/>
    <col min="4827" max="4827" width="17.625" style="1" bestFit="1" customWidth="1"/>
    <col min="4828" max="4828" width="11.375" style="1" bestFit="1" customWidth="1"/>
    <col min="4829" max="4830" width="14.125" style="1" bestFit="1" customWidth="1"/>
    <col min="4831" max="4831" width="11.375" style="1" bestFit="1" customWidth="1"/>
    <col min="4832" max="4834" width="12.5" style="1" bestFit="1" customWidth="1"/>
    <col min="4835" max="4835" width="11" style="1" bestFit="1" customWidth="1"/>
    <col min="4836" max="4854" width="13" style="1" bestFit="1" customWidth="1"/>
    <col min="4855" max="4858" width="11" style="1" bestFit="1" customWidth="1"/>
    <col min="4859" max="4861" width="12.25" style="1" bestFit="1" customWidth="1"/>
    <col min="4862" max="4874" width="11" style="1" bestFit="1" customWidth="1"/>
    <col min="4875" max="4875" width="13.25" style="1" bestFit="1" customWidth="1"/>
    <col min="4876" max="4876" width="10" style="1" bestFit="1" customWidth="1"/>
    <col min="4877" max="4877" width="11" style="1" bestFit="1" customWidth="1"/>
    <col min="4878" max="5081" width="9" style="1"/>
    <col min="5082" max="5082" width="2.875" style="1" bestFit="1" customWidth="1"/>
    <col min="5083" max="5083" width="17.625" style="1" bestFit="1" customWidth="1"/>
    <col min="5084" max="5084" width="11.375" style="1" bestFit="1" customWidth="1"/>
    <col min="5085" max="5086" width="14.125" style="1" bestFit="1" customWidth="1"/>
    <col min="5087" max="5087" width="11.375" style="1" bestFit="1" customWidth="1"/>
    <col min="5088" max="5090" width="12.5" style="1" bestFit="1" customWidth="1"/>
    <col min="5091" max="5091" width="11" style="1" bestFit="1" customWidth="1"/>
    <col min="5092" max="5110" width="13" style="1" bestFit="1" customWidth="1"/>
    <col min="5111" max="5114" width="11" style="1" bestFit="1" customWidth="1"/>
    <col min="5115" max="5117" width="12.25" style="1" bestFit="1" customWidth="1"/>
    <col min="5118" max="5130" width="11" style="1" bestFit="1" customWidth="1"/>
    <col min="5131" max="5131" width="13.25" style="1" bestFit="1" customWidth="1"/>
    <col min="5132" max="5132" width="10" style="1" bestFit="1" customWidth="1"/>
    <col min="5133" max="5133" width="11" style="1" bestFit="1" customWidth="1"/>
    <col min="5134" max="5337" width="9" style="1"/>
    <col min="5338" max="5338" width="2.875" style="1" bestFit="1" customWidth="1"/>
    <col min="5339" max="5339" width="17.625" style="1" bestFit="1" customWidth="1"/>
    <col min="5340" max="5340" width="11.375" style="1" bestFit="1" customWidth="1"/>
    <col min="5341" max="5342" width="14.125" style="1" bestFit="1" customWidth="1"/>
    <col min="5343" max="5343" width="11.375" style="1" bestFit="1" customWidth="1"/>
    <col min="5344" max="5346" width="12.5" style="1" bestFit="1" customWidth="1"/>
    <col min="5347" max="5347" width="11" style="1" bestFit="1" customWidth="1"/>
    <col min="5348" max="5366" width="13" style="1" bestFit="1" customWidth="1"/>
    <col min="5367" max="5370" width="11" style="1" bestFit="1" customWidth="1"/>
    <col min="5371" max="5373" width="12.25" style="1" bestFit="1" customWidth="1"/>
    <col min="5374" max="5386" width="11" style="1" bestFit="1" customWidth="1"/>
    <col min="5387" max="5387" width="13.25" style="1" bestFit="1" customWidth="1"/>
    <col min="5388" max="5388" width="10" style="1" bestFit="1" customWidth="1"/>
    <col min="5389" max="5389" width="11" style="1" bestFit="1" customWidth="1"/>
    <col min="5390" max="5593" width="9" style="1"/>
    <col min="5594" max="5594" width="2.875" style="1" bestFit="1" customWidth="1"/>
    <col min="5595" max="5595" width="17.625" style="1" bestFit="1" customWidth="1"/>
    <col min="5596" max="5596" width="11.375" style="1" bestFit="1" customWidth="1"/>
    <col min="5597" max="5598" width="14.125" style="1" bestFit="1" customWidth="1"/>
    <col min="5599" max="5599" width="11.375" style="1" bestFit="1" customWidth="1"/>
    <col min="5600" max="5602" width="12.5" style="1" bestFit="1" customWidth="1"/>
    <col min="5603" max="5603" width="11" style="1" bestFit="1" customWidth="1"/>
    <col min="5604" max="5622" width="13" style="1" bestFit="1" customWidth="1"/>
    <col min="5623" max="5626" width="11" style="1" bestFit="1" customWidth="1"/>
    <col min="5627" max="5629" width="12.25" style="1" bestFit="1" customWidth="1"/>
    <col min="5630" max="5642" width="11" style="1" bestFit="1" customWidth="1"/>
    <col min="5643" max="5643" width="13.25" style="1" bestFit="1" customWidth="1"/>
    <col min="5644" max="5644" width="10" style="1" bestFit="1" customWidth="1"/>
    <col min="5645" max="5645" width="11" style="1" bestFit="1" customWidth="1"/>
    <col min="5646" max="5849" width="9" style="1"/>
    <col min="5850" max="5850" width="2.875" style="1" bestFit="1" customWidth="1"/>
    <col min="5851" max="5851" width="17.625" style="1" bestFit="1" customWidth="1"/>
    <col min="5852" max="5852" width="11.375" style="1" bestFit="1" customWidth="1"/>
    <col min="5853" max="5854" width="14.125" style="1" bestFit="1" customWidth="1"/>
    <col min="5855" max="5855" width="11.375" style="1" bestFit="1" customWidth="1"/>
    <col min="5856" max="5858" width="12.5" style="1" bestFit="1" customWidth="1"/>
    <col min="5859" max="5859" width="11" style="1" bestFit="1" customWidth="1"/>
    <col min="5860" max="5878" width="13" style="1" bestFit="1" customWidth="1"/>
    <col min="5879" max="5882" width="11" style="1" bestFit="1" customWidth="1"/>
    <col min="5883" max="5885" width="12.25" style="1" bestFit="1" customWidth="1"/>
    <col min="5886" max="5898" width="11" style="1" bestFit="1" customWidth="1"/>
    <col min="5899" max="5899" width="13.25" style="1" bestFit="1" customWidth="1"/>
    <col min="5900" max="5900" width="10" style="1" bestFit="1" customWidth="1"/>
    <col min="5901" max="5901" width="11" style="1" bestFit="1" customWidth="1"/>
    <col min="5902" max="6105" width="9" style="1"/>
    <col min="6106" max="6106" width="2.875" style="1" bestFit="1" customWidth="1"/>
    <col min="6107" max="6107" width="17.625" style="1" bestFit="1" customWidth="1"/>
    <col min="6108" max="6108" width="11.375" style="1" bestFit="1" customWidth="1"/>
    <col min="6109" max="6110" width="14.125" style="1" bestFit="1" customWidth="1"/>
    <col min="6111" max="6111" width="11.375" style="1" bestFit="1" customWidth="1"/>
    <col min="6112" max="6114" width="12.5" style="1" bestFit="1" customWidth="1"/>
    <col min="6115" max="6115" width="11" style="1" bestFit="1" customWidth="1"/>
    <col min="6116" max="6134" width="13" style="1" bestFit="1" customWidth="1"/>
    <col min="6135" max="6138" width="11" style="1" bestFit="1" customWidth="1"/>
    <col min="6139" max="6141" width="12.25" style="1" bestFit="1" customWidth="1"/>
    <col min="6142" max="6154" width="11" style="1" bestFit="1" customWidth="1"/>
    <col min="6155" max="6155" width="13.25" style="1" bestFit="1" customWidth="1"/>
    <col min="6156" max="6156" width="10" style="1" bestFit="1" customWidth="1"/>
    <col min="6157" max="6157" width="11" style="1" bestFit="1" customWidth="1"/>
    <col min="6158" max="6361" width="9" style="1"/>
    <col min="6362" max="6362" width="2.875" style="1" bestFit="1" customWidth="1"/>
    <col min="6363" max="6363" width="17.625" style="1" bestFit="1" customWidth="1"/>
    <col min="6364" max="6364" width="11.375" style="1" bestFit="1" customWidth="1"/>
    <col min="6365" max="6366" width="14.125" style="1" bestFit="1" customWidth="1"/>
    <col min="6367" max="6367" width="11.375" style="1" bestFit="1" customWidth="1"/>
    <col min="6368" max="6370" width="12.5" style="1" bestFit="1" customWidth="1"/>
    <col min="6371" max="6371" width="11" style="1" bestFit="1" customWidth="1"/>
    <col min="6372" max="6390" width="13" style="1" bestFit="1" customWidth="1"/>
    <col min="6391" max="6394" width="11" style="1" bestFit="1" customWidth="1"/>
    <col min="6395" max="6397" width="12.25" style="1" bestFit="1" customWidth="1"/>
    <col min="6398" max="6410" width="11" style="1" bestFit="1" customWidth="1"/>
    <col min="6411" max="6411" width="13.25" style="1" bestFit="1" customWidth="1"/>
    <col min="6412" max="6412" width="10" style="1" bestFit="1" customWidth="1"/>
    <col min="6413" max="6413" width="11" style="1" bestFit="1" customWidth="1"/>
    <col min="6414" max="6617" width="9" style="1"/>
    <col min="6618" max="6618" width="2.875" style="1" bestFit="1" customWidth="1"/>
    <col min="6619" max="6619" width="17.625" style="1" bestFit="1" customWidth="1"/>
    <col min="6620" max="6620" width="11.375" style="1" bestFit="1" customWidth="1"/>
    <col min="6621" max="6622" width="14.125" style="1" bestFit="1" customWidth="1"/>
    <col min="6623" max="6623" width="11.375" style="1" bestFit="1" customWidth="1"/>
    <col min="6624" max="6626" width="12.5" style="1" bestFit="1" customWidth="1"/>
    <col min="6627" max="6627" width="11" style="1" bestFit="1" customWidth="1"/>
    <col min="6628" max="6646" width="13" style="1" bestFit="1" customWidth="1"/>
    <col min="6647" max="6650" width="11" style="1" bestFit="1" customWidth="1"/>
    <col min="6651" max="6653" width="12.25" style="1" bestFit="1" customWidth="1"/>
    <col min="6654" max="6666" width="11" style="1" bestFit="1" customWidth="1"/>
    <col min="6667" max="6667" width="13.25" style="1" bestFit="1" customWidth="1"/>
    <col min="6668" max="6668" width="10" style="1" bestFit="1" customWidth="1"/>
    <col min="6669" max="6669" width="11" style="1" bestFit="1" customWidth="1"/>
    <col min="6670" max="6873" width="9" style="1"/>
    <col min="6874" max="6874" width="2.875" style="1" bestFit="1" customWidth="1"/>
    <col min="6875" max="6875" width="17.625" style="1" bestFit="1" customWidth="1"/>
    <col min="6876" max="6876" width="11.375" style="1" bestFit="1" customWidth="1"/>
    <col min="6877" max="6878" width="14.125" style="1" bestFit="1" customWidth="1"/>
    <col min="6879" max="6879" width="11.375" style="1" bestFit="1" customWidth="1"/>
    <col min="6880" max="6882" width="12.5" style="1" bestFit="1" customWidth="1"/>
    <col min="6883" max="6883" width="11" style="1" bestFit="1" customWidth="1"/>
    <col min="6884" max="6902" width="13" style="1" bestFit="1" customWidth="1"/>
    <col min="6903" max="6906" width="11" style="1" bestFit="1" customWidth="1"/>
    <col min="6907" max="6909" width="12.25" style="1" bestFit="1" customWidth="1"/>
    <col min="6910" max="6922" width="11" style="1" bestFit="1" customWidth="1"/>
    <col min="6923" max="6923" width="13.25" style="1" bestFit="1" customWidth="1"/>
    <col min="6924" max="6924" width="10" style="1" bestFit="1" customWidth="1"/>
    <col min="6925" max="6925" width="11" style="1" bestFit="1" customWidth="1"/>
    <col min="6926" max="7129" width="9" style="1"/>
    <col min="7130" max="7130" width="2.875" style="1" bestFit="1" customWidth="1"/>
    <col min="7131" max="7131" width="17.625" style="1" bestFit="1" customWidth="1"/>
    <col min="7132" max="7132" width="11.375" style="1" bestFit="1" customWidth="1"/>
    <col min="7133" max="7134" width="14.125" style="1" bestFit="1" customWidth="1"/>
    <col min="7135" max="7135" width="11.375" style="1" bestFit="1" customWidth="1"/>
    <col min="7136" max="7138" width="12.5" style="1" bestFit="1" customWidth="1"/>
    <col min="7139" max="7139" width="11" style="1" bestFit="1" customWidth="1"/>
    <col min="7140" max="7158" width="13" style="1" bestFit="1" customWidth="1"/>
    <col min="7159" max="7162" width="11" style="1" bestFit="1" customWidth="1"/>
    <col min="7163" max="7165" width="12.25" style="1" bestFit="1" customWidth="1"/>
    <col min="7166" max="7178" width="11" style="1" bestFit="1" customWidth="1"/>
    <col min="7179" max="7179" width="13.25" style="1" bestFit="1" customWidth="1"/>
    <col min="7180" max="7180" width="10" style="1" bestFit="1" customWidth="1"/>
    <col min="7181" max="7181" width="11" style="1" bestFit="1" customWidth="1"/>
    <col min="7182" max="7385" width="9" style="1"/>
    <col min="7386" max="7386" width="2.875" style="1" bestFit="1" customWidth="1"/>
    <col min="7387" max="7387" width="17.625" style="1" bestFit="1" customWidth="1"/>
    <col min="7388" max="7388" width="11.375" style="1" bestFit="1" customWidth="1"/>
    <col min="7389" max="7390" width="14.125" style="1" bestFit="1" customWidth="1"/>
    <col min="7391" max="7391" width="11.375" style="1" bestFit="1" customWidth="1"/>
    <col min="7392" max="7394" width="12.5" style="1" bestFit="1" customWidth="1"/>
    <col min="7395" max="7395" width="11" style="1" bestFit="1" customWidth="1"/>
    <col min="7396" max="7414" width="13" style="1" bestFit="1" customWidth="1"/>
    <col min="7415" max="7418" width="11" style="1" bestFit="1" customWidth="1"/>
    <col min="7419" max="7421" width="12.25" style="1" bestFit="1" customWidth="1"/>
    <col min="7422" max="7434" width="11" style="1" bestFit="1" customWidth="1"/>
    <col min="7435" max="7435" width="13.25" style="1" bestFit="1" customWidth="1"/>
    <col min="7436" max="7436" width="10" style="1" bestFit="1" customWidth="1"/>
    <col min="7437" max="7437" width="11" style="1" bestFit="1" customWidth="1"/>
    <col min="7438" max="7641" width="9" style="1"/>
    <col min="7642" max="7642" width="2.875" style="1" bestFit="1" customWidth="1"/>
    <col min="7643" max="7643" width="17.625" style="1" bestFit="1" customWidth="1"/>
    <col min="7644" max="7644" width="11.375" style="1" bestFit="1" customWidth="1"/>
    <col min="7645" max="7646" width="14.125" style="1" bestFit="1" customWidth="1"/>
    <col min="7647" max="7647" width="11.375" style="1" bestFit="1" customWidth="1"/>
    <col min="7648" max="7650" width="12.5" style="1" bestFit="1" customWidth="1"/>
    <col min="7651" max="7651" width="11" style="1" bestFit="1" customWidth="1"/>
    <col min="7652" max="7670" width="13" style="1" bestFit="1" customWidth="1"/>
    <col min="7671" max="7674" width="11" style="1" bestFit="1" customWidth="1"/>
    <col min="7675" max="7677" width="12.25" style="1" bestFit="1" customWidth="1"/>
    <col min="7678" max="7690" width="11" style="1" bestFit="1" customWidth="1"/>
    <col min="7691" max="7691" width="13.25" style="1" bestFit="1" customWidth="1"/>
    <col min="7692" max="7692" width="10" style="1" bestFit="1" customWidth="1"/>
    <col min="7693" max="7693" width="11" style="1" bestFit="1" customWidth="1"/>
    <col min="7694" max="7897" width="9" style="1"/>
    <col min="7898" max="7898" width="2.875" style="1" bestFit="1" customWidth="1"/>
    <col min="7899" max="7899" width="17.625" style="1" bestFit="1" customWidth="1"/>
    <col min="7900" max="7900" width="11.375" style="1" bestFit="1" customWidth="1"/>
    <col min="7901" max="7902" width="14.125" style="1" bestFit="1" customWidth="1"/>
    <col min="7903" max="7903" width="11.375" style="1" bestFit="1" customWidth="1"/>
    <col min="7904" max="7906" width="12.5" style="1" bestFit="1" customWidth="1"/>
    <col min="7907" max="7907" width="11" style="1" bestFit="1" customWidth="1"/>
    <col min="7908" max="7926" width="13" style="1" bestFit="1" customWidth="1"/>
    <col min="7927" max="7930" width="11" style="1" bestFit="1" customWidth="1"/>
    <col min="7931" max="7933" width="12.25" style="1" bestFit="1" customWidth="1"/>
    <col min="7934" max="7946" width="11" style="1" bestFit="1" customWidth="1"/>
    <col min="7947" max="7947" width="13.25" style="1" bestFit="1" customWidth="1"/>
    <col min="7948" max="7948" width="10" style="1" bestFit="1" customWidth="1"/>
    <col min="7949" max="7949" width="11" style="1" bestFit="1" customWidth="1"/>
    <col min="7950" max="8153" width="9" style="1"/>
    <col min="8154" max="8154" width="2.875" style="1" bestFit="1" customWidth="1"/>
    <col min="8155" max="8155" width="17.625" style="1" bestFit="1" customWidth="1"/>
    <col min="8156" max="8156" width="11.375" style="1" bestFit="1" customWidth="1"/>
    <col min="8157" max="8158" width="14.125" style="1" bestFit="1" customWidth="1"/>
    <col min="8159" max="8159" width="11.375" style="1" bestFit="1" customWidth="1"/>
    <col min="8160" max="8162" width="12.5" style="1" bestFit="1" customWidth="1"/>
    <col min="8163" max="8163" width="11" style="1" bestFit="1" customWidth="1"/>
    <col min="8164" max="8182" width="13" style="1" bestFit="1" customWidth="1"/>
    <col min="8183" max="8186" width="11" style="1" bestFit="1" customWidth="1"/>
    <col min="8187" max="8189" width="12.25" style="1" bestFit="1" customWidth="1"/>
    <col min="8190" max="8202" width="11" style="1" bestFit="1" customWidth="1"/>
    <col min="8203" max="8203" width="13.25" style="1" bestFit="1" customWidth="1"/>
    <col min="8204" max="8204" width="10" style="1" bestFit="1" customWidth="1"/>
    <col min="8205" max="8205" width="11" style="1" bestFit="1" customWidth="1"/>
    <col min="8206" max="8409" width="9" style="1"/>
    <col min="8410" max="8410" width="2.875" style="1" bestFit="1" customWidth="1"/>
    <col min="8411" max="8411" width="17.625" style="1" bestFit="1" customWidth="1"/>
    <col min="8412" max="8412" width="11.375" style="1" bestFit="1" customWidth="1"/>
    <col min="8413" max="8414" width="14.125" style="1" bestFit="1" customWidth="1"/>
    <col min="8415" max="8415" width="11.375" style="1" bestFit="1" customWidth="1"/>
    <col min="8416" max="8418" width="12.5" style="1" bestFit="1" customWidth="1"/>
    <col min="8419" max="8419" width="11" style="1" bestFit="1" customWidth="1"/>
    <col min="8420" max="8438" width="13" style="1" bestFit="1" customWidth="1"/>
    <col min="8439" max="8442" width="11" style="1" bestFit="1" customWidth="1"/>
    <col min="8443" max="8445" width="12.25" style="1" bestFit="1" customWidth="1"/>
    <col min="8446" max="8458" width="11" style="1" bestFit="1" customWidth="1"/>
    <col min="8459" max="8459" width="13.25" style="1" bestFit="1" customWidth="1"/>
    <col min="8460" max="8460" width="10" style="1" bestFit="1" customWidth="1"/>
    <col min="8461" max="8461" width="11" style="1" bestFit="1" customWidth="1"/>
    <col min="8462" max="8665" width="9" style="1"/>
    <col min="8666" max="8666" width="2.875" style="1" bestFit="1" customWidth="1"/>
    <col min="8667" max="8667" width="17.625" style="1" bestFit="1" customWidth="1"/>
    <col min="8668" max="8668" width="11.375" style="1" bestFit="1" customWidth="1"/>
    <col min="8669" max="8670" width="14.125" style="1" bestFit="1" customWidth="1"/>
    <col min="8671" max="8671" width="11.375" style="1" bestFit="1" customWidth="1"/>
    <col min="8672" max="8674" width="12.5" style="1" bestFit="1" customWidth="1"/>
    <col min="8675" max="8675" width="11" style="1" bestFit="1" customWidth="1"/>
    <col min="8676" max="8694" width="13" style="1" bestFit="1" customWidth="1"/>
    <col min="8695" max="8698" width="11" style="1" bestFit="1" customWidth="1"/>
    <col min="8699" max="8701" width="12.25" style="1" bestFit="1" customWidth="1"/>
    <col min="8702" max="8714" width="11" style="1" bestFit="1" customWidth="1"/>
    <col min="8715" max="8715" width="13.25" style="1" bestFit="1" customWidth="1"/>
    <col min="8716" max="8716" width="10" style="1" bestFit="1" customWidth="1"/>
    <col min="8717" max="8717" width="11" style="1" bestFit="1" customWidth="1"/>
    <col min="8718" max="8921" width="9" style="1"/>
    <col min="8922" max="8922" width="2.875" style="1" bestFit="1" customWidth="1"/>
    <col min="8923" max="8923" width="17.625" style="1" bestFit="1" customWidth="1"/>
    <col min="8924" max="8924" width="11.375" style="1" bestFit="1" customWidth="1"/>
    <col min="8925" max="8926" width="14.125" style="1" bestFit="1" customWidth="1"/>
    <col min="8927" max="8927" width="11.375" style="1" bestFit="1" customWidth="1"/>
    <col min="8928" max="8930" width="12.5" style="1" bestFit="1" customWidth="1"/>
    <col min="8931" max="8931" width="11" style="1" bestFit="1" customWidth="1"/>
    <col min="8932" max="8950" width="13" style="1" bestFit="1" customWidth="1"/>
    <col min="8951" max="8954" width="11" style="1" bestFit="1" customWidth="1"/>
    <col min="8955" max="8957" width="12.25" style="1" bestFit="1" customWidth="1"/>
    <col min="8958" max="8970" width="11" style="1" bestFit="1" customWidth="1"/>
    <col min="8971" max="8971" width="13.25" style="1" bestFit="1" customWidth="1"/>
    <col min="8972" max="8972" width="10" style="1" bestFit="1" customWidth="1"/>
    <col min="8973" max="8973" width="11" style="1" bestFit="1" customWidth="1"/>
    <col min="8974" max="9177" width="9" style="1"/>
    <col min="9178" max="9178" width="2.875" style="1" bestFit="1" customWidth="1"/>
    <col min="9179" max="9179" width="17.625" style="1" bestFit="1" customWidth="1"/>
    <col min="9180" max="9180" width="11.375" style="1" bestFit="1" customWidth="1"/>
    <col min="9181" max="9182" width="14.125" style="1" bestFit="1" customWidth="1"/>
    <col min="9183" max="9183" width="11.375" style="1" bestFit="1" customWidth="1"/>
    <col min="9184" max="9186" width="12.5" style="1" bestFit="1" customWidth="1"/>
    <col min="9187" max="9187" width="11" style="1" bestFit="1" customWidth="1"/>
    <col min="9188" max="9206" width="13" style="1" bestFit="1" customWidth="1"/>
    <col min="9207" max="9210" width="11" style="1" bestFit="1" customWidth="1"/>
    <col min="9211" max="9213" width="12.25" style="1" bestFit="1" customWidth="1"/>
    <col min="9214" max="9226" width="11" style="1" bestFit="1" customWidth="1"/>
    <col min="9227" max="9227" width="13.25" style="1" bestFit="1" customWidth="1"/>
    <col min="9228" max="9228" width="10" style="1" bestFit="1" customWidth="1"/>
    <col min="9229" max="9229" width="11" style="1" bestFit="1" customWidth="1"/>
    <col min="9230" max="9433" width="9" style="1"/>
    <col min="9434" max="9434" width="2.875" style="1" bestFit="1" customWidth="1"/>
    <col min="9435" max="9435" width="17.625" style="1" bestFit="1" customWidth="1"/>
    <col min="9436" max="9436" width="11.375" style="1" bestFit="1" customWidth="1"/>
    <col min="9437" max="9438" width="14.125" style="1" bestFit="1" customWidth="1"/>
    <col min="9439" max="9439" width="11.375" style="1" bestFit="1" customWidth="1"/>
    <col min="9440" max="9442" width="12.5" style="1" bestFit="1" customWidth="1"/>
    <col min="9443" max="9443" width="11" style="1" bestFit="1" customWidth="1"/>
    <col min="9444" max="9462" width="13" style="1" bestFit="1" customWidth="1"/>
    <col min="9463" max="9466" width="11" style="1" bestFit="1" customWidth="1"/>
    <col min="9467" max="9469" width="12.25" style="1" bestFit="1" customWidth="1"/>
    <col min="9470" max="9482" width="11" style="1" bestFit="1" customWidth="1"/>
    <col min="9483" max="9483" width="13.25" style="1" bestFit="1" customWidth="1"/>
    <col min="9484" max="9484" width="10" style="1" bestFit="1" customWidth="1"/>
    <col min="9485" max="9485" width="11" style="1" bestFit="1" customWidth="1"/>
    <col min="9486" max="9689" width="9" style="1"/>
    <col min="9690" max="9690" width="2.875" style="1" bestFit="1" customWidth="1"/>
    <col min="9691" max="9691" width="17.625" style="1" bestFit="1" customWidth="1"/>
    <col min="9692" max="9692" width="11.375" style="1" bestFit="1" customWidth="1"/>
    <col min="9693" max="9694" width="14.125" style="1" bestFit="1" customWidth="1"/>
    <col min="9695" max="9695" width="11.375" style="1" bestFit="1" customWidth="1"/>
    <col min="9696" max="9698" width="12.5" style="1" bestFit="1" customWidth="1"/>
    <col min="9699" max="9699" width="11" style="1" bestFit="1" customWidth="1"/>
    <col min="9700" max="9718" width="13" style="1" bestFit="1" customWidth="1"/>
    <col min="9719" max="9722" width="11" style="1" bestFit="1" customWidth="1"/>
    <col min="9723" max="9725" width="12.25" style="1" bestFit="1" customWidth="1"/>
    <col min="9726" max="9738" width="11" style="1" bestFit="1" customWidth="1"/>
    <col min="9739" max="9739" width="13.25" style="1" bestFit="1" customWidth="1"/>
    <col min="9740" max="9740" width="10" style="1" bestFit="1" customWidth="1"/>
    <col min="9741" max="9741" width="11" style="1" bestFit="1" customWidth="1"/>
    <col min="9742" max="9945" width="9" style="1"/>
    <col min="9946" max="9946" width="2.875" style="1" bestFit="1" customWidth="1"/>
    <col min="9947" max="9947" width="17.625" style="1" bestFit="1" customWidth="1"/>
    <col min="9948" max="9948" width="11.375" style="1" bestFit="1" customWidth="1"/>
    <col min="9949" max="9950" width="14.125" style="1" bestFit="1" customWidth="1"/>
    <col min="9951" max="9951" width="11.375" style="1" bestFit="1" customWidth="1"/>
    <col min="9952" max="9954" width="12.5" style="1" bestFit="1" customWidth="1"/>
    <col min="9955" max="9955" width="11" style="1" bestFit="1" customWidth="1"/>
    <col min="9956" max="9974" width="13" style="1" bestFit="1" customWidth="1"/>
    <col min="9975" max="9978" width="11" style="1" bestFit="1" customWidth="1"/>
    <col min="9979" max="9981" width="12.25" style="1" bestFit="1" customWidth="1"/>
    <col min="9982" max="9994" width="11" style="1" bestFit="1" customWidth="1"/>
    <col min="9995" max="9995" width="13.25" style="1" bestFit="1" customWidth="1"/>
    <col min="9996" max="9996" width="10" style="1" bestFit="1" customWidth="1"/>
    <col min="9997" max="9997" width="11" style="1" bestFit="1" customWidth="1"/>
    <col min="9998" max="10201" width="9" style="1"/>
    <col min="10202" max="10202" width="2.875" style="1" bestFit="1" customWidth="1"/>
    <col min="10203" max="10203" width="17.625" style="1" bestFit="1" customWidth="1"/>
    <col min="10204" max="10204" width="11.375" style="1" bestFit="1" customWidth="1"/>
    <col min="10205" max="10206" width="14.125" style="1" bestFit="1" customWidth="1"/>
    <col min="10207" max="10207" width="11.375" style="1" bestFit="1" customWidth="1"/>
    <col min="10208" max="10210" width="12.5" style="1" bestFit="1" customWidth="1"/>
    <col min="10211" max="10211" width="11" style="1" bestFit="1" customWidth="1"/>
    <col min="10212" max="10230" width="13" style="1" bestFit="1" customWidth="1"/>
    <col min="10231" max="10234" width="11" style="1" bestFit="1" customWidth="1"/>
    <col min="10235" max="10237" width="12.25" style="1" bestFit="1" customWidth="1"/>
    <col min="10238" max="10250" width="11" style="1" bestFit="1" customWidth="1"/>
    <col min="10251" max="10251" width="13.25" style="1" bestFit="1" customWidth="1"/>
    <col min="10252" max="10252" width="10" style="1" bestFit="1" customWidth="1"/>
    <col min="10253" max="10253" width="11" style="1" bestFit="1" customWidth="1"/>
    <col min="10254" max="10457" width="9" style="1"/>
    <col min="10458" max="10458" width="2.875" style="1" bestFit="1" customWidth="1"/>
    <col min="10459" max="10459" width="17.625" style="1" bestFit="1" customWidth="1"/>
    <col min="10460" max="10460" width="11.375" style="1" bestFit="1" customWidth="1"/>
    <col min="10461" max="10462" width="14.125" style="1" bestFit="1" customWidth="1"/>
    <col min="10463" max="10463" width="11.375" style="1" bestFit="1" customWidth="1"/>
    <col min="10464" max="10466" width="12.5" style="1" bestFit="1" customWidth="1"/>
    <col min="10467" max="10467" width="11" style="1" bestFit="1" customWidth="1"/>
    <col min="10468" max="10486" width="13" style="1" bestFit="1" customWidth="1"/>
    <col min="10487" max="10490" width="11" style="1" bestFit="1" customWidth="1"/>
    <col min="10491" max="10493" width="12.25" style="1" bestFit="1" customWidth="1"/>
    <col min="10494" max="10506" width="11" style="1" bestFit="1" customWidth="1"/>
    <col min="10507" max="10507" width="13.25" style="1" bestFit="1" customWidth="1"/>
    <col min="10508" max="10508" width="10" style="1" bestFit="1" customWidth="1"/>
    <col min="10509" max="10509" width="11" style="1" bestFit="1" customWidth="1"/>
    <col min="10510" max="10713" width="9" style="1"/>
    <col min="10714" max="10714" width="2.875" style="1" bestFit="1" customWidth="1"/>
    <col min="10715" max="10715" width="17.625" style="1" bestFit="1" customWidth="1"/>
    <col min="10716" max="10716" width="11.375" style="1" bestFit="1" customWidth="1"/>
    <col min="10717" max="10718" width="14.125" style="1" bestFit="1" customWidth="1"/>
    <col min="10719" max="10719" width="11.375" style="1" bestFit="1" customWidth="1"/>
    <col min="10720" max="10722" width="12.5" style="1" bestFit="1" customWidth="1"/>
    <col min="10723" max="10723" width="11" style="1" bestFit="1" customWidth="1"/>
    <col min="10724" max="10742" width="13" style="1" bestFit="1" customWidth="1"/>
    <col min="10743" max="10746" width="11" style="1" bestFit="1" customWidth="1"/>
    <col min="10747" max="10749" width="12.25" style="1" bestFit="1" customWidth="1"/>
    <col min="10750" max="10762" width="11" style="1" bestFit="1" customWidth="1"/>
    <col min="10763" max="10763" width="13.25" style="1" bestFit="1" customWidth="1"/>
    <col min="10764" max="10764" width="10" style="1" bestFit="1" customWidth="1"/>
    <col min="10765" max="10765" width="11" style="1" bestFit="1" customWidth="1"/>
    <col min="10766" max="10969" width="9" style="1"/>
    <col min="10970" max="10970" width="2.875" style="1" bestFit="1" customWidth="1"/>
    <col min="10971" max="10971" width="17.625" style="1" bestFit="1" customWidth="1"/>
    <col min="10972" max="10972" width="11.375" style="1" bestFit="1" customWidth="1"/>
    <col min="10973" max="10974" width="14.125" style="1" bestFit="1" customWidth="1"/>
    <col min="10975" max="10975" width="11.375" style="1" bestFit="1" customWidth="1"/>
    <col min="10976" max="10978" width="12.5" style="1" bestFit="1" customWidth="1"/>
    <col min="10979" max="10979" width="11" style="1" bestFit="1" customWidth="1"/>
    <col min="10980" max="10998" width="13" style="1" bestFit="1" customWidth="1"/>
    <col min="10999" max="11002" width="11" style="1" bestFit="1" customWidth="1"/>
    <col min="11003" max="11005" width="12.25" style="1" bestFit="1" customWidth="1"/>
    <col min="11006" max="11018" width="11" style="1" bestFit="1" customWidth="1"/>
    <col min="11019" max="11019" width="13.25" style="1" bestFit="1" customWidth="1"/>
    <col min="11020" max="11020" width="10" style="1" bestFit="1" customWidth="1"/>
    <col min="11021" max="11021" width="11" style="1" bestFit="1" customWidth="1"/>
    <col min="11022" max="11225" width="9" style="1"/>
    <col min="11226" max="11226" width="2.875" style="1" bestFit="1" customWidth="1"/>
    <col min="11227" max="11227" width="17.625" style="1" bestFit="1" customWidth="1"/>
    <col min="11228" max="11228" width="11.375" style="1" bestFit="1" customWidth="1"/>
    <col min="11229" max="11230" width="14.125" style="1" bestFit="1" customWidth="1"/>
    <col min="11231" max="11231" width="11.375" style="1" bestFit="1" customWidth="1"/>
    <col min="11232" max="11234" width="12.5" style="1" bestFit="1" customWidth="1"/>
    <col min="11235" max="11235" width="11" style="1" bestFit="1" customWidth="1"/>
    <col min="11236" max="11254" width="13" style="1" bestFit="1" customWidth="1"/>
    <col min="11255" max="11258" width="11" style="1" bestFit="1" customWidth="1"/>
    <col min="11259" max="11261" width="12.25" style="1" bestFit="1" customWidth="1"/>
    <col min="11262" max="11274" width="11" style="1" bestFit="1" customWidth="1"/>
    <col min="11275" max="11275" width="13.25" style="1" bestFit="1" customWidth="1"/>
    <col min="11276" max="11276" width="10" style="1" bestFit="1" customWidth="1"/>
    <col min="11277" max="11277" width="11" style="1" bestFit="1" customWidth="1"/>
    <col min="11278" max="11481" width="9" style="1"/>
    <col min="11482" max="11482" width="2.875" style="1" bestFit="1" customWidth="1"/>
    <col min="11483" max="11483" width="17.625" style="1" bestFit="1" customWidth="1"/>
    <col min="11484" max="11484" width="11.375" style="1" bestFit="1" customWidth="1"/>
    <col min="11485" max="11486" width="14.125" style="1" bestFit="1" customWidth="1"/>
    <col min="11487" max="11487" width="11.375" style="1" bestFit="1" customWidth="1"/>
    <col min="11488" max="11490" width="12.5" style="1" bestFit="1" customWidth="1"/>
    <col min="11491" max="11491" width="11" style="1" bestFit="1" customWidth="1"/>
    <col min="11492" max="11510" width="13" style="1" bestFit="1" customWidth="1"/>
    <col min="11511" max="11514" width="11" style="1" bestFit="1" customWidth="1"/>
    <col min="11515" max="11517" width="12.25" style="1" bestFit="1" customWidth="1"/>
    <col min="11518" max="11530" width="11" style="1" bestFit="1" customWidth="1"/>
    <col min="11531" max="11531" width="13.25" style="1" bestFit="1" customWidth="1"/>
    <col min="11532" max="11532" width="10" style="1" bestFit="1" customWidth="1"/>
    <col min="11533" max="11533" width="11" style="1" bestFit="1" customWidth="1"/>
    <col min="11534" max="11737" width="9" style="1"/>
    <col min="11738" max="11738" width="2.875" style="1" bestFit="1" customWidth="1"/>
    <col min="11739" max="11739" width="17.625" style="1" bestFit="1" customWidth="1"/>
    <col min="11740" max="11740" width="11.375" style="1" bestFit="1" customWidth="1"/>
    <col min="11741" max="11742" width="14.125" style="1" bestFit="1" customWidth="1"/>
    <col min="11743" max="11743" width="11.375" style="1" bestFit="1" customWidth="1"/>
    <col min="11744" max="11746" width="12.5" style="1" bestFit="1" customWidth="1"/>
    <col min="11747" max="11747" width="11" style="1" bestFit="1" customWidth="1"/>
    <col min="11748" max="11766" width="13" style="1" bestFit="1" customWidth="1"/>
    <col min="11767" max="11770" width="11" style="1" bestFit="1" customWidth="1"/>
    <col min="11771" max="11773" width="12.25" style="1" bestFit="1" customWidth="1"/>
    <col min="11774" max="11786" width="11" style="1" bestFit="1" customWidth="1"/>
    <col min="11787" max="11787" width="13.25" style="1" bestFit="1" customWidth="1"/>
    <col min="11788" max="11788" width="10" style="1" bestFit="1" customWidth="1"/>
    <col min="11789" max="11789" width="11" style="1" bestFit="1" customWidth="1"/>
    <col min="11790" max="11993" width="9" style="1"/>
    <col min="11994" max="11994" width="2.875" style="1" bestFit="1" customWidth="1"/>
    <col min="11995" max="11995" width="17.625" style="1" bestFit="1" customWidth="1"/>
    <col min="11996" max="11996" width="11.375" style="1" bestFit="1" customWidth="1"/>
    <col min="11997" max="11998" width="14.125" style="1" bestFit="1" customWidth="1"/>
    <col min="11999" max="11999" width="11.375" style="1" bestFit="1" customWidth="1"/>
    <col min="12000" max="12002" width="12.5" style="1" bestFit="1" customWidth="1"/>
    <col min="12003" max="12003" width="11" style="1" bestFit="1" customWidth="1"/>
    <col min="12004" max="12022" width="13" style="1" bestFit="1" customWidth="1"/>
    <col min="12023" max="12026" width="11" style="1" bestFit="1" customWidth="1"/>
    <col min="12027" max="12029" width="12.25" style="1" bestFit="1" customWidth="1"/>
    <col min="12030" max="12042" width="11" style="1" bestFit="1" customWidth="1"/>
    <col min="12043" max="12043" width="13.25" style="1" bestFit="1" customWidth="1"/>
    <col min="12044" max="12044" width="10" style="1" bestFit="1" customWidth="1"/>
    <col min="12045" max="12045" width="11" style="1" bestFit="1" customWidth="1"/>
    <col min="12046" max="12249" width="9" style="1"/>
    <col min="12250" max="12250" width="2.875" style="1" bestFit="1" customWidth="1"/>
    <col min="12251" max="12251" width="17.625" style="1" bestFit="1" customWidth="1"/>
    <col min="12252" max="12252" width="11.375" style="1" bestFit="1" customWidth="1"/>
    <col min="12253" max="12254" width="14.125" style="1" bestFit="1" customWidth="1"/>
    <col min="12255" max="12255" width="11.375" style="1" bestFit="1" customWidth="1"/>
    <col min="12256" max="12258" width="12.5" style="1" bestFit="1" customWidth="1"/>
    <col min="12259" max="12259" width="11" style="1" bestFit="1" customWidth="1"/>
    <col min="12260" max="12278" width="13" style="1" bestFit="1" customWidth="1"/>
    <col min="12279" max="12282" width="11" style="1" bestFit="1" customWidth="1"/>
    <col min="12283" max="12285" width="12.25" style="1" bestFit="1" customWidth="1"/>
    <col min="12286" max="12298" width="11" style="1" bestFit="1" customWidth="1"/>
    <col min="12299" max="12299" width="13.25" style="1" bestFit="1" customWidth="1"/>
    <col min="12300" max="12300" width="10" style="1" bestFit="1" customWidth="1"/>
    <col min="12301" max="12301" width="11" style="1" bestFit="1" customWidth="1"/>
    <col min="12302" max="12505" width="9" style="1"/>
    <col min="12506" max="12506" width="2.875" style="1" bestFit="1" customWidth="1"/>
    <col min="12507" max="12507" width="17.625" style="1" bestFit="1" customWidth="1"/>
    <col min="12508" max="12508" width="11.375" style="1" bestFit="1" customWidth="1"/>
    <col min="12509" max="12510" width="14.125" style="1" bestFit="1" customWidth="1"/>
    <col min="12511" max="12511" width="11.375" style="1" bestFit="1" customWidth="1"/>
    <col min="12512" max="12514" width="12.5" style="1" bestFit="1" customWidth="1"/>
    <col min="12515" max="12515" width="11" style="1" bestFit="1" customWidth="1"/>
    <col min="12516" max="12534" width="13" style="1" bestFit="1" customWidth="1"/>
    <col min="12535" max="12538" width="11" style="1" bestFit="1" customWidth="1"/>
    <col min="12539" max="12541" width="12.25" style="1" bestFit="1" customWidth="1"/>
    <col min="12542" max="12554" width="11" style="1" bestFit="1" customWidth="1"/>
    <col min="12555" max="12555" width="13.25" style="1" bestFit="1" customWidth="1"/>
    <col min="12556" max="12556" width="10" style="1" bestFit="1" customWidth="1"/>
    <col min="12557" max="12557" width="11" style="1" bestFit="1" customWidth="1"/>
    <col min="12558" max="12761" width="9" style="1"/>
    <col min="12762" max="12762" width="2.875" style="1" bestFit="1" customWidth="1"/>
    <col min="12763" max="12763" width="17.625" style="1" bestFit="1" customWidth="1"/>
    <col min="12764" max="12764" width="11.375" style="1" bestFit="1" customWidth="1"/>
    <col min="12765" max="12766" width="14.125" style="1" bestFit="1" customWidth="1"/>
    <col min="12767" max="12767" width="11.375" style="1" bestFit="1" customWidth="1"/>
    <col min="12768" max="12770" width="12.5" style="1" bestFit="1" customWidth="1"/>
    <col min="12771" max="12771" width="11" style="1" bestFit="1" customWidth="1"/>
    <col min="12772" max="12790" width="13" style="1" bestFit="1" customWidth="1"/>
    <col min="12791" max="12794" width="11" style="1" bestFit="1" customWidth="1"/>
    <col min="12795" max="12797" width="12.25" style="1" bestFit="1" customWidth="1"/>
    <col min="12798" max="12810" width="11" style="1" bestFit="1" customWidth="1"/>
    <col min="12811" max="12811" width="13.25" style="1" bestFit="1" customWidth="1"/>
    <col min="12812" max="12812" width="10" style="1" bestFit="1" customWidth="1"/>
    <col min="12813" max="12813" width="11" style="1" bestFit="1" customWidth="1"/>
    <col min="12814" max="13017" width="9" style="1"/>
    <col min="13018" max="13018" width="2.875" style="1" bestFit="1" customWidth="1"/>
    <col min="13019" max="13019" width="17.625" style="1" bestFit="1" customWidth="1"/>
    <col min="13020" max="13020" width="11.375" style="1" bestFit="1" customWidth="1"/>
    <col min="13021" max="13022" width="14.125" style="1" bestFit="1" customWidth="1"/>
    <col min="13023" max="13023" width="11.375" style="1" bestFit="1" customWidth="1"/>
    <col min="13024" max="13026" width="12.5" style="1" bestFit="1" customWidth="1"/>
    <col min="13027" max="13027" width="11" style="1" bestFit="1" customWidth="1"/>
    <col min="13028" max="13046" width="13" style="1" bestFit="1" customWidth="1"/>
    <col min="13047" max="13050" width="11" style="1" bestFit="1" customWidth="1"/>
    <col min="13051" max="13053" width="12.25" style="1" bestFit="1" customWidth="1"/>
    <col min="13054" max="13066" width="11" style="1" bestFit="1" customWidth="1"/>
    <col min="13067" max="13067" width="13.25" style="1" bestFit="1" customWidth="1"/>
    <col min="13068" max="13068" width="10" style="1" bestFit="1" customWidth="1"/>
    <col min="13069" max="13069" width="11" style="1" bestFit="1" customWidth="1"/>
    <col min="13070" max="13273" width="9" style="1"/>
    <col min="13274" max="13274" width="2.875" style="1" bestFit="1" customWidth="1"/>
    <col min="13275" max="13275" width="17.625" style="1" bestFit="1" customWidth="1"/>
    <col min="13276" max="13276" width="11.375" style="1" bestFit="1" customWidth="1"/>
    <col min="13277" max="13278" width="14.125" style="1" bestFit="1" customWidth="1"/>
    <col min="13279" max="13279" width="11.375" style="1" bestFit="1" customWidth="1"/>
    <col min="13280" max="13282" width="12.5" style="1" bestFit="1" customWidth="1"/>
    <col min="13283" max="13283" width="11" style="1" bestFit="1" customWidth="1"/>
    <col min="13284" max="13302" width="13" style="1" bestFit="1" customWidth="1"/>
    <col min="13303" max="13306" width="11" style="1" bestFit="1" customWidth="1"/>
    <col min="13307" max="13309" width="12.25" style="1" bestFit="1" customWidth="1"/>
    <col min="13310" max="13322" width="11" style="1" bestFit="1" customWidth="1"/>
    <col min="13323" max="13323" width="13.25" style="1" bestFit="1" customWidth="1"/>
    <col min="13324" max="13324" width="10" style="1" bestFit="1" customWidth="1"/>
    <col min="13325" max="13325" width="11" style="1" bestFit="1" customWidth="1"/>
    <col min="13326" max="13529" width="9" style="1"/>
    <col min="13530" max="13530" width="2.875" style="1" bestFit="1" customWidth="1"/>
    <col min="13531" max="13531" width="17.625" style="1" bestFit="1" customWidth="1"/>
    <col min="13532" max="13532" width="11.375" style="1" bestFit="1" customWidth="1"/>
    <col min="13533" max="13534" width="14.125" style="1" bestFit="1" customWidth="1"/>
    <col min="13535" max="13535" width="11.375" style="1" bestFit="1" customWidth="1"/>
    <col min="13536" max="13538" width="12.5" style="1" bestFit="1" customWidth="1"/>
    <col min="13539" max="13539" width="11" style="1" bestFit="1" customWidth="1"/>
    <col min="13540" max="13558" width="13" style="1" bestFit="1" customWidth="1"/>
    <col min="13559" max="13562" width="11" style="1" bestFit="1" customWidth="1"/>
    <col min="13563" max="13565" width="12.25" style="1" bestFit="1" customWidth="1"/>
    <col min="13566" max="13578" width="11" style="1" bestFit="1" customWidth="1"/>
    <col min="13579" max="13579" width="13.25" style="1" bestFit="1" customWidth="1"/>
    <col min="13580" max="13580" width="10" style="1" bestFit="1" customWidth="1"/>
    <col min="13581" max="13581" width="11" style="1" bestFit="1" customWidth="1"/>
    <col min="13582" max="13785" width="9" style="1"/>
    <col min="13786" max="13786" width="2.875" style="1" bestFit="1" customWidth="1"/>
    <col min="13787" max="13787" width="17.625" style="1" bestFit="1" customWidth="1"/>
    <col min="13788" max="13788" width="11.375" style="1" bestFit="1" customWidth="1"/>
    <col min="13789" max="13790" width="14.125" style="1" bestFit="1" customWidth="1"/>
    <col min="13791" max="13791" width="11.375" style="1" bestFit="1" customWidth="1"/>
    <col min="13792" max="13794" width="12.5" style="1" bestFit="1" customWidth="1"/>
    <col min="13795" max="13795" width="11" style="1" bestFit="1" customWidth="1"/>
    <col min="13796" max="13814" width="13" style="1" bestFit="1" customWidth="1"/>
    <col min="13815" max="13818" width="11" style="1" bestFit="1" customWidth="1"/>
    <col min="13819" max="13821" width="12.25" style="1" bestFit="1" customWidth="1"/>
    <col min="13822" max="13834" width="11" style="1" bestFit="1" customWidth="1"/>
    <col min="13835" max="13835" width="13.25" style="1" bestFit="1" customWidth="1"/>
    <col min="13836" max="13836" width="10" style="1" bestFit="1" customWidth="1"/>
    <col min="13837" max="13837" width="11" style="1" bestFit="1" customWidth="1"/>
    <col min="13838" max="14041" width="9" style="1"/>
    <col min="14042" max="14042" width="2.875" style="1" bestFit="1" customWidth="1"/>
    <col min="14043" max="14043" width="17.625" style="1" bestFit="1" customWidth="1"/>
    <col min="14044" max="14044" width="11.375" style="1" bestFit="1" customWidth="1"/>
    <col min="14045" max="14046" width="14.125" style="1" bestFit="1" customWidth="1"/>
    <col min="14047" max="14047" width="11.375" style="1" bestFit="1" customWidth="1"/>
    <col min="14048" max="14050" width="12.5" style="1" bestFit="1" customWidth="1"/>
    <col min="14051" max="14051" width="11" style="1" bestFit="1" customWidth="1"/>
    <col min="14052" max="14070" width="13" style="1" bestFit="1" customWidth="1"/>
    <col min="14071" max="14074" width="11" style="1" bestFit="1" customWidth="1"/>
    <col min="14075" max="14077" width="12.25" style="1" bestFit="1" customWidth="1"/>
    <col min="14078" max="14090" width="11" style="1" bestFit="1" customWidth="1"/>
    <col min="14091" max="14091" width="13.25" style="1" bestFit="1" customWidth="1"/>
    <col min="14092" max="14092" width="10" style="1" bestFit="1" customWidth="1"/>
    <col min="14093" max="14093" width="11" style="1" bestFit="1" customWidth="1"/>
    <col min="14094" max="14297" width="9" style="1"/>
    <col min="14298" max="14298" width="2.875" style="1" bestFit="1" customWidth="1"/>
    <col min="14299" max="14299" width="17.625" style="1" bestFit="1" customWidth="1"/>
    <col min="14300" max="14300" width="11.375" style="1" bestFit="1" customWidth="1"/>
    <col min="14301" max="14302" width="14.125" style="1" bestFit="1" customWidth="1"/>
    <col min="14303" max="14303" width="11.375" style="1" bestFit="1" customWidth="1"/>
    <col min="14304" max="14306" width="12.5" style="1" bestFit="1" customWidth="1"/>
    <col min="14307" max="14307" width="11" style="1" bestFit="1" customWidth="1"/>
    <col min="14308" max="14326" width="13" style="1" bestFit="1" customWidth="1"/>
    <col min="14327" max="14330" width="11" style="1" bestFit="1" customWidth="1"/>
    <col min="14331" max="14333" width="12.25" style="1" bestFit="1" customWidth="1"/>
    <col min="14334" max="14346" width="11" style="1" bestFit="1" customWidth="1"/>
    <col min="14347" max="14347" width="13.25" style="1" bestFit="1" customWidth="1"/>
    <col min="14348" max="14348" width="10" style="1" bestFit="1" customWidth="1"/>
    <col min="14349" max="14349" width="11" style="1" bestFit="1" customWidth="1"/>
    <col min="14350" max="14553" width="9" style="1"/>
    <col min="14554" max="14554" width="2.875" style="1" bestFit="1" customWidth="1"/>
    <col min="14555" max="14555" width="17.625" style="1" bestFit="1" customWidth="1"/>
    <col min="14556" max="14556" width="11.375" style="1" bestFit="1" customWidth="1"/>
    <col min="14557" max="14558" width="14.125" style="1" bestFit="1" customWidth="1"/>
    <col min="14559" max="14559" width="11.375" style="1" bestFit="1" customWidth="1"/>
    <col min="14560" max="14562" width="12.5" style="1" bestFit="1" customWidth="1"/>
    <col min="14563" max="14563" width="11" style="1" bestFit="1" customWidth="1"/>
    <col min="14564" max="14582" width="13" style="1" bestFit="1" customWidth="1"/>
    <col min="14583" max="14586" width="11" style="1" bestFit="1" customWidth="1"/>
    <col min="14587" max="14589" width="12.25" style="1" bestFit="1" customWidth="1"/>
    <col min="14590" max="14602" width="11" style="1" bestFit="1" customWidth="1"/>
    <col min="14603" max="14603" width="13.25" style="1" bestFit="1" customWidth="1"/>
    <col min="14604" max="14604" width="10" style="1" bestFit="1" customWidth="1"/>
    <col min="14605" max="14605" width="11" style="1" bestFit="1" customWidth="1"/>
    <col min="14606" max="14809" width="9" style="1"/>
    <col min="14810" max="14810" width="2.875" style="1" bestFit="1" customWidth="1"/>
    <col min="14811" max="14811" width="17.625" style="1" bestFit="1" customWidth="1"/>
    <col min="14812" max="14812" width="11.375" style="1" bestFit="1" customWidth="1"/>
    <col min="14813" max="14814" width="14.125" style="1" bestFit="1" customWidth="1"/>
    <col min="14815" max="14815" width="11.375" style="1" bestFit="1" customWidth="1"/>
    <col min="14816" max="14818" width="12.5" style="1" bestFit="1" customWidth="1"/>
    <col min="14819" max="14819" width="11" style="1" bestFit="1" customWidth="1"/>
    <col min="14820" max="14838" width="13" style="1" bestFit="1" customWidth="1"/>
    <col min="14839" max="14842" width="11" style="1" bestFit="1" customWidth="1"/>
    <col min="14843" max="14845" width="12.25" style="1" bestFit="1" customWidth="1"/>
    <col min="14846" max="14858" width="11" style="1" bestFit="1" customWidth="1"/>
    <col min="14859" max="14859" width="13.25" style="1" bestFit="1" customWidth="1"/>
    <col min="14860" max="14860" width="10" style="1" bestFit="1" customWidth="1"/>
    <col min="14861" max="14861" width="11" style="1" bestFit="1" customWidth="1"/>
    <col min="14862" max="15065" width="9" style="1"/>
    <col min="15066" max="15066" width="2.875" style="1" bestFit="1" customWidth="1"/>
    <col min="15067" max="15067" width="17.625" style="1" bestFit="1" customWidth="1"/>
    <col min="15068" max="15068" width="11.375" style="1" bestFit="1" customWidth="1"/>
    <col min="15069" max="15070" width="14.125" style="1" bestFit="1" customWidth="1"/>
    <col min="15071" max="15071" width="11.375" style="1" bestFit="1" customWidth="1"/>
    <col min="15072" max="15074" width="12.5" style="1" bestFit="1" customWidth="1"/>
    <col min="15075" max="15075" width="11" style="1" bestFit="1" customWidth="1"/>
    <col min="15076" max="15094" width="13" style="1" bestFit="1" customWidth="1"/>
    <col min="15095" max="15098" width="11" style="1" bestFit="1" customWidth="1"/>
    <col min="15099" max="15101" width="12.25" style="1" bestFit="1" customWidth="1"/>
    <col min="15102" max="15114" width="11" style="1" bestFit="1" customWidth="1"/>
    <col min="15115" max="15115" width="13.25" style="1" bestFit="1" customWidth="1"/>
    <col min="15116" max="15116" width="10" style="1" bestFit="1" customWidth="1"/>
    <col min="15117" max="15117" width="11" style="1" bestFit="1" customWidth="1"/>
    <col min="15118" max="15321" width="9" style="1"/>
    <col min="15322" max="15322" width="2.875" style="1" bestFit="1" customWidth="1"/>
    <col min="15323" max="15323" width="17.625" style="1" bestFit="1" customWidth="1"/>
    <col min="15324" max="15324" width="11.375" style="1" bestFit="1" customWidth="1"/>
    <col min="15325" max="15326" width="14.125" style="1" bestFit="1" customWidth="1"/>
    <col min="15327" max="15327" width="11.375" style="1" bestFit="1" customWidth="1"/>
    <col min="15328" max="15330" width="12.5" style="1" bestFit="1" customWidth="1"/>
    <col min="15331" max="15331" width="11" style="1" bestFit="1" customWidth="1"/>
    <col min="15332" max="15350" width="13" style="1" bestFit="1" customWidth="1"/>
    <col min="15351" max="15354" width="11" style="1" bestFit="1" customWidth="1"/>
    <col min="15355" max="15357" width="12.25" style="1" bestFit="1" customWidth="1"/>
    <col min="15358" max="15370" width="11" style="1" bestFit="1" customWidth="1"/>
    <col min="15371" max="15371" width="13.25" style="1" bestFit="1" customWidth="1"/>
    <col min="15372" max="15372" width="10" style="1" bestFit="1" customWidth="1"/>
    <col min="15373" max="15373" width="11" style="1" bestFit="1" customWidth="1"/>
    <col min="15374" max="15577" width="9" style="1"/>
    <col min="15578" max="15578" width="2.875" style="1" bestFit="1" customWidth="1"/>
    <col min="15579" max="15579" width="17.625" style="1" bestFit="1" customWidth="1"/>
    <col min="15580" max="15580" width="11.375" style="1" bestFit="1" customWidth="1"/>
    <col min="15581" max="15582" width="14.125" style="1" bestFit="1" customWidth="1"/>
    <col min="15583" max="15583" width="11.375" style="1" bestFit="1" customWidth="1"/>
    <col min="15584" max="15586" width="12.5" style="1" bestFit="1" customWidth="1"/>
    <col min="15587" max="15587" width="11" style="1" bestFit="1" customWidth="1"/>
    <col min="15588" max="15606" width="13" style="1" bestFit="1" customWidth="1"/>
    <col min="15607" max="15610" width="11" style="1" bestFit="1" customWidth="1"/>
    <col min="15611" max="15613" width="12.25" style="1" bestFit="1" customWidth="1"/>
    <col min="15614" max="15626" width="11" style="1" bestFit="1" customWidth="1"/>
    <col min="15627" max="15627" width="13.25" style="1" bestFit="1" customWidth="1"/>
    <col min="15628" max="15628" width="10" style="1" bestFit="1" customWidth="1"/>
    <col min="15629" max="15629" width="11" style="1" bestFit="1" customWidth="1"/>
    <col min="15630" max="15833" width="9" style="1"/>
    <col min="15834" max="15834" width="2.875" style="1" bestFit="1" customWidth="1"/>
    <col min="15835" max="15835" width="17.625" style="1" bestFit="1" customWidth="1"/>
    <col min="15836" max="15836" width="11.375" style="1" bestFit="1" customWidth="1"/>
    <col min="15837" max="15838" width="14.125" style="1" bestFit="1" customWidth="1"/>
    <col min="15839" max="15839" width="11.375" style="1" bestFit="1" customWidth="1"/>
    <col min="15840" max="15842" width="12.5" style="1" bestFit="1" customWidth="1"/>
    <col min="15843" max="15843" width="11" style="1" bestFit="1" customWidth="1"/>
    <col min="15844" max="15862" width="13" style="1" bestFit="1" customWidth="1"/>
    <col min="15863" max="15866" width="11" style="1" bestFit="1" customWidth="1"/>
    <col min="15867" max="15869" width="12.25" style="1" bestFit="1" customWidth="1"/>
    <col min="15870" max="15882" width="11" style="1" bestFit="1" customWidth="1"/>
    <col min="15883" max="15883" width="13.25" style="1" bestFit="1" customWidth="1"/>
    <col min="15884" max="15884" width="10" style="1" bestFit="1" customWidth="1"/>
    <col min="15885" max="15885" width="11" style="1" bestFit="1" customWidth="1"/>
    <col min="15886" max="16089" width="9" style="1"/>
    <col min="16090" max="16090" width="2.875" style="1" bestFit="1" customWidth="1"/>
    <col min="16091" max="16091" width="17.625" style="1" bestFit="1" customWidth="1"/>
    <col min="16092" max="16092" width="11.375" style="1" bestFit="1" customWidth="1"/>
    <col min="16093" max="16094" width="14.125" style="1" bestFit="1" customWidth="1"/>
    <col min="16095" max="16095" width="11.375" style="1" bestFit="1" customWidth="1"/>
    <col min="16096" max="16098" width="12.5" style="1" bestFit="1" customWidth="1"/>
    <col min="16099" max="16099" width="11" style="1" bestFit="1" customWidth="1"/>
    <col min="16100" max="16118" width="13" style="1" bestFit="1" customWidth="1"/>
    <col min="16119" max="16122" width="11" style="1" bestFit="1" customWidth="1"/>
    <col min="16123" max="16125" width="12.25" style="1" bestFit="1" customWidth="1"/>
    <col min="16126" max="16138" width="11" style="1" bestFit="1" customWidth="1"/>
    <col min="16139" max="16139" width="13.25" style="1" bestFit="1" customWidth="1"/>
    <col min="16140" max="16140" width="10" style="1" bestFit="1" customWidth="1"/>
    <col min="16141" max="16141" width="11" style="1" bestFit="1" customWidth="1"/>
    <col min="16142" max="16384" width="9" style="1"/>
  </cols>
  <sheetData>
    <row r="1" spans="1:13" hidden="1" x14ac:dyDescent="0.15"/>
    <row r="2" spans="1:13" ht="30.75" hidden="1" customHeight="1" x14ac:dyDescent="0.15"/>
    <row r="3" spans="1:13" ht="17.25" x14ac:dyDescent="0.2">
      <c r="A3" s="53">
        <v>45505</v>
      </c>
      <c r="B3" s="53"/>
      <c r="C3" s="45" t="s">
        <v>242</v>
      </c>
    </row>
    <row r="4" spans="1:13" s="5" customFormat="1" ht="10.5" customHeight="1" x14ac:dyDescent="0.15">
      <c r="A4" s="46" t="s">
        <v>0</v>
      </c>
      <c r="B4" s="46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3" t="s">
        <v>41</v>
      </c>
      <c r="L4" s="3" t="s">
        <v>42</v>
      </c>
      <c r="M4" s="4" t="s">
        <v>43</v>
      </c>
    </row>
    <row r="5" spans="1:13" s="5" customFormat="1" hidden="1" x14ac:dyDescent="0.15">
      <c r="A5" s="50" t="s">
        <v>44</v>
      </c>
      <c r="B5" s="54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3"/>
      <c r="L5" s="3"/>
      <c r="M5" s="4"/>
    </row>
    <row r="6" spans="1:13" s="5" customFormat="1" hidden="1" x14ac:dyDescent="0.15">
      <c r="A6" s="50" t="s">
        <v>45</v>
      </c>
      <c r="B6" s="54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3"/>
      <c r="L6" s="3"/>
      <c r="M6" s="4"/>
    </row>
    <row r="7" spans="1:13" s="5" customFormat="1" ht="12" customHeight="1" x14ac:dyDescent="0.15">
      <c r="A7" s="52" t="s">
        <v>51</v>
      </c>
      <c r="B7" s="52"/>
      <c r="C7" s="36" t="s">
        <v>157</v>
      </c>
      <c r="D7" s="36"/>
      <c r="E7" s="36" t="s">
        <v>158</v>
      </c>
      <c r="F7" s="36" t="s">
        <v>159</v>
      </c>
      <c r="G7" s="36" t="s">
        <v>160</v>
      </c>
      <c r="H7" s="36" t="s">
        <v>161</v>
      </c>
      <c r="I7" s="36" t="s">
        <v>162</v>
      </c>
      <c r="J7" s="36"/>
      <c r="K7" s="6"/>
      <c r="L7" s="6"/>
      <c r="M7" s="7"/>
    </row>
    <row r="8" spans="1:13" s="5" customFormat="1" ht="12" customHeight="1" x14ac:dyDescent="0.15">
      <c r="A8" s="52" t="s">
        <v>52</v>
      </c>
      <c r="B8" s="52"/>
      <c r="C8" s="36" t="s">
        <v>201</v>
      </c>
      <c r="D8" s="36"/>
      <c r="E8" s="36" t="s">
        <v>202</v>
      </c>
      <c r="F8" s="36" t="s">
        <v>203</v>
      </c>
      <c r="G8" s="36" t="s">
        <v>204</v>
      </c>
      <c r="H8" s="36" t="s">
        <v>205</v>
      </c>
      <c r="I8" s="36" t="s">
        <v>206</v>
      </c>
      <c r="J8" s="36" t="s">
        <v>207</v>
      </c>
      <c r="K8" s="6"/>
      <c r="L8" s="6"/>
      <c r="M8" s="7"/>
    </row>
    <row r="9" spans="1:13" ht="12" customHeight="1" x14ac:dyDescent="0.15">
      <c r="A9" s="48" t="s">
        <v>53</v>
      </c>
      <c r="B9" s="49"/>
      <c r="C9" s="38">
        <v>10</v>
      </c>
      <c r="D9" s="38"/>
      <c r="E9" s="38">
        <v>10</v>
      </c>
      <c r="F9" s="38">
        <v>10</v>
      </c>
      <c r="G9" s="38">
        <v>8</v>
      </c>
      <c r="H9" s="38">
        <v>8</v>
      </c>
      <c r="I9" s="38">
        <v>8</v>
      </c>
      <c r="J9" s="38">
        <v>8</v>
      </c>
      <c r="K9" s="9">
        <f>SUM(C9:J9)</f>
        <v>62</v>
      </c>
      <c r="L9" s="9"/>
      <c r="M9" s="10"/>
    </row>
    <row r="10" spans="1:13" ht="12.75" customHeight="1" x14ac:dyDescent="0.15">
      <c r="A10" s="46" t="s">
        <v>54</v>
      </c>
      <c r="B10" s="46"/>
      <c r="C10" s="40" t="s">
        <v>55</v>
      </c>
      <c r="D10" s="40" t="s">
        <v>55</v>
      </c>
      <c r="E10" s="40" t="s">
        <v>55</v>
      </c>
      <c r="F10" s="40" t="s">
        <v>55</v>
      </c>
      <c r="G10" s="40" t="s">
        <v>56</v>
      </c>
      <c r="H10" s="40" t="s">
        <v>56</v>
      </c>
      <c r="I10" s="40" t="s">
        <v>56</v>
      </c>
      <c r="J10" s="41"/>
      <c r="K10" s="12"/>
      <c r="L10" s="12"/>
      <c r="M10" s="13"/>
    </row>
    <row r="11" spans="1:13" ht="12.75" customHeight="1" x14ac:dyDescent="0.15">
      <c r="A11" s="46" t="s">
        <v>65</v>
      </c>
      <c r="B11" s="46"/>
      <c r="C11" s="14">
        <v>6845.2000000000007</v>
      </c>
      <c r="D11" s="14">
        <v>0</v>
      </c>
      <c r="E11" s="14">
        <v>6636.2000000000007</v>
      </c>
      <c r="F11" s="14">
        <v>6472.7</v>
      </c>
      <c r="G11" s="14">
        <v>3164.6</v>
      </c>
      <c r="H11" s="14">
        <v>3861.7999999999997</v>
      </c>
      <c r="I11" s="14">
        <v>3721.2000000000003</v>
      </c>
      <c r="J11" s="14">
        <v>0</v>
      </c>
      <c r="K11" s="16">
        <f>SUM(C11:J11)</f>
        <v>30701.7</v>
      </c>
      <c r="L11" s="16">
        <f>AVERAGE(D11:J11)</f>
        <v>3408.0714285714289</v>
      </c>
      <c r="M11" s="13"/>
    </row>
    <row r="12" spans="1:13" ht="12.75" customHeight="1" x14ac:dyDescent="0.15">
      <c r="A12" s="50" t="s">
        <v>239</v>
      </c>
      <c r="B12" s="51"/>
      <c r="C12" s="43">
        <v>9.3513888888888896</v>
      </c>
      <c r="D12" s="43"/>
      <c r="E12" s="43">
        <v>11.075694444444444</v>
      </c>
      <c r="F12" s="43">
        <v>9.8555555555555561</v>
      </c>
      <c r="G12" s="43">
        <v>5.8506944444444446</v>
      </c>
      <c r="H12" s="43">
        <v>5.8888888888888893</v>
      </c>
      <c r="I12" s="43">
        <v>5.9722222222222223</v>
      </c>
      <c r="J12" s="43"/>
      <c r="K12" s="16"/>
      <c r="L12" s="16"/>
      <c r="M12" s="13"/>
    </row>
    <row r="13" spans="1:13" ht="12.75" customHeight="1" x14ac:dyDescent="0.15">
      <c r="A13" s="46" t="s">
        <v>66</v>
      </c>
      <c r="B13" s="46"/>
      <c r="C13" s="14">
        <v>1396063</v>
      </c>
      <c r="D13" s="14">
        <v>1329959</v>
      </c>
      <c r="E13" s="14">
        <v>1356606</v>
      </c>
      <c r="F13" s="14">
        <v>1345378</v>
      </c>
      <c r="G13" s="14">
        <v>720154</v>
      </c>
      <c r="H13" s="14">
        <v>773288</v>
      </c>
      <c r="I13" s="14">
        <v>772806</v>
      </c>
      <c r="J13" s="14">
        <v>0</v>
      </c>
      <c r="K13" s="16">
        <f>SUM(C13:J13)</f>
        <v>7694254</v>
      </c>
      <c r="L13" s="16">
        <f>AVERAGE(D13:J13)</f>
        <v>899741.57142857148</v>
      </c>
      <c r="M13" s="13">
        <f>K13/K13</f>
        <v>1</v>
      </c>
    </row>
    <row r="14" spans="1:13" ht="12.75" customHeight="1" x14ac:dyDescent="0.15">
      <c r="A14" s="50" t="s">
        <v>240</v>
      </c>
      <c r="B14" s="51"/>
      <c r="C14" s="14"/>
      <c r="D14" s="14"/>
      <c r="E14" s="14"/>
      <c r="F14" s="14"/>
      <c r="G14" s="14"/>
      <c r="H14" s="14"/>
      <c r="I14" s="14"/>
      <c r="J14" s="14"/>
      <c r="K14" s="16">
        <f>SUM(C14:J14)</f>
        <v>0</v>
      </c>
      <c r="L14" s="16"/>
      <c r="M14" s="13"/>
    </row>
    <row r="15" spans="1:13" ht="12.75" customHeight="1" x14ac:dyDescent="0.15">
      <c r="A15" s="46" t="s">
        <v>67</v>
      </c>
      <c r="B15" s="46"/>
      <c r="C15" s="14">
        <f>SUM(C13/C11)</f>
        <v>203.94772979606145</v>
      </c>
      <c r="D15" s="14" t="e">
        <f t="shared" ref="D15:J15" si="0">SUM(D13/D11)</f>
        <v>#DIV/0!</v>
      </c>
      <c r="E15" s="14">
        <f t="shared" si="0"/>
        <v>204.42512281124738</v>
      </c>
      <c r="F15" s="14">
        <f t="shared" si="0"/>
        <v>207.85421848687565</v>
      </c>
      <c r="G15" s="14">
        <f t="shared" si="0"/>
        <v>227.56556910826012</v>
      </c>
      <c r="H15" s="14">
        <f t="shared" si="0"/>
        <v>200.2403024496349</v>
      </c>
      <c r="I15" s="14">
        <f t="shared" si="0"/>
        <v>207.67655594969364</v>
      </c>
      <c r="J15" s="14" t="e">
        <f t="shared" si="0"/>
        <v>#DIV/0!</v>
      </c>
      <c r="K15" s="12">
        <f>SUM(K13/K11)</f>
        <v>250.61328851496822</v>
      </c>
      <c r="L15" s="16" t="e">
        <f>AVERAGE(D15:J15)</f>
        <v>#DIV/0!</v>
      </c>
      <c r="M15" s="13"/>
    </row>
    <row r="16" spans="1:13" ht="12.75" customHeight="1" x14ac:dyDescent="0.15">
      <c r="A16" s="50" t="s">
        <v>241</v>
      </c>
      <c r="B16" s="51"/>
      <c r="C16" s="14">
        <f>C13/(C12*24)</f>
        <v>6220.390613396703</v>
      </c>
      <c r="D16" s="14"/>
      <c r="E16" s="14">
        <f t="shared" ref="E16:J16" si="1">E13/(E12*24)</f>
        <v>5103.540033857922</v>
      </c>
      <c r="F16" s="14">
        <f t="shared" si="1"/>
        <v>5687.9002254791421</v>
      </c>
      <c r="G16" s="14">
        <f t="shared" si="1"/>
        <v>5128.6931750741833</v>
      </c>
      <c r="H16" s="14">
        <f t="shared" si="1"/>
        <v>5471.3773584905657</v>
      </c>
      <c r="I16" s="14">
        <f t="shared" si="1"/>
        <v>5391.6697674418601</v>
      </c>
      <c r="J16" s="14" t="e">
        <f t="shared" si="1"/>
        <v>#DIV/0!</v>
      </c>
      <c r="K16" s="12"/>
      <c r="L16" s="16"/>
      <c r="M16" s="13"/>
    </row>
    <row r="17" spans="1:13" ht="12.75" customHeight="1" x14ac:dyDescent="0.15">
      <c r="A17" s="47" t="s">
        <v>68</v>
      </c>
      <c r="B17" s="11" t="s">
        <v>69</v>
      </c>
      <c r="C17" s="14">
        <v>0</v>
      </c>
      <c r="D17" s="14">
        <v>0</v>
      </c>
      <c r="E17" s="14">
        <v>0</v>
      </c>
      <c r="F17" s="14">
        <v>56250</v>
      </c>
      <c r="G17" s="14">
        <v>0</v>
      </c>
      <c r="H17" s="14">
        <v>0</v>
      </c>
      <c r="I17" s="14">
        <v>47898</v>
      </c>
      <c r="J17" s="14">
        <v>300174</v>
      </c>
      <c r="K17" s="16">
        <f t="shared" ref="K17:K30" si="2">SUM(C17:J17)</f>
        <v>404322</v>
      </c>
      <c r="L17" s="16">
        <f t="shared" ref="L17:L45" si="3">AVERAGE(D17:J17)</f>
        <v>57760.285714285717</v>
      </c>
      <c r="M17" s="13">
        <f>K17/K13</f>
        <v>5.2548564162295655E-2</v>
      </c>
    </row>
    <row r="18" spans="1:13" ht="12.75" customHeight="1" x14ac:dyDescent="0.15">
      <c r="A18" s="47"/>
      <c r="B18" s="11" t="s">
        <v>70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6">
        <f t="shared" si="2"/>
        <v>0</v>
      </c>
      <c r="L18" s="16">
        <f t="shared" si="3"/>
        <v>0</v>
      </c>
      <c r="M18" s="13">
        <f>K18/K13</f>
        <v>0</v>
      </c>
    </row>
    <row r="19" spans="1:13" ht="12.75" customHeight="1" x14ac:dyDescent="0.15">
      <c r="A19" s="47"/>
      <c r="B19" s="11" t="s">
        <v>71</v>
      </c>
      <c r="C19" s="14">
        <v>5150</v>
      </c>
      <c r="D19" s="14">
        <v>0</v>
      </c>
      <c r="E19" s="14">
        <v>6133</v>
      </c>
      <c r="F19" s="14">
        <v>17710</v>
      </c>
      <c r="G19" s="14">
        <v>4025</v>
      </c>
      <c r="H19" s="14">
        <v>5150</v>
      </c>
      <c r="I19" s="14">
        <v>6925</v>
      </c>
      <c r="J19" s="14">
        <v>4812</v>
      </c>
      <c r="K19" s="16">
        <f t="shared" si="2"/>
        <v>49905</v>
      </c>
      <c r="L19" s="16">
        <f t="shared" si="3"/>
        <v>6393.5714285714284</v>
      </c>
      <c r="M19" s="13">
        <f>K19/K13</f>
        <v>6.486008910025585E-3</v>
      </c>
    </row>
    <row r="20" spans="1:13" ht="12.75" customHeight="1" x14ac:dyDescent="0.15">
      <c r="A20" s="47"/>
      <c r="B20" s="11" t="s">
        <v>72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6">
        <f t="shared" si="2"/>
        <v>0</v>
      </c>
      <c r="L20" s="16">
        <f t="shared" si="3"/>
        <v>0</v>
      </c>
      <c r="M20" s="13">
        <f>K20/K13</f>
        <v>0</v>
      </c>
    </row>
    <row r="21" spans="1:13" ht="12.75" customHeight="1" x14ac:dyDescent="0.15">
      <c r="A21" s="47"/>
      <c r="B21" s="11" t="s">
        <v>73</v>
      </c>
      <c r="C21" s="14">
        <v>4950</v>
      </c>
      <c r="D21" s="14">
        <v>0</v>
      </c>
      <c r="E21" s="14">
        <v>4766</v>
      </c>
      <c r="F21" s="14">
        <v>4583</v>
      </c>
      <c r="G21" s="14">
        <v>4587</v>
      </c>
      <c r="H21" s="14">
        <v>4766</v>
      </c>
      <c r="I21" s="14">
        <v>4774</v>
      </c>
      <c r="J21" s="14">
        <v>4766</v>
      </c>
      <c r="K21" s="16">
        <f t="shared" si="2"/>
        <v>33192</v>
      </c>
      <c r="L21" s="16">
        <f t="shared" si="3"/>
        <v>4034.5714285714284</v>
      </c>
      <c r="M21" s="13">
        <f>K21/K13</f>
        <v>4.313868504990867E-3</v>
      </c>
    </row>
    <row r="22" spans="1:13" ht="12.75" customHeight="1" x14ac:dyDescent="0.15">
      <c r="A22" s="47"/>
      <c r="B22" s="11" t="s">
        <v>74</v>
      </c>
      <c r="C22" s="14">
        <v>43755</v>
      </c>
      <c r="D22" s="14">
        <v>0</v>
      </c>
      <c r="E22" s="14">
        <v>28679</v>
      </c>
      <c r="F22" s="14">
        <v>9166</v>
      </c>
      <c r="G22" s="14">
        <v>45058</v>
      </c>
      <c r="H22" s="14">
        <v>25082</v>
      </c>
      <c r="I22" s="14">
        <v>34950</v>
      </c>
      <c r="J22" s="14">
        <v>18658</v>
      </c>
      <c r="K22" s="16">
        <f t="shared" si="2"/>
        <v>205348</v>
      </c>
      <c r="L22" s="16">
        <f t="shared" si="3"/>
        <v>23084.714285714286</v>
      </c>
      <c r="M22" s="13">
        <f>K22/K13</f>
        <v>2.668848727894868E-2</v>
      </c>
    </row>
    <row r="23" spans="1:13" ht="12.75" customHeight="1" x14ac:dyDescent="0.15">
      <c r="A23" s="47"/>
      <c r="B23" s="17" t="s">
        <v>75</v>
      </c>
      <c r="C23" s="18">
        <f>SUM(C17:C22)</f>
        <v>53855</v>
      </c>
      <c r="D23" s="18">
        <f t="shared" ref="D23:J23" si="4">SUM(D17:D22)</f>
        <v>0</v>
      </c>
      <c r="E23" s="18">
        <f t="shared" si="4"/>
        <v>39578</v>
      </c>
      <c r="F23" s="18">
        <f t="shared" si="4"/>
        <v>87709</v>
      </c>
      <c r="G23" s="18">
        <f t="shared" si="4"/>
        <v>53670</v>
      </c>
      <c r="H23" s="18">
        <f t="shared" si="4"/>
        <v>34998</v>
      </c>
      <c r="I23" s="18">
        <f t="shared" si="4"/>
        <v>94547</v>
      </c>
      <c r="J23" s="18">
        <f t="shared" si="4"/>
        <v>328410</v>
      </c>
      <c r="K23" s="20">
        <f t="shared" si="2"/>
        <v>692767</v>
      </c>
      <c r="L23" s="20">
        <f t="shared" si="3"/>
        <v>91273.142857142855</v>
      </c>
      <c r="M23" s="21">
        <f>K23/K13</f>
        <v>9.0036928856260787E-2</v>
      </c>
    </row>
    <row r="24" spans="1:13" ht="12.75" customHeight="1" x14ac:dyDescent="0.15">
      <c r="A24" s="47" t="s">
        <v>76</v>
      </c>
      <c r="B24" s="11" t="s">
        <v>77</v>
      </c>
      <c r="C24" s="14">
        <v>2700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6">
        <f t="shared" si="2"/>
        <v>2700</v>
      </c>
      <c r="L24" s="16">
        <f t="shared" si="3"/>
        <v>0</v>
      </c>
      <c r="M24" s="13">
        <f>K24/K13</f>
        <v>3.5091121244502715E-4</v>
      </c>
    </row>
    <row r="25" spans="1:13" ht="12.75" customHeight="1" x14ac:dyDescent="0.15">
      <c r="A25" s="47"/>
      <c r="B25" s="11" t="s">
        <v>78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6">
        <f t="shared" si="2"/>
        <v>0</v>
      </c>
      <c r="L25" s="16">
        <f t="shared" si="3"/>
        <v>0</v>
      </c>
      <c r="M25" s="13">
        <f>K25/K13</f>
        <v>0</v>
      </c>
    </row>
    <row r="26" spans="1:13" ht="12.75" customHeight="1" x14ac:dyDescent="0.15">
      <c r="A26" s="47"/>
      <c r="B26" s="11" t="s">
        <v>79</v>
      </c>
      <c r="C26" s="14">
        <f t="shared" ref="C26:J26" si="5">30000*C9/70000*C11</f>
        <v>29336.571428571431</v>
      </c>
      <c r="D26" s="14">
        <f t="shared" si="5"/>
        <v>0</v>
      </c>
      <c r="E26" s="14">
        <f t="shared" si="5"/>
        <v>28440.857142857145</v>
      </c>
      <c r="F26" s="14">
        <f t="shared" si="5"/>
        <v>27740.142857142855</v>
      </c>
      <c r="G26" s="14">
        <f t="shared" si="5"/>
        <v>10850.057142857142</v>
      </c>
      <c r="H26" s="14">
        <f t="shared" si="5"/>
        <v>13240.457142857142</v>
      </c>
      <c r="I26" s="14">
        <f t="shared" si="5"/>
        <v>12758.4</v>
      </c>
      <c r="J26" s="14">
        <f t="shared" si="5"/>
        <v>0</v>
      </c>
      <c r="K26" s="16">
        <f t="shared" si="2"/>
        <v>122366.48571428571</v>
      </c>
      <c r="L26" s="16">
        <f t="shared" si="3"/>
        <v>13289.987755102038</v>
      </c>
      <c r="M26" s="13">
        <f>K26/K13</f>
        <v>1.590361920912485E-2</v>
      </c>
    </row>
    <row r="27" spans="1:13" ht="12.75" customHeight="1" x14ac:dyDescent="0.15">
      <c r="A27" s="47"/>
      <c r="B27" s="11" t="s">
        <v>80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6">
        <f t="shared" si="2"/>
        <v>0</v>
      </c>
      <c r="L27" s="16">
        <f t="shared" si="3"/>
        <v>0</v>
      </c>
      <c r="M27" s="13">
        <f>K27/K13</f>
        <v>0</v>
      </c>
    </row>
    <row r="28" spans="1:13" ht="12.75" customHeight="1" x14ac:dyDescent="0.15">
      <c r="A28" s="47"/>
      <c r="B28" s="11" t="s">
        <v>81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6">
        <f t="shared" si="2"/>
        <v>0</v>
      </c>
      <c r="L28" s="16">
        <f t="shared" si="3"/>
        <v>0</v>
      </c>
      <c r="M28" s="13">
        <f>K28/K13</f>
        <v>0</v>
      </c>
    </row>
    <row r="29" spans="1:13" ht="12.75" customHeight="1" x14ac:dyDescent="0.15">
      <c r="A29" s="47"/>
      <c r="B29" s="17" t="s">
        <v>82</v>
      </c>
      <c r="C29" s="18">
        <f>SUM(C24:C28)</f>
        <v>32036.571428571431</v>
      </c>
      <c r="D29" s="18">
        <f t="shared" ref="D29:J29" si="6">SUM(D24:D28)</f>
        <v>0</v>
      </c>
      <c r="E29" s="18">
        <f t="shared" si="6"/>
        <v>28440.857142857145</v>
      </c>
      <c r="F29" s="18">
        <f t="shared" si="6"/>
        <v>27740.142857142855</v>
      </c>
      <c r="G29" s="18">
        <f t="shared" si="6"/>
        <v>10850.057142857142</v>
      </c>
      <c r="H29" s="18">
        <f t="shared" si="6"/>
        <v>13240.457142857142</v>
      </c>
      <c r="I29" s="18">
        <f t="shared" si="6"/>
        <v>12758.4</v>
      </c>
      <c r="J29" s="18">
        <f t="shared" si="6"/>
        <v>0</v>
      </c>
      <c r="K29" s="20">
        <f t="shared" si="2"/>
        <v>125066.48571428571</v>
      </c>
      <c r="L29" s="20">
        <f t="shared" si="3"/>
        <v>13289.987755102038</v>
      </c>
      <c r="M29" s="21">
        <f>K29/K13</f>
        <v>1.6254530421569876E-2</v>
      </c>
    </row>
    <row r="30" spans="1:13" ht="12.75" customHeight="1" x14ac:dyDescent="0.15">
      <c r="A30" s="47" t="s">
        <v>83</v>
      </c>
      <c r="B30" s="8" t="s">
        <v>84</v>
      </c>
      <c r="C30" s="22">
        <v>1607</v>
      </c>
      <c r="D30" s="22">
        <v>0</v>
      </c>
      <c r="E30" s="22">
        <v>1692</v>
      </c>
      <c r="F30" s="22">
        <v>1841</v>
      </c>
      <c r="G30" s="22">
        <v>792</v>
      </c>
      <c r="H30" s="22">
        <v>940</v>
      </c>
      <c r="I30" s="22">
        <v>830</v>
      </c>
      <c r="J30" s="22">
        <v>0</v>
      </c>
      <c r="K30" s="24">
        <f t="shared" si="2"/>
        <v>7702</v>
      </c>
      <c r="L30" s="24">
        <f t="shared" si="3"/>
        <v>870.71428571428567</v>
      </c>
      <c r="M30" s="10">
        <f>K30/K13</f>
        <v>1.0010067252783702E-3</v>
      </c>
    </row>
    <row r="31" spans="1:13" ht="12.75" customHeight="1" x14ac:dyDescent="0.15">
      <c r="A31" s="47"/>
      <c r="B31" s="25" t="s">
        <v>85</v>
      </c>
      <c r="C31" s="26">
        <f t="shared" ref="C31:K31" si="7">SUM(C11/C30)</f>
        <v>4.2596141879278164</v>
      </c>
      <c r="D31" s="26" t="e">
        <f t="shared" si="7"/>
        <v>#DIV/0!</v>
      </c>
      <c r="E31" s="26">
        <f t="shared" si="7"/>
        <v>3.9221040189125298</v>
      </c>
      <c r="F31" s="26">
        <f t="shared" si="7"/>
        <v>3.5158609451385114</v>
      </c>
      <c r="G31" s="26">
        <f t="shared" si="7"/>
        <v>3.9957070707070708</v>
      </c>
      <c r="H31" s="26">
        <f t="shared" si="7"/>
        <v>4.1082978723404251</v>
      </c>
      <c r="I31" s="26">
        <f t="shared" si="7"/>
        <v>4.483373493975904</v>
      </c>
      <c r="J31" s="26" t="e">
        <f t="shared" si="7"/>
        <v>#DIV/0!</v>
      </c>
      <c r="K31" s="28">
        <f t="shared" si="7"/>
        <v>3.986198390028564</v>
      </c>
      <c r="L31" s="28" t="e">
        <f t="shared" si="3"/>
        <v>#DIV/0!</v>
      </c>
      <c r="M31" s="25">
        <f>K31/K13</f>
        <v>5.1807470744123652E-7</v>
      </c>
    </row>
    <row r="32" spans="1:13" ht="12.75" customHeight="1" x14ac:dyDescent="0.15">
      <c r="A32" s="47"/>
      <c r="B32" s="11" t="s">
        <v>86</v>
      </c>
      <c r="C32" s="14">
        <v>188662</v>
      </c>
      <c r="D32" s="14">
        <v>0</v>
      </c>
      <c r="E32" s="14">
        <v>198641</v>
      </c>
      <c r="F32" s="14">
        <v>216133</v>
      </c>
      <c r="G32" s="14">
        <v>92981</v>
      </c>
      <c r="H32" s="14">
        <v>110356</v>
      </c>
      <c r="I32" s="14">
        <v>97442</v>
      </c>
      <c r="J32" s="14">
        <v>0</v>
      </c>
      <c r="K32" s="16">
        <f t="shared" ref="K32:K46" si="8">SUM(C32:J32)</f>
        <v>904215</v>
      </c>
      <c r="L32" s="16">
        <f t="shared" si="3"/>
        <v>102221.85714285714</v>
      </c>
      <c r="M32" s="13">
        <f>K32/K13</f>
        <v>0.1175182155411038</v>
      </c>
    </row>
    <row r="33" spans="1:13" ht="12.75" customHeight="1" x14ac:dyDescent="0.15">
      <c r="A33" s="47"/>
      <c r="B33" s="11" t="s">
        <v>87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6">
        <f t="shared" si="8"/>
        <v>0</v>
      </c>
      <c r="L33" s="16">
        <f t="shared" si="3"/>
        <v>0</v>
      </c>
      <c r="M33" s="13">
        <f>K33/K13</f>
        <v>0</v>
      </c>
    </row>
    <row r="34" spans="1:13" ht="12.75" customHeight="1" x14ac:dyDescent="0.15">
      <c r="A34" s="47"/>
      <c r="B34" s="11" t="s">
        <v>88</v>
      </c>
      <c r="C34" s="14">
        <v>0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  <c r="K34" s="16">
        <f t="shared" si="8"/>
        <v>0</v>
      </c>
      <c r="L34" s="16">
        <f t="shared" si="3"/>
        <v>0</v>
      </c>
      <c r="M34" s="13">
        <f>K34/K13</f>
        <v>0</v>
      </c>
    </row>
    <row r="35" spans="1:13" ht="12.75" customHeight="1" x14ac:dyDescent="0.15">
      <c r="A35" s="47"/>
      <c r="B35" s="17" t="s">
        <v>89</v>
      </c>
      <c r="C35" s="18">
        <f>SUM(C32:C34)</f>
        <v>188662</v>
      </c>
      <c r="D35" s="18">
        <f t="shared" ref="D35:J35" si="9">SUM(D32:D34)</f>
        <v>0</v>
      </c>
      <c r="E35" s="18">
        <f t="shared" si="9"/>
        <v>198641</v>
      </c>
      <c r="F35" s="18">
        <f t="shared" si="9"/>
        <v>216133</v>
      </c>
      <c r="G35" s="18">
        <f t="shared" si="9"/>
        <v>92981</v>
      </c>
      <c r="H35" s="18">
        <f t="shared" si="9"/>
        <v>110356</v>
      </c>
      <c r="I35" s="18">
        <f t="shared" si="9"/>
        <v>97442</v>
      </c>
      <c r="J35" s="18">
        <f t="shared" si="9"/>
        <v>0</v>
      </c>
      <c r="K35" s="20">
        <f t="shared" si="8"/>
        <v>904215</v>
      </c>
      <c r="L35" s="20">
        <f t="shared" si="3"/>
        <v>102221.85714285714</v>
      </c>
      <c r="M35" s="21">
        <f>K35/K13</f>
        <v>0.1175182155411038</v>
      </c>
    </row>
    <row r="36" spans="1:13" ht="12.75" customHeight="1" x14ac:dyDescent="0.15">
      <c r="A36" s="47" t="s">
        <v>90</v>
      </c>
      <c r="B36" s="11" t="s">
        <v>91</v>
      </c>
      <c r="C36" s="14">
        <v>2012</v>
      </c>
      <c r="D36" s="14">
        <v>0</v>
      </c>
      <c r="E36" s="14">
        <v>2008</v>
      </c>
      <c r="F36" s="14">
        <v>2008</v>
      </c>
      <c r="G36" s="14">
        <v>2008</v>
      </c>
      <c r="H36" s="14">
        <v>2008</v>
      </c>
      <c r="I36" s="14">
        <v>2008</v>
      </c>
      <c r="J36" s="14">
        <v>2008</v>
      </c>
      <c r="K36" s="16">
        <f t="shared" si="8"/>
        <v>14060</v>
      </c>
      <c r="L36" s="16">
        <f t="shared" si="3"/>
        <v>1721.1428571428571</v>
      </c>
      <c r="M36" s="13">
        <f>K36/K13</f>
        <v>1.8273376470285489E-3</v>
      </c>
    </row>
    <row r="37" spans="1:13" ht="12.75" customHeight="1" x14ac:dyDescent="0.15">
      <c r="A37" s="47"/>
      <c r="B37" s="11" t="s">
        <v>92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6">
        <f t="shared" si="8"/>
        <v>0</v>
      </c>
      <c r="L37" s="16">
        <f t="shared" si="3"/>
        <v>0</v>
      </c>
      <c r="M37" s="13">
        <f>K37/K13</f>
        <v>0</v>
      </c>
    </row>
    <row r="38" spans="1:13" ht="12.75" customHeight="1" x14ac:dyDescent="0.15">
      <c r="A38" s="47"/>
      <c r="B38" s="11" t="s">
        <v>93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  <c r="K38" s="16">
        <f t="shared" si="8"/>
        <v>0</v>
      </c>
      <c r="L38" s="16">
        <f t="shared" si="3"/>
        <v>0</v>
      </c>
      <c r="M38" s="13">
        <f>K38/K13</f>
        <v>0</v>
      </c>
    </row>
    <row r="39" spans="1:13" ht="12.75" customHeight="1" x14ac:dyDescent="0.15">
      <c r="A39" s="47"/>
      <c r="B39" s="11" t="s">
        <v>94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6">
        <f t="shared" si="8"/>
        <v>0</v>
      </c>
      <c r="L39" s="16">
        <f t="shared" si="3"/>
        <v>0</v>
      </c>
      <c r="M39" s="13">
        <f>K39/K13</f>
        <v>0</v>
      </c>
    </row>
    <row r="40" spans="1:13" ht="12.75" customHeight="1" x14ac:dyDescent="0.15">
      <c r="A40" s="47"/>
      <c r="B40" s="11" t="s">
        <v>95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6">
        <f t="shared" si="8"/>
        <v>0</v>
      </c>
      <c r="L40" s="16">
        <f t="shared" si="3"/>
        <v>0</v>
      </c>
      <c r="M40" s="13">
        <f>K40/K13</f>
        <v>0</v>
      </c>
    </row>
    <row r="41" spans="1:13" ht="12.75" customHeight="1" x14ac:dyDescent="0.15">
      <c r="A41" s="47"/>
      <c r="B41" s="11" t="s">
        <v>96</v>
      </c>
      <c r="C41" s="14">
        <v>4430</v>
      </c>
      <c r="D41" s="14">
        <v>0</v>
      </c>
      <c r="E41" s="14">
        <v>4430</v>
      </c>
      <c r="F41" s="14">
        <v>7050</v>
      </c>
      <c r="G41" s="14">
        <v>5150</v>
      </c>
      <c r="H41" s="14">
        <v>5150</v>
      </c>
      <c r="I41" s="14">
        <v>5150</v>
      </c>
      <c r="J41" s="14">
        <v>9073</v>
      </c>
      <c r="K41" s="16">
        <f t="shared" si="8"/>
        <v>40433</v>
      </c>
      <c r="L41" s="16">
        <f t="shared" si="3"/>
        <v>5143.2857142857147</v>
      </c>
      <c r="M41" s="13">
        <f>K41/K13</f>
        <v>5.2549603899221418E-3</v>
      </c>
    </row>
    <row r="42" spans="1:13" ht="12.75" customHeight="1" x14ac:dyDescent="0.15">
      <c r="A42" s="47"/>
      <c r="B42" s="17" t="s">
        <v>97</v>
      </c>
      <c r="C42" s="18">
        <f>SUM(C36:C41)</f>
        <v>6442</v>
      </c>
      <c r="D42" s="18">
        <f t="shared" ref="D42:J42" si="10">SUM(D36:D41)</f>
        <v>0</v>
      </c>
      <c r="E42" s="18">
        <f t="shared" si="10"/>
        <v>6438</v>
      </c>
      <c r="F42" s="18">
        <f t="shared" si="10"/>
        <v>9058</v>
      </c>
      <c r="G42" s="18">
        <f t="shared" si="10"/>
        <v>7158</v>
      </c>
      <c r="H42" s="18">
        <f t="shared" si="10"/>
        <v>7158</v>
      </c>
      <c r="I42" s="18">
        <f t="shared" si="10"/>
        <v>7158</v>
      </c>
      <c r="J42" s="18">
        <f t="shared" si="10"/>
        <v>11081</v>
      </c>
      <c r="K42" s="20">
        <f t="shared" si="8"/>
        <v>54493</v>
      </c>
      <c r="L42" s="20">
        <f t="shared" si="3"/>
        <v>6864.4285714285716</v>
      </c>
      <c r="M42" s="21">
        <f>K42/K13</f>
        <v>7.0822980369506907E-3</v>
      </c>
    </row>
    <row r="43" spans="1:13" ht="12.75" customHeight="1" x14ac:dyDescent="0.15">
      <c r="A43" s="47" t="s">
        <v>98</v>
      </c>
      <c r="B43" s="11" t="s">
        <v>99</v>
      </c>
      <c r="C43" s="14">
        <v>210210</v>
      </c>
      <c r="D43" s="14">
        <v>131840</v>
      </c>
      <c r="E43" s="14">
        <v>186590</v>
      </c>
      <c r="F43" s="14">
        <v>194970</v>
      </c>
      <c r="G43" s="14">
        <v>102420</v>
      </c>
      <c r="H43" s="14">
        <v>160650</v>
      </c>
      <c r="I43" s="14">
        <v>143630</v>
      </c>
      <c r="J43" s="14">
        <v>0</v>
      </c>
      <c r="K43" s="16">
        <f t="shared" si="8"/>
        <v>1130310</v>
      </c>
      <c r="L43" s="16">
        <f t="shared" si="3"/>
        <v>131442.85714285713</v>
      </c>
      <c r="M43" s="13">
        <f>K43/K13</f>
        <v>0.1469031305699032</v>
      </c>
    </row>
    <row r="44" spans="1:13" ht="12.75" customHeight="1" x14ac:dyDescent="0.15">
      <c r="A44" s="47"/>
      <c r="B44" s="11" t="s">
        <v>100</v>
      </c>
      <c r="C44" s="14">
        <v>-153599</v>
      </c>
      <c r="D44" s="14">
        <v>-131840</v>
      </c>
      <c r="E44" s="14">
        <v>-129579</v>
      </c>
      <c r="F44" s="14">
        <v>-153737</v>
      </c>
      <c r="G44" s="14">
        <v>-21056</v>
      </c>
      <c r="H44" s="14">
        <v>-51577</v>
      </c>
      <c r="I44" s="14">
        <v>-60239</v>
      </c>
      <c r="J44" s="14">
        <v>0</v>
      </c>
      <c r="K44" s="16">
        <f t="shared" si="8"/>
        <v>-701627</v>
      </c>
      <c r="L44" s="16">
        <f t="shared" si="3"/>
        <v>-78289.71428571429</v>
      </c>
      <c r="M44" s="13">
        <f>K44/K13</f>
        <v>-9.118843750154336E-2</v>
      </c>
    </row>
    <row r="45" spans="1:13" ht="12.75" customHeight="1" x14ac:dyDescent="0.15">
      <c r="A45" s="47"/>
      <c r="B45" s="11" t="s">
        <v>101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6">
        <f t="shared" si="8"/>
        <v>0</v>
      </c>
      <c r="L45" s="16">
        <f t="shared" si="3"/>
        <v>0</v>
      </c>
      <c r="M45" s="13">
        <f>K45/K13</f>
        <v>0</v>
      </c>
    </row>
    <row r="46" spans="1:13" ht="12.75" customHeight="1" x14ac:dyDescent="0.15">
      <c r="A46" s="47"/>
      <c r="B46" s="11" t="s">
        <v>102</v>
      </c>
      <c r="C46" s="14">
        <v>-67267.199999999997</v>
      </c>
      <c r="D46" s="14">
        <v>0</v>
      </c>
      <c r="E46" s="14">
        <v>-59708.800000000003</v>
      </c>
      <c r="F46" s="14">
        <v>-62390.400000000001</v>
      </c>
      <c r="G46" s="14">
        <v>-32774.400000000001</v>
      </c>
      <c r="H46" s="14">
        <v>-51408</v>
      </c>
      <c r="I46" s="14">
        <v>-45961.599999999999</v>
      </c>
      <c r="J46" s="14">
        <v>0</v>
      </c>
      <c r="K46" s="16">
        <f t="shared" si="8"/>
        <v>-319510.39999999997</v>
      </c>
      <c r="L46" s="16">
        <f>AVERAGE(B46:J46)</f>
        <v>-39938.799999999996</v>
      </c>
      <c r="M46" s="13">
        <f>K46/K13</f>
        <v>-4.1525845130665033E-2</v>
      </c>
    </row>
    <row r="47" spans="1:13" ht="12.75" customHeight="1" x14ac:dyDescent="0.15">
      <c r="A47" s="47"/>
      <c r="B47" s="17" t="s">
        <v>103</v>
      </c>
      <c r="C47" s="18">
        <f t="shared" ref="C47:K47" si="11">SUM(C43:C46)</f>
        <v>-10656.199999999997</v>
      </c>
      <c r="D47" s="18">
        <f t="shared" si="11"/>
        <v>0</v>
      </c>
      <c r="E47" s="18">
        <f t="shared" si="11"/>
        <v>-2697.8000000000029</v>
      </c>
      <c r="F47" s="18">
        <f t="shared" si="11"/>
        <v>-21157.4</v>
      </c>
      <c r="G47" s="18">
        <f t="shared" si="11"/>
        <v>48589.599999999999</v>
      </c>
      <c r="H47" s="18">
        <f t="shared" si="11"/>
        <v>57665</v>
      </c>
      <c r="I47" s="18">
        <f t="shared" si="11"/>
        <v>37429.4</v>
      </c>
      <c r="J47" s="18">
        <f t="shared" si="11"/>
        <v>0</v>
      </c>
      <c r="K47" s="20">
        <f t="shared" si="11"/>
        <v>109172.60000000003</v>
      </c>
      <c r="L47" s="20">
        <f>AVERAGE(B47:J47)</f>
        <v>13646.575000000001</v>
      </c>
      <c r="M47" s="21">
        <f>K47/K13</f>
        <v>1.4188847937694808E-2</v>
      </c>
    </row>
    <row r="48" spans="1:13" ht="12.75" customHeight="1" x14ac:dyDescent="0.15">
      <c r="A48" s="47" t="s">
        <v>104</v>
      </c>
      <c r="B48" s="11" t="s">
        <v>105</v>
      </c>
      <c r="C48" s="14">
        <v>399328</v>
      </c>
      <c r="D48" s="14">
        <v>0</v>
      </c>
      <c r="E48" s="14">
        <v>389588</v>
      </c>
      <c r="F48" s="14">
        <v>367597</v>
      </c>
      <c r="G48" s="14">
        <v>326188</v>
      </c>
      <c r="H48" s="14">
        <v>312073</v>
      </c>
      <c r="I48" s="14">
        <v>306600</v>
      </c>
      <c r="J48" s="14">
        <v>0</v>
      </c>
      <c r="K48" s="16">
        <f t="shared" ref="K48:K65" si="12">SUM(C48:J48)</f>
        <v>2101374</v>
      </c>
      <c r="L48" s="16">
        <f t="shared" ref="L48:L65" si="13">AVERAGE(D48:J48)</f>
        <v>243149.42857142858</v>
      </c>
      <c r="M48" s="13">
        <f>K48/K13</f>
        <v>0.2731095178297987</v>
      </c>
    </row>
    <row r="49" spans="1:13" ht="12.75" customHeight="1" x14ac:dyDescent="0.15">
      <c r="A49" s="47"/>
      <c r="B49" s="11" t="s">
        <v>106</v>
      </c>
      <c r="C49" s="14">
        <v>14000</v>
      </c>
      <c r="D49" s="14">
        <v>0</v>
      </c>
      <c r="E49" s="14">
        <v>11333</v>
      </c>
      <c r="F49" s="14">
        <v>12333</v>
      </c>
      <c r="G49" s="14">
        <v>18833</v>
      </c>
      <c r="H49" s="14">
        <v>12333</v>
      </c>
      <c r="I49" s="14">
        <v>13333</v>
      </c>
      <c r="J49" s="14">
        <v>0</v>
      </c>
      <c r="K49" s="16">
        <f t="shared" si="12"/>
        <v>82165</v>
      </c>
      <c r="L49" s="16">
        <f t="shared" si="13"/>
        <v>9737.8571428571431</v>
      </c>
      <c r="M49" s="13">
        <f>K49/K13</f>
        <v>1.0678748063165058E-2</v>
      </c>
    </row>
    <row r="50" spans="1:13" ht="12.75" customHeight="1" x14ac:dyDescent="0.15">
      <c r="A50" s="47"/>
      <c r="B50" s="11" t="s">
        <v>107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6">
        <f t="shared" si="12"/>
        <v>0</v>
      </c>
      <c r="L50" s="16">
        <f t="shared" si="13"/>
        <v>0</v>
      </c>
      <c r="M50" s="13">
        <f>K50/K13</f>
        <v>0</v>
      </c>
    </row>
    <row r="51" spans="1:13" ht="12.75" customHeight="1" x14ac:dyDescent="0.15">
      <c r="A51" s="47"/>
      <c r="B51" s="11" t="s">
        <v>108</v>
      </c>
      <c r="C51" s="14">
        <v>61411</v>
      </c>
      <c r="D51" s="14">
        <v>0</v>
      </c>
      <c r="E51" s="14">
        <v>57977</v>
      </c>
      <c r="F51" s="14">
        <v>64188</v>
      </c>
      <c r="G51" s="14">
        <v>65173</v>
      </c>
      <c r="H51" s="14">
        <v>52068</v>
      </c>
      <c r="I51" s="14">
        <v>64340</v>
      </c>
      <c r="J51" s="14">
        <v>0</v>
      </c>
      <c r="K51" s="16">
        <f t="shared" si="12"/>
        <v>365157</v>
      </c>
      <c r="L51" s="16">
        <f t="shared" si="13"/>
        <v>43392.285714285717</v>
      </c>
      <c r="M51" s="13">
        <f>K51/K13</f>
        <v>4.7458402075106959E-2</v>
      </c>
    </row>
    <row r="52" spans="1:13" ht="12.75" customHeight="1" x14ac:dyDescent="0.15">
      <c r="A52" s="47"/>
      <c r="B52" s="11" t="s">
        <v>109</v>
      </c>
      <c r="C52" s="14">
        <v>6000</v>
      </c>
      <c r="D52" s="14">
        <v>0</v>
      </c>
      <c r="E52" s="14">
        <v>6000</v>
      </c>
      <c r="F52" s="14">
        <v>6000</v>
      </c>
      <c r="G52" s="14">
        <v>6000</v>
      </c>
      <c r="H52" s="14">
        <v>6000</v>
      </c>
      <c r="I52" s="14">
        <v>6000</v>
      </c>
      <c r="J52" s="14">
        <v>0</v>
      </c>
      <c r="K52" s="16">
        <f t="shared" si="12"/>
        <v>36000</v>
      </c>
      <c r="L52" s="16">
        <f t="shared" si="13"/>
        <v>4285.7142857142853</v>
      </c>
      <c r="M52" s="13">
        <f>K52/K13</f>
        <v>4.6788161659336953E-3</v>
      </c>
    </row>
    <row r="53" spans="1:13" ht="12.75" customHeight="1" x14ac:dyDescent="0.15">
      <c r="A53" s="47"/>
      <c r="B53" s="17" t="s">
        <v>110</v>
      </c>
      <c r="C53" s="18">
        <f>SUM(C48:C52)</f>
        <v>480739</v>
      </c>
      <c r="D53" s="18">
        <f t="shared" ref="D53:J53" si="14">SUM(D48:D52)</f>
        <v>0</v>
      </c>
      <c r="E53" s="18">
        <f t="shared" si="14"/>
        <v>464898</v>
      </c>
      <c r="F53" s="18">
        <f t="shared" si="14"/>
        <v>450118</v>
      </c>
      <c r="G53" s="18">
        <f t="shared" si="14"/>
        <v>416194</v>
      </c>
      <c r="H53" s="18">
        <f t="shared" si="14"/>
        <v>382474</v>
      </c>
      <c r="I53" s="18">
        <f t="shared" si="14"/>
        <v>390273</v>
      </c>
      <c r="J53" s="18">
        <f t="shared" si="14"/>
        <v>0</v>
      </c>
      <c r="K53" s="20">
        <f t="shared" si="12"/>
        <v>2584696</v>
      </c>
      <c r="L53" s="20">
        <f t="shared" si="13"/>
        <v>300565.28571428574</v>
      </c>
      <c r="M53" s="21">
        <f>K53/K13</f>
        <v>0.33592548413400442</v>
      </c>
    </row>
    <row r="54" spans="1:13" ht="12.75" customHeight="1" x14ac:dyDescent="0.15">
      <c r="A54" s="47" t="s">
        <v>111</v>
      </c>
      <c r="B54" s="11" t="s">
        <v>112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K54" s="16">
        <f t="shared" si="12"/>
        <v>0</v>
      </c>
      <c r="L54" s="16">
        <f t="shared" si="13"/>
        <v>0</v>
      </c>
      <c r="M54" s="13">
        <f>K54/K13</f>
        <v>0</v>
      </c>
    </row>
    <row r="55" spans="1:13" ht="12.75" customHeight="1" x14ac:dyDescent="0.15">
      <c r="A55" s="47"/>
      <c r="B55" s="11" t="s">
        <v>113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K55" s="16">
        <f t="shared" si="12"/>
        <v>0</v>
      </c>
      <c r="L55" s="16">
        <f t="shared" si="13"/>
        <v>0</v>
      </c>
      <c r="M55" s="13">
        <f>K55/K13</f>
        <v>0</v>
      </c>
    </row>
    <row r="56" spans="1:13" ht="12.75" customHeight="1" x14ac:dyDescent="0.15">
      <c r="A56" s="47"/>
      <c r="B56" s="11" t="s">
        <v>114</v>
      </c>
      <c r="C56" s="14">
        <v>0</v>
      </c>
      <c r="D56" s="14">
        <v>1130465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K56" s="16">
        <f t="shared" si="12"/>
        <v>1130465</v>
      </c>
      <c r="L56" s="16">
        <f t="shared" si="13"/>
        <v>161495</v>
      </c>
      <c r="M56" s="13">
        <f>K56/K13</f>
        <v>0.14692327547283987</v>
      </c>
    </row>
    <row r="57" spans="1:13" ht="12.75" customHeight="1" x14ac:dyDescent="0.15">
      <c r="A57" s="47"/>
      <c r="B57" s="11" t="s">
        <v>115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16">
        <f t="shared" si="12"/>
        <v>0</v>
      </c>
      <c r="L57" s="16">
        <f t="shared" si="13"/>
        <v>0</v>
      </c>
      <c r="M57" s="13">
        <f>K57/K13</f>
        <v>0</v>
      </c>
    </row>
    <row r="58" spans="1:13" ht="12.75" customHeight="1" x14ac:dyDescent="0.15">
      <c r="A58" s="47"/>
      <c r="B58" s="11" t="s">
        <v>116</v>
      </c>
      <c r="C58" s="14">
        <v>94239.28571428571</v>
      </c>
      <c r="D58" s="14">
        <v>0</v>
      </c>
      <c r="E58" s="14">
        <v>94239.28571428571</v>
      </c>
      <c r="F58" s="14">
        <v>94239.28571428571</v>
      </c>
      <c r="G58" s="14">
        <v>94239.28571428571</v>
      </c>
      <c r="H58" s="14">
        <v>94239.28571428571</v>
      </c>
      <c r="I58" s="14">
        <v>94239.28571428571</v>
      </c>
      <c r="J58" s="14">
        <v>94239.28571428571</v>
      </c>
      <c r="K58" s="16">
        <f t="shared" si="12"/>
        <v>659674.99999999988</v>
      </c>
      <c r="L58" s="16">
        <f t="shared" si="13"/>
        <v>80776.530612244882</v>
      </c>
      <c r="M58" s="13">
        <f>K58/K13</f>
        <v>8.5736057062841944E-2</v>
      </c>
    </row>
    <row r="59" spans="1:13" ht="12.75" customHeight="1" x14ac:dyDescent="0.15">
      <c r="A59" s="47"/>
      <c r="B59" s="11" t="s">
        <v>117</v>
      </c>
      <c r="C59" s="14">
        <v>58494.142857142855</v>
      </c>
      <c r="D59" s="14">
        <v>0</v>
      </c>
      <c r="E59" s="14">
        <v>58494.142857142855</v>
      </c>
      <c r="F59" s="14">
        <v>58494.142857142855</v>
      </c>
      <c r="G59" s="14">
        <v>58494.142857142855</v>
      </c>
      <c r="H59" s="14">
        <v>58494.142857142855</v>
      </c>
      <c r="I59" s="14">
        <v>58494.142857142855</v>
      </c>
      <c r="J59" s="14">
        <v>58494.142857142855</v>
      </c>
      <c r="K59" s="16">
        <f t="shared" si="12"/>
        <v>409458.99999999994</v>
      </c>
      <c r="L59" s="16">
        <f t="shared" si="13"/>
        <v>50137.836734693868</v>
      </c>
      <c r="M59" s="13">
        <f>K59/K13</f>
        <v>5.3216205235751241E-2</v>
      </c>
    </row>
    <row r="60" spans="1:13" ht="12.75" customHeight="1" x14ac:dyDescent="0.15">
      <c r="A60" s="47"/>
      <c r="B60" s="17" t="s">
        <v>118</v>
      </c>
      <c r="C60" s="18">
        <f>SUM(C54:C59)</f>
        <v>152733.42857142858</v>
      </c>
      <c r="D60" s="18">
        <f t="shared" ref="D60:J60" si="15">SUM(D54:D59)</f>
        <v>1130465</v>
      </c>
      <c r="E60" s="18">
        <f t="shared" si="15"/>
        <v>152733.42857142858</v>
      </c>
      <c r="F60" s="18">
        <f t="shared" si="15"/>
        <v>152733.42857142858</v>
      </c>
      <c r="G60" s="18">
        <f t="shared" si="15"/>
        <v>152733.42857142858</v>
      </c>
      <c r="H60" s="18">
        <f t="shared" si="15"/>
        <v>152733.42857142858</v>
      </c>
      <c r="I60" s="18">
        <f t="shared" si="15"/>
        <v>152733.42857142858</v>
      </c>
      <c r="J60" s="18">
        <f t="shared" si="15"/>
        <v>152733.42857142858</v>
      </c>
      <c r="K60" s="20">
        <f t="shared" si="12"/>
        <v>2199599.0000000005</v>
      </c>
      <c r="L60" s="20">
        <f t="shared" si="13"/>
        <v>292409.36734693882</v>
      </c>
      <c r="M60" s="21">
        <f>K60/K13</f>
        <v>0.28587553777143315</v>
      </c>
    </row>
    <row r="61" spans="1:13" ht="12.75" customHeight="1" x14ac:dyDescent="0.15">
      <c r="A61" s="46" t="s">
        <v>119</v>
      </c>
      <c r="B61" s="46"/>
      <c r="C61" s="14">
        <f t="shared" ref="C61:J61" si="16">SUM(C53+C23+C29+C35+C42+C47+C60)</f>
        <v>903811.8</v>
      </c>
      <c r="D61" s="14">
        <f t="shared" si="16"/>
        <v>1130465</v>
      </c>
      <c r="E61" s="14">
        <f t="shared" si="16"/>
        <v>888031.48571428563</v>
      </c>
      <c r="F61" s="14">
        <f t="shared" si="16"/>
        <v>922334.17142857146</v>
      </c>
      <c r="G61" s="14">
        <f t="shared" si="16"/>
        <v>782176.08571428573</v>
      </c>
      <c r="H61" s="14">
        <f t="shared" si="16"/>
        <v>758624.88571428577</v>
      </c>
      <c r="I61" s="14">
        <f t="shared" si="16"/>
        <v>792341.22857142868</v>
      </c>
      <c r="J61" s="14">
        <f t="shared" si="16"/>
        <v>492224.42857142858</v>
      </c>
      <c r="K61" s="16">
        <f t="shared" si="12"/>
        <v>6670009.0857142853</v>
      </c>
      <c r="L61" s="16">
        <f t="shared" si="13"/>
        <v>823742.46938775503</v>
      </c>
      <c r="M61" s="13">
        <f>K61/K13</f>
        <v>0.86688184269901736</v>
      </c>
    </row>
    <row r="62" spans="1:13" ht="12.75" customHeight="1" x14ac:dyDescent="0.15">
      <c r="A62" s="46" t="s">
        <v>120</v>
      </c>
      <c r="B62" s="46"/>
      <c r="C62" s="14">
        <f t="shared" ref="C62:J62" si="17">SUM(C13-C61)</f>
        <v>492251.19999999995</v>
      </c>
      <c r="D62" s="14">
        <f t="shared" si="17"/>
        <v>199494</v>
      </c>
      <c r="E62" s="14">
        <f t="shared" si="17"/>
        <v>468574.51428571437</v>
      </c>
      <c r="F62" s="14">
        <f t="shared" si="17"/>
        <v>423043.82857142854</v>
      </c>
      <c r="G62" s="14">
        <f t="shared" si="17"/>
        <v>-62022.085714285728</v>
      </c>
      <c r="H62" s="14">
        <f t="shared" si="17"/>
        <v>14663.114285714226</v>
      </c>
      <c r="I62" s="14">
        <f t="shared" si="17"/>
        <v>-19535.228571428685</v>
      </c>
      <c r="J62" s="14">
        <f t="shared" si="17"/>
        <v>-492224.42857142858</v>
      </c>
      <c r="K62" s="16">
        <f t="shared" si="12"/>
        <v>1024244.914285714</v>
      </c>
      <c r="L62" s="16">
        <f t="shared" si="13"/>
        <v>75999.102040816302</v>
      </c>
      <c r="M62" s="13">
        <f>K62/K13</f>
        <v>0.13311815730098253</v>
      </c>
    </row>
    <row r="63" spans="1:13" ht="12.75" customHeight="1" x14ac:dyDescent="0.15">
      <c r="A63" s="46" t="s">
        <v>121</v>
      </c>
      <c r="B63" s="46"/>
      <c r="C63" s="14">
        <v>104592.76190476191</v>
      </c>
      <c r="D63" s="14">
        <v>0</v>
      </c>
      <c r="E63" s="14">
        <v>104592.76190476191</v>
      </c>
      <c r="F63" s="14">
        <v>104592.76190476191</v>
      </c>
      <c r="G63" s="14">
        <v>104592.76190476191</v>
      </c>
      <c r="H63" s="14">
        <v>104592.76190476191</v>
      </c>
      <c r="I63" s="14">
        <v>104592.76190476191</v>
      </c>
      <c r="J63" s="14">
        <v>104592.76190476191</v>
      </c>
      <c r="K63" s="16">
        <f t="shared" si="12"/>
        <v>732149.33333333337</v>
      </c>
      <c r="L63" s="16">
        <f t="shared" si="13"/>
        <v>89650.938775510207</v>
      </c>
      <c r="M63" s="13">
        <f>K63/K13</f>
        <v>9.5155337129932724E-2</v>
      </c>
    </row>
    <row r="64" spans="1:13" ht="12.75" customHeight="1" x14ac:dyDescent="0.15">
      <c r="A64" s="46" t="s">
        <v>122</v>
      </c>
      <c r="B64" s="46"/>
      <c r="C64" s="14">
        <v>32656.309523809523</v>
      </c>
      <c r="D64" s="14">
        <v>0</v>
      </c>
      <c r="E64" s="14">
        <v>32656.309523809523</v>
      </c>
      <c r="F64" s="14">
        <v>32656.309523809523</v>
      </c>
      <c r="G64" s="14">
        <v>32656.309523809523</v>
      </c>
      <c r="H64" s="14">
        <v>32656.309523809523</v>
      </c>
      <c r="I64" s="14">
        <v>32656.309523809523</v>
      </c>
      <c r="J64" s="14">
        <v>32656.309523809523</v>
      </c>
      <c r="K64" s="16">
        <f t="shared" si="12"/>
        <v>228594.16666666666</v>
      </c>
      <c r="L64" s="16">
        <f t="shared" si="13"/>
        <v>27991.12244897959</v>
      </c>
      <c r="M64" s="13">
        <f>K64/K13</f>
        <v>2.9709724512170597E-2</v>
      </c>
    </row>
    <row r="65" spans="1:13" ht="12.75" customHeight="1" x14ac:dyDescent="0.15">
      <c r="A65" s="46" t="s">
        <v>123</v>
      </c>
      <c r="B65" s="46"/>
      <c r="C65" s="14">
        <f>SUM(C62-(C63+C64))</f>
        <v>355002.12857142853</v>
      </c>
      <c r="D65" s="14">
        <f t="shared" ref="D65:J65" si="18">SUM(D62-(D63+D64))</f>
        <v>199494</v>
      </c>
      <c r="E65" s="14">
        <f t="shared" si="18"/>
        <v>331325.44285714295</v>
      </c>
      <c r="F65" s="14">
        <f t="shared" si="18"/>
        <v>285794.75714285712</v>
      </c>
      <c r="G65" s="14">
        <f t="shared" si="18"/>
        <v>-199271.15714285715</v>
      </c>
      <c r="H65" s="14">
        <f t="shared" si="18"/>
        <v>-122585.95714285719</v>
      </c>
      <c r="I65" s="14">
        <f t="shared" si="18"/>
        <v>-156784.3000000001</v>
      </c>
      <c r="J65" s="14">
        <f t="shared" si="18"/>
        <v>-629473.5</v>
      </c>
      <c r="K65" s="16">
        <f t="shared" si="12"/>
        <v>63501.414285714505</v>
      </c>
      <c r="L65" s="16">
        <f t="shared" si="13"/>
        <v>-41642.959183673454</v>
      </c>
      <c r="M65" s="13">
        <f>K65/K13</f>
        <v>8.253095658879276E-3</v>
      </c>
    </row>
    <row r="66" spans="1:13" x14ac:dyDescent="0.15">
      <c r="A66" s="11"/>
      <c r="B66" s="29" t="s">
        <v>46</v>
      </c>
      <c r="C66" s="29"/>
      <c r="D66" s="29"/>
      <c r="E66" s="29"/>
      <c r="F66" s="29" t="s">
        <v>124</v>
      </c>
      <c r="G66" s="29"/>
      <c r="H66" s="11"/>
      <c r="I66" s="11"/>
      <c r="J66" s="11"/>
    </row>
    <row r="67" spans="1:13" x14ac:dyDescent="0.15">
      <c r="A67" s="12"/>
      <c r="B67" s="30"/>
      <c r="C67" s="31" t="s">
        <v>125</v>
      </c>
      <c r="D67" s="2" t="s">
        <v>126</v>
      </c>
      <c r="E67" s="2" t="s">
        <v>127</v>
      </c>
      <c r="F67" s="2" t="s">
        <v>128</v>
      </c>
      <c r="G67" s="2" t="s">
        <v>129</v>
      </c>
      <c r="H67" s="32"/>
      <c r="I67" s="11"/>
      <c r="J67" s="11"/>
    </row>
    <row r="68" spans="1:13" x14ac:dyDescent="0.15">
      <c r="A68" s="12"/>
      <c r="B68" s="33" t="s">
        <v>130</v>
      </c>
      <c r="C68" s="22">
        <v>0</v>
      </c>
      <c r="D68" s="22">
        <v>659675</v>
      </c>
      <c r="E68" s="22">
        <v>409459</v>
      </c>
      <c r="F68" s="22">
        <v>4392896</v>
      </c>
      <c r="G68" s="22">
        <v>1371565</v>
      </c>
      <c r="H68" s="32"/>
      <c r="I68" s="11"/>
      <c r="J68" s="11"/>
    </row>
    <row r="69" spans="1:13" x14ac:dyDescent="0.15">
      <c r="A69" s="12"/>
      <c r="B69" s="34" t="s">
        <v>131</v>
      </c>
      <c r="C69" s="22">
        <v>7</v>
      </c>
      <c r="D69" s="22">
        <v>7</v>
      </c>
      <c r="E69" s="22">
        <v>7</v>
      </c>
      <c r="F69" s="22">
        <v>42</v>
      </c>
      <c r="G69" s="22">
        <v>42</v>
      </c>
      <c r="H69" s="32"/>
      <c r="I69" s="11"/>
      <c r="J69" s="11"/>
    </row>
    <row r="70" spans="1:13" x14ac:dyDescent="0.15">
      <c r="A70" s="12"/>
      <c r="B70" s="34" t="s">
        <v>41</v>
      </c>
      <c r="C70" s="14">
        <f>SUM(C68/C69)</f>
        <v>0</v>
      </c>
      <c r="D70" s="14">
        <f t="shared" ref="D70:G70" si="19">SUM(D68/D69)</f>
        <v>94239.28571428571</v>
      </c>
      <c r="E70" s="14">
        <f t="shared" si="19"/>
        <v>58494.142857142855</v>
      </c>
      <c r="F70" s="14">
        <f t="shared" si="19"/>
        <v>104592.76190476191</v>
      </c>
      <c r="G70" s="14">
        <f t="shared" si="19"/>
        <v>32656.309523809523</v>
      </c>
      <c r="H70" s="32"/>
      <c r="I70" s="11"/>
      <c r="J70" s="11"/>
    </row>
    <row r="71" spans="1:13" x14ac:dyDescent="0.15">
      <c r="A71" s="11"/>
      <c r="B71" s="35" t="s">
        <v>47</v>
      </c>
      <c r="C71" s="35"/>
      <c r="D71" s="35"/>
      <c r="E71" s="35"/>
      <c r="F71" s="35"/>
      <c r="G71" s="35"/>
      <c r="H71" s="11"/>
      <c r="I71" s="11"/>
      <c r="J71" s="11"/>
    </row>
    <row r="72" spans="1:13" x14ac:dyDescent="0.15">
      <c r="A72" s="11"/>
      <c r="B72" s="30"/>
      <c r="C72" s="31" t="s">
        <v>132</v>
      </c>
      <c r="D72" s="2" t="s">
        <v>133</v>
      </c>
      <c r="E72" s="2" t="s">
        <v>134</v>
      </c>
      <c r="F72" s="11"/>
      <c r="G72" s="11"/>
      <c r="H72" s="11"/>
      <c r="I72" s="11"/>
      <c r="J72" s="11"/>
    </row>
    <row r="73" spans="1:13" x14ac:dyDescent="0.15">
      <c r="A73" s="11"/>
      <c r="B73" s="33" t="s">
        <v>130</v>
      </c>
      <c r="C73" s="22">
        <v>118000</v>
      </c>
      <c r="D73" s="22">
        <v>1809730</v>
      </c>
      <c r="E73" s="22">
        <v>1387318</v>
      </c>
      <c r="F73" s="11"/>
      <c r="G73" s="11"/>
      <c r="H73" s="11"/>
      <c r="I73" s="11"/>
      <c r="J73" s="11"/>
    </row>
    <row r="74" spans="1:13" x14ac:dyDescent="0.15">
      <c r="A74" s="11"/>
      <c r="B74" s="34" t="s">
        <v>131</v>
      </c>
      <c r="C74" s="22">
        <v>17</v>
      </c>
      <c r="D74" s="22">
        <v>17</v>
      </c>
      <c r="E74" s="22">
        <v>17</v>
      </c>
      <c r="F74" s="11"/>
      <c r="G74" s="11"/>
      <c r="H74" s="11"/>
      <c r="I74" s="11"/>
      <c r="J74" s="11"/>
    </row>
    <row r="75" spans="1:13" x14ac:dyDescent="0.15">
      <c r="A75" s="11"/>
      <c r="B75" s="34" t="s">
        <v>41</v>
      </c>
      <c r="C75" s="14">
        <f>SUM(C73/C74)</f>
        <v>6941.1764705882351</v>
      </c>
      <c r="D75" s="14">
        <f t="shared" ref="D75:E75" si="20">SUM(D73/D74)</f>
        <v>106454.70588235294</v>
      </c>
      <c r="E75" s="14">
        <f t="shared" si="20"/>
        <v>81606.941176470587</v>
      </c>
      <c r="F75" s="11"/>
      <c r="G75" s="11"/>
      <c r="H75" s="11"/>
      <c r="I75" s="11"/>
      <c r="J75" s="11"/>
    </row>
    <row r="76" spans="1:13" x14ac:dyDescent="0.15">
      <c r="A76" s="11"/>
      <c r="B76" s="11" t="s">
        <v>135</v>
      </c>
      <c r="C76" s="11"/>
      <c r="D76" s="11"/>
      <c r="E76" s="11"/>
      <c r="F76" s="11"/>
      <c r="G76" s="11"/>
      <c r="H76" s="11"/>
      <c r="I76" s="11"/>
      <c r="J76" s="11"/>
    </row>
    <row r="77" spans="1:13" x14ac:dyDescent="0.15">
      <c r="A77" s="11"/>
      <c r="B77" s="30"/>
      <c r="C77" s="31" t="s">
        <v>136</v>
      </c>
      <c r="D77" s="2" t="s">
        <v>137</v>
      </c>
      <c r="E77" s="2" t="s">
        <v>138</v>
      </c>
      <c r="F77" s="11"/>
      <c r="G77" s="11"/>
      <c r="H77" s="11"/>
      <c r="I77" s="11"/>
      <c r="J77" s="11"/>
    </row>
    <row r="78" spans="1:13" x14ac:dyDescent="0.15">
      <c r="A78" s="11"/>
      <c r="B78" s="33" t="s">
        <v>130</v>
      </c>
      <c r="C78" s="22"/>
      <c r="D78" s="22"/>
      <c r="E78" s="22"/>
      <c r="F78" s="11"/>
      <c r="G78" s="11"/>
      <c r="H78" s="11"/>
      <c r="I78" s="11"/>
      <c r="J78" s="11"/>
    </row>
    <row r="79" spans="1:13" x14ac:dyDescent="0.15">
      <c r="A79" s="11"/>
      <c r="B79" s="34" t="s">
        <v>131</v>
      </c>
      <c r="C79" s="22"/>
      <c r="D79" s="22"/>
      <c r="E79" s="22"/>
      <c r="F79" s="11"/>
      <c r="G79" s="11"/>
      <c r="H79" s="11"/>
      <c r="I79" s="11"/>
      <c r="J79" s="11"/>
    </row>
    <row r="80" spans="1:13" x14ac:dyDescent="0.15">
      <c r="A80" s="11"/>
      <c r="B80" s="34" t="s">
        <v>41</v>
      </c>
      <c r="C80" s="14" t="e">
        <f>SUM(C78/C79)</f>
        <v>#DIV/0!</v>
      </c>
      <c r="D80" s="14" t="e">
        <f t="shared" ref="D80:E80" si="21">SUM(D78/D79)</f>
        <v>#DIV/0!</v>
      </c>
      <c r="E80" s="14" t="e">
        <f t="shared" si="21"/>
        <v>#DIV/0!</v>
      </c>
      <c r="F80" s="11"/>
      <c r="G80" s="11"/>
      <c r="H80" s="11"/>
      <c r="I80" s="11"/>
      <c r="J80" s="11"/>
    </row>
    <row r="81" spans="1:10" x14ac:dyDescent="0.15">
      <c r="A81" s="11"/>
      <c r="B81" s="11" t="s">
        <v>139</v>
      </c>
      <c r="C81" s="11"/>
      <c r="D81" s="11"/>
      <c r="E81" s="11"/>
      <c r="F81" s="11"/>
      <c r="G81" s="11"/>
      <c r="H81" s="11"/>
      <c r="I81" s="11"/>
      <c r="J81" s="11"/>
    </row>
    <row r="82" spans="1:10" x14ac:dyDescent="0.15">
      <c r="A82" s="11"/>
      <c r="B82" s="30"/>
      <c r="C82" s="31" t="s">
        <v>140</v>
      </c>
      <c r="D82" s="2" t="s">
        <v>141</v>
      </c>
      <c r="E82" s="2" t="s">
        <v>142</v>
      </c>
      <c r="F82" s="11"/>
      <c r="G82" s="11"/>
      <c r="H82" s="11"/>
      <c r="I82" s="11"/>
      <c r="J82" s="11"/>
    </row>
    <row r="83" spans="1:10" x14ac:dyDescent="0.15">
      <c r="A83" s="11"/>
      <c r="B83" s="33" t="s">
        <v>130</v>
      </c>
      <c r="C83" s="22"/>
      <c r="D83" s="22"/>
      <c r="E83" s="22"/>
      <c r="F83" s="11"/>
      <c r="G83" s="11"/>
      <c r="H83" s="11"/>
      <c r="I83" s="11"/>
      <c r="J83" s="11"/>
    </row>
    <row r="84" spans="1:10" x14ac:dyDescent="0.15">
      <c r="A84" s="11"/>
      <c r="B84" s="34" t="s">
        <v>131</v>
      </c>
      <c r="C84" s="22"/>
      <c r="D84" s="22"/>
      <c r="E84" s="22"/>
      <c r="F84" s="11"/>
      <c r="G84" s="11"/>
      <c r="H84" s="11"/>
      <c r="I84" s="11"/>
      <c r="J84" s="11"/>
    </row>
    <row r="85" spans="1:10" x14ac:dyDescent="0.15">
      <c r="A85" s="11"/>
      <c r="B85" s="34" t="s">
        <v>41</v>
      </c>
      <c r="C85" s="14" t="e">
        <f>SUM(C83/C84)</f>
        <v>#DIV/0!</v>
      </c>
      <c r="D85" s="14" t="e">
        <f t="shared" ref="D85:E85" si="22">SUM(D83/D84)</f>
        <v>#DIV/0!</v>
      </c>
      <c r="E85" s="14" t="e">
        <f t="shared" si="22"/>
        <v>#DIV/0!</v>
      </c>
      <c r="F85" s="11"/>
      <c r="G85" s="11"/>
      <c r="H85" s="11"/>
      <c r="I85" s="11"/>
      <c r="J85" s="11"/>
    </row>
    <row r="86" spans="1:10" x14ac:dyDescent="0.15">
      <c r="A86" s="11"/>
      <c r="B86" s="11" t="s">
        <v>143</v>
      </c>
      <c r="C86" s="11"/>
      <c r="D86" s="11"/>
      <c r="E86" s="11"/>
      <c r="F86" s="11"/>
      <c r="G86" s="11"/>
      <c r="H86" s="11"/>
      <c r="I86" s="11"/>
      <c r="J86" s="11"/>
    </row>
    <row r="87" spans="1:10" x14ac:dyDescent="0.15">
      <c r="A87" s="11"/>
      <c r="B87" s="30"/>
      <c r="C87" s="31" t="s">
        <v>144</v>
      </c>
      <c r="D87" s="2" t="s">
        <v>145</v>
      </c>
      <c r="E87" s="2" t="s">
        <v>146</v>
      </c>
      <c r="F87" s="11"/>
      <c r="G87" s="11"/>
      <c r="H87" s="11"/>
      <c r="I87" s="11"/>
      <c r="J87" s="11"/>
    </row>
    <row r="88" spans="1:10" x14ac:dyDescent="0.15">
      <c r="A88" s="11"/>
      <c r="B88" s="33" t="s">
        <v>130</v>
      </c>
      <c r="C88" s="22"/>
      <c r="D88" s="22"/>
      <c r="E88" s="22"/>
      <c r="F88" s="11"/>
      <c r="G88" s="11"/>
      <c r="H88" s="11"/>
      <c r="I88" s="11"/>
      <c r="J88" s="11"/>
    </row>
    <row r="89" spans="1:10" x14ac:dyDescent="0.15">
      <c r="A89" s="11"/>
      <c r="B89" s="34" t="s">
        <v>131</v>
      </c>
      <c r="C89" s="22"/>
      <c r="D89" s="22"/>
      <c r="E89" s="22"/>
      <c r="F89" s="11"/>
      <c r="G89" s="11"/>
      <c r="H89" s="11"/>
      <c r="I89" s="11"/>
      <c r="J89" s="11"/>
    </row>
    <row r="90" spans="1:10" x14ac:dyDescent="0.15">
      <c r="A90" s="11"/>
      <c r="B90" s="34" t="s">
        <v>41</v>
      </c>
      <c r="C90" s="14" t="e">
        <f>SUM(C88/C89)</f>
        <v>#DIV/0!</v>
      </c>
      <c r="D90" s="14" t="e">
        <f t="shared" ref="D90:E90" si="23">SUM(D88/D89)</f>
        <v>#DIV/0!</v>
      </c>
      <c r="E90" s="14" t="e">
        <f t="shared" si="23"/>
        <v>#DIV/0!</v>
      </c>
      <c r="F90" s="11"/>
      <c r="G90" s="11"/>
      <c r="H90" s="11"/>
      <c r="I90" s="11"/>
      <c r="J90" s="11"/>
    </row>
    <row r="91" spans="1:10" x14ac:dyDescent="0.15">
      <c r="A91" s="11"/>
      <c r="B91" s="11"/>
      <c r="C91" s="11"/>
      <c r="D91" s="11"/>
      <c r="E91" s="11"/>
      <c r="F91" s="11"/>
      <c r="G91" s="11"/>
      <c r="H91" s="11"/>
      <c r="I91" s="11"/>
      <c r="J91" s="11"/>
    </row>
    <row r="92" spans="1:10" x14ac:dyDescent="0.15">
      <c r="A92" s="11"/>
      <c r="B92" s="30"/>
      <c r="C92" s="31" t="s">
        <v>147</v>
      </c>
      <c r="D92" s="2" t="s">
        <v>148</v>
      </c>
      <c r="E92" s="2" t="s">
        <v>149</v>
      </c>
      <c r="F92" s="11"/>
      <c r="G92" s="11"/>
      <c r="H92" s="11"/>
      <c r="I92" s="11"/>
      <c r="J92" s="11"/>
    </row>
    <row r="93" spans="1:10" x14ac:dyDescent="0.15">
      <c r="A93" s="11"/>
      <c r="B93" s="33" t="s">
        <v>130</v>
      </c>
      <c r="C93" s="22">
        <v>150000</v>
      </c>
      <c r="D93" s="22">
        <v>595223</v>
      </c>
      <c r="E93" s="22">
        <v>571249</v>
      </c>
      <c r="F93" s="11"/>
      <c r="G93" s="11"/>
      <c r="H93" s="11"/>
      <c r="I93" s="11"/>
      <c r="J93" s="11"/>
    </row>
    <row r="94" spans="1:10" x14ac:dyDescent="0.15">
      <c r="B94" s="34" t="s">
        <v>131</v>
      </c>
      <c r="C94" s="22">
        <v>7</v>
      </c>
      <c r="D94" s="22">
        <v>7</v>
      </c>
      <c r="E94" s="22">
        <v>7</v>
      </c>
    </row>
    <row r="95" spans="1:10" x14ac:dyDescent="0.15">
      <c r="B95" s="34" t="s">
        <v>41</v>
      </c>
      <c r="C95" s="14">
        <f>SUM(C93/C94)</f>
        <v>21428.571428571428</v>
      </c>
      <c r="D95" s="14">
        <f t="shared" ref="D95:E95" si="24">SUM(D93/D94)</f>
        <v>85031.857142857145</v>
      </c>
      <c r="E95" s="14">
        <f t="shared" si="24"/>
        <v>81607</v>
      </c>
    </row>
    <row r="97" spans="2:5" x14ac:dyDescent="0.15">
      <c r="B97" s="30"/>
      <c r="C97" s="31" t="s">
        <v>150</v>
      </c>
      <c r="D97" s="2" t="s">
        <v>151</v>
      </c>
      <c r="E97" s="2" t="s">
        <v>152</v>
      </c>
    </row>
    <row r="98" spans="2:5" x14ac:dyDescent="0.15">
      <c r="B98" s="33" t="s">
        <v>130</v>
      </c>
      <c r="C98" s="22">
        <v>297000</v>
      </c>
      <c r="D98" s="22">
        <v>625984</v>
      </c>
      <c r="E98" s="22">
        <v>325266</v>
      </c>
    </row>
    <row r="99" spans="2:5" x14ac:dyDescent="0.15">
      <c r="B99" s="34" t="s">
        <v>131</v>
      </c>
      <c r="C99" s="22">
        <v>5</v>
      </c>
      <c r="D99" s="22">
        <v>5</v>
      </c>
      <c r="E99" s="22">
        <v>5</v>
      </c>
    </row>
    <row r="100" spans="2:5" x14ac:dyDescent="0.15">
      <c r="B100" s="34" t="s">
        <v>41</v>
      </c>
      <c r="C100" s="14">
        <f>SUM(C98/C99)</f>
        <v>59400</v>
      </c>
      <c r="D100" s="14">
        <f t="shared" ref="D100:E100" si="25">SUM(D98/D99)</f>
        <v>125196.8</v>
      </c>
      <c r="E100" s="14">
        <f t="shared" si="25"/>
        <v>65053.2</v>
      </c>
    </row>
    <row r="102" spans="2:5" x14ac:dyDescent="0.15">
      <c r="B102" s="30"/>
      <c r="C102" s="31" t="s">
        <v>153</v>
      </c>
      <c r="D102" s="2" t="s">
        <v>154</v>
      </c>
      <c r="E102" s="2" t="s">
        <v>155</v>
      </c>
    </row>
    <row r="103" spans="2:5" x14ac:dyDescent="0.15">
      <c r="B103" s="33" t="s">
        <v>130</v>
      </c>
      <c r="C103" s="22">
        <v>170000</v>
      </c>
      <c r="D103" s="22">
        <v>645059</v>
      </c>
      <c r="E103" s="22">
        <v>512541</v>
      </c>
    </row>
    <row r="104" spans="2:5" x14ac:dyDescent="0.15">
      <c r="B104" s="34" t="s">
        <v>131</v>
      </c>
      <c r="C104" s="22">
        <v>6</v>
      </c>
      <c r="D104" s="22">
        <v>6</v>
      </c>
      <c r="E104" s="22">
        <v>6</v>
      </c>
    </row>
    <row r="105" spans="2:5" x14ac:dyDescent="0.15">
      <c r="B105" s="34" t="s">
        <v>41</v>
      </c>
      <c r="C105" s="14">
        <f>SUM(C103/C104)</f>
        <v>28333.333333333332</v>
      </c>
      <c r="D105" s="14">
        <f t="shared" ref="D105:E105" si="26">SUM(D103/D104)</f>
        <v>107509.83333333333</v>
      </c>
      <c r="E105" s="14">
        <f t="shared" si="26"/>
        <v>85423.5</v>
      </c>
    </row>
    <row r="107" spans="2:5" x14ac:dyDescent="0.15">
      <c r="B107" s="11" t="s">
        <v>156</v>
      </c>
      <c r="C107" s="8">
        <v>32</v>
      </c>
    </row>
  </sheetData>
  <mergeCells count="26">
    <mergeCell ref="A8:B8"/>
    <mergeCell ref="A3:B3"/>
    <mergeCell ref="A4:B4"/>
    <mergeCell ref="A5:B5"/>
    <mergeCell ref="A6:B6"/>
    <mergeCell ref="A7:B7"/>
    <mergeCell ref="A36:A42"/>
    <mergeCell ref="A9:B9"/>
    <mergeCell ref="A10:B10"/>
    <mergeCell ref="A11:B11"/>
    <mergeCell ref="A12:B12"/>
    <mergeCell ref="A13:B13"/>
    <mergeCell ref="A14:B14"/>
    <mergeCell ref="A15:B15"/>
    <mergeCell ref="A16:B16"/>
    <mergeCell ref="A17:A23"/>
    <mergeCell ref="A24:A29"/>
    <mergeCell ref="A30:A35"/>
    <mergeCell ref="A64:B64"/>
    <mergeCell ref="A65:B65"/>
    <mergeCell ref="A43:A47"/>
    <mergeCell ref="A48:A53"/>
    <mergeCell ref="A54:A60"/>
    <mergeCell ref="A61:B61"/>
    <mergeCell ref="A62:B62"/>
    <mergeCell ref="A63:B63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>
              <from>
                <xdr:col>0</xdr:col>
                <xdr:colOff>19050</xdr:colOff>
                <xdr:row>2</xdr:row>
                <xdr:rowOff>28575</xdr:rowOff>
              </from>
              <to>
                <xdr:col>1</xdr:col>
                <xdr:colOff>485775</xdr:colOff>
                <xdr:row>6</xdr:row>
                <xdr:rowOff>9525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DE1CF-8977-4173-B533-D62353C58B50}">
  <sheetPr codeName="Sheet3"/>
  <dimension ref="A1:AE107"/>
  <sheetViews>
    <sheetView topLeftCell="A3" workbookViewId="0">
      <selection activeCell="D62" sqref="D62:AB62"/>
    </sheetView>
  </sheetViews>
  <sheetFormatPr defaultRowHeight="13.5" x14ac:dyDescent="0.15"/>
  <cols>
    <col min="1" max="1" width="2.875" style="1" bestFit="1" customWidth="1"/>
    <col min="2" max="2" width="17.625" style="1" bestFit="1" customWidth="1"/>
    <col min="3" max="21" width="13" style="1" bestFit="1" customWidth="1"/>
    <col min="22" max="25" width="11" style="1" bestFit="1" customWidth="1"/>
    <col min="26" max="28" width="12.25" style="1" bestFit="1" customWidth="1"/>
    <col min="29" max="29" width="13.25" style="1" bestFit="1" customWidth="1"/>
    <col min="30" max="30" width="10" style="1" bestFit="1" customWidth="1"/>
    <col min="31" max="31" width="11" style="1" bestFit="1" customWidth="1"/>
    <col min="32" max="235" width="9" style="1"/>
    <col min="236" max="236" width="2.875" style="1" bestFit="1" customWidth="1"/>
    <col min="237" max="237" width="17.625" style="1" bestFit="1" customWidth="1"/>
    <col min="238" max="238" width="11.375" style="1" bestFit="1" customWidth="1"/>
    <col min="239" max="240" width="14.125" style="1" bestFit="1" customWidth="1"/>
    <col min="241" max="241" width="11.375" style="1" bestFit="1" customWidth="1"/>
    <col min="242" max="244" width="12.5" style="1" bestFit="1" customWidth="1"/>
    <col min="245" max="245" width="11" style="1" bestFit="1" customWidth="1"/>
    <col min="246" max="264" width="13" style="1" bestFit="1" customWidth="1"/>
    <col min="265" max="268" width="11" style="1" bestFit="1" customWidth="1"/>
    <col min="269" max="271" width="12.25" style="1" bestFit="1" customWidth="1"/>
    <col min="272" max="284" width="11" style="1" bestFit="1" customWidth="1"/>
    <col min="285" max="285" width="13.25" style="1" bestFit="1" customWidth="1"/>
    <col min="286" max="286" width="10" style="1" bestFit="1" customWidth="1"/>
    <col min="287" max="287" width="11" style="1" bestFit="1" customWidth="1"/>
    <col min="288" max="491" width="9" style="1"/>
    <col min="492" max="492" width="2.875" style="1" bestFit="1" customWidth="1"/>
    <col min="493" max="493" width="17.625" style="1" bestFit="1" customWidth="1"/>
    <col min="494" max="494" width="11.375" style="1" bestFit="1" customWidth="1"/>
    <col min="495" max="496" width="14.125" style="1" bestFit="1" customWidth="1"/>
    <col min="497" max="497" width="11.375" style="1" bestFit="1" customWidth="1"/>
    <col min="498" max="500" width="12.5" style="1" bestFit="1" customWidth="1"/>
    <col min="501" max="501" width="11" style="1" bestFit="1" customWidth="1"/>
    <col min="502" max="520" width="13" style="1" bestFit="1" customWidth="1"/>
    <col min="521" max="524" width="11" style="1" bestFit="1" customWidth="1"/>
    <col min="525" max="527" width="12.25" style="1" bestFit="1" customWidth="1"/>
    <col min="528" max="540" width="11" style="1" bestFit="1" customWidth="1"/>
    <col min="541" max="541" width="13.25" style="1" bestFit="1" customWidth="1"/>
    <col min="542" max="542" width="10" style="1" bestFit="1" customWidth="1"/>
    <col min="543" max="543" width="11" style="1" bestFit="1" customWidth="1"/>
    <col min="544" max="747" width="9" style="1"/>
    <col min="748" max="748" width="2.875" style="1" bestFit="1" customWidth="1"/>
    <col min="749" max="749" width="17.625" style="1" bestFit="1" customWidth="1"/>
    <col min="750" max="750" width="11.375" style="1" bestFit="1" customWidth="1"/>
    <col min="751" max="752" width="14.125" style="1" bestFit="1" customWidth="1"/>
    <col min="753" max="753" width="11.375" style="1" bestFit="1" customWidth="1"/>
    <col min="754" max="756" width="12.5" style="1" bestFit="1" customWidth="1"/>
    <col min="757" max="757" width="11" style="1" bestFit="1" customWidth="1"/>
    <col min="758" max="776" width="13" style="1" bestFit="1" customWidth="1"/>
    <col min="777" max="780" width="11" style="1" bestFit="1" customWidth="1"/>
    <col min="781" max="783" width="12.25" style="1" bestFit="1" customWidth="1"/>
    <col min="784" max="796" width="11" style="1" bestFit="1" customWidth="1"/>
    <col min="797" max="797" width="13.25" style="1" bestFit="1" customWidth="1"/>
    <col min="798" max="798" width="10" style="1" bestFit="1" customWidth="1"/>
    <col min="799" max="799" width="11" style="1" bestFit="1" customWidth="1"/>
    <col min="800" max="1003" width="9" style="1"/>
    <col min="1004" max="1004" width="2.875" style="1" bestFit="1" customWidth="1"/>
    <col min="1005" max="1005" width="17.625" style="1" bestFit="1" customWidth="1"/>
    <col min="1006" max="1006" width="11.375" style="1" bestFit="1" customWidth="1"/>
    <col min="1007" max="1008" width="14.125" style="1" bestFit="1" customWidth="1"/>
    <col min="1009" max="1009" width="11.375" style="1" bestFit="1" customWidth="1"/>
    <col min="1010" max="1012" width="12.5" style="1" bestFit="1" customWidth="1"/>
    <col min="1013" max="1013" width="11" style="1" bestFit="1" customWidth="1"/>
    <col min="1014" max="1032" width="13" style="1" bestFit="1" customWidth="1"/>
    <col min="1033" max="1036" width="11" style="1" bestFit="1" customWidth="1"/>
    <col min="1037" max="1039" width="12.25" style="1" bestFit="1" customWidth="1"/>
    <col min="1040" max="1052" width="11" style="1" bestFit="1" customWidth="1"/>
    <col min="1053" max="1053" width="13.25" style="1" bestFit="1" customWidth="1"/>
    <col min="1054" max="1054" width="10" style="1" bestFit="1" customWidth="1"/>
    <col min="1055" max="1055" width="11" style="1" bestFit="1" customWidth="1"/>
    <col min="1056" max="1259" width="9" style="1"/>
    <col min="1260" max="1260" width="2.875" style="1" bestFit="1" customWidth="1"/>
    <col min="1261" max="1261" width="17.625" style="1" bestFit="1" customWidth="1"/>
    <col min="1262" max="1262" width="11.375" style="1" bestFit="1" customWidth="1"/>
    <col min="1263" max="1264" width="14.125" style="1" bestFit="1" customWidth="1"/>
    <col min="1265" max="1265" width="11.375" style="1" bestFit="1" customWidth="1"/>
    <col min="1266" max="1268" width="12.5" style="1" bestFit="1" customWidth="1"/>
    <col min="1269" max="1269" width="11" style="1" bestFit="1" customWidth="1"/>
    <col min="1270" max="1288" width="13" style="1" bestFit="1" customWidth="1"/>
    <col min="1289" max="1292" width="11" style="1" bestFit="1" customWidth="1"/>
    <col min="1293" max="1295" width="12.25" style="1" bestFit="1" customWidth="1"/>
    <col min="1296" max="1308" width="11" style="1" bestFit="1" customWidth="1"/>
    <col min="1309" max="1309" width="13.25" style="1" bestFit="1" customWidth="1"/>
    <col min="1310" max="1310" width="10" style="1" bestFit="1" customWidth="1"/>
    <col min="1311" max="1311" width="11" style="1" bestFit="1" customWidth="1"/>
    <col min="1312" max="1515" width="9" style="1"/>
    <col min="1516" max="1516" width="2.875" style="1" bestFit="1" customWidth="1"/>
    <col min="1517" max="1517" width="17.625" style="1" bestFit="1" customWidth="1"/>
    <col min="1518" max="1518" width="11.375" style="1" bestFit="1" customWidth="1"/>
    <col min="1519" max="1520" width="14.125" style="1" bestFit="1" customWidth="1"/>
    <col min="1521" max="1521" width="11.375" style="1" bestFit="1" customWidth="1"/>
    <col min="1522" max="1524" width="12.5" style="1" bestFit="1" customWidth="1"/>
    <col min="1525" max="1525" width="11" style="1" bestFit="1" customWidth="1"/>
    <col min="1526" max="1544" width="13" style="1" bestFit="1" customWidth="1"/>
    <col min="1545" max="1548" width="11" style="1" bestFit="1" customWidth="1"/>
    <col min="1549" max="1551" width="12.25" style="1" bestFit="1" customWidth="1"/>
    <col min="1552" max="1564" width="11" style="1" bestFit="1" customWidth="1"/>
    <col min="1565" max="1565" width="13.25" style="1" bestFit="1" customWidth="1"/>
    <col min="1566" max="1566" width="10" style="1" bestFit="1" customWidth="1"/>
    <col min="1567" max="1567" width="11" style="1" bestFit="1" customWidth="1"/>
    <col min="1568" max="1771" width="9" style="1"/>
    <col min="1772" max="1772" width="2.875" style="1" bestFit="1" customWidth="1"/>
    <col min="1773" max="1773" width="17.625" style="1" bestFit="1" customWidth="1"/>
    <col min="1774" max="1774" width="11.375" style="1" bestFit="1" customWidth="1"/>
    <col min="1775" max="1776" width="14.125" style="1" bestFit="1" customWidth="1"/>
    <col min="1777" max="1777" width="11.375" style="1" bestFit="1" customWidth="1"/>
    <col min="1778" max="1780" width="12.5" style="1" bestFit="1" customWidth="1"/>
    <col min="1781" max="1781" width="11" style="1" bestFit="1" customWidth="1"/>
    <col min="1782" max="1800" width="13" style="1" bestFit="1" customWidth="1"/>
    <col min="1801" max="1804" width="11" style="1" bestFit="1" customWidth="1"/>
    <col min="1805" max="1807" width="12.25" style="1" bestFit="1" customWidth="1"/>
    <col min="1808" max="1820" width="11" style="1" bestFit="1" customWidth="1"/>
    <col min="1821" max="1821" width="13.25" style="1" bestFit="1" customWidth="1"/>
    <col min="1822" max="1822" width="10" style="1" bestFit="1" customWidth="1"/>
    <col min="1823" max="1823" width="11" style="1" bestFit="1" customWidth="1"/>
    <col min="1824" max="2027" width="9" style="1"/>
    <col min="2028" max="2028" width="2.875" style="1" bestFit="1" customWidth="1"/>
    <col min="2029" max="2029" width="17.625" style="1" bestFit="1" customWidth="1"/>
    <col min="2030" max="2030" width="11.375" style="1" bestFit="1" customWidth="1"/>
    <col min="2031" max="2032" width="14.125" style="1" bestFit="1" customWidth="1"/>
    <col min="2033" max="2033" width="11.375" style="1" bestFit="1" customWidth="1"/>
    <col min="2034" max="2036" width="12.5" style="1" bestFit="1" customWidth="1"/>
    <col min="2037" max="2037" width="11" style="1" bestFit="1" customWidth="1"/>
    <col min="2038" max="2056" width="13" style="1" bestFit="1" customWidth="1"/>
    <col min="2057" max="2060" width="11" style="1" bestFit="1" customWidth="1"/>
    <col min="2061" max="2063" width="12.25" style="1" bestFit="1" customWidth="1"/>
    <col min="2064" max="2076" width="11" style="1" bestFit="1" customWidth="1"/>
    <col min="2077" max="2077" width="13.25" style="1" bestFit="1" customWidth="1"/>
    <col min="2078" max="2078" width="10" style="1" bestFit="1" customWidth="1"/>
    <col min="2079" max="2079" width="11" style="1" bestFit="1" customWidth="1"/>
    <col min="2080" max="2283" width="9" style="1"/>
    <col min="2284" max="2284" width="2.875" style="1" bestFit="1" customWidth="1"/>
    <col min="2285" max="2285" width="17.625" style="1" bestFit="1" customWidth="1"/>
    <col min="2286" max="2286" width="11.375" style="1" bestFit="1" customWidth="1"/>
    <col min="2287" max="2288" width="14.125" style="1" bestFit="1" customWidth="1"/>
    <col min="2289" max="2289" width="11.375" style="1" bestFit="1" customWidth="1"/>
    <col min="2290" max="2292" width="12.5" style="1" bestFit="1" customWidth="1"/>
    <col min="2293" max="2293" width="11" style="1" bestFit="1" customWidth="1"/>
    <col min="2294" max="2312" width="13" style="1" bestFit="1" customWidth="1"/>
    <col min="2313" max="2316" width="11" style="1" bestFit="1" customWidth="1"/>
    <col min="2317" max="2319" width="12.25" style="1" bestFit="1" customWidth="1"/>
    <col min="2320" max="2332" width="11" style="1" bestFit="1" customWidth="1"/>
    <col min="2333" max="2333" width="13.25" style="1" bestFit="1" customWidth="1"/>
    <col min="2334" max="2334" width="10" style="1" bestFit="1" customWidth="1"/>
    <col min="2335" max="2335" width="11" style="1" bestFit="1" customWidth="1"/>
    <col min="2336" max="2539" width="9" style="1"/>
    <col min="2540" max="2540" width="2.875" style="1" bestFit="1" customWidth="1"/>
    <col min="2541" max="2541" width="17.625" style="1" bestFit="1" customWidth="1"/>
    <col min="2542" max="2542" width="11.375" style="1" bestFit="1" customWidth="1"/>
    <col min="2543" max="2544" width="14.125" style="1" bestFit="1" customWidth="1"/>
    <col min="2545" max="2545" width="11.375" style="1" bestFit="1" customWidth="1"/>
    <col min="2546" max="2548" width="12.5" style="1" bestFit="1" customWidth="1"/>
    <col min="2549" max="2549" width="11" style="1" bestFit="1" customWidth="1"/>
    <col min="2550" max="2568" width="13" style="1" bestFit="1" customWidth="1"/>
    <col min="2569" max="2572" width="11" style="1" bestFit="1" customWidth="1"/>
    <col min="2573" max="2575" width="12.25" style="1" bestFit="1" customWidth="1"/>
    <col min="2576" max="2588" width="11" style="1" bestFit="1" customWidth="1"/>
    <col min="2589" max="2589" width="13.25" style="1" bestFit="1" customWidth="1"/>
    <col min="2590" max="2590" width="10" style="1" bestFit="1" customWidth="1"/>
    <col min="2591" max="2591" width="11" style="1" bestFit="1" customWidth="1"/>
    <col min="2592" max="2795" width="9" style="1"/>
    <col min="2796" max="2796" width="2.875" style="1" bestFit="1" customWidth="1"/>
    <col min="2797" max="2797" width="17.625" style="1" bestFit="1" customWidth="1"/>
    <col min="2798" max="2798" width="11.375" style="1" bestFit="1" customWidth="1"/>
    <col min="2799" max="2800" width="14.125" style="1" bestFit="1" customWidth="1"/>
    <col min="2801" max="2801" width="11.375" style="1" bestFit="1" customWidth="1"/>
    <col min="2802" max="2804" width="12.5" style="1" bestFit="1" customWidth="1"/>
    <col min="2805" max="2805" width="11" style="1" bestFit="1" customWidth="1"/>
    <col min="2806" max="2824" width="13" style="1" bestFit="1" customWidth="1"/>
    <col min="2825" max="2828" width="11" style="1" bestFit="1" customWidth="1"/>
    <col min="2829" max="2831" width="12.25" style="1" bestFit="1" customWidth="1"/>
    <col min="2832" max="2844" width="11" style="1" bestFit="1" customWidth="1"/>
    <col min="2845" max="2845" width="13.25" style="1" bestFit="1" customWidth="1"/>
    <col min="2846" max="2846" width="10" style="1" bestFit="1" customWidth="1"/>
    <col min="2847" max="2847" width="11" style="1" bestFit="1" customWidth="1"/>
    <col min="2848" max="3051" width="9" style="1"/>
    <col min="3052" max="3052" width="2.875" style="1" bestFit="1" customWidth="1"/>
    <col min="3053" max="3053" width="17.625" style="1" bestFit="1" customWidth="1"/>
    <col min="3054" max="3054" width="11.375" style="1" bestFit="1" customWidth="1"/>
    <col min="3055" max="3056" width="14.125" style="1" bestFit="1" customWidth="1"/>
    <col min="3057" max="3057" width="11.375" style="1" bestFit="1" customWidth="1"/>
    <col min="3058" max="3060" width="12.5" style="1" bestFit="1" customWidth="1"/>
    <col min="3061" max="3061" width="11" style="1" bestFit="1" customWidth="1"/>
    <col min="3062" max="3080" width="13" style="1" bestFit="1" customWidth="1"/>
    <col min="3081" max="3084" width="11" style="1" bestFit="1" customWidth="1"/>
    <col min="3085" max="3087" width="12.25" style="1" bestFit="1" customWidth="1"/>
    <col min="3088" max="3100" width="11" style="1" bestFit="1" customWidth="1"/>
    <col min="3101" max="3101" width="13.25" style="1" bestFit="1" customWidth="1"/>
    <col min="3102" max="3102" width="10" style="1" bestFit="1" customWidth="1"/>
    <col min="3103" max="3103" width="11" style="1" bestFit="1" customWidth="1"/>
    <col min="3104" max="3307" width="9" style="1"/>
    <col min="3308" max="3308" width="2.875" style="1" bestFit="1" customWidth="1"/>
    <col min="3309" max="3309" width="17.625" style="1" bestFit="1" customWidth="1"/>
    <col min="3310" max="3310" width="11.375" style="1" bestFit="1" customWidth="1"/>
    <col min="3311" max="3312" width="14.125" style="1" bestFit="1" customWidth="1"/>
    <col min="3313" max="3313" width="11.375" style="1" bestFit="1" customWidth="1"/>
    <col min="3314" max="3316" width="12.5" style="1" bestFit="1" customWidth="1"/>
    <col min="3317" max="3317" width="11" style="1" bestFit="1" customWidth="1"/>
    <col min="3318" max="3336" width="13" style="1" bestFit="1" customWidth="1"/>
    <col min="3337" max="3340" width="11" style="1" bestFit="1" customWidth="1"/>
    <col min="3341" max="3343" width="12.25" style="1" bestFit="1" customWidth="1"/>
    <col min="3344" max="3356" width="11" style="1" bestFit="1" customWidth="1"/>
    <col min="3357" max="3357" width="13.25" style="1" bestFit="1" customWidth="1"/>
    <col min="3358" max="3358" width="10" style="1" bestFit="1" customWidth="1"/>
    <col min="3359" max="3359" width="11" style="1" bestFit="1" customWidth="1"/>
    <col min="3360" max="3563" width="9" style="1"/>
    <col min="3564" max="3564" width="2.875" style="1" bestFit="1" customWidth="1"/>
    <col min="3565" max="3565" width="17.625" style="1" bestFit="1" customWidth="1"/>
    <col min="3566" max="3566" width="11.375" style="1" bestFit="1" customWidth="1"/>
    <col min="3567" max="3568" width="14.125" style="1" bestFit="1" customWidth="1"/>
    <col min="3569" max="3569" width="11.375" style="1" bestFit="1" customWidth="1"/>
    <col min="3570" max="3572" width="12.5" style="1" bestFit="1" customWidth="1"/>
    <col min="3573" max="3573" width="11" style="1" bestFit="1" customWidth="1"/>
    <col min="3574" max="3592" width="13" style="1" bestFit="1" customWidth="1"/>
    <col min="3593" max="3596" width="11" style="1" bestFit="1" customWidth="1"/>
    <col min="3597" max="3599" width="12.25" style="1" bestFit="1" customWidth="1"/>
    <col min="3600" max="3612" width="11" style="1" bestFit="1" customWidth="1"/>
    <col min="3613" max="3613" width="13.25" style="1" bestFit="1" customWidth="1"/>
    <col min="3614" max="3614" width="10" style="1" bestFit="1" customWidth="1"/>
    <col min="3615" max="3615" width="11" style="1" bestFit="1" customWidth="1"/>
    <col min="3616" max="3819" width="9" style="1"/>
    <col min="3820" max="3820" width="2.875" style="1" bestFit="1" customWidth="1"/>
    <col min="3821" max="3821" width="17.625" style="1" bestFit="1" customWidth="1"/>
    <col min="3822" max="3822" width="11.375" style="1" bestFit="1" customWidth="1"/>
    <col min="3823" max="3824" width="14.125" style="1" bestFit="1" customWidth="1"/>
    <col min="3825" max="3825" width="11.375" style="1" bestFit="1" customWidth="1"/>
    <col min="3826" max="3828" width="12.5" style="1" bestFit="1" customWidth="1"/>
    <col min="3829" max="3829" width="11" style="1" bestFit="1" customWidth="1"/>
    <col min="3830" max="3848" width="13" style="1" bestFit="1" customWidth="1"/>
    <col min="3849" max="3852" width="11" style="1" bestFit="1" customWidth="1"/>
    <col min="3853" max="3855" width="12.25" style="1" bestFit="1" customWidth="1"/>
    <col min="3856" max="3868" width="11" style="1" bestFit="1" customWidth="1"/>
    <col min="3869" max="3869" width="13.25" style="1" bestFit="1" customWidth="1"/>
    <col min="3870" max="3870" width="10" style="1" bestFit="1" customWidth="1"/>
    <col min="3871" max="3871" width="11" style="1" bestFit="1" customWidth="1"/>
    <col min="3872" max="4075" width="9" style="1"/>
    <col min="4076" max="4076" width="2.875" style="1" bestFit="1" customWidth="1"/>
    <col min="4077" max="4077" width="17.625" style="1" bestFit="1" customWidth="1"/>
    <col min="4078" max="4078" width="11.375" style="1" bestFit="1" customWidth="1"/>
    <col min="4079" max="4080" width="14.125" style="1" bestFit="1" customWidth="1"/>
    <col min="4081" max="4081" width="11.375" style="1" bestFit="1" customWidth="1"/>
    <col min="4082" max="4084" width="12.5" style="1" bestFit="1" customWidth="1"/>
    <col min="4085" max="4085" width="11" style="1" bestFit="1" customWidth="1"/>
    <col min="4086" max="4104" width="13" style="1" bestFit="1" customWidth="1"/>
    <col min="4105" max="4108" width="11" style="1" bestFit="1" customWidth="1"/>
    <col min="4109" max="4111" width="12.25" style="1" bestFit="1" customWidth="1"/>
    <col min="4112" max="4124" width="11" style="1" bestFit="1" customWidth="1"/>
    <col min="4125" max="4125" width="13.25" style="1" bestFit="1" customWidth="1"/>
    <col min="4126" max="4126" width="10" style="1" bestFit="1" customWidth="1"/>
    <col min="4127" max="4127" width="11" style="1" bestFit="1" customWidth="1"/>
    <col min="4128" max="4331" width="9" style="1"/>
    <col min="4332" max="4332" width="2.875" style="1" bestFit="1" customWidth="1"/>
    <col min="4333" max="4333" width="17.625" style="1" bestFit="1" customWidth="1"/>
    <col min="4334" max="4334" width="11.375" style="1" bestFit="1" customWidth="1"/>
    <col min="4335" max="4336" width="14.125" style="1" bestFit="1" customWidth="1"/>
    <col min="4337" max="4337" width="11.375" style="1" bestFit="1" customWidth="1"/>
    <col min="4338" max="4340" width="12.5" style="1" bestFit="1" customWidth="1"/>
    <col min="4341" max="4341" width="11" style="1" bestFit="1" customWidth="1"/>
    <col min="4342" max="4360" width="13" style="1" bestFit="1" customWidth="1"/>
    <col min="4361" max="4364" width="11" style="1" bestFit="1" customWidth="1"/>
    <col min="4365" max="4367" width="12.25" style="1" bestFit="1" customWidth="1"/>
    <col min="4368" max="4380" width="11" style="1" bestFit="1" customWidth="1"/>
    <col min="4381" max="4381" width="13.25" style="1" bestFit="1" customWidth="1"/>
    <col min="4382" max="4382" width="10" style="1" bestFit="1" customWidth="1"/>
    <col min="4383" max="4383" width="11" style="1" bestFit="1" customWidth="1"/>
    <col min="4384" max="4587" width="9" style="1"/>
    <col min="4588" max="4588" width="2.875" style="1" bestFit="1" customWidth="1"/>
    <col min="4589" max="4589" width="17.625" style="1" bestFit="1" customWidth="1"/>
    <col min="4590" max="4590" width="11.375" style="1" bestFit="1" customWidth="1"/>
    <col min="4591" max="4592" width="14.125" style="1" bestFit="1" customWidth="1"/>
    <col min="4593" max="4593" width="11.375" style="1" bestFit="1" customWidth="1"/>
    <col min="4594" max="4596" width="12.5" style="1" bestFit="1" customWidth="1"/>
    <col min="4597" max="4597" width="11" style="1" bestFit="1" customWidth="1"/>
    <col min="4598" max="4616" width="13" style="1" bestFit="1" customWidth="1"/>
    <col min="4617" max="4620" width="11" style="1" bestFit="1" customWidth="1"/>
    <col min="4621" max="4623" width="12.25" style="1" bestFit="1" customWidth="1"/>
    <col min="4624" max="4636" width="11" style="1" bestFit="1" customWidth="1"/>
    <col min="4637" max="4637" width="13.25" style="1" bestFit="1" customWidth="1"/>
    <col min="4638" max="4638" width="10" style="1" bestFit="1" customWidth="1"/>
    <col min="4639" max="4639" width="11" style="1" bestFit="1" customWidth="1"/>
    <col min="4640" max="4843" width="9" style="1"/>
    <col min="4844" max="4844" width="2.875" style="1" bestFit="1" customWidth="1"/>
    <col min="4845" max="4845" width="17.625" style="1" bestFit="1" customWidth="1"/>
    <col min="4846" max="4846" width="11.375" style="1" bestFit="1" customWidth="1"/>
    <col min="4847" max="4848" width="14.125" style="1" bestFit="1" customWidth="1"/>
    <col min="4849" max="4849" width="11.375" style="1" bestFit="1" customWidth="1"/>
    <col min="4850" max="4852" width="12.5" style="1" bestFit="1" customWidth="1"/>
    <col min="4853" max="4853" width="11" style="1" bestFit="1" customWidth="1"/>
    <col min="4854" max="4872" width="13" style="1" bestFit="1" customWidth="1"/>
    <col min="4873" max="4876" width="11" style="1" bestFit="1" customWidth="1"/>
    <col min="4877" max="4879" width="12.25" style="1" bestFit="1" customWidth="1"/>
    <col min="4880" max="4892" width="11" style="1" bestFit="1" customWidth="1"/>
    <col min="4893" max="4893" width="13.25" style="1" bestFit="1" customWidth="1"/>
    <col min="4894" max="4894" width="10" style="1" bestFit="1" customWidth="1"/>
    <col min="4895" max="4895" width="11" style="1" bestFit="1" customWidth="1"/>
    <col min="4896" max="5099" width="9" style="1"/>
    <col min="5100" max="5100" width="2.875" style="1" bestFit="1" customWidth="1"/>
    <col min="5101" max="5101" width="17.625" style="1" bestFit="1" customWidth="1"/>
    <col min="5102" max="5102" width="11.375" style="1" bestFit="1" customWidth="1"/>
    <col min="5103" max="5104" width="14.125" style="1" bestFit="1" customWidth="1"/>
    <col min="5105" max="5105" width="11.375" style="1" bestFit="1" customWidth="1"/>
    <col min="5106" max="5108" width="12.5" style="1" bestFit="1" customWidth="1"/>
    <col min="5109" max="5109" width="11" style="1" bestFit="1" customWidth="1"/>
    <col min="5110" max="5128" width="13" style="1" bestFit="1" customWidth="1"/>
    <col min="5129" max="5132" width="11" style="1" bestFit="1" customWidth="1"/>
    <col min="5133" max="5135" width="12.25" style="1" bestFit="1" customWidth="1"/>
    <col min="5136" max="5148" width="11" style="1" bestFit="1" customWidth="1"/>
    <col min="5149" max="5149" width="13.25" style="1" bestFit="1" customWidth="1"/>
    <col min="5150" max="5150" width="10" style="1" bestFit="1" customWidth="1"/>
    <col min="5151" max="5151" width="11" style="1" bestFit="1" customWidth="1"/>
    <col min="5152" max="5355" width="9" style="1"/>
    <col min="5356" max="5356" width="2.875" style="1" bestFit="1" customWidth="1"/>
    <col min="5357" max="5357" width="17.625" style="1" bestFit="1" customWidth="1"/>
    <col min="5358" max="5358" width="11.375" style="1" bestFit="1" customWidth="1"/>
    <col min="5359" max="5360" width="14.125" style="1" bestFit="1" customWidth="1"/>
    <col min="5361" max="5361" width="11.375" style="1" bestFit="1" customWidth="1"/>
    <col min="5362" max="5364" width="12.5" style="1" bestFit="1" customWidth="1"/>
    <col min="5365" max="5365" width="11" style="1" bestFit="1" customWidth="1"/>
    <col min="5366" max="5384" width="13" style="1" bestFit="1" customWidth="1"/>
    <col min="5385" max="5388" width="11" style="1" bestFit="1" customWidth="1"/>
    <col min="5389" max="5391" width="12.25" style="1" bestFit="1" customWidth="1"/>
    <col min="5392" max="5404" width="11" style="1" bestFit="1" customWidth="1"/>
    <col min="5405" max="5405" width="13.25" style="1" bestFit="1" customWidth="1"/>
    <col min="5406" max="5406" width="10" style="1" bestFit="1" customWidth="1"/>
    <col min="5407" max="5407" width="11" style="1" bestFit="1" customWidth="1"/>
    <col min="5408" max="5611" width="9" style="1"/>
    <col min="5612" max="5612" width="2.875" style="1" bestFit="1" customWidth="1"/>
    <col min="5613" max="5613" width="17.625" style="1" bestFit="1" customWidth="1"/>
    <col min="5614" max="5614" width="11.375" style="1" bestFit="1" customWidth="1"/>
    <col min="5615" max="5616" width="14.125" style="1" bestFit="1" customWidth="1"/>
    <col min="5617" max="5617" width="11.375" style="1" bestFit="1" customWidth="1"/>
    <col min="5618" max="5620" width="12.5" style="1" bestFit="1" customWidth="1"/>
    <col min="5621" max="5621" width="11" style="1" bestFit="1" customWidth="1"/>
    <col min="5622" max="5640" width="13" style="1" bestFit="1" customWidth="1"/>
    <col min="5641" max="5644" width="11" style="1" bestFit="1" customWidth="1"/>
    <col min="5645" max="5647" width="12.25" style="1" bestFit="1" customWidth="1"/>
    <col min="5648" max="5660" width="11" style="1" bestFit="1" customWidth="1"/>
    <col min="5661" max="5661" width="13.25" style="1" bestFit="1" customWidth="1"/>
    <col min="5662" max="5662" width="10" style="1" bestFit="1" customWidth="1"/>
    <col min="5663" max="5663" width="11" style="1" bestFit="1" customWidth="1"/>
    <col min="5664" max="5867" width="9" style="1"/>
    <col min="5868" max="5868" width="2.875" style="1" bestFit="1" customWidth="1"/>
    <col min="5869" max="5869" width="17.625" style="1" bestFit="1" customWidth="1"/>
    <col min="5870" max="5870" width="11.375" style="1" bestFit="1" customWidth="1"/>
    <col min="5871" max="5872" width="14.125" style="1" bestFit="1" customWidth="1"/>
    <col min="5873" max="5873" width="11.375" style="1" bestFit="1" customWidth="1"/>
    <col min="5874" max="5876" width="12.5" style="1" bestFit="1" customWidth="1"/>
    <col min="5877" max="5877" width="11" style="1" bestFit="1" customWidth="1"/>
    <col min="5878" max="5896" width="13" style="1" bestFit="1" customWidth="1"/>
    <col min="5897" max="5900" width="11" style="1" bestFit="1" customWidth="1"/>
    <col min="5901" max="5903" width="12.25" style="1" bestFit="1" customWidth="1"/>
    <col min="5904" max="5916" width="11" style="1" bestFit="1" customWidth="1"/>
    <col min="5917" max="5917" width="13.25" style="1" bestFit="1" customWidth="1"/>
    <col min="5918" max="5918" width="10" style="1" bestFit="1" customWidth="1"/>
    <col min="5919" max="5919" width="11" style="1" bestFit="1" customWidth="1"/>
    <col min="5920" max="6123" width="9" style="1"/>
    <col min="6124" max="6124" width="2.875" style="1" bestFit="1" customWidth="1"/>
    <col min="6125" max="6125" width="17.625" style="1" bestFit="1" customWidth="1"/>
    <col min="6126" max="6126" width="11.375" style="1" bestFit="1" customWidth="1"/>
    <col min="6127" max="6128" width="14.125" style="1" bestFit="1" customWidth="1"/>
    <col min="6129" max="6129" width="11.375" style="1" bestFit="1" customWidth="1"/>
    <col min="6130" max="6132" width="12.5" style="1" bestFit="1" customWidth="1"/>
    <col min="6133" max="6133" width="11" style="1" bestFit="1" customWidth="1"/>
    <col min="6134" max="6152" width="13" style="1" bestFit="1" customWidth="1"/>
    <col min="6153" max="6156" width="11" style="1" bestFit="1" customWidth="1"/>
    <col min="6157" max="6159" width="12.25" style="1" bestFit="1" customWidth="1"/>
    <col min="6160" max="6172" width="11" style="1" bestFit="1" customWidth="1"/>
    <col min="6173" max="6173" width="13.25" style="1" bestFit="1" customWidth="1"/>
    <col min="6174" max="6174" width="10" style="1" bestFit="1" customWidth="1"/>
    <col min="6175" max="6175" width="11" style="1" bestFit="1" customWidth="1"/>
    <col min="6176" max="6379" width="9" style="1"/>
    <col min="6380" max="6380" width="2.875" style="1" bestFit="1" customWidth="1"/>
    <col min="6381" max="6381" width="17.625" style="1" bestFit="1" customWidth="1"/>
    <col min="6382" max="6382" width="11.375" style="1" bestFit="1" customWidth="1"/>
    <col min="6383" max="6384" width="14.125" style="1" bestFit="1" customWidth="1"/>
    <col min="6385" max="6385" width="11.375" style="1" bestFit="1" customWidth="1"/>
    <col min="6386" max="6388" width="12.5" style="1" bestFit="1" customWidth="1"/>
    <col min="6389" max="6389" width="11" style="1" bestFit="1" customWidth="1"/>
    <col min="6390" max="6408" width="13" style="1" bestFit="1" customWidth="1"/>
    <col min="6409" max="6412" width="11" style="1" bestFit="1" customWidth="1"/>
    <col min="6413" max="6415" width="12.25" style="1" bestFit="1" customWidth="1"/>
    <col min="6416" max="6428" width="11" style="1" bestFit="1" customWidth="1"/>
    <col min="6429" max="6429" width="13.25" style="1" bestFit="1" customWidth="1"/>
    <col min="6430" max="6430" width="10" style="1" bestFit="1" customWidth="1"/>
    <col min="6431" max="6431" width="11" style="1" bestFit="1" customWidth="1"/>
    <col min="6432" max="6635" width="9" style="1"/>
    <col min="6636" max="6636" width="2.875" style="1" bestFit="1" customWidth="1"/>
    <col min="6637" max="6637" width="17.625" style="1" bestFit="1" customWidth="1"/>
    <col min="6638" max="6638" width="11.375" style="1" bestFit="1" customWidth="1"/>
    <col min="6639" max="6640" width="14.125" style="1" bestFit="1" customWidth="1"/>
    <col min="6641" max="6641" width="11.375" style="1" bestFit="1" customWidth="1"/>
    <col min="6642" max="6644" width="12.5" style="1" bestFit="1" customWidth="1"/>
    <col min="6645" max="6645" width="11" style="1" bestFit="1" customWidth="1"/>
    <col min="6646" max="6664" width="13" style="1" bestFit="1" customWidth="1"/>
    <col min="6665" max="6668" width="11" style="1" bestFit="1" customWidth="1"/>
    <col min="6669" max="6671" width="12.25" style="1" bestFit="1" customWidth="1"/>
    <col min="6672" max="6684" width="11" style="1" bestFit="1" customWidth="1"/>
    <col min="6685" max="6685" width="13.25" style="1" bestFit="1" customWidth="1"/>
    <col min="6686" max="6686" width="10" style="1" bestFit="1" customWidth="1"/>
    <col min="6687" max="6687" width="11" style="1" bestFit="1" customWidth="1"/>
    <col min="6688" max="6891" width="9" style="1"/>
    <col min="6892" max="6892" width="2.875" style="1" bestFit="1" customWidth="1"/>
    <col min="6893" max="6893" width="17.625" style="1" bestFit="1" customWidth="1"/>
    <col min="6894" max="6894" width="11.375" style="1" bestFit="1" customWidth="1"/>
    <col min="6895" max="6896" width="14.125" style="1" bestFit="1" customWidth="1"/>
    <col min="6897" max="6897" width="11.375" style="1" bestFit="1" customWidth="1"/>
    <col min="6898" max="6900" width="12.5" style="1" bestFit="1" customWidth="1"/>
    <col min="6901" max="6901" width="11" style="1" bestFit="1" customWidth="1"/>
    <col min="6902" max="6920" width="13" style="1" bestFit="1" customWidth="1"/>
    <col min="6921" max="6924" width="11" style="1" bestFit="1" customWidth="1"/>
    <col min="6925" max="6927" width="12.25" style="1" bestFit="1" customWidth="1"/>
    <col min="6928" max="6940" width="11" style="1" bestFit="1" customWidth="1"/>
    <col min="6941" max="6941" width="13.25" style="1" bestFit="1" customWidth="1"/>
    <col min="6942" max="6942" width="10" style="1" bestFit="1" customWidth="1"/>
    <col min="6943" max="6943" width="11" style="1" bestFit="1" customWidth="1"/>
    <col min="6944" max="7147" width="9" style="1"/>
    <col min="7148" max="7148" width="2.875" style="1" bestFit="1" customWidth="1"/>
    <col min="7149" max="7149" width="17.625" style="1" bestFit="1" customWidth="1"/>
    <col min="7150" max="7150" width="11.375" style="1" bestFit="1" customWidth="1"/>
    <col min="7151" max="7152" width="14.125" style="1" bestFit="1" customWidth="1"/>
    <col min="7153" max="7153" width="11.375" style="1" bestFit="1" customWidth="1"/>
    <col min="7154" max="7156" width="12.5" style="1" bestFit="1" customWidth="1"/>
    <col min="7157" max="7157" width="11" style="1" bestFit="1" customWidth="1"/>
    <col min="7158" max="7176" width="13" style="1" bestFit="1" customWidth="1"/>
    <col min="7177" max="7180" width="11" style="1" bestFit="1" customWidth="1"/>
    <col min="7181" max="7183" width="12.25" style="1" bestFit="1" customWidth="1"/>
    <col min="7184" max="7196" width="11" style="1" bestFit="1" customWidth="1"/>
    <col min="7197" max="7197" width="13.25" style="1" bestFit="1" customWidth="1"/>
    <col min="7198" max="7198" width="10" style="1" bestFit="1" customWidth="1"/>
    <col min="7199" max="7199" width="11" style="1" bestFit="1" customWidth="1"/>
    <col min="7200" max="7403" width="9" style="1"/>
    <col min="7404" max="7404" width="2.875" style="1" bestFit="1" customWidth="1"/>
    <col min="7405" max="7405" width="17.625" style="1" bestFit="1" customWidth="1"/>
    <col min="7406" max="7406" width="11.375" style="1" bestFit="1" customWidth="1"/>
    <col min="7407" max="7408" width="14.125" style="1" bestFit="1" customWidth="1"/>
    <col min="7409" max="7409" width="11.375" style="1" bestFit="1" customWidth="1"/>
    <col min="7410" max="7412" width="12.5" style="1" bestFit="1" customWidth="1"/>
    <col min="7413" max="7413" width="11" style="1" bestFit="1" customWidth="1"/>
    <col min="7414" max="7432" width="13" style="1" bestFit="1" customWidth="1"/>
    <col min="7433" max="7436" width="11" style="1" bestFit="1" customWidth="1"/>
    <col min="7437" max="7439" width="12.25" style="1" bestFit="1" customWidth="1"/>
    <col min="7440" max="7452" width="11" style="1" bestFit="1" customWidth="1"/>
    <col min="7453" max="7453" width="13.25" style="1" bestFit="1" customWidth="1"/>
    <col min="7454" max="7454" width="10" style="1" bestFit="1" customWidth="1"/>
    <col min="7455" max="7455" width="11" style="1" bestFit="1" customWidth="1"/>
    <col min="7456" max="7659" width="9" style="1"/>
    <col min="7660" max="7660" width="2.875" style="1" bestFit="1" customWidth="1"/>
    <col min="7661" max="7661" width="17.625" style="1" bestFit="1" customWidth="1"/>
    <col min="7662" max="7662" width="11.375" style="1" bestFit="1" customWidth="1"/>
    <col min="7663" max="7664" width="14.125" style="1" bestFit="1" customWidth="1"/>
    <col min="7665" max="7665" width="11.375" style="1" bestFit="1" customWidth="1"/>
    <col min="7666" max="7668" width="12.5" style="1" bestFit="1" customWidth="1"/>
    <col min="7669" max="7669" width="11" style="1" bestFit="1" customWidth="1"/>
    <col min="7670" max="7688" width="13" style="1" bestFit="1" customWidth="1"/>
    <col min="7689" max="7692" width="11" style="1" bestFit="1" customWidth="1"/>
    <col min="7693" max="7695" width="12.25" style="1" bestFit="1" customWidth="1"/>
    <col min="7696" max="7708" width="11" style="1" bestFit="1" customWidth="1"/>
    <col min="7709" max="7709" width="13.25" style="1" bestFit="1" customWidth="1"/>
    <col min="7710" max="7710" width="10" style="1" bestFit="1" customWidth="1"/>
    <col min="7711" max="7711" width="11" style="1" bestFit="1" customWidth="1"/>
    <col min="7712" max="7915" width="9" style="1"/>
    <col min="7916" max="7916" width="2.875" style="1" bestFit="1" customWidth="1"/>
    <col min="7917" max="7917" width="17.625" style="1" bestFit="1" customWidth="1"/>
    <col min="7918" max="7918" width="11.375" style="1" bestFit="1" customWidth="1"/>
    <col min="7919" max="7920" width="14.125" style="1" bestFit="1" customWidth="1"/>
    <col min="7921" max="7921" width="11.375" style="1" bestFit="1" customWidth="1"/>
    <col min="7922" max="7924" width="12.5" style="1" bestFit="1" customWidth="1"/>
    <col min="7925" max="7925" width="11" style="1" bestFit="1" customWidth="1"/>
    <col min="7926" max="7944" width="13" style="1" bestFit="1" customWidth="1"/>
    <col min="7945" max="7948" width="11" style="1" bestFit="1" customWidth="1"/>
    <col min="7949" max="7951" width="12.25" style="1" bestFit="1" customWidth="1"/>
    <col min="7952" max="7964" width="11" style="1" bestFit="1" customWidth="1"/>
    <col min="7965" max="7965" width="13.25" style="1" bestFit="1" customWidth="1"/>
    <col min="7966" max="7966" width="10" style="1" bestFit="1" customWidth="1"/>
    <col min="7967" max="7967" width="11" style="1" bestFit="1" customWidth="1"/>
    <col min="7968" max="8171" width="9" style="1"/>
    <col min="8172" max="8172" width="2.875" style="1" bestFit="1" customWidth="1"/>
    <col min="8173" max="8173" width="17.625" style="1" bestFit="1" customWidth="1"/>
    <col min="8174" max="8174" width="11.375" style="1" bestFit="1" customWidth="1"/>
    <col min="8175" max="8176" width="14.125" style="1" bestFit="1" customWidth="1"/>
    <col min="8177" max="8177" width="11.375" style="1" bestFit="1" customWidth="1"/>
    <col min="8178" max="8180" width="12.5" style="1" bestFit="1" customWidth="1"/>
    <col min="8181" max="8181" width="11" style="1" bestFit="1" customWidth="1"/>
    <col min="8182" max="8200" width="13" style="1" bestFit="1" customWidth="1"/>
    <col min="8201" max="8204" width="11" style="1" bestFit="1" customWidth="1"/>
    <col min="8205" max="8207" width="12.25" style="1" bestFit="1" customWidth="1"/>
    <col min="8208" max="8220" width="11" style="1" bestFit="1" customWidth="1"/>
    <col min="8221" max="8221" width="13.25" style="1" bestFit="1" customWidth="1"/>
    <col min="8222" max="8222" width="10" style="1" bestFit="1" customWidth="1"/>
    <col min="8223" max="8223" width="11" style="1" bestFit="1" customWidth="1"/>
    <col min="8224" max="8427" width="9" style="1"/>
    <col min="8428" max="8428" width="2.875" style="1" bestFit="1" customWidth="1"/>
    <col min="8429" max="8429" width="17.625" style="1" bestFit="1" customWidth="1"/>
    <col min="8430" max="8430" width="11.375" style="1" bestFit="1" customWidth="1"/>
    <col min="8431" max="8432" width="14.125" style="1" bestFit="1" customWidth="1"/>
    <col min="8433" max="8433" width="11.375" style="1" bestFit="1" customWidth="1"/>
    <col min="8434" max="8436" width="12.5" style="1" bestFit="1" customWidth="1"/>
    <col min="8437" max="8437" width="11" style="1" bestFit="1" customWidth="1"/>
    <col min="8438" max="8456" width="13" style="1" bestFit="1" customWidth="1"/>
    <col min="8457" max="8460" width="11" style="1" bestFit="1" customWidth="1"/>
    <col min="8461" max="8463" width="12.25" style="1" bestFit="1" customWidth="1"/>
    <col min="8464" max="8476" width="11" style="1" bestFit="1" customWidth="1"/>
    <col min="8477" max="8477" width="13.25" style="1" bestFit="1" customWidth="1"/>
    <col min="8478" max="8478" width="10" style="1" bestFit="1" customWidth="1"/>
    <col min="8479" max="8479" width="11" style="1" bestFit="1" customWidth="1"/>
    <col min="8480" max="8683" width="9" style="1"/>
    <col min="8684" max="8684" width="2.875" style="1" bestFit="1" customWidth="1"/>
    <col min="8685" max="8685" width="17.625" style="1" bestFit="1" customWidth="1"/>
    <col min="8686" max="8686" width="11.375" style="1" bestFit="1" customWidth="1"/>
    <col min="8687" max="8688" width="14.125" style="1" bestFit="1" customWidth="1"/>
    <col min="8689" max="8689" width="11.375" style="1" bestFit="1" customWidth="1"/>
    <col min="8690" max="8692" width="12.5" style="1" bestFit="1" customWidth="1"/>
    <col min="8693" max="8693" width="11" style="1" bestFit="1" customWidth="1"/>
    <col min="8694" max="8712" width="13" style="1" bestFit="1" customWidth="1"/>
    <col min="8713" max="8716" width="11" style="1" bestFit="1" customWidth="1"/>
    <col min="8717" max="8719" width="12.25" style="1" bestFit="1" customWidth="1"/>
    <col min="8720" max="8732" width="11" style="1" bestFit="1" customWidth="1"/>
    <col min="8733" max="8733" width="13.25" style="1" bestFit="1" customWidth="1"/>
    <col min="8734" max="8734" width="10" style="1" bestFit="1" customWidth="1"/>
    <col min="8735" max="8735" width="11" style="1" bestFit="1" customWidth="1"/>
    <col min="8736" max="8939" width="9" style="1"/>
    <col min="8940" max="8940" width="2.875" style="1" bestFit="1" customWidth="1"/>
    <col min="8941" max="8941" width="17.625" style="1" bestFit="1" customWidth="1"/>
    <col min="8942" max="8942" width="11.375" style="1" bestFit="1" customWidth="1"/>
    <col min="8943" max="8944" width="14.125" style="1" bestFit="1" customWidth="1"/>
    <col min="8945" max="8945" width="11.375" style="1" bestFit="1" customWidth="1"/>
    <col min="8946" max="8948" width="12.5" style="1" bestFit="1" customWidth="1"/>
    <col min="8949" max="8949" width="11" style="1" bestFit="1" customWidth="1"/>
    <col min="8950" max="8968" width="13" style="1" bestFit="1" customWidth="1"/>
    <col min="8969" max="8972" width="11" style="1" bestFit="1" customWidth="1"/>
    <col min="8973" max="8975" width="12.25" style="1" bestFit="1" customWidth="1"/>
    <col min="8976" max="8988" width="11" style="1" bestFit="1" customWidth="1"/>
    <col min="8989" max="8989" width="13.25" style="1" bestFit="1" customWidth="1"/>
    <col min="8990" max="8990" width="10" style="1" bestFit="1" customWidth="1"/>
    <col min="8991" max="8991" width="11" style="1" bestFit="1" customWidth="1"/>
    <col min="8992" max="9195" width="9" style="1"/>
    <col min="9196" max="9196" width="2.875" style="1" bestFit="1" customWidth="1"/>
    <col min="9197" max="9197" width="17.625" style="1" bestFit="1" customWidth="1"/>
    <col min="9198" max="9198" width="11.375" style="1" bestFit="1" customWidth="1"/>
    <col min="9199" max="9200" width="14.125" style="1" bestFit="1" customWidth="1"/>
    <col min="9201" max="9201" width="11.375" style="1" bestFit="1" customWidth="1"/>
    <col min="9202" max="9204" width="12.5" style="1" bestFit="1" customWidth="1"/>
    <col min="9205" max="9205" width="11" style="1" bestFit="1" customWidth="1"/>
    <col min="9206" max="9224" width="13" style="1" bestFit="1" customWidth="1"/>
    <col min="9225" max="9228" width="11" style="1" bestFit="1" customWidth="1"/>
    <col min="9229" max="9231" width="12.25" style="1" bestFit="1" customWidth="1"/>
    <col min="9232" max="9244" width="11" style="1" bestFit="1" customWidth="1"/>
    <col min="9245" max="9245" width="13.25" style="1" bestFit="1" customWidth="1"/>
    <col min="9246" max="9246" width="10" style="1" bestFit="1" customWidth="1"/>
    <col min="9247" max="9247" width="11" style="1" bestFit="1" customWidth="1"/>
    <col min="9248" max="9451" width="9" style="1"/>
    <col min="9452" max="9452" width="2.875" style="1" bestFit="1" customWidth="1"/>
    <col min="9453" max="9453" width="17.625" style="1" bestFit="1" customWidth="1"/>
    <col min="9454" max="9454" width="11.375" style="1" bestFit="1" customWidth="1"/>
    <col min="9455" max="9456" width="14.125" style="1" bestFit="1" customWidth="1"/>
    <col min="9457" max="9457" width="11.375" style="1" bestFit="1" customWidth="1"/>
    <col min="9458" max="9460" width="12.5" style="1" bestFit="1" customWidth="1"/>
    <col min="9461" max="9461" width="11" style="1" bestFit="1" customWidth="1"/>
    <col min="9462" max="9480" width="13" style="1" bestFit="1" customWidth="1"/>
    <col min="9481" max="9484" width="11" style="1" bestFit="1" customWidth="1"/>
    <col min="9485" max="9487" width="12.25" style="1" bestFit="1" customWidth="1"/>
    <col min="9488" max="9500" width="11" style="1" bestFit="1" customWidth="1"/>
    <col min="9501" max="9501" width="13.25" style="1" bestFit="1" customWidth="1"/>
    <col min="9502" max="9502" width="10" style="1" bestFit="1" customWidth="1"/>
    <col min="9503" max="9503" width="11" style="1" bestFit="1" customWidth="1"/>
    <col min="9504" max="9707" width="9" style="1"/>
    <col min="9708" max="9708" width="2.875" style="1" bestFit="1" customWidth="1"/>
    <col min="9709" max="9709" width="17.625" style="1" bestFit="1" customWidth="1"/>
    <col min="9710" max="9710" width="11.375" style="1" bestFit="1" customWidth="1"/>
    <col min="9711" max="9712" width="14.125" style="1" bestFit="1" customWidth="1"/>
    <col min="9713" max="9713" width="11.375" style="1" bestFit="1" customWidth="1"/>
    <col min="9714" max="9716" width="12.5" style="1" bestFit="1" customWidth="1"/>
    <col min="9717" max="9717" width="11" style="1" bestFit="1" customWidth="1"/>
    <col min="9718" max="9736" width="13" style="1" bestFit="1" customWidth="1"/>
    <col min="9737" max="9740" width="11" style="1" bestFit="1" customWidth="1"/>
    <col min="9741" max="9743" width="12.25" style="1" bestFit="1" customWidth="1"/>
    <col min="9744" max="9756" width="11" style="1" bestFit="1" customWidth="1"/>
    <col min="9757" max="9757" width="13.25" style="1" bestFit="1" customWidth="1"/>
    <col min="9758" max="9758" width="10" style="1" bestFit="1" customWidth="1"/>
    <col min="9759" max="9759" width="11" style="1" bestFit="1" customWidth="1"/>
    <col min="9760" max="9963" width="9" style="1"/>
    <col min="9964" max="9964" width="2.875" style="1" bestFit="1" customWidth="1"/>
    <col min="9965" max="9965" width="17.625" style="1" bestFit="1" customWidth="1"/>
    <col min="9966" max="9966" width="11.375" style="1" bestFit="1" customWidth="1"/>
    <col min="9967" max="9968" width="14.125" style="1" bestFit="1" customWidth="1"/>
    <col min="9969" max="9969" width="11.375" style="1" bestFit="1" customWidth="1"/>
    <col min="9970" max="9972" width="12.5" style="1" bestFit="1" customWidth="1"/>
    <col min="9973" max="9973" width="11" style="1" bestFit="1" customWidth="1"/>
    <col min="9974" max="9992" width="13" style="1" bestFit="1" customWidth="1"/>
    <col min="9993" max="9996" width="11" style="1" bestFit="1" customWidth="1"/>
    <col min="9997" max="9999" width="12.25" style="1" bestFit="1" customWidth="1"/>
    <col min="10000" max="10012" width="11" style="1" bestFit="1" customWidth="1"/>
    <col min="10013" max="10013" width="13.25" style="1" bestFit="1" customWidth="1"/>
    <col min="10014" max="10014" width="10" style="1" bestFit="1" customWidth="1"/>
    <col min="10015" max="10015" width="11" style="1" bestFit="1" customWidth="1"/>
    <col min="10016" max="10219" width="9" style="1"/>
    <col min="10220" max="10220" width="2.875" style="1" bestFit="1" customWidth="1"/>
    <col min="10221" max="10221" width="17.625" style="1" bestFit="1" customWidth="1"/>
    <col min="10222" max="10222" width="11.375" style="1" bestFit="1" customWidth="1"/>
    <col min="10223" max="10224" width="14.125" style="1" bestFit="1" customWidth="1"/>
    <col min="10225" max="10225" width="11.375" style="1" bestFit="1" customWidth="1"/>
    <col min="10226" max="10228" width="12.5" style="1" bestFit="1" customWidth="1"/>
    <col min="10229" max="10229" width="11" style="1" bestFit="1" customWidth="1"/>
    <col min="10230" max="10248" width="13" style="1" bestFit="1" customWidth="1"/>
    <col min="10249" max="10252" width="11" style="1" bestFit="1" customWidth="1"/>
    <col min="10253" max="10255" width="12.25" style="1" bestFit="1" customWidth="1"/>
    <col min="10256" max="10268" width="11" style="1" bestFit="1" customWidth="1"/>
    <col min="10269" max="10269" width="13.25" style="1" bestFit="1" customWidth="1"/>
    <col min="10270" max="10270" width="10" style="1" bestFit="1" customWidth="1"/>
    <col min="10271" max="10271" width="11" style="1" bestFit="1" customWidth="1"/>
    <col min="10272" max="10475" width="9" style="1"/>
    <col min="10476" max="10476" width="2.875" style="1" bestFit="1" customWidth="1"/>
    <col min="10477" max="10477" width="17.625" style="1" bestFit="1" customWidth="1"/>
    <col min="10478" max="10478" width="11.375" style="1" bestFit="1" customWidth="1"/>
    <col min="10479" max="10480" width="14.125" style="1" bestFit="1" customWidth="1"/>
    <col min="10481" max="10481" width="11.375" style="1" bestFit="1" customWidth="1"/>
    <col min="10482" max="10484" width="12.5" style="1" bestFit="1" customWidth="1"/>
    <col min="10485" max="10485" width="11" style="1" bestFit="1" customWidth="1"/>
    <col min="10486" max="10504" width="13" style="1" bestFit="1" customWidth="1"/>
    <col min="10505" max="10508" width="11" style="1" bestFit="1" customWidth="1"/>
    <col min="10509" max="10511" width="12.25" style="1" bestFit="1" customWidth="1"/>
    <col min="10512" max="10524" width="11" style="1" bestFit="1" customWidth="1"/>
    <col min="10525" max="10525" width="13.25" style="1" bestFit="1" customWidth="1"/>
    <col min="10526" max="10526" width="10" style="1" bestFit="1" customWidth="1"/>
    <col min="10527" max="10527" width="11" style="1" bestFit="1" customWidth="1"/>
    <col min="10528" max="10731" width="9" style="1"/>
    <col min="10732" max="10732" width="2.875" style="1" bestFit="1" customWidth="1"/>
    <col min="10733" max="10733" width="17.625" style="1" bestFit="1" customWidth="1"/>
    <col min="10734" max="10734" width="11.375" style="1" bestFit="1" customWidth="1"/>
    <col min="10735" max="10736" width="14.125" style="1" bestFit="1" customWidth="1"/>
    <col min="10737" max="10737" width="11.375" style="1" bestFit="1" customWidth="1"/>
    <col min="10738" max="10740" width="12.5" style="1" bestFit="1" customWidth="1"/>
    <col min="10741" max="10741" width="11" style="1" bestFit="1" customWidth="1"/>
    <col min="10742" max="10760" width="13" style="1" bestFit="1" customWidth="1"/>
    <col min="10761" max="10764" width="11" style="1" bestFit="1" customWidth="1"/>
    <col min="10765" max="10767" width="12.25" style="1" bestFit="1" customWidth="1"/>
    <col min="10768" max="10780" width="11" style="1" bestFit="1" customWidth="1"/>
    <col min="10781" max="10781" width="13.25" style="1" bestFit="1" customWidth="1"/>
    <col min="10782" max="10782" width="10" style="1" bestFit="1" customWidth="1"/>
    <col min="10783" max="10783" width="11" style="1" bestFit="1" customWidth="1"/>
    <col min="10784" max="10987" width="9" style="1"/>
    <col min="10988" max="10988" width="2.875" style="1" bestFit="1" customWidth="1"/>
    <col min="10989" max="10989" width="17.625" style="1" bestFit="1" customWidth="1"/>
    <col min="10990" max="10990" width="11.375" style="1" bestFit="1" customWidth="1"/>
    <col min="10991" max="10992" width="14.125" style="1" bestFit="1" customWidth="1"/>
    <col min="10993" max="10993" width="11.375" style="1" bestFit="1" customWidth="1"/>
    <col min="10994" max="10996" width="12.5" style="1" bestFit="1" customWidth="1"/>
    <col min="10997" max="10997" width="11" style="1" bestFit="1" customWidth="1"/>
    <col min="10998" max="11016" width="13" style="1" bestFit="1" customWidth="1"/>
    <col min="11017" max="11020" width="11" style="1" bestFit="1" customWidth="1"/>
    <col min="11021" max="11023" width="12.25" style="1" bestFit="1" customWidth="1"/>
    <col min="11024" max="11036" width="11" style="1" bestFit="1" customWidth="1"/>
    <col min="11037" max="11037" width="13.25" style="1" bestFit="1" customWidth="1"/>
    <col min="11038" max="11038" width="10" style="1" bestFit="1" customWidth="1"/>
    <col min="11039" max="11039" width="11" style="1" bestFit="1" customWidth="1"/>
    <col min="11040" max="11243" width="9" style="1"/>
    <col min="11244" max="11244" width="2.875" style="1" bestFit="1" customWidth="1"/>
    <col min="11245" max="11245" width="17.625" style="1" bestFit="1" customWidth="1"/>
    <col min="11246" max="11246" width="11.375" style="1" bestFit="1" customWidth="1"/>
    <col min="11247" max="11248" width="14.125" style="1" bestFit="1" customWidth="1"/>
    <col min="11249" max="11249" width="11.375" style="1" bestFit="1" customWidth="1"/>
    <col min="11250" max="11252" width="12.5" style="1" bestFit="1" customWidth="1"/>
    <col min="11253" max="11253" width="11" style="1" bestFit="1" customWidth="1"/>
    <col min="11254" max="11272" width="13" style="1" bestFit="1" customWidth="1"/>
    <col min="11273" max="11276" width="11" style="1" bestFit="1" customWidth="1"/>
    <col min="11277" max="11279" width="12.25" style="1" bestFit="1" customWidth="1"/>
    <col min="11280" max="11292" width="11" style="1" bestFit="1" customWidth="1"/>
    <col min="11293" max="11293" width="13.25" style="1" bestFit="1" customWidth="1"/>
    <col min="11294" max="11294" width="10" style="1" bestFit="1" customWidth="1"/>
    <col min="11295" max="11295" width="11" style="1" bestFit="1" customWidth="1"/>
    <col min="11296" max="11499" width="9" style="1"/>
    <col min="11500" max="11500" width="2.875" style="1" bestFit="1" customWidth="1"/>
    <col min="11501" max="11501" width="17.625" style="1" bestFit="1" customWidth="1"/>
    <col min="11502" max="11502" width="11.375" style="1" bestFit="1" customWidth="1"/>
    <col min="11503" max="11504" width="14.125" style="1" bestFit="1" customWidth="1"/>
    <col min="11505" max="11505" width="11.375" style="1" bestFit="1" customWidth="1"/>
    <col min="11506" max="11508" width="12.5" style="1" bestFit="1" customWidth="1"/>
    <col min="11509" max="11509" width="11" style="1" bestFit="1" customWidth="1"/>
    <col min="11510" max="11528" width="13" style="1" bestFit="1" customWidth="1"/>
    <col min="11529" max="11532" width="11" style="1" bestFit="1" customWidth="1"/>
    <col min="11533" max="11535" width="12.25" style="1" bestFit="1" customWidth="1"/>
    <col min="11536" max="11548" width="11" style="1" bestFit="1" customWidth="1"/>
    <col min="11549" max="11549" width="13.25" style="1" bestFit="1" customWidth="1"/>
    <col min="11550" max="11550" width="10" style="1" bestFit="1" customWidth="1"/>
    <col min="11551" max="11551" width="11" style="1" bestFit="1" customWidth="1"/>
    <col min="11552" max="11755" width="9" style="1"/>
    <col min="11756" max="11756" width="2.875" style="1" bestFit="1" customWidth="1"/>
    <col min="11757" max="11757" width="17.625" style="1" bestFit="1" customWidth="1"/>
    <col min="11758" max="11758" width="11.375" style="1" bestFit="1" customWidth="1"/>
    <col min="11759" max="11760" width="14.125" style="1" bestFit="1" customWidth="1"/>
    <col min="11761" max="11761" width="11.375" style="1" bestFit="1" customWidth="1"/>
    <col min="11762" max="11764" width="12.5" style="1" bestFit="1" customWidth="1"/>
    <col min="11765" max="11765" width="11" style="1" bestFit="1" customWidth="1"/>
    <col min="11766" max="11784" width="13" style="1" bestFit="1" customWidth="1"/>
    <col min="11785" max="11788" width="11" style="1" bestFit="1" customWidth="1"/>
    <col min="11789" max="11791" width="12.25" style="1" bestFit="1" customWidth="1"/>
    <col min="11792" max="11804" width="11" style="1" bestFit="1" customWidth="1"/>
    <col min="11805" max="11805" width="13.25" style="1" bestFit="1" customWidth="1"/>
    <col min="11806" max="11806" width="10" style="1" bestFit="1" customWidth="1"/>
    <col min="11807" max="11807" width="11" style="1" bestFit="1" customWidth="1"/>
    <col min="11808" max="12011" width="9" style="1"/>
    <col min="12012" max="12012" width="2.875" style="1" bestFit="1" customWidth="1"/>
    <col min="12013" max="12013" width="17.625" style="1" bestFit="1" customWidth="1"/>
    <col min="12014" max="12014" width="11.375" style="1" bestFit="1" customWidth="1"/>
    <col min="12015" max="12016" width="14.125" style="1" bestFit="1" customWidth="1"/>
    <col min="12017" max="12017" width="11.375" style="1" bestFit="1" customWidth="1"/>
    <col min="12018" max="12020" width="12.5" style="1" bestFit="1" customWidth="1"/>
    <col min="12021" max="12021" width="11" style="1" bestFit="1" customWidth="1"/>
    <col min="12022" max="12040" width="13" style="1" bestFit="1" customWidth="1"/>
    <col min="12041" max="12044" width="11" style="1" bestFit="1" customWidth="1"/>
    <col min="12045" max="12047" width="12.25" style="1" bestFit="1" customWidth="1"/>
    <col min="12048" max="12060" width="11" style="1" bestFit="1" customWidth="1"/>
    <col min="12061" max="12061" width="13.25" style="1" bestFit="1" customWidth="1"/>
    <col min="12062" max="12062" width="10" style="1" bestFit="1" customWidth="1"/>
    <col min="12063" max="12063" width="11" style="1" bestFit="1" customWidth="1"/>
    <col min="12064" max="12267" width="9" style="1"/>
    <col min="12268" max="12268" width="2.875" style="1" bestFit="1" customWidth="1"/>
    <col min="12269" max="12269" width="17.625" style="1" bestFit="1" customWidth="1"/>
    <col min="12270" max="12270" width="11.375" style="1" bestFit="1" customWidth="1"/>
    <col min="12271" max="12272" width="14.125" style="1" bestFit="1" customWidth="1"/>
    <col min="12273" max="12273" width="11.375" style="1" bestFit="1" customWidth="1"/>
    <col min="12274" max="12276" width="12.5" style="1" bestFit="1" customWidth="1"/>
    <col min="12277" max="12277" width="11" style="1" bestFit="1" customWidth="1"/>
    <col min="12278" max="12296" width="13" style="1" bestFit="1" customWidth="1"/>
    <col min="12297" max="12300" width="11" style="1" bestFit="1" customWidth="1"/>
    <col min="12301" max="12303" width="12.25" style="1" bestFit="1" customWidth="1"/>
    <col min="12304" max="12316" width="11" style="1" bestFit="1" customWidth="1"/>
    <col min="12317" max="12317" width="13.25" style="1" bestFit="1" customWidth="1"/>
    <col min="12318" max="12318" width="10" style="1" bestFit="1" customWidth="1"/>
    <col min="12319" max="12319" width="11" style="1" bestFit="1" customWidth="1"/>
    <col min="12320" max="12523" width="9" style="1"/>
    <col min="12524" max="12524" width="2.875" style="1" bestFit="1" customWidth="1"/>
    <col min="12525" max="12525" width="17.625" style="1" bestFit="1" customWidth="1"/>
    <col min="12526" max="12526" width="11.375" style="1" bestFit="1" customWidth="1"/>
    <col min="12527" max="12528" width="14.125" style="1" bestFit="1" customWidth="1"/>
    <col min="12529" max="12529" width="11.375" style="1" bestFit="1" customWidth="1"/>
    <col min="12530" max="12532" width="12.5" style="1" bestFit="1" customWidth="1"/>
    <col min="12533" max="12533" width="11" style="1" bestFit="1" customWidth="1"/>
    <col min="12534" max="12552" width="13" style="1" bestFit="1" customWidth="1"/>
    <col min="12553" max="12556" width="11" style="1" bestFit="1" customWidth="1"/>
    <col min="12557" max="12559" width="12.25" style="1" bestFit="1" customWidth="1"/>
    <col min="12560" max="12572" width="11" style="1" bestFit="1" customWidth="1"/>
    <col min="12573" max="12573" width="13.25" style="1" bestFit="1" customWidth="1"/>
    <col min="12574" max="12574" width="10" style="1" bestFit="1" customWidth="1"/>
    <col min="12575" max="12575" width="11" style="1" bestFit="1" customWidth="1"/>
    <col min="12576" max="12779" width="9" style="1"/>
    <col min="12780" max="12780" width="2.875" style="1" bestFit="1" customWidth="1"/>
    <col min="12781" max="12781" width="17.625" style="1" bestFit="1" customWidth="1"/>
    <col min="12782" max="12782" width="11.375" style="1" bestFit="1" customWidth="1"/>
    <col min="12783" max="12784" width="14.125" style="1" bestFit="1" customWidth="1"/>
    <col min="12785" max="12785" width="11.375" style="1" bestFit="1" customWidth="1"/>
    <col min="12786" max="12788" width="12.5" style="1" bestFit="1" customWidth="1"/>
    <col min="12789" max="12789" width="11" style="1" bestFit="1" customWidth="1"/>
    <col min="12790" max="12808" width="13" style="1" bestFit="1" customWidth="1"/>
    <col min="12809" max="12812" width="11" style="1" bestFit="1" customWidth="1"/>
    <col min="12813" max="12815" width="12.25" style="1" bestFit="1" customWidth="1"/>
    <col min="12816" max="12828" width="11" style="1" bestFit="1" customWidth="1"/>
    <col min="12829" max="12829" width="13.25" style="1" bestFit="1" customWidth="1"/>
    <col min="12830" max="12830" width="10" style="1" bestFit="1" customWidth="1"/>
    <col min="12831" max="12831" width="11" style="1" bestFit="1" customWidth="1"/>
    <col min="12832" max="13035" width="9" style="1"/>
    <col min="13036" max="13036" width="2.875" style="1" bestFit="1" customWidth="1"/>
    <col min="13037" max="13037" width="17.625" style="1" bestFit="1" customWidth="1"/>
    <col min="13038" max="13038" width="11.375" style="1" bestFit="1" customWidth="1"/>
    <col min="13039" max="13040" width="14.125" style="1" bestFit="1" customWidth="1"/>
    <col min="13041" max="13041" width="11.375" style="1" bestFit="1" customWidth="1"/>
    <col min="13042" max="13044" width="12.5" style="1" bestFit="1" customWidth="1"/>
    <col min="13045" max="13045" width="11" style="1" bestFit="1" customWidth="1"/>
    <col min="13046" max="13064" width="13" style="1" bestFit="1" customWidth="1"/>
    <col min="13065" max="13068" width="11" style="1" bestFit="1" customWidth="1"/>
    <col min="13069" max="13071" width="12.25" style="1" bestFit="1" customWidth="1"/>
    <col min="13072" max="13084" width="11" style="1" bestFit="1" customWidth="1"/>
    <col min="13085" max="13085" width="13.25" style="1" bestFit="1" customWidth="1"/>
    <col min="13086" max="13086" width="10" style="1" bestFit="1" customWidth="1"/>
    <col min="13087" max="13087" width="11" style="1" bestFit="1" customWidth="1"/>
    <col min="13088" max="13291" width="9" style="1"/>
    <col min="13292" max="13292" width="2.875" style="1" bestFit="1" customWidth="1"/>
    <col min="13293" max="13293" width="17.625" style="1" bestFit="1" customWidth="1"/>
    <col min="13294" max="13294" width="11.375" style="1" bestFit="1" customWidth="1"/>
    <col min="13295" max="13296" width="14.125" style="1" bestFit="1" customWidth="1"/>
    <col min="13297" max="13297" width="11.375" style="1" bestFit="1" customWidth="1"/>
    <col min="13298" max="13300" width="12.5" style="1" bestFit="1" customWidth="1"/>
    <col min="13301" max="13301" width="11" style="1" bestFit="1" customWidth="1"/>
    <col min="13302" max="13320" width="13" style="1" bestFit="1" customWidth="1"/>
    <col min="13321" max="13324" width="11" style="1" bestFit="1" customWidth="1"/>
    <col min="13325" max="13327" width="12.25" style="1" bestFit="1" customWidth="1"/>
    <col min="13328" max="13340" width="11" style="1" bestFit="1" customWidth="1"/>
    <col min="13341" max="13341" width="13.25" style="1" bestFit="1" customWidth="1"/>
    <col min="13342" max="13342" width="10" style="1" bestFit="1" customWidth="1"/>
    <col min="13343" max="13343" width="11" style="1" bestFit="1" customWidth="1"/>
    <col min="13344" max="13547" width="9" style="1"/>
    <col min="13548" max="13548" width="2.875" style="1" bestFit="1" customWidth="1"/>
    <col min="13549" max="13549" width="17.625" style="1" bestFit="1" customWidth="1"/>
    <col min="13550" max="13550" width="11.375" style="1" bestFit="1" customWidth="1"/>
    <col min="13551" max="13552" width="14.125" style="1" bestFit="1" customWidth="1"/>
    <col min="13553" max="13553" width="11.375" style="1" bestFit="1" customWidth="1"/>
    <col min="13554" max="13556" width="12.5" style="1" bestFit="1" customWidth="1"/>
    <col min="13557" max="13557" width="11" style="1" bestFit="1" customWidth="1"/>
    <col min="13558" max="13576" width="13" style="1" bestFit="1" customWidth="1"/>
    <col min="13577" max="13580" width="11" style="1" bestFit="1" customWidth="1"/>
    <col min="13581" max="13583" width="12.25" style="1" bestFit="1" customWidth="1"/>
    <col min="13584" max="13596" width="11" style="1" bestFit="1" customWidth="1"/>
    <col min="13597" max="13597" width="13.25" style="1" bestFit="1" customWidth="1"/>
    <col min="13598" max="13598" width="10" style="1" bestFit="1" customWidth="1"/>
    <col min="13599" max="13599" width="11" style="1" bestFit="1" customWidth="1"/>
    <col min="13600" max="13803" width="9" style="1"/>
    <col min="13804" max="13804" width="2.875" style="1" bestFit="1" customWidth="1"/>
    <col min="13805" max="13805" width="17.625" style="1" bestFit="1" customWidth="1"/>
    <col min="13806" max="13806" width="11.375" style="1" bestFit="1" customWidth="1"/>
    <col min="13807" max="13808" width="14.125" style="1" bestFit="1" customWidth="1"/>
    <col min="13809" max="13809" width="11.375" style="1" bestFit="1" customWidth="1"/>
    <col min="13810" max="13812" width="12.5" style="1" bestFit="1" customWidth="1"/>
    <col min="13813" max="13813" width="11" style="1" bestFit="1" customWidth="1"/>
    <col min="13814" max="13832" width="13" style="1" bestFit="1" customWidth="1"/>
    <col min="13833" max="13836" width="11" style="1" bestFit="1" customWidth="1"/>
    <col min="13837" max="13839" width="12.25" style="1" bestFit="1" customWidth="1"/>
    <col min="13840" max="13852" width="11" style="1" bestFit="1" customWidth="1"/>
    <col min="13853" max="13853" width="13.25" style="1" bestFit="1" customWidth="1"/>
    <col min="13854" max="13854" width="10" style="1" bestFit="1" customWidth="1"/>
    <col min="13855" max="13855" width="11" style="1" bestFit="1" customWidth="1"/>
    <col min="13856" max="14059" width="9" style="1"/>
    <col min="14060" max="14060" width="2.875" style="1" bestFit="1" customWidth="1"/>
    <col min="14061" max="14061" width="17.625" style="1" bestFit="1" customWidth="1"/>
    <col min="14062" max="14062" width="11.375" style="1" bestFit="1" customWidth="1"/>
    <col min="14063" max="14064" width="14.125" style="1" bestFit="1" customWidth="1"/>
    <col min="14065" max="14065" width="11.375" style="1" bestFit="1" customWidth="1"/>
    <col min="14066" max="14068" width="12.5" style="1" bestFit="1" customWidth="1"/>
    <col min="14069" max="14069" width="11" style="1" bestFit="1" customWidth="1"/>
    <col min="14070" max="14088" width="13" style="1" bestFit="1" customWidth="1"/>
    <col min="14089" max="14092" width="11" style="1" bestFit="1" customWidth="1"/>
    <col min="14093" max="14095" width="12.25" style="1" bestFit="1" customWidth="1"/>
    <col min="14096" max="14108" width="11" style="1" bestFit="1" customWidth="1"/>
    <col min="14109" max="14109" width="13.25" style="1" bestFit="1" customWidth="1"/>
    <col min="14110" max="14110" width="10" style="1" bestFit="1" customWidth="1"/>
    <col min="14111" max="14111" width="11" style="1" bestFit="1" customWidth="1"/>
    <col min="14112" max="14315" width="9" style="1"/>
    <col min="14316" max="14316" width="2.875" style="1" bestFit="1" customWidth="1"/>
    <col min="14317" max="14317" width="17.625" style="1" bestFit="1" customWidth="1"/>
    <col min="14318" max="14318" width="11.375" style="1" bestFit="1" customWidth="1"/>
    <col min="14319" max="14320" width="14.125" style="1" bestFit="1" customWidth="1"/>
    <col min="14321" max="14321" width="11.375" style="1" bestFit="1" customWidth="1"/>
    <col min="14322" max="14324" width="12.5" style="1" bestFit="1" customWidth="1"/>
    <col min="14325" max="14325" width="11" style="1" bestFit="1" customWidth="1"/>
    <col min="14326" max="14344" width="13" style="1" bestFit="1" customWidth="1"/>
    <col min="14345" max="14348" width="11" style="1" bestFit="1" customWidth="1"/>
    <col min="14349" max="14351" width="12.25" style="1" bestFit="1" customWidth="1"/>
    <col min="14352" max="14364" width="11" style="1" bestFit="1" customWidth="1"/>
    <col min="14365" max="14365" width="13.25" style="1" bestFit="1" customWidth="1"/>
    <col min="14366" max="14366" width="10" style="1" bestFit="1" customWidth="1"/>
    <col min="14367" max="14367" width="11" style="1" bestFit="1" customWidth="1"/>
    <col min="14368" max="14571" width="9" style="1"/>
    <col min="14572" max="14572" width="2.875" style="1" bestFit="1" customWidth="1"/>
    <col min="14573" max="14573" width="17.625" style="1" bestFit="1" customWidth="1"/>
    <col min="14574" max="14574" width="11.375" style="1" bestFit="1" customWidth="1"/>
    <col min="14575" max="14576" width="14.125" style="1" bestFit="1" customWidth="1"/>
    <col min="14577" max="14577" width="11.375" style="1" bestFit="1" customWidth="1"/>
    <col min="14578" max="14580" width="12.5" style="1" bestFit="1" customWidth="1"/>
    <col min="14581" max="14581" width="11" style="1" bestFit="1" customWidth="1"/>
    <col min="14582" max="14600" width="13" style="1" bestFit="1" customWidth="1"/>
    <col min="14601" max="14604" width="11" style="1" bestFit="1" customWidth="1"/>
    <col min="14605" max="14607" width="12.25" style="1" bestFit="1" customWidth="1"/>
    <col min="14608" max="14620" width="11" style="1" bestFit="1" customWidth="1"/>
    <col min="14621" max="14621" width="13.25" style="1" bestFit="1" customWidth="1"/>
    <col min="14622" max="14622" width="10" style="1" bestFit="1" customWidth="1"/>
    <col min="14623" max="14623" width="11" style="1" bestFit="1" customWidth="1"/>
    <col min="14624" max="14827" width="9" style="1"/>
    <col min="14828" max="14828" width="2.875" style="1" bestFit="1" customWidth="1"/>
    <col min="14829" max="14829" width="17.625" style="1" bestFit="1" customWidth="1"/>
    <col min="14830" max="14830" width="11.375" style="1" bestFit="1" customWidth="1"/>
    <col min="14831" max="14832" width="14.125" style="1" bestFit="1" customWidth="1"/>
    <col min="14833" max="14833" width="11.375" style="1" bestFit="1" customWidth="1"/>
    <col min="14834" max="14836" width="12.5" style="1" bestFit="1" customWidth="1"/>
    <col min="14837" max="14837" width="11" style="1" bestFit="1" customWidth="1"/>
    <col min="14838" max="14856" width="13" style="1" bestFit="1" customWidth="1"/>
    <col min="14857" max="14860" width="11" style="1" bestFit="1" customWidth="1"/>
    <col min="14861" max="14863" width="12.25" style="1" bestFit="1" customWidth="1"/>
    <col min="14864" max="14876" width="11" style="1" bestFit="1" customWidth="1"/>
    <col min="14877" max="14877" width="13.25" style="1" bestFit="1" customWidth="1"/>
    <col min="14878" max="14878" width="10" style="1" bestFit="1" customWidth="1"/>
    <col min="14879" max="14879" width="11" style="1" bestFit="1" customWidth="1"/>
    <col min="14880" max="15083" width="9" style="1"/>
    <col min="15084" max="15084" width="2.875" style="1" bestFit="1" customWidth="1"/>
    <col min="15085" max="15085" width="17.625" style="1" bestFit="1" customWidth="1"/>
    <col min="15086" max="15086" width="11.375" style="1" bestFit="1" customWidth="1"/>
    <col min="15087" max="15088" width="14.125" style="1" bestFit="1" customWidth="1"/>
    <col min="15089" max="15089" width="11.375" style="1" bestFit="1" customWidth="1"/>
    <col min="15090" max="15092" width="12.5" style="1" bestFit="1" customWidth="1"/>
    <col min="15093" max="15093" width="11" style="1" bestFit="1" customWidth="1"/>
    <col min="15094" max="15112" width="13" style="1" bestFit="1" customWidth="1"/>
    <col min="15113" max="15116" width="11" style="1" bestFit="1" customWidth="1"/>
    <col min="15117" max="15119" width="12.25" style="1" bestFit="1" customWidth="1"/>
    <col min="15120" max="15132" width="11" style="1" bestFit="1" customWidth="1"/>
    <col min="15133" max="15133" width="13.25" style="1" bestFit="1" customWidth="1"/>
    <col min="15134" max="15134" width="10" style="1" bestFit="1" customWidth="1"/>
    <col min="15135" max="15135" width="11" style="1" bestFit="1" customWidth="1"/>
    <col min="15136" max="15339" width="9" style="1"/>
    <col min="15340" max="15340" width="2.875" style="1" bestFit="1" customWidth="1"/>
    <col min="15341" max="15341" width="17.625" style="1" bestFit="1" customWidth="1"/>
    <col min="15342" max="15342" width="11.375" style="1" bestFit="1" customWidth="1"/>
    <col min="15343" max="15344" width="14.125" style="1" bestFit="1" customWidth="1"/>
    <col min="15345" max="15345" width="11.375" style="1" bestFit="1" customWidth="1"/>
    <col min="15346" max="15348" width="12.5" style="1" bestFit="1" customWidth="1"/>
    <col min="15349" max="15349" width="11" style="1" bestFit="1" customWidth="1"/>
    <col min="15350" max="15368" width="13" style="1" bestFit="1" customWidth="1"/>
    <col min="15369" max="15372" width="11" style="1" bestFit="1" customWidth="1"/>
    <col min="15373" max="15375" width="12.25" style="1" bestFit="1" customWidth="1"/>
    <col min="15376" max="15388" width="11" style="1" bestFit="1" customWidth="1"/>
    <col min="15389" max="15389" width="13.25" style="1" bestFit="1" customWidth="1"/>
    <col min="15390" max="15390" width="10" style="1" bestFit="1" customWidth="1"/>
    <col min="15391" max="15391" width="11" style="1" bestFit="1" customWidth="1"/>
    <col min="15392" max="15595" width="9" style="1"/>
    <col min="15596" max="15596" width="2.875" style="1" bestFit="1" customWidth="1"/>
    <col min="15597" max="15597" width="17.625" style="1" bestFit="1" customWidth="1"/>
    <col min="15598" max="15598" width="11.375" style="1" bestFit="1" customWidth="1"/>
    <col min="15599" max="15600" width="14.125" style="1" bestFit="1" customWidth="1"/>
    <col min="15601" max="15601" width="11.375" style="1" bestFit="1" customWidth="1"/>
    <col min="15602" max="15604" width="12.5" style="1" bestFit="1" customWidth="1"/>
    <col min="15605" max="15605" width="11" style="1" bestFit="1" customWidth="1"/>
    <col min="15606" max="15624" width="13" style="1" bestFit="1" customWidth="1"/>
    <col min="15625" max="15628" width="11" style="1" bestFit="1" customWidth="1"/>
    <col min="15629" max="15631" width="12.25" style="1" bestFit="1" customWidth="1"/>
    <col min="15632" max="15644" width="11" style="1" bestFit="1" customWidth="1"/>
    <col min="15645" max="15645" width="13.25" style="1" bestFit="1" customWidth="1"/>
    <col min="15646" max="15646" width="10" style="1" bestFit="1" customWidth="1"/>
    <col min="15647" max="15647" width="11" style="1" bestFit="1" customWidth="1"/>
    <col min="15648" max="15851" width="9" style="1"/>
    <col min="15852" max="15852" width="2.875" style="1" bestFit="1" customWidth="1"/>
    <col min="15853" max="15853" width="17.625" style="1" bestFit="1" customWidth="1"/>
    <col min="15854" max="15854" width="11.375" style="1" bestFit="1" customWidth="1"/>
    <col min="15855" max="15856" width="14.125" style="1" bestFit="1" customWidth="1"/>
    <col min="15857" max="15857" width="11.375" style="1" bestFit="1" customWidth="1"/>
    <col min="15858" max="15860" width="12.5" style="1" bestFit="1" customWidth="1"/>
    <col min="15861" max="15861" width="11" style="1" bestFit="1" customWidth="1"/>
    <col min="15862" max="15880" width="13" style="1" bestFit="1" customWidth="1"/>
    <col min="15881" max="15884" width="11" style="1" bestFit="1" customWidth="1"/>
    <col min="15885" max="15887" width="12.25" style="1" bestFit="1" customWidth="1"/>
    <col min="15888" max="15900" width="11" style="1" bestFit="1" customWidth="1"/>
    <col min="15901" max="15901" width="13.25" style="1" bestFit="1" customWidth="1"/>
    <col min="15902" max="15902" width="10" style="1" bestFit="1" customWidth="1"/>
    <col min="15903" max="15903" width="11" style="1" bestFit="1" customWidth="1"/>
    <col min="15904" max="16107" width="9" style="1"/>
    <col min="16108" max="16108" width="2.875" style="1" bestFit="1" customWidth="1"/>
    <col min="16109" max="16109" width="17.625" style="1" bestFit="1" customWidth="1"/>
    <col min="16110" max="16110" width="11.375" style="1" bestFit="1" customWidth="1"/>
    <col min="16111" max="16112" width="14.125" style="1" bestFit="1" customWidth="1"/>
    <col min="16113" max="16113" width="11.375" style="1" bestFit="1" customWidth="1"/>
    <col min="16114" max="16116" width="12.5" style="1" bestFit="1" customWidth="1"/>
    <col min="16117" max="16117" width="11" style="1" bestFit="1" customWidth="1"/>
    <col min="16118" max="16136" width="13" style="1" bestFit="1" customWidth="1"/>
    <col min="16137" max="16140" width="11" style="1" bestFit="1" customWidth="1"/>
    <col min="16141" max="16143" width="12.25" style="1" bestFit="1" customWidth="1"/>
    <col min="16144" max="16156" width="11" style="1" bestFit="1" customWidth="1"/>
    <col min="16157" max="16157" width="13.25" style="1" bestFit="1" customWidth="1"/>
    <col min="16158" max="16158" width="10" style="1" bestFit="1" customWidth="1"/>
    <col min="16159" max="16159" width="11" style="1" bestFit="1" customWidth="1"/>
    <col min="16160" max="16384" width="9" style="1"/>
  </cols>
  <sheetData>
    <row r="1" spans="1:31" hidden="1" x14ac:dyDescent="0.15"/>
    <row r="2" spans="1:31" ht="30.75" hidden="1" customHeight="1" x14ac:dyDescent="0.15"/>
    <row r="3" spans="1:31" ht="17.25" x14ac:dyDescent="0.2">
      <c r="A3" s="53">
        <v>45505</v>
      </c>
      <c r="B3" s="53"/>
      <c r="C3" s="45" t="s">
        <v>243</v>
      </c>
    </row>
    <row r="4" spans="1:31" s="5" customFormat="1" ht="10.5" customHeight="1" x14ac:dyDescent="0.15">
      <c r="A4" s="46" t="s">
        <v>0</v>
      </c>
      <c r="B4" s="46"/>
      <c r="C4" s="2" t="s">
        <v>9</v>
      </c>
      <c r="D4" s="2" t="s">
        <v>10</v>
      </c>
      <c r="E4" s="2" t="s">
        <v>11</v>
      </c>
      <c r="F4" s="2" t="s">
        <v>12</v>
      </c>
      <c r="G4" s="2" t="s">
        <v>13</v>
      </c>
      <c r="H4" s="2" t="s">
        <v>14</v>
      </c>
      <c r="I4" s="2" t="s">
        <v>170</v>
      </c>
      <c r="J4" s="2" t="s">
        <v>15</v>
      </c>
      <c r="K4" s="2" t="s">
        <v>16</v>
      </c>
      <c r="L4" s="2" t="s">
        <v>17</v>
      </c>
      <c r="M4" s="2" t="s">
        <v>18</v>
      </c>
      <c r="N4" s="2" t="s">
        <v>19</v>
      </c>
      <c r="O4" s="2" t="s">
        <v>20</v>
      </c>
      <c r="P4" s="2" t="s">
        <v>21</v>
      </c>
      <c r="Q4" s="2" t="s">
        <v>22</v>
      </c>
      <c r="R4" s="2" t="s">
        <v>23</v>
      </c>
      <c r="S4" s="2" t="s">
        <v>24</v>
      </c>
      <c r="T4" s="2" t="s">
        <v>25</v>
      </c>
      <c r="U4" s="2" t="s">
        <v>187</v>
      </c>
      <c r="V4" s="2" t="s">
        <v>26</v>
      </c>
      <c r="W4" s="2" t="s">
        <v>27</v>
      </c>
      <c r="X4" s="2" t="s">
        <v>28</v>
      </c>
      <c r="Y4" s="2" t="s">
        <v>29</v>
      </c>
      <c r="Z4" s="2" t="s">
        <v>30</v>
      </c>
      <c r="AA4" s="2" t="s">
        <v>31</v>
      </c>
      <c r="AB4" s="2" t="s">
        <v>32</v>
      </c>
      <c r="AC4" s="3" t="s">
        <v>41</v>
      </c>
      <c r="AD4" s="3" t="s">
        <v>42</v>
      </c>
      <c r="AE4" s="4" t="s">
        <v>43</v>
      </c>
    </row>
    <row r="5" spans="1:31" s="5" customFormat="1" hidden="1" x14ac:dyDescent="0.15">
      <c r="A5" s="50" t="s">
        <v>44</v>
      </c>
      <c r="B5" s="54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6</v>
      </c>
      <c r="W5" s="2">
        <v>6</v>
      </c>
      <c r="X5" s="2">
        <v>6</v>
      </c>
      <c r="Y5" s="2">
        <v>6</v>
      </c>
      <c r="Z5" s="2">
        <v>6</v>
      </c>
      <c r="AA5" s="2">
        <v>6</v>
      </c>
      <c r="AB5" s="2">
        <v>6</v>
      </c>
      <c r="AC5" s="3"/>
      <c r="AD5" s="3"/>
      <c r="AE5" s="4"/>
    </row>
    <row r="6" spans="1:31" s="5" customFormat="1" hidden="1" x14ac:dyDescent="0.15">
      <c r="A6" s="50" t="s">
        <v>45</v>
      </c>
      <c r="B6" s="54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2" t="s">
        <v>47</v>
      </c>
      <c r="J6" s="2" t="s">
        <v>47</v>
      </c>
      <c r="K6" s="2" t="s">
        <v>47</v>
      </c>
      <c r="L6" s="2" t="s">
        <v>47</v>
      </c>
      <c r="M6" s="2" t="s">
        <v>47</v>
      </c>
      <c r="N6" s="2" t="s">
        <v>47</v>
      </c>
      <c r="O6" s="2" t="s">
        <v>47</v>
      </c>
      <c r="P6" s="2" t="s">
        <v>47</v>
      </c>
      <c r="Q6" s="2" t="s">
        <v>47</v>
      </c>
      <c r="R6" s="2" t="s">
        <v>47</v>
      </c>
      <c r="S6" s="2" t="s">
        <v>47</v>
      </c>
      <c r="T6" s="2" t="s">
        <v>47</v>
      </c>
      <c r="U6" s="2" t="s">
        <v>47</v>
      </c>
      <c r="V6" s="2" t="s">
        <v>48</v>
      </c>
      <c r="W6" s="2" t="s">
        <v>48</v>
      </c>
      <c r="X6" s="2" t="s">
        <v>48</v>
      </c>
      <c r="Y6" s="2" t="s">
        <v>48</v>
      </c>
      <c r="Z6" s="2" t="s">
        <v>48</v>
      </c>
      <c r="AA6" s="2" t="s">
        <v>48</v>
      </c>
      <c r="AB6" s="2" t="s">
        <v>48</v>
      </c>
      <c r="AC6" s="3"/>
      <c r="AD6" s="3"/>
      <c r="AE6" s="4"/>
    </row>
    <row r="7" spans="1:31" s="5" customFormat="1" ht="12" customHeight="1" x14ac:dyDescent="0.15">
      <c r="A7" s="52" t="s">
        <v>51</v>
      </c>
      <c r="B7" s="52"/>
      <c r="C7" s="36" t="s">
        <v>163</v>
      </c>
      <c r="D7" s="36" t="s">
        <v>164</v>
      </c>
      <c r="E7" s="36" t="s">
        <v>169</v>
      </c>
      <c r="F7" s="36" t="s">
        <v>176</v>
      </c>
      <c r="G7" s="36" t="s">
        <v>174</v>
      </c>
      <c r="H7" s="36" t="s">
        <v>168</v>
      </c>
      <c r="I7" s="36" t="s">
        <v>171</v>
      </c>
      <c r="J7" s="36" t="s">
        <v>172</v>
      </c>
      <c r="K7" s="36" t="s">
        <v>177</v>
      </c>
      <c r="L7" s="36" t="s">
        <v>173</v>
      </c>
      <c r="M7" s="36" t="s">
        <v>178</v>
      </c>
      <c r="N7" s="36" t="s">
        <v>180</v>
      </c>
      <c r="O7" s="36" t="s">
        <v>181</v>
      </c>
      <c r="P7" s="36" t="s">
        <v>179</v>
      </c>
      <c r="Q7" s="36" t="s">
        <v>182</v>
      </c>
      <c r="R7" s="36" t="s">
        <v>185</v>
      </c>
      <c r="S7" s="36"/>
      <c r="T7" s="36"/>
      <c r="U7" s="36"/>
      <c r="V7" s="36" t="s">
        <v>166</v>
      </c>
      <c r="W7" s="36" t="s">
        <v>167</v>
      </c>
      <c r="X7" s="36" t="s">
        <v>165</v>
      </c>
      <c r="Y7" s="36" t="s">
        <v>175</v>
      </c>
      <c r="Z7" s="36" t="s">
        <v>186</v>
      </c>
      <c r="AA7" s="36" t="s">
        <v>183</v>
      </c>
      <c r="AB7" s="36" t="s">
        <v>184</v>
      </c>
      <c r="AC7" s="6"/>
      <c r="AD7" s="6"/>
      <c r="AE7" s="7"/>
    </row>
    <row r="8" spans="1:31" s="5" customFormat="1" ht="12" customHeight="1" x14ac:dyDescent="0.15">
      <c r="A8" s="52" t="s">
        <v>52</v>
      </c>
      <c r="B8" s="52"/>
      <c r="C8" s="36" t="s">
        <v>208</v>
      </c>
      <c r="D8" s="36" t="s">
        <v>209</v>
      </c>
      <c r="E8" s="36" t="s">
        <v>210</v>
      </c>
      <c r="F8" s="36" t="s">
        <v>211</v>
      </c>
      <c r="G8" s="36" t="s">
        <v>202</v>
      </c>
      <c r="H8" s="36" t="s">
        <v>212</v>
      </c>
      <c r="I8" s="36" t="s">
        <v>213</v>
      </c>
      <c r="J8" s="36" t="s">
        <v>214</v>
      </c>
      <c r="K8" s="36" t="s">
        <v>215</v>
      </c>
      <c r="L8" s="36" t="s">
        <v>216</v>
      </c>
      <c r="M8" s="36" t="s">
        <v>217</v>
      </c>
      <c r="N8" s="36" t="s">
        <v>218</v>
      </c>
      <c r="O8" s="36" t="s">
        <v>219</v>
      </c>
      <c r="P8" s="36" t="s">
        <v>220</v>
      </c>
      <c r="Q8" s="36" t="s">
        <v>221</v>
      </c>
      <c r="R8" s="36" t="s">
        <v>222</v>
      </c>
      <c r="S8" s="36"/>
      <c r="T8" s="36"/>
      <c r="U8" s="36" t="s">
        <v>223</v>
      </c>
      <c r="V8" s="36" t="s">
        <v>224</v>
      </c>
      <c r="W8" s="36" t="s">
        <v>225</v>
      </c>
      <c r="X8" s="36" t="s">
        <v>226</v>
      </c>
      <c r="Y8" s="36" t="s">
        <v>227</v>
      </c>
      <c r="Z8" s="36" t="s">
        <v>228</v>
      </c>
      <c r="AA8" s="36" t="s">
        <v>229</v>
      </c>
      <c r="AB8" s="36" t="s">
        <v>230</v>
      </c>
      <c r="AC8" s="6"/>
      <c r="AD8" s="6"/>
      <c r="AE8" s="7"/>
    </row>
    <row r="9" spans="1:31" ht="12" customHeight="1" x14ac:dyDescent="0.15">
      <c r="A9" s="48" t="s">
        <v>53</v>
      </c>
      <c r="B9" s="49"/>
      <c r="C9" s="38">
        <v>8</v>
      </c>
      <c r="D9" s="38">
        <v>8</v>
      </c>
      <c r="E9" s="38">
        <v>10</v>
      </c>
      <c r="F9" s="38">
        <v>10</v>
      </c>
      <c r="G9" s="38">
        <v>10</v>
      </c>
      <c r="H9" s="38">
        <v>10</v>
      </c>
      <c r="I9" s="38">
        <v>14</v>
      </c>
      <c r="J9" s="38">
        <v>10</v>
      </c>
      <c r="K9" s="38">
        <v>10</v>
      </c>
      <c r="L9" s="38">
        <v>10</v>
      </c>
      <c r="M9" s="38">
        <v>10</v>
      </c>
      <c r="N9" s="38">
        <v>10</v>
      </c>
      <c r="O9" s="38">
        <v>10</v>
      </c>
      <c r="P9" s="38">
        <v>10</v>
      </c>
      <c r="Q9" s="38">
        <v>10</v>
      </c>
      <c r="R9" s="38">
        <v>10</v>
      </c>
      <c r="S9" s="38"/>
      <c r="T9" s="38"/>
      <c r="U9" s="38">
        <v>14</v>
      </c>
      <c r="V9" s="38">
        <v>8</v>
      </c>
      <c r="W9" s="38">
        <v>8</v>
      </c>
      <c r="X9" s="38">
        <v>8</v>
      </c>
      <c r="Y9" s="38">
        <v>10</v>
      </c>
      <c r="Z9" s="38">
        <v>10</v>
      </c>
      <c r="AA9" s="38">
        <v>10</v>
      </c>
      <c r="AB9" s="38">
        <v>10</v>
      </c>
      <c r="AC9" s="9">
        <f>SUM(C9:AB9)</f>
        <v>238</v>
      </c>
      <c r="AD9" s="9"/>
      <c r="AE9" s="10"/>
    </row>
    <row r="10" spans="1:31" ht="12.75" customHeight="1" x14ac:dyDescent="0.15">
      <c r="A10" s="46" t="s">
        <v>54</v>
      </c>
      <c r="B10" s="46"/>
      <c r="C10" s="41" t="s">
        <v>57</v>
      </c>
      <c r="D10" s="41" t="s">
        <v>58</v>
      </c>
      <c r="E10" s="41" t="s">
        <v>59</v>
      </c>
      <c r="F10" s="41" t="s">
        <v>59</v>
      </c>
      <c r="G10" s="41" t="s">
        <v>59</v>
      </c>
      <c r="H10" s="41" t="s">
        <v>59</v>
      </c>
      <c r="I10" s="41" t="s">
        <v>59</v>
      </c>
      <c r="J10" s="41" t="s">
        <v>59</v>
      </c>
      <c r="K10" s="41" t="s">
        <v>59</v>
      </c>
      <c r="L10" s="41" t="s">
        <v>59</v>
      </c>
      <c r="M10" s="41" t="s">
        <v>60</v>
      </c>
      <c r="N10" s="41" t="s">
        <v>60</v>
      </c>
      <c r="O10" s="41" t="s">
        <v>60</v>
      </c>
      <c r="P10" s="41" t="s">
        <v>60</v>
      </c>
      <c r="Q10" s="41" t="s">
        <v>61</v>
      </c>
      <c r="R10" s="41" t="s">
        <v>61</v>
      </c>
      <c r="S10" s="41" t="s">
        <v>62</v>
      </c>
      <c r="T10" s="41" t="s">
        <v>63</v>
      </c>
      <c r="U10" s="41"/>
      <c r="V10" s="41" t="s">
        <v>57</v>
      </c>
      <c r="W10" s="41" t="s">
        <v>57</v>
      </c>
      <c r="X10" s="41" t="s">
        <v>58</v>
      </c>
      <c r="Y10" s="41" t="s">
        <v>59</v>
      </c>
      <c r="Z10" s="41" t="s">
        <v>61</v>
      </c>
      <c r="AA10" s="41" t="s">
        <v>61</v>
      </c>
      <c r="AB10" s="41" t="s">
        <v>61</v>
      </c>
      <c r="AC10" s="12"/>
      <c r="AD10" s="12"/>
      <c r="AE10" s="13"/>
    </row>
    <row r="11" spans="1:31" ht="12.75" customHeight="1" x14ac:dyDescent="0.15">
      <c r="A11" s="46" t="s">
        <v>65</v>
      </c>
      <c r="B11" s="46"/>
      <c r="C11" s="14">
        <v>1254</v>
      </c>
      <c r="D11" s="14">
        <v>2409</v>
      </c>
      <c r="E11" s="14">
        <v>5269.1</v>
      </c>
      <c r="F11" s="14">
        <v>4650.4000000000005</v>
      </c>
      <c r="G11" s="14">
        <v>5736.5</v>
      </c>
      <c r="H11" s="14">
        <v>6337</v>
      </c>
      <c r="I11" s="14">
        <v>3483</v>
      </c>
      <c r="J11" s="14">
        <v>5129.8999999999996</v>
      </c>
      <c r="K11" s="14">
        <v>6235.3</v>
      </c>
      <c r="L11" s="14">
        <v>4986.5</v>
      </c>
      <c r="M11" s="14">
        <v>6175.2999999999993</v>
      </c>
      <c r="N11" s="14">
        <v>7093.5</v>
      </c>
      <c r="O11" s="14">
        <v>6373.5</v>
      </c>
      <c r="P11" s="14">
        <v>6255.8</v>
      </c>
      <c r="Q11" s="14">
        <v>2317.1999999999998</v>
      </c>
      <c r="R11" s="14">
        <v>1972.8</v>
      </c>
      <c r="S11" s="14">
        <v>0</v>
      </c>
      <c r="T11" s="14">
        <v>0</v>
      </c>
      <c r="U11" s="14">
        <v>0</v>
      </c>
      <c r="V11" s="14">
        <v>6777</v>
      </c>
      <c r="W11" s="14">
        <v>5609</v>
      </c>
      <c r="X11" s="14">
        <v>7399</v>
      </c>
      <c r="Y11" s="14">
        <v>9713</v>
      </c>
      <c r="Z11" s="14">
        <v>4236</v>
      </c>
      <c r="AA11" s="14">
        <v>6707</v>
      </c>
      <c r="AB11" s="14">
        <v>2345</v>
      </c>
      <c r="AC11" s="16">
        <f>SUM(C11:AB11)</f>
        <v>118464.8</v>
      </c>
      <c r="AD11" s="16">
        <f>AVERAGE(C11:AB11)</f>
        <v>4556.3384615384621</v>
      </c>
      <c r="AE11" s="13"/>
    </row>
    <row r="12" spans="1:31" ht="12.75" customHeight="1" x14ac:dyDescent="0.15">
      <c r="A12" s="50" t="s">
        <v>239</v>
      </c>
      <c r="B12" s="51"/>
      <c r="C12" s="43">
        <v>1.6472222222222221</v>
      </c>
      <c r="D12" s="43"/>
      <c r="E12" s="43">
        <v>8.9444444444444446</v>
      </c>
      <c r="F12" s="43">
        <v>10.215277777777779</v>
      </c>
      <c r="G12" s="43">
        <v>11.02361111111111</v>
      </c>
      <c r="H12" s="43">
        <v>10.488194444444444</v>
      </c>
      <c r="I12" s="43">
        <v>6.8972222222222221</v>
      </c>
      <c r="J12" s="43">
        <v>10.611111111111111</v>
      </c>
      <c r="K12" s="43">
        <v>9.7895833333333329</v>
      </c>
      <c r="L12" s="43">
        <v>9.2840277777777782</v>
      </c>
      <c r="M12" s="43">
        <v>10.664583333333333</v>
      </c>
      <c r="N12" s="43">
        <v>9.9972222222222218</v>
      </c>
      <c r="O12" s="43">
        <v>9.4916666666666671</v>
      </c>
      <c r="P12" s="43">
        <v>9.0458333333333325</v>
      </c>
      <c r="Q12" s="43">
        <v>3.067361111111111</v>
      </c>
      <c r="R12" s="43">
        <v>3.1444444444444444</v>
      </c>
      <c r="S12" s="43"/>
      <c r="T12" s="43"/>
      <c r="U12" s="43"/>
      <c r="V12" s="43">
        <v>8.7298611111111111</v>
      </c>
      <c r="W12" s="43">
        <v>6.8493055555555555</v>
      </c>
      <c r="X12" s="43">
        <v>10.783333333333333</v>
      </c>
      <c r="Y12" s="43">
        <v>12.400694444444444</v>
      </c>
      <c r="Z12" s="43">
        <v>7.1111111111111107</v>
      </c>
      <c r="AA12" s="43">
        <v>9.2881944444444446</v>
      </c>
      <c r="AB12" s="43">
        <v>3.6958333333333333</v>
      </c>
      <c r="AC12" s="16"/>
      <c r="AD12" s="16"/>
      <c r="AE12" s="13"/>
    </row>
    <row r="13" spans="1:31" ht="12.75" customHeight="1" x14ac:dyDescent="0.15">
      <c r="A13" s="46" t="s">
        <v>66</v>
      </c>
      <c r="B13" s="46"/>
      <c r="C13" s="14">
        <v>296836</v>
      </c>
      <c r="D13" s="14">
        <v>797903</v>
      </c>
      <c r="E13" s="14">
        <v>1058570</v>
      </c>
      <c r="F13" s="14">
        <v>1167820</v>
      </c>
      <c r="G13" s="14">
        <v>1259740</v>
      </c>
      <c r="H13" s="14">
        <v>1238050</v>
      </c>
      <c r="I13" s="14">
        <v>1086960</v>
      </c>
      <c r="J13" s="14">
        <v>1174180</v>
      </c>
      <c r="K13" s="14">
        <v>1166930</v>
      </c>
      <c r="L13" s="14">
        <v>1103250</v>
      </c>
      <c r="M13" s="14">
        <v>1158000</v>
      </c>
      <c r="N13" s="14">
        <v>1269890</v>
      </c>
      <c r="O13" s="14">
        <v>1160970</v>
      </c>
      <c r="P13" s="14">
        <v>1186670</v>
      </c>
      <c r="Q13" s="14">
        <v>561788</v>
      </c>
      <c r="R13" s="14">
        <v>452402</v>
      </c>
      <c r="S13" s="14">
        <v>17000</v>
      </c>
      <c r="T13" s="14">
        <v>25152</v>
      </c>
      <c r="U13" s="14">
        <v>0</v>
      </c>
      <c r="V13" s="14">
        <v>1586771</v>
      </c>
      <c r="W13" s="14">
        <v>1340753</v>
      </c>
      <c r="X13" s="14">
        <v>1285348</v>
      </c>
      <c r="Y13" s="14">
        <v>1329600</v>
      </c>
      <c r="Z13" s="14">
        <v>929881</v>
      </c>
      <c r="AA13" s="14">
        <v>1387908</v>
      </c>
      <c r="AB13" s="14">
        <v>452752</v>
      </c>
      <c r="AC13" s="16">
        <f>SUM(C13:AB13)</f>
        <v>24495124</v>
      </c>
      <c r="AD13" s="16">
        <f>AVERAGE(C13:AB13)</f>
        <v>942120.15384615387</v>
      </c>
      <c r="AE13" s="13">
        <f>AC13/AC13</f>
        <v>1</v>
      </c>
    </row>
    <row r="14" spans="1:31" ht="12.75" customHeight="1" x14ac:dyDescent="0.15">
      <c r="A14" s="50" t="s">
        <v>240</v>
      </c>
      <c r="B14" s="51"/>
      <c r="C14" s="14"/>
      <c r="D14" s="14"/>
      <c r="E14" s="14">
        <v>150670</v>
      </c>
      <c r="F14" s="14">
        <v>50660</v>
      </c>
      <c r="G14" s="14"/>
      <c r="H14" s="14"/>
      <c r="I14" s="14"/>
      <c r="J14" s="14">
        <v>30440</v>
      </c>
      <c r="K14" s="14">
        <v>66790</v>
      </c>
      <c r="L14" s="14">
        <v>110610</v>
      </c>
      <c r="M14" s="14">
        <v>51240</v>
      </c>
      <c r="N14" s="14"/>
      <c r="O14" s="14">
        <v>62130</v>
      </c>
      <c r="P14" s="14">
        <v>80710</v>
      </c>
      <c r="Q14" s="14">
        <v>302212</v>
      </c>
      <c r="R14" s="14">
        <v>411598</v>
      </c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6">
        <f>SUM(C14:AB14)</f>
        <v>1317060</v>
      </c>
      <c r="AD14" s="16"/>
      <c r="AE14" s="13"/>
    </row>
    <row r="15" spans="1:31" ht="12.75" customHeight="1" x14ac:dyDescent="0.15">
      <c r="A15" s="46" t="s">
        <v>67</v>
      </c>
      <c r="B15" s="46"/>
      <c r="C15" s="14">
        <f t="shared" ref="C15:AB15" si="0">SUM(C13/C11)</f>
        <v>236.71132376395533</v>
      </c>
      <c r="D15" s="14">
        <f t="shared" si="0"/>
        <v>331.21751764217515</v>
      </c>
      <c r="E15" s="14">
        <f t="shared" si="0"/>
        <v>200.9014822265662</v>
      </c>
      <c r="F15" s="14">
        <f t="shared" si="0"/>
        <v>251.12248408739029</v>
      </c>
      <c r="G15" s="14">
        <f t="shared" si="0"/>
        <v>219.60080188268108</v>
      </c>
      <c r="H15" s="14">
        <f t="shared" si="0"/>
        <v>195.36847088527693</v>
      </c>
      <c r="I15" s="14">
        <f t="shared" si="0"/>
        <v>312.07579672695954</v>
      </c>
      <c r="J15" s="14">
        <f t="shared" si="0"/>
        <v>228.88945203610209</v>
      </c>
      <c r="K15" s="14">
        <f t="shared" si="0"/>
        <v>187.14897438776001</v>
      </c>
      <c r="L15" s="14">
        <f t="shared" si="0"/>
        <v>221.24736789331195</v>
      </c>
      <c r="M15" s="14">
        <f t="shared" si="0"/>
        <v>187.5212540281444</v>
      </c>
      <c r="N15" s="14">
        <f t="shared" si="0"/>
        <v>179.0216395291464</v>
      </c>
      <c r="O15" s="14">
        <f t="shared" si="0"/>
        <v>182.15580136502706</v>
      </c>
      <c r="P15" s="14">
        <f t="shared" si="0"/>
        <v>189.6911665973976</v>
      </c>
      <c r="Q15" s="14">
        <f t="shared" si="0"/>
        <v>242.4426031417228</v>
      </c>
      <c r="R15" s="14">
        <f t="shared" si="0"/>
        <v>229.31974858069748</v>
      </c>
      <c r="S15" s="14" t="e">
        <f t="shared" si="0"/>
        <v>#DIV/0!</v>
      </c>
      <c r="T15" s="14" t="e">
        <f t="shared" si="0"/>
        <v>#DIV/0!</v>
      </c>
      <c r="U15" s="14" t="e">
        <f t="shared" si="0"/>
        <v>#DIV/0!</v>
      </c>
      <c r="V15" s="14">
        <f t="shared" si="0"/>
        <v>234.14062269440757</v>
      </c>
      <c r="W15" s="14">
        <f t="shared" si="0"/>
        <v>239.03601354965235</v>
      </c>
      <c r="X15" s="14">
        <f t="shared" si="0"/>
        <v>173.7191512366536</v>
      </c>
      <c r="Y15" s="14">
        <f t="shared" si="0"/>
        <v>136.88870585812828</v>
      </c>
      <c r="Z15" s="14">
        <f t="shared" si="0"/>
        <v>219.51864966949952</v>
      </c>
      <c r="AA15" s="14">
        <f t="shared" si="0"/>
        <v>206.93424780080514</v>
      </c>
      <c r="AB15" s="14">
        <f t="shared" si="0"/>
        <v>193.07121535181236</v>
      </c>
      <c r="AC15" s="12">
        <f>SUM(AC13/AC11)</f>
        <v>206.77132785434998</v>
      </c>
      <c r="AD15" s="16" t="e">
        <f>AVERAGE(C15:AB15)</f>
        <v>#DIV/0!</v>
      </c>
      <c r="AE15" s="13"/>
    </row>
    <row r="16" spans="1:31" ht="12.75" customHeight="1" x14ac:dyDescent="0.15">
      <c r="A16" s="50" t="s">
        <v>241</v>
      </c>
      <c r="B16" s="51"/>
      <c r="C16" s="14">
        <f t="shared" ref="C16:AB16" si="1">C13/(C12*24)</f>
        <v>7508.49915682968</v>
      </c>
      <c r="D16" s="14" t="e">
        <f t="shared" si="1"/>
        <v>#DIV/0!</v>
      </c>
      <c r="E16" s="14">
        <f t="shared" si="1"/>
        <v>4931.2267080745341</v>
      </c>
      <c r="F16" s="14">
        <f t="shared" si="1"/>
        <v>4763.371855880353</v>
      </c>
      <c r="G16" s="14">
        <f t="shared" si="1"/>
        <v>4761.5219856368903</v>
      </c>
      <c r="H16" s="14">
        <f t="shared" si="1"/>
        <v>4918.4268026219961</v>
      </c>
      <c r="I16" s="14">
        <f t="shared" si="1"/>
        <v>6566.4115988723315</v>
      </c>
      <c r="J16" s="14">
        <f t="shared" si="1"/>
        <v>4610.6544502617799</v>
      </c>
      <c r="K16" s="14">
        <f t="shared" si="1"/>
        <v>4966.7163226218345</v>
      </c>
      <c r="L16" s="14">
        <f t="shared" si="1"/>
        <v>4951.3800583439297</v>
      </c>
      <c r="M16" s="14">
        <f t="shared" si="1"/>
        <v>4524.321156475874</v>
      </c>
      <c r="N16" s="14">
        <f t="shared" si="1"/>
        <v>5292.6785218116147</v>
      </c>
      <c r="O16" s="14">
        <f t="shared" si="1"/>
        <v>5096.4442493415272</v>
      </c>
      <c r="P16" s="14">
        <f t="shared" si="1"/>
        <v>5466.0064486411802</v>
      </c>
      <c r="Q16" s="14">
        <f t="shared" si="1"/>
        <v>7631.2610369028762</v>
      </c>
      <c r="R16" s="14">
        <f t="shared" si="1"/>
        <v>5994.7261484098935</v>
      </c>
      <c r="S16" s="14" t="e">
        <f t="shared" si="1"/>
        <v>#DIV/0!</v>
      </c>
      <c r="T16" s="14" t="e">
        <f t="shared" si="1"/>
        <v>#DIV/0!</v>
      </c>
      <c r="U16" s="14" t="e">
        <f t="shared" si="1"/>
        <v>#DIV/0!</v>
      </c>
      <c r="V16" s="14">
        <f t="shared" si="1"/>
        <v>7573.4834142073032</v>
      </c>
      <c r="W16" s="14">
        <f t="shared" si="1"/>
        <v>8156.258744803813</v>
      </c>
      <c r="X16" s="14">
        <f t="shared" si="1"/>
        <v>4966.5687789799067</v>
      </c>
      <c r="Y16" s="14">
        <f t="shared" si="1"/>
        <v>4467.4917399339192</v>
      </c>
      <c r="Z16" s="14">
        <f t="shared" si="1"/>
        <v>5448.521484375</v>
      </c>
      <c r="AA16" s="14">
        <f t="shared" si="1"/>
        <v>6226.1293457943921</v>
      </c>
      <c r="AB16" s="14">
        <f t="shared" si="1"/>
        <v>5104.3066516347235</v>
      </c>
      <c r="AC16" s="12"/>
      <c r="AD16" s="16"/>
      <c r="AE16" s="13"/>
    </row>
    <row r="17" spans="1:31" ht="12.75" customHeight="1" x14ac:dyDescent="0.15">
      <c r="A17" s="47" t="s">
        <v>68</v>
      </c>
      <c r="B17" s="11" t="s">
        <v>69</v>
      </c>
      <c r="C17" s="14">
        <v>44688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58860</v>
      </c>
      <c r="J17" s="14">
        <v>0</v>
      </c>
      <c r="K17" s="14">
        <v>0</v>
      </c>
      <c r="L17" s="14">
        <v>75708</v>
      </c>
      <c r="M17" s="14">
        <v>0</v>
      </c>
      <c r="N17" s="14">
        <v>213500</v>
      </c>
      <c r="O17" s="14">
        <v>51245</v>
      </c>
      <c r="P17" s="14">
        <v>56375</v>
      </c>
      <c r="Q17" s="14">
        <v>56708</v>
      </c>
      <c r="R17" s="14">
        <v>0</v>
      </c>
      <c r="S17" s="14">
        <v>0</v>
      </c>
      <c r="T17" s="14">
        <v>0</v>
      </c>
      <c r="U17" s="14">
        <v>0</v>
      </c>
      <c r="V17" s="14">
        <v>82500</v>
      </c>
      <c r="W17" s="14">
        <v>215200</v>
      </c>
      <c r="X17" s="14">
        <v>0</v>
      </c>
      <c r="Y17" s="14">
        <v>0</v>
      </c>
      <c r="Z17" s="14">
        <v>0</v>
      </c>
      <c r="AA17" s="14">
        <v>0</v>
      </c>
      <c r="AB17" s="14">
        <v>0</v>
      </c>
      <c r="AC17" s="16">
        <f t="shared" ref="AC17:AC30" si="2">SUM(C17:AB17)</f>
        <v>854784</v>
      </c>
      <c r="AD17" s="16">
        <f t="shared" ref="AD17:AD45" si="3">AVERAGE(C17:AB17)</f>
        <v>32876.307692307695</v>
      </c>
      <c r="AE17" s="13">
        <f>AC17/AC13</f>
        <v>3.4896087890798184E-2</v>
      </c>
    </row>
    <row r="18" spans="1:31" ht="12.75" customHeight="1" x14ac:dyDescent="0.15">
      <c r="A18" s="47"/>
      <c r="B18" s="11" t="s">
        <v>70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  <c r="W18" s="14">
        <v>0</v>
      </c>
      <c r="X18" s="14">
        <v>0</v>
      </c>
      <c r="Y18" s="14">
        <v>0</v>
      </c>
      <c r="Z18" s="14">
        <v>0</v>
      </c>
      <c r="AA18" s="14">
        <v>0</v>
      </c>
      <c r="AB18" s="14">
        <v>0</v>
      </c>
      <c r="AC18" s="16">
        <f t="shared" si="2"/>
        <v>0</v>
      </c>
      <c r="AD18" s="16">
        <f t="shared" si="3"/>
        <v>0</v>
      </c>
      <c r="AE18" s="13">
        <f>AC18/AC13</f>
        <v>0</v>
      </c>
    </row>
    <row r="19" spans="1:31" ht="12.75" customHeight="1" x14ac:dyDescent="0.15">
      <c r="A19" s="47"/>
      <c r="B19" s="11" t="s">
        <v>71</v>
      </c>
      <c r="C19" s="14">
        <v>4400</v>
      </c>
      <c r="D19" s="14">
        <v>4825</v>
      </c>
      <c r="E19" s="14">
        <v>5150</v>
      </c>
      <c r="F19" s="14">
        <v>4400</v>
      </c>
      <c r="G19" s="14">
        <v>5150</v>
      </c>
      <c r="H19" s="14">
        <v>5250</v>
      </c>
      <c r="I19" s="14">
        <v>6950</v>
      </c>
      <c r="J19" s="14">
        <v>4400</v>
      </c>
      <c r="K19" s="14">
        <v>4025</v>
      </c>
      <c r="L19" s="14">
        <v>39700</v>
      </c>
      <c r="M19" s="14">
        <v>4812</v>
      </c>
      <c r="N19" s="14">
        <v>0</v>
      </c>
      <c r="O19" s="14">
        <v>12911</v>
      </c>
      <c r="P19" s="14">
        <v>13200</v>
      </c>
      <c r="Q19" s="14">
        <v>11540</v>
      </c>
      <c r="R19" s="14">
        <v>5642</v>
      </c>
      <c r="S19" s="14">
        <v>0</v>
      </c>
      <c r="T19" s="14">
        <v>0</v>
      </c>
      <c r="U19" s="14">
        <v>7075</v>
      </c>
      <c r="V19" s="14">
        <v>3249</v>
      </c>
      <c r="W19" s="14">
        <v>0</v>
      </c>
      <c r="X19" s="14">
        <v>4417</v>
      </c>
      <c r="Y19" s="14">
        <v>4025</v>
      </c>
      <c r="Z19" s="14">
        <v>5642</v>
      </c>
      <c r="AA19" s="14">
        <v>5642</v>
      </c>
      <c r="AB19" s="14">
        <v>4825</v>
      </c>
      <c r="AC19" s="16">
        <f t="shared" si="2"/>
        <v>167230</v>
      </c>
      <c r="AD19" s="16">
        <f t="shared" si="3"/>
        <v>6431.9230769230771</v>
      </c>
      <c r="AE19" s="13">
        <f>AC19/AC13</f>
        <v>6.8270730125718085E-3</v>
      </c>
    </row>
    <row r="20" spans="1:31" ht="12.75" customHeight="1" x14ac:dyDescent="0.15">
      <c r="A20" s="47"/>
      <c r="B20" s="11" t="s">
        <v>72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U20" s="14">
        <v>0</v>
      </c>
      <c r="V20" s="14"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14">
        <v>0</v>
      </c>
      <c r="AC20" s="16">
        <f t="shared" si="2"/>
        <v>0</v>
      </c>
      <c r="AD20" s="16">
        <f t="shared" si="3"/>
        <v>0</v>
      </c>
      <c r="AE20" s="13">
        <f>AC20/AC13</f>
        <v>0</v>
      </c>
    </row>
    <row r="21" spans="1:31" ht="12.75" customHeight="1" x14ac:dyDescent="0.15">
      <c r="A21" s="47"/>
      <c r="B21" s="11" t="s">
        <v>73</v>
      </c>
      <c r="C21" s="14">
        <v>4950</v>
      </c>
      <c r="D21" s="14">
        <v>4950</v>
      </c>
      <c r="E21" s="14">
        <v>4766</v>
      </c>
      <c r="F21" s="14">
        <v>4950</v>
      </c>
      <c r="G21" s="14">
        <v>4766</v>
      </c>
      <c r="H21" s="14">
        <v>4950</v>
      </c>
      <c r="I21" s="14">
        <v>8337</v>
      </c>
      <c r="J21" s="14">
        <v>4950</v>
      </c>
      <c r="K21" s="14">
        <v>4583</v>
      </c>
      <c r="L21" s="14">
        <v>4766</v>
      </c>
      <c r="M21" s="14">
        <v>4766</v>
      </c>
      <c r="N21" s="14">
        <v>5208</v>
      </c>
      <c r="O21" s="14">
        <v>4766</v>
      </c>
      <c r="P21" s="14">
        <v>5208</v>
      </c>
      <c r="Q21" s="14">
        <v>5208</v>
      </c>
      <c r="R21" s="14">
        <v>4767</v>
      </c>
      <c r="S21" s="14">
        <v>0</v>
      </c>
      <c r="T21" s="14">
        <v>0</v>
      </c>
      <c r="U21" s="14">
        <v>0</v>
      </c>
      <c r="V21" s="14">
        <v>4550</v>
      </c>
      <c r="W21" s="14">
        <v>0</v>
      </c>
      <c r="X21" s="14">
        <v>4766</v>
      </c>
      <c r="Y21" s="14">
        <v>4583</v>
      </c>
      <c r="Z21" s="14">
        <v>4774</v>
      </c>
      <c r="AA21" s="14">
        <v>4774</v>
      </c>
      <c r="AB21" s="14">
        <v>4950</v>
      </c>
      <c r="AC21" s="16">
        <f t="shared" si="2"/>
        <v>110288</v>
      </c>
      <c r="AD21" s="16">
        <f t="shared" si="3"/>
        <v>4241.8461538461543</v>
      </c>
      <c r="AE21" s="13">
        <f>AC21/AC13</f>
        <v>4.502447099267593E-3</v>
      </c>
    </row>
    <row r="22" spans="1:31" ht="12.75" customHeight="1" x14ac:dyDescent="0.15">
      <c r="A22" s="47"/>
      <c r="B22" s="11" t="s">
        <v>74</v>
      </c>
      <c r="C22" s="14">
        <v>26896</v>
      </c>
      <c r="D22" s="14">
        <v>33622</v>
      </c>
      <c r="E22" s="14">
        <v>39513</v>
      </c>
      <c r="F22" s="14">
        <v>32621</v>
      </c>
      <c r="G22" s="14">
        <v>25904</v>
      </c>
      <c r="H22" s="14">
        <v>35324</v>
      </c>
      <c r="I22" s="14">
        <v>45820</v>
      </c>
      <c r="J22" s="14">
        <v>81250</v>
      </c>
      <c r="K22" s="14">
        <v>13368</v>
      </c>
      <c r="L22" s="14">
        <v>30531</v>
      </c>
      <c r="M22" s="14">
        <v>45794</v>
      </c>
      <c r="N22" s="14">
        <v>38383</v>
      </c>
      <c r="O22" s="14">
        <v>53355</v>
      </c>
      <c r="P22" s="14">
        <v>63356</v>
      </c>
      <c r="Q22" s="14">
        <v>17372</v>
      </c>
      <c r="R22" s="14">
        <v>35967</v>
      </c>
      <c r="S22" s="14">
        <v>0</v>
      </c>
      <c r="T22" s="14">
        <v>0</v>
      </c>
      <c r="U22" s="14">
        <v>0</v>
      </c>
      <c r="V22" s="14">
        <v>49246</v>
      </c>
      <c r="W22" s="14">
        <v>7468</v>
      </c>
      <c r="X22" s="14">
        <v>68895</v>
      </c>
      <c r="Y22" s="14">
        <v>46162</v>
      </c>
      <c r="Z22" s="14">
        <v>47355</v>
      </c>
      <c r="AA22" s="14">
        <v>30980</v>
      </c>
      <c r="AB22" s="14">
        <v>49902</v>
      </c>
      <c r="AC22" s="16">
        <f t="shared" si="2"/>
        <v>919084</v>
      </c>
      <c r="AD22" s="16">
        <f t="shared" si="3"/>
        <v>35349.384615384617</v>
      </c>
      <c r="AE22" s="13">
        <f>AC22/AC13</f>
        <v>3.752110011772139E-2</v>
      </c>
    </row>
    <row r="23" spans="1:31" ht="12.75" customHeight="1" x14ac:dyDescent="0.15">
      <c r="A23" s="47"/>
      <c r="B23" s="17" t="s">
        <v>75</v>
      </c>
      <c r="C23" s="18">
        <f t="shared" ref="C23:AB23" si="4">SUM(C17:C22)</f>
        <v>80934</v>
      </c>
      <c r="D23" s="18">
        <f t="shared" si="4"/>
        <v>43397</v>
      </c>
      <c r="E23" s="18">
        <f t="shared" si="4"/>
        <v>49429</v>
      </c>
      <c r="F23" s="18">
        <f t="shared" si="4"/>
        <v>41971</v>
      </c>
      <c r="G23" s="18">
        <f t="shared" si="4"/>
        <v>35820</v>
      </c>
      <c r="H23" s="18">
        <f t="shared" si="4"/>
        <v>45524</v>
      </c>
      <c r="I23" s="18">
        <f t="shared" si="4"/>
        <v>119967</v>
      </c>
      <c r="J23" s="18">
        <f t="shared" si="4"/>
        <v>90600</v>
      </c>
      <c r="K23" s="18">
        <f t="shared" si="4"/>
        <v>21976</v>
      </c>
      <c r="L23" s="18">
        <f t="shared" si="4"/>
        <v>150705</v>
      </c>
      <c r="M23" s="18">
        <f t="shared" si="4"/>
        <v>55372</v>
      </c>
      <c r="N23" s="18">
        <f t="shared" si="4"/>
        <v>257091</v>
      </c>
      <c r="O23" s="18">
        <f t="shared" si="4"/>
        <v>122277</v>
      </c>
      <c r="P23" s="18">
        <f t="shared" si="4"/>
        <v>138139</v>
      </c>
      <c r="Q23" s="18">
        <f t="shared" si="4"/>
        <v>90828</v>
      </c>
      <c r="R23" s="18">
        <f t="shared" si="4"/>
        <v>46376</v>
      </c>
      <c r="S23" s="18">
        <f t="shared" si="4"/>
        <v>0</v>
      </c>
      <c r="T23" s="18">
        <f t="shared" si="4"/>
        <v>0</v>
      </c>
      <c r="U23" s="18">
        <f t="shared" si="4"/>
        <v>7075</v>
      </c>
      <c r="V23" s="18">
        <f t="shared" si="4"/>
        <v>139545</v>
      </c>
      <c r="W23" s="18">
        <f t="shared" si="4"/>
        <v>222668</v>
      </c>
      <c r="X23" s="18">
        <f t="shared" si="4"/>
        <v>78078</v>
      </c>
      <c r="Y23" s="18">
        <f t="shared" si="4"/>
        <v>54770</v>
      </c>
      <c r="Z23" s="18">
        <f t="shared" si="4"/>
        <v>57771</v>
      </c>
      <c r="AA23" s="18">
        <f t="shared" si="4"/>
        <v>41396</v>
      </c>
      <c r="AB23" s="18">
        <f t="shared" si="4"/>
        <v>59677</v>
      </c>
      <c r="AC23" s="20">
        <f t="shared" si="2"/>
        <v>2051386</v>
      </c>
      <c r="AD23" s="20">
        <f t="shared" si="3"/>
        <v>78899.461538461532</v>
      </c>
      <c r="AE23" s="21">
        <f>AC23/AC13</f>
        <v>8.3746708120358976E-2</v>
      </c>
    </row>
    <row r="24" spans="1:31" ht="12.75" customHeight="1" x14ac:dyDescent="0.15">
      <c r="A24" s="47" t="s">
        <v>76</v>
      </c>
      <c r="B24" s="11" t="s">
        <v>77</v>
      </c>
      <c r="C24" s="14">
        <v>0</v>
      </c>
      <c r="D24" s="14">
        <v>162398</v>
      </c>
      <c r="E24" s="14">
        <v>0</v>
      </c>
      <c r="F24" s="14">
        <v>113593</v>
      </c>
      <c r="G24" s="14">
        <v>0</v>
      </c>
      <c r="H24" s="14">
        <v>0</v>
      </c>
      <c r="I24" s="14">
        <v>524254</v>
      </c>
      <c r="J24" s="14">
        <v>0</v>
      </c>
      <c r="K24" s="14">
        <v>0</v>
      </c>
      <c r="L24" s="14">
        <v>58060</v>
      </c>
      <c r="M24" s="14">
        <v>0</v>
      </c>
      <c r="N24" s="14">
        <v>0</v>
      </c>
      <c r="O24" s="14">
        <v>0</v>
      </c>
      <c r="P24" s="14">
        <v>4250</v>
      </c>
      <c r="Q24" s="14">
        <v>0</v>
      </c>
      <c r="R24" s="14">
        <v>19800</v>
      </c>
      <c r="S24" s="14">
        <v>0</v>
      </c>
      <c r="T24" s="14">
        <v>0</v>
      </c>
      <c r="U24" s="14">
        <v>0</v>
      </c>
      <c r="V24" s="14">
        <v>0</v>
      </c>
      <c r="W24" s="14">
        <v>0</v>
      </c>
      <c r="X24" s="14">
        <v>994027</v>
      </c>
      <c r="Y24" s="14">
        <v>0</v>
      </c>
      <c r="Z24" s="14">
        <v>86500</v>
      </c>
      <c r="AA24" s="14">
        <v>0</v>
      </c>
      <c r="AB24" s="14">
        <v>92415</v>
      </c>
      <c r="AC24" s="16">
        <f t="shared" si="2"/>
        <v>2055297</v>
      </c>
      <c r="AD24" s="16">
        <f t="shared" si="3"/>
        <v>79049.88461538461</v>
      </c>
      <c r="AE24" s="13">
        <f>AC24/AC13</f>
        <v>8.3906372549900132E-2</v>
      </c>
    </row>
    <row r="25" spans="1:31" ht="12.75" customHeight="1" x14ac:dyDescent="0.15">
      <c r="A25" s="47"/>
      <c r="B25" s="11" t="s">
        <v>78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14">
        <v>0</v>
      </c>
      <c r="AC25" s="16">
        <f t="shared" si="2"/>
        <v>0</v>
      </c>
      <c r="AD25" s="16">
        <f t="shared" si="3"/>
        <v>0</v>
      </c>
      <c r="AE25" s="13">
        <f>AC25/AC13</f>
        <v>0</v>
      </c>
    </row>
    <row r="26" spans="1:31" ht="12.75" customHeight="1" x14ac:dyDescent="0.15">
      <c r="A26" s="47"/>
      <c r="B26" s="11" t="s">
        <v>79</v>
      </c>
      <c r="C26" s="14">
        <f t="shared" ref="C26:AB26" si="5">30000*C9/70000*C11</f>
        <v>4299.4285714285716</v>
      </c>
      <c r="D26" s="14">
        <f t="shared" si="5"/>
        <v>8259.4285714285706</v>
      </c>
      <c r="E26" s="14">
        <f t="shared" si="5"/>
        <v>22581.857142857145</v>
      </c>
      <c r="F26" s="14">
        <f t="shared" si="5"/>
        <v>19930.285714285717</v>
      </c>
      <c r="G26" s="14">
        <f t="shared" si="5"/>
        <v>24585</v>
      </c>
      <c r="H26" s="14">
        <f t="shared" si="5"/>
        <v>27158.571428571428</v>
      </c>
      <c r="I26" s="14">
        <f t="shared" si="5"/>
        <v>20898</v>
      </c>
      <c r="J26" s="14">
        <f t="shared" si="5"/>
        <v>21985.285714285714</v>
      </c>
      <c r="K26" s="14">
        <f t="shared" si="5"/>
        <v>26722.714285714286</v>
      </c>
      <c r="L26" s="14">
        <f t="shared" si="5"/>
        <v>21370.714285714286</v>
      </c>
      <c r="M26" s="14">
        <f t="shared" si="5"/>
        <v>26465.571428571424</v>
      </c>
      <c r="N26" s="14">
        <f t="shared" si="5"/>
        <v>30400.714285714286</v>
      </c>
      <c r="O26" s="14">
        <f t="shared" si="5"/>
        <v>27315</v>
      </c>
      <c r="P26" s="14">
        <f t="shared" si="5"/>
        <v>26810.571428571428</v>
      </c>
      <c r="Q26" s="14">
        <f t="shared" si="5"/>
        <v>9930.8571428571413</v>
      </c>
      <c r="R26" s="14">
        <f t="shared" si="5"/>
        <v>8454.8571428571431</v>
      </c>
      <c r="S26" s="14">
        <f t="shared" si="5"/>
        <v>0</v>
      </c>
      <c r="T26" s="14">
        <f t="shared" si="5"/>
        <v>0</v>
      </c>
      <c r="U26" s="14">
        <f t="shared" si="5"/>
        <v>0</v>
      </c>
      <c r="V26" s="14">
        <f t="shared" si="5"/>
        <v>23235.428571428569</v>
      </c>
      <c r="W26" s="14">
        <f t="shared" si="5"/>
        <v>19230.857142857141</v>
      </c>
      <c r="X26" s="14">
        <f t="shared" si="5"/>
        <v>25368</v>
      </c>
      <c r="Y26" s="14">
        <f t="shared" si="5"/>
        <v>41627.142857142855</v>
      </c>
      <c r="Z26" s="14">
        <f t="shared" si="5"/>
        <v>18154.285714285714</v>
      </c>
      <c r="AA26" s="14">
        <f t="shared" si="5"/>
        <v>28744.285714285714</v>
      </c>
      <c r="AB26" s="14">
        <f t="shared" si="5"/>
        <v>10050</v>
      </c>
      <c r="AC26" s="16">
        <f t="shared" si="2"/>
        <v>493578.85714285722</v>
      </c>
      <c r="AD26" s="16">
        <f t="shared" si="3"/>
        <v>18983.802197802201</v>
      </c>
      <c r="AE26" s="13">
        <f>AC26/AC13</f>
        <v>2.0150086080105462E-2</v>
      </c>
    </row>
    <row r="27" spans="1:31" ht="12.75" customHeight="1" x14ac:dyDescent="0.15">
      <c r="A27" s="47"/>
      <c r="B27" s="11" t="s">
        <v>80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14">
        <v>0</v>
      </c>
      <c r="AC27" s="16">
        <f t="shared" si="2"/>
        <v>0</v>
      </c>
      <c r="AD27" s="16">
        <f t="shared" si="3"/>
        <v>0</v>
      </c>
      <c r="AE27" s="13">
        <f>AC27/AC13</f>
        <v>0</v>
      </c>
    </row>
    <row r="28" spans="1:31" ht="12.75" customHeight="1" x14ac:dyDescent="0.15">
      <c r="A28" s="47"/>
      <c r="B28" s="11" t="s">
        <v>81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>
        <v>0</v>
      </c>
      <c r="AC28" s="16">
        <f t="shared" si="2"/>
        <v>0</v>
      </c>
      <c r="AD28" s="16">
        <f t="shared" si="3"/>
        <v>0</v>
      </c>
      <c r="AE28" s="13">
        <f>AC28/AC13</f>
        <v>0</v>
      </c>
    </row>
    <row r="29" spans="1:31" ht="12.75" customHeight="1" x14ac:dyDescent="0.15">
      <c r="A29" s="47"/>
      <c r="B29" s="17" t="s">
        <v>82</v>
      </c>
      <c r="C29" s="18">
        <f t="shared" ref="C29:AB29" si="6">SUM(C24:C28)</f>
        <v>4299.4285714285716</v>
      </c>
      <c r="D29" s="18">
        <f t="shared" si="6"/>
        <v>170657.42857142858</v>
      </c>
      <c r="E29" s="18">
        <f t="shared" si="6"/>
        <v>22581.857142857145</v>
      </c>
      <c r="F29" s="18">
        <f t="shared" si="6"/>
        <v>133523.28571428571</v>
      </c>
      <c r="G29" s="18">
        <f t="shared" si="6"/>
        <v>24585</v>
      </c>
      <c r="H29" s="18">
        <f t="shared" si="6"/>
        <v>27158.571428571428</v>
      </c>
      <c r="I29" s="18">
        <f t="shared" si="6"/>
        <v>545152</v>
      </c>
      <c r="J29" s="18">
        <f t="shared" si="6"/>
        <v>21985.285714285714</v>
      </c>
      <c r="K29" s="18">
        <f t="shared" si="6"/>
        <v>26722.714285714286</v>
      </c>
      <c r="L29" s="18">
        <f t="shared" si="6"/>
        <v>79430.71428571429</v>
      </c>
      <c r="M29" s="18">
        <f t="shared" si="6"/>
        <v>26465.571428571424</v>
      </c>
      <c r="N29" s="18">
        <f t="shared" si="6"/>
        <v>30400.714285714286</v>
      </c>
      <c r="O29" s="18">
        <f t="shared" si="6"/>
        <v>27315</v>
      </c>
      <c r="P29" s="18">
        <f t="shared" si="6"/>
        <v>31060.571428571428</v>
      </c>
      <c r="Q29" s="18">
        <f t="shared" si="6"/>
        <v>9930.8571428571413</v>
      </c>
      <c r="R29" s="18">
        <f t="shared" si="6"/>
        <v>28254.857142857145</v>
      </c>
      <c r="S29" s="18">
        <f t="shared" si="6"/>
        <v>0</v>
      </c>
      <c r="T29" s="18">
        <f t="shared" si="6"/>
        <v>0</v>
      </c>
      <c r="U29" s="18">
        <f t="shared" si="6"/>
        <v>0</v>
      </c>
      <c r="V29" s="18">
        <f t="shared" si="6"/>
        <v>23235.428571428569</v>
      </c>
      <c r="W29" s="18">
        <f t="shared" si="6"/>
        <v>19230.857142857141</v>
      </c>
      <c r="X29" s="18">
        <f t="shared" si="6"/>
        <v>1019395</v>
      </c>
      <c r="Y29" s="18">
        <f t="shared" si="6"/>
        <v>41627.142857142855</v>
      </c>
      <c r="Z29" s="18">
        <f t="shared" si="6"/>
        <v>104654.28571428571</v>
      </c>
      <c r="AA29" s="18">
        <f t="shared" si="6"/>
        <v>28744.285714285714</v>
      </c>
      <c r="AB29" s="18">
        <f t="shared" si="6"/>
        <v>102465</v>
      </c>
      <c r="AC29" s="20">
        <f t="shared" si="2"/>
        <v>2548875.8571428573</v>
      </c>
      <c r="AD29" s="20">
        <f t="shared" si="3"/>
        <v>98033.686813186825</v>
      </c>
      <c r="AE29" s="21">
        <f>AC29/AC13</f>
        <v>0.10405645863000559</v>
      </c>
    </row>
    <row r="30" spans="1:31" ht="12.75" customHeight="1" x14ac:dyDescent="0.15">
      <c r="A30" s="47" t="s">
        <v>83</v>
      </c>
      <c r="B30" s="8" t="s">
        <v>84</v>
      </c>
      <c r="C30" s="22">
        <v>300</v>
      </c>
      <c r="D30" s="22">
        <v>716</v>
      </c>
      <c r="E30" s="22">
        <v>1466</v>
      </c>
      <c r="F30" s="22">
        <v>1275</v>
      </c>
      <c r="G30" s="22">
        <v>1490</v>
      </c>
      <c r="H30" s="22">
        <v>1741</v>
      </c>
      <c r="I30" s="22">
        <v>1423</v>
      </c>
      <c r="J30" s="22">
        <v>1365</v>
      </c>
      <c r="K30" s="22">
        <v>1605</v>
      </c>
      <c r="L30" s="22">
        <v>1315</v>
      </c>
      <c r="M30" s="22">
        <v>1618</v>
      </c>
      <c r="N30" s="22">
        <v>1784</v>
      </c>
      <c r="O30" s="22">
        <v>1633</v>
      </c>
      <c r="P30" s="22">
        <v>1716</v>
      </c>
      <c r="Q30" s="22">
        <v>677</v>
      </c>
      <c r="R30" s="22">
        <v>505</v>
      </c>
      <c r="S30" s="22">
        <v>0</v>
      </c>
      <c r="T30" s="22">
        <v>0</v>
      </c>
      <c r="U30" s="22">
        <v>0</v>
      </c>
      <c r="V30" s="22">
        <v>1597</v>
      </c>
      <c r="W30" s="22">
        <v>1249</v>
      </c>
      <c r="X30" s="22">
        <v>1843</v>
      </c>
      <c r="Y30" s="22">
        <v>2275</v>
      </c>
      <c r="Z30" s="22">
        <v>1028</v>
      </c>
      <c r="AA30" s="22">
        <v>1669</v>
      </c>
      <c r="AB30" s="22">
        <v>525</v>
      </c>
      <c r="AC30" s="24">
        <f t="shared" si="2"/>
        <v>30815</v>
      </c>
      <c r="AD30" s="24">
        <f t="shared" si="3"/>
        <v>1185.1923076923076</v>
      </c>
      <c r="AE30" s="10">
        <f>AC30/AC13</f>
        <v>1.2580054708030872E-3</v>
      </c>
    </row>
    <row r="31" spans="1:31" ht="12.75" customHeight="1" x14ac:dyDescent="0.15">
      <c r="A31" s="47"/>
      <c r="B31" s="25" t="s">
        <v>85</v>
      </c>
      <c r="C31" s="26">
        <f t="shared" ref="C31:AC31" si="7">SUM(C11/C30)</f>
        <v>4.18</v>
      </c>
      <c r="D31" s="26">
        <f t="shared" si="7"/>
        <v>3.3645251396648046</v>
      </c>
      <c r="E31" s="26">
        <f t="shared" si="7"/>
        <v>3.5942019099590725</v>
      </c>
      <c r="F31" s="26">
        <f t="shared" si="7"/>
        <v>3.6473725490196083</v>
      </c>
      <c r="G31" s="26">
        <f t="shared" si="7"/>
        <v>3.85</v>
      </c>
      <c r="H31" s="26">
        <f t="shared" si="7"/>
        <v>3.6398621481906952</v>
      </c>
      <c r="I31" s="26">
        <f t="shared" si="7"/>
        <v>2.4476458186929024</v>
      </c>
      <c r="J31" s="26">
        <f t="shared" si="7"/>
        <v>3.758168498168498</v>
      </c>
      <c r="K31" s="26">
        <f t="shared" si="7"/>
        <v>3.8849221183800626</v>
      </c>
      <c r="L31" s="26">
        <f t="shared" si="7"/>
        <v>3.7920152091254753</v>
      </c>
      <c r="M31" s="26">
        <f t="shared" si="7"/>
        <v>3.8166254635352281</v>
      </c>
      <c r="N31" s="26">
        <f t="shared" si="7"/>
        <v>3.9761771300448432</v>
      </c>
      <c r="O31" s="26">
        <f t="shared" si="7"/>
        <v>3.9029393753827311</v>
      </c>
      <c r="P31" s="26">
        <f t="shared" si="7"/>
        <v>3.6455710955710958</v>
      </c>
      <c r="Q31" s="26">
        <f t="shared" si="7"/>
        <v>3.4227474150664694</v>
      </c>
      <c r="R31" s="26">
        <f t="shared" si="7"/>
        <v>3.9065346534653465</v>
      </c>
      <c r="S31" s="26" t="e">
        <f t="shared" si="7"/>
        <v>#DIV/0!</v>
      </c>
      <c r="T31" s="26" t="e">
        <f t="shared" si="7"/>
        <v>#DIV/0!</v>
      </c>
      <c r="U31" s="26" t="e">
        <f t="shared" si="7"/>
        <v>#DIV/0!</v>
      </c>
      <c r="V31" s="26">
        <f t="shared" si="7"/>
        <v>4.2435817157169691</v>
      </c>
      <c r="W31" s="26">
        <f t="shared" si="7"/>
        <v>4.4907926341072857</v>
      </c>
      <c r="X31" s="26">
        <f t="shared" si="7"/>
        <v>4.0146500271296794</v>
      </c>
      <c r="Y31" s="26">
        <f t="shared" si="7"/>
        <v>4.269450549450549</v>
      </c>
      <c r="Z31" s="26">
        <f t="shared" si="7"/>
        <v>4.1206225680933848</v>
      </c>
      <c r="AA31" s="26">
        <f t="shared" si="7"/>
        <v>4.0185739964050331</v>
      </c>
      <c r="AB31" s="26">
        <f t="shared" si="7"/>
        <v>4.4666666666666668</v>
      </c>
      <c r="AC31" s="28">
        <f t="shared" si="7"/>
        <v>3.8443874736329708</v>
      </c>
      <c r="AD31" s="28" t="e">
        <f t="shared" si="3"/>
        <v>#DIV/0!</v>
      </c>
      <c r="AE31" s="25">
        <f>AC31/AC13</f>
        <v>1.5694500969388729E-7</v>
      </c>
    </row>
    <row r="32" spans="1:31" ht="12.75" customHeight="1" x14ac:dyDescent="0.15">
      <c r="A32" s="47"/>
      <c r="B32" s="11" t="s">
        <v>86</v>
      </c>
      <c r="C32" s="14">
        <v>33951</v>
      </c>
      <c r="D32" s="14">
        <v>81030</v>
      </c>
      <c r="E32" s="14">
        <v>165907</v>
      </c>
      <c r="F32" s="14">
        <v>144292</v>
      </c>
      <c r="G32" s="14">
        <v>168623</v>
      </c>
      <c r="H32" s="14">
        <v>197029</v>
      </c>
      <c r="I32" s="14">
        <v>161041</v>
      </c>
      <c r="J32" s="14">
        <v>154477</v>
      </c>
      <c r="K32" s="14">
        <v>181638</v>
      </c>
      <c r="L32" s="14">
        <v>148819</v>
      </c>
      <c r="M32" s="14">
        <v>183109</v>
      </c>
      <c r="N32" s="14">
        <v>201895</v>
      </c>
      <c r="O32" s="14">
        <v>184807</v>
      </c>
      <c r="P32" s="14">
        <v>194200</v>
      </c>
      <c r="Q32" s="14">
        <v>76616</v>
      </c>
      <c r="R32" s="14">
        <v>57151</v>
      </c>
      <c r="S32" s="14">
        <v>0</v>
      </c>
      <c r="T32" s="14">
        <v>0</v>
      </c>
      <c r="U32" s="14">
        <v>0</v>
      </c>
      <c r="V32" s="14">
        <v>180732</v>
      </c>
      <c r="W32" s="14">
        <v>141349</v>
      </c>
      <c r="X32" s="14">
        <v>208572</v>
      </c>
      <c r="Y32" s="14">
        <v>257462</v>
      </c>
      <c r="Z32" s="14">
        <v>116339</v>
      </c>
      <c r="AA32" s="14">
        <v>188881</v>
      </c>
      <c r="AB32" s="14">
        <v>59414</v>
      </c>
      <c r="AC32" s="16">
        <f t="shared" ref="AC32:AC46" si="8">SUM(C32:AB32)</f>
        <v>3487334</v>
      </c>
      <c r="AD32" s="16">
        <f t="shared" si="3"/>
        <v>134128.23076923078</v>
      </c>
      <c r="AE32" s="13">
        <f>AC32/AC13</f>
        <v>0.14236849750178851</v>
      </c>
    </row>
    <row r="33" spans="1:31" ht="12.75" customHeight="1" x14ac:dyDescent="0.15">
      <c r="A33" s="47"/>
      <c r="B33" s="11" t="s">
        <v>87</v>
      </c>
      <c r="C33" s="14">
        <v>0</v>
      </c>
      <c r="D33" s="14">
        <v>0</v>
      </c>
      <c r="E33" s="14">
        <v>0</v>
      </c>
      <c r="F33" s="14">
        <v>0</v>
      </c>
      <c r="G33" s="14">
        <v>9585</v>
      </c>
      <c r="H33" s="14">
        <v>0</v>
      </c>
      <c r="I33" s="14">
        <v>11715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9585</v>
      </c>
      <c r="Y33" s="14">
        <v>9585</v>
      </c>
      <c r="Z33" s="14">
        <v>0</v>
      </c>
      <c r="AA33" s="14">
        <v>0</v>
      </c>
      <c r="AB33" s="14">
        <v>0</v>
      </c>
      <c r="AC33" s="16">
        <f t="shared" si="8"/>
        <v>40470</v>
      </c>
      <c r="AD33" s="16">
        <f t="shared" si="3"/>
        <v>1556.5384615384614</v>
      </c>
      <c r="AE33" s="13">
        <f>AC33/AC13</f>
        <v>1.6521655493558637E-3</v>
      </c>
    </row>
    <row r="34" spans="1:31" ht="12.75" customHeight="1" x14ac:dyDescent="0.15">
      <c r="A34" s="47"/>
      <c r="B34" s="11" t="s">
        <v>88</v>
      </c>
      <c r="C34" s="14">
        <v>0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>
        <v>0</v>
      </c>
      <c r="AC34" s="16">
        <f t="shared" si="8"/>
        <v>0</v>
      </c>
      <c r="AD34" s="16">
        <f t="shared" si="3"/>
        <v>0</v>
      </c>
      <c r="AE34" s="13">
        <f>AC34/AC13</f>
        <v>0</v>
      </c>
    </row>
    <row r="35" spans="1:31" ht="12.75" customHeight="1" x14ac:dyDescent="0.15">
      <c r="A35" s="47"/>
      <c r="B35" s="17" t="s">
        <v>89</v>
      </c>
      <c r="C35" s="18">
        <f t="shared" ref="C35:AB35" si="9">SUM(C32:C34)</f>
        <v>33951</v>
      </c>
      <c r="D35" s="18">
        <f t="shared" si="9"/>
        <v>81030</v>
      </c>
      <c r="E35" s="18">
        <f t="shared" si="9"/>
        <v>165907</v>
      </c>
      <c r="F35" s="18">
        <f t="shared" si="9"/>
        <v>144292</v>
      </c>
      <c r="G35" s="18">
        <f t="shared" si="9"/>
        <v>178208</v>
      </c>
      <c r="H35" s="18">
        <f t="shared" si="9"/>
        <v>197029</v>
      </c>
      <c r="I35" s="18">
        <f t="shared" si="9"/>
        <v>172756</v>
      </c>
      <c r="J35" s="18">
        <f t="shared" si="9"/>
        <v>154477</v>
      </c>
      <c r="K35" s="18">
        <f t="shared" si="9"/>
        <v>181638</v>
      </c>
      <c r="L35" s="18">
        <f t="shared" si="9"/>
        <v>148819</v>
      </c>
      <c r="M35" s="18">
        <f t="shared" si="9"/>
        <v>183109</v>
      </c>
      <c r="N35" s="18">
        <f t="shared" si="9"/>
        <v>201895</v>
      </c>
      <c r="O35" s="18">
        <f t="shared" si="9"/>
        <v>184807</v>
      </c>
      <c r="P35" s="18">
        <f t="shared" si="9"/>
        <v>194200</v>
      </c>
      <c r="Q35" s="18">
        <f t="shared" si="9"/>
        <v>76616</v>
      </c>
      <c r="R35" s="18">
        <f t="shared" si="9"/>
        <v>57151</v>
      </c>
      <c r="S35" s="18">
        <f t="shared" si="9"/>
        <v>0</v>
      </c>
      <c r="T35" s="18">
        <f t="shared" si="9"/>
        <v>0</v>
      </c>
      <c r="U35" s="18">
        <f t="shared" si="9"/>
        <v>0</v>
      </c>
      <c r="V35" s="18">
        <f t="shared" si="9"/>
        <v>180732</v>
      </c>
      <c r="W35" s="18">
        <f t="shared" si="9"/>
        <v>141349</v>
      </c>
      <c r="X35" s="18">
        <f t="shared" si="9"/>
        <v>218157</v>
      </c>
      <c r="Y35" s="18">
        <f t="shared" si="9"/>
        <v>267047</v>
      </c>
      <c r="Z35" s="18">
        <f t="shared" si="9"/>
        <v>116339</v>
      </c>
      <c r="AA35" s="18">
        <f t="shared" si="9"/>
        <v>188881</v>
      </c>
      <c r="AB35" s="18">
        <f t="shared" si="9"/>
        <v>59414</v>
      </c>
      <c r="AC35" s="20">
        <f t="shared" si="8"/>
        <v>3527804</v>
      </c>
      <c r="AD35" s="20">
        <f t="shared" si="3"/>
        <v>135684.76923076922</v>
      </c>
      <c r="AE35" s="21">
        <f>AC35/AC13</f>
        <v>0.14402066305114439</v>
      </c>
    </row>
    <row r="36" spans="1:31" ht="12.75" customHeight="1" x14ac:dyDescent="0.15">
      <c r="A36" s="47" t="s">
        <v>90</v>
      </c>
      <c r="B36" s="11" t="s">
        <v>91</v>
      </c>
      <c r="C36" s="14">
        <v>2008</v>
      </c>
      <c r="D36" s="14">
        <v>2008</v>
      </c>
      <c r="E36" s="14">
        <v>2008</v>
      </c>
      <c r="F36" s="14">
        <v>2008</v>
      </c>
      <c r="G36" s="14">
        <v>2008</v>
      </c>
      <c r="H36" s="14">
        <v>2008</v>
      </c>
      <c r="I36" s="14">
        <v>2451</v>
      </c>
      <c r="J36" s="14">
        <v>2008</v>
      </c>
      <c r="K36" s="14">
        <v>2012</v>
      </c>
      <c r="L36" s="14">
        <v>2008</v>
      </c>
      <c r="M36" s="14">
        <v>2008</v>
      </c>
      <c r="N36" s="14">
        <v>2008</v>
      </c>
      <c r="O36" s="14">
        <v>2008</v>
      </c>
      <c r="P36" s="14">
        <v>2008</v>
      </c>
      <c r="Q36" s="14">
        <v>2008</v>
      </c>
      <c r="R36" s="14">
        <v>2008</v>
      </c>
      <c r="S36" s="14">
        <v>0</v>
      </c>
      <c r="T36" s="14">
        <v>0</v>
      </c>
      <c r="U36" s="14">
        <v>0</v>
      </c>
      <c r="V36" s="14">
        <v>2012</v>
      </c>
      <c r="W36" s="14">
        <v>2012</v>
      </c>
      <c r="X36" s="14">
        <v>2008</v>
      </c>
      <c r="Y36" s="14">
        <v>2008</v>
      </c>
      <c r="Z36" s="14">
        <v>2008</v>
      </c>
      <c r="AA36" s="14">
        <v>2008</v>
      </c>
      <c r="AB36" s="14">
        <v>2628</v>
      </c>
      <c r="AC36" s="16">
        <f t="shared" si="8"/>
        <v>47259</v>
      </c>
      <c r="AD36" s="16">
        <f t="shared" si="3"/>
        <v>1817.6538461538462</v>
      </c>
      <c r="AE36" s="13">
        <f>AC36/AC13</f>
        <v>1.9293227501114099E-3</v>
      </c>
    </row>
    <row r="37" spans="1:31" ht="12.75" customHeight="1" x14ac:dyDescent="0.15">
      <c r="A37" s="47"/>
      <c r="B37" s="11" t="s">
        <v>92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6">
        <f t="shared" si="8"/>
        <v>0</v>
      </c>
      <c r="AD37" s="16">
        <f t="shared" si="3"/>
        <v>0</v>
      </c>
      <c r="AE37" s="13">
        <f>AC37/AC13</f>
        <v>0</v>
      </c>
    </row>
    <row r="38" spans="1:31" ht="12.75" customHeight="1" x14ac:dyDescent="0.15">
      <c r="A38" s="47"/>
      <c r="B38" s="11" t="s">
        <v>93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4">
        <v>0</v>
      </c>
      <c r="W38" s="14">
        <v>0</v>
      </c>
      <c r="X38" s="14">
        <v>0</v>
      </c>
      <c r="Y38" s="14">
        <v>0</v>
      </c>
      <c r="Z38" s="14">
        <v>0</v>
      </c>
      <c r="AA38" s="14">
        <v>0</v>
      </c>
      <c r="AB38" s="14">
        <v>0</v>
      </c>
      <c r="AC38" s="16">
        <f t="shared" si="8"/>
        <v>0</v>
      </c>
      <c r="AD38" s="16">
        <f t="shared" si="3"/>
        <v>0</v>
      </c>
      <c r="AE38" s="13">
        <f>AC38/AC13</f>
        <v>0</v>
      </c>
    </row>
    <row r="39" spans="1:31" ht="12.75" customHeight="1" x14ac:dyDescent="0.15">
      <c r="A39" s="47"/>
      <c r="B39" s="11" t="s">
        <v>94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  <c r="W39" s="14">
        <v>0</v>
      </c>
      <c r="X39" s="14">
        <v>0</v>
      </c>
      <c r="Y39" s="14">
        <v>0</v>
      </c>
      <c r="Z39" s="14">
        <v>0</v>
      </c>
      <c r="AA39" s="14">
        <v>0</v>
      </c>
      <c r="AB39" s="14">
        <v>0</v>
      </c>
      <c r="AC39" s="16">
        <f t="shared" si="8"/>
        <v>0</v>
      </c>
      <c r="AD39" s="16">
        <f t="shared" si="3"/>
        <v>0</v>
      </c>
      <c r="AE39" s="13">
        <f>AC39/AC13</f>
        <v>0</v>
      </c>
    </row>
    <row r="40" spans="1:31" ht="12.75" customHeight="1" x14ac:dyDescent="0.15">
      <c r="A40" s="47"/>
      <c r="B40" s="11" t="s">
        <v>95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  <c r="W40" s="14">
        <v>0</v>
      </c>
      <c r="X40" s="14">
        <v>0</v>
      </c>
      <c r="Y40" s="14">
        <v>0</v>
      </c>
      <c r="Z40" s="14">
        <v>0</v>
      </c>
      <c r="AA40" s="14">
        <v>0</v>
      </c>
      <c r="AB40" s="14">
        <v>0</v>
      </c>
      <c r="AC40" s="16">
        <f t="shared" si="8"/>
        <v>0</v>
      </c>
      <c r="AD40" s="16">
        <f t="shared" si="3"/>
        <v>0</v>
      </c>
      <c r="AE40" s="13">
        <f>AC40/AC13</f>
        <v>0</v>
      </c>
    </row>
    <row r="41" spans="1:31" ht="12.75" customHeight="1" x14ac:dyDescent="0.15">
      <c r="A41" s="47"/>
      <c r="B41" s="11" t="s">
        <v>96</v>
      </c>
      <c r="C41" s="14">
        <v>5150</v>
      </c>
      <c r="D41" s="14">
        <v>5150</v>
      </c>
      <c r="E41" s="14">
        <v>5150</v>
      </c>
      <c r="F41" s="14">
        <v>5150</v>
      </c>
      <c r="G41" s="14">
        <v>5150</v>
      </c>
      <c r="H41" s="14">
        <v>5150</v>
      </c>
      <c r="I41" s="14">
        <v>10249</v>
      </c>
      <c r="J41" s="14">
        <v>5150</v>
      </c>
      <c r="K41" s="14">
        <v>5150</v>
      </c>
      <c r="L41" s="14">
        <v>7736</v>
      </c>
      <c r="M41" s="14">
        <v>5150</v>
      </c>
      <c r="N41" s="14">
        <v>8780</v>
      </c>
      <c r="O41" s="14">
        <v>5150</v>
      </c>
      <c r="P41" s="14">
        <v>7602</v>
      </c>
      <c r="Q41" s="14">
        <v>6832</v>
      </c>
      <c r="R41" s="14">
        <v>4430</v>
      </c>
      <c r="S41" s="14">
        <v>0</v>
      </c>
      <c r="T41" s="14">
        <v>0</v>
      </c>
      <c r="U41" s="14">
        <v>0</v>
      </c>
      <c r="V41" s="14">
        <v>5150</v>
      </c>
      <c r="W41" s="14">
        <v>9610</v>
      </c>
      <c r="X41" s="14">
        <v>5150</v>
      </c>
      <c r="Y41" s="14">
        <v>5150</v>
      </c>
      <c r="Z41" s="14">
        <v>4430</v>
      </c>
      <c r="AA41" s="14">
        <v>4430</v>
      </c>
      <c r="AB41" s="14">
        <v>4430</v>
      </c>
      <c r="AC41" s="16">
        <f t="shared" si="8"/>
        <v>135479</v>
      </c>
      <c r="AD41" s="16">
        <f t="shared" si="3"/>
        <v>5210.7307692307695</v>
      </c>
      <c r="AE41" s="13">
        <f>AC41/AC13</f>
        <v>5.5308558552306167E-3</v>
      </c>
    </row>
    <row r="42" spans="1:31" ht="12.75" customHeight="1" x14ac:dyDescent="0.15">
      <c r="A42" s="47"/>
      <c r="B42" s="17" t="s">
        <v>97</v>
      </c>
      <c r="C42" s="18">
        <f t="shared" ref="C42:AB42" si="10">SUM(C36:C41)</f>
        <v>7158</v>
      </c>
      <c r="D42" s="18">
        <f t="shared" si="10"/>
        <v>7158</v>
      </c>
      <c r="E42" s="18">
        <f t="shared" si="10"/>
        <v>7158</v>
      </c>
      <c r="F42" s="18">
        <f t="shared" si="10"/>
        <v>7158</v>
      </c>
      <c r="G42" s="18">
        <f t="shared" si="10"/>
        <v>7158</v>
      </c>
      <c r="H42" s="18">
        <f t="shared" si="10"/>
        <v>7158</v>
      </c>
      <c r="I42" s="18">
        <f t="shared" si="10"/>
        <v>12700</v>
      </c>
      <c r="J42" s="18">
        <f t="shared" si="10"/>
        <v>7158</v>
      </c>
      <c r="K42" s="18">
        <f t="shared" si="10"/>
        <v>7162</v>
      </c>
      <c r="L42" s="18">
        <f t="shared" si="10"/>
        <v>9744</v>
      </c>
      <c r="M42" s="18">
        <f t="shared" si="10"/>
        <v>7158</v>
      </c>
      <c r="N42" s="18">
        <f t="shared" si="10"/>
        <v>10788</v>
      </c>
      <c r="O42" s="18">
        <f t="shared" si="10"/>
        <v>7158</v>
      </c>
      <c r="P42" s="18">
        <f t="shared" si="10"/>
        <v>9610</v>
      </c>
      <c r="Q42" s="18">
        <f t="shared" si="10"/>
        <v>8840</v>
      </c>
      <c r="R42" s="18">
        <f t="shared" si="10"/>
        <v>6438</v>
      </c>
      <c r="S42" s="18">
        <f t="shared" si="10"/>
        <v>0</v>
      </c>
      <c r="T42" s="18">
        <f t="shared" si="10"/>
        <v>0</v>
      </c>
      <c r="U42" s="18">
        <f t="shared" si="10"/>
        <v>0</v>
      </c>
      <c r="V42" s="18">
        <f t="shared" si="10"/>
        <v>7162</v>
      </c>
      <c r="W42" s="18">
        <f t="shared" si="10"/>
        <v>11622</v>
      </c>
      <c r="X42" s="18">
        <f t="shared" si="10"/>
        <v>7158</v>
      </c>
      <c r="Y42" s="18">
        <f t="shared" si="10"/>
        <v>7158</v>
      </c>
      <c r="Z42" s="18">
        <f t="shared" si="10"/>
        <v>6438</v>
      </c>
      <c r="AA42" s="18">
        <f t="shared" si="10"/>
        <v>6438</v>
      </c>
      <c r="AB42" s="18">
        <f t="shared" si="10"/>
        <v>7058</v>
      </c>
      <c r="AC42" s="20">
        <f t="shared" si="8"/>
        <v>182738</v>
      </c>
      <c r="AD42" s="20">
        <f t="shared" si="3"/>
        <v>7028.3846153846152</v>
      </c>
      <c r="AE42" s="21">
        <f>AC42/AC13</f>
        <v>7.4601786053420261E-3</v>
      </c>
    </row>
    <row r="43" spans="1:31" ht="12.75" customHeight="1" x14ac:dyDescent="0.15">
      <c r="A43" s="47" t="s">
        <v>98</v>
      </c>
      <c r="B43" s="11" t="s">
        <v>99</v>
      </c>
      <c r="C43" s="14">
        <v>23000</v>
      </c>
      <c r="D43" s="14">
        <v>3940</v>
      </c>
      <c r="E43" s="14">
        <v>99820</v>
      </c>
      <c r="F43" s="14">
        <v>77270</v>
      </c>
      <c r="G43" s="14">
        <v>91730</v>
      </c>
      <c r="H43" s="14">
        <v>117340</v>
      </c>
      <c r="I43" s="14">
        <v>121760</v>
      </c>
      <c r="J43" s="14">
        <v>75760</v>
      </c>
      <c r="K43" s="14">
        <v>94550</v>
      </c>
      <c r="L43" s="14">
        <v>83060</v>
      </c>
      <c r="M43" s="14">
        <v>103370</v>
      </c>
      <c r="N43" s="14">
        <v>131820</v>
      </c>
      <c r="O43" s="14">
        <v>119910</v>
      </c>
      <c r="P43" s="14">
        <v>129470</v>
      </c>
      <c r="Q43" s="14">
        <v>59390</v>
      </c>
      <c r="R43" s="14">
        <v>31930</v>
      </c>
      <c r="S43" s="14">
        <v>0</v>
      </c>
      <c r="T43" s="14">
        <v>0</v>
      </c>
      <c r="U43" s="14">
        <v>0</v>
      </c>
      <c r="V43" s="14">
        <v>119870</v>
      </c>
      <c r="W43" s="14">
        <v>103060</v>
      </c>
      <c r="X43" s="14">
        <v>233550</v>
      </c>
      <c r="Y43" s="14">
        <v>205780</v>
      </c>
      <c r="Z43" s="14">
        <v>48520</v>
      </c>
      <c r="AA43" s="14">
        <v>132680</v>
      </c>
      <c r="AB43" s="14">
        <v>44980</v>
      </c>
      <c r="AC43" s="16">
        <f t="shared" si="8"/>
        <v>2252560</v>
      </c>
      <c r="AD43" s="16">
        <f t="shared" si="3"/>
        <v>86636.923076923078</v>
      </c>
      <c r="AE43" s="13">
        <f>AC43/AC13</f>
        <v>9.1959526312257081E-2</v>
      </c>
    </row>
    <row r="44" spans="1:31" ht="12.75" customHeight="1" x14ac:dyDescent="0.15">
      <c r="A44" s="47"/>
      <c r="B44" s="11" t="s">
        <v>100</v>
      </c>
      <c r="C44" s="14">
        <v>-23000</v>
      </c>
      <c r="D44" s="14">
        <v>-3020</v>
      </c>
      <c r="E44" s="14">
        <v>-45995</v>
      </c>
      <c r="F44" s="14">
        <v>-24644</v>
      </c>
      <c r="G44" s="14">
        <v>-42336</v>
      </c>
      <c r="H44" s="14">
        <v>-63515</v>
      </c>
      <c r="I44" s="14">
        <v>-62554</v>
      </c>
      <c r="J44" s="14">
        <v>-41766</v>
      </c>
      <c r="K44" s="14">
        <v>-33888</v>
      </c>
      <c r="L44" s="14">
        <v>-36657</v>
      </c>
      <c r="M44" s="14">
        <v>-61487</v>
      </c>
      <c r="N44" s="14">
        <v>-49486</v>
      </c>
      <c r="O44" s="14">
        <v>-62202</v>
      </c>
      <c r="P44" s="14">
        <v>-51315</v>
      </c>
      <c r="Q44" s="14">
        <v>-45270</v>
      </c>
      <c r="R44" s="14">
        <v>-38020</v>
      </c>
      <c r="S44" s="14">
        <v>0</v>
      </c>
      <c r="T44" s="14">
        <v>0</v>
      </c>
      <c r="U44" s="14">
        <v>0</v>
      </c>
      <c r="V44" s="14">
        <v>-119870</v>
      </c>
      <c r="W44" s="14">
        <v>-103060</v>
      </c>
      <c r="X44" s="14">
        <v>-175670</v>
      </c>
      <c r="Y44" s="14">
        <v>-45868</v>
      </c>
      <c r="Z44" s="14">
        <v>0</v>
      </c>
      <c r="AA44" s="14">
        <v>0</v>
      </c>
      <c r="AB44" s="14">
        <v>0</v>
      </c>
      <c r="AC44" s="16">
        <f t="shared" si="8"/>
        <v>-1129623</v>
      </c>
      <c r="AD44" s="16">
        <f t="shared" si="3"/>
        <v>-43447.038461538461</v>
      </c>
      <c r="AE44" s="13">
        <f>AC44/AC13</f>
        <v>-4.6116239297257694E-2</v>
      </c>
    </row>
    <row r="45" spans="1:31" ht="12.75" customHeight="1" x14ac:dyDescent="0.15">
      <c r="A45" s="47"/>
      <c r="B45" s="11" t="s">
        <v>101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4">
        <v>0</v>
      </c>
      <c r="Z45" s="14">
        <v>0</v>
      </c>
      <c r="AA45" s="14">
        <v>0</v>
      </c>
      <c r="AB45" s="14">
        <v>0</v>
      </c>
      <c r="AC45" s="16">
        <f t="shared" si="8"/>
        <v>0</v>
      </c>
      <c r="AD45" s="16">
        <f t="shared" si="3"/>
        <v>0</v>
      </c>
      <c r="AE45" s="13">
        <f>AC45/AC13</f>
        <v>0</v>
      </c>
    </row>
    <row r="46" spans="1:31" ht="12.75" customHeight="1" x14ac:dyDescent="0.15">
      <c r="A46" s="47"/>
      <c r="B46" s="11" t="s">
        <v>102</v>
      </c>
      <c r="C46" s="14">
        <v>-7360</v>
      </c>
      <c r="D46" s="14">
        <v>-1260.8</v>
      </c>
      <c r="E46" s="14">
        <v>-31942.400000000001</v>
      </c>
      <c r="F46" s="14">
        <v>-24726.400000000001</v>
      </c>
      <c r="G46" s="14">
        <v>-29353.599999999999</v>
      </c>
      <c r="H46" s="14">
        <v>-37548.800000000003</v>
      </c>
      <c r="I46" s="14">
        <v>-38963.199999999997</v>
      </c>
      <c r="J46" s="14">
        <v>-24243.200000000001</v>
      </c>
      <c r="K46" s="14">
        <v>-30256</v>
      </c>
      <c r="L46" s="14">
        <v>-26579.200000000001</v>
      </c>
      <c r="M46" s="14">
        <v>-33078.400000000001</v>
      </c>
      <c r="N46" s="14">
        <v>-42182.400000000001</v>
      </c>
      <c r="O46" s="14">
        <v>-38371.199999999997</v>
      </c>
      <c r="P46" s="14">
        <v>-41430.400000000001</v>
      </c>
      <c r="Q46" s="14">
        <v>-19004.8</v>
      </c>
      <c r="R46" s="14">
        <v>-10217.6</v>
      </c>
      <c r="S46" s="14">
        <v>0</v>
      </c>
      <c r="T46" s="14">
        <v>0</v>
      </c>
      <c r="U46" s="14">
        <v>0</v>
      </c>
      <c r="V46" s="14">
        <v>-38358.400000000001</v>
      </c>
      <c r="W46" s="14">
        <v>-32979.199999999997</v>
      </c>
      <c r="X46" s="14">
        <v>-74736</v>
      </c>
      <c r="Y46" s="14">
        <v>-65849.600000000006</v>
      </c>
      <c r="Z46" s="14">
        <v>-15526.4</v>
      </c>
      <c r="AA46" s="14">
        <v>-42457.599999999999</v>
      </c>
      <c r="AB46" s="14">
        <v>-14393.6</v>
      </c>
      <c r="AC46" s="16">
        <f t="shared" si="8"/>
        <v>-720819.20000000007</v>
      </c>
      <c r="AD46" s="16">
        <f>AVERAGE(B46:AB46)</f>
        <v>-27723.815384615387</v>
      </c>
      <c r="AE46" s="13">
        <f>AC46/AC13</f>
        <v>-2.9427048419922271E-2</v>
      </c>
    </row>
    <row r="47" spans="1:31" ht="12.75" customHeight="1" x14ac:dyDescent="0.15">
      <c r="A47" s="47"/>
      <c r="B47" s="17" t="s">
        <v>103</v>
      </c>
      <c r="C47" s="18">
        <f t="shared" ref="C47:AC47" si="11">SUM(C43:C46)</f>
        <v>-7360</v>
      </c>
      <c r="D47" s="18">
        <f t="shared" si="11"/>
        <v>-340.79999999999995</v>
      </c>
      <c r="E47" s="18">
        <f t="shared" si="11"/>
        <v>21882.6</v>
      </c>
      <c r="F47" s="18">
        <f t="shared" si="11"/>
        <v>27899.599999999999</v>
      </c>
      <c r="G47" s="18">
        <f t="shared" si="11"/>
        <v>20040.400000000001</v>
      </c>
      <c r="H47" s="18">
        <f t="shared" si="11"/>
        <v>16276.199999999997</v>
      </c>
      <c r="I47" s="18">
        <f t="shared" si="11"/>
        <v>20242.800000000003</v>
      </c>
      <c r="J47" s="18">
        <f t="shared" si="11"/>
        <v>9750.7999999999993</v>
      </c>
      <c r="K47" s="18">
        <f t="shared" si="11"/>
        <v>30406</v>
      </c>
      <c r="L47" s="18">
        <f t="shared" si="11"/>
        <v>19823.8</v>
      </c>
      <c r="M47" s="18">
        <f t="shared" si="11"/>
        <v>8804.5999999999985</v>
      </c>
      <c r="N47" s="18">
        <f t="shared" si="11"/>
        <v>40151.599999999999</v>
      </c>
      <c r="O47" s="18">
        <f t="shared" si="11"/>
        <v>19336.800000000003</v>
      </c>
      <c r="P47" s="18">
        <f t="shared" si="11"/>
        <v>36724.6</v>
      </c>
      <c r="Q47" s="18">
        <f t="shared" si="11"/>
        <v>-4884.7999999999993</v>
      </c>
      <c r="R47" s="18">
        <f t="shared" si="11"/>
        <v>-16307.6</v>
      </c>
      <c r="S47" s="18">
        <f t="shared" si="11"/>
        <v>0</v>
      </c>
      <c r="T47" s="18">
        <f t="shared" si="11"/>
        <v>0</v>
      </c>
      <c r="U47" s="18">
        <f t="shared" si="11"/>
        <v>0</v>
      </c>
      <c r="V47" s="18">
        <f t="shared" si="11"/>
        <v>-38358.400000000001</v>
      </c>
      <c r="W47" s="18">
        <f t="shared" si="11"/>
        <v>-32979.199999999997</v>
      </c>
      <c r="X47" s="18">
        <f t="shared" si="11"/>
        <v>-16856</v>
      </c>
      <c r="Y47" s="18">
        <f t="shared" si="11"/>
        <v>94062.399999999994</v>
      </c>
      <c r="Z47" s="18">
        <f t="shared" si="11"/>
        <v>32993.599999999999</v>
      </c>
      <c r="AA47" s="18">
        <f t="shared" si="11"/>
        <v>90222.399999999994</v>
      </c>
      <c r="AB47" s="18">
        <f t="shared" si="11"/>
        <v>30586.400000000001</v>
      </c>
      <c r="AC47" s="20">
        <f t="shared" si="11"/>
        <v>402117.79999999993</v>
      </c>
      <c r="AD47" s="20">
        <f>AVERAGE(B47:AB47)</f>
        <v>15466.069230769233</v>
      </c>
      <c r="AE47" s="21">
        <f>AC47/AC13</f>
        <v>1.6416238595077123E-2</v>
      </c>
    </row>
    <row r="48" spans="1:31" ht="12.75" customHeight="1" x14ac:dyDescent="0.15">
      <c r="A48" s="47" t="s">
        <v>104</v>
      </c>
      <c r="B48" s="11" t="s">
        <v>105</v>
      </c>
      <c r="C48" s="14">
        <v>93755</v>
      </c>
      <c r="D48" s="14">
        <v>361628</v>
      </c>
      <c r="E48" s="14">
        <v>549138</v>
      </c>
      <c r="F48" s="14">
        <v>361627</v>
      </c>
      <c r="G48" s="14">
        <v>375021</v>
      </c>
      <c r="H48" s="14">
        <v>334840</v>
      </c>
      <c r="I48" s="14">
        <v>254479</v>
      </c>
      <c r="J48" s="14">
        <v>535744</v>
      </c>
      <c r="K48" s="14">
        <v>321447</v>
      </c>
      <c r="L48" s="14">
        <v>334840</v>
      </c>
      <c r="M48" s="14">
        <v>361627</v>
      </c>
      <c r="N48" s="14">
        <v>294660</v>
      </c>
      <c r="O48" s="14">
        <v>294659</v>
      </c>
      <c r="P48" s="14">
        <v>281264</v>
      </c>
      <c r="Q48" s="14">
        <v>147330</v>
      </c>
      <c r="R48" s="14">
        <v>107148</v>
      </c>
      <c r="S48" s="14">
        <v>0</v>
      </c>
      <c r="T48" s="14">
        <v>0</v>
      </c>
      <c r="U48" s="14">
        <v>0</v>
      </c>
      <c r="V48" s="14">
        <v>281265</v>
      </c>
      <c r="W48" s="14">
        <v>241084</v>
      </c>
      <c r="X48" s="14">
        <v>321446</v>
      </c>
      <c r="Y48" s="14">
        <v>361627</v>
      </c>
      <c r="Z48" s="14">
        <v>361622</v>
      </c>
      <c r="AA48" s="14">
        <v>455381</v>
      </c>
      <c r="AB48" s="14">
        <v>214297</v>
      </c>
      <c r="AC48" s="16">
        <f t="shared" ref="AC48:AC65" si="12">SUM(C48:AB48)</f>
        <v>7245929</v>
      </c>
      <c r="AD48" s="16">
        <f t="shared" ref="AD48:AD65" si="13">AVERAGE(C48:AB48)</f>
        <v>278689.57692307694</v>
      </c>
      <c r="AE48" s="13">
        <f>AC48/AC13</f>
        <v>0.29581107652282146</v>
      </c>
    </row>
    <row r="49" spans="1:31" ht="12.75" customHeight="1" x14ac:dyDescent="0.15">
      <c r="A49" s="47"/>
      <c r="B49" s="11" t="s">
        <v>106</v>
      </c>
      <c r="C49" s="14">
        <v>6145</v>
      </c>
      <c r="D49" s="14">
        <v>23701</v>
      </c>
      <c r="E49" s="14">
        <v>35991</v>
      </c>
      <c r="F49" s="14">
        <v>23701</v>
      </c>
      <c r="G49" s="14">
        <v>24579</v>
      </c>
      <c r="H49" s="14">
        <v>21946</v>
      </c>
      <c r="I49" s="14">
        <v>16679</v>
      </c>
      <c r="J49" s="14">
        <v>35113</v>
      </c>
      <c r="K49" s="14">
        <v>21068</v>
      </c>
      <c r="L49" s="14">
        <v>21945</v>
      </c>
      <c r="M49" s="14">
        <v>23701</v>
      </c>
      <c r="N49" s="14">
        <v>19312</v>
      </c>
      <c r="O49" s="14">
        <v>19312</v>
      </c>
      <c r="P49" s="14">
        <v>18434</v>
      </c>
      <c r="Q49" s="14">
        <v>9656</v>
      </c>
      <c r="R49" s="14">
        <v>7022</v>
      </c>
      <c r="S49" s="14">
        <v>0</v>
      </c>
      <c r="T49" s="14">
        <v>0</v>
      </c>
      <c r="U49" s="14">
        <v>0</v>
      </c>
      <c r="V49" s="14">
        <v>18434</v>
      </c>
      <c r="W49" s="14">
        <v>15801</v>
      </c>
      <c r="X49" s="14">
        <v>21068</v>
      </c>
      <c r="Y49" s="14">
        <v>23700</v>
      </c>
      <c r="Z49" s="14">
        <v>23696</v>
      </c>
      <c r="AA49" s="14">
        <v>29846</v>
      </c>
      <c r="AB49" s="14">
        <v>14045</v>
      </c>
      <c r="AC49" s="16">
        <f t="shared" si="12"/>
        <v>474895</v>
      </c>
      <c r="AD49" s="16">
        <f t="shared" si="13"/>
        <v>18265.192307692309</v>
      </c>
      <c r="AE49" s="13">
        <f>AC49/AC13</f>
        <v>1.9387327861659323E-2</v>
      </c>
    </row>
    <row r="50" spans="1:31" ht="12.75" customHeight="1" x14ac:dyDescent="0.15">
      <c r="A50" s="47"/>
      <c r="B50" s="11" t="s">
        <v>107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4">
        <v>0</v>
      </c>
      <c r="S50" s="14">
        <v>0</v>
      </c>
      <c r="T50" s="14">
        <v>0</v>
      </c>
      <c r="U50" s="14">
        <v>0</v>
      </c>
      <c r="V50" s="14">
        <v>0</v>
      </c>
      <c r="W50" s="14">
        <v>0</v>
      </c>
      <c r="X50" s="14">
        <v>0</v>
      </c>
      <c r="Y50" s="14">
        <v>0</v>
      </c>
      <c r="Z50" s="14">
        <v>0</v>
      </c>
      <c r="AA50" s="14">
        <v>0</v>
      </c>
      <c r="AB50" s="14">
        <v>0</v>
      </c>
      <c r="AC50" s="16">
        <f t="shared" si="12"/>
        <v>0</v>
      </c>
      <c r="AD50" s="16">
        <f t="shared" si="13"/>
        <v>0</v>
      </c>
      <c r="AE50" s="13">
        <f>AC50/AC13</f>
        <v>0</v>
      </c>
    </row>
    <row r="51" spans="1:31" ht="12.75" customHeight="1" x14ac:dyDescent="0.15">
      <c r="A51" s="47"/>
      <c r="B51" s="11" t="s">
        <v>108</v>
      </c>
      <c r="C51" s="14">
        <v>17801</v>
      </c>
      <c r="D51" s="14">
        <v>68662</v>
      </c>
      <c r="E51" s="14">
        <v>104265</v>
      </c>
      <c r="F51" s="14">
        <v>68662</v>
      </c>
      <c r="G51" s="14">
        <v>71205</v>
      </c>
      <c r="H51" s="14">
        <v>63576</v>
      </c>
      <c r="I51" s="14">
        <v>48318</v>
      </c>
      <c r="J51" s="14">
        <v>101722</v>
      </c>
      <c r="K51" s="14">
        <v>61033</v>
      </c>
      <c r="L51" s="14">
        <v>63576</v>
      </c>
      <c r="M51" s="14">
        <v>68662</v>
      </c>
      <c r="N51" s="14">
        <v>55947</v>
      </c>
      <c r="O51" s="14">
        <v>55947</v>
      </c>
      <c r="P51" s="14">
        <v>53404</v>
      </c>
      <c r="Q51" s="14">
        <v>27973</v>
      </c>
      <c r="R51" s="14">
        <v>20344</v>
      </c>
      <c r="S51" s="14">
        <v>0</v>
      </c>
      <c r="T51" s="14">
        <v>0</v>
      </c>
      <c r="U51" s="14">
        <v>0</v>
      </c>
      <c r="V51" s="14">
        <v>53404</v>
      </c>
      <c r="W51" s="14">
        <v>45775</v>
      </c>
      <c r="X51" s="14">
        <v>61034</v>
      </c>
      <c r="Y51" s="14">
        <v>68663</v>
      </c>
      <c r="Z51" s="14">
        <v>68662</v>
      </c>
      <c r="AA51" s="14">
        <v>86464</v>
      </c>
      <c r="AB51" s="14">
        <v>40688</v>
      </c>
      <c r="AC51" s="16">
        <f t="shared" si="12"/>
        <v>1375787</v>
      </c>
      <c r="AD51" s="16">
        <f t="shared" si="13"/>
        <v>52914.884615384617</v>
      </c>
      <c r="AE51" s="13">
        <f>AC51/AC13</f>
        <v>5.6165749558973452E-2</v>
      </c>
    </row>
    <row r="52" spans="1:31" ht="12.75" customHeight="1" x14ac:dyDescent="0.15">
      <c r="A52" s="47"/>
      <c r="B52" s="11" t="s">
        <v>109</v>
      </c>
      <c r="C52" s="14">
        <v>1078</v>
      </c>
      <c r="D52" s="14">
        <v>4154</v>
      </c>
      <c r="E52" s="14">
        <v>6308</v>
      </c>
      <c r="F52" s="14">
        <v>4154</v>
      </c>
      <c r="G52" s="14">
        <v>4308</v>
      </c>
      <c r="H52" s="14">
        <v>3846</v>
      </c>
      <c r="I52" s="14">
        <v>2923</v>
      </c>
      <c r="J52" s="14">
        <v>6154</v>
      </c>
      <c r="K52" s="14">
        <v>3693</v>
      </c>
      <c r="L52" s="14">
        <v>3846</v>
      </c>
      <c r="M52" s="14">
        <v>4155</v>
      </c>
      <c r="N52" s="14">
        <v>3385</v>
      </c>
      <c r="O52" s="14">
        <v>3386</v>
      </c>
      <c r="P52" s="14">
        <v>3230</v>
      </c>
      <c r="Q52" s="14">
        <v>1693</v>
      </c>
      <c r="R52" s="14">
        <v>1228</v>
      </c>
      <c r="S52" s="14">
        <v>0</v>
      </c>
      <c r="T52" s="14">
        <v>0</v>
      </c>
      <c r="U52" s="14">
        <v>0</v>
      </c>
      <c r="V52" s="14">
        <v>3231</v>
      </c>
      <c r="W52" s="14">
        <v>2770</v>
      </c>
      <c r="X52" s="14">
        <v>3692</v>
      </c>
      <c r="Y52" s="14">
        <v>4154</v>
      </c>
      <c r="Z52" s="14">
        <v>4149</v>
      </c>
      <c r="AA52" s="14">
        <v>5230</v>
      </c>
      <c r="AB52" s="14">
        <v>2462</v>
      </c>
      <c r="AC52" s="16">
        <f t="shared" si="12"/>
        <v>83229</v>
      </c>
      <c r="AD52" s="16">
        <f t="shared" si="13"/>
        <v>3201.1153846153848</v>
      </c>
      <c r="AE52" s="13">
        <f>AC52/AC13</f>
        <v>3.397778268034079E-3</v>
      </c>
    </row>
    <row r="53" spans="1:31" ht="12.75" customHeight="1" x14ac:dyDescent="0.15">
      <c r="A53" s="47"/>
      <c r="B53" s="17" t="s">
        <v>110</v>
      </c>
      <c r="C53" s="18">
        <f t="shared" ref="C53:AB53" si="14">SUM(C48:C52)</f>
        <v>118779</v>
      </c>
      <c r="D53" s="18">
        <f t="shared" si="14"/>
        <v>458145</v>
      </c>
      <c r="E53" s="18">
        <f t="shared" si="14"/>
        <v>695702</v>
      </c>
      <c r="F53" s="18">
        <f t="shared" si="14"/>
        <v>458144</v>
      </c>
      <c r="G53" s="18">
        <f t="shared" si="14"/>
        <v>475113</v>
      </c>
      <c r="H53" s="18">
        <f t="shared" si="14"/>
        <v>424208</v>
      </c>
      <c r="I53" s="18">
        <f t="shared" si="14"/>
        <v>322399</v>
      </c>
      <c r="J53" s="18">
        <f t="shared" si="14"/>
        <v>678733</v>
      </c>
      <c r="K53" s="18">
        <f t="shared" si="14"/>
        <v>407241</v>
      </c>
      <c r="L53" s="18">
        <f t="shared" si="14"/>
        <v>424207</v>
      </c>
      <c r="M53" s="18">
        <f t="shared" si="14"/>
        <v>458145</v>
      </c>
      <c r="N53" s="18">
        <f t="shared" si="14"/>
        <v>373304</v>
      </c>
      <c r="O53" s="18">
        <f t="shared" si="14"/>
        <v>373304</v>
      </c>
      <c r="P53" s="18">
        <f t="shared" si="14"/>
        <v>356332</v>
      </c>
      <c r="Q53" s="18">
        <f t="shared" si="14"/>
        <v>186652</v>
      </c>
      <c r="R53" s="18">
        <f t="shared" si="14"/>
        <v>135742</v>
      </c>
      <c r="S53" s="18">
        <f t="shared" si="14"/>
        <v>0</v>
      </c>
      <c r="T53" s="18">
        <f t="shared" si="14"/>
        <v>0</v>
      </c>
      <c r="U53" s="18">
        <f t="shared" si="14"/>
        <v>0</v>
      </c>
      <c r="V53" s="18">
        <f t="shared" si="14"/>
        <v>356334</v>
      </c>
      <c r="W53" s="18">
        <f t="shared" si="14"/>
        <v>305430</v>
      </c>
      <c r="X53" s="18">
        <f t="shared" si="14"/>
        <v>407240</v>
      </c>
      <c r="Y53" s="18">
        <f t="shared" si="14"/>
        <v>458144</v>
      </c>
      <c r="Z53" s="18">
        <f t="shared" si="14"/>
        <v>458129</v>
      </c>
      <c r="AA53" s="18">
        <f t="shared" si="14"/>
        <v>576921</v>
      </c>
      <c r="AB53" s="18">
        <f t="shared" si="14"/>
        <v>271492</v>
      </c>
      <c r="AC53" s="20">
        <f t="shared" si="12"/>
        <v>9179840</v>
      </c>
      <c r="AD53" s="20">
        <f t="shared" si="13"/>
        <v>353070.76923076925</v>
      </c>
      <c r="AE53" s="21">
        <f>AC53/AC13</f>
        <v>0.37476193221148829</v>
      </c>
    </row>
    <row r="54" spans="1:31" ht="12.75" customHeight="1" x14ac:dyDescent="0.15">
      <c r="A54" s="47" t="s">
        <v>111</v>
      </c>
      <c r="B54" s="11" t="s">
        <v>112</v>
      </c>
      <c r="C54" s="14">
        <v>6941.1764705882351</v>
      </c>
      <c r="D54" s="14">
        <v>6941.1764705882351</v>
      </c>
      <c r="E54" s="14">
        <v>6941.1764705882351</v>
      </c>
      <c r="F54" s="14">
        <v>6941.1764705882351</v>
      </c>
      <c r="G54" s="14">
        <v>6941.1764705882351</v>
      </c>
      <c r="H54" s="14">
        <v>6941.1764705882351</v>
      </c>
      <c r="I54" s="14">
        <v>6941.1764705882351</v>
      </c>
      <c r="J54" s="14">
        <v>6941.1764705882351</v>
      </c>
      <c r="K54" s="14">
        <v>6941.1764705882351</v>
      </c>
      <c r="L54" s="14">
        <v>6941.1764705882351</v>
      </c>
      <c r="M54" s="14">
        <v>6941.1764705882351</v>
      </c>
      <c r="N54" s="14">
        <v>6941.1764705882351</v>
      </c>
      <c r="O54" s="14">
        <v>6941.1764705882351</v>
      </c>
      <c r="P54" s="14">
        <v>6941.1764705882351</v>
      </c>
      <c r="Q54" s="14">
        <v>6941.1764705882351</v>
      </c>
      <c r="R54" s="14">
        <v>6941.1764705882351</v>
      </c>
      <c r="S54" s="14">
        <v>6941.1764705882351</v>
      </c>
      <c r="T54" s="14">
        <v>0</v>
      </c>
      <c r="U54" s="14">
        <v>0</v>
      </c>
      <c r="V54" s="14">
        <v>21428.571428571428</v>
      </c>
      <c r="W54" s="14">
        <v>21428.571428571428</v>
      </c>
      <c r="X54" s="14">
        <v>21428.571428571428</v>
      </c>
      <c r="Y54" s="14">
        <v>21428.571428571428</v>
      </c>
      <c r="Z54" s="14">
        <v>21428.571428571428</v>
      </c>
      <c r="AA54" s="14">
        <v>21428.571428571428</v>
      </c>
      <c r="AB54" s="14">
        <v>21428.571428571428</v>
      </c>
      <c r="AC54" s="16">
        <f t="shared" si="12"/>
        <v>268000</v>
      </c>
      <c r="AD54" s="16">
        <f t="shared" si="13"/>
        <v>10307.692307692309</v>
      </c>
      <c r="AE54" s="13">
        <f>AC54/AC13</f>
        <v>1.094095298313248E-2</v>
      </c>
    </row>
    <row r="55" spans="1:31" ht="12.75" customHeight="1" x14ac:dyDescent="0.15">
      <c r="A55" s="47"/>
      <c r="B55" s="11" t="s">
        <v>113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4">
        <v>0</v>
      </c>
      <c r="W55" s="14">
        <v>0</v>
      </c>
      <c r="X55" s="14">
        <v>0</v>
      </c>
      <c r="Y55" s="14">
        <v>0</v>
      </c>
      <c r="Z55" s="14">
        <v>0</v>
      </c>
      <c r="AA55" s="14">
        <v>0</v>
      </c>
      <c r="AB55" s="14">
        <v>0</v>
      </c>
      <c r="AC55" s="16">
        <f t="shared" si="12"/>
        <v>0</v>
      </c>
      <c r="AD55" s="16">
        <f t="shared" si="13"/>
        <v>0</v>
      </c>
      <c r="AE55" s="13">
        <f>AC55/AC13</f>
        <v>0</v>
      </c>
    </row>
    <row r="56" spans="1:31" ht="12.75" customHeight="1" x14ac:dyDescent="0.15">
      <c r="A56" s="47"/>
      <c r="B56" s="11" t="s">
        <v>114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4">
        <v>0</v>
      </c>
      <c r="S56" s="14">
        <v>0</v>
      </c>
      <c r="T56" s="14">
        <v>0</v>
      </c>
      <c r="U56" s="14">
        <v>0</v>
      </c>
      <c r="V56" s="14">
        <v>0</v>
      </c>
      <c r="W56" s="14">
        <v>0</v>
      </c>
      <c r="X56" s="14">
        <v>0</v>
      </c>
      <c r="Y56" s="14">
        <v>0</v>
      </c>
      <c r="Z56" s="14">
        <v>0</v>
      </c>
      <c r="AA56" s="14">
        <v>0</v>
      </c>
      <c r="AB56" s="14">
        <v>0</v>
      </c>
      <c r="AC56" s="16">
        <f t="shared" si="12"/>
        <v>0</v>
      </c>
      <c r="AD56" s="16">
        <f t="shared" si="13"/>
        <v>0</v>
      </c>
      <c r="AE56" s="13">
        <f>AC56/AC13</f>
        <v>0</v>
      </c>
    </row>
    <row r="57" spans="1:31" ht="12.75" customHeight="1" x14ac:dyDescent="0.15">
      <c r="A57" s="47"/>
      <c r="B57" s="11" t="s">
        <v>115</v>
      </c>
      <c r="C57" s="14">
        <v>0</v>
      </c>
      <c r="D57" s="14">
        <v>0</v>
      </c>
      <c r="E57" s="14">
        <v>0</v>
      </c>
      <c r="F57" s="14">
        <v>291458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4">
        <v>0</v>
      </c>
      <c r="P57" s="14">
        <v>0</v>
      </c>
      <c r="Q57" s="14">
        <v>0</v>
      </c>
      <c r="R57" s="14">
        <v>0</v>
      </c>
      <c r="S57" s="14">
        <v>0</v>
      </c>
      <c r="T57" s="14">
        <v>0</v>
      </c>
      <c r="U57" s="14">
        <v>0</v>
      </c>
      <c r="V57" s="14">
        <v>0</v>
      </c>
      <c r="W57" s="14">
        <v>0</v>
      </c>
      <c r="X57" s="14">
        <v>0</v>
      </c>
      <c r="Y57" s="14">
        <v>0</v>
      </c>
      <c r="Z57" s="14">
        <v>0</v>
      </c>
      <c r="AA57" s="14">
        <v>0</v>
      </c>
      <c r="AB57" s="14">
        <v>0</v>
      </c>
      <c r="AC57" s="16">
        <f t="shared" si="12"/>
        <v>291458</v>
      </c>
      <c r="AD57" s="16">
        <f t="shared" si="13"/>
        <v>11209.923076923076</v>
      </c>
      <c r="AE57" s="13">
        <f>AC57/AC13</f>
        <v>1.1898612964768008E-2</v>
      </c>
    </row>
    <row r="58" spans="1:31" ht="12.75" customHeight="1" x14ac:dyDescent="0.15">
      <c r="A58" s="47"/>
      <c r="B58" s="11" t="s">
        <v>116</v>
      </c>
      <c r="C58" s="14">
        <v>106454.70588235294</v>
      </c>
      <c r="D58" s="14">
        <v>106454.70588235294</v>
      </c>
      <c r="E58" s="14">
        <v>106454.70588235294</v>
      </c>
      <c r="F58" s="14">
        <v>106454.70588235294</v>
      </c>
      <c r="G58" s="14">
        <v>106454.70588235294</v>
      </c>
      <c r="H58" s="14">
        <v>106454.70588235294</v>
      </c>
      <c r="I58" s="14">
        <v>106454.70588235294</v>
      </c>
      <c r="J58" s="14">
        <v>106454.70588235294</v>
      </c>
      <c r="K58" s="14">
        <v>106454.70588235294</v>
      </c>
      <c r="L58" s="14">
        <v>106454.70588235294</v>
      </c>
      <c r="M58" s="14">
        <v>106454.70588235294</v>
      </c>
      <c r="N58" s="14">
        <v>106454.70588235294</v>
      </c>
      <c r="O58" s="14">
        <v>106454.70588235294</v>
      </c>
      <c r="P58" s="14">
        <v>106454.70588235294</v>
      </c>
      <c r="Q58" s="14">
        <v>106454.70588235294</v>
      </c>
      <c r="R58" s="14">
        <v>106454.70588235294</v>
      </c>
      <c r="S58" s="14">
        <v>106454.70588235294</v>
      </c>
      <c r="T58" s="14">
        <v>0</v>
      </c>
      <c r="U58" s="14">
        <v>0</v>
      </c>
      <c r="V58" s="14">
        <v>85031.857142857145</v>
      </c>
      <c r="W58" s="14">
        <v>85031.857142857145</v>
      </c>
      <c r="X58" s="14">
        <v>85031.857142857145</v>
      </c>
      <c r="Y58" s="14">
        <v>85031.857142857145</v>
      </c>
      <c r="Z58" s="14">
        <v>85031.857142857145</v>
      </c>
      <c r="AA58" s="14">
        <v>85031.857142857145</v>
      </c>
      <c r="AB58" s="14">
        <v>85031.857142857145</v>
      </c>
      <c r="AC58" s="16">
        <f t="shared" si="12"/>
        <v>2404953.0000000005</v>
      </c>
      <c r="AD58" s="16">
        <f t="shared" si="13"/>
        <v>92498.192307692327</v>
      </c>
      <c r="AE58" s="13">
        <f>AC58/AC13</f>
        <v>9.8180886938967954E-2</v>
      </c>
    </row>
    <row r="59" spans="1:31" ht="12.75" customHeight="1" x14ac:dyDescent="0.15">
      <c r="A59" s="47"/>
      <c r="B59" s="11" t="s">
        <v>117</v>
      </c>
      <c r="C59" s="14">
        <v>81606.941176470587</v>
      </c>
      <c r="D59" s="14">
        <v>81606.941176470587</v>
      </c>
      <c r="E59" s="14">
        <v>81606.941176470587</v>
      </c>
      <c r="F59" s="14">
        <v>81606.941176470587</v>
      </c>
      <c r="G59" s="14">
        <v>81606.941176470587</v>
      </c>
      <c r="H59" s="14">
        <v>81606.941176470587</v>
      </c>
      <c r="I59" s="14">
        <v>81606.941176470587</v>
      </c>
      <c r="J59" s="14">
        <v>81606.941176470587</v>
      </c>
      <c r="K59" s="14">
        <v>81606.941176470587</v>
      </c>
      <c r="L59" s="14">
        <v>81606.941176470587</v>
      </c>
      <c r="M59" s="14">
        <v>81606.941176470587</v>
      </c>
      <c r="N59" s="14">
        <v>81606.941176470587</v>
      </c>
      <c r="O59" s="14">
        <v>81606.941176470587</v>
      </c>
      <c r="P59" s="14">
        <v>81606.941176470587</v>
      </c>
      <c r="Q59" s="14">
        <v>81606.941176470587</v>
      </c>
      <c r="R59" s="14">
        <v>81606.941176470587</v>
      </c>
      <c r="S59" s="14">
        <v>81606.941176470587</v>
      </c>
      <c r="T59" s="14">
        <v>0</v>
      </c>
      <c r="U59" s="14">
        <v>0</v>
      </c>
      <c r="V59" s="14">
        <v>81607</v>
      </c>
      <c r="W59" s="14">
        <v>81607</v>
      </c>
      <c r="X59" s="14">
        <v>81607</v>
      </c>
      <c r="Y59" s="14">
        <v>81607</v>
      </c>
      <c r="Z59" s="14">
        <v>81607</v>
      </c>
      <c r="AA59" s="14">
        <v>81607</v>
      </c>
      <c r="AB59" s="14">
        <v>81607</v>
      </c>
      <c r="AC59" s="16">
        <f t="shared" si="12"/>
        <v>1958567</v>
      </c>
      <c r="AD59" s="16">
        <f t="shared" si="13"/>
        <v>75329.5</v>
      </c>
      <c r="AE59" s="13">
        <f>AC59/AC13</f>
        <v>7.9957423363115038E-2</v>
      </c>
    </row>
    <row r="60" spans="1:31" ht="12.75" customHeight="1" x14ac:dyDescent="0.15">
      <c r="A60" s="47"/>
      <c r="B60" s="17" t="s">
        <v>118</v>
      </c>
      <c r="C60" s="18">
        <f t="shared" ref="C60:AB60" si="15">SUM(C54:C59)</f>
        <v>195002.82352941175</v>
      </c>
      <c r="D60" s="18">
        <f t="shared" si="15"/>
        <v>195002.82352941175</v>
      </c>
      <c r="E60" s="18">
        <f t="shared" si="15"/>
        <v>195002.82352941175</v>
      </c>
      <c r="F60" s="18">
        <f t="shared" si="15"/>
        <v>486460.82352941181</v>
      </c>
      <c r="G60" s="18">
        <f t="shared" si="15"/>
        <v>195002.82352941175</v>
      </c>
      <c r="H60" s="18">
        <f t="shared" si="15"/>
        <v>195002.82352941175</v>
      </c>
      <c r="I60" s="18">
        <f t="shared" si="15"/>
        <v>195002.82352941175</v>
      </c>
      <c r="J60" s="18">
        <f t="shared" si="15"/>
        <v>195002.82352941175</v>
      </c>
      <c r="K60" s="18">
        <f t="shared" si="15"/>
        <v>195002.82352941175</v>
      </c>
      <c r="L60" s="18">
        <f t="shared" si="15"/>
        <v>195002.82352941175</v>
      </c>
      <c r="M60" s="18">
        <f t="shared" si="15"/>
        <v>195002.82352941175</v>
      </c>
      <c r="N60" s="18">
        <f t="shared" si="15"/>
        <v>195002.82352941175</v>
      </c>
      <c r="O60" s="18">
        <f t="shared" si="15"/>
        <v>195002.82352941175</v>
      </c>
      <c r="P60" s="18">
        <f t="shared" si="15"/>
        <v>195002.82352941175</v>
      </c>
      <c r="Q60" s="18">
        <f t="shared" si="15"/>
        <v>195002.82352941175</v>
      </c>
      <c r="R60" s="18">
        <f t="shared" si="15"/>
        <v>195002.82352941175</v>
      </c>
      <c r="S60" s="18">
        <f t="shared" si="15"/>
        <v>195002.82352941175</v>
      </c>
      <c r="T60" s="18">
        <f t="shared" si="15"/>
        <v>0</v>
      </c>
      <c r="U60" s="18">
        <f t="shared" si="15"/>
        <v>0</v>
      </c>
      <c r="V60" s="18">
        <f t="shared" si="15"/>
        <v>188067.42857142858</v>
      </c>
      <c r="W60" s="18">
        <f t="shared" si="15"/>
        <v>188067.42857142858</v>
      </c>
      <c r="X60" s="18">
        <f t="shared" si="15"/>
        <v>188067.42857142858</v>
      </c>
      <c r="Y60" s="18">
        <f t="shared" si="15"/>
        <v>188067.42857142858</v>
      </c>
      <c r="Z60" s="18">
        <f t="shared" si="15"/>
        <v>188067.42857142858</v>
      </c>
      <c r="AA60" s="18">
        <f t="shared" si="15"/>
        <v>188067.42857142858</v>
      </c>
      <c r="AB60" s="18">
        <f t="shared" si="15"/>
        <v>188067.42857142858</v>
      </c>
      <c r="AC60" s="20">
        <f t="shared" si="12"/>
        <v>4922977.9999999972</v>
      </c>
      <c r="AD60" s="20">
        <f t="shared" si="13"/>
        <v>189345.30769230757</v>
      </c>
      <c r="AE60" s="21">
        <f>AC60/AC13</f>
        <v>0.20097787624998334</v>
      </c>
    </row>
    <row r="61" spans="1:31" ht="12.75" customHeight="1" x14ac:dyDescent="0.15">
      <c r="A61" s="46" t="s">
        <v>119</v>
      </c>
      <c r="B61" s="46"/>
      <c r="C61" s="14">
        <f t="shared" ref="C61:AB61" si="16">SUM(C53+C23+C29+C35+C42+C47+C60)</f>
        <v>432764.25210084033</v>
      </c>
      <c r="D61" s="14">
        <f t="shared" si="16"/>
        <v>955049.4521008404</v>
      </c>
      <c r="E61" s="14">
        <f t="shared" si="16"/>
        <v>1157663.2806722689</v>
      </c>
      <c r="F61" s="14">
        <f t="shared" si="16"/>
        <v>1299448.7092436976</v>
      </c>
      <c r="G61" s="14">
        <f t="shared" si="16"/>
        <v>935927.22352941171</v>
      </c>
      <c r="H61" s="14">
        <f t="shared" si="16"/>
        <v>912356.59495798312</v>
      </c>
      <c r="I61" s="14">
        <f t="shared" si="16"/>
        <v>1388219.6235294119</v>
      </c>
      <c r="J61" s="14">
        <f t="shared" si="16"/>
        <v>1157706.9092436975</v>
      </c>
      <c r="K61" s="14">
        <f t="shared" si="16"/>
        <v>870148.53781512612</v>
      </c>
      <c r="L61" s="14">
        <f t="shared" si="16"/>
        <v>1027732.3378151262</v>
      </c>
      <c r="M61" s="14">
        <f t="shared" si="16"/>
        <v>934056.99495798326</v>
      </c>
      <c r="N61" s="14">
        <f t="shared" si="16"/>
        <v>1108633.137815126</v>
      </c>
      <c r="O61" s="14">
        <f t="shared" si="16"/>
        <v>929200.62352941185</v>
      </c>
      <c r="P61" s="14">
        <f t="shared" si="16"/>
        <v>961068.99495798326</v>
      </c>
      <c r="Q61" s="14">
        <f t="shared" si="16"/>
        <v>562984.88067226892</v>
      </c>
      <c r="R61" s="14">
        <f t="shared" si="16"/>
        <v>452657.08067226887</v>
      </c>
      <c r="S61" s="14">
        <f t="shared" si="16"/>
        <v>195002.82352941175</v>
      </c>
      <c r="T61" s="14">
        <f t="shared" si="16"/>
        <v>0</v>
      </c>
      <c r="U61" s="14">
        <f t="shared" si="16"/>
        <v>7075</v>
      </c>
      <c r="V61" s="14">
        <f t="shared" si="16"/>
        <v>856717.45714285714</v>
      </c>
      <c r="W61" s="14">
        <f t="shared" si="16"/>
        <v>855388.08571428573</v>
      </c>
      <c r="X61" s="14">
        <f t="shared" si="16"/>
        <v>1901239.4285714286</v>
      </c>
      <c r="Y61" s="14">
        <f t="shared" si="16"/>
        <v>1110875.9714285715</v>
      </c>
      <c r="Z61" s="14">
        <f t="shared" si="16"/>
        <v>964392.31428571418</v>
      </c>
      <c r="AA61" s="14">
        <f t="shared" si="16"/>
        <v>1120670.1142857142</v>
      </c>
      <c r="AB61" s="14">
        <f t="shared" si="16"/>
        <v>718759.82857142854</v>
      </c>
      <c r="AC61" s="16">
        <f t="shared" si="12"/>
        <v>22815739.657142859</v>
      </c>
      <c r="AD61" s="16">
        <f t="shared" si="13"/>
        <v>877528.4483516484</v>
      </c>
      <c r="AE61" s="13">
        <f>AC61/AC13</f>
        <v>0.93144005546339992</v>
      </c>
    </row>
    <row r="62" spans="1:31" ht="12.75" customHeight="1" x14ac:dyDescent="0.15">
      <c r="A62" s="46" t="s">
        <v>120</v>
      </c>
      <c r="B62" s="46"/>
      <c r="C62" s="14">
        <f>SUM(C13+C14-C61)</f>
        <v>-135928.25210084033</v>
      </c>
      <c r="D62" s="14">
        <f t="shared" ref="D62:AB62" si="17">SUM(D13+D14-D61)</f>
        <v>-157146.4521008404</v>
      </c>
      <c r="E62" s="14">
        <f t="shared" si="17"/>
        <v>51576.719327731058</v>
      </c>
      <c r="F62" s="14">
        <f t="shared" si="17"/>
        <v>-80968.70924369758</v>
      </c>
      <c r="G62" s="14">
        <f t="shared" si="17"/>
        <v>323812.77647058829</v>
      </c>
      <c r="H62" s="14">
        <f t="shared" si="17"/>
        <v>325693.40504201688</v>
      </c>
      <c r="I62" s="14">
        <f t="shared" si="17"/>
        <v>-301259.62352941185</v>
      </c>
      <c r="J62" s="14">
        <f t="shared" si="17"/>
        <v>46913.090756302467</v>
      </c>
      <c r="K62" s="14">
        <f t="shared" si="17"/>
        <v>363571.46218487388</v>
      </c>
      <c r="L62" s="14">
        <f t="shared" si="17"/>
        <v>186127.66218487383</v>
      </c>
      <c r="M62" s="14">
        <f t="shared" si="17"/>
        <v>275183.00504201674</v>
      </c>
      <c r="N62" s="14">
        <f t="shared" si="17"/>
        <v>161256.86218487401</v>
      </c>
      <c r="O62" s="14">
        <f t="shared" si="17"/>
        <v>293899.37647058815</v>
      </c>
      <c r="P62" s="14">
        <f t="shared" si="17"/>
        <v>306311.00504201674</v>
      </c>
      <c r="Q62" s="14">
        <f t="shared" si="17"/>
        <v>301015.11932773108</v>
      </c>
      <c r="R62" s="14">
        <f t="shared" si="17"/>
        <v>411342.91932773113</v>
      </c>
      <c r="S62" s="14">
        <f t="shared" si="17"/>
        <v>-178002.82352941175</v>
      </c>
      <c r="T62" s="14">
        <f t="shared" si="17"/>
        <v>25152</v>
      </c>
      <c r="U62" s="14">
        <f t="shared" si="17"/>
        <v>-7075</v>
      </c>
      <c r="V62" s="14">
        <f t="shared" si="17"/>
        <v>730053.54285714286</v>
      </c>
      <c r="W62" s="14">
        <f t="shared" si="17"/>
        <v>485364.91428571427</v>
      </c>
      <c r="X62" s="14">
        <f t="shared" si="17"/>
        <v>-615891.42857142864</v>
      </c>
      <c r="Y62" s="14">
        <f t="shared" si="17"/>
        <v>218724.0285714285</v>
      </c>
      <c r="Z62" s="14">
        <f t="shared" si="17"/>
        <v>-34511.314285714179</v>
      </c>
      <c r="AA62" s="14">
        <f t="shared" si="17"/>
        <v>267237.88571428577</v>
      </c>
      <c r="AB62" s="14">
        <f t="shared" si="17"/>
        <v>-266007.82857142854</v>
      </c>
      <c r="AC62" s="16">
        <f t="shared" si="12"/>
        <v>2996444.3428571429</v>
      </c>
      <c r="AD62" s="16">
        <f t="shared" si="13"/>
        <v>115247.85934065934</v>
      </c>
      <c r="AE62" s="13">
        <f>AC62/AC13</f>
        <v>0.12232819653646754</v>
      </c>
    </row>
    <row r="63" spans="1:31" ht="12.75" customHeight="1" x14ac:dyDescent="0.15">
      <c r="A63" s="46" t="s">
        <v>121</v>
      </c>
      <c r="B63" s="46"/>
      <c r="C63" s="14">
        <v>104592.76190476191</v>
      </c>
      <c r="D63" s="14">
        <v>104592.76190476191</v>
      </c>
      <c r="E63" s="14">
        <v>104592.76190476191</v>
      </c>
      <c r="F63" s="14">
        <v>104592.76190476191</v>
      </c>
      <c r="G63" s="14">
        <v>104592.76190476191</v>
      </c>
      <c r="H63" s="14">
        <v>104592.76190476191</v>
      </c>
      <c r="I63" s="14">
        <v>104592.76190476191</v>
      </c>
      <c r="J63" s="14">
        <v>104592.76190476191</v>
      </c>
      <c r="K63" s="14">
        <v>104592.76190476191</v>
      </c>
      <c r="L63" s="14">
        <v>104592.76190476191</v>
      </c>
      <c r="M63" s="14">
        <v>104592.76190476191</v>
      </c>
      <c r="N63" s="14">
        <v>104592.76190476191</v>
      </c>
      <c r="O63" s="14">
        <v>104592.76190476191</v>
      </c>
      <c r="P63" s="14">
        <v>104592.76190476191</v>
      </c>
      <c r="Q63" s="14">
        <v>104592.76190476191</v>
      </c>
      <c r="R63" s="14">
        <v>104592.76190476191</v>
      </c>
      <c r="S63" s="14">
        <v>0</v>
      </c>
      <c r="T63" s="14">
        <v>0</v>
      </c>
      <c r="U63" s="14">
        <v>104592.76190476191</v>
      </c>
      <c r="V63" s="14">
        <v>104592.76190476191</v>
      </c>
      <c r="W63" s="14">
        <v>104592.76190476191</v>
      </c>
      <c r="X63" s="14">
        <v>104592.76190476191</v>
      </c>
      <c r="Y63" s="14">
        <v>104592.76190476191</v>
      </c>
      <c r="Z63" s="14">
        <v>104592.76190476191</v>
      </c>
      <c r="AA63" s="14">
        <v>104592.76190476191</v>
      </c>
      <c r="AB63" s="14">
        <v>104592.76190476191</v>
      </c>
      <c r="AC63" s="16">
        <f t="shared" si="12"/>
        <v>2510226.2857142864</v>
      </c>
      <c r="AD63" s="16">
        <f t="shared" si="13"/>
        <v>96547.164835164862</v>
      </c>
      <c r="AE63" s="13">
        <f>AC63/AC13</f>
        <v>0.10247861107844509</v>
      </c>
    </row>
    <row r="64" spans="1:31" ht="12.75" customHeight="1" x14ac:dyDescent="0.15">
      <c r="A64" s="46" t="s">
        <v>122</v>
      </c>
      <c r="B64" s="46"/>
      <c r="C64" s="14">
        <v>32656.309523809523</v>
      </c>
      <c r="D64" s="14">
        <v>32656.309523809523</v>
      </c>
      <c r="E64" s="14">
        <v>32656.309523809523</v>
      </c>
      <c r="F64" s="14">
        <v>32656.309523809523</v>
      </c>
      <c r="G64" s="14">
        <v>32656.309523809523</v>
      </c>
      <c r="H64" s="14">
        <v>32656.309523809523</v>
      </c>
      <c r="I64" s="14">
        <v>32656.309523809523</v>
      </c>
      <c r="J64" s="14">
        <v>32656.309523809523</v>
      </c>
      <c r="K64" s="14">
        <v>32656.309523809523</v>
      </c>
      <c r="L64" s="14">
        <v>32656.309523809523</v>
      </c>
      <c r="M64" s="14">
        <v>32656.309523809523</v>
      </c>
      <c r="N64" s="14">
        <v>32656.309523809523</v>
      </c>
      <c r="O64" s="14">
        <v>32656.309523809523</v>
      </c>
      <c r="P64" s="14">
        <v>32656.309523809523</v>
      </c>
      <c r="Q64" s="14">
        <v>32656.309523809523</v>
      </c>
      <c r="R64" s="14">
        <v>32656.309523809523</v>
      </c>
      <c r="S64" s="14">
        <v>0</v>
      </c>
      <c r="T64" s="14">
        <v>0</v>
      </c>
      <c r="U64" s="14">
        <v>32656.309523809523</v>
      </c>
      <c r="V64" s="14">
        <v>32656.309523809523</v>
      </c>
      <c r="W64" s="14">
        <v>32656.309523809523</v>
      </c>
      <c r="X64" s="14">
        <v>32656.309523809523</v>
      </c>
      <c r="Y64" s="14">
        <v>32656.309523809523</v>
      </c>
      <c r="Z64" s="14">
        <v>32656.309523809523</v>
      </c>
      <c r="AA64" s="14">
        <v>32656.309523809523</v>
      </c>
      <c r="AB64" s="14">
        <v>32656.309523809523</v>
      </c>
      <c r="AC64" s="16">
        <f t="shared" si="12"/>
        <v>783751.42857142817</v>
      </c>
      <c r="AD64" s="16">
        <f t="shared" si="13"/>
        <v>30144.285714285699</v>
      </c>
      <c r="AE64" s="13">
        <f>AC64/AC13</f>
        <v>3.1996222128592947E-2</v>
      </c>
    </row>
    <row r="65" spans="1:31" ht="12.75" customHeight="1" x14ac:dyDescent="0.15">
      <c r="A65" s="46" t="s">
        <v>123</v>
      </c>
      <c r="B65" s="46"/>
      <c r="C65" s="14">
        <f t="shared" ref="C65:AB65" si="18">SUM(C62-(C63+C64))</f>
        <v>-273177.32352941175</v>
      </c>
      <c r="D65" s="14">
        <f t="shared" si="18"/>
        <v>-294395.52352941182</v>
      </c>
      <c r="E65" s="14">
        <f t="shared" si="18"/>
        <v>-85672.352100840362</v>
      </c>
      <c r="F65" s="14">
        <f t="shared" si="18"/>
        <v>-218217.780672269</v>
      </c>
      <c r="G65" s="14">
        <f t="shared" si="18"/>
        <v>186563.70504201687</v>
      </c>
      <c r="H65" s="14">
        <f t="shared" si="18"/>
        <v>188444.33361344546</v>
      </c>
      <c r="I65" s="14">
        <f t="shared" si="18"/>
        <v>-438508.69495798327</v>
      </c>
      <c r="J65" s="14">
        <f t="shared" si="18"/>
        <v>-90335.980672268954</v>
      </c>
      <c r="K65" s="14">
        <f t="shared" si="18"/>
        <v>226322.39075630245</v>
      </c>
      <c r="L65" s="14">
        <f t="shared" si="18"/>
        <v>48878.590756302408</v>
      </c>
      <c r="M65" s="14">
        <f t="shared" si="18"/>
        <v>137933.93361344532</v>
      </c>
      <c r="N65" s="14">
        <f t="shared" si="18"/>
        <v>24007.790756302595</v>
      </c>
      <c r="O65" s="14">
        <f t="shared" si="18"/>
        <v>156650.30504201673</v>
      </c>
      <c r="P65" s="14">
        <f t="shared" si="18"/>
        <v>169061.93361344532</v>
      </c>
      <c r="Q65" s="14">
        <f t="shared" si="18"/>
        <v>163766.04789915966</v>
      </c>
      <c r="R65" s="14">
        <f t="shared" si="18"/>
        <v>274093.84789915971</v>
      </c>
      <c r="S65" s="14">
        <f t="shared" si="18"/>
        <v>-178002.82352941175</v>
      </c>
      <c r="T65" s="14">
        <f t="shared" si="18"/>
        <v>25152</v>
      </c>
      <c r="U65" s="14">
        <f t="shared" si="18"/>
        <v>-144324.07142857142</v>
      </c>
      <c r="V65" s="14">
        <f t="shared" si="18"/>
        <v>592804.4714285715</v>
      </c>
      <c r="W65" s="14">
        <f t="shared" si="18"/>
        <v>348115.84285714285</v>
      </c>
      <c r="X65" s="14">
        <f t="shared" si="18"/>
        <v>-753140.5</v>
      </c>
      <c r="Y65" s="14">
        <f t="shared" si="18"/>
        <v>81474.957142857078</v>
      </c>
      <c r="Z65" s="14">
        <f t="shared" si="18"/>
        <v>-171760.3857142856</v>
      </c>
      <c r="AA65" s="14">
        <f t="shared" si="18"/>
        <v>129988.81428571435</v>
      </c>
      <c r="AB65" s="14">
        <f t="shared" si="18"/>
        <v>-403256.89999999997</v>
      </c>
      <c r="AC65" s="16">
        <f t="shared" si="12"/>
        <v>-297533.37142857118</v>
      </c>
      <c r="AD65" s="16">
        <f t="shared" si="13"/>
        <v>-11443.591208791198</v>
      </c>
      <c r="AE65" s="13">
        <f>AC65/AC13</f>
        <v>-1.2146636670570485E-2</v>
      </c>
    </row>
    <row r="66" spans="1:31" x14ac:dyDescent="0.15">
      <c r="A66" s="11"/>
      <c r="B66" s="29" t="s">
        <v>46</v>
      </c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</row>
    <row r="67" spans="1:31" x14ac:dyDescent="0.15">
      <c r="A67" s="12"/>
      <c r="B67" s="30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</row>
    <row r="68" spans="1:31" x14ac:dyDescent="0.15">
      <c r="A68" s="12"/>
      <c r="B68" s="33" t="s">
        <v>130</v>
      </c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</row>
    <row r="69" spans="1:31" x14ac:dyDescent="0.15">
      <c r="A69" s="12"/>
      <c r="B69" s="34" t="s">
        <v>131</v>
      </c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</row>
    <row r="70" spans="1:31" x14ac:dyDescent="0.15">
      <c r="A70" s="12"/>
      <c r="B70" s="34" t="s">
        <v>41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</row>
    <row r="71" spans="1:31" x14ac:dyDescent="0.15">
      <c r="A71" s="11"/>
      <c r="B71" s="35" t="s">
        <v>47</v>
      </c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</row>
    <row r="72" spans="1:31" x14ac:dyDescent="0.15">
      <c r="A72" s="11"/>
      <c r="B72" s="30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</row>
    <row r="73" spans="1:31" x14ac:dyDescent="0.15">
      <c r="A73" s="11"/>
      <c r="B73" s="33" t="s">
        <v>130</v>
      </c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</row>
    <row r="74" spans="1:31" x14ac:dyDescent="0.15">
      <c r="A74" s="11"/>
      <c r="B74" s="34" t="s">
        <v>131</v>
      </c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</row>
    <row r="75" spans="1:31" x14ac:dyDescent="0.15">
      <c r="A75" s="11"/>
      <c r="B75" s="34" t="s">
        <v>41</v>
      </c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</row>
    <row r="76" spans="1:31" x14ac:dyDescent="0.15">
      <c r="A76" s="11"/>
      <c r="B76" s="11" t="s">
        <v>135</v>
      </c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</row>
    <row r="77" spans="1:31" x14ac:dyDescent="0.15">
      <c r="A77" s="11"/>
      <c r="B77" s="30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</row>
    <row r="78" spans="1:31" x14ac:dyDescent="0.15">
      <c r="A78" s="11"/>
      <c r="B78" s="33" t="s">
        <v>130</v>
      </c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</row>
    <row r="79" spans="1:31" x14ac:dyDescent="0.15">
      <c r="A79" s="11"/>
      <c r="B79" s="34" t="s">
        <v>131</v>
      </c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</row>
    <row r="80" spans="1:31" x14ac:dyDescent="0.15">
      <c r="A80" s="11"/>
      <c r="B80" s="34" t="s">
        <v>41</v>
      </c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</row>
    <row r="81" spans="1:28" x14ac:dyDescent="0.15">
      <c r="A81" s="11"/>
      <c r="B81" s="11" t="s">
        <v>139</v>
      </c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</row>
    <row r="82" spans="1:28" x14ac:dyDescent="0.15">
      <c r="A82" s="11"/>
      <c r="B82" s="30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</row>
    <row r="83" spans="1:28" x14ac:dyDescent="0.15">
      <c r="A83" s="11"/>
      <c r="B83" s="33" t="s">
        <v>130</v>
      </c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</row>
    <row r="84" spans="1:28" x14ac:dyDescent="0.15">
      <c r="A84" s="11"/>
      <c r="B84" s="34" t="s">
        <v>131</v>
      </c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</row>
    <row r="85" spans="1:28" x14ac:dyDescent="0.15">
      <c r="A85" s="11"/>
      <c r="B85" s="34" t="s">
        <v>41</v>
      </c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</row>
    <row r="86" spans="1:28" x14ac:dyDescent="0.15">
      <c r="A86" s="11"/>
      <c r="B86" s="11" t="s">
        <v>143</v>
      </c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</row>
    <row r="87" spans="1:28" x14ac:dyDescent="0.15">
      <c r="A87" s="11"/>
      <c r="B87" s="3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</row>
    <row r="88" spans="1:28" x14ac:dyDescent="0.15">
      <c r="A88" s="11"/>
      <c r="B88" s="33" t="s">
        <v>130</v>
      </c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</row>
    <row r="89" spans="1:28" x14ac:dyDescent="0.15">
      <c r="A89" s="11"/>
      <c r="B89" s="34" t="s">
        <v>131</v>
      </c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</row>
    <row r="90" spans="1:28" x14ac:dyDescent="0.15">
      <c r="A90" s="11"/>
      <c r="B90" s="34" t="s">
        <v>41</v>
      </c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</row>
    <row r="91" spans="1:28" x14ac:dyDescent="0.1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</row>
    <row r="92" spans="1:28" x14ac:dyDescent="0.15">
      <c r="A92" s="11"/>
      <c r="B92" s="30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</row>
    <row r="93" spans="1:28" x14ac:dyDescent="0.15">
      <c r="A93" s="11"/>
      <c r="B93" s="33" t="s">
        <v>130</v>
      </c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</row>
    <row r="94" spans="1:28" x14ac:dyDescent="0.15">
      <c r="B94" s="34" t="s">
        <v>131</v>
      </c>
    </row>
    <row r="95" spans="1:28" x14ac:dyDescent="0.15">
      <c r="B95" s="34" t="s">
        <v>41</v>
      </c>
    </row>
    <row r="97" spans="2:2" x14ac:dyDescent="0.15">
      <c r="B97" s="30"/>
    </row>
    <row r="98" spans="2:2" x14ac:dyDescent="0.15">
      <c r="B98" s="33" t="s">
        <v>130</v>
      </c>
    </row>
    <row r="99" spans="2:2" x14ac:dyDescent="0.15">
      <c r="B99" s="34" t="s">
        <v>131</v>
      </c>
    </row>
    <row r="100" spans="2:2" x14ac:dyDescent="0.15">
      <c r="B100" s="34" t="s">
        <v>41</v>
      </c>
    </row>
    <row r="102" spans="2:2" x14ac:dyDescent="0.15">
      <c r="B102" s="30"/>
    </row>
    <row r="103" spans="2:2" x14ac:dyDescent="0.15">
      <c r="B103" s="33" t="s">
        <v>130</v>
      </c>
    </row>
    <row r="104" spans="2:2" x14ac:dyDescent="0.15">
      <c r="B104" s="34" t="s">
        <v>131</v>
      </c>
    </row>
    <row r="105" spans="2:2" x14ac:dyDescent="0.15">
      <c r="B105" s="34" t="s">
        <v>41</v>
      </c>
    </row>
    <row r="107" spans="2:2" x14ac:dyDescent="0.15">
      <c r="B107" s="11" t="s">
        <v>156</v>
      </c>
    </row>
  </sheetData>
  <mergeCells count="26">
    <mergeCell ref="A8:B8"/>
    <mergeCell ref="A3:B3"/>
    <mergeCell ref="A4:B4"/>
    <mergeCell ref="A5:B5"/>
    <mergeCell ref="A6:B6"/>
    <mergeCell ref="A7:B7"/>
    <mergeCell ref="A36:A42"/>
    <mergeCell ref="A9:B9"/>
    <mergeCell ref="A10:B10"/>
    <mergeCell ref="A11:B11"/>
    <mergeCell ref="A12:B12"/>
    <mergeCell ref="A13:B13"/>
    <mergeCell ref="A14:B14"/>
    <mergeCell ref="A15:B15"/>
    <mergeCell ref="A16:B16"/>
    <mergeCell ref="A17:A23"/>
    <mergeCell ref="A24:A29"/>
    <mergeCell ref="A30:A35"/>
    <mergeCell ref="A64:B64"/>
    <mergeCell ref="A65:B65"/>
    <mergeCell ref="A43:A47"/>
    <mergeCell ref="A48:A53"/>
    <mergeCell ref="A54:A60"/>
    <mergeCell ref="A61:B61"/>
    <mergeCell ref="A62:B62"/>
    <mergeCell ref="A63:B63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Line="0" r:id="rId5">
            <anchor>
              <from>
                <xdr:col>0</xdr:col>
                <xdr:colOff>19050</xdr:colOff>
                <xdr:row>2</xdr:row>
                <xdr:rowOff>28575</xdr:rowOff>
              </from>
              <to>
                <xdr:col>1</xdr:col>
                <xdr:colOff>485775</xdr:colOff>
                <xdr:row>6</xdr:row>
                <xdr:rowOff>9525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32AC-19C6-429F-86B2-00F6B6764E00}">
  <sheetPr codeName="Sheet5"/>
  <dimension ref="A1:X107"/>
  <sheetViews>
    <sheetView topLeftCell="A3" workbookViewId="0">
      <selection activeCell="D62" sqref="D62:U62"/>
    </sheetView>
  </sheetViews>
  <sheetFormatPr defaultRowHeight="13.5" x14ac:dyDescent="0.15"/>
  <cols>
    <col min="1" max="1" width="2.875" style="1" bestFit="1" customWidth="1"/>
    <col min="2" max="2" width="17.625" style="1" bestFit="1" customWidth="1"/>
    <col min="3" max="21" width="13" style="1" bestFit="1" customWidth="1"/>
    <col min="22" max="22" width="13.25" style="1" bestFit="1" customWidth="1"/>
    <col min="23" max="23" width="10" style="1" bestFit="1" customWidth="1"/>
    <col min="24" max="24" width="11" style="1" bestFit="1" customWidth="1"/>
    <col min="25" max="228" width="9" style="1"/>
    <col min="229" max="229" width="2.875" style="1" bestFit="1" customWidth="1"/>
    <col min="230" max="230" width="17.625" style="1" bestFit="1" customWidth="1"/>
    <col min="231" max="231" width="11.375" style="1" bestFit="1" customWidth="1"/>
    <col min="232" max="233" width="14.125" style="1" bestFit="1" customWidth="1"/>
    <col min="234" max="234" width="11.375" style="1" bestFit="1" customWidth="1"/>
    <col min="235" max="237" width="12.5" style="1" bestFit="1" customWidth="1"/>
    <col min="238" max="238" width="11" style="1" bestFit="1" customWidth="1"/>
    <col min="239" max="257" width="13" style="1" bestFit="1" customWidth="1"/>
    <col min="258" max="261" width="11" style="1" bestFit="1" customWidth="1"/>
    <col min="262" max="264" width="12.25" style="1" bestFit="1" customWidth="1"/>
    <col min="265" max="277" width="11" style="1" bestFit="1" customWidth="1"/>
    <col min="278" max="278" width="13.25" style="1" bestFit="1" customWidth="1"/>
    <col min="279" max="279" width="10" style="1" bestFit="1" customWidth="1"/>
    <col min="280" max="280" width="11" style="1" bestFit="1" customWidth="1"/>
    <col min="281" max="484" width="9" style="1"/>
    <col min="485" max="485" width="2.875" style="1" bestFit="1" customWidth="1"/>
    <col min="486" max="486" width="17.625" style="1" bestFit="1" customWidth="1"/>
    <col min="487" max="487" width="11.375" style="1" bestFit="1" customWidth="1"/>
    <col min="488" max="489" width="14.125" style="1" bestFit="1" customWidth="1"/>
    <col min="490" max="490" width="11.375" style="1" bestFit="1" customWidth="1"/>
    <col min="491" max="493" width="12.5" style="1" bestFit="1" customWidth="1"/>
    <col min="494" max="494" width="11" style="1" bestFit="1" customWidth="1"/>
    <col min="495" max="513" width="13" style="1" bestFit="1" customWidth="1"/>
    <col min="514" max="517" width="11" style="1" bestFit="1" customWidth="1"/>
    <col min="518" max="520" width="12.25" style="1" bestFit="1" customWidth="1"/>
    <col min="521" max="533" width="11" style="1" bestFit="1" customWidth="1"/>
    <col min="534" max="534" width="13.25" style="1" bestFit="1" customWidth="1"/>
    <col min="535" max="535" width="10" style="1" bestFit="1" customWidth="1"/>
    <col min="536" max="536" width="11" style="1" bestFit="1" customWidth="1"/>
    <col min="537" max="740" width="9" style="1"/>
    <col min="741" max="741" width="2.875" style="1" bestFit="1" customWidth="1"/>
    <col min="742" max="742" width="17.625" style="1" bestFit="1" customWidth="1"/>
    <col min="743" max="743" width="11.375" style="1" bestFit="1" customWidth="1"/>
    <col min="744" max="745" width="14.125" style="1" bestFit="1" customWidth="1"/>
    <col min="746" max="746" width="11.375" style="1" bestFit="1" customWidth="1"/>
    <col min="747" max="749" width="12.5" style="1" bestFit="1" customWidth="1"/>
    <col min="750" max="750" width="11" style="1" bestFit="1" customWidth="1"/>
    <col min="751" max="769" width="13" style="1" bestFit="1" customWidth="1"/>
    <col min="770" max="773" width="11" style="1" bestFit="1" customWidth="1"/>
    <col min="774" max="776" width="12.25" style="1" bestFit="1" customWidth="1"/>
    <col min="777" max="789" width="11" style="1" bestFit="1" customWidth="1"/>
    <col min="790" max="790" width="13.25" style="1" bestFit="1" customWidth="1"/>
    <col min="791" max="791" width="10" style="1" bestFit="1" customWidth="1"/>
    <col min="792" max="792" width="11" style="1" bestFit="1" customWidth="1"/>
    <col min="793" max="996" width="9" style="1"/>
    <col min="997" max="997" width="2.875" style="1" bestFit="1" customWidth="1"/>
    <col min="998" max="998" width="17.625" style="1" bestFit="1" customWidth="1"/>
    <col min="999" max="999" width="11.375" style="1" bestFit="1" customWidth="1"/>
    <col min="1000" max="1001" width="14.125" style="1" bestFit="1" customWidth="1"/>
    <col min="1002" max="1002" width="11.375" style="1" bestFit="1" customWidth="1"/>
    <col min="1003" max="1005" width="12.5" style="1" bestFit="1" customWidth="1"/>
    <col min="1006" max="1006" width="11" style="1" bestFit="1" customWidth="1"/>
    <col min="1007" max="1025" width="13" style="1" bestFit="1" customWidth="1"/>
    <col min="1026" max="1029" width="11" style="1" bestFit="1" customWidth="1"/>
    <col min="1030" max="1032" width="12.25" style="1" bestFit="1" customWidth="1"/>
    <col min="1033" max="1045" width="11" style="1" bestFit="1" customWidth="1"/>
    <col min="1046" max="1046" width="13.25" style="1" bestFit="1" customWidth="1"/>
    <col min="1047" max="1047" width="10" style="1" bestFit="1" customWidth="1"/>
    <col min="1048" max="1048" width="11" style="1" bestFit="1" customWidth="1"/>
    <col min="1049" max="1252" width="9" style="1"/>
    <col min="1253" max="1253" width="2.875" style="1" bestFit="1" customWidth="1"/>
    <col min="1254" max="1254" width="17.625" style="1" bestFit="1" customWidth="1"/>
    <col min="1255" max="1255" width="11.375" style="1" bestFit="1" customWidth="1"/>
    <col min="1256" max="1257" width="14.125" style="1" bestFit="1" customWidth="1"/>
    <col min="1258" max="1258" width="11.375" style="1" bestFit="1" customWidth="1"/>
    <col min="1259" max="1261" width="12.5" style="1" bestFit="1" customWidth="1"/>
    <col min="1262" max="1262" width="11" style="1" bestFit="1" customWidth="1"/>
    <col min="1263" max="1281" width="13" style="1" bestFit="1" customWidth="1"/>
    <col min="1282" max="1285" width="11" style="1" bestFit="1" customWidth="1"/>
    <col min="1286" max="1288" width="12.25" style="1" bestFit="1" customWidth="1"/>
    <col min="1289" max="1301" width="11" style="1" bestFit="1" customWidth="1"/>
    <col min="1302" max="1302" width="13.25" style="1" bestFit="1" customWidth="1"/>
    <col min="1303" max="1303" width="10" style="1" bestFit="1" customWidth="1"/>
    <col min="1304" max="1304" width="11" style="1" bestFit="1" customWidth="1"/>
    <col min="1305" max="1508" width="9" style="1"/>
    <col min="1509" max="1509" width="2.875" style="1" bestFit="1" customWidth="1"/>
    <col min="1510" max="1510" width="17.625" style="1" bestFit="1" customWidth="1"/>
    <col min="1511" max="1511" width="11.375" style="1" bestFit="1" customWidth="1"/>
    <col min="1512" max="1513" width="14.125" style="1" bestFit="1" customWidth="1"/>
    <col min="1514" max="1514" width="11.375" style="1" bestFit="1" customWidth="1"/>
    <col min="1515" max="1517" width="12.5" style="1" bestFit="1" customWidth="1"/>
    <col min="1518" max="1518" width="11" style="1" bestFit="1" customWidth="1"/>
    <col min="1519" max="1537" width="13" style="1" bestFit="1" customWidth="1"/>
    <col min="1538" max="1541" width="11" style="1" bestFit="1" customWidth="1"/>
    <col min="1542" max="1544" width="12.25" style="1" bestFit="1" customWidth="1"/>
    <col min="1545" max="1557" width="11" style="1" bestFit="1" customWidth="1"/>
    <col min="1558" max="1558" width="13.25" style="1" bestFit="1" customWidth="1"/>
    <col min="1559" max="1559" width="10" style="1" bestFit="1" customWidth="1"/>
    <col min="1560" max="1560" width="11" style="1" bestFit="1" customWidth="1"/>
    <col min="1561" max="1764" width="9" style="1"/>
    <col min="1765" max="1765" width="2.875" style="1" bestFit="1" customWidth="1"/>
    <col min="1766" max="1766" width="17.625" style="1" bestFit="1" customWidth="1"/>
    <col min="1767" max="1767" width="11.375" style="1" bestFit="1" customWidth="1"/>
    <col min="1768" max="1769" width="14.125" style="1" bestFit="1" customWidth="1"/>
    <col min="1770" max="1770" width="11.375" style="1" bestFit="1" customWidth="1"/>
    <col min="1771" max="1773" width="12.5" style="1" bestFit="1" customWidth="1"/>
    <col min="1774" max="1774" width="11" style="1" bestFit="1" customWidth="1"/>
    <col min="1775" max="1793" width="13" style="1" bestFit="1" customWidth="1"/>
    <col min="1794" max="1797" width="11" style="1" bestFit="1" customWidth="1"/>
    <col min="1798" max="1800" width="12.25" style="1" bestFit="1" customWidth="1"/>
    <col min="1801" max="1813" width="11" style="1" bestFit="1" customWidth="1"/>
    <col min="1814" max="1814" width="13.25" style="1" bestFit="1" customWidth="1"/>
    <col min="1815" max="1815" width="10" style="1" bestFit="1" customWidth="1"/>
    <col min="1816" max="1816" width="11" style="1" bestFit="1" customWidth="1"/>
    <col min="1817" max="2020" width="9" style="1"/>
    <col min="2021" max="2021" width="2.875" style="1" bestFit="1" customWidth="1"/>
    <col min="2022" max="2022" width="17.625" style="1" bestFit="1" customWidth="1"/>
    <col min="2023" max="2023" width="11.375" style="1" bestFit="1" customWidth="1"/>
    <col min="2024" max="2025" width="14.125" style="1" bestFit="1" customWidth="1"/>
    <col min="2026" max="2026" width="11.375" style="1" bestFit="1" customWidth="1"/>
    <col min="2027" max="2029" width="12.5" style="1" bestFit="1" customWidth="1"/>
    <col min="2030" max="2030" width="11" style="1" bestFit="1" customWidth="1"/>
    <col min="2031" max="2049" width="13" style="1" bestFit="1" customWidth="1"/>
    <col min="2050" max="2053" width="11" style="1" bestFit="1" customWidth="1"/>
    <col min="2054" max="2056" width="12.25" style="1" bestFit="1" customWidth="1"/>
    <col min="2057" max="2069" width="11" style="1" bestFit="1" customWidth="1"/>
    <col min="2070" max="2070" width="13.25" style="1" bestFit="1" customWidth="1"/>
    <col min="2071" max="2071" width="10" style="1" bestFit="1" customWidth="1"/>
    <col min="2072" max="2072" width="11" style="1" bestFit="1" customWidth="1"/>
    <col min="2073" max="2276" width="9" style="1"/>
    <col min="2277" max="2277" width="2.875" style="1" bestFit="1" customWidth="1"/>
    <col min="2278" max="2278" width="17.625" style="1" bestFit="1" customWidth="1"/>
    <col min="2279" max="2279" width="11.375" style="1" bestFit="1" customWidth="1"/>
    <col min="2280" max="2281" width="14.125" style="1" bestFit="1" customWidth="1"/>
    <col min="2282" max="2282" width="11.375" style="1" bestFit="1" customWidth="1"/>
    <col min="2283" max="2285" width="12.5" style="1" bestFit="1" customWidth="1"/>
    <col min="2286" max="2286" width="11" style="1" bestFit="1" customWidth="1"/>
    <col min="2287" max="2305" width="13" style="1" bestFit="1" customWidth="1"/>
    <col min="2306" max="2309" width="11" style="1" bestFit="1" customWidth="1"/>
    <col min="2310" max="2312" width="12.25" style="1" bestFit="1" customWidth="1"/>
    <col min="2313" max="2325" width="11" style="1" bestFit="1" customWidth="1"/>
    <col min="2326" max="2326" width="13.25" style="1" bestFit="1" customWidth="1"/>
    <col min="2327" max="2327" width="10" style="1" bestFit="1" customWidth="1"/>
    <col min="2328" max="2328" width="11" style="1" bestFit="1" customWidth="1"/>
    <col min="2329" max="2532" width="9" style="1"/>
    <col min="2533" max="2533" width="2.875" style="1" bestFit="1" customWidth="1"/>
    <col min="2534" max="2534" width="17.625" style="1" bestFit="1" customWidth="1"/>
    <col min="2535" max="2535" width="11.375" style="1" bestFit="1" customWidth="1"/>
    <col min="2536" max="2537" width="14.125" style="1" bestFit="1" customWidth="1"/>
    <col min="2538" max="2538" width="11.375" style="1" bestFit="1" customWidth="1"/>
    <col min="2539" max="2541" width="12.5" style="1" bestFit="1" customWidth="1"/>
    <col min="2542" max="2542" width="11" style="1" bestFit="1" customWidth="1"/>
    <col min="2543" max="2561" width="13" style="1" bestFit="1" customWidth="1"/>
    <col min="2562" max="2565" width="11" style="1" bestFit="1" customWidth="1"/>
    <col min="2566" max="2568" width="12.25" style="1" bestFit="1" customWidth="1"/>
    <col min="2569" max="2581" width="11" style="1" bestFit="1" customWidth="1"/>
    <col min="2582" max="2582" width="13.25" style="1" bestFit="1" customWidth="1"/>
    <col min="2583" max="2583" width="10" style="1" bestFit="1" customWidth="1"/>
    <col min="2584" max="2584" width="11" style="1" bestFit="1" customWidth="1"/>
    <col min="2585" max="2788" width="9" style="1"/>
    <col min="2789" max="2789" width="2.875" style="1" bestFit="1" customWidth="1"/>
    <col min="2790" max="2790" width="17.625" style="1" bestFit="1" customWidth="1"/>
    <col min="2791" max="2791" width="11.375" style="1" bestFit="1" customWidth="1"/>
    <col min="2792" max="2793" width="14.125" style="1" bestFit="1" customWidth="1"/>
    <col min="2794" max="2794" width="11.375" style="1" bestFit="1" customWidth="1"/>
    <col min="2795" max="2797" width="12.5" style="1" bestFit="1" customWidth="1"/>
    <col min="2798" max="2798" width="11" style="1" bestFit="1" customWidth="1"/>
    <col min="2799" max="2817" width="13" style="1" bestFit="1" customWidth="1"/>
    <col min="2818" max="2821" width="11" style="1" bestFit="1" customWidth="1"/>
    <col min="2822" max="2824" width="12.25" style="1" bestFit="1" customWidth="1"/>
    <col min="2825" max="2837" width="11" style="1" bestFit="1" customWidth="1"/>
    <col min="2838" max="2838" width="13.25" style="1" bestFit="1" customWidth="1"/>
    <col min="2839" max="2839" width="10" style="1" bestFit="1" customWidth="1"/>
    <col min="2840" max="2840" width="11" style="1" bestFit="1" customWidth="1"/>
    <col min="2841" max="3044" width="9" style="1"/>
    <col min="3045" max="3045" width="2.875" style="1" bestFit="1" customWidth="1"/>
    <col min="3046" max="3046" width="17.625" style="1" bestFit="1" customWidth="1"/>
    <col min="3047" max="3047" width="11.375" style="1" bestFit="1" customWidth="1"/>
    <col min="3048" max="3049" width="14.125" style="1" bestFit="1" customWidth="1"/>
    <col min="3050" max="3050" width="11.375" style="1" bestFit="1" customWidth="1"/>
    <col min="3051" max="3053" width="12.5" style="1" bestFit="1" customWidth="1"/>
    <col min="3054" max="3054" width="11" style="1" bestFit="1" customWidth="1"/>
    <col min="3055" max="3073" width="13" style="1" bestFit="1" customWidth="1"/>
    <col min="3074" max="3077" width="11" style="1" bestFit="1" customWidth="1"/>
    <col min="3078" max="3080" width="12.25" style="1" bestFit="1" customWidth="1"/>
    <col min="3081" max="3093" width="11" style="1" bestFit="1" customWidth="1"/>
    <col min="3094" max="3094" width="13.25" style="1" bestFit="1" customWidth="1"/>
    <col min="3095" max="3095" width="10" style="1" bestFit="1" customWidth="1"/>
    <col min="3096" max="3096" width="11" style="1" bestFit="1" customWidth="1"/>
    <col min="3097" max="3300" width="9" style="1"/>
    <col min="3301" max="3301" width="2.875" style="1" bestFit="1" customWidth="1"/>
    <col min="3302" max="3302" width="17.625" style="1" bestFit="1" customWidth="1"/>
    <col min="3303" max="3303" width="11.375" style="1" bestFit="1" customWidth="1"/>
    <col min="3304" max="3305" width="14.125" style="1" bestFit="1" customWidth="1"/>
    <col min="3306" max="3306" width="11.375" style="1" bestFit="1" customWidth="1"/>
    <col min="3307" max="3309" width="12.5" style="1" bestFit="1" customWidth="1"/>
    <col min="3310" max="3310" width="11" style="1" bestFit="1" customWidth="1"/>
    <col min="3311" max="3329" width="13" style="1" bestFit="1" customWidth="1"/>
    <col min="3330" max="3333" width="11" style="1" bestFit="1" customWidth="1"/>
    <col min="3334" max="3336" width="12.25" style="1" bestFit="1" customWidth="1"/>
    <col min="3337" max="3349" width="11" style="1" bestFit="1" customWidth="1"/>
    <col min="3350" max="3350" width="13.25" style="1" bestFit="1" customWidth="1"/>
    <col min="3351" max="3351" width="10" style="1" bestFit="1" customWidth="1"/>
    <col min="3352" max="3352" width="11" style="1" bestFit="1" customWidth="1"/>
    <col min="3353" max="3556" width="9" style="1"/>
    <col min="3557" max="3557" width="2.875" style="1" bestFit="1" customWidth="1"/>
    <col min="3558" max="3558" width="17.625" style="1" bestFit="1" customWidth="1"/>
    <col min="3559" max="3559" width="11.375" style="1" bestFit="1" customWidth="1"/>
    <col min="3560" max="3561" width="14.125" style="1" bestFit="1" customWidth="1"/>
    <col min="3562" max="3562" width="11.375" style="1" bestFit="1" customWidth="1"/>
    <col min="3563" max="3565" width="12.5" style="1" bestFit="1" customWidth="1"/>
    <col min="3566" max="3566" width="11" style="1" bestFit="1" customWidth="1"/>
    <col min="3567" max="3585" width="13" style="1" bestFit="1" customWidth="1"/>
    <col min="3586" max="3589" width="11" style="1" bestFit="1" customWidth="1"/>
    <col min="3590" max="3592" width="12.25" style="1" bestFit="1" customWidth="1"/>
    <col min="3593" max="3605" width="11" style="1" bestFit="1" customWidth="1"/>
    <col min="3606" max="3606" width="13.25" style="1" bestFit="1" customWidth="1"/>
    <col min="3607" max="3607" width="10" style="1" bestFit="1" customWidth="1"/>
    <col min="3608" max="3608" width="11" style="1" bestFit="1" customWidth="1"/>
    <col min="3609" max="3812" width="9" style="1"/>
    <col min="3813" max="3813" width="2.875" style="1" bestFit="1" customWidth="1"/>
    <col min="3814" max="3814" width="17.625" style="1" bestFit="1" customWidth="1"/>
    <col min="3815" max="3815" width="11.375" style="1" bestFit="1" customWidth="1"/>
    <col min="3816" max="3817" width="14.125" style="1" bestFit="1" customWidth="1"/>
    <col min="3818" max="3818" width="11.375" style="1" bestFit="1" customWidth="1"/>
    <col min="3819" max="3821" width="12.5" style="1" bestFit="1" customWidth="1"/>
    <col min="3822" max="3822" width="11" style="1" bestFit="1" customWidth="1"/>
    <col min="3823" max="3841" width="13" style="1" bestFit="1" customWidth="1"/>
    <col min="3842" max="3845" width="11" style="1" bestFit="1" customWidth="1"/>
    <col min="3846" max="3848" width="12.25" style="1" bestFit="1" customWidth="1"/>
    <col min="3849" max="3861" width="11" style="1" bestFit="1" customWidth="1"/>
    <col min="3862" max="3862" width="13.25" style="1" bestFit="1" customWidth="1"/>
    <col min="3863" max="3863" width="10" style="1" bestFit="1" customWidth="1"/>
    <col min="3864" max="3864" width="11" style="1" bestFit="1" customWidth="1"/>
    <col min="3865" max="4068" width="9" style="1"/>
    <col min="4069" max="4069" width="2.875" style="1" bestFit="1" customWidth="1"/>
    <col min="4070" max="4070" width="17.625" style="1" bestFit="1" customWidth="1"/>
    <col min="4071" max="4071" width="11.375" style="1" bestFit="1" customWidth="1"/>
    <col min="4072" max="4073" width="14.125" style="1" bestFit="1" customWidth="1"/>
    <col min="4074" max="4074" width="11.375" style="1" bestFit="1" customWidth="1"/>
    <col min="4075" max="4077" width="12.5" style="1" bestFit="1" customWidth="1"/>
    <col min="4078" max="4078" width="11" style="1" bestFit="1" customWidth="1"/>
    <col min="4079" max="4097" width="13" style="1" bestFit="1" customWidth="1"/>
    <col min="4098" max="4101" width="11" style="1" bestFit="1" customWidth="1"/>
    <col min="4102" max="4104" width="12.25" style="1" bestFit="1" customWidth="1"/>
    <col min="4105" max="4117" width="11" style="1" bestFit="1" customWidth="1"/>
    <col min="4118" max="4118" width="13.25" style="1" bestFit="1" customWidth="1"/>
    <col min="4119" max="4119" width="10" style="1" bestFit="1" customWidth="1"/>
    <col min="4120" max="4120" width="11" style="1" bestFit="1" customWidth="1"/>
    <col min="4121" max="4324" width="9" style="1"/>
    <col min="4325" max="4325" width="2.875" style="1" bestFit="1" customWidth="1"/>
    <col min="4326" max="4326" width="17.625" style="1" bestFit="1" customWidth="1"/>
    <col min="4327" max="4327" width="11.375" style="1" bestFit="1" customWidth="1"/>
    <col min="4328" max="4329" width="14.125" style="1" bestFit="1" customWidth="1"/>
    <col min="4330" max="4330" width="11.375" style="1" bestFit="1" customWidth="1"/>
    <col min="4331" max="4333" width="12.5" style="1" bestFit="1" customWidth="1"/>
    <col min="4334" max="4334" width="11" style="1" bestFit="1" customWidth="1"/>
    <col min="4335" max="4353" width="13" style="1" bestFit="1" customWidth="1"/>
    <col min="4354" max="4357" width="11" style="1" bestFit="1" customWidth="1"/>
    <col min="4358" max="4360" width="12.25" style="1" bestFit="1" customWidth="1"/>
    <col min="4361" max="4373" width="11" style="1" bestFit="1" customWidth="1"/>
    <col min="4374" max="4374" width="13.25" style="1" bestFit="1" customWidth="1"/>
    <col min="4375" max="4375" width="10" style="1" bestFit="1" customWidth="1"/>
    <col min="4376" max="4376" width="11" style="1" bestFit="1" customWidth="1"/>
    <col min="4377" max="4580" width="9" style="1"/>
    <col min="4581" max="4581" width="2.875" style="1" bestFit="1" customWidth="1"/>
    <col min="4582" max="4582" width="17.625" style="1" bestFit="1" customWidth="1"/>
    <col min="4583" max="4583" width="11.375" style="1" bestFit="1" customWidth="1"/>
    <col min="4584" max="4585" width="14.125" style="1" bestFit="1" customWidth="1"/>
    <col min="4586" max="4586" width="11.375" style="1" bestFit="1" customWidth="1"/>
    <col min="4587" max="4589" width="12.5" style="1" bestFit="1" customWidth="1"/>
    <col min="4590" max="4590" width="11" style="1" bestFit="1" customWidth="1"/>
    <col min="4591" max="4609" width="13" style="1" bestFit="1" customWidth="1"/>
    <col min="4610" max="4613" width="11" style="1" bestFit="1" customWidth="1"/>
    <col min="4614" max="4616" width="12.25" style="1" bestFit="1" customWidth="1"/>
    <col min="4617" max="4629" width="11" style="1" bestFit="1" customWidth="1"/>
    <col min="4630" max="4630" width="13.25" style="1" bestFit="1" customWidth="1"/>
    <col min="4631" max="4631" width="10" style="1" bestFit="1" customWidth="1"/>
    <col min="4632" max="4632" width="11" style="1" bestFit="1" customWidth="1"/>
    <col min="4633" max="4836" width="9" style="1"/>
    <col min="4837" max="4837" width="2.875" style="1" bestFit="1" customWidth="1"/>
    <col min="4838" max="4838" width="17.625" style="1" bestFit="1" customWidth="1"/>
    <col min="4839" max="4839" width="11.375" style="1" bestFit="1" customWidth="1"/>
    <col min="4840" max="4841" width="14.125" style="1" bestFit="1" customWidth="1"/>
    <col min="4842" max="4842" width="11.375" style="1" bestFit="1" customWidth="1"/>
    <col min="4843" max="4845" width="12.5" style="1" bestFit="1" customWidth="1"/>
    <col min="4846" max="4846" width="11" style="1" bestFit="1" customWidth="1"/>
    <col min="4847" max="4865" width="13" style="1" bestFit="1" customWidth="1"/>
    <col min="4866" max="4869" width="11" style="1" bestFit="1" customWidth="1"/>
    <col min="4870" max="4872" width="12.25" style="1" bestFit="1" customWidth="1"/>
    <col min="4873" max="4885" width="11" style="1" bestFit="1" customWidth="1"/>
    <col min="4886" max="4886" width="13.25" style="1" bestFit="1" customWidth="1"/>
    <col min="4887" max="4887" width="10" style="1" bestFit="1" customWidth="1"/>
    <col min="4888" max="4888" width="11" style="1" bestFit="1" customWidth="1"/>
    <col min="4889" max="5092" width="9" style="1"/>
    <col min="5093" max="5093" width="2.875" style="1" bestFit="1" customWidth="1"/>
    <col min="5094" max="5094" width="17.625" style="1" bestFit="1" customWidth="1"/>
    <col min="5095" max="5095" width="11.375" style="1" bestFit="1" customWidth="1"/>
    <col min="5096" max="5097" width="14.125" style="1" bestFit="1" customWidth="1"/>
    <col min="5098" max="5098" width="11.375" style="1" bestFit="1" customWidth="1"/>
    <col min="5099" max="5101" width="12.5" style="1" bestFit="1" customWidth="1"/>
    <col min="5102" max="5102" width="11" style="1" bestFit="1" customWidth="1"/>
    <col min="5103" max="5121" width="13" style="1" bestFit="1" customWidth="1"/>
    <col min="5122" max="5125" width="11" style="1" bestFit="1" customWidth="1"/>
    <col min="5126" max="5128" width="12.25" style="1" bestFit="1" customWidth="1"/>
    <col min="5129" max="5141" width="11" style="1" bestFit="1" customWidth="1"/>
    <col min="5142" max="5142" width="13.25" style="1" bestFit="1" customWidth="1"/>
    <col min="5143" max="5143" width="10" style="1" bestFit="1" customWidth="1"/>
    <col min="5144" max="5144" width="11" style="1" bestFit="1" customWidth="1"/>
    <col min="5145" max="5348" width="9" style="1"/>
    <col min="5349" max="5349" width="2.875" style="1" bestFit="1" customWidth="1"/>
    <col min="5350" max="5350" width="17.625" style="1" bestFit="1" customWidth="1"/>
    <col min="5351" max="5351" width="11.375" style="1" bestFit="1" customWidth="1"/>
    <col min="5352" max="5353" width="14.125" style="1" bestFit="1" customWidth="1"/>
    <col min="5354" max="5354" width="11.375" style="1" bestFit="1" customWidth="1"/>
    <col min="5355" max="5357" width="12.5" style="1" bestFit="1" customWidth="1"/>
    <col min="5358" max="5358" width="11" style="1" bestFit="1" customWidth="1"/>
    <col min="5359" max="5377" width="13" style="1" bestFit="1" customWidth="1"/>
    <col min="5378" max="5381" width="11" style="1" bestFit="1" customWidth="1"/>
    <col min="5382" max="5384" width="12.25" style="1" bestFit="1" customWidth="1"/>
    <col min="5385" max="5397" width="11" style="1" bestFit="1" customWidth="1"/>
    <col min="5398" max="5398" width="13.25" style="1" bestFit="1" customWidth="1"/>
    <col min="5399" max="5399" width="10" style="1" bestFit="1" customWidth="1"/>
    <col min="5400" max="5400" width="11" style="1" bestFit="1" customWidth="1"/>
    <col min="5401" max="5604" width="9" style="1"/>
    <col min="5605" max="5605" width="2.875" style="1" bestFit="1" customWidth="1"/>
    <col min="5606" max="5606" width="17.625" style="1" bestFit="1" customWidth="1"/>
    <col min="5607" max="5607" width="11.375" style="1" bestFit="1" customWidth="1"/>
    <col min="5608" max="5609" width="14.125" style="1" bestFit="1" customWidth="1"/>
    <col min="5610" max="5610" width="11.375" style="1" bestFit="1" customWidth="1"/>
    <col min="5611" max="5613" width="12.5" style="1" bestFit="1" customWidth="1"/>
    <col min="5614" max="5614" width="11" style="1" bestFit="1" customWidth="1"/>
    <col min="5615" max="5633" width="13" style="1" bestFit="1" customWidth="1"/>
    <col min="5634" max="5637" width="11" style="1" bestFit="1" customWidth="1"/>
    <col min="5638" max="5640" width="12.25" style="1" bestFit="1" customWidth="1"/>
    <col min="5641" max="5653" width="11" style="1" bestFit="1" customWidth="1"/>
    <col min="5654" max="5654" width="13.25" style="1" bestFit="1" customWidth="1"/>
    <col min="5655" max="5655" width="10" style="1" bestFit="1" customWidth="1"/>
    <col min="5656" max="5656" width="11" style="1" bestFit="1" customWidth="1"/>
    <col min="5657" max="5860" width="9" style="1"/>
    <col min="5861" max="5861" width="2.875" style="1" bestFit="1" customWidth="1"/>
    <col min="5862" max="5862" width="17.625" style="1" bestFit="1" customWidth="1"/>
    <col min="5863" max="5863" width="11.375" style="1" bestFit="1" customWidth="1"/>
    <col min="5864" max="5865" width="14.125" style="1" bestFit="1" customWidth="1"/>
    <col min="5866" max="5866" width="11.375" style="1" bestFit="1" customWidth="1"/>
    <col min="5867" max="5869" width="12.5" style="1" bestFit="1" customWidth="1"/>
    <col min="5870" max="5870" width="11" style="1" bestFit="1" customWidth="1"/>
    <col min="5871" max="5889" width="13" style="1" bestFit="1" customWidth="1"/>
    <col min="5890" max="5893" width="11" style="1" bestFit="1" customWidth="1"/>
    <col min="5894" max="5896" width="12.25" style="1" bestFit="1" customWidth="1"/>
    <col min="5897" max="5909" width="11" style="1" bestFit="1" customWidth="1"/>
    <col min="5910" max="5910" width="13.25" style="1" bestFit="1" customWidth="1"/>
    <col min="5911" max="5911" width="10" style="1" bestFit="1" customWidth="1"/>
    <col min="5912" max="5912" width="11" style="1" bestFit="1" customWidth="1"/>
    <col min="5913" max="6116" width="9" style="1"/>
    <col min="6117" max="6117" width="2.875" style="1" bestFit="1" customWidth="1"/>
    <col min="6118" max="6118" width="17.625" style="1" bestFit="1" customWidth="1"/>
    <col min="6119" max="6119" width="11.375" style="1" bestFit="1" customWidth="1"/>
    <col min="6120" max="6121" width="14.125" style="1" bestFit="1" customWidth="1"/>
    <col min="6122" max="6122" width="11.375" style="1" bestFit="1" customWidth="1"/>
    <col min="6123" max="6125" width="12.5" style="1" bestFit="1" customWidth="1"/>
    <col min="6126" max="6126" width="11" style="1" bestFit="1" customWidth="1"/>
    <col min="6127" max="6145" width="13" style="1" bestFit="1" customWidth="1"/>
    <col min="6146" max="6149" width="11" style="1" bestFit="1" customWidth="1"/>
    <col min="6150" max="6152" width="12.25" style="1" bestFit="1" customWidth="1"/>
    <col min="6153" max="6165" width="11" style="1" bestFit="1" customWidth="1"/>
    <col min="6166" max="6166" width="13.25" style="1" bestFit="1" customWidth="1"/>
    <col min="6167" max="6167" width="10" style="1" bestFit="1" customWidth="1"/>
    <col min="6168" max="6168" width="11" style="1" bestFit="1" customWidth="1"/>
    <col min="6169" max="6372" width="9" style="1"/>
    <col min="6373" max="6373" width="2.875" style="1" bestFit="1" customWidth="1"/>
    <col min="6374" max="6374" width="17.625" style="1" bestFit="1" customWidth="1"/>
    <col min="6375" max="6375" width="11.375" style="1" bestFit="1" customWidth="1"/>
    <col min="6376" max="6377" width="14.125" style="1" bestFit="1" customWidth="1"/>
    <col min="6378" max="6378" width="11.375" style="1" bestFit="1" customWidth="1"/>
    <col min="6379" max="6381" width="12.5" style="1" bestFit="1" customWidth="1"/>
    <col min="6382" max="6382" width="11" style="1" bestFit="1" customWidth="1"/>
    <col min="6383" max="6401" width="13" style="1" bestFit="1" customWidth="1"/>
    <col min="6402" max="6405" width="11" style="1" bestFit="1" customWidth="1"/>
    <col min="6406" max="6408" width="12.25" style="1" bestFit="1" customWidth="1"/>
    <col min="6409" max="6421" width="11" style="1" bestFit="1" customWidth="1"/>
    <col min="6422" max="6422" width="13.25" style="1" bestFit="1" customWidth="1"/>
    <col min="6423" max="6423" width="10" style="1" bestFit="1" customWidth="1"/>
    <col min="6424" max="6424" width="11" style="1" bestFit="1" customWidth="1"/>
    <col min="6425" max="6628" width="9" style="1"/>
    <col min="6629" max="6629" width="2.875" style="1" bestFit="1" customWidth="1"/>
    <col min="6630" max="6630" width="17.625" style="1" bestFit="1" customWidth="1"/>
    <col min="6631" max="6631" width="11.375" style="1" bestFit="1" customWidth="1"/>
    <col min="6632" max="6633" width="14.125" style="1" bestFit="1" customWidth="1"/>
    <col min="6634" max="6634" width="11.375" style="1" bestFit="1" customWidth="1"/>
    <col min="6635" max="6637" width="12.5" style="1" bestFit="1" customWidth="1"/>
    <col min="6638" max="6638" width="11" style="1" bestFit="1" customWidth="1"/>
    <col min="6639" max="6657" width="13" style="1" bestFit="1" customWidth="1"/>
    <col min="6658" max="6661" width="11" style="1" bestFit="1" customWidth="1"/>
    <col min="6662" max="6664" width="12.25" style="1" bestFit="1" customWidth="1"/>
    <col min="6665" max="6677" width="11" style="1" bestFit="1" customWidth="1"/>
    <col min="6678" max="6678" width="13.25" style="1" bestFit="1" customWidth="1"/>
    <col min="6679" max="6679" width="10" style="1" bestFit="1" customWidth="1"/>
    <col min="6680" max="6680" width="11" style="1" bestFit="1" customWidth="1"/>
    <col min="6681" max="6884" width="9" style="1"/>
    <col min="6885" max="6885" width="2.875" style="1" bestFit="1" customWidth="1"/>
    <col min="6886" max="6886" width="17.625" style="1" bestFit="1" customWidth="1"/>
    <col min="6887" max="6887" width="11.375" style="1" bestFit="1" customWidth="1"/>
    <col min="6888" max="6889" width="14.125" style="1" bestFit="1" customWidth="1"/>
    <col min="6890" max="6890" width="11.375" style="1" bestFit="1" customWidth="1"/>
    <col min="6891" max="6893" width="12.5" style="1" bestFit="1" customWidth="1"/>
    <col min="6894" max="6894" width="11" style="1" bestFit="1" customWidth="1"/>
    <col min="6895" max="6913" width="13" style="1" bestFit="1" customWidth="1"/>
    <col min="6914" max="6917" width="11" style="1" bestFit="1" customWidth="1"/>
    <col min="6918" max="6920" width="12.25" style="1" bestFit="1" customWidth="1"/>
    <col min="6921" max="6933" width="11" style="1" bestFit="1" customWidth="1"/>
    <col min="6934" max="6934" width="13.25" style="1" bestFit="1" customWidth="1"/>
    <col min="6935" max="6935" width="10" style="1" bestFit="1" customWidth="1"/>
    <col min="6936" max="6936" width="11" style="1" bestFit="1" customWidth="1"/>
    <col min="6937" max="7140" width="9" style="1"/>
    <col min="7141" max="7141" width="2.875" style="1" bestFit="1" customWidth="1"/>
    <col min="7142" max="7142" width="17.625" style="1" bestFit="1" customWidth="1"/>
    <col min="7143" max="7143" width="11.375" style="1" bestFit="1" customWidth="1"/>
    <col min="7144" max="7145" width="14.125" style="1" bestFit="1" customWidth="1"/>
    <col min="7146" max="7146" width="11.375" style="1" bestFit="1" customWidth="1"/>
    <col min="7147" max="7149" width="12.5" style="1" bestFit="1" customWidth="1"/>
    <col min="7150" max="7150" width="11" style="1" bestFit="1" customWidth="1"/>
    <col min="7151" max="7169" width="13" style="1" bestFit="1" customWidth="1"/>
    <col min="7170" max="7173" width="11" style="1" bestFit="1" customWidth="1"/>
    <col min="7174" max="7176" width="12.25" style="1" bestFit="1" customWidth="1"/>
    <col min="7177" max="7189" width="11" style="1" bestFit="1" customWidth="1"/>
    <col min="7190" max="7190" width="13.25" style="1" bestFit="1" customWidth="1"/>
    <col min="7191" max="7191" width="10" style="1" bestFit="1" customWidth="1"/>
    <col min="7192" max="7192" width="11" style="1" bestFit="1" customWidth="1"/>
    <col min="7193" max="7396" width="9" style="1"/>
    <col min="7397" max="7397" width="2.875" style="1" bestFit="1" customWidth="1"/>
    <col min="7398" max="7398" width="17.625" style="1" bestFit="1" customWidth="1"/>
    <col min="7399" max="7399" width="11.375" style="1" bestFit="1" customWidth="1"/>
    <col min="7400" max="7401" width="14.125" style="1" bestFit="1" customWidth="1"/>
    <col min="7402" max="7402" width="11.375" style="1" bestFit="1" customWidth="1"/>
    <col min="7403" max="7405" width="12.5" style="1" bestFit="1" customWidth="1"/>
    <col min="7406" max="7406" width="11" style="1" bestFit="1" customWidth="1"/>
    <col min="7407" max="7425" width="13" style="1" bestFit="1" customWidth="1"/>
    <col min="7426" max="7429" width="11" style="1" bestFit="1" customWidth="1"/>
    <col min="7430" max="7432" width="12.25" style="1" bestFit="1" customWidth="1"/>
    <col min="7433" max="7445" width="11" style="1" bestFit="1" customWidth="1"/>
    <col min="7446" max="7446" width="13.25" style="1" bestFit="1" customWidth="1"/>
    <col min="7447" max="7447" width="10" style="1" bestFit="1" customWidth="1"/>
    <col min="7448" max="7448" width="11" style="1" bestFit="1" customWidth="1"/>
    <col min="7449" max="7652" width="9" style="1"/>
    <col min="7653" max="7653" width="2.875" style="1" bestFit="1" customWidth="1"/>
    <col min="7654" max="7654" width="17.625" style="1" bestFit="1" customWidth="1"/>
    <col min="7655" max="7655" width="11.375" style="1" bestFit="1" customWidth="1"/>
    <col min="7656" max="7657" width="14.125" style="1" bestFit="1" customWidth="1"/>
    <col min="7658" max="7658" width="11.375" style="1" bestFit="1" customWidth="1"/>
    <col min="7659" max="7661" width="12.5" style="1" bestFit="1" customWidth="1"/>
    <col min="7662" max="7662" width="11" style="1" bestFit="1" customWidth="1"/>
    <col min="7663" max="7681" width="13" style="1" bestFit="1" customWidth="1"/>
    <col min="7682" max="7685" width="11" style="1" bestFit="1" customWidth="1"/>
    <col min="7686" max="7688" width="12.25" style="1" bestFit="1" customWidth="1"/>
    <col min="7689" max="7701" width="11" style="1" bestFit="1" customWidth="1"/>
    <col min="7702" max="7702" width="13.25" style="1" bestFit="1" customWidth="1"/>
    <col min="7703" max="7703" width="10" style="1" bestFit="1" customWidth="1"/>
    <col min="7704" max="7704" width="11" style="1" bestFit="1" customWidth="1"/>
    <col min="7705" max="7908" width="9" style="1"/>
    <col min="7909" max="7909" width="2.875" style="1" bestFit="1" customWidth="1"/>
    <col min="7910" max="7910" width="17.625" style="1" bestFit="1" customWidth="1"/>
    <col min="7911" max="7911" width="11.375" style="1" bestFit="1" customWidth="1"/>
    <col min="7912" max="7913" width="14.125" style="1" bestFit="1" customWidth="1"/>
    <col min="7914" max="7914" width="11.375" style="1" bestFit="1" customWidth="1"/>
    <col min="7915" max="7917" width="12.5" style="1" bestFit="1" customWidth="1"/>
    <col min="7918" max="7918" width="11" style="1" bestFit="1" customWidth="1"/>
    <col min="7919" max="7937" width="13" style="1" bestFit="1" customWidth="1"/>
    <col min="7938" max="7941" width="11" style="1" bestFit="1" customWidth="1"/>
    <col min="7942" max="7944" width="12.25" style="1" bestFit="1" customWidth="1"/>
    <col min="7945" max="7957" width="11" style="1" bestFit="1" customWidth="1"/>
    <col min="7958" max="7958" width="13.25" style="1" bestFit="1" customWidth="1"/>
    <col min="7959" max="7959" width="10" style="1" bestFit="1" customWidth="1"/>
    <col min="7960" max="7960" width="11" style="1" bestFit="1" customWidth="1"/>
    <col min="7961" max="8164" width="9" style="1"/>
    <col min="8165" max="8165" width="2.875" style="1" bestFit="1" customWidth="1"/>
    <col min="8166" max="8166" width="17.625" style="1" bestFit="1" customWidth="1"/>
    <col min="8167" max="8167" width="11.375" style="1" bestFit="1" customWidth="1"/>
    <col min="8168" max="8169" width="14.125" style="1" bestFit="1" customWidth="1"/>
    <col min="8170" max="8170" width="11.375" style="1" bestFit="1" customWidth="1"/>
    <col min="8171" max="8173" width="12.5" style="1" bestFit="1" customWidth="1"/>
    <col min="8174" max="8174" width="11" style="1" bestFit="1" customWidth="1"/>
    <col min="8175" max="8193" width="13" style="1" bestFit="1" customWidth="1"/>
    <col min="8194" max="8197" width="11" style="1" bestFit="1" customWidth="1"/>
    <col min="8198" max="8200" width="12.25" style="1" bestFit="1" customWidth="1"/>
    <col min="8201" max="8213" width="11" style="1" bestFit="1" customWidth="1"/>
    <col min="8214" max="8214" width="13.25" style="1" bestFit="1" customWidth="1"/>
    <col min="8215" max="8215" width="10" style="1" bestFit="1" customWidth="1"/>
    <col min="8216" max="8216" width="11" style="1" bestFit="1" customWidth="1"/>
    <col min="8217" max="8420" width="9" style="1"/>
    <col min="8421" max="8421" width="2.875" style="1" bestFit="1" customWidth="1"/>
    <col min="8422" max="8422" width="17.625" style="1" bestFit="1" customWidth="1"/>
    <col min="8423" max="8423" width="11.375" style="1" bestFit="1" customWidth="1"/>
    <col min="8424" max="8425" width="14.125" style="1" bestFit="1" customWidth="1"/>
    <col min="8426" max="8426" width="11.375" style="1" bestFit="1" customWidth="1"/>
    <col min="8427" max="8429" width="12.5" style="1" bestFit="1" customWidth="1"/>
    <col min="8430" max="8430" width="11" style="1" bestFit="1" customWidth="1"/>
    <col min="8431" max="8449" width="13" style="1" bestFit="1" customWidth="1"/>
    <col min="8450" max="8453" width="11" style="1" bestFit="1" customWidth="1"/>
    <col min="8454" max="8456" width="12.25" style="1" bestFit="1" customWidth="1"/>
    <col min="8457" max="8469" width="11" style="1" bestFit="1" customWidth="1"/>
    <col min="8470" max="8470" width="13.25" style="1" bestFit="1" customWidth="1"/>
    <col min="8471" max="8471" width="10" style="1" bestFit="1" customWidth="1"/>
    <col min="8472" max="8472" width="11" style="1" bestFit="1" customWidth="1"/>
    <col min="8473" max="8676" width="9" style="1"/>
    <col min="8677" max="8677" width="2.875" style="1" bestFit="1" customWidth="1"/>
    <col min="8678" max="8678" width="17.625" style="1" bestFit="1" customWidth="1"/>
    <col min="8679" max="8679" width="11.375" style="1" bestFit="1" customWidth="1"/>
    <col min="8680" max="8681" width="14.125" style="1" bestFit="1" customWidth="1"/>
    <col min="8682" max="8682" width="11.375" style="1" bestFit="1" customWidth="1"/>
    <col min="8683" max="8685" width="12.5" style="1" bestFit="1" customWidth="1"/>
    <col min="8686" max="8686" width="11" style="1" bestFit="1" customWidth="1"/>
    <col min="8687" max="8705" width="13" style="1" bestFit="1" customWidth="1"/>
    <col min="8706" max="8709" width="11" style="1" bestFit="1" customWidth="1"/>
    <col min="8710" max="8712" width="12.25" style="1" bestFit="1" customWidth="1"/>
    <col min="8713" max="8725" width="11" style="1" bestFit="1" customWidth="1"/>
    <col min="8726" max="8726" width="13.25" style="1" bestFit="1" customWidth="1"/>
    <col min="8727" max="8727" width="10" style="1" bestFit="1" customWidth="1"/>
    <col min="8728" max="8728" width="11" style="1" bestFit="1" customWidth="1"/>
    <col min="8729" max="8932" width="9" style="1"/>
    <col min="8933" max="8933" width="2.875" style="1" bestFit="1" customWidth="1"/>
    <col min="8934" max="8934" width="17.625" style="1" bestFit="1" customWidth="1"/>
    <col min="8935" max="8935" width="11.375" style="1" bestFit="1" customWidth="1"/>
    <col min="8936" max="8937" width="14.125" style="1" bestFit="1" customWidth="1"/>
    <col min="8938" max="8938" width="11.375" style="1" bestFit="1" customWidth="1"/>
    <col min="8939" max="8941" width="12.5" style="1" bestFit="1" customWidth="1"/>
    <col min="8942" max="8942" width="11" style="1" bestFit="1" customWidth="1"/>
    <col min="8943" max="8961" width="13" style="1" bestFit="1" customWidth="1"/>
    <col min="8962" max="8965" width="11" style="1" bestFit="1" customWidth="1"/>
    <col min="8966" max="8968" width="12.25" style="1" bestFit="1" customWidth="1"/>
    <col min="8969" max="8981" width="11" style="1" bestFit="1" customWidth="1"/>
    <col min="8982" max="8982" width="13.25" style="1" bestFit="1" customWidth="1"/>
    <col min="8983" max="8983" width="10" style="1" bestFit="1" customWidth="1"/>
    <col min="8984" max="8984" width="11" style="1" bestFit="1" customWidth="1"/>
    <col min="8985" max="9188" width="9" style="1"/>
    <col min="9189" max="9189" width="2.875" style="1" bestFit="1" customWidth="1"/>
    <col min="9190" max="9190" width="17.625" style="1" bestFit="1" customWidth="1"/>
    <col min="9191" max="9191" width="11.375" style="1" bestFit="1" customWidth="1"/>
    <col min="9192" max="9193" width="14.125" style="1" bestFit="1" customWidth="1"/>
    <col min="9194" max="9194" width="11.375" style="1" bestFit="1" customWidth="1"/>
    <col min="9195" max="9197" width="12.5" style="1" bestFit="1" customWidth="1"/>
    <col min="9198" max="9198" width="11" style="1" bestFit="1" customWidth="1"/>
    <col min="9199" max="9217" width="13" style="1" bestFit="1" customWidth="1"/>
    <col min="9218" max="9221" width="11" style="1" bestFit="1" customWidth="1"/>
    <col min="9222" max="9224" width="12.25" style="1" bestFit="1" customWidth="1"/>
    <col min="9225" max="9237" width="11" style="1" bestFit="1" customWidth="1"/>
    <col min="9238" max="9238" width="13.25" style="1" bestFit="1" customWidth="1"/>
    <col min="9239" max="9239" width="10" style="1" bestFit="1" customWidth="1"/>
    <col min="9240" max="9240" width="11" style="1" bestFit="1" customWidth="1"/>
    <col min="9241" max="9444" width="9" style="1"/>
    <col min="9445" max="9445" width="2.875" style="1" bestFit="1" customWidth="1"/>
    <col min="9446" max="9446" width="17.625" style="1" bestFit="1" customWidth="1"/>
    <col min="9447" max="9447" width="11.375" style="1" bestFit="1" customWidth="1"/>
    <col min="9448" max="9449" width="14.125" style="1" bestFit="1" customWidth="1"/>
    <col min="9450" max="9450" width="11.375" style="1" bestFit="1" customWidth="1"/>
    <col min="9451" max="9453" width="12.5" style="1" bestFit="1" customWidth="1"/>
    <col min="9454" max="9454" width="11" style="1" bestFit="1" customWidth="1"/>
    <col min="9455" max="9473" width="13" style="1" bestFit="1" customWidth="1"/>
    <col min="9474" max="9477" width="11" style="1" bestFit="1" customWidth="1"/>
    <col min="9478" max="9480" width="12.25" style="1" bestFit="1" customWidth="1"/>
    <col min="9481" max="9493" width="11" style="1" bestFit="1" customWidth="1"/>
    <col min="9494" max="9494" width="13.25" style="1" bestFit="1" customWidth="1"/>
    <col min="9495" max="9495" width="10" style="1" bestFit="1" customWidth="1"/>
    <col min="9496" max="9496" width="11" style="1" bestFit="1" customWidth="1"/>
    <col min="9497" max="9700" width="9" style="1"/>
    <col min="9701" max="9701" width="2.875" style="1" bestFit="1" customWidth="1"/>
    <col min="9702" max="9702" width="17.625" style="1" bestFit="1" customWidth="1"/>
    <col min="9703" max="9703" width="11.375" style="1" bestFit="1" customWidth="1"/>
    <col min="9704" max="9705" width="14.125" style="1" bestFit="1" customWidth="1"/>
    <col min="9706" max="9706" width="11.375" style="1" bestFit="1" customWidth="1"/>
    <col min="9707" max="9709" width="12.5" style="1" bestFit="1" customWidth="1"/>
    <col min="9710" max="9710" width="11" style="1" bestFit="1" customWidth="1"/>
    <col min="9711" max="9729" width="13" style="1" bestFit="1" customWidth="1"/>
    <col min="9730" max="9733" width="11" style="1" bestFit="1" customWidth="1"/>
    <col min="9734" max="9736" width="12.25" style="1" bestFit="1" customWidth="1"/>
    <col min="9737" max="9749" width="11" style="1" bestFit="1" customWidth="1"/>
    <col min="9750" max="9750" width="13.25" style="1" bestFit="1" customWidth="1"/>
    <col min="9751" max="9751" width="10" style="1" bestFit="1" customWidth="1"/>
    <col min="9752" max="9752" width="11" style="1" bestFit="1" customWidth="1"/>
    <col min="9753" max="9956" width="9" style="1"/>
    <col min="9957" max="9957" width="2.875" style="1" bestFit="1" customWidth="1"/>
    <col min="9958" max="9958" width="17.625" style="1" bestFit="1" customWidth="1"/>
    <col min="9959" max="9959" width="11.375" style="1" bestFit="1" customWidth="1"/>
    <col min="9960" max="9961" width="14.125" style="1" bestFit="1" customWidth="1"/>
    <col min="9962" max="9962" width="11.375" style="1" bestFit="1" customWidth="1"/>
    <col min="9963" max="9965" width="12.5" style="1" bestFit="1" customWidth="1"/>
    <col min="9966" max="9966" width="11" style="1" bestFit="1" customWidth="1"/>
    <col min="9967" max="9985" width="13" style="1" bestFit="1" customWidth="1"/>
    <col min="9986" max="9989" width="11" style="1" bestFit="1" customWidth="1"/>
    <col min="9990" max="9992" width="12.25" style="1" bestFit="1" customWidth="1"/>
    <col min="9993" max="10005" width="11" style="1" bestFit="1" customWidth="1"/>
    <col min="10006" max="10006" width="13.25" style="1" bestFit="1" customWidth="1"/>
    <col min="10007" max="10007" width="10" style="1" bestFit="1" customWidth="1"/>
    <col min="10008" max="10008" width="11" style="1" bestFit="1" customWidth="1"/>
    <col min="10009" max="10212" width="9" style="1"/>
    <col min="10213" max="10213" width="2.875" style="1" bestFit="1" customWidth="1"/>
    <col min="10214" max="10214" width="17.625" style="1" bestFit="1" customWidth="1"/>
    <col min="10215" max="10215" width="11.375" style="1" bestFit="1" customWidth="1"/>
    <col min="10216" max="10217" width="14.125" style="1" bestFit="1" customWidth="1"/>
    <col min="10218" max="10218" width="11.375" style="1" bestFit="1" customWidth="1"/>
    <col min="10219" max="10221" width="12.5" style="1" bestFit="1" customWidth="1"/>
    <col min="10222" max="10222" width="11" style="1" bestFit="1" customWidth="1"/>
    <col min="10223" max="10241" width="13" style="1" bestFit="1" customWidth="1"/>
    <col min="10242" max="10245" width="11" style="1" bestFit="1" customWidth="1"/>
    <col min="10246" max="10248" width="12.25" style="1" bestFit="1" customWidth="1"/>
    <col min="10249" max="10261" width="11" style="1" bestFit="1" customWidth="1"/>
    <col min="10262" max="10262" width="13.25" style="1" bestFit="1" customWidth="1"/>
    <col min="10263" max="10263" width="10" style="1" bestFit="1" customWidth="1"/>
    <col min="10264" max="10264" width="11" style="1" bestFit="1" customWidth="1"/>
    <col min="10265" max="10468" width="9" style="1"/>
    <col min="10469" max="10469" width="2.875" style="1" bestFit="1" customWidth="1"/>
    <col min="10470" max="10470" width="17.625" style="1" bestFit="1" customWidth="1"/>
    <col min="10471" max="10471" width="11.375" style="1" bestFit="1" customWidth="1"/>
    <col min="10472" max="10473" width="14.125" style="1" bestFit="1" customWidth="1"/>
    <col min="10474" max="10474" width="11.375" style="1" bestFit="1" customWidth="1"/>
    <col min="10475" max="10477" width="12.5" style="1" bestFit="1" customWidth="1"/>
    <col min="10478" max="10478" width="11" style="1" bestFit="1" customWidth="1"/>
    <col min="10479" max="10497" width="13" style="1" bestFit="1" customWidth="1"/>
    <col min="10498" max="10501" width="11" style="1" bestFit="1" customWidth="1"/>
    <col min="10502" max="10504" width="12.25" style="1" bestFit="1" customWidth="1"/>
    <col min="10505" max="10517" width="11" style="1" bestFit="1" customWidth="1"/>
    <col min="10518" max="10518" width="13.25" style="1" bestFit="1" customWidth="1"/>
    <col min="10519" max="10519" width="10" style="1" bestFit="1" customWidth="1"/>
    <col min="10520" max="10520" width="11" style="1" bestFit="1" customWidth="1"/>
    <col min="10521" max="10724" width="9" style="1"/>
    <col min="10725" max="10725" width="2.875" style="1" bestFit="1" customWidth="1"/>
    <col min="10726" max="10726" width="17.625" style="1" bestFit="1" customWidth="1"/>
    <col min="10727" max="10727" width="11.375" style="1" bestFit="1" customWidth="1"/>
    <col min="10728" max="10729" width="14.125" style="1" bestFit="1" customWidth="1"/>
    <col min="10730" max="10730" width="11.375" style="1" bestFit="1" customWidth="1"/>
    <col min="10731" max="10733" width="12.5" style="1" bestFit="1" customWidth="1"/>
    <col min="10734" max="10734" width="11" style="1" bestFit="1" customWidth="1"/>
    <col min="10735" max="10753" width="13" style="1" bestFit="1" customWidth="1"/>
    <col min="10754" max="10757" width="11" style="1" bestFit="1" customWidth="1"/>
    <col min="10758" max="10760" width="12.25" style="1" bestFit="1" customWidth="1"/>
    <col min="10761" max="10773" width="11" style="1" bestFit="1" customWidth="1"/>
    <col min="10774" max="10774" width="13.25" style="1" bestFit="1" customWidth="1"/>
    <col min="10775" max="10775" width="10" style="1" bestFit="1" customWidth="1"/>
    <col min="10776" max="10776" width="11" style="1" bestFit="1" customWidth="1"/>
    <col min="10777" max="10980" width="9" style="1"/>
    <col min="10981" max="10981" width="2.875" style="1" bestFit="1" customWidth="1"/>
    <col min="10982" max="10982" width="17.625" style="1" bestFit="1" customWidth="1"/>
    <col min="10983" max="10983" width="11.375" style="1" bestFit="1" customWidth="1"/>
    <col min="10984" max="10985" width="14.125" style="1" bestFit="1" customWidth="1"/>
    <col min="10986" max="10986" width="11.375" style="1" bestFit="1" customWidth="1"/>
    <col min="10987" max="10989" width="12.5" style="1" bestFit="1" customWidth="1"/>
    <col min="10990" max="10990" width="11" style="1" bestFit="1" customWidth="1"/>
    <col min="10991" max="11009" width="13" style="1" bestFit="1" customWidth="1"/>
    <col min="11010" max="11013" width="11" style="1" bestFit="1" customWidth="1"/>
    <col min="11014" max="11016" width="12.25" style="1" bestFit="1" customWidth="1"/>
    <col min="11017" max="11029" width="11" style="1" bestFit="1" customWidth="1"/>
    <col min="11030" max="11030" width="13.25" style="1" bestFit="1" customWidth="1"/>
    <col min="11031" max="11031" width="10" style="1" bestFit="1" customWidth="1"/>
    <col min="11032" max="11032" width="11" style="1" bestFit="1" customWidth="1"/>
    <col min="11033" max="11236" width="9" style="1"/>
    <col min="11237" max="11237" width="2.875" style="1" bestFit="1" customWidth="1"/>
    <col min="11238" max="11238" width="17.625" style="1" bestFit="1" customWidth="1"/>
    <col min="11239" max="11239" width="11.375" style="1" bestFit="1" customWidth="1"/>
    <col min="11240" max="11241" width="14.125" style="1" bestFit="1" customWidth="1"/>
    <col min="11242" max="11242" width="11.375" style="1" bestFit="1" customWidth="1"/>
    <col min="11243" max="11245" width="12.5" style="1" bestFit="1" customWidth="1"/>
    <col min="11246" max="11246" width="11" style="1" bestFit="1" customWidth="1"/>
    <col min="11247" max="11265" width="13" style="1" bestFit="1" customWidth="1"/>
    <col min="11266" max="11269" width="11" style="1" bestFit="1" customWidth="1"/>
    <col min="11270" max="11272" width="12.25" style="1" bestFit="1" customWidth="1"/>
    <col min="11273" max="11285" width="11" style="1" bestFit="1" customWidth="1"/>
    <col min="11286" max="11286" width="13.25" style="1" bestFit="1" customWidth="1"/>
    <col min="11287" max="11287" width="10" style="1" bestFit="1" customWidth="1"/>
    <col min="11288" max="11288" width="11" style="1" bestFit="1" customWidth="1"/>
    <col min="11289" max="11492" width="9" style="1"/>
    <col min="11493" max="11493" width="2.875" style="1" bestFit="1" customWidth="1"/>
    <col min="11494" max="11494" width="17.625" style="1" bestFit="1" customWidth="1"/>
    <col min="11495" max="11495" width="11.375" style="1" bestFit="1" customWidth="1"/>
    <col min="11496" max="11497" width="14.125" style="1" bestFit="1" customWidth="1"/>
    <col min="11498" max="11498" width="11.375" style="1" bestFit="1" customWidth="1"/>
    <col min="11499" max="11501" width="12.5" style="1" bestFit="1" customWidth="1"/>
    <col min="11502" max="11502" width="11" style="1" bestFit="1" customWidth="1"/>
    <col min="11503" max="11521" width="13" style="1" bestFit="1" customWidth="1"/>
    <col min="11522" max="11525" width="11" style="1" bestFit="1" customWidth="1"/>
    <col min="11526" max="11528" width="12.25" style="1" bestFit="1" customWidth="1"/>
    <col min="11529" max="11541" width="11" style="1" bestFit="1" customWidth="1"/>
    <col min="11542" max="11542" width="13.25" style="1" bestFit="1" customWidth="1"/>
    <col min="11543" max="11543" width="10" style="1" bestFit="1" customWidth="1"/>
    <col min="11544" max="11544" width="11" style="1" bestFit="1" customWidth="1"/>
    <col min="11545" max="11748" width="9" style="1"/>
    <col min="11749" max="11749" width="2.875" style="1" bestFit="1" customWidth="1"/>
    <col min="11750" max="11750" width="17.625" style="1" bestFit="1" customWidth="1"/>
    <col min="11751" max="11751" width="11.375" style="1" bestFit="1" customWidth="1"/>
    <col min="11752" max="11753" width="14.125" style="1" bestFit="1" customWidth="1"/>
    <col min="11754" max="11754" width="11.375" style="1" bestFit="1" customWidth="1"/>
    <col min="11755" max="11757" width="12.5" style="1" bestFit="1" customWidth="1"/>
    <col min="11758" max="11758" width="11" style="1" bestFit="1" customWidth="1"/>
    <col min="11759" max="11777" width="13" style="1" bestFit="1" customWidth="1"/>
    <col min="11778" max="11781" width="11" style="1" bestFit="1" customWidth="1"/>
    <col min="11782" max="11784" width="12.25" style="1" bestFit="1" customWidth="1"/>
    <col min="11785" max="11797" width="11" style="1" bestFit="1" customWidth="1"/>
    <col min="11798" max="11798" width="13.25" style="1" bestFit="1" customWidth="1"/>
    <col min="11799" max="11799" width="10" style="1" bestFit="1" customWidth="1"/>
    <col min="11800" max="11800" width="11" style="1" bestFit="1" customWidth="1"/>
    <col min="11801" max="12004" width="9" style="1"/>
    <col min="12005" max="12005" width="2.875" style="1" bestFit="1" customWidth="1"/>
    <col min="12006" max="12006" width="17.625" style="1" bestFit="1" customWidth="1"/>
    <col min="12007" max="12007" width="11.375" style="1" bestFit="1" customWidth="1"/>
    <col min="12008" max="12009" width="14.125" style="1" bestFit="1" customWidth="1"/>
    <col min="12010" max="12010" width="11.375" style="1" bestFit="1" customWidth="1"/>
    <col min="12011" max="12013" width="12.5" style="1" bestFit="1" customWidth="1"/>
    <col min="12014" max="12014" width="11" style="1" bestFit="1" customWidth="1"/>
    <col min="12015" max="12033" width="13" style="1" bestFit="1" customWidth="1"/>
    <col min="12034" max="12037" width="11" style="1" bestFit="1" customWidth="1"/>
    <col min="12038" max="12040" width="12.25" style="1" bestFit="1" customWidth="1"/>
    <col min="12041" max="12053" width="11" style="1" bestFit="1" customWidth="1"/>
    <col min="12054" max="12054" width="13.25" style="1" bestFit="1" customWidth="1"/>
    <col min="12055" max="12055" width="10" style="1" bestFit="1" customWidth="1"/>
    <col min="12056" max="12056" width="11" style="1" bestFit="1" customWidth="1"/>
    <col min="12057" max="12260" width="9" style="1"/>
    <col min="12261" max="12261" width="2.875" style="1" bestFit="1" customWidth="1"/>
    <col min="12262" max="12262" width="17.625" style="1" bestFit="1" customWidth="1"/>
    <col min="12263" max="12263" width="11.375" style="1" bestFit="1" customWidth="1"/>
    <col min="12264" max="12265" width="14.125" style="1" bestFit="1" customWidth="1"/>
    <col min="12266" max="12266" width="11.375" style="1" bestFit="1" customWidth="1"/>
    <col min="12267" max="12269" width="12.5" style="1" bestFit="1" customWidth="1"/>
    <col min="12270" max="12270" width="11" style="1" bestFit="1" customWidth="1"/>
    <col min="12271" max="12289" width="13" style="1" bestFit="1" customWidth="1"/>
    <col min="12290" max="12293" width="11" style="1" bestFit="1" customWidth="1"/>
    <col min="12294" max="12296" width="12.25" style="1" bestFit="1" customWidth="1"/>
    <col min="12297" max="12309" width="11" style="1" bestFit="1" customWidth="1"/>
    <col min="12310" max="12310" width="13.25" style="1" bestFit="1" customWidth="1"/>
    <col min="12311" max="12311" width="10" style="1" bestFit="1" customWidth="1"/>
    <col min="12312" max="12312" width="11" style="1" bestFit="1" customWidth="1"/>
    <col min="12313" max="12516" width="9" style="1"/>
    <col min="12517" max="12517" width="2.875" style="1" bestFit="1" customWidth="1"/>
    <col min="12518" max="12518" width="17.625" style="1" bestFit="1" customWidth="1"/>
    <col min="12519" max="12519" width="11.375" style="1" bestFit="1" customWidth="1"/>
    <col min="12520" max="12521" width="14.125" style="1" bestFit="1" customWidth="1"/>
    <col min="12522" max="12522" width="11.375" style="1" bestFit="1" customWidth="1"/>
    <col min="12523" max="12525" width="12.5" style="1" bestFit="1" customWidth="1"/>
    <col min="12526" max="12526" width="11" style="1" bestFit="1" customWidth="1"/>
    <col min="12527" max="12545" width="13" style="1" bestFit="1" customWidth="1"/>
    <col min="12546" max="12549" width="11" style="1" bestFit="1" customWidth="1"/>
    <col min="12550" max="12552" width="12.25" style="1" bestFit="1" customWidth="1"/>
    <col min="12553" max="12565" width="11" style="1" bestFit="1" customWidth="1"/>
    <col min="12566" max="12566" width="13.25" style="1" bestFit="1" customWidth="1"/>
    <col min="12567" max="12567" width="10" style="1" bestFit="1" customWidth="1"/>
    <col min="12568" max="12568" width="11" style="1" bestFit="1" customWidth="1"/>
    <col min="12569" max="12772" width="9" style="1"/>
    <col min="12773" max="12773" width="2.875" style="1" bestFit="1" customWidth="1"/>
    <col min="12774" max="12774" width="17.625" style="1" bestFit="1" customWidth="1"/>
    <col min="12775" max="12775" width="11.375" style="1" bestFit="1" customWidth="1"/>
    <col min="12776" max="12777" width="14.125" style="1" bestFit="1" customWidth="1"/>
    <col min="12778" max="12778" width="11.375" style="1" bestFit="1" customWidth="1"/>
    <col min="12779" max="12781" width="12.5" style="1" bestFit="1" customWidth="1"/>
    <col min="12782" max="12782" width="11" style="1" bestFit="1" customWidth="1"/>
    <col min="12783" max="12801" width="13" style="1" bestFit="1" customWidth="1"/>
    <col min="12802" max="12805" width="11" style="1" bestFit="1" customWidth="1"/>
    <col min="12806" max="12808" width="12.25" style="1" bestFit="1" customWidth="1"/>
    <col min="12809" max="12821" width="11" style="1" bestFit="1" customWidth="1"/>
    <col min="12822" max="12822" width="13.25" style="1" bestFit="1" customWidth="1"/>
    <col min="12823" max="12823" width="10" style="1" bestFit="1" customWidth="1"/>
    <col min="12824" max="12824" width="11" style="1" bestFit="1" customWidth="1"/>
    <col min="12825" max="13028" width="9" style="1"/>
    <col min="13029" max="13029" width="2.875" style="1" bestFit="1" customWidth="1"/>
    <col min="13030" max="13030" width="17.625" style="1" bestFit="1" customWidth="1"/>
    <col min="13031" max="13031" width="11.375" style="1" bestFit="1" customWidth="1"/>
    <col min="13032" max="13033" width="14.125" style="1" bestFit="1" customWidth="1"/>
    <col min="13034" max="13034" width="11.375" style="1" bestFit="1" customWidth="1"/>
    <col min="13035" max="13037" width="12.5" style="1" bestFit="1" customWidth="1"/>
    <col min="13038" max="13038" width="11" style="1" bestFit="1" customWidth="1"/>
    <col min="13039" max="13057" width="13" style="1" bestFit="1" customWidth="1"/>
    <col min="13058" max="13061" width="11" style="1" bestFit="1" customWidth="1"/>
    <col min="13062" max="13064" width="12.25" style="1" bestFit="1" customWidth="1"/>
    <col min="13065" max="13077" width="11" style="1" bestFit="1" customWidth="1"/>
    <col min="13078" max="13078" width="13.25" style="1" bestFit="1" customWidth="1"/>
    <col min="13079" max="13079" width="10" style="1" bestFit="1" customWidth="1"/>
    <col min="13080" max="13080" width="11" style="1" bestFit="1" customWidth="1"/>
    <col min="13081" max="13284" width="9" style="1"/>
    <col min="13285" max="13285" width="2.875" style="1" bestFit="1" customWidth="1"/>
    <col min="13286" max="13286" width="17.625" style="1" bestFit="1" customWidth="1"/>
    <col min="13287" max="13287" width="11.375" style="1" bestFit="1" customWidth="1"/>
    <col min="13288" max="13289" width="14.125" style="1" bestFit="1" customWidth="1"/>
    <col min="13290" max="13290" width="11.375" style="1" bestFit="1" customWidth="1"/>
    <col min="13291" max="13293" width="12.5" style="1" bestFit="1" customWidth="1"/>
    <col min="13294" max="13294" width="11" style="1" bestFit="1" customWidth="1"/>
    <col min="13295" max="13313" width="13" style="1" bestFit="1" customWidth="1"/>
    <col min="13314" max="13317" width="11" style="1" bestFit="1" customWidth="1"/>
    <col min="13318" max="13320" width="12.25" style="1" bestFit="1" customWidth="1"/>
    <col min="13321" max="13333" width="11" style="1" bestFit="1" customWidth="1"/>
    <col min="13334" max="13334" width="13.25" style="1" bestFit="1" customWidth="1"/>
    <col min="13335" max="13335" width="10" style="1" bestFit="1" customWidth="1"/>
    <col min="13336" max="13336" width="11" style="1" bestFit="1" customWidth="1"/>
    <col min="13337" max="13540" width="9" style="1"/>
    <col min="13541" max="13541" width="2.875" style="1" bestFit="1" customWidth="1"/>
    <col min="13542" max="13542" width="17.625" style="1" bestFit="1" customWidth="1"/>
    <col min="13543" max="13543" width="11.375" style="1" bestFit="1" customWidth="1"/>
    <col min="13544" max="13545" width="14.125" style="1" bestFit="1" customWidth="1"/>
    <col min="13546" max="13546" width="11.375" style="1" bestFit="1" customWidth="1"/>
    <col min="13547" max="13549" width="12.5" style="1" bestFit="1" customWidth="1"/>
    <col min="13550" max="13550" width="11" style="1" bestFit="1" customWidth="1"/>
    <col min="13551" max="13569" width="13" style="1" bestFit="1" customWidth="1"/>
    <col min="13570" max="13573" width="11" style="1" bestFit="1" customWidth="1"/>
    <col min="13574" max="13576" width="12.25" style="1" bestFit="1" customWidth="1"/>
    <col min="13577" max="13589" width="11" style="1" bestFit="1" customWidth="1"/>
    <col min="13590" max="13590" width="13.25" style="1" bestFit="1" customWidth="1"/>
    <col min="13591" max="13591" width="10" style="1" bestFit="1" customWidth="1"/>
    <col min="13592" max="13592" width="11" style="1" bestFit="1" customWidth="1"/>
    <col min="13593" max="13796" width="9" style="1"/>
    <col min="13797" max="13797" width="2.875" style="1" bestFit="1" customWidth="1"/>
    <col min="13798" max="13798" width="17.625" style="1" bestFit="1" customWidth="1"/>
    <col min="13799" max="13799" width="11.375" style="1" bestFit="1" customWidth="1"/>
    <col min="13800" max="13801" width="14.125" style="1" bestFit="1" customWidth="1"/>
    <col min="13802" max="13802" width="11.375" style="1" bestFit="1" customWidth="1"/>
    <col min="13803" max="13805" width="12.5" style="1" bestFit="1" customWidth="1"/>
    <col min="13806" max="13806" width="11" style="1" bestFit="1" customWidth="1"/>
    <col min="13807" max="13825" width="13" style="1" bestFit="1" customWidth="1"/>
    <col min="13826" max="13829" width="11" style="1" bestFit="1" customWidth="1"/>
    <col min="13830" max="13832" width="12.25" style="1" bestFit="1" customWidth="1"/>
    <col min="13833" max="13845" width="11" style="1" bestFit="1" customWidth="1"/>
    <col min="13846" max="13846" width="13.25" style="1" bestFit="1" customWidth="1"/>
    <col min="13847" max="13847" width="10" style="1" bestFit="1" customWidth="1"/>
    <col min="13848" max="13848" width="11" style="1" bestFit="1" customWidth="1"/>
    <col min="13849" max="14052" width="9" style="1"/>
    <col min="14053" max="14053" width="2.875" style="1" bestFit="1" customWidth="1"/>
    <col min="14054" max="14054" width="17.625" style="1" bestFit="1" customWidth="1"/>
    <col min="14055" max="14055" width="11.375" style="1" bestFit="1" customWidth="1"/>
    <col min="14056" max="14057" width="14.125" style="1" bestFit="1" customWidth="1"/>
    <col min="14058" max="14058" width="11.375" style="1" bestFit="1" customWidth="1"/>
    <col min="14059" max="14061" width="12.5" style="1" bestFit="1" customWidth="1"/>
    <col min="14062" max="14062" width="11" style="1" bestFit="1" customWidth="1"/>
    <col min="14063" max="14081" width="13" style="1" bestFit="1" customWidth="1"/>
    <col min="14082" max="14085" width="11" style="1" bestFit="1" customWidth="1"/>
    <col min="14086" max="14088" width="12.25" style="1" bestFit="1" customWidth="1"/>
    <col min="14089" max="14101" width="11" style="1" bestFit="1" customWidth="1"/>
    <col min="14102" max="14102" width="13.25" style="1" bestFit="1" customWidth="1"/>
    <col min="14103" max="14103" width="10" style="1" bestFit="1" customWidth="1"/>
    <col min="14104" max="14104" width="11" style="1" bestFit="1" customWidth="1"/>
    <col min="14105" max="14308" width="9" style="1"/>
    <col min="14309" max="14309" width="2.875" style="1" bestFit="1" customWidth="1"/>
    <col min="14310" max="14310" width="17.625" style="1" bestFit="1" customWidth="1"/>
    <col min="14311" max="14311" width="11.375" style="1" bestFit="1" customWidth="1"/>
    <col min="14312" max="14313" width="14.125" style="1" bestFit="1" customWidth="1"/>
    <col min="14314" max="14314" width="11.375" style="1" bestFit="1" customWidth="1"/>
    <col min="14315" max="14317" width="12.5" style="1" bestFit="1" customWidth="1"/>
    <col min="14318" max="14318" width="11" style="1" bestFit="1" customWidth="1"/>
    <col min="14319" max="14337" width="13" style="1" bestFit="1" customWidth="1"/>
    <col min="14338" max="14341" width="11" style="1" bestFit="1" customWidth="1"/>
    <col min="14342" max="14344" width="12.25" style="1" bestFit="1" customWidth="1"/>
    <col min="14345" max="14357" width="11" style="1" bestFit="1" customWidth="1"/>
    <col min="14358" max="14358" width="13.25" style="1" bestFit="1" customWidth="1"/>
    <col min="14359" max="14359" width="10" style="1" bestFit="1" customWidth="1"/>
    <col min="14360" max="14360" width="11" style="1" bestFit="1" customWidth="1"/>
    <col min="14361" max="14564" width="9" style="1"/>
    <col min="14565" max="14565" width="2.875" style="1" bestFit="1" customWidth="1"/>
    <col min="14566" max="14566" width="17.625" style="1" bestFit="1" customWidth="1"/>
    <col min="14567" max="14567" width="11.375" style="1" bestFit="1" customWidth="1"/>
    <col min="14568" max="14569" width="14.125" style="1" bestFit="1" customWidth="1"/>
    <col min="14570" max="14570" width="11.375" style="1" bestFit="1" customWidth="1"/>
    <col min="14571" max="14573" width="12.5" style="1" bestFit="1" customWidth="1"/>
    <col min="14574" max="14574" width="11" style="1" bestFit="1" customWidth="1"/>
    <col min="14575" max="14593" width="13" style="1" bestFit="1" customWidth="1"/>
    <col min="14594" max="14597" width="11" style="1" bestFit="1" customWidth="1"/>
    <col min="14598" max="14600" width="12.25" style="1" bestFit="1" customWidth="1"/>
    <col min="14601" max="14613" width="11" style="1" bestFit="1" customWidth="1"/>
    <col min="14614" max="14614" width="13.25" style="1" bestFit="1" customWidth="1"/>
    <col min="14615" max="14615" width="10" style="1" bestFit="1" customWidth="1"/>
    <col min="14616" max="14616" width="11" style="1" bestFit="1" customWidth="1"/>
    <col min="14617" max="14820" width="9" style="1"/>
    <col min="14821" max="14821" width="2.875" style="1" bestFit="1" customWidth="1"/>
    <col min="14822" max="14822" width="17.625" style="1" bestFit="1" customWidth="1"/>
    <col min="14823" max="14823" width="11.375" style="1" bestFit="1" customWidth="1"/>
    <col min="14824" max="14825" width="14.125" style="1" bestFit="1" customWidth="1"/>
    <col min="14826" max="14826" width="11.375" style="1" bestFit="1" customWidth="1"/>
    <col min="14827" max="14829" width="12.5" style="1" bestFit="1" customWidth="1"/>
    <col min="14830" max="14830" width="11" style="1" bestFit="1" customWidth="1"/>
    <col min="14831" max="14849" width="13" style="1" bestFit="1" customWidth="1"/>
    <col min="14850" max="14853" width="11" style="1" bestFit="1" customWidth="1"/>
    <col min="14854" max="14856" width="12.25" style="1" bestFit="1" customWidth="1"/>
    <col min="14857" max="14869" width="11" style="1" bestFit="1" customWidth="1"/>
    <col min="14870" max="14870" width="13.25" style="1" bestFit="1" customWidth="1"/>
    <col min="14871" max="14871" width="10" style="1" bestFit="1" customWidth="1"/>
    <col min="14872" max="14872" width="11" style="1" bestFit="1" customWidth="1"/>
    <col min="14873" max="15076" width="9" style="1"/>
    <col min="15077" max="15077" width="2.875" style="1" bestFit="1" customWidth="1"/>
    <col min="15078" max="15078" width="17.625" style="1" bestFit="1" customWidth="1"/>
    <col min="15079" max="15079" width="11.375" style="1" bestFit="1" customWidth="1"/>
    <col min="15080" max="15081" width="14.125" style="1" bestFit="1" customWidth="1"/>
    <col min="15082" max="15082" width="11.375" style="1" bestFit="1" customWidth="1"/>
    <col min="15083" max="15085" width="12.5" style="1" bestFit="1" customWidth="1"/>
    <col min="15086" max="15086" width="11" style="1" bestFit="1" customWidth="1"/>
    <col min="15087" max="15105" width="13" style="1" bestFit="1" customWidth="1"/>
    <col min="15106" max="15109" width="11" style="1" bestFit="1" customWidth="1"/>
    <col min="15110" max="15112" width="12.25" style="1" bestFit="1" customWidth="1"/>
    <col min="15113" max="15125" width="11" style="1" bestFit="1" customWidth="1"/>
    <col min="15126" max="15126" width="13.25" style="1" bestFit="1" customWidth="1"/>
    <col min="15127" max="15127" width="10" style="1" bestFit="1" customWidth="1"/>
    <col min="15128" max="15128" width="11" style="1" bestFit="1" customWidth="1"/>
    <col min="15129" max="15332" width="9" style="1"/>
    <col min="15333" max="15333" width="2.875" style="1" bestFit="1" customWidth="1"/>
    <col min="15334" max="15334" width="17.625" style="1" bestFit="1" customWidth="1"/>
    <col min="15335" max="15335" width="11.375" style="1" bestFit="1" customWidth="1"/>
    <col min="15336" max="15337" width="14.125" style="1" bestFit="1" customWidth="1"/>
    <col min="15338" max="15338" width="11.375" style="1" bestFit="1" customWidth="1"/>
    <col min="15339" max="15341" width="12.5" style="1" bestFit="1" customWidth="1"/>
    <col min="15342" max="15342" width="11" style="1" bestFit="1" customWidth="1"/>
    <col min="15343" max="15361" width="13" style="1" bestFit="1" customWidth="1"/>
    <col min="15362" max="15365" width="11" style="1" bestFit="1" customWidth="1"/>
    <col min="15366" max="15368" width="12.25" style="1" bestFit="1" customWidth="1"/>
    <col min="15369" max="15381" width="11" style="1" bestFit="1" customWidth="1"/>
    <col min="15382" max="15382" width="13.25" style="1" bestFit="1" customWidth="1"/>
    <col min="15383" max="15383" width="10" style="1" bestFit="1" customWidth="1"/>
    <col min="15384" max="15384" width="11" style="1" bestFit="1" customWidth="1"/>
    <col min="15385" max="15588" width="9" style="1"/>
    <col min="15589" max="15589" width="2.875" style="1" bestFit="1" customWidth="1"/>
    <col min="15590" max="15590" width="17.625" style="1" bestFit="1" customWidth="1"/>
    <col min="15591" max="15591" width="11.375" style="1" bestFit="1" customWidth="1"/>
    <col min="15592" max="15593" width="14.125" style="1" bestFit="1" customWidth="1"/>
    <col min="15594" max="15594" width="11.375" style="1" bestFit="1" customWidth="1"/>
    <col min="15595" max="15597" width="12.5" style="1" bestFit="1" customWidth="1"/>
    <col min="15598" max="15598" width="11" style="1" bestFit="1" customWidth="1"/>
    <col min="15599" max="15617" width="13" style="1" bestFit="1" customWidth="1"/>
    <col min="15618" max="15621" width="11" style="1" bestFit="1" customWidth="1"/>
    <col min="15622" max="15624" width="12.25" style="1" bestFit="1" customWidth="1"/>
    <col min="15625" max="15637" width="11" style="1" bestFit="1" customWidth="1"/>
    <col min="15638" max="15638" width="13.25" style="1" bestFit="1" customWidth="1"/>
    <col min="15639" max="15639" width="10" style="1" bestFit="1" customWidth="1"/>
    <col min="15640" max="15640" width="11" style="1" bestFit="1" customWidth="1"/>
    <col min="15641" max="15844" width="9" style="1"/>
    <col min="15845" max="15845" width="2.875" style="1" bestFit="1" customWidth="1"/>
    <col min="15846" max="15846" width="17.625" style="1" bestFit="1" customWidth="1"/>
    <col min="15847" max="15847" width="11.375" style="1" bestFit="1" customWidth="1"/>
    <col min="15848" max="15849" width="14.125" style="1" bestFit="1" customWidth="1"/>
    <col min="15850" max="15850" width="11.375" style="1" bestFit="1" customWidth="1"/>
    <col min="15851" max="15853" width="12.5" style="1" bestFit="1" customWidth="1"/>
    <col min="15854" max="15854" width="11" style="1" bestFit="1" customWidth="1"/>
    <col min="15855" max="15873" width="13" style="1" bestFit="1" customWidth="1"/>
    <col min="15874" max="15877" width="11" style="1" bestFit="1" customWidth="1"/>
    <col min="15878" max="15880" width="12.25" style="1" bestFit="1" customWidth="1"/>
    <col min="15881" max="15893" width="11" style="1" bestFit="1" customWidth="1"/>
    <col min="15894" max="15894" width="13.25" style="1" bestFit="1" customWidth="1"/>
    <col min="15895" max="15895" width="10" style="1" bestFit="1" customWidth="1"/>
    <col min="15896" max="15896" width="11" style="1" bestFit="1" customWidth="1"/>
    <col min="15897" max="16100" width="9" style="1"/>
    <col min="16101" max="16101" width="2.875" style="1" bestFit="1" customWidth="1"/>
    <col min="16102" max="16102" width="17.625" style="1" bestFit="1" customWidth="1"/>
    <col min="16103" max="16103" width="11.375" style="1" bestFit="1" customWidth="1"/>
    <col min="16104" max="16105" width="14.125" style="1" bestFit="1" customWidth="1"/>
    <col min="16106" max="16106" width="11.375" style="1" bestFit="1" customWidth="1"/>
    <col min="16107" max="16109" width="12.5" style="1" bestFit="1" customWidth="1"/>
    <col min="16110" max="16110" width="11" style="1" bestFit="1" customWidth="1"/>
    <col min="16111" max="16129" width="13" style="1" bestFit="1" customWidth="1"/>
    <col min="16130" max="16133" width="11" style="1" bestFit="1" customWidth="1"/>
    <col min="16134" max="16136" width="12.25" style="1" bestFit="1" customWidth="1"/>
    <col min="16137" max="16149" width="11" style="1" bestFit="1" customWidth="1"/>
    <col min="16150" max="16150" width="13.25" style="1" bestFit="1" customWidth="1"/>
    <col min="16151" max="16151" width="10" style="1" bestFit="1" customWidth="1"/>
    <col min="16152" max="16152" width="11" style="1" bestFit="1" customWidth="1"/>
    <col min="16153" max="16384" width="9" style="1"/>
  </cols>
  <sheetData>
    <row r="1" spans="1:24" hidden="1" x14ac:dyDescent="0.15"/>
    <row r="2" spans="1:24" ht="30.75" hidden="1" customHeight="1" x14ac:dyDescent="0.15"/>
    <row r="3" spans="1:24" ht="17.25" x14ac:dyDescent="0.2">
      <c r="A3" s="53">
        <v>45505</v>
      </c>
      <c r="B3" s="53"/>
      <c r="C3" s="45" t="s">
        <v>244</v>
      </c>
    </row>
    <row r="4" spans="1:24" s="5" customFormat="1" ht="10.5" customHeight="1" x14ac:dyDescent="0.15">
      <c r="A4" s="46" t="s">
        <v>0</v>
      </c>
      <c r="B4" s="46"/>
      <c r="C4" s="2" t="s">
        <v>9</v>
      </c>
      <c r="D4" s="2" t="s">
        <v>10</v>
      </c>
      <c r="E4" s="2" t="s">
        <v>11</v>
      </c>
      <c r="F4" s="2" t="s">
        <v>12</v>
      </c>
      <c r="G4" s="2" t="s">
        <v>13</v>
      </c>
      <c r="H4" s="2" t="s">
        <v>14</v>
      </c>
      <c r="I4" s="2" t="s">
        <v>170</v>
      </c>
      <c r="J4" s="2" t="s">
        <v>15</v>
      </c>
      <c r="K4" s="2" t="s">
        <v>16</v>
      </c>
      <c r="L4" s="2" t="s">
        <v>17</v>
      </c>
      <c r="M4" s="2" t="s">
        <v>18</v>
      </c>
      <c r="N4" s="2" t="s">
        <v>19</v>
      </c>
      <c r="O4" s="2" t="s">
        <v>20</v>
      </c>
      <c r="P4" s="2" t="s">
        <v>21</v>
      </c>
      <c r="Q4" s="2" t="s">
        <v>22</v>
      </c>
      <c r="R4" s="2" t="s">
        <v>23</v>
      </c>
      <c r="S4" s="2" t="s">
        <v>24</v>
      </c>
      <c r="T4" s="2" t="s">
        <v>25</v>
      </c>
      <c r="U4" s="2" t="s">
        <v>187</v>
      </c>
      <c r="V4" s="3" t="s">
        <v>41</v>
      </c>
      <c r="W4" s="3" t="s">
        <v>42</v>
      </c>
      <c r="X4" s="4" t="s">
        <v>43</v>
      </c>
    </row>
    <row r="5" spans="1:24" s="5" customFormat="1" hidden="1" x14ac:dyDescent="0.15">
      <c r="A5" s="50" t="s">
        <v>44</v>
      </c>
      <c r="B5" s="54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3"/>
      <c r="W5" s="3"/>
      <c r="X5" s="4"/>
    </row>
    <row r="6" spans="1:24" s="5" customFormat="1" hidden="1" x14ac:dyDescent="0.15">
      <c r="A6" s="50" t="s">
        <v>45</v>
      </c>
      <c r="B6" s="54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2" t="s">
        <v>47</v>
      </c>
      <c r="J6" s="2" t="s">
        <v>47</v>
      </c>
      <c r="K6" s="2" t="s">
        <v>47</v>
      </c>
      <c r="L6" s="2" t="s">
        <v>47</v>
      </c>
      <c r="M6" s="2" t="s">
        <v>47</v>
      </c>
      <c r="N6" s="2" t="s">
        <v>47</v>
      </c>
      <c r="O6" s="2" t="s">
        <v>47</v>
      </c>
      <c r="P6" s="2" t="s">
        <v>47</v>
      </c>
      <c r="Q6" s="2" t="s">
        <v>47</v>
      </c>
      <c r="R6" s="2" t="s">
        <v>47</v>
      </c>
      <c r="S6" s="2" t="s">
        <v>47</v>
      </c>
      <c r="T6" s="2" t="s">
        <v>47</v>
      </c>
      <c r="U6" s="2" t="s">
        <v>47</v>
      </c>
      <c r="V6" s="3"/>
      <c r="W6" s="3"/>
      <c r="X6" s="4"/>
    </row>
    <row r="7" spans="1:24" s="5" customFormat="1" ht="12" customHeight="1" x14ac:dyDescent="0.15">
      <c r="A7" s="52" t="s">
        <v>51</v>
      </c>
      <c r="B7" s="52"/>
      <c r="C7" s="36" t="s">
        <v>163</v>
      </c>
      <c r="D7" s="36" t="s">
        <v>164</v>
      </c>
      <c r="E7" s="36" t="s">
        <v>169</v>
      </c>
      <c r="F7" s="36" t="s">
        <v>176</v>
      </c>
      <c r="G7" s="36" t="s">
        <v>174</v>
      </c>
      <c r="H7" s="36" t="s">
        <v>168</v>
      </c>
      <c r="I7" s="36" t="s">
        <v>171</v>
      </c>
      <c r="J7" s="36" t="s">
        <v>172</v>
      </c>
      <c r="K7" s="36" t="s">
        <v>177</v>
      </c>
      <c r="L7" s="36" t="s">
        <v>173</v>
      </c>
      <c r="M7" s="36" t="s">
        <v>178</v>
      </c>
      <c r="N7" s="36" t="s">
        <v>180</v>
      </c>
      <c r="O7" s="36" t="s">
        <v>181</v>
      </c>
      <c r="P7" s="36" t="s">
        <v>179</v>
      </c>
      <c r="Q7" s="36" t="s">
        <v>182</v>
      </c>
      <c r="R7" s="36" t="s">
        <v>185</v>
      </c>
      <c r="S7" s="36"/>
      <c r="T7" s="36"/>
      <c r="U7" s="36"/>
      <c r="V7" s="6"/>
      <c r="W7" s="6"/>
      <c r="X7" s="7"/>
    </row>
    <row r="8" spans="1:24" s="5" customFormat="1" ht="12" customHeight="1" x14ac:dyDescent="0.15">
      <c r="A8" s="52" t="s">
        <v>52</v>
      </c>
      <c r="B8" s="52"/>
      <c r="C8" s="36" t="s">
        <v>208</v>
      </c>
      <c r="D8" s="36" t="s">
        <v>209</v>
      </c>
      <c r="E8" s="36" t="s">
        <v>210</v>
      </c>
      <c r="F8" s="36" t="s">
        <v>211</v>
      </c>
      <c r="G8" s="36" t="s">
        <v>202</v>
      </c>
      <c r="H8" s="36" t="s">
        <v>212</v>
      </c>
      <c r="I8" s="36" t="s">
        <v>213</v>
      </c>
      <c r="J8" s="36" t="s">
        <v>214</v>
      </c>
      <c r="K8" s="36" t="s">
        <v>215</v>
      </c>
      <c r="L8" s="36" t="s">
        <v>216</v>
      </c>
      <c r="M8" s="36" t="s">
        <v>217</v>
      </c>
      <c r="N8" s="36" t="s">
        <v>218</v>
      </c>
      <c r="O8" s="36" t="s">
        <v>219</v>
      </c>
      <c r="P8" s="36" t="s">
        <v>220</v>
      </c>
      <c r="Q8" s="36" t="s">
        <v>221</v>
      </c>
      <c r="R8" s="36" t="s">
        <v>222</v>
      </c>
      <c r="S8" s="36"/>
      <c r="T8" s="36"/>
      <c r="U8" s="36" t="s">
        <v>223</v>
      </c>
      <c r="V8" s="6"/>
      <c r="W8" s="6"/>
      <c r="X8" s="7"/>
    </row>
    <row r="9" spans="1:24" ht="12" customHeight="1" x14ac:dyDescent="0.15">
      <c r="A9" s="48" t="s">
        <v>53</v>
      </c>
      <c r="B9" s="49"/>
      <c r="C9" s="38">
        <v>8</v>
      </c>
      <c r="D9" s="38">
        <v>8</v>
      </c>
      <c r="E9" s="38">
        <v>10</v>
      </c>
      <c r="F9" s="38">
        <v>10</v>
      </c>
      <c r="G9" s="38">
        <v>10</v>
      </c>
      <c r="H9" s="38">
        <v>10</v>
      </c>
      <c r="I9" s="38">
        <v>14</v>
      </c>
      <c r="J9" s="38">
        <v>10</v>
      </c>
      <c r="K9" s="38">
        <v>10</v>
      </c>
      <c r="L9" s="38">
        <v>10</v>
      </c>
      <c r="M9" s="38">
        <v>10</v>
      </c>
      <c r="N9" s="38">
        <v>10</v>
      </c>
      <c r="O9" s="38">
        <v>10</v>
      </c>
      <c r="P9" s="38">
        <v>10</v>
      </c>
      <c r="Q9" s="38">
        <v>10</v>
      </c>
      <c r="R9" s="38">
        <v>10</v>
      </c>
      <c r="S9" s="38"/>
      <c r="T9" s="38"/>
      <c r="U9" s="38">
        <v>14</v>
      </c>
      <c r="V9" s="9">
        <f>SUM(C9:U9)</f>
        <v>174</v>
      </c>
      <c r="W9" s="9"/>
      <c r="X9" s="10"/>
    </row>
    <row r="10" spans="1:24" ht="12.75" customHeight="1" x14ac:dyDescent="0.15">
      <c r="A10" s="46" t="s">
        <v>54</v>
      </c>
      <c r="B10" s="46"/>
      <c r="C10" s="41" t="s">
        <v>57</v>
      </c>
      <c r="D10" s="41" t="s">
        <v>58</v>
      </c>
      <c r="E10" s="41" t="s">
        <v>59</v>
      </c>
      <c r="F10" s="41" t="s">
        <v>59</v>
      </c>
      <c r="G10" s="41" t="s">
        <v>59</v>
      </c>
      <c r="H10" s="41" t="s">
        <v>59</v>
      </c>
      <c r="I10" s="41" t="s">
        <v>59</v>
      </c>
      <c r="J10" s="41" t="s">
        <v>59</v>
      </c>
      <c r="K10" s="41" t="s">
        <v>59</v>
      </c>
      <c r="L10" s="41" t="s">
        <v>59</v>
      </c>
      <c r="M10" s="41" t="s">
        <v>60</v>
      </c>
      <c r="N10" s="41" t="s">
        <v>60</v>
      </c>
      <c r="O10" s="41" t="s">
        <v>60</v>
      </c>
      <c r="P10" s="41" t="s">
        <v>60</v>
      </c>
      <c r="Q10" s="41" t="s">
        <v>61</v>
      </c>
      <c r="R10" s="41" t="s">
        <v>61</v>
      </c>
      <c r="S10" s="41" t="s">
        <v>62</v>
      </c>
      <c r="T10" s="41" t="s">
        <v>63</v>
      </c>
      <c r="U10" s="41"/>
      <c r="V10" s="12"/>
      <c r="W10" s="12"/>
      <c r="X10" s="13"/>
    </row>
    <row r="11" spans="1:24" ht="12.75" customHeight="1" x14ac:dyDescent="0.15">
      <c r="A11" s="46" t="s">
        <v>65</v>
      </c>
      <c r="B11" s="46"/>
      <c r="C11" s="14">
        <v>1254</v>
      </c>
      <c r="D11" s="14">
        <v>2409</v>
      </c>
      <c r="E11" s="14">
        <v>5269.1</v>
      </c>
      <c r="F11" s="14">
        <v>4650.4000000000005</v>
      </c>
      <c r="G11" s="14">
        <v>5736.5</v>
      </c>
      <c r="H11" s="14">
        <v>6337</v>
      </c>
      <c r="I11" s="14">
        <v>3483</v>
      </c>
      <c r="J11" s="14">
        <v>5129.8999999999996</v>
      </c>
      <c r="K11" s="14">
        <v>6235.3</v>
      </c>
      <c r="L11" s="14">
        <v>4986.5</v>
      </c>
      <c r="M11" s="14">
        <v>6175.2999999999993</v>
      </c>
      <c r="N11" s="14">
        <v>7093.5</v>
      </c>
      <c r="O11" s="14">
        <v>6373.5</v>
      </c>
      <c r="P11" s="14">
        <v>6255.8</v>
      </c>
      <c r="Q11" s="14">
        <v>2317.1999999999998</v>
      </c>
      <c r="R11" s="14">
        <v>1972.8</v>
      </c>
      <c r="S11" s="14">
        <v>0</v>
      </c>
      <c r="T11" s="14">
        <v>0</v>
      </c>
      <c r="U11" s="14">
        <v>0</v>
      </c>
      <c r="V11" s="16">
        <f>SUM(C11:U11)</f>
        <v>75678.8</v>
      </c>
      <c r="W11" s="16">
        <f>AVERAGE(C11:U11)</f>
        <v>3983.0947368421052</v>
      </c>
      <c r="X11" s="13"/>
    </row>
    <row r="12" spans="1:24" ht="12.75" customHeight="1" x14ac:dyDescent="0.15">
      <c r="A12" s="50" t="s">
        <v>239</v>
      </c>
      <c r="B12" s="51"/>
      <c r="C12" s="43">
        <v>1.6472222222222221</v>
      </c>
      <c r="D12" s="43"/>
      <c r="E12" s="43">
        <v>8.9444444444444446</v>
      </c>
      <c r="F12" s="43">
        <v>10.215277777777779</v>
      </c>
      <c r="G12" s="43">
        <v>11.02361111111111</v>
      </c>
      <c r="H12" s="43">
        <v>10.488194444444444</v>
      </c>
      <c r="I12" s="43">
        <v>6.8972222222222221</v>
      </c>
      <c r="J12" s="43">
        <v>10.611111111111111</v>
      </c>
      <c r="K12" s="43">
        <v>9.7895833333333329</v>
      </c>
      <c r="L12" s="43">
        <v>9.2840277777777782</v>
      </c>
      <c r="M12" s="43">
        <v>10.664583333333333</v>
      </c>
      <c r="N12" s="43">
        <v>9.9972222222222218</v>
      </c>
      <c r="O12" s="43">
        <v>9.4916666666666671</v>
      </c>
      <c r="P12" s="43">
        <v>9.0458333333333325</v>
      </c>
      <c r="Q12" s="43">
        <v>3.067361111111111</v>
      </c>
      <c r="R12" s="43">
        <v>3.1444444444444444</v>
      </c>
      <c r="S12" s="43"/>
      <c r="T12" s="43"/>
      <c r="U12" s="43"/>
      <c r="V12" s="16"/>
      <c r="W12" s="16"/>
      <c r="X12" s="13"/>
    </row>
    <row r="13" spans="1:24" ht="12.75" customHeight="1" x14ac:dyDescent="0.15">
      <c r="A13" s="46" t="s">
        <v>66</v>
      </c>
      <c r="B13" s="46"/>
      <c r="C13" s="14">
        <v>296836</v>
      </c>
      <c r="D13" s="14">
        <v>797903</v>
      </c>
      <c r="E13" s="14">
        <v>1058570</v>
      </c>
      <c r="F13" s="14">
        <v>1167820</v>
      </c>
      <c r="G13" s="14">
        <v>1259740</v>
      </c>
      <c r="H13" s="14">
        <v>1238050</v>
      </c>
      <c r="I13" s="14">
        <v>1086960</v>
      </c>
      <c r="J13" s="14">
        <v>1174180</v>
      </c>
      <c r="K13" s="14">
        <v>1166930</v>
      </c>
      <c r="L13" s="14">
        <v>1103250</v>
      </c>
      <c r="M13" s="14">
        <v>1158000</v>
      </c>
      <c r="N13" s="14">
        <v>1269890</v>
      </c>
      <c r="O13" s="14">
        <v>1160970</v>
      </c>
      <c r="P13" s="14">
        <v>1186670</v>
      </c>
      <c r="Q13" s="14">
        <v>561788</v>
      </c>
      <c r="R13" s="14">
        <v>452402</v>
      </c>
      <c r="S13" s="14">
        <v>17000</v>
      </c>
      <c r="T13" s="14">
        <v>25152</v>
      </c>
      <c r="U13" s="14">
        <v>0</v>
      </c>
      <c r="V13" s="16">
        <f>SUM(C13:U13)</f>
        <v>16182111</v>
      </c>
      <c r="W13" s="16">
        <f>AVERAGE(C13:U13)</f>
        <v>851690.05263157899</v>
      </c>
      <c r="X13" s="13">
        <f>V13/V13</f>
        <v>1</v>
      </c>
    </row>
    <row r="14" spans="1:24" ht="12.75" customHeight="1" x14ac:dyDescent="0.15">
      <c r="A14" s="50" t="s">
        <v>240</v>
      </c>
      <c r="B14" s="51"/>
      <c r="C14" s="14"/>
      <c r="D14" s="14"/>
      <c r="E14" s="14">
        <v>150670</v>
      </c>
      <c r="F14" s="14">
        <v>50660</v>
      </c>
      <c r="G14" s="14"/>
      <c r="H14" s="14"/>
      <c r="I14" s="14"/>
      <c r="J14" s="14">
        <v>30440</v>
      </c>
      <c r="K14" s="14">
        <v>66790</v>
      </c>
      <c r="L14" s="14">
        <v>110610</v>
      </c>
      <c r="M14" s="14">
        <v>51240</v>
      </c>
      <c r="N14" s="14"/>
      <c r="O14" s="14">
        <v>62130</v>
      </c>
      <c r="P14" s="14">
        <v>80710</v>
      </c>
      <c r="Q14" s="14">
        <v>302212</v>
      </c>
      <c r="R14" s="14">
        <v>411598</v>
      </c>
      <c r="S14" s="14"/>
      <c r="T14" s="14"/>
      <c r="U14" s="14"/>
      <c r="V14" s="16">
        <f>SUM(C14:U14)</f>
        <v>1317060</v>
      </c>
      <c r="W14" s="16"/>
      <c r="X14" s="13"/>
    </row>
    <row r="15" spans="1:24" ht="12.75" customHeight="1" x14ac:dyDescent="0.15">
      <c r="A15" s="46" t="s">
        <v>67</v>
      </c>
      <c r="B15" s="46"/>
      <c r="C15" s="14">
        <f t="shared" ref="C15:U15" si="0">SUM(C13/C11)</f>
        <v>236.71132376395533</v>
      </c>
      <c r="D15" s="14">
        <f t="shared" si="0"/>
        <v>331.21751764217515</v>
      </c>
      <c r="E15" s="14">
        <f t="shared" si="0"/>
        <v>200.9014822265662</v>
      </c>
      <c r="F15" s="14">
        <f t="shared" si="0"/>
        <v>251.12248408739029</v>
      </c>
      <c r="G15" s="14">
        <f t="shared" si="0"/>
        <v>219.60080188268108</v>
      </c>
      <c r="H15" s="14">
        <f t="shared" si="0"/>
        <v>195.36847088527693</v>
      </c>
      <c r="I15" s="14">
        <f t="shared" si="0"/>
        <v>312.07579672695954</v>
      </c>
      <c r="J15" s="14">
        <f t="shared" si="0"/>
        <v>228.88945203610209</v>
      </c>
      <c r="K15" s="14">
        <f t="shared" si="0"/>
        <v>187.14897438776001</v>
      </c>
      <c r="L15" s="14">
        <f t="shared" si="0"/>
        <v>221.24736789331195</v>
      </c>
      <c r="M15" s="14">
        <f t="shared" si="0"/>
        <v>187.5212540281444</v>
      </c>
      <c r="N15" s="14">
        <f t="shared" si="0"/>
        <v>179.0216395291464</v>
      </c>
      <c r="O15" s="14">
        <f t="shared" si="0"/>
        <v>182.15580136502706</v>
      </c>
      <c r="P15" s="14">
        <f t="shared" si="0"/>
        <v>189.6911665973976</v>
      </c>
      <c r="Q15" s="14">
        <f t="shared" si="0"/>
        <v>242.4426031417228</v>
      </c>
      <c r="R15" s="14">
        <f t="shared" si="0"/>
        <v>229.31974858069748</v>
      </c>
      <c r="S15" s="14" t="e">
        <f t="shared" si="0"/>
        <v>#DIV/0!</v>
      </c>
      <c r="T15" s="14" t="e">
        <f t="shared" si="0"/>
        <v>#DIV/0!</v>
      </c>
      <c r="U15" s="14" t="e">
        <f t="shared" si="0"/>
        <v>#DIV/0!</v>
      </c>
      <c r="V15" s="12">
        <f>SUM(V13/V11)</f>
        <v>213.82621024646267</v>
      </c>
      <c r="W15" s="16" t="e">
        <f>AVERAGE(C15:U15)</f>
        <v>#DIV/0!</v>
      </c>
      <c r="X15" s="13"/>
    </row>
    <row r="16" spans="1:24" ht="12.75" customHeight="1" x14ac:dyDescent="0.15">
      <c r="A16" s="50" t="s">
        <v>241</v>
      </c>
      <c r="B16" s="51"/>
      <c r="C16" s="14">
        <f t="shared" ref="C16:U16" si="1">C13/(C12*24)</f>
        <v>7508.49915682968</v>
      </c>
      <c r="D16" s="14" t="e">
        <f t="shared" si="1"/>
        <v>#DIV/0!</v>
      </c>
      <c r="E16" s="14">
        <f t="shared" si="1"/>
        <v>4931.2267080745341</v>
      </c>
      <c r="F16" s="14">
        <f t="shared" si="1"/>
        <v>4763.371855880353</v>
      </c>
      <c r="G16" s="14">
        <f t="shared" si="1"/>
        <v>4761.5219856368903</v>
      </c>
      <c r="H16" s="14">
        <f t="shared" si="1"/>
        <v>4918.4268026219961</v>
      </c>
      <c r="I16" s="14">
        <f t="shared" si="1"/>
        <v>6566.4115988723315</v>
      </c>
      <c r="J16" s="14">
        <f t="shared" si="1"/>
        <v>4610.6544502617799</v>
      </c>
      <c r="K16" s="14">
        <f t="shared" si="1"/>
        <v>4966.7163226218345</v>
      </c>
      <c r="L16" s="14">
        <f t="shared" si="1"/>
        <v>4951.3800583439297</v>
      </c>
      <c r="M16" s="14">
        <f t="shared" si="1"/>
        <v>4524.321156475874</v>
      </c>
      <c r="N16" s="14">
        <f t="shared" si="1"/>
        <v>5292.6785218116147</v>
      </c>
      <c r="O16" s="14">
        <f t="shared" si="1"/>
        <v>5096.4442493415272</v>
      </c>
      <c r="P16" s="14">
        <f t="shared" si="1"/>
        <v>5466.0064486411802</v>
      </c>
      <c r="Q16" s="14">
        <f t="shared" si="1"/>
        <v>7631.2610369028762</v>
      </c>
      <c r="R16" s="14">
        <f t="shared" si="1"/>
        <v>5994.7261484098935</v>
      </c>
      <c r="S16" s="14" t="e">
        <f t="shared" si="1"/>
        <v>#DIV/0!</v>
      </c>
      <c r="T16" s="14" t="e">
        <f t="shared" si="1"/>
        <v>#DIV/0!</v>
      </c>
      <c r="U16" s="14" t="e">
        <f t="shared" si="1"/>
        <v>#DIV/0!</v>
      </c>
      <c r="V16" s="12"/>
      <c r="W16" s="16"/>
      <c r="X16" s="13"/>
    </row>
    <row r="17" spans="1:24" ht="12.75" customHeight="1" x14ac:dyDescent="0.15">
      <c r="A17" s="47" t="s">
        <v>68</v>
      </c>
      <c r="B17" s="11" t="s">
        <v>69</v>
      </c>
      <c r="C17" s="14">
        <v>44688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58860</v>
      </c>
      <c r="J17" s="14">
        <v>0</v>
      </c>
      <c r="K17" s="14">
        <v>0</v>
      </c>
      <c r="L17" s="14">
        <v>75708</v>
      </c>
      <c r="M17" s="14">
        <v>0</v>
      </c>
      <c r="N17" s="14">
        <v>213500</v>
      </c>
      <c r="O17" s="14">
        <v>51245</v>
      </c>
      <c r="P17" s="14">
        <v>56375</v>
      </c>
      <c r="Q17" s="14">
        <v>56708</v>
      </c>
      <c r="R17" s="14">
        <v>0</v>
      </c>
      <c r="S17" s="14">
        <v>0</v>
      </c>
      <c r="T17" s="14">
        <v>0</v>
      </c>
      <c r="U17" s="14">
        <v>0</v>
      </c>
      <c r="V17" s="16">
        <f t="shared" ref="V17:V30" si="2">SUM(C17:U17)</f>
        <v>557084</v>
      </c>
      <c r="W17" s="16">
        <f t="shared" ref="W17:W45" si="3">AVERAGE(C17:U17)</f>
        <v>29320.21052631579</v>
      </c>
      <c r="X17" s="13">
        <f>V17/V13</f>
        <v>3.4425916371479591E-2</v>
      </c>
    </row>
    <row r="18" spans="1:24" ht="12.75" customHeight="1" x14ac:dyDescent="0.15">
      <c r="A18" s="47"/>
      <c r="B18" s="11" t="s">
        <v>70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6">
        <f t="shared" si="2"/>
        <v>0</v>
      </c>
      <c r="W18" s="16">
        <f t="shared" si="3"/>
        <v>0</v>
      </c>
      <c r="X18" s="13">
        <f>V18/V13</f>
        <v>0</v>
      </c>
    </row>
    <row r="19" spans="1:24" ht="12.75" customHeight="1" x14ac:dyDescent="0.15">
      <c r="A19" s="47"/>
      <c r="B19" s="11" t="s">
        <v>71</v>
      </c>
      <c r="C19" s="14">
        <v>4400</v>
      </c>
      <c r="D19" s="14">
        <v>4825</v>
      </c>
      <c r="E19" s="14">
        <v>5150</v>
      </c>
      <c r="F19" s="14">
        <v>4400</v>
      </c>
      <c r="G19" s="14">
        <v>5150</v>
      </c>
      <c r="H19" s="14">
        <v>5250</v>
      </c>
      <c r="I19" s="14">
        <v>6950</v>
      </c>
      <c r="J19" s="14">
        <v>4400</v>
      </c>
      <c r="K19" s="14">
        <v>4025</v>
      </c>
      <c r="L19" s="14">
        <v>39700</v>
      </c>
      <c r="M19" s="14">
        <v>4812</v>
      </c>
      <c r="N19" s="14">
        <v>0</v>
      </c>
      <c r="O19" s="14">
        <v>12911</v>
      </c>
      <c r="P19" s="14">
        <v>13200</v>
      </c>
      <c r="Q19" s="14">
        <v>11540</v>
      </c>
      <c r="R19" s="14">
        <v>5642</v>
      </c>
      <c r="S19" s="14">
        <v>0</v>
      </c>
      <c r="T19" s="14">
        <v>0</v>
      </c>
      <c r="U19" s="14">
        <v>7075</v>
      </c>
      <c r="V19" s="16">
        <f t="shared" si="2"/>
        <v>139430</v>
      </c>
      <c r="W19" s="16">
        <f t="shared" si="3"/>
        <v>7338.4210526315792</v>
      </c>
      <c r="X19" s="13">
        <f>V19/V13</f>
        <v>8.6163047577661536E-3</v>
      </c>
    </row>
    <row r="20" spans="1:24" ht="12.75" customHeight="1" x14ac:dyDescent="0.15">
      <c r="A20" s="47"/>
      <c r="B20" s="11" t="s">
        <v>72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U20" s="14">
        <v>0</v>
      </c>
      <c r="V20" s="16">
        <f t="shared" si="2"/>
        <v>0</v>
      </c>
      <c r="W20" s="16">
        <f t="shared" si="3"/>
        <v>0</v>
      </c>
      <c r="X20" s="13">
        <f>V20/V13</f>
        <v>0</v>
      </c>
    </row>
    <row r="21" spans="1:24" ht="12.75" customHeight="1" x14ac:dyDescent="0.15">
      <c r="A21" s="47"/>
      <c r="B21" s="11" t="s">
        <v>73</v>
      </c>
      <c r="C21" s="14">
        <v>4950</v>
      </c>
      <c r="D21" s="14">
        <v>4950</v>
      </c>
      <c r="E21" s="14">
        <v>4766</v>
      </c>
      <c r="F21" s="14">
        <v>4950</v>
      </c>
      <c r="G21" s="14">
        <v>4766</v>
      </c>
      <c r="H21" s="14">
        <v>4950</v>
      </c>
      <c r="I21" s="14">
        <v>8337</v>
      </c>
      <c r="J21" s="14">
        <v>4950</v>
      </c>
      <c r="K21" s="14">
        <v>4583</v>
      </c>
      <c r="L21" s="14">
        <v>4766</v>
      </c>
      <c r="M21" s="14">
        <v>4766</v>
      </c>
      <c r="N21" s="14">
        <v>5208</v>
      </c>
      <c r="O21" s="14">
        <v>4766</v>
      </c>
      <c r="P21" s="14">
        <v>5208</v>
      </c>
      <c r="Q21" s="14">
        <v>5208</v>
      </c>
      <c r="R21" s="14">
        <v>4767</v>
      </c>
      <c r="S21" s="14">
        <v>0</v>
      </c>
      <c r="T21" s="14">
        <v>0</v>
      </c>
      <c r="U21" s="14">
        <v>0</v>
      </c>
      <c r="V21" s="16">
        <f t="shared" si="2"/>
        <v>81891</v>
      </c>
      <c r="W21" s="16">
        <f t="shared" si="3"/>
        <v>4310.0526315789475</v>
      </c>
      <c r="X21" s="13">
        <f>V21/V13</f>
        <v>5.0605882013786702E-3</v>
      </c>
    </row>
    <row r="22" spans="1:24" ht="12.75" customHeight="1" x14ac:dyDescent="0.15">
      <c r="A22" s="47"/>
      <c r="B22" s="11" t="s">
        <v>74</v>
      </c>
      <c r="C22" s="14">
        <v>26896</v>
      </c>
      <c r="D22" s="14">
        <v>33622</v>
      </c>
      <c r="E22" s="14">
        <v>39513</v>
      </c>
      <c r="F22" s="14">
        <v>32621</v>
      </c>
      <c r="G22" s="14">
        <v>25904</v>
      </c>
      <c r="H22" s="14">
        <v>35324</v>
      </c>
      <c r="I22" s="14">
        <v>45820</v>
      </c>
      <c r="J22" s="14">
        <v>81250</v>
      </c>
      <c r="K22" s="14">
        <v>13368</v>
      </c>
      <c r="L22" s="14">
        <v>30531</v>
      </c>
      <c r="M22" s="14">
        <v>45794</v>
      </c>
      <c r="N22" s="14">
        <v>38383</v>
      </c>
      <c r="O22" s="14">
        <v>53355</v>
      </c>
      <c r="P22" s="14">
        <v>63356</v>
      </c>
      <c r="Q22" s="14">
        <v>17372</v>
      </c>
      <c r="R22" s="14">
        <v>35967</v>
      </c>
      <c r="S22" s="14">
        <v>0</v>
      </c>
      <c r="T22" s="14">
        <v>0</v>
      </c>
      <c r="U22" s="14">
        <v>0</v>
      </c>
      <c r="V22" s="16">
        <f t="shared" si="2"/>
        <v>619076</v>
      </c>
      <c r="W22" s="16">
        <f t="shared" si="3"/>
        <v>32582.947368421053</v>
      </c>
      <c r="X22" s="13">
        <f>V22/V13</f>
        <v>3.8256813341596779E-2</v>
      </c>
    </row>
    <row r="23" spans="1:24" ht="12.75" customHeight="1" x14ac:dyDescent="0.15">
      <c r="A23" s="47"/>
      <c r="B23" s="17" t="s">
        <v>75</v>
      </c>
      <c r="C23" s="18">
        <f t="shared" ref="C23:U23" si="4">SUM(C17:C22)</f>
        <v>80934</v>
      </c>
      <c r="D23" s="18">
        <f t="shared" si="4"/>
        <v>43397</v>
      </c>
      <c r="E23" s="18">
        <f t="shared" si="4"/>
        <v>49429</v>
      </c>
      <c r="F23" s="18">
        <f t="shared" si="4"/>
        <v>41971</v>
      </c>
      <c r="G23" s="18">
        <f t="shared" si="4"/>
        <v>35820</v>
      </c>
      <c r="H23" s="18">
        <f t="shared" si="4"/>
        <v>45524</v>
      </c>
      <c r="I23" s="18">
        <f t="shared" si="4"/>
        <v>119967</v>
      </c>
      <c r="J23" s="18">
        <f t="shared" si="4"/>
        <v>90600</v>
      </c>
      <c r="K23" s="18">
        <f t="shared" si="4"/>
        <v>21976</v>
      </c>
      <c r="L23" s="18">
        <f t="shared" si="4"/>
        <v>150705</v>
      </c>
      <c r="M23" s="18">
        <f t="shared" si="4"/>
        <v>55372</v>
      </c>
      <c r="N23" s="18">
        <f t="shared" si="4"/>
        <v>257091</v>
      </c>
      <c r="O23" s="18">
        <f t="shared" si="4"/>
        <v>122277</v>
      </c>
      <c r="P23" s="18">
        <f t="shared" si="4"/>
        <v>138139</v>
      </c>
      <c r="Q23" s="18">
        <f t="shared" si="4"/>
        <v>90828</v>
      </c>
      <c r="R23" s="18">
        <f t="shared" si="4"/>
        <v>46376</v>
      </c>
      <c r="S23" s="18">
        <f t="shared" si="4"/>
        <v>0</v>
      </c>
      <c r="T23" s="18">
        <f t="shared" si="4"/>
        <v>0</v>
      </c>
      <c r="U23" s="18">
        <f t="shared" si="4"/>
        <v>7075</v>
      </c>
      <c r="V23" s="20">
        <f t="shared" si="2"/>
        <v>1397481</v>
      </c>
      <c r="W23" s="20">
        <f t="shared" si="3"/>
        <v>73551.631578947374</v>
      </c>
      <c r="X23" s="21">
        <f>V23/V13</f>
        <v>8.6359622672221192E-2</v>
      </c>
    </row>
    <row r="24" spans="1:24" ht="12.75" customHeight="1" x14ac:dyDescent="0.15">
      <c r="A24" s="47" t="s">
        <v>76</v>
      </c>
      <c r="B24" s="11" t="s">
        <v>77</v>
      </c>
      <c r="C24" s="14">
        <v>0</v>
      </c>
      <c r="D24" s="14">
        <v>162398</v>
      </c>
      <c r="E24" s="14">
        <v>0</v>
      </c>
      <c r="F24" s="14">
        <v>113593</v>
      </c>
      <c r="G24" s="14">
        <v>0</v>
      </c>
      <c r="H24" s="14">
        <v>0</v>
      </c>
      <c r="I24" s="14">
        <v>524254</v>
      </c>
      <c r="J24" s="14">
        <v>0</v>
      </c>
      <c r="K24" s="14">
        <v>0</v>
      </c>
      <c r="L24" s="14">
        <v>58060</v>
      </c>
      <c r="M24" s="14">
        <v>0</v>
      </c>
      <c r="N24" s="14">
        <v>0</v>
      </c>
      <c r="O24" s="14">
        <v>0</v>
      </c>
      <c r="P24" s="14">
        <v>4250</v>
      </c>
      <c r="Q24" s="14">
        <v>0</v>
      </c>
      <c r="R24" s="14">
        <v>19800</v>
      </c>
      <c r="S24" s="14">
        <v>0</v>
      </c>
      <c r="T24" s="14">
        <v>0</v>
      </c>
      <c r="U24" s="14">
        <v>0</v>
      </c>
      <c r="V24" s="16">
        <f t="shared" si="2"/>
        <v>882355</v>
      </c>
      <c r="W24" s="16">
        <f t="shared" si="3"/>
        <v>46439.73684210526</v>
      </c>
      <c r="X24" s="13">
        <f>V24/V13</f>
        <v>5.4526569493930671E-2</v>
      </c>
    </row>
    <row r="25" spans="1:24" ht="12.75" customHeight="1" x14ac:dyDescent="0.15">
      <c r="A25" s="47"/>
      <c r="B25" s="11" t="s">
        <v>78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6">
        <f t="shared" si="2"/>
        <v>0</v>
      </c>
      <c r="W25" s="16">
        <f t="shared" si="3"/>
        <v>0</v>
      </c>
      <c r="X25" s="13">
        <f>V25/V13</f>
        <v>0</v>
      </c>
    </row>
    <row r="26" spans="1:24" ht="12.75" customHeight="1" x14ac:dyDescent="0.15">
      <c r="A26" s="47"/>
      <c r="B26" s="11" t="s">
        <v>79</v>
      </c>
      <c r="C26" s="14">
        <f t="shared" ref="C26:U26" si="5">30000*C9/70000*C11</f>
        <v>4299.4285714285716</v>
      </c>
      <c r="D26" s="14">
        <f t="shared" si="5"/>
        <v>8259.4285714285706</v>
      </c>
      <c r="E26" s="14">
        <f t="shared" si="5"/>
        <v>22581.857142857145</v>
      </c>
      <c r="F26" s="14">
        <f t="shared" si="5"/>
        <v>19930.285714285717</v>
      </c>
      <c r="G26" s="14">
        <f t="shared" si="5"/>
        <v>24585</v>
      </c>
      <c r="H26" s="14">
        <f t="shared" si="5"/>
        <v>27158.571428571428</v>
      </c>
      <c r="I26" s="14">
        <f t="shared" si="5"/>
        <v>20898</v>
      </c>
      <c r="J26" s="14">
        <f t="shared" si="5"/>
        <v>21985.285714285714</v>
      </c>
      <c r="K26" s="14">
        <f t="shared" si="5"/>
        <v>26722.714285714286</v>
      </c>
      <c r="L26" s="14">
        <f t="shared" si="5"/>
        <v>21370.714285714286</v>
      </c>
      <c r="M26" s="14">
        <f t="shared" si="5"/>
        <v>26465.571428571424</v>
      </c>
      <c r="N26" s="14">
        <f t="shared" si="5"/>
        <v>30400.714285714286</v>
      </c>
      <c r="O26" s="14">
        <f t="shared" si="5"/>
        <v>27315</v>
      </c>
      <c r="P26" s="14">
        <f t="shared" si="5"/>
        <v>26810.571428571428</v>
      </c>
      <c r="Q26" s="14">
        <f t="shared" si="5"/>
        <v>9930.8571428571413</v>
      </c>
      <c r="R26" s="14">
        <f t="shared" si="5"/>
        <v>8454.8571428571431</v>
      </c>
      <c r="S26" s="14">
        <f t="shared" si="5"/>
        <v>0</v>
      </c>
      <c r="T26" s="14">
        <f t="shared" si="5"/>
        <v>0</v>
      </c>
      <c r="U26" s="14">
        <f t="shared" si="5"/>
        <v>0</v>
      </c>
      <c r="V26" s="16">
        <f t="shared" si="2"/>
        <v>327168.85714285716</v>
      </c>
      <c r="W26" s="16">
        <f t="shared" si="3"/>
        <v>17219.413533834588</v>
      </c>
      <c r="X26" s="13">
        <f>V26/V13</f>
        <v>2.0217934306769814E-2</v>
      </c>
    </row>
    <row r="27" spans="1:24" ht="12.75" customHeight="1" x14ac:dyDescent="0.15">
      <c r="A27" s="47"/>
      <c r="B27" s="11" t="s">
        <v>80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6">
        <f t="shared" si="2"/>
        <v>0</v>
      </c>
      <c r="W27" s="16">
        <f t="shared" si="3"/>
        <v>0</v>
      </c>
      <c r="X27" s="13">
        <f>V27/V13</f>
        <v>0</v>
      </c>
    </row>
    <row r="28" spans="1:24" ht="12.75" customHeight="1" x14ac:dyDescent="0.15">
      <c r="A28" s="47"/>
      <c r="B28" s="11" t="s">
        <v>81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6">
        <f t="shared" si="2"/>
        <v>0</v>
      </c>
      <c r="W28" s="16">
        <f t="shared" si="3"/>
        <v>0</v>
      </c>
      <c r="X28" s="13">
        <f>V28/V13</f>
        <v>0</v>
      </c>
    </row>
    <row r="29" spans="1:24" ht="12.75" customHeight="1" x14ac:dyDescent="0.15">
      <c r="A29" s="47"/>
      <c r="B29" s="17" t="s">
        <v>82</v>
      </c>
      <c r="C29" s="18">
        <f t="shared" ref="C29:U29" si="6">SUM(C24:C28)</f>
        <v>4299.4285714285716</v>
      </c>
      <c r="D29" s="18">
        <f t="shared" si="6"/>
        <v>170657.42857142858</v>
      </c>
      <c r="E29" s="18">
        <f t="shared" si="6"/>
        <v>22581.857142857145</v>
      </c>
      <c r="F29" s="18">
        <f t="shared" si="6"/>
        <v>133523.28571428571</v>
      </c>
      <c r="G29" s="18">
        <f t="shared" si="6"/>
        <v>24585</v>
      </c>
      <c r="H29" s="18">
        <f t="shared" si="6"/>
        <v>27158.571428571428</v>
      </c>
      <c r="I29" s="18">
        <f t="shared" si="6"/>
        <v>545152</v>
      </c>
      <c r="J29" s="18">
        <f t="shared" si="6"/>
        <v>21985.285714285714</v>
      </c>
      <c r="K29" s="18">
        <f t="shared" si="6"/>
        <v>26722.714285714286</v>
      </c>
      <c r="L29" s="18">
        <f t="shared" si="6"/>
        <v>79430.71428571429</v>
      </c>
      <c r="M29" s="18">
        <f t="shared" si="6"/>
        <v>26465.571428571424</v>
      </c>
      <c r="N29" s="18">
        <f t="shared" si="6"/>
        <v>30400.714285714286</v>
      </c>
      <c r="O29" s="18">
        <f t="shared" si="6"/>
        <v>27315</v>
      </c>
      <c r="P29" s="18">
        <f t="shared" si="6"/>
        <v>31060.571428571428</v>
      </c>
      <c r="Q29" s="18">
        <f t="shared" si="6"/>
        <v>9930.8571428571413</v>
      </c>
      <c r="R29" s="18">
        <f t="shared" si="6"/>
        <v>28254.857142857145</v>
      </c>
      <c r="S29" s="18">
        <f t="shared" si="6"/>
        <v>0</v>
      </c>
      <c r="T29" s="18">
        <f t="shared" si="6"/>
        <v>0</v>
      </c>
      <c r="U29" s="18">
        <f t="shared" si="6"/>
        <v>0</v>
      </c>
      <c r="V29" s="20">
        <f t="shared" si="2"/>
        <v>1209523.8571428568</v>
      </c>
      <c r="W29" s="20">
        <f t="shared" si="3"/>
        <v>63659.150375939833</v>
      </c>
      <c r="X29" s="21">
        <f>V29/V13</f>
        <v>7.4744503800700468E-2</v>
      </c>
    </row>
    <row r="30" spans="1:24" ht="12.75" customHeight="1" x14ac:dyDescent="0.15">
      <c r="A30" s="47" t="s">
        <v>83</v>
      </c>
      <c r="B30" s="8" t="s">
        <v>84</v>
      </c>
      <c r="C30" s="22">
        <v>300</v>
      </c>
      <c r="D30" s="22">
        <v>716</v>
      </c>
      <c r="E30" s="22">
        <v>1466</v>
      </c>
      <c r="F30" s="22">
        <v>1275</v>
      </c>
      <c r="G30" s="22">
        <v>1490</v>
      </c>
      <c r="H30" s="22">
        <v>1741</v>
      </c>
      <c r="I30" s="22">
        <v>1423</v>
      </c>
      <c r="J30" s="22">
        <v>1365</v>
      </c>
      <c r="K30" s="22">
        <v>1605</v>
      </c>
      <c r="L30" s="22">
        <v>1315</v>
      </c>
      <c r="M30" s="22">
        <v>1618</v>
      </c>
      <c r="N30" s="22">
        <v>1784</v>
      </c>
      <c r="O30" s="22">
        <v>1633</v>
      </c>
      <c r="P30" s="22">
        <v>1716</v>
      </c>
      <c r="Q30" s="22">
        <v>677</v>
      </c>
      <c r="R30" s="22">
        <v>505</v>
      </c>
      <c r="S30" s="22">
        <v>0</v>
      </c>
      <c r="T30" s="22">
        <v>0</v>
      </c>
      <c r="U30" s="22">
        <v>0</v>
      </c>
      <c r="V30" s="24">
        <f t="shared" si="2"/>
        <v>20629</v>
      </c>
      <c r="W30" s="24">
        <f t="shared" si="3"/>
        <v>1085.7368421052631</v>
      </c>
      <c r="X30" s="10">
        <f>V30/V13</f>
        <v>1.2748027744958616E-3</v>
      </c>
    </row>
    <row r="31" spans="1:24" ht="12.75" customHeight="1" x14ac:dyDescent="0.15">
      <c r="A31" s="47"/>
      <c r="B31" s="25" t="s">
        <v>85</v>
      </c>
      <c r="C31" s="26">
        <f t="shared" ref="C31:V31" si="7">SUM(C11/C30)</f>
        <v>4.18</v>
      </c>
      <c r="D31" s="26">
        <f t="shared" si="7"/>
        <v>3.3645251396648046</v>
      </c>
      <c r="E31" s="26">
        <f t="shared" si="7"/>
        <v>3.5942019099590725</v>
      </c>
      <c r="F31" s="26">
        <f t="shared" si="7"/>
        <v>3.6473725490196083</v>
      </c>
      <c r="G31" s="26">
        <f t="shared" si="7"/>
        <v>3.85</v>
      </c>
      <c r="H31" s="26">
        <f t="shared" si="7"/>
        <v>3.6398621481906952</v>
      </c>
      <c r="I31" s="26">
        <f t="shared" si="7"/>
        <v>2.4476458186929024</v>
      </c>
      <c r="J31" s="26">
        <f t="shared" si="7"/>
        <v>3.758168498168498</v>
      </c>
      <c r="K31" s="26">
        <f t="shared" si="7"/>
        <v>3.8849221183800626</v>
      </c>
      <c r="L31" s="26">
        <f t="shared" si="7"/>
        <v>3.7920152091254753</v>
      </c>
      <c r="M31" s="26">
        <f t="shared" si="7"/>
        <v>3.8166254635352281</v>
      </c>
      <c r="N31" s="26">
        <f t="shared" si="7"/>
        <v>3.9761771300448432</v>
      </c>
      <c r="O31" s="26">
        <f t="shared" si="7"/>
        <v>3.9029393753827311</v>
      </c>
      <c r="P31" s="26">
        <f t="shared" si="7"/>
        <v>3.6455710955710958</v>
      </c>
      <c r="Q31" s="26">
        <f t="shared" si="7"/>
        <v>3.4227474150664694</v>
      </c>
      <c r="R31" s="26">
        <f t="shared" si="7"/>
        <v>3.9065346534653465</v>
      </c>
      <c r="S31" s="26" t="e">
        <f t="shared" si="7"/>
        <v>#DIV/0!</v>
      </c>
      <c r="T31" s="26" t="e">
        <f t="shared" si="7"/>
        <v>#DIV/0!</v>
      </c>
      <c r="U31" s="26" t="e">
        <f t="shared" si="7"/>
        <v>#DIV/0!</v>
      </c>
      <c r="V31" s="28">
        <f t="shared" si="7"/>
        <v>3.6685636724998791</v>
      </c>
      <c r="W31" s="28" t="e">
        <f t="shared" si="3"/>
        <v>#DIV/0!</v>
      </c>
      <c r="X31" s="25">
        <f>V31/V13</f>
        <v>2.2670488865759721E-7</v>
      </c>
    </row>
    <row r="32" spans="1:24" ht="12.75" customHeight="1" x14ac:dyDescent="0.15">
      <c r="A32" s="47"/>
      <c r="B32" s="11" t="s">
        <v>86</v>
      </c>
      <c r="C32" s="14">
        <v>33951</v>
      </c>
      <c r="D32" s="14">
        <v>81030</v>
      </c>
      <c r="E32" s="14">
        <v>165907</v>
      </c>
      <c r="F32" s="14">
        <v>144292</v>
      </c>
      <c r="G32" s="14">
        <v>168623</v>
      </c>
      <c r="H32" s="14">
        <v>197029</v>
      </c>
      <c r="I32" s="14">
        <v>161041</v>
      </c>
      <c r="J32" s="14">
        <v>154477</v>
      </c>
      <c r="K32" s="14">
        <v>181638</v>
      </c>
      <c r="L32" s="14">
        <v>148819</v>
      </c>
      <c r="M32" s="14">
        <v>183109</v>
      </c>
      <c r="N32" s="14">
        <v>201895</v>
      </c>
      <c r="O32" s="14">
        <v>184807</v>
      </c>
      <c r="P32" s="14">
        <v>194200</v>
      </c>
      <c r="Q32" s="14">
        <v>76616</v>
      </c>
      <c r="R32" s="14">
        <v>57151</v>
      </c>
      <c r="S32" s="14">
        <v>0</v>
      </c>
      <c r="T32" s="14">
        <v>0</v>
      </c>
      <c r="U32" s="14">
        <v>0</v>
      </c>
      <c r="V32" s="16">
        <f t="shared" ref="V32:V46" si="8">SUM(C32:U32)</f>
        <v>2334585</v>
      </c>
      <c r="W32" s="16">
        <f t="shared" si="3"/>
        <v>122872.89473684211</v>
      </c>
      <c r="X32" s="13">
        <f>V32/V13</f>
        <v>0.14426949611209564</v>
      </c>
    </row>
    <row r="33" spans="1:24" ht="12.75" customHeight="1" x14ac:dyDescent="0.15">
      <c r="A33" s="47"/>
      <c r="B33" s="11" t="s">
        <v>87</v>
      </c>
      <c r="C33" s="14">
        <v>0</v>
      </c>
      <c r="D33" s="14">
        <v>0</v>
      </c>
      <c r="E33" s="14">
        <v>0</v>
      </c>
      <c r="F33" s="14">
        <v>0</v>
      </c>
      <c r="G33" s="14">
        <v>9585</v>
      </c>
      <c r="H33" s="14">
        <v>0</v>
      </c>
      <c r="I33" s="14">
        <v>11715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6">
        <f t="shared" si="8"/>
        <v>21300</v>
      </c>
      <c r="W33" s="16">
        <f t="shared" si="3"/>
        <v>1121.0526315789473</v>
      </c>
      <c r="X33" s="13">
        <f>V33/V13</f>
        <v>1.3162683162907484E-3</v>
      </c>
    </row>
    <row r="34" spans="1:24" ht="12.75" customHeight="1" x14ac:dyDescent="0.15">
      <c r="A34" s="47"/>
      <c r="B34" s="11" t="s">
        <v>88</v>
      </c>
      <c r="C34" s="14">
        <v>0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6">
        <f t="shared" si="8"/>
        <v>0</v>
      </c>
      <c r="W34" s="16">
        <f t="shared" si="3"/>
        <v>0</v>
      </c>
      <c r="X34" s="13">
        <f>V34/V13</f>
        <v>0</v>
      </c>
    </row>
    <row r="35" spans="1:24" ht="12.75" customHeight="1" x14ac:dyDescent="0.15">
      <c r="A35" s="47"/>
      <c r="B35" s="17" t="s">
        <v>89</v>
      </c>
      <c r="C35" s="18">
        <f t="shared" ref="C35:U35" si="9">SUM(C32:C34)</f>
        <v>33951</v>
      </c>
      <c r="D35" s="18">
        <f t="shared" si="9"/>
        <v>81030</v>
      </c>
      <c r="E35" s="18">
        <f t="shared" si="9"/>
        <v>165907</v>
      </c>
      <c r="F35" s="18">
        <f t="shared" si="9"/>
        <v>144292</v>
      </c>
      <c r="G35" s="18">
        <f t="shared" si="9"/>
        <v>178208</v>
      </c>
      <c r="H35" s="18">
        <f t="shared" si="9"/>
        <v>197029</v>
      </c>
      <c r="I35" s="18">
        <f t="shared" si="9"/>
        <v>172756</v>
      </c>
      <c r="J35" s="18">
        <f t="shared" si="9"/>
        <v>154477</v>
      </c>
      <c r="K35" s="18">
        <f t="shared" si="9"/>
        <v>181638</v>
      </c>
      <c r="L35" s="18">
        <f t="shared" si="9"/>
        <v>148819</v>
      </c>
      <c r="M35" s="18">
        <f t="shared" si="9"/>
        <v>183109</v>
      </c>
      <c r="N35" s="18">
        <f t="shared" si="9"/>
        <v>201895</v>
      </c>
      <c r="O35" s="18">
        <f t="shared" si="9"/>
        <v>184807</v>
      </c>
      <c r="P35" s="18">
        <f t="shared" si="9"/>
        <v>194200</v>
      </c>
      <c r="Q35" s="18">
        <f t="shared" si="9"/>
        <v>76616</v>
      </c>
      <c r="R35" s="18">
        <f t="shared" si="9"/>
        <v>57151</v>
      </c>
      <c r="S35" s="18">
        <f t="shared" si="9"/>
        <v>0</v>
      </c>
      <c r="T35" s="18">
        <f t="shared" si="9"/>
        <v>0</v>
      </c>
      <c r="U35" s="18">
        <f t="shared" si="9"/>
        <v>0</v>
      </c>
      <c r="V35" s="20">
        <f t="shared" si="8"/>
        <v>2355885</v>
      </c>
      <c r="W35" s="20">
        <f t="shared" si="3"/>
        <v>123993.94736842105</v>
      </c>
      <c r="X35" s="21">
        <f>V35/V13</f>
        <v>0.14558576442838639</v>
      </c>
    </row>
    <row r="36" spans="1:24" ht="12.75" customHeight="1" x14ac:dyDescent="0.15">
      <c r="A36" s="47" t="s">
        <v>90</v>
      </c>
      <c r="B36" s="11" t="s">
        <v>91</v>
      </c>
      <c r="C36" s="14">
        <v>2008</v>
      </c>
      <c r="D36" s="14">
        <v>2008</v>
      </c>
      <c r="E36" s="14">
        <v>2008</v>
      </c>
      <c r="F36" s="14">
        <v>2008</v>
      </c>
      <c r="G36" s="14">
        <v>2008</v>
      </c>
      <c r="H36" s="14">
        <v>2008</v>
      </c>
      <c r="I36" s="14">
        <v>2451</v>
      </c>
      <c r="J36" s="14">
        <v>2008</v>
      </c>
      <c r="K36" s="14">
        <v>2012</v>
      </c>
      <c r="L36" s="14">
        <v>2008</v>
      </c>
      <c r="M36" s="14">
        <v>2008</v>
      </c>
      <c r="N36" s="14">
        <v>2008</v>
      </c>
      <c r="O36" s="14">
        <v>2008</v>
      </c>
      <c r="P36" s="14">
        <v>2008</v>
      </c>
      <c r="Q36" s="14">
        <v>2008</v>
      </c>
      <c r="R36" s="14">
        <v>2008</v>
      </c>
      <c r="S36" s="14">
        <v>0</v>
      </c>
      <c r="T36" s="14">
        <v>0</v>
      </c>
      <c r="U36" s="14">
        <v>0</v>
      </c>
      <c r="V36" s="16">
        <f t="shared" si="8"/>
        <v>32575</v>
      </c>
      <c r="W36" s="16">
        <f t="shared" si="3"/>
        <v>1714.4736842105262</v>
      </c>
      <c r="X36" s="13">
        <f>V36/V13</f>
        <v>2.013025371040898E-3</v>
      </c>
    </row>
    <row r="37" spans="1:24" ht="12.75" customHeight="1" x14ac:dyDescent="0.15">
      <c r="A37" s="47"/>
      <c r="B37" s="11" t="s">
        <v>92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6">
        <f t="shared" si="8"/>
        <v>0</v>
      </c>
      <c r="W37" s="16">
        <f t="shared" si="3"/>
        <v>0</v>
      </c>
      <c r="X37" s="13">
        <f>V37/V13</f>
        <v>0</v>
      </c>
    </row>
    <row r="38" spans="1:24" ht="12.75" customHeight="1" x14ac:dyDescent="0.15">
      <c r="A38" s="47"/>
      <c r="B38" s="11" t="s">
        <v>93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6">
        <f t="shared" si="8"/>
        <v>0</v>
      </c>
      <c r="W38" s="16">
        <f t="shared" si="3"/>
        <v>0</v>
      </c>
      <c r="X38" s="13">
        <f>V38/V13</f>
        <v>0</v>
      </c>
    </row>
    <row r="39" spans="1:24" ht="12.75" customHeight="1" x14ac:dyDescent="0.15">
      <c r="A39" s="47"/>
      <c r="B39" s="11" t="s">
        <v>94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6">
        <f t="shared" si="8"/>
        <v>0</v>
      </c>
      <c r="W39" s="16">
        <f t="shared" si="3"/>
        <v>0</v>
      </c>
      <c r="X39" s="13">
        <f>V39/V13</f>
        <v>0</v>
      </c>
    </row>
    <row r="40" spans="1:24" ht="12.75" customHeight="1" x14ac:dyDescent="0.15">
      <c r="A40" s="47"/>
      <c r="B40" s="11" t="s">
        <v>95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6">
        <f t="shared" si="8"/>
        <v>0</v>
      </c>
      <c r="W40" s="16">
        <f t="shared" si="3"/>
        <v>0</v>
      </c>
      <c r="X40" s="13">
        <f>V40/V13</f>
        <v>0</v>
      </c>
    </row>
    <row r="41" spans="1:24" ht="12.75" customHeight="1" x14ac:dyDescent="0.15">
      <c r="A41" s="47"/>
      <c r="B41" s="11" t="s">
        <v>96</v>
      </c>
      <c r="C41" s="14">
        <v>5150</v>
      </c>
      <c r="D41" s="14">
        <v>5150</v>
      </c>
      <c r="E41" s="14">
        <v>5150</v>
      </c>
      <c r="F41" s="14">
        <v>5150</v>
      </c>
      <c r="G41" s="14">
        <v>5150</v>
      </c>
      <c r="H41" s="14">
        <v>5150</v>
      </c>
      <c r="I41" s="14">
        <v>10249</v>
      </c>
      <c r="J41" s="14">
        <v>5150</v>
      </c>
      <c r="K41" s="14">
        <v>5150</v>
      </c>
      <c r="L41" s="14">
        <v>7736</v>
      </c>
      <c r="M41" s="14">
        <v>5150</v>
      </c>
      <c r="N41" s="14">
        <v>8780</v>
      </c>
      <c r="O41" s="14">
        <v>5150</v>
      </c>
      <c r="P41" s="14">
        <v>7602</v>
      </c>
      <c r="Q41" s="14">
        <v>6832</v>
      </c>
      <c r="R41" s="14">
        <v>4430</v>
      </c>
      <c r="S41" s="14">
        <v>0</v>
      </c>
      <c r="T41" s="14">
        <v>0</v>
      </c>
      <c r="U41" s="14">
        <v>0</v>
      </c>
      <c r="V41" s="16">
        <f t="shared" si="8"/>
        <v>97129</v>
      </c>
      <c r="W41" s="16">
        <f t="shared" si="3"/>
        <v>5112.0526315789475</v>
      </c>
      <c r="X41" s="13">
        <f>V41/V13</f>
        <v>6.0022453189203804E-3</v>
      </c>
    </row>
    <row r="42" spans="1:24" ht="12.75" customHeight="1" x14ac:dyDescent="0.15">
      <c r="A42" s="47"/>
      <c r="B42" s="17" t="s">
        <v>97</v>
      </c>
      <c r="C42" s="18">
        <f t="shared" ref="C42:U42" si="10">SUM(C36:C41)</f>
        <v>7158</v>
      </c>
      <c r="D42" s="18">
        <f t="shared" si="10"/>
        <v>7158</v>
      </c>
      <c r="E42" s="18">
        <f t="shared" si="10"/>
        <v>7158</v>
      </c>
      <c r="F42" s="18">
        <f t="shared" si="10"/>
        <v>7158</v>
      </c>
      <c r="G42" s="18">
        <f t="shared" si="10"/>
        <v>7158</v>
      </c>
      <c r="H42" s="18">
        <f t="shared" si="10"/>
        <v>7158</v>
      </c>
      <c r="I42" s="18">
        <f t="shared" si="10"/>
        <v>12700</v>
      </c>
      <c r="J42" s="18">
        <f t="shared" si="10"/>
        <v>7158</v>
      </c>
      <c r="K42" s="18">
        <f t="shared" si="10"/>
        <v>7162</v>
      </c>
      <c r="L42" s="18">
        <f t="shared" si="10"/>
        <v>9744</v>
      </c>
      <c r="M42" s="18">
        <f t="shared" si="10"/>
        <v>7158</v>
      </c>
      <c r="N42" s="18">
        <f t="shared" si="10"/>
        <v>10788</v>
      </c>
      <c r="O42" s="18">
        <f t="shared" si="10"/>
        <v>7158</v>
      </c>
      <c r="P42" s="18">
        <f t="shared" si="10"/>
        <v>9610</v>
      </c>
      <c r="Q42" s="18">
        <f t="shared" si="10"/>
        <v>8840</v>
      </c>
      <c r="R42" s="18">
        <f t="shared" si="10"/>
        <v>6438</v>
      </c>
      <c r="S42" s="18">
        <f t="shared" si="10"/>
        <v>0</v>
      </c>
      <c r="T42" s="18">
        <f t="shared" si="10"/>
        <v>0</v>
      </c>
      <c r="U42" s="18">
        <f t="shared" si="10"/>
        <v>0</v>
      </c>
      <c r="V42" s="20">
        <f t="shared" si="8"/>
        <v>129704</v>
      </c>
      <c r="W42" s="20">
        <f t="shared" si="3"/>
        <v>6826.5263157894733</v>
      </c>
      <c r="X42" s="21">
        <f>V42/V13</f>
        <v>8.0152706899612788E-3</v>
      </c>
    </row>
    <row r="43" spans="1:24" ht="12.75" customHeight="1" x14ac:dyDescent="0.15">
      <c r="A43" s="47" t="s">
        <v>98</v>
      </c>
      <c r="B43" s="11" t="s">
        <v>99</v>
      </c>
      <c r="C43" s="14">
        <v>23000</v>
      </c>
      <c r="D43" s="14">
        <v>3940</v>
      </c>
      <c r="E43" s="14">
        <v>99820</v>
      </c>
      <c r="F43" s="14">
        <v>77270</v>
      </c>
      <c r="G43" s="14">
        <v>91730</v>
      </c>
      <c r="H43" s="14">
        <v>117340</v>
      </c>
      <c r="I43" s="14">
        <v>121760</v>
      </c>
      <c r="J43" s="14">
        <v>75760</v>
      </c>
      <c r="K43" s="14">
        <v>94550</v>
      </c>
      <c r="L43" s="14">
        <v>83060</v>
      </c>
      <c r="M43" s="14">
        <v>103370</v>
      </c>
      <c r="N43" s="14">
        <v>131820</v>
      </c>
      <c r="O43" s="14">
        <v>119910</v>
      </c>
      <c r="P43" s="14">
        <v>129470</v>
      </c>
      <c r="Q43" s="14">
        <v>59390</v>
      </c>
      <c r="R43" s="14">
        <v>31930</v>
      </c>
      <c r="S43" s="14">
        <v>0</v>
      </c>
      <c r="T43" s="14">
        <v>0</v>
      </c>
      <c r="U43" s="14">
        <v>0</v>
      </c>
      <c r="V43" s="16">
        <f t="shared" si="8"/>
        <v>1364120</v>
      </c>
      <c r="W43" s="16">
        <f t="shared" si="3"/>
        <v>71795.789473684214</v>
      </c>
      <c r="X43" s="13">
        <f>V43/V13</f>
        <v>8.4298025146410133E-2</v>
      </c>
    </row>
    <row r="44" spans="1:24" ht="12.75" customHeight="1" x14ac:dyDescent="0.15">
      <c r="A44" s="47"/>
      <c r="B44" s="11" t="s">
        <v>100</v>
      </c>
      <c r="C44" s="14">
        <v>-23000</v>
      </c>
      <c r="D44" s="14">
        <v>-3020</v>
      </c>
      <c r="E44" s="14">
        <v>-45995</v>
      </c>
      <c r="F44" s="14">
        <v>-24644</v>
      </c>
      <c r="G44" s="14">
        <v>-42336</v>
      </c>
      <c r="H44" s="14">
        <v>-63515</v>
      </c>
      <c r="I44" s="14">
        <v>-62554</v>
      </c>
      <c r="J44" s="14">
        <v>-41766</v>
      </c>
      <c r="K44" s="14">
        <v>-33888</v>
      </c>
      <c r="L44" s="14">
        <v>-36657</v>
      </c>
      <c r="M44" s="14">
        <v>-61487</v>
      </c>
      <c r="N44" s="14">
        <v>-49486</v>
      </c>
      <c r="O44" s="14">
        <v>-62202</v>
      </c>
      <c r="P44" s="14">
        <v>-51315</v>
      </c>
      <c r="Q44" s="14">
        <v>-45270</v>
      </c>
      <c r="R44" s="14">
        <v>-38020</v>
      </c>
      <c r="S44" s="14">
        <v>0</v>
      </c>
      <c r="T44" s="14">
        <v>0</v>
      </c>
      <c r="U44" s="14">
        <v>0</v>
      </c>
      <c r="V44" s="16">
        <f t="shared" si="8"/>
        <v>-685155</v>
      </c>
      <c r="W44" s="16">
        <f t="shared" si="3"/>
        <v>-36060.789473684214</v>
      </c>
      <c r="X44" s="13">
        <f>V44/V13</f>
        <v>-4.2340273157191917E-2</v>
      </c>
    </row>
    <row r="45" spans="1:24" ht="12.75" customHeight="1" x14ac:dyDescent="0.15">
      <c r="A45" s="47"/>
      <c r="B45" s="11" t="s">
        <v>101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6">
        <f t="shared" si="8"/>
        <v>0</v>
      </c>
      <c r="W45" s="16">
        <f t="shared" si="3"/>
        <v>0</v>
      </c>
      <c r="X45" s="13">
        <f>V45/V13</f>
        <v>0</v>
      </c>
    </row>
    <row r="46" spans="1:24" ht="12.75" customHeight="1" x14ac:dyDescent="0.15">
      <c r="A46" s="47"/>
      <c r="B46" s="11" t="s">
        <v>102</v>
      </c>
      <c r="C46" s="14">
        <v>-7360</v>
      </c>
      <c r="D46" s="14">
        <v>-1260.8</v>
      </c>
      <c r="E46" s="14">
        <v>-31942.400000000001</v>
      </c>
      <c r="F46" s="14">
        <v>-24726.400000000001</v>
      </c>
      <c r="G46" s="14">
        <v>-29353.599999999999</v>
      </c>
      <c r="H46" s="14">
        <v>-37548.800000000003</v>
      </c>
      <c r="I46" s="14">
        <v>-38963.199999999997</v>
      </c>
      <c r="J46" s="14">
        <v>-24243.200000000001</v>
      </c>
      <c r="K46" s="14">
        <v>-30256</v>
      </c>
      <c r="L46" s="14">
        <v>-26579.200000000001</v>
      </c>
      <c r="M46" s="14">
        <v>-33078.400000000001</v>
      </c>
      <c r="N46" s="14">
        <v>-42182.400000000001</v>
      </c>
      <c r="O46" s="14">
        <v>-38371.199999999997</v>
      </c>
      <c r="P46" s="14">
        <v>-41430.400000000001</v>
      </c>
      <c r="Q46" s="14">
        <v>-19004.8</v>
      </c>
      <c r="R46" s="14">
        <v>-10217.6</v>
      </c>
      <c r="S46" s="14">
        <v>0</v>
      </c>
      <c r="T46" s="14">
        <v>0</v>
      </c>
      <c r="U46" s="14">
        <v>0</v>
      </c>
      <c r="V46" s="16">
        <f t="shared" si="8"/>
        <v>-436518.40000000008</v>
      </c>
      <c r="W46" s="16">
        <f>AVERAGE(B46:U46)</f>
        <v>-22974.652631578952</v>
      </c>
      <c r="X46" s="13">
        <f>V46/V13</f>
        <v>-2.6975368046851248E-2</v>
      </c>
    </row>
    <row r="47" spans="1:24" ht="12.75" customHeight="1" x14ac:dyDescent="0.15">
      <c r="A47" s="47"/>
      <c r="B47" s="17" t="s">
        <v>103</v>
      </c>
      <c r="C47" s="18">
        <f t="shared" ref="C47:V47" si="11">SUM(C43:C46)</f>
        <v>-7360</v>
      </c>
      <c r="D47" s="18">
        <f t="shared" si="11"/>
        <v>-340.79999999999995</v>
      </c>
      <c r="E47" s="18">
        <f t="shared" si="11"/>
        <v>21882.6</v>
      </c>
      <c r="F47" s="18">
        <f t="shared" si="11"/>
        <v>27899.599999999999</v>
      </c>
      <c r="G47" s="18">
        <f t="shared" si="11"/>
        <v>20040.400000000001</v>
      </c>
      <c r="H47" s="18">
        <f t="shared" si="11"/>
        <v>16276.199999999997</v>
      </c>
      <c r="I47" s="18">
        <f t="shared" si="11"/>
        <v>20242.800000000003</v>
      </c>
      <c r="J47" s="18">
        <f t="shared" si="11"/>
        <v>9750.7999999999993</v>
      </c>
      <c r="K47" s="18">
        <f t="shared" si="11"/>
        <v>30406</v>
      </c>
      <c r="L47" s="18">
        <f t="shared" si="11"/>
        <v>19823.8</v>
      </c>
      <c r="M47" s="18">
        <f t="shared" si="11"/>
        <v>8804.5999999999985</v>
      </c>
      <c r="N47" s="18">
        <f t="shared" si="11"/>
        <v>40151.599999999999</v>
      </c>
      <c r="O47" s="18">
        <f t="shared" si="11"/>
        <v>19336.800000000003</v>
      </c>
      <c r="P47" s="18">
        <f t="shared" si="11"/>
        <v>36724.6</v>
      </c>
      <c r="Q47" s="18">
        <f t="shared" si="11"/>
        <v>-4884.7999999999993</v>
      </c>
      <c r="R47" s="18">
        <f t="shared" si="11"/>
        <v>-16307.6</v>
      </c>
      <c r="S47" s="18">
        <f t="shared" si="11"/>
        <v>0</v>
      </c>
      <c r="T47" s="18">
        <f t="shared" si="11"/>
        <v>0</v>
      </c>
      <c r="U47" s="18">
        <f t="shared" si="11"/>
        <v>0</v>
      </c>
      <c r="V47" s="20">
        <f t="shared" si="11"/>
        <v>242446.59999999992</v>
      </c>
      <c r="W47" s="20">
        <f>AVERAGE(B47:U47)</f>
        <v>12760.347368421053</v>
      </c>
      <c r="X47" s="21">
        <f>V47/V13</f>
        <v>1.4982383942366971E-2</v>
      </c>
    </row>
    <row r="48" spans="1:24" ht="12.75" customHeight="1" x14ac:dyDescent="0.15">
      <c r="A48" s="47" t="s">
        <v>104</v>
      </c>
      <c r="B48" s="11" t="s">
        <v>105</v>
      </c>
      <c r="C48" s="14">
        <v>93755</v>
      </c>
      <c r="D48" s="14">
        <v>361628</v>
      </c>
      <c r="E48" s="14">
        <v>549138</v>
      </c>
      <c r="F48" s="14">
        <v>361627</v>
      </c>
      <c r="G48" s="14">
        <v>375021</v>
      </c>
      <c r="H48" s="14">
        <v>334840</v>
      </c>
      <c r="I48" s="14">
        <v>254479</v>
      </c>
      <c r="J48" s="14">
        <v>535744</v>
      </c>
      <c r="K48" s="14">
        <v>321447</v>
      </c>
      <c r="L48" s="14">
        <v>334840</v>
      </c>
      <c r="M48" s="14">
        <v>361627</v>
      </c>
      <c r="N48" s="14">
        <v>294660</v>
      </c>
      <c r="O48" s="14">
        <v>294659</v>
      </c>
      <c r="P48" s="14">
        <v>281264</v>
      </c>
      <c r="Q48" s="14">
        <v>147330</v>
      </c>
      <c r="R48" s="14">
        <v>107148</v>
      </c>
      <c r="S48" s="14">
        <v>0</v>
      </c>
      <c r="T48" s="14">
        <v>0</v>
      </c>
      <c r="U48" s="14">
        <v>0</v>
      </c>
      <c r="V48" s="16">
        <f t="shared" ref="V48:V65" si="12">SUM(C48:U48)</f>
        <v>5009207</v>
      </c>
      <c r="W48" s="16">
        <f t="shared" ref="W48:W65" si="13">AVERAGE(C48:U48)</f>
        <v>263642.4736842105</v>
      </c>
      <c r="X48" s="13">
        <f>V48/V13</f>
        <v>0.30955213445266816</v>
      </c>
    </row>
    <row r="49" spans="1:24" ht="12.75" customHeight="1" x14ac:dyDescent="0.15">
      <c r="A49" s="47"/>
      <c r="B49" s="11" t="s">
        <v>106</v>
      </c>
      <c r="C49" s="14">
        <v>6145</v>
      </c>
      <c r="D49" s="14">
        <v>23701</v>
      </c>
      <c r="E49" s="14">
        <v>35991</v>
      </c>
      <c r="F49" s="14">
        <v>23701</v>
      </c>
      <c r="G49" s="14">
        <v>24579</v>
      </c>
      <c r="H49" s="14">
        <v>21946</v>
      </c>
      <c r="I49" s="14">
        <v>16679</v>
      </c>
      <c r="J49" s="14">
        <v>35113</v>
      </c>
      <c r="K49" s="14">
        <v>21068</v>
      </c>
      <c r="L49" s="14">
        <v>21945</v>
      </c>
      <c r="M49" s="14">
        <v>23701</v>
      </c>
      <c r="N49" s="14">
        <v>19312</v>
      </c>
      <c r="O49" s="14">
        <v>19312</v>
      </c>
      <c r="P49" s="14">
        <v>18434</v>
      </c>
      <c r="Q49" s="14">
        <v>9656</v>
      </c>
      <c r="R49" s="14">
        <v>7022</v>
      </c>
      <c r="S49" s="14">
        <v>0</v>
      </c>
      <c r="T49" s="14">
        <v>0</v>
      </c>
      <c r="U49" s="14">
        <v>0</v>
      </c>
      <c r="V49" s="16">
        <f t="shared" si="12"/>
        <v>328305</v>
      </c>
      <c r="W49" s="16">
        <f t="shared" si="13"/>
        <v>17279.21052631579</v>
      </c>
      <c r="X49" s="13">
        <f>V49/V13</f>
        <v>2.0288144111729304E-2</v>
      </c>
    </row>
    <row r="50" spans="1:24" ht="12.75" customHeight="1" x14ac:dyDescent="0.15">
      <c r="A50" s="47"/>
      <c r="B50" s="11" t="s">
        <v>107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4">
        <v>0</v>
      </c>
      <c r="S50" s="14">
        <v>0</v>
      </c>
      <c r="T50" s="14">
        <v>0</v>
      </c>
      <c r="U50" s="14">
        <v>0</v>
      </c>
      <c r="V50" s="16">
        <f t="shared" si="12"/>
        <v>0</v>
      </c>
      <c r="W50" s="16">
        <f t="shared" si="13"/>
        <v>0</v>
      </c>
      <c r="X50" s="13">
        <f>V50/V13</f>
        <v>0</v>
      </c>
    </row>
    <row r="51" spans="1:24" ht="12.75" customHeight="1" x14ac:dyDescent="0.15">
      <c r="A51" s="47"/>
      <c r="B51" s="11" t="s">
        <v>108</v>
      </c>
      <c r="C51" s="14">
        <v>17801</v>
      </c>
      <c r="D51" s="14">
        <v>68662</v>
      </c>
      <c r="E51" s="14">
        <v>104265</v>
      </c>
      <c r="F51" s="14">
        <v>68662</v>
      </c>
      <c r="G51" s="14">
        <v>71205</v>
      </c>
      <c r="H51" s="14">
        <v>63576</v>
      </c>
      <c r="I51" s="14">
        <v>48318</v>
      </c>
      <c r="J51" s="14">
        <v>101722</v>
      </c>
      <c r="K51" s="14">
        <v>61033</v>
      </c>
      <c r="L51" s="14">
        <v>63576</v>
      </c>
      <c r="M51" s="14">
        <v>68662</v>
      </c>
      <c r="N51" s="14">
        <v>55947</v>
      </c>
      <c r="O51" s="14">
        <v>55947</v>
      </c>
      <c r="P51" s="14">
        <v>53404</v>
      </c>
      <c r="Q51" s="14">
        <v>27973</v>
      </c>
      <c r="R51" s="14">
        <v>20344</v>
      </c>
      <c r="S51" s="14">
        <v>0</v>
      </c>
      <c r="T51" s="14">
        <v>0</v>
      </c>
      <c r="U51" s="14">
        <v>0</v>
      </c>
      <c r="V51" s="16">
        <f t="shared" si="12"/>
        <v>951097</v>
      </c>
      <c r="W51" s="16">
        <f t="shared" si="13"/>
        <v>50057.73684210526</v>
      </c>
      <c r="X51" s="13">
        <f>V51/V13</f>
        <v>5.8774593747379436E-2</v>
      </c>
    </row>
    <row r="52" spans="1:24" ht="12.75" customHeight="1" x14ac:dyDescent="0.15">
      <c r="A52" s="47"/>
      <c r="B52" s="11" t="s">
        <v>109</v>
      </c>
      <c r="C52" s="14">
        <v>1078</v>
      </c>
      <c r="D52" s="14">
        <v>4154</v>
      </c>
      <c r="E52" s="14">
        <v>6308</v>
      </c>
      <c r="F52" s="14">
        <v>4154</v>
      </c>
      <c r="G52" s="14">
        <v>4308</v>
      </c>
      <c r="H52" s="14">
        <v>3846</v>
      </c>
      <c r="I52" s="14">
        <v>2923</v>
      </c>
      <c r="J52" s="14">
        <v>6154</v>
      </c>
      <c r="K52" s="14">
        <v>3693</v>
      </c>
      <c r="L52" s="14">
        <v>3846</v>
      </c>
      <c r="M52" s="14">
        <v>4155</v>
      </c>
      <c r="N52" s="14">
        <v>3385</v>
      </c>
      <c r="O52" s="14">
        <v>3386</v>
      </c>
      <c r="P52" s="14">
        <v>3230</v>
      </c>
      <c r="Q52" s="14">
        <v>1693</v>
      </c>
      <c r="R52" s="14">
        <v>1228</v>
      </c>
      <c r="S52" s="14">
        <v>0</v>
      </c>
      <c r="T52" s="14">
        <v>0</v>
      </c>
      <c r="U52" s="14">
        <v>0</v>
      </c>
      <c r="V52" s="16">
        <f t="shared" si="12"/>
        <v>57541</v>
      </c>
      <c r="W52" s="16">
        <f t="shared" si="13"/>
        <v>3028.4736842105262</v>
      </c>
      <c r="X52" s="13">
        <f>V52/V13</f>
        <v>3.5558401496566176E-3</v>
      </c>
    </row>
    <row r="53" spans="1:24" ht="12.75" customHeight="1" x14ac:dyDescent="0.15">
      <c r="A53" s="47"/>
      <c r="B53" s="17" t="s">
        <v>110</v>
      </c>
      <c r="C53" s="18">
        <f t="shared" ref="C53:U53" si="14">SUM(C48:C52)</f>
        <v>118779</v>
      </c>
      <c r="D53" s="18">
        <f t="shared" si="14"/>
        <v>458145</v>
      </c>
      <c r="E53" s="18">
        <f t="shared" si="14"/>
        <v>695702</v>
      </c>
      <c r="F53" s="18">
        <f t="shared" si="14"/>
        <v>458144</v>
      </c>
      <c r="G53" s="18">
        <f t="shared" si="14"/>
        <v>475113</v>
      </c>
      <c r="H53" s="18">
        <f t="shared" si="14"/>
        <v>424208</v>
      </c>
      <c r="I53" s="18">
        <f t="shared" si="14"/>
        <v>322399</v>
      </c>
      <c r="J53" s="18">
        <f t="shared" si="14"/>
        <v>678733</v>
      </c>
      <c r="K53" s="18">
        <f t="shared" si="14"/>
        <v>407241</v>
      </c>
      <c r="L53" s="18">
        <f t="shared" si="14"/>
        <v>424207</v>
      </c>
      <c r="M53" s="18">
        <f t="shared" si="14"/>
        <v>458145</v>
      </c>
      <c r="N53" s="18">
        <f t="shared" si="14"/>
        <v>373304</v>
      </c>
      <c r="O53" s="18">
        <f t="shared" si="14"/>
        <v>373304</v>
      </c>
      <c r="P53" s="18">
        <f t="shared" si="14"/>
        <v>356332</v>
      </c>
      <c r="Q53" s="18">
        <f t="shared" si="14"/>
        <v>186652</v>
      </c>
      <c r="R53" s="18">
        <f t="shared" si="14"/>
        <v>135742</v>
      </c>
      <c r="S53" s="18">
        <f t="shared" si="14"/>
        <v>0</v>
      </c>
      <c r="T53" s="18">
        <f t="shared" si="14"/>
        <v>0</v>
      </c>
      <c r="U53" s="18">
        <f t="shared" si="14"/>
        <v>0</v>
      </c>
      <c r="V53" s="20">
        <f t="shared" si="12"/>
        <v>6346150</v>
      </c>
      <c r="W53" s="20">
        <f t="shared" si="13"/>
        <v>334007.89473684208</v>
      </c>
      <c r="X53" s="21">
        <f>V53/V13</f>
        <v>0.39217071246143348</v>
      </c>
    </row>
    <row r="54" spans="1:24" ht="12.75" customHeight="1" x14ac:dyDescent="0.15">
      <c r="A54" s="47" t="s">
        <v>111</v>
      </c>
      <c r="B54" s="11" t="s">
        <v>112</v>
      </c>
      <c r="C54" s="14">
        <v>6941.1764705882351</v>
      </c>
      <c r="D54" s="14">
        <v>6941.1764705882351</v>
      </c>
      <c r="E54" s="14">
        <v>6941.1764705882351</v>
      </c>
      <c r="F54" s="14">
        <v>6941.1764705882351</v>
      </c>
      <c r="G54" s="14">
        <v>6941.1764705882351</v>
      </c>
      <c r="H54" s="14">
        <v>6941.1764705882351</v>
      </c>
      <c r="I54" s="14">
        <v>6941.1764705882351</v>
      </c>
      <c r="J54" s="14">
        <v>6941.1764705882351</v>
      </c>
      <c r="K54" s="14">
        <v>6941.1764705882351</v>
      </c>
      <c r="L54" s="14">
        <v>6941.1764705882351</v>
      </c>
      <c r="M54" s="14">
        <v>6941.1764705882351</v>
      </c>
      <c r="N54" s="14">
        <v>6941.1764705882351</v>
      </c>
      <c r="O54" s="14">
        <v>6941.1764705882351</v>
      </c>
      <c r="P54" s="14">
        <v>6941.1764705882351</v>
      </c>
      <c r="Q54" s="14">
        <v>6941.1764705882351</v>
      </c>
      <c r="R54" s="14">
        <v>6941.1764705882351</v>
      </c>
      <c r="S54" s="14">
        <v>6941.1764705882351</v>
      </c>
      <c r="T54" s="14">
        <v>0</v>
      </c>
      <c r="U54" s="14">
        <v>0</v>
      </c>
      <c r="V54" s="16">
        <f t="shared" si="12"/>
        <v>118000.00000000003</v>
      </c>
      <c r="W54" s="16">
        <f t="shared" si="13"/>
        <v>6210.5263157894751</v>
      </c>
      <c r="X54" s="13">
        <f>V54/V13</f>
        <v>7.2920028789816129E-3</v>
      </c>
    </row>
    <row r="55" spans="1:24" ht="12.75" customHeight="1" x14ac:dyDescent="0.15">
      <c r="A55" s="47"/>
      <c r="B55" s="11" t="s">
        <v>113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6">
        <f t="shared" si="12"/>
        <v>0</v>
      </c>
      <c r="W55" s="16">
        <f t="shared" si="13"/>
        <v>0</v>
      </c>
      <c r="X55" s="13">
        <f>V55/V13</f>
        <v>0</v>
      </c>
    </row>
    <row r="56" spans="1:24" ht="12.75" customHeight="1" x14ac:dyDescent="0.15">
      <c r="A56" s="47"/>
      <c r="B56" s="11" t="s">
        <v>114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4">
        <v>0</v>
      </c>
      <c r="S56" s="14">
        <v>0</v>
      </c>
      <c r="T56" s="14">
        <v>0</v>
      </c>
      <c r="U56" s="14">
        <v>0</v>
      </c>
      <c r="V56" s="16">
        <f t="shared" si="12"/>
        <v>0</v>
      </c>
      <c r="W56" s="16">
        <f t="shared" si="13"/>
        <v>0</v>
      </c>
      <c r="X56" s="13">
        <f>V56/V13</f>
        <v>0</v>
      </c>
    </row>
    <row r="57" spans="1:24" ht="12.75" customHeight="1" x14ac:dyDescent="0.15">
      <c r="A57" s="47"/>
      <c r="B57" s="11" t="s">
        <v>115</v>
      </c>
      <c r="C57" s="14">
        <v>0</v>
      </c>
      <c r="D57" s="14">
        <v>0</v>
      </c>
      <c r="E57" s="14">
        <v>0</v>
      </c>
      <c r="F57" s="14">
        <v>291458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4">
        <v>0</v>
      </c>
      <c r="P57" s="14">
        <v>0</v>
      </c>
      <c r="Q57" s="14">
        <v>0</v>
      </c>
      <c r="R57" s="14">
        <v>0</v>
      </c>
      <c r="S57" s="14">
        <v>0</v>
      </c>
      <c r="T57" s="14">
        <v>0</v>
      </c>
      <c r="U57" s="14">
        <v>0</v>
      </c>
      <c r="V57" s="16">
        <f t="shared" si="12"/>
        <v>291458</v>
      </c>
      <c r="W57" s="16">
        <f t="shared" si="13"/>
        <v>15339.894736842105</v>
      </c>
      <c r="X57" s="13">
        <f>V57/V13</f>
        <v>1.8011123517815444E-2</v>
      </c>
    </row>
    <row r="58" spans="1:24" ht="12.75" customHeight="1" x14ac:dyDescent="0.15">
      <c r="A58" s="47"/>
      <c r="B58" s="11" t="s">
        <v>116</v>
      </c>
      <c r="C58" s="14">
        <v>106454.70588235294</v>
      </c>
      <c r="D58" s="14">
        <v>106454.70588235294</v>
      </c>
      <c r="E58" s="14">
        <v>106454.70588235294</v>
      </c>
      <c r="F58" s="14">
        <v>106454.70588235294</v>
      </c>
      <c r="G58" s="14">
        <v>106454.70588235294</v>
      </c>
      <c r="H58" s="14">
        <v>106454.70588235294</v>
      </c>
      <c r="I58" s="14">
        <v>106454.70588235294</v>
      </c>
      <c r="J58" s="14">
        <v>106454.70588235294</v>
      </c>
      <c r="K58" s="14">
        <v>106454.70588235294</v>
      </c>
      <c r="L58" s="14">
        <v>106454.70588235294</v>
      </c>
      <c r="M58" s="14">
        <v>106454.70588235294</v>
      </c>
      <c r="N58" s="14">
        <v>106454.70588235294</v>
      </c>
      <c r="O58" s="14">
        <v>106454.70588235294</v>
      </c>
      <c r="P58" s="14">
        <v>106454.70588235294</v>
      </c>
      <c r="Q58" s="14">
        <v>106454.70588235294</v>
      </c>
      <c r="R58" s="14">
        <v>106454.70588235294</v>
      </c>
      <c r="S58" s="14">
        <v>106454.70588235294</v>
      </c>
      <c r="T58" s="14">
        <v>0</v>
      </c>
      <c r="U58" s="14">
        <v>0</v>
      </c>
      <c r="V58" s="16">
        <f t="shared" si="12"/>
        <v>1809730.0000000002</v>
      </c>
      <c r="W58" s="16">
        <f t="shared" si="13"/>
        <v>95248.947368421068</v>
      </c>
      <c r="X58" s="13">
        <f>V58/V13</f>
        <v>0.11183522347609655</v>
      </c>
    </row>
    <row r="59" spans="1:24" ht="12.75" customHeight="1" x14ac:dyDescent="0.15">
      <c r="A59" s="47"/>
      <c r="B59" s="11" t="s">
        <v>117</v>
      </c>
      <c r="C59" s="14">
        <v>81606.941176470587</v>
      </c>
      <c r="D59" s="14">
        <v>81606.941176470587</v>
      </c>
      <c r="E59" s="14">
        <v>81606.941176470587</v>
      </c>
      <c r="F59" s="14">
        <v>81606.941176470587</v>
      </c>
      <c r="G59" s="14">
        <v>81606.941176470587</v>
      </c>
      <c r="H59" s="14">
        <v>81606.941176470587</v>
      </c>
      <c r="I59" s="14">
        <v>81606.941176470587</v>
      </c>
      <c r="J59" s="14">
        <v>81606.941176470587</v>
      </c>
      <c r="K59" s="14">
        <v>81606.941176470587</v>
      </c>
      <c r="L59" s="14">
        <v>81606.941176470587</v>
      </c>
      <c r="M59" s="14">
        <v>81606.941176470587</v>
      </c>
      <c r="N59" s="14">
        <v>81606.941176470587</v>
      </c>
      <c r="O59" s="14">
        <v>81606.941176470587</v>
      </c>
      <c r="P59" s="14">
        <v>81606.941176470587</v>
      </c>
      <c r="Q59" s="14">
        <v>81606.941176470587</v>
      </c>
      <c r="R59" s="14">
        <v>81606.941176470587</v>
      </c>
      <c r="S59" s="14">
        <v>81606.941176470587</v>
      </c>
      <c r="T59" s="14">
        <v>0</v>
      </c>
      <c r="U59" s="14">
        <v>0</v>
      </c>
      <c r="V59" s="16">
        <f t="shared" si="12"/>
        <v>1387318</v>
      </c>
      <c r="W59" s="16">
        <f t="shared" si="13"/>
        <v>73016.736842105267</v>
      </c>
      <c r="X59" s="13">
        <f>V59/V13</f>
        <v>8.5731583475110257E-2</v>
      </c>
    </row>
    <row r="60" spans="1:24" ht="12.75" customHeight="1" x14ac:dyDescent="0.15">
      <c r="A60" s="47"/>
      <c r="B60" s="17" t="s">
        <v>118</v>
      </c>
      <c r="C60" s="18">
        <f t="shared" ref="C60:U60" si="15">SUM(C54:C59)</f>
        <v>195002.82352941175</v>
      </c>
      <c r="D60" s="18">
        <f t="shared" si="15"/>
        <v>195002.82352941175</v>
      </c>
      <c r="E60" s="18">
        <f t="shared" si="15"/>
        <v>195002.82352941175</v>
      </c>
      <c r="F60" s="18">
        <f t="shared" si="15"/>
        <v>486460.82352941181</v>
      </c>
      <c r="G60" s="18">
        <f t="shared" si="15"/>
        <v>195002.82352941175</v>
      </c>
      <c r="H60" s="18">
        <f t="shared" si="15"/>
        <v>195002.82352941175</v>
      </c>
      <c r="I60" s="18">
        <f t="shared" si="15"/>
        <v>195002.82352941175</v>
      </c>
      <c r="J60" s="18">
        <f t="shared" si="15"/>
        <v>195002.82352941175</v>
      </c>
      <c r="K60" s="18">
        <f t="shared" si="15"/>
        <v>195002.82352941175</v>
      </c>
      <c r="L60" s="18">
        <f t="shared" si="15"/>
        <v>195002.82352941175</v>
      </c>
      <c r="M60" s="18">
        <f t="shared" si="15"/>
        <v>195002.82352941175</v>
      </c>
      <c r="N60" s="18">
        <f t="shared" si="15"/>
        <v>195002.82352941175</v>
      </c>
      <c r="O60" s="18">
        <f t="shared" si="15"/>
        <v>195002.82352941175</v>
      </c>
      <c r="P60" s="18">
        <f t="shared" si="15"/>
        <v>195002.82352941175</v>
      </c>
      <c r="Q60" s="18">
        <f t="shared" si="15"/>
        <v>195002.82352941175</v>
      </c>
      <c r="R60" s="18">
        <f t="shared" si="15"/>
        <v>195002.82352941175</v>
      </c>
      <c r="S60" s="18">
        <f t="shared" si="15"/>
        <v>195002.82352941175</v>
      </c>
      <c r="T60" s="18">
        <f t="shared" si="15"/>
        <v>0</v>
      </c>
      <c r="U60" s="18">
        <f t="shared" si="15"/>
        <v>0</v>
      </c>
      <c r="V60" s="20">
        <f t="shared" si="12"/>
        <v>3606505.9999999986</v>
      </c>
      <c r="W60" s="20">
        <f t="shared" si="13"/>
        <v>189816.10526315783</v>
      </c>
      <c r="X60" s="21">
        <f>V60/V13</f>
        <v>0.22286993334800376</v>
      </c>
    </row>
    <row r="61" spans="1:24" ht="12.75" customHeight="1" x14ac:dyDescent="0.15">
      <c r="A61" s="46" t="s">
        <v>119</v>
      </c>
      <c r="B61" s="46"/>
      <c r="C61" s="14">
        <f t="shared" ref="C61:U61" si="16">SUM(C53+C23+C29+C35+C42+C47+C60)</f>
        <v>432764.25210084033</v>
      </c>
      <c r="D61" s="14">
        <f t="shared" si="16"/>
        <v>955049.4521008404</v>
      </c>
      <c r="E61" s="14">
        <f t="shared" si="16"/>
        <v>1157663.2806722689</v>
      </c>
      <c r="F61" s="14">
        <f t="shared" si="16"/>
        <v>1299448.7092436976</v>
      </c>
      <c r="G61" s="14">
        <f t="shared" si="16"/>
        <v>935927.22352941171</v>
      </c>
      <c r="H61" s="14">
        <f t="shared" si="16"/>
        <v>912356.59495798312</v>
      </c>
      <c r="I61" s="14">
        <f t="shared" si="16"/>
        <v>1388219.6235294119</v>
      </c>
      <c r="J61" s="14">
        <f t="shared" si="16"/>
        <v>1157706.9092436975</v>
      </c>
      <c r="K61" s="14">
        <f t="shared" si="16"/>
        <v>870148.53781512612</v>
      </c>
      <c r="L61" s="14">
        <f t="shared" si="16"/>
        <v>1027732.3378151262</v>
      </c>
      <c r="M61" s="14">
        <f t="shared" si="16"/>
        <v>934056.99495798326</v>
      </c>
      <c r="N61" s="14">
        <f t="shared" si="16"/>
        <v>1108633.137815126</v>
      </c>
      <c r="O61" s="14">
        <f t="shared" si="16"/>
        <v>929200.62352941185</v>
      </c>
      <c r="P61" s="14">
        <f t="shared" si="16"/>
        <v>961068.99495798326</v>
      </c>
      <c r="Q61" s="14">
        <f t="shared" si="16"/>
        <v>562984.88067226892</v>
      </c>
      <c r="R61" s="14">
        <f t="shared" si="16"/>
        <v>452657.08067226887</v>
      </c>
      <c r="S61" s="14">
        <f t="shared" si="16"/>
        <v>195002.82352941175</v>
      </c>
      <c r="T61" s="14">
        <f t="shared" si="16"/>
        <v>0</v>
      </c>
      <c r="U61" s="14">
        <f t="shared" si="16"/>
        <v>7075</v>
      </c>
      <c r="V61" s="16">
        <f t="shared" si="12"/>
        <v>15287696.457142858</v>
      </c>
      <c r="W61" s="16">
        <f t="shared" si="13"/>
        <v>804615.6030075188</v>
      </c>
      <c r="X61" s="13">
        <f>V61/V13</f>
        <v>0.94472819134307373</v>
      </c>
    </row>
    <row r="62" spans="1:24" ht="12.75" customHeight="1" x14ac:dyDescent="0.15">
      <c r="A62" s="46" t="s">
        <v>120</v>
      </c>
      <c r="B62" s="46"/>
      <c r="C62" s="14">
        <f>SUM(C13+C14-C61)</f>
        <v>-135928.25210084033</v>
      </c>
      <c r="D62" s="14">
        <f t="shared" ref="D62:U62" si="17">SUM(D13+D14-D61)</f>
        <v>-157146.4521008404</v>
      </c>
      <c r="E62" s="14">
        <f t="shared" si="17"/>
        <v>51576.719327731058</v>
      </c>
      <c r="F62" s="14">
        <f t="shared" si="17"/>
        <v>-80968.70924369758</v>
      </c>
      <c r="G62" s="14">
        <f t="shared" si="17"/>
        <v>323812.77647058829</v>
      </c>
      <c r="H62" s="14">
        <f t="shared" si="17"/>
        <v>325693.40504201688</v>
      </c>
      <c r="I62" s="14">
        <f t="shared" si="17"/>
        <v>-301259.62352941185</v>
      </c>
      <c r="J62" s="14">
        <f t="shared" si="17"/>
        <v>46913.090756302467</v>
      </c>
      <c r="K62" s="14">
        <f t="shared" si="17"/>
        <v>363571.46218487388</v>
      </c>
      <c r="L62" s="14">
        <f t="shared" si="17"/>
        <v>186127.66218487383</v>
      </c>
      <c r="M62" s="14">
        <f t="shared" si="17"/>
        <v>275183.00504201674</v>
      </c>
      <c r="N62" s="14">
        <f t="shared" si="17"/>
        <v>161256.86218487401</v>
      </c>
      <c r="O62" s="14">
        <f t="shared" si="17"/>
        <v>293899.37647058815</v>
      </c>
      <c r="P62" s="14">
        <f t="shared" si="17"/>
        <v>306311.00504201674</v>
      </c>
      <c r="Q62" s="14">
        <f t="shared" si="17"/>
        <v>301015.11932773108</v>
      </c>
      <c r="R62" s="14">
        <f t="shared" si="17"/>
        <v>411342.91932773113</v>
      </c>
      <c r="S62" s="14">
        <f t="shared" si="17"/>
        <v>-178002.82352941175</v>
      </c>
      <c r="T62" s="14">
        <f t="shared" si="17"/>
        <v>25152</v>
      </c>
      <c r="U62" s="14">
        <f t="shared" si="17"/>
        <v>-7075</v>
      </c>
      <c r="V62" s="16">
        <f t="shared" si="12"/>
        <v>2211474.5428571426</v>
      </c>
      <c r="W62" s="16">
        <f t="shared" si="13"/>
        <v>116393.3969924812</v>
      </c>
      <c r="X62" s="13">
        <f>V62/V13</f>
        <v>0.13666168418058328</v>
      </c>
    </row>
    <row r="63" spans="1:24" ht="12.75" customHeight="1" x14ac:dyDescent="0.15">
      <c r="A63" s="46" t="s">
        <v>121</v>
      </c>
      <c r="B63" s="46"/>
      <c r="C63" s="14">
        <v>104592.76190476191</v>
      </c>
      <c r="D63" s="14">
        <v>104592.76190476191</v>
      </c>
      <c r="E63" s="14">
        <v>104592.76190476191</v>
      </c>
      <c r="F63" s="14">
        <v>104592.76190476191</v>
      </c>
      <c r="G63" s="14">
        <v>104592.76190476191</v>
      </c>
      <c r="H63" s="14">
        <v>104592.76190476191</v>
      </c>
      <c r="I63" s="14">
        <v>104592.76190476191</v>
      </c>
      <c r="J63" s="14">
        <v>104592.76190476191</v>
      </c>
      <c r="K63" s="14">
        <v>104592.76190476191</v>
      </c>
      <c r="L63" s="14">
        <v>104592.76190476191</v>
      </c>
      <c r="M63" s="14">
        <v>104592.76190476191</v>
      </c>
      <c r="N63" s="14">
        <v>104592.76190476191</v>
      </c>
      <c r="O63" s="14">
        <v>104592.76190476191</v>
      </c>
      <c r="P63" s="14">
        <v>104592.76190476191</v>
      </c>
      <c r="Q63" s="14">
        <v>104592.76190476191</v>
      </c>
      <c r="R63" s="14">
        <v>104592.76190476191</v>
      </c>
      <c r="S63" s="14">
        <v>0</v>
      </c>
      <c r="T63" s="14">
        <v>0</v>
      </c>
      <c r="U63" s="14">
        <v>104592.76190476191</v>
      </c>
      <c r="V63" s="16">
        <f t="shared" si="12"/>
        <v>1778076.9523809524</v>
      </c>
      <c r="W63" s="16">
        <f t="shared" si="13"/>
        <v>93582.997493734336</v>
      </c>
      <c r="X63" s="13">
        <f>V63/V13</f>
        <v>0.10987917165943012</v>
      </c>
    </row>
    <row r="64" spans="1:24" ht="12.75" customHeight="1" x14ac:dyDescent="0.15">
      <c r="A64" s="46" t="s">
        <v>122</v>
      </c>
      <c r="B64" s="46"/>
      <c r="C64" s="14">
        <v>32656.309523809523</v>
      </c>
      <c r="D64" s="14">
        <v>32656.309523809523</v>
      </c>
      <c r="E64" s="14">
        <v>32656.309523809523</v>
      </c>
      <c r="F64" s="14">
        <v>32656.309523809523</v>
      </c>
      <c r="G64" s="14">
        <v>32656.309523809523</v>
      </c>
      <c r="H64" s="14">
        <v>32656.309523809523</v>
      </c>
      <c r="I64" s="14">
        <v>32656.309523809523</v>
      </c>
      <c r="J64" s="14">
        <v>32656.309523809523</v>
      </c>
      <c r="K64" s="14">
        <v>32656.309523809523</v>
      </c>
      <c r="L64" s="14">
        <v>32656.309523809523</v>
      </c>
      <c r="M64" s="14">
        <v>32656.309523809523</v>
      </c>
      <c r="N64" s="14">
        <v>32656.309523809523</v>
      </c>
      <c r="O64" s="14">
        <v>32656.309523809523</v>
      </c>
      <c r="P64" s="14">
        <v>32656.309523809523</v>
      </c>
      <c r="Q64" s="14">
        <v>32656.309523809523</v>
      </c>
      <c r="R64" s="14">
        <v>32656.309523809523</v>
      </c>
      <c r="S64" s="14">
        <v>0</v>
      </c>
      <c r="T64" s="14">
        <v>0</v>
      </c>
      <c r="U64" s="14">
        <v>32656.309523809523</v>
      </c>
      <c r="V64" s="16">
        <f t="shared" si="12"/>
        <v>555157.26190476189</v>
      </c>
      <c r="W64" s="16">
        <f t="shared" si="13"/>
        <v>29218.803258145363</v>
      </c>
      <c r="X64" s="13">
        <f>V64/V13</f>
        <v>3.4306850441500614E-2</v>
      </c>
    </row>
    <row r="65" spans="1:24" ht="12.75" customHeight="1" x14ac:dyDescent="0.15">
      <c r="A65" s="46" t="s">
        <v>123</v>
      </c>
      <c r="B65" s="46"/>
      <c r="C65" s="14">
        <f t="shared" ref="C65:U65" si="18">SUM(C62-(C63+C64))</f>
        <v>-273177.32352941175</v>
      </c>
      <c r="D65" s="14">
        <f t="shared" si="18"/>
        <v>-294395.52352941182</v>
      </c>
      <c r="E65" s="14">
        <f t="shared" si="18"/>
        <v>-85672.352100840362</v>
      </c>
      <c r="F65" s="14">
        <f t="shared" si="18"/>
        <v>-218217.780672269</v>
      </c>
      <c r="G65" s="14">
        <f t="shared" si="18"/>
        <v>186563.70504201687</v>
      </c>
      <c r="H65" s="14">
        <f t="shared" si="18"/>
        <v>188444.33361344546</v>
      </c>
      <c r="I65" s="14">
        <f t="shared" si="18"/>
        <v>-438508.69495798327</v>
      </c>
      <c r="J65" s="14">
        <f t="shared" si="18"/>
        <v>-90335.980672268954</v>
      </c>
      <c r="K65" s="14">
        <f t="shared" si="18"/>
        <v>226322.39075630245</v>
      </c>
      <c r="L65" s="14">
        <f t="shared" si="18"/>
        <v>48878.590756302408</v>
      </c>
      <c r="M65" s="14">
        <f t="shared" si="18"/>
        <v>137933.93361344532</v>
      </c>
      <c r="N65" s="14">
        <f t="shared" si="18"/>
        <v>24007.790756302595</v>
      </c>
      <c r="O65" s="14">
        <f t="shared" si="18"/>
        <v>156650.30504201673</v>
      </c>
      <c r="P65" s="14">
        <f t="shared" si="18"/>
        <v>169061.93361344532</v>
      </c>
      <c r="Q65" s="14">
        <f t="shared" si="18"/>
        <v>163766.04789915966</v>
      </c>
      <c r="R65" s="14">
        <f t="shared" si="18"/>
        <v>274093.84789915971</v>
      </c>
      <c r="S65" s="14">
        <f t="shared" si="18"/>
        <v>-178002.82352941175</v>
      </c>
      <c r="T65" s="14">
        <f t="shared" si="18"/>
        <v>25152</v>
      </c>
      <c r="U65" s="14">
        <f t="shared" si="18"/>
        <v>-144324.07142857142</v>
      </c>
      <c r="V65" s="16">
        <f t="shared" si="12"/>
        <v>-121759.67142857146</v>
      </c>
      <c r="W65" s="16">
        <f t="shared" si="13"/>
        <v>-6408.4037593984976</v>
      </c>
      <c r="X65" s="13">
        <f>V65/V13</f>
        <v>-7.5243379203474414E-3</v>
      </c>
    </row>
    <row r="66" spans="1:24" x14ac:dyDescent="0.15">
      <c r="A66" s="11"/>
      <c r="B66" s="29" t="s">
        <v>46</v>
      </c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</row>
    <row r="67" spans="1:24" x14ac:dyDescent="0.15">
      <c r="A67" s="12"/>
      <c r="B67" s="30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</row>
    <row r="68" spans="1:24" x14ac:dyDescent="0.15">
      <c r="A68" s="12"/>
      <c r="B68" s="33" t="s">
        <v>130</v>
      </c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</row>
    <row r="69" spans="1:24" x14ac:dyDescent="0.15">
      <c r="A69" s="12"/>
      <c r="B69" s="34" t="s">
        <v>131</v>
      </c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</row>
    <row r="70" spans="1:24" x14ac:dyDescent="0.15">
      <c r="A70" s="12"/>
      <c r="B70" s="34" t="s">
        <v>41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</row>
    <row r="71" spans="1:24" x14ac:dyDescent="0.15">
      <c r="A71" s="11"/>
      <c r="B71" s="35" t="s">
        <v>47</v>
      </c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</row>
    <row r="72" spans="1:24" x14ac:dyDescent="0.15">
      <c r="A72" s="11"/>
      <c r="B72" s="30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</row>
    <row r="73" spans="1:24" x14ac:dyDescent="0.15">
      <c r="A73" s="11"/>
      <c r="B73" s="33" t="s">
        <v>130</v>
      </c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</row>
    <row r="74" spans="1:24" x14ac:dyDescent="0.15">
      <c r="A74" s="11"/>
      <c r="B74" s="34" t="s">
        <v>131</v>
      </c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</row>
    <row r="75" spans="1:24" x14ac:dyDescent="0.15">
      <c r="A75" s="11"/>
      <c r="B75" s="34" t="s">
        <v>41</v>
      </c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</row>
    <row r="76" spans="1:24" x14ac:dyDescent="0.15">
      <c r="A76" s="11"/>
      <c r="B76" s="11" t="s">
        <v>135</v>
      </c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</row>
    <row r="77" spans="1:24" x14ac:dyDescent="0.15">
      <c r="A77" s="11"/>
      <c r="B77" s="30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</row>
    <row r="78" spans="1:24" x14ac:dyDescent="0.15">
      <c r="A78" s="11"/>
      <c r="B78" s="33" t="s">
        <v>130</v>
      </c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</row>
    <row r="79" spans="1:24" x14ac:dyDescent="0.15">
      <c r="A79" s="11"/>
      <c r="B79" s="34" t="s">
        <v>131</v>
      </c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</row>
    <row r="80" spans="1:24" x14ac:dyDescent="0.15">
      <c r="A80" s="11"/>
      <c r="B80" s="34" t="s">
        <v>41</v>
      </c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</row>
    <row r="81" spans="1:21" x14ac:dyDescent="0.15">
      <c r="A81" s="11"/>
      <c r="B81" s="11" t="s">
        <v>139</v>
      </c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</row>
    <row r="82" spans="1:21" x14ac:dyDescent="0.15">
      <c r="A82" s="11"/>
      <c r="B82" s="30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</row>
    <row r="83" spans="1:21" x14ac:dyDescent="0.15">
      <c r="A83" s="11"/>
      <c r="B83" s="33" t="s">
        <v>130</v>
      </c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</row>
    <row r="84" spans="1:21" x14ac:dyDescent="0.15">
      <c r="A84" s="11"/>
      <c r="B84" s="34" t="s">
        <v>131</v>
      </c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</row>
    <row r="85" spans="1:21" x14ac:dyDescent="0.15">
      <c r="A85" s="11"/>
      <c r="B85" s="34" t="s">
        <v>41</v>
      </c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</row>
    <row r="86" spans="1:21" x14ac:dyDescent="0.15">
      <c r="A86" s="11"/>
      <c r="B86" s="11" t="s">
        <v>143</v>
      </c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</row>
    <row r="87" spans="1:21" x14ac:dyDescent="0.15">
      <c r="A87" s="11"/>
      <c r="B87" s="3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</row>
    <row r="88" spans="1:21" x14ac:dyDescent="0.15">
      <c r="A88" s="11"/>
      <c r="B88" s="33" t="s">
        <v>130</v>
      </c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</row>
    <row r="89" spans="1:21" x14ac:dyDescent="0.15">
      <c r="A89" s="11"/>
      <c r="B89" s="34" t="s">
        <v>131</v>
      </c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</row>
    <row r="90" spans="1:21" x14ac:dyDescent="0.15">
      <c r="A90" s="11"/>
      <c r="B90" s="34" t="s">
        <v>41</v>
      </c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</row>
    <row r="91" spans="1:21" x14ac:dyDescent="0.1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</row>
    <row r="92" spans="1:21" x14ac:dyDescent="0.15">
      <c r="A92" s="11"/>
      <c r="B92" s="30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</row>
    <row r="93" spans="1:21" x14ac:dyDescent="0.15">
      <c r="A93" s="11"/>
      <c r="B93" s="33" t="s">
        <v>130</v>
      </c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</row>
    <row r="94" spans="1:21" x14ac:dyDescent="0.15">
      <c r="B94" s="34" t="s">
        <v>131</v>
      </c>
    </row>
    <row r="95" spans="1:21" x14ac:dyDescent="0.15">
      <c r="B95" s="34" t="s">
        <v>41</v>
      </c>
    </row>
    <row r="97" spans="2:2" x14ac:dyDescent="0.15">
      <c r="B97" s="30"/>
    </row>
    <row r="98" spans="2:2" x14ac:dyDescent="0.15">
      <c r="B98" s="33" t="s">
        <v>130</v>
      </c>
    </row>
    <row r="99" spans="2:2" x14ac:dyDescent="0.15">
      <c r="B99" s="34" t="s">
        <v>131</v>
      </c>
    </row>
    <row r="100" spans="2:2" x14ac:dyDescent="0.15">
      <c r="B100" s="34" t="s">
        <v>41</v>
      </c>
    </row>
    <row r="102" spans="2:2" x14ac:dyDescent="0.15">
      <c r="B102" s="30"/>
    </row>
    <row r="103" spans="2:2" x14ac:dyDescent="0.15">
      <c r="B103" s="33" t="s">
        <v>130</v>
      </c>
    </row>
    <row r="104" spans="2:2" x14ac:dyDescent="0.15">
      <c r="B104" s="34" t="s">
        <v>131</v>
      </c>
    </row>
    <row r="105" spans="2:2" x14ac:dyDescent="0.15">
      <c r="B105" s="34" t="s">
        <v>41</v>
      </c>
    </row>
    <row r="107" spans="2:2" x14ac:dyDescent="0.15">
      <c r="B107" s="11" t="s">
        <v>156</v>
      </c>
    </row>
  </sheetData>
  <mergeCells count="26">
    <mergeCell ref="A8:B8"/>
    <mergeCell ref="A3:B3"/>
    <mergeCell ref="A4:B4"/>
    <mergeCell ref="A5:B5"/>
    <mergeCell ref="A6:B6"/>
    <mergeCell ref="A7:B7"/>
    <mergeCell ref="A36:A42"/>
    <mergeCell ref="A9:B9"/>
    <mergeCell ref="A10:B10"/>
    <mergeCell ref="A11:B11"/>
    <mergeCell ref="A12:B12"/>
    <mergeCell ref="A13:B13"/>
    <mergeCell ref="A14:B14"/>
    <mergeCell ref="A15:B15"/>
    <mergeCell ref="A16:B16"/>
    <mergeCell ref="A17:A23"/>
    <mergeCell ref="A24:A29"/>
    <mergeCell ref="A30:A35"/>
    <mergeCell ref="A64:B64"/>
    <mergeCell ref="A65:B65"/>
    <mergeCell ref="A43:A47"/>
    <mergeCell ref="A48:A53"/>
    <mergeCell ref="A54:A60"/>
    <mergeCell ref="A61:B61"/>
    <mergeCell ref="A62:B62"/>
    <mergeCell ref="A63:B63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print="0" autoLine="0" r:id="rId5">
            <anchor>
              <from>
                <xdr:col>0</xdr:col>
                <xdr:colOff>19050</xdr:colOff>
                <xdr:row>2</xdr:row>
                <xdr:rowOff>28575</xdr:rowOff>
              </from>
              <to>
                <xdr:col>1</xdr:col>
                <xdr:colOff>485775</xdr:colOff>
                <xdr:row>6</xdr:row>
                <xdr:rowOff>9525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6FDDA-0135-4CB9-8D37-FF62F2C9D64F}">
  <sheetPr codeName="Sheet6"/>
  <dimension ref="A1:L107"/>
  <sheetViews>
    <sheetView topLeftCell="A3" workbookViewId="0">
      <selection activeCell="C4" sqref="C4"/>
    </sheetView>
  </sheetViews>
  <sheetFormatPr defaultRowHeight="13.5" x14ac:dyDescent="0.15"/>
  <cols>
    <col min="1" max="1" width="2.875" style="1" bestFit="1" customWidth="1"/>
    <col min="2" max="2" width="17.625" style="1" bestFit="1" customWidth="1"/>
    <col min="3" max="6" width="11" style="1" bestFit="1" customWidth="1"/>
    <col min="7" max="9" width="12.25" style="1" bestFit="1" customWidth="1"/>
    <col min="10" max="10" width="13.25" style="1" bestFit="1" customWidth="1"/>
    <col min="11" max="11" width="10" style="1" bestFit="1" customWidth="1"/>
    <col min="12" max="12" width="11" style="1" bestFit="1" customWidth="1"/>
    <col min="13" max="216" width="9" style="1"/>
    <col min="217" max="217" width="2.875" style="1" bestFit="1" customWidth="1"/>
    <col min="218" max="218" width="17.625" style="1" bestFit="1" customWidth="1"/>
    <col min="219" max="219" width="11.375" style="1" bestFit="1" customWidth="1"/>
    <col min="220" max="221" width="14.125" style="1" bestFit="1" customWidth="1"/>
    <col min="222" max="222" width="11.375" style="1" bestFit="1" customWidth="1"/>
    <col min="223" max="225" width="12.5" style="1" bestFit="1" customWidth="1"/>
    <col min="226" max="226" width="11" style="1" bestFit="1" customWidth="1"/>
    <col min="227" max="245" width="13" style="1" bestFit="1" customWidth="1"/>
    <col min="246" max="249" width="11" style="1" bestFit="1" customWidth="1"/>
    <col min="250" max="252" width="12.25" style="1" bestFit="1" customWidth="1"/>
    <col min="253" max="265" width="11" style="1" bestFit="1" customWidth="1"/>
    <col min="266" max="266" width="13.25" style="1" bestFit="1" customWidth="1"/>
    <col min="267" max="267" width="10" style="1" bestFit="1" customWidth="1"/>
    <col min="268" max="268" width="11" style="1" bestFit="1" customWidth="1"/>
    <col min="269" max="472" width="9" style="1"/>
    <col min="473" max="473" width="2.875" style="1" bestFit="1" customWidth="1"/>
    <col min="474" max="474" width="17.625" style="1" bestFit="1" customWidth="1"/>
    <col min="475" max="475" width="11.375" style="1" bestFit="1" customWidth="1"/>
    <col min="476" max="477" width="14.125" style="1" bestFit="1" customWidth="1"/>
    <col min="478" max="478" width="11.375" style="1" bestFit="1" customWidth="1"/>
    <col min="479" max="481" width="12.5" style="1" bestFit="1" customWidth="1"/>
    <col min="482" max="482" width="11" style="1" bestFit="1" customWidth="1"/>
    <col min="483" max="501" width="13" style="1" bestFit="1" customWidth="1"/>
    <col min="502" max="505" width="11" style="1" bestFit="1" customWidth="1"/>
    <col min="506" max="508" width="12.25" style="1" bestFit="1" customWidth="1"/>
    <col min="509" max="521" width="11" style="1" bestFit="1" customWidth="1"/>
    <col min="522" max="522" width="13.25" style="1" bestFit="1" customWidth="1"/>
    <col min="523" max="523" width="10" style="1" bestFit="1" customWidth="1"/>
    <col min="524" max="524" width="11" style="1" bestFit="1" customWidth="1"/>
    <col min="525" max="728" width="9" style="1"/>
    <col min="729" max="729" width="2.875" style="1" bestFit="1" customWidth="1"/>
    <col min="730" max="730" width="17.625" style="1" bestFit="1" customWidth="1"/>
    <col min="731" max="731" width="11.375" style="1" bestFit="1" customWidth="1"/>
    <col min="732" max="733" width="14.125" style="1" bestFit="1" customWidth="1"/>
    <col min="734" max="734" width="11.375" style="1" bestFit="1" customWidth="1"/>
    <col min="735" max="737" width="12.5" style="1" bestFit="1" customWidth="1"/>
    <col min="738" max="738" width="11" style="1" bestFit="1" customWidth="1"/>
    <col min="739" max="757" width="13" style="1" bestFit="1" customWidth="1"/>
    <col min="758" max="761" width="11" style="1" bestFit="1" customWidth="1"/>
    <col min="762" max="764" width="12.25" style="1" bestFit="1" customWidth="1"/>
    <col min="765" max="777" width="11" style="1" bestFit="1" customWidth="1"/>
    <col min="778" max="778" width="13.25" style="1" bestFit="1" customWidth="1"/>
    <col min="779" max="779" width="10" style="1" bestFit="1" customWidth="1"/>
    <col min="780" max="780" width="11" style="1" bestFit="1" customWidth="1"/>
    <col min="781" max="984" width="9" style="1"/>
    <col min="985" max="985" width="2.875" style="1" bestFit="1" customWidth="1"/>
    <col min="986" max="986" width="17.625" style="1" bestFit="1" customWidth="1"/>
    <col min="987" max="987" width="11.375" style="1" bestFit="1" customWidth="1"/>
    <col min="988" max="989" width="14.125" style="1" bestFit="1" customWidth="1"/>
    <col min="990" max="990" width="11.375" style="1" bestFit="1" customWidth="1"/>
    <col min="991" max="993" width="12.5" style="1" bestFit="1" customWidth="1"/>
    <col min="994" max="994" width="11" style="1" bestFit="1" customWidth="1"/>
    <col min="995" max="1013" width="13" style="1" bestFit="1" customWidth="1"/>
    <col min="1014" max="1017" width="11" style="1" bestFit="1" customWidth="1"/>
    <col min="1018" max="1020" width="12.25" style="1" bestFit="1" customWidth="1"/>
    <col min="1021" max="1033" width="11" style="1" bestFit="1" customWidth="1"/>
    <col min="1034" max="1034" width="13.25" style="1" bestFit="1" customWidth="1"/>
    <col min="1035" max="1035" width="10" style="1" bestFit="1" customWidth="1"/>
    <col min="1036" max="1036" width="11" style="1" bestFit="1" customWidth="1"/>
    <col min="1037" max="1240" width="9" style="1"/>
    <col min="1241" max="1241" width="2.875" style="1" bestFit="1" customWidth="1"/>
    <col min="1242" max="1242" width="17.625" style="1" bestFit="1" customWidth="1"/>
    <col min="1243" max="1243" width="11.375" style="1" bestFit="1" customWidth="1"/>
    <col min="1244" max="1245" width="14.125" style="1" bestFit="1" customWidth="1"/>
    <col min="1246" max="1246" width="11.375" style="1" bestFit="1" customWidth="1"/>
    <col min="1247" max="1249" width="12.5" style="1" bestFit="1" customWidth="1"/>
    <col min="1250" max="1250" width="11" style="1" bestFit="1" customWidth="1"/>
    <col min="1251" max="1269" width="13" style="1" bestFit="1" customWidth="1"/>
    <col min="1270" max="1273" width="11" style="1" bestFit="1" customWidth="1"/>
    <col min="1274" max="1276" width="12.25" style="1" bestFit="1" customWidth="1"/>
    <col min="1277" max="1289" width="11" style="1" bestFit="1" customWidth="1"/>
    <col min="1290" max="1290" width="13.25" style="1" bestFit="1" customWidth="1"/>
    <col min="1291" max="1291" width="10" style="1" bestFit="1" customWidth="1"/>
    <col min="1292" max="1292" width="11" style="1" bestFit="1" customWidth="1"/>
    <col min="1293" max="1496" width="9" style="1"/>
    <col min="1497" max="1497" width="2.875" style="1" bestFit="1" customWidth="1"/>
    <col min="1498" max="1498" width="17.625" style="1" bestFit="1" customWidth="1"/>
    <col min="1499" max="1499" width="11.375" style="1" bestFit="1" customWidth="1"/>
    <col min="1500" max="1501" width="14.125" style="1" bestFit="1" customWidth="1"/>
    <col min="1502" max="1502" width="11.375" style="1" bestFit="1" customWidth="1"/>
    <col min="1503" max="1505" width="12.5" style="1" bestFit="1" customWidth="1"/>
    <col min="1506" max="1506" width="11" style="1" bestFit="1" customWidth="1"/>
    <col min="1507" max="1525" width="13" style="1" bestFit="1" customWidth="1"/>
    <col min="1526" max="1529" width="11" style="1" bestFit="1" customWidth="1"/>
    <col min="1530" max="1532" width="12.25" style="1" bestFit="1" customWidth="1"/>
    <col min="1533" max="1545" width="11" style="1" bestFit="1" customWidth="1"/>
    <col min="1546" max="1546" width="13.25" style="1" bestFit="1" customWidth="1"/>
    <col min="1547" max="1547" width="10" style="1" bestFit="1" customWidth="1"/>
    <col min="1548" max="1548" width="11" style="1" bestFit="1" customWidth="1"/>
    <col min="1549" max="1752" width="9" style="1"/>
    <col min="1753" max="1753" width="2.875" style="1" bestFit="1" customWidth="1"/>
    <col min="1754" max="1754" width="17.625" style="1" bestFit="1" customWidth="1"/>
    <col min="1755" max="1755" width="11.375" style="1" bestFit="1" customWidth="1"/>
    <col min="1756" max="1757" width="14.125" style="1" bestFit="1" customWidth="1"/>
    <col min="1758" max="1758" width="11.375" style="1" bestFit="1" customWidth="1"/>
    <col min="1759" max="1761" width="12.5" style="1" bestFit="1" customWidth="1"/>
    <col min="1762" max="1762" width="11" style="1" bestFit="1" customWidth="1"/>
    <col min="1763" max="1781" width="13" style="1" bestFit="1" customWidth="1"/>
    <col min="1782" max="1785" width="11" style="1" bestFit="1" customWidth="1"/>
    <col min="1786" max="1788" width="12.25" style="1" bestFit="1" customWidth="1"/>
    <col min="1789" max="1801" width="11" style="1" bestFit="1" customWidth="1"/>
    <col min="1802" max="1802" width="13.25" style="1" bestFit="1" customWidth="1"/>
    <col min="1803" max="1803" width="10" style="1" bestFit="1" customWidth="1"/>
    <col min="1804" max="1804" width="11" style="1" bestFit="1" customWidth="1"/>
    <col min="1805" max="2008" width="9" style="1"/>
    <col min="2009" max="2009" width="2.875" style="1" bestFit="1" customWidth="1"/>
    <col min="2010" max="2010" width="17.625" style="1" bestFit="1" customWidth="1"/>
    <col min="2011" max="2011" width="11.375" style="1" bestFit="1" customWidth="1"/>
    <col min="2012" max="2013" width="14.125" style="1" bestFit="1" customWidth="1"/>
    <col min="2014" max="2014" width="11.375" style="1" bestFit="1" customWidth="1"/>
    <col min="2015" max="2017" width="12.5" style="1" bestFit="1" customWidth="1"/>
    <col min="2018" max="2018" width="11" style="1" bestFit="1" customWidth="1"/>
    <col min="2019" max="2037" width="13" style="1" bestFit="1" customWidth="1"/>
    <col min="2038" max="2041" width="11" style="1" bestFit="1" customWidth="1"/>
    <col min="2042" max="2044" width="12.25" style="1" bestFit="1" customWidth="1"/>
    <col min="2045" max="2057" width="11" style="1" bestFit="1" customWidth="1"/>
    <col min="2058" max="2058" width="13.25" style="1" bestFit="1" customWidth="1"/>
    <col min="2059" max="2059" width="10" style="1" bestFit="1" customWidth="1"/>
    <col min="2060" max="2060" width="11" style="1" bestFit="1" customWidth="1"/>
    <col min="2061" max="2264" width="9" style="1"/>
    <col min="2265" max="2265" width="2.875" style="1" bestFit="1" customWidth="1"/>
    <col min="2266" max="2266" width="17.625" style="1" bestFit="1" customWidth="1"/>
    <col min="2267" max="2267" width="11.375" style="1" bestFit="1" customWidth="1"/>
    <col min="2268" max="2269" width="14.125" style="1" bestFit="1" customWidth="1"/>
    <col min="2270" max="2270" width="11.375" style="1" bestFit="1" customWidth="1"/>
    <col min="2271" max="2273" width="12.5" style="1" bestFit="1" customWidth="1"/>
    <col min="2274" max="2274" width="11" style="1" bestFit="1" customWidth="1"/>
    <col min="2275" max="2293" width="13" style="1" bestFit="1" customWidth="1"/>
    <col min="2294" max="2297" width="11" style="1" bestFit="1" customWidth="1"/>
    <col min="2298" max="2300" width="12.25" style="1" bestFit="1" customWidth="1"/>
    <col min="2301" max="2313" width="11" style="1" bestFit="1" customWidth="1"/>
    <col min="2314" max="2314" width="13.25" style="1" bestFit="1" customWidth="1"/>
    <col min="2315" max="2315" width="10" style="1" bestFit="1" customWidth="1"/>
    <col min="2316" max="2316" width="11" style="1" bestFit="1" customWidth="1"/>
    <col min="2317" max="2520" width="9" style="1"/>
    <col min="2521" max="2521" width="2.875" style="1" bestFit="1" customWidth="1"/>
    <col min="2522" max="2522" width="17.625" style="1" bestFit="1" customWidth="1"/>
    <col min="2523" max="2523" width="11.375" style="1" bestFit="1" customWidth="1"/>
    <col min="2524" max="2525" width="14.125" style="1" bestFit="1" customWidth="1"/>
    <col min="2526" max="2526" width="11.375" style="1" bestFit="1" customWidth="1"/>
    <col min="2527" max="2529" width="12.5" style="1" bestFit="1" customWidth="1"/>
    <col min="2530" max="2530" width="11" style="1" bestFit="1" customWidth="1"/>
    <col min="2531" max="2549" width="13" style="1" bestFit="1" customWidth="1"/>
    <col min="2550" max="2553" width="11" style="1" bestFit="1" customWidth="1"/>
    <col min="2554" max="2556" width="12.25" style="1" bestFit="1" customWidth="1"/>
    <col min="2557" max="2569" width="11" style="1" bestFit="1" customWidth="1"/>
    <col min="2570" max="2570" width="13.25" style="1" bestFit="1" customWidth="1"/>
    <col min="2571" max="2571" width="10" style="1" bestFit="1" customWidth="1"/>
    <col min="2572" max="2572" width="11" style="1" bestFit="1" customWidth="1"/>
    <col min="2573" max="2776" width="9" style="1"/>
    <col min="2777" max="2777" width="2.875" style="1" bestFit="1" customWidth="1"/>
    <col min="2778" max="2778" width="17.625" style="1" bestFit="1" customWidth="1"/>
    <col min="2779" max="2779" width="11.375" style="1" bestFit="1" customWidth="1"/>
    <col min="2780" max="2781" width="14.125" style="1" bestFit="1" customWidth="1"/>
    <col min="2782" max="2782" width="11.375" style="1" bestFit="1" customWidth="1"/>
    <col min="2783" max="2785" width="12.5" style="1" bestFit="1" customWidth="1"/>
    <col min="2786" max="2786" width="11" style="1" bestFit="1" customWidth="1"/>
    <col min="2787" max="2805" width="13" style="1" bestFit="1" customWidth="1"/>
    <col min="2806" max="2809" width="11" style="1" bestFit="1" customWidth="1"/>
    <col min="2810" max="2812" width="12.25" style="1" bestFit="1" customWidth="1"/>
    <col min="2813" max="2825" width="11" style="1" bestFit="1" customWidth="1"/>
    <col min="2826" max="2826" width="13.25" style="1" bestFit="1" customWidth="1"/>
    <col min="2827" max="2827" width="10" style="1" bestFit="1" customWidth="1"/>
    <col min="2828" max="2828" width="11" style="1" bestFit="1" customWidth="1"/>
    <col min="2829" max="3032" width="9" style="1"/>
    <col min="3033" max="3033" width="2.875" style="1" bestFit="1" customWidth="1"/>
    <col min="3034" max="3034" width="17.625" style="1" bestFit="1" customWidth="1"/>
    <col min="3035" max="3035" width="11.375" style="1" bestFit="1" customWidth="1"/>
    <col min="3036" max="3037" width="14.125" style="1" bestFit="1" customWidth="1"/>
    <col min="3038" max="3038" width="11.375" style="1" bestFit="1" customWidth="1"/>
    <col min="3039" max="3041" width="12.5" style="1" bestFit="1" customWidth="1"/>
    <col min="3042" max="3042" width="11" style="1" bestFit="1" customWidth="1"/>
    <col min="3043" max="3061" width="13" style="1" bestFit="1" customWidth="1"/>
    <col min="3062" max="3065" width="11" style="1" bestFit="1" customWidth="1"/>
    <col min="3066" max="3068" width="12.25" style="1" bestFit="1" customWidth="1"/>
    <col min="3069" max="3081" width="11" style="1" bestFit="1" customWidth="1"/>
    <col min="3082" max="3082" width="13.25" style="1" bestFit="1" customWidth="1"/>
    <col min="3083" max="3083" width="10" style="1" bestFit="1" customWidth="1"/>
    <col min="3084" max="3084" width="11" style="1" bestFit="1" customWidth="1"/>
    <col min="3085" max="3288" width="9" style="1"/>
    <col min="3289" max="3289" width="2.875" style="1" bestFit="1" customWidth="1"/>
    <col min="3290" max="3290" width="17.625" style="1" bestFit="1" customWidth="1"/>
    <col min="3291" max="3291" width="11.375" style="1" bestFit="1" customWidth="1"/>
    <col min="3292" max="3293" width="14.125" style="1" bestFit="1" customWidth="1"/>
    <col min="3294" max="3294" width="11.375" style="1" bestFit="1" customWidth="1"/>
    <col min="3295" max="3297" width="12.5" style="1" bestFit="1" customWidth="1"/>
    <col min="3298" max="3298" width="11" style="1" bestFit="1" customWidth="1"/>
    <col min="3299" max="3317" width="13" style="1" bestFit="1" customWidth="1"/>
    <col min="3318" max="3321" width="11" style="1" bestFit="1" customWidth="1"/>
    <col min="3322" max="3324" width="12.25" style="1" bestFit="1" customWidth="1"/>
    <col min="3325" max="3337" width="11" style="1" bestFit="1" customWidth="1"/>
    <col min="3338" max="3338" width="13.25" style="1" bestFit="1" customWidth="1"/>
    <col min="3339" max="3339" width="10" style="1" bestFit="1" customWidth="1"/>
    <col min="3340" max="3340" width="11" style="1" bestFit="1" customWidth="1"/>
    <col min="3341" max="3544" width="9" style="1"/>
    <col min="3545" max="3545" width="2.875" style="1" bestFit="1" customWidth="1"/>
    <col min="3546" max="3546" width="17.625" style="1" bestFit="1" customWidth="1"/>
    <col min="3547" max="3547" width="11.375" style="1" bestFit="1" customWidth="1"/>
    <col min="3548" max="3549" width="14.125" style="1" bestFit="1" customWidth="1"/>
    <col min="3550" max="3550" width="11.375" style="1" bestFit="1" customWidth="1"/>
    <col min="3551" max="3553" width="12.5" style="1" bestFit="1" customWidth="1"/>
    <col min="3554" max="3554" width="11" style="1" bestFit="1" customWidth="1"/>
    <col min="3555" max="3573" width="13" style="1" bestFit="1" customWidth="1"/>
    <col min="3574" max="3577" width="11" style="1" bestFit="1" customWidth="1"/>
    <col min="3578" max="3580" width="12.25" style="1" bestFit="1" customWidth="1"/>
    <col min="3581" max="3593" width="11" style="1" bestFit="1" customWidth="1"/>
    <col min="3594" max="3594" width="13.25" style="1" bestFit="1" customWidth="1"/>
    <col min="3595" max="3595" width="10" style="1" bestFit="1" customWidth="1"/>
    <col min="3596" max="3596" width="11" style="1" bestFit="1" customWidth="1"/>
    <col min="3597" max="3800" width="9" style="1"/>
    <col min="3801" max="3801" width="2.875" style="1" bestFit="1" customWidth="1"/>
    <col min="3802" max="3802" width="17.625" style="1" bestFit="1" customWidth="1"/>
    <col min="3803" max="3803" width="11.375" style="1" bestFit="1" customWidth="1"/>
    <col min="3804" max="3805" width="14.125" style="1" bestFit="1" customWidth="1"/>
    <col min="3806" max="3806" width="11.375" style="1" bestFit="1" customWidth="1"/>
    <col min="3807" max="3809" width="12.5" style="1" bestFit="1" customWidth="1"/>
    <col min="3810" max="3810" width="11" style="1" bestFit="1" customWidth="1"/>
    <col min="3811" max="3829" width="13" style="1" bestFit="1" customWidth="1"/>
    <col min="3830" max="3833" width="11" style="1" bestFit="1" customWidth="1"/>
    <col min="3834" max="3836" width="12.25" style="1" bestFit="1" customWidth="1"/>
    <col min="3837" max="3849" width="11" style="1" bestFit="1" customWidth="1"/>
    <col min="3850" max="3850" width="13.25" style="1" bestFit="1" customWidth="1"/>
    <col min="3851" max="3851" width="10" style="1" bestFit="1" customWidth="1"/>
    <col min="3852" max="3852" width="11" style="1" bestFit="1" customWidth="1"/>
    <col min="3853" max="4056" width="9" style="1"/>
    <col min="4057" max="4057" width="2.875" style="1" bestFit="1" customWidth="1"/>
    <col min="4058" max="4058" width="17.625" style="1" bestFit="1" customWidth="1"/>
    <col min="4059" max="4059" width="11.375" style="1" bestFit="1" customWidth="1"/>
    <col min="4060" max="4061" width="14.125" style="1" bestFit="1" customWidth="1"/>
    <col min="4062" max="4062" width="11.375" style="1" bestFit="1" customWidth="1"/>
    <col min="4063" max="4065" width="12.5" style="1" bestFit="1" customWidth="1"/>
    <col min="4066" max="4066" width="11" style="1" bestFit="1" customWidth="1"/>
    <col min="4067" max="4085" width="13" style="1" bestFit="1" customWidth="1"/>
    <col min="4086" max="4089" width="11" style="1" bestFit="1" customWidth="1"/>
    <col min="4090" max="4092" width="12.25" style="1" bestFit="1" customWidth="1"/>
    <col min="4093" max="4105" width="11" style="1" bestFit="1" customWidth="1"/>
    <col min="4106" max="4106" width="13.25" style="1" bestFit="1" customWidth="1"/>
    <col min="4107" max="4107" width="10" style="1" bestFit="1" customWidth="1"/>
    <col min="4108" max="4108" width="11" style="1" bestFit="1" customWidth="1"/>
    <col min="4109" max="4312" width="9" style="1"/>
    <col min="4313" max="4313" width="2.875" style="1" bestFit="1" customWidth="1"/>
    <col min="4314" max="4314" width="17.625" style="1" bestFit="1" customWidth="1"/>
    <col min="4315" max="4315" width="11.375" style="1" bestFit="1" customWidth="1"/>
    <col min="4316" max="4317" width="14.125" style="1" bestFit="1" customWidth="1"/>
    <col min="4318" max="4318" width="11.375" style="1" bestFit="1" customWidth="1"/>
    <col min="4319" max="4321" width="12.5" style="1" bestFit="1" customWidth="1"/>
    <col min="4322" max="4322" width="11" style="1" bestFit="1" customWidth="1"/>
    <col min="4323" max="4341" width="13" style="1" bestFit="1" customWidth="1"/>
    <col min="4342" max="4345" width="11" style="1" bestFit="1" customWidth="1"/>
    <col min="4346" max="4348" width="12.25" style="1" bestFit="1" customWidth="1"/>
    <col min="4349" max="4361" width="11" style="1" bestFit="1" customWidth="1"/>
    <col min="4362" max="4362" width="13.25" style="1" bestFit="1" customWidth="1"/>
    <col min="4363" max="4363" width="10" style="1" bestFit="1" customWidth="1"/>
    <col min="4364" max="4364" width="11" style="1" bestFit="1" customWidth="1"/>
    <col min="4365" max="4568" width="9" style="1"/>
    <col min="4569" max="4569" width="2.875" style="1" bestFit="1" customWidth="1"/>
    <col min="4570" max="4570" width="17.625" style="1" bestFit="1" customWidth="1"/>
    <col min="4571" max="4571" width="11.375" style="1" bestFit="1" customWidth="1"/>
    <col min="4572" max="4573" width="14.125" style="1" bestFit="1" customWidth="1"/>
    <col min="4574" max="4574" width="11.375" style="1" bestFit="1" customWidth="1"/>
    <col min="4575" max="4577" width="12.5" style="1" bestFit="1" customWidth="1"/>
    <col min="4578" max="4578" width="11" style="1" bestFit="1" customWidth="1"/>
    <col min="4579" max="4597" width="13" style="1" bestFit="1" customWidth="1"/>
    <col min="4598" max="4601" width="11" style="1" bestFit="1" customWidth="1"/>
    <col min="4602" max="4604" width="12.25" style="1" bestFit="1" customWidth="1"/>
    <col min="4605" max="4617" width="11" style="1" bestFit="1" customWidth="1"/>
    <col min="4618" max="4618" width="13.25" style="1" bestFit="1" customWidth="1"/>
    <col min="4619" max="4619" width="10" style="1" bestFit="1" customWidth="1"/>
    <col min="4620" max="4620" width="11" style="1" bestFit="1" customWidth="1"/>
    <col min="4621" max="4824" width="9" style="1"/>
    <col min="4825" max="4825" width="2.875" style="1" bestFit="1" customWidth="1"/>
    <col min="4826" max="4826" width="17.625" style="1" bestFit="1" customWidth="1"/>
    <col min="4827" max="4827" width="11.375" style="1" bestFit="1" customWidth="1"/>
    <col min="4828" max="4829" width="14.125" style="1" bestFit="1" customWidth="1"/>
    <col min="4830" max="4830" width="11.375" style="1" bestFit="1" customWidth="1"/>
    <col min="4831" max="4833" width="12.5" style="1" bestFit="1" customWidth="1"/>
    <col min="4834" max="4834" width="11" style="1" bestFit="1" customWidth="1"/>
    <col min="4835" max="4853" width="13" style="1" bestFit="1" customWidth="1"/>
    <col min="4854" max="4857" width="11" style="1" bestFit="1" customWidth="1"/>
    <col min="4858" max="4860" width="12.25" style="1" bestFit="1" customWidth="1"/>
    <col min="4861" max="4873" width="11" style="1" bestFit="1" customWidth="1"/>
    <col min="4874" max="4874" width="13.25" style="1" bestFit="1" customWidth="1"/>
    <col min="4875" max="4875" width="10" style="1" bestFit="1" customWidth="1"/>
    <col min="4876" max="4876" width="11" style="1" bestFit="1" customWidth="1"/>
    <col min="4877" max="5080" width="9" style="1"/>
    <col min="5081" max="5081" width="2.875" style="1" bestFit="1" customWidth="1"/>
    <col min="5082" max="5082" width="17.625" style="1" bestFit="1" customWidth="1"/>
    <col min="5083" max="5083" width="11.375" style="1" bestFit="1" customWidth="1"/>
    <col min="5084" max="5085" width="14.125" style="1" bestFit="1" customWidth="1"/>
    <col min="5086" max="5086" width="11.375" style="1" bestFit="1" customWidth="1"/>
    <col min="5087" max="5089" width="12.5" style="1" bestFit="1" customWidth="1"/>
    <col min="5090" max="5090" width="11" style="1" bestFit="1" customWidth="1"/>
    <col min="5091" max="5109" width="13" style="1" bestFit="1" customWidth="1"/>
    <col min="5110" max="5113" width="11" style="1" bestFit="1" customWidth="1"/>
    <col min="5114" max="5116" width="12.25" style="1" bestFit="1" customWidth="1"/>
    <col min="5117" max="5129" width="11" style="1" bestFit="1" customWidth="1"/>
    <col min="5130" max="5130" width="13.25" style="1" bestFit="1" customWidth="1"/>
    <col min="5131" max="5131" width="10" style="1" bestFit="1" customWidth="1"/>
    <col min="5132" max="5132" width="11" style="1" bestFit="1" customWidth="1"/>
    <col min="5133" max="5336" width="9" style="1"/>
    <col min="5337" max="5337" width="2.875" style="1" bestFit="1" customWidth="1"/>
    <col min="5338" max="5338" width="17.625" style="1" bestFit="1" customWidth="1"/>
    <col min="5339" max="5339" width="11.375" style="1" bestFit="1" customWidth="1"/>
    <col min="5340" max="5341" width="14.125" style="1" bestFit="1" customWidth="1"/>
    <col min="5342" max="5342" width="11.375" style="1" bestFit="1" customWidth="1"/>
    <col min="5343" max="5345" width="12.5" style="1" bestFit="1" customWidth="1"/>
    <col min="5346" max="5346" width="11" style="1" bestFit="1" customWidth="1"/>
    <col min="5347" max="5365" width="13" style="1" bestFit="1" customWidth="1"/>
    <col min="5366" max="5369" width="11" style="1" bestFit="1" customWidth="1"/>
    <col min="5370" max="5372" width="12.25" style="1" bestFit="1" customWidth="1"/>
    <col min="5373" max="5385" width="11" style="1" bestFit="1" customWidth="1"/>
    <col min="5386" max="5386" width="13.25" style="1" bestFit="1" customWidth="1"/>
    <col min="5387" max="5387" width="10" style="1" bestFit="1" customWidth="1"/>
    <col min="5388" max="5388" width="11" style="1" bestFit="1" customWidth="1"/>
    <col min="5389" max="5592" width="9" style="1"/>
    <col min="5593" max="5593" width="2.875" style="1" bestFit="1" customWidth="1"/>
    <col min="5594" max="5594" width="17.625" style="1" bestFit="1" customWidth="1"/>
    <col min="5595" max="5595" width="11.375" style="1" bestFit="1" customWidth="1"/>
    <col min="5596" max="5597" width="14.125" style="1" bestFit="1" customWidth="1"/>
    <col min="5598" max="5598" width="11.375" style="1" bestFit="1" customWidth="1"/>
    <col min="5599" max="5601" width="12.5" style="1" bestFit="1" customWidth="1"/>
    <col min="5602" max="5602" width="11" style="1" bestFit="1" customWidth="1"/>
    <col min="5603" max="5621" width="13" style="1" bestFit="1" customWidth="1"/>
    <col min="5622" max="5625" width="11" style="1" bestFit="1" customWidth="1"/>
    <col min="5626" max="5628" width="12.25" style="1" bestFit="1" customWidth="1"/>
    <col min="5629" max="5641" width="11" style="1" bestFit="1" customWidth="1"/>
    <col min="5642" max="5642" width="13.25" style="1" bestFit="1" customWidth="1"/>
    <col min="5643" max="5643" width="10" style="1" bestFit="1" customWidth="1"/>
    <col min="5644" max="5644" width="11" style="1" bestFit="1" customWidth="1"/>
    <col min="5645" max="5848" width="9" style="1"/>
    <col min="5849" max="5849" width="2.875" style="1" bestFit="1" customWidth="1"/>
    <col min="5850" max="5850" width="17.625" style="1" bestFit="1" customWidth="1"/>
    <col min="5851" max="5851" width="11.375" style="1" bestFit="1" customWidth="1"/>
    <col min="5852" max="5853" width="14.125" style="1" bestFit="1" customWidth="1"/>
    <col min="5854" max="5854" width="11.375" style="1" bestFit="1" customWidth="1"/>
    <col min="5855" max="5857" width="12.5" style="1" bestFit="1" customWidth="1"/>
    <col min="5858" max="5858" width="11" style="1" bestFit="1" customWidth="1"/>
    <col min="5859" max="5877" width="13" style="1" bestFit="1" customWidth="1"/>
    <col min="5878" max="5881" width="11" style="1" bestFit="1" customWidth="1"/>
    <col min="5882" max="5884" width="12.25" style="1" bestFit="1" customWidth="1"/>
    <col min="5885" max="5897" width="11" style="1" bestFit="1" customWidth="1"/>
    <col min="5898" max="5898" width="13.25" style="1" bestFit="1" customWidth="1"/>
    <col min="5899" max="5899" width="10" style="1" bestFit="1" customWidth="1"/>
    <col min="5900" max="5900" width="11" style="1" bestFit="1" customWidth="1"/>
    <col min="5901" max="6104" width="9" style="1"/>
    <col min="6105" max="6105" width="2.875" style="1" bestFit="1" customWidth="1"/>
    <col min="6106" max="6106" width="17.625" style="1" bestFit="1" customWidth="1"/>
    <col min="6107" max="6107" width="11.375" style="1" bestFit="1" customWidth="1"/>
    <col min="6108" max="6109" width="14.125" style="1" bestFit="1" customWidth="1"/>
    <col min="6110" max="6110" width="11.375" style="1" bestFit="1" customWidth="1"/>
    <col min="6111" max="6113" width="12.5" style="1" bestFit="1" customWidth="1"/>
    <col min="6114" max="6114" width="11" style="1" bestFit="1" customWidth="1"/>
    <col min="6115" max="6133" width="13" style="1" bestFit="1" customWidth="1"/>
    <col min="6134" max="6137" width="11" style="1" bestFit="1" customWidth="1"/>
    <col min="6138" max="6140" width="12.25" style="1" bestFit="1" customWidth="1"/>
    <col min="6141" max="6153" width="11" style="1" bestFit="1" customWidth="1"/>
    <col min="6154" max="6154" width="13.25" style="1" bestFit="1" customWidth="1"/>
    <col min="6155" max="6155" width="10" style="1" bestFit="1" customWidth="1"/>
    <col min="6156" max="6156" width="11" style="1" bestFit="1" customWidth="1"/>
    <col min="6157" max="6360" width="9" style="1"/>
    <col min="6361" max="6361" width="2.875" style="1" bestFit="1" customWidth="1"/>
    <col min="6362" max="6362" width="17.625" style="1" bestFit="1" customWidth="1"/>
    <col min="6363" max="6363" width="11.375" style="1" bestFit="1" customWidth="1"/>
    <col min="6364" max="6365" width="14.125" style="1" bestFit="1" customWidth="1"/>
    <col min="6366" max="6366" width="11.375" style="1" bestFit="1" customWidth="1"/>
    <col min="6367" max="6369" width="12.5" style="1" bestFit="1" customWidth="1"/>
    <col min="6370" max="6370" width="11" style="1" bestFit="1" customWidth="1"/>
    <col min="6371" max="6389" width="13" style="1" bestFit="1" customWidth="1"/>
    <col min="6390" max="6393" width="11" style="1" bestFit="1" customWidth="1"/>
    <col min="6394" max="6396" width="12.25" style="1" bestFit="1" customWidth="1"/>
    <col min="6397" max="6409" width="11" style="1" bestFit="1" customWidth="1"/>
    <col min="6410" max="6410" width="13.25" style="1" bestFit="1" customWidth="1"/>
    <col min="6411" max="6411" width="10" style="1" bestFit="1" customWidth="1"/>
    <col min="6412" max="6412" width="11" style="1" bestFit="1" customWidth="1"/>
    <col min="6413" max="6616" width="9" style="1"/>
    <col min="6617" max="6617" width="2.875" style="1" bestFit="1" customWidth="1"/>
    <col min="6618" max="6618" width="17.625" style="1" bestFit="1" customWidth="1"/>
    <col min="6619" max="6619" width="11.375" style="1" bestFit="1" customWidth="1"/>
    <col min="6620" max="6621" width="14.125" style="1" bestFit="1" customWidth="1"/>
    <col min="6622" max="6622" width="11.375" style="1" bestFit="1" customWidth="1"/>
    <col min="6623" max="6625" width="12.5" style="1" bestFit="1" customWidth="1"/>
    <col min="6626" max="6626" width="11" style="1" bestFit="1" customWidth="1"/>
    <col min="6627" max="6645" width="13" style="1" bestFit="1" customWidth="1"/>
    <col min="6646" max="6649" width="11" style="1" bestFit="1" customWidth="1"/>
    <col min="6650" max="6652" width="12.25" style="1" bestFit="1" customWidth="1"/>
    <col min="6653" max="6665" width="11" style="1" bestFit="1" customWidth="1"/>
    <col min="6666" max="6666" width="13.25" style="1" bestFit="1" customWidth="1"/>
    <col min="6667" max="6667" width="10" style="1" bestFit="1" customWidth="1"/>
    <col min="6668" max="6668" width="11" style="1" bestFit="1" customWidth="1"/>
    <col min="6669" max="6872" width="9" style="1"/>
    <col min="6873" max="6873" width="2.875" style="1" bestFit="1" customWidth="1"/>
    <col min="6874" max="6874" width="17.625" style="1" bestFit="1" customWidth="1"/>
    <col min="6875" max="6875" width="11.375" style="1" bestFit="1" customWidth="1"/>
    <col min="6876" max="6877" width="14.125" style="1" bestFit="1" customWidth="1"/>
    <col min="6878" max="6878" width="11.375" style="1" bestFit="1" customWidth="1"/>
    <col min="6879" max="6881" width="12.5" style="1" bestFit="1" customWidth="1"/>
    <col min="6882" max="6882" width="11" style="1" bestFit="1" customWidth="1"/>
    <col min="6883" max="6901" width="13" style="1" bestFit="1" customWidth="1"/>
    <col min="6902" max="6905" width="11" style="1" bestFit="1" customWidth="1"/>
    <col min="6906" max="6908" width="12.25" style="1" bestFit="1" customWidth="1"/>
    <col min="6909" max="6921" width="11" style="1" bestFit="1" customWidth="1"/>
    <col min="6922" max="6922" width="13.25" style="1" bestFit="1" customWidth="1"/>
    <col min="6923" max="6923" width="10" style="1" bestFit="1" customWidth="1"/>
    <col min="6924" max="6924" width="11" style="1" bestFit="1" customWidth="1"/>
    <col min="6925" max="7128" width="9" style="1"/>
    <col min="7129" max="7129" width="2.875" style="1" bestFit="1" customWidth="1"/>
    <col min="7130" max="7130" width="17.625" style="1" bestFit="1" customWidth="1"/>
    <col min="7131" max="7131" width="11.375" style="1" bestFit="1" customWidth="1"/>
    <col min="7132" max="7133" width="14.125" style="1" bestFit="1" customWidth="1"/>
    <col min="7134" max="7134" width="11.375" style="1" bestFit="1" customWidth="1"/>
    <col min="7135" max="7137" width="12.5" style="1" bestFit="1" customWidth="1"/>
    <col min="7138" max="7138" width="11" style="1" bestFit="1" customWidth="1"/>
    <col min="7139" max="7157" width="13" style="1" bestFit="1" customWidth="1"/>
    <col min="7158" max="7161" width="11" style="1" bestFit="1" customWidth="1"/>
    <col min="7162" max="7164" width="12.25" style="1" bestFit="1" customWidth="1"/>
    <col min="7165" max="7177" width="11" style="1" bestFit="1" customWidth="1"/>
    <col min="7178" max="7178" width="13.25" style="1" bestFit="1" customWidth="1"/>
    <col min="7179" max="7179" width="10" style="1" bestFit="1" customWidth="1"/>
    <col min="7180" max="7180" width="11" style="1" bestFit="1" customWidth="1"/>
    <col min="7181" max="7384" width="9" style="1"/>
    <col min="7385" max="7385" width="2.875" style="1" bestFit="1" customWidth="1"/>
    <col min="7386" max="7386" width="17.625" style="1" bestFit="1" customWidth="1"/>
    <col min="7387" max="7387" width="11.375" style="1" bestFit="1" customWidth="1"/>
    <col min="7388" max="7389" width="14.125" style="1" bestFit="1" customWidth="1"/>
    <col min="7390" max="7390" width="11.375" style="1" bestFit="1" customWidth="1"/>
    <col min="7391" max="7393" width="12.5" style="1" bestFit="1" customWidth="1"/>
    <col min="7394" max="7394" width="11" style="1" bestFit="1" customWidth="1"/>
    <col min="7395" max="7413" width="13" style="1" bestFit="1" customWidth="1"/>
    <col min="7414" max="7417" width="11" style="1" bestFit="1" customWidth="1"/>
    <col min="7418" max="7420" width="12.25" style="1" bestFit="1" customWidth="1"/>
    <col min="7421" max="7433" width="11" style="1" bestFit="1" customWidth="1"/>
    <col min="7434" max="7434" width="13.25" style="1" bestFit="1" customWidth="1"/>
    <col min="7435" max="7435" width="10" style="1" bestFit="1" customWidth="1"/>
    <col min="7436" max="7436" width="11" style="1" bestFit="1" customWidth="1"/>
    <col min="7437" max="7640" width="9" style="1"/>
    <col min="7641" max="7641" width="2.875" style="1" bestFit="1" customWidth="1"/>
    <col min="7642" max="7642" width="17.625" style="1" bestFit="1" customWidth="1"/>
    <col min="7643" max="7643" width="11.375" style="1" bestFit="1" customWidth="1"/>
    <col min="7644" max="7645" width="14.125" style="1" bestFit="1" customWidth="1"/>
    <col min="7646" max="7646" width="11.375" style="1" bestFit="1" customWidth="1"/>
    <col min="7647" max="7649" width="12.5" style="1" bestFit="1" customWidth="1"/>
    <col min="7650" max="7650" width="11" style="1" bestFit="1" customWidth="1"/>
    <col min="7651" max="7669" width="13" style="1" bestFit="1" customWidth="1"/>
    <col min="7670" max="7673" width="11" style="1" bestFit="1" customWidth="1"/>
    <col min="7674" max="7676" width="12.25" style="1" bestFit="1" customWidth="1"/>
    <col min="7677" max="7689" width="11" style="1" bestFit="1" customWidth="1"/>
    <col min="7690" max="7690" width="13.25" style="1" bestFit="1" customWidth="1"/>
    <col min="7691" max="7691" width="10" style="1" bestFit="1" customWidth="1"/>
    <col min="7692" max="7692" width="11" style="1" bestFit="1" customWidth="1"/>
    <col min="7693" max="7896" width="9" style="1"/>
    <col min="7897" max="7897" width="2.875" style="1" bestFit="1" customWidth="1"/>
    <col min="7898" max="7898" width="17.625" style="1" bestFit="1" customWidth="1"/>
    <col min="7899" max="7899" width="11.375" style="1" bestFit="1" customWidth="1"/>
    <col min="7900" max="7901" width="14.125" style="1" bestFit="1" customWidth="1"/>
    <col min="7902" max="7902" width="11.375" style="1" bestFit="1" customWidth="1"/>
    <col min="7903" max="7905" width="12.5" style="1" bestFit="1" customWidth="1"/>
    <col min="7906" max="7906" width="11" style="1" bestFit="1" customWidth="1"/>
    <col min="7907" max="7925" width="13" style="1" bestFit="1" customWidth="1"/>
    <col min="7926" max="7929" width="11" style="1" bestFit="1" customWidth="1"/>
    <col min="7930" max="7932" width="12.25" style="1" bestFit="1" customWidth="1"/>
    <col min="7933" max="7945" width="11" style="1" bestFit="1" customWidth="1"/>
    <col min="7946" max="7946" width="13.25" style="1" bestFit="1" customWidth="1"/>
    <col min="7947" max="7947" width="10" style="1" bestFit="1" customWidth="1"/>
    <col min="7948" max="7948" width="11" style="1" bestFit="1" customWidth="1"/>
    <col min="7949" max="8152" width="9" style="1"/>
    <col min="8153" max="8153" width="2.875" style="1" bestFit="1" customWidth="1"/>
    <col min="8154" max="8154" width="17.625" style="1" bestFit="1" customWidth="1"/>
    <col min="8155" max="8155" width="11.375" style="1" bestFit="1" customWidth="1"/>
    <col min="8156" max="8157" width="14.125" style="1" bestFit="1" customWidth="1"/>
    <col min="8158" max="8158" width="11.375" style="1" bestFit="1" customWidth="1"/>
    <col min="8159" max="8161" width="12.5" style="1" bestFit="1" customWidth="1"/>
    <col min="8162" max="8162" width="11" style="1" bestFit="1" customWidth="1"/>
    <col min="8163" max="8181" width="13" style="1" bestFit="1" customWidth="1"/>
    <col min="8182" max="8185" width="11" style="1" bestFit="1" customWidth="1"/>
    <col min="8186" max="8188" width="12.25" style="1" bestFit="1" customWidth="1"/>
    <col min="8189" max="8201" width="11" style="1" bestFit="1" customWidth="1"/>
    <col min="8202" max="8202" width="13.25" style="1" bestFit="1" customWidth="1"/>
    <col min="8203" max="8203" width="10" style="1" bestFit="1" customWidth="1"/>
    <col min="8204" max="8204" width="11" style="1" bestFit="1" customWidth="1"/>
    <col min="8205" max="8408" width="9" style="1"/>
    <col min="8409" max="8409" width="2.875" style="1" bestFit="1" customWidth="1"/>
    <col min="8410" max="8410" width="17.625" style="1" bestFit="1" customWidth="1"/>
    <col min="8411" max="8411" width="11.375" style="1" bestFit="1" customWidth="1"/>
    <col min="8412" max="8413" width="14.125" style="1" bestFit="1" customWidth="1"/>
    <col min="8414" max="8414" width="11.375" style="1" bestFit="1" customWidth="1"/>
    <col min="8415" max="8417" width="12.5" style="1" bestFit="1" customWidth="1"/>
    <col min="8418" max="8418" width="11" style="1" bestFit="1" customWidth="1"/>
    <col min="8419" max="8437" width="13" style="1" bestFit="1" customWidth="1"/>
    <col min="8438" max="8441" width="11" style="1" bestFit="1" customWidth="1"/>
    <col min="8442" max="8444" width="12.25" style="1" bestFit="1" customWidth="1"/>
    <col min="8445" max="8457" width="11" style="1" bestFit="1" customWidth="1"/>
    <col min="8458" max="8458" width="13.25" style="1" bestFit="1" customWidth="1"/>
    <col min="8459" max="8459" width="10" style="1" bestFit="1" customWidth="1"/>
    <col min="8460" max="8460" width="11" style="1" bestFit="1" customWidth="1"/>
    <col min="8461" max="8664" width="9" style="1"/>
    <col min="8665" max="8665" width="2.875" style="1" bestFit="1" customWidth="1"/>
    <col min="8666" max="8666" width="17.625" style="1" bestFit="1" customWidth="1"/>
    <col min="8667" max="8667" width="11.375" style="1" bestFit="1" customWidth="1"/>
    <col min="8668" max="8669" width="14.125" style="1" bestFit="1" customWidth="1"/>
    <col min="8670" max="8670" width="11.375" style="1" bestFit="1" customWidth="1"/>
    <col min="8671" max="8673" width="12.5" style="1" bestFit="1" customWidth="1"/>
    <col min="8674" max="8674" width="11" style="1" bestFit="1" customWidth="1"/>
    <col min="8675" max="8693" width="13" style="1" bestFit="1" customWidth="1"/>
    <col min="8694" max="8697" width="11" style="1" bestFit="1" customWidth="1"/>
    <col min="8698" max="8700" width="12.25" style="1" bestFit="1" customWidth="1"/>
    <col min="8701" max="8713" width="11" style="1" bestFit="1" customWidth="1"/>
    <col min="8714" max="8714" width="13.25" style="1" bestFit="1" customWidth="1"/>
    <col min="8715" max="8715" width="10" style="1" bestFit="1" customWidth="1"/>
    <col min="8716" max="8716" width="11" style="1" bestFit="1" customWidth="1"/>
    <col min="8717" max="8920" width="9" style="1"/>
    <col min="8921" max="8921" width="2.875" style="1" bestFit="1" customWidth="1"/>
    <col min="8922" max="8922" width="17.625" style="1" bestFit="1" customWidth="1"/>
    <col min="8923" max="8923" width="11.375" style="1" bestFit="1" customWidth="1"/>
    <col min="8924" max="8925" width="14.125" style="1" bestFit="1" customWidth="1"/>
    <col min="8926" max="8926" width="11.375" style="1" bestFit="1" customWidth="1"/>
    <col min="8927" max="8929" width="12.5" style="1" bestFit="1" customWidth="1"/>
    <col min="8930" max="8930" width="11" style="1" bestFit="1" customWidth="1"/>
    <col min="8931" max="8949" width="13" style="1" bestFit="1" customWidth="1"/>
    <col min="8950" max="8953" width="11" style="1" bestFit="1" customWidth="1"/>
    <col min="8954" max="8956" width="12.25" style="1" bestFit="1" customWidth="1"/>
    <col min="8957" max="8969" width="11" style="1" bestFit="1" customWidth="1"/>
    <col min="8970" max="8970" width="13.25" style="1" bestFit="1" customWidth="1"/>
    <col min="8971" max="8971" width="10" style="1" bestFit="1" customWidth="1"/>
    <col min="8972" max="8972" width="11" style="1" bestFit="1" customWidth="1"/>
    <col min="8973" max="9176" width="9" style="1"/>
    <col min="9177" max="9177" width="2.875" style="1" bestFit="1" customWidth="1"/>
    <col min="9178" max="9178" width="17.625" style="1" bestFit="1" customWidth="1"/>
    <col min="9179" max="9179" width="11.375" style="1" bestFit="1" customWidth="1"/>
    <col min="9180" max="9181" width="14.125" style="1" bestFit="1" customWidth="1"/>
    <col min="9182" max="9182" width="11.375" style="1" bestFit="1" customWidth="1"/>
    <col min="9183" max="9185" width="12.5" style="1" bestFit="1" customWidth="1"/>
    <col min="9186" max="9186" width="11" style="1" bestFit="1" customWidth="1"/>
    <col min="9187" max="9205" width="13" style="1" bestFit="1" customWidth="1"/>
    <col min="9206" max="9209" width="11" style="1" bestFit="1" customWidth="1"/>
    <col min="9210" max="9212" width="12.25" style="1" bestFit="1" customWidth="1"/>
    <col min="9213" max="9225" width="11" style="1" bestFit="1" customWidth="1"/>
    <col min="9226" max="9226" width="13.25" style="1" bestFit="1" customWidth="1"/>
    <col min="9227" max="9227" width="10" style="1" bestFit="1" customWidth="1"/>
    <col min="9228" max="9228" width="11" style="1" bestFit="1" customWidth="1"/>
    <col min="9229" max="9432" width="9" style="1"/>
    <col min="9433" max="9433" width="2.875" style="1" bestFit="1" customWidth="1"/>
    <col min="9434" max="9434" width="17.625" style="1" bestFit="1" customWidth="1"/>
    <col min="9435" max="9435" width="11.375" style="1" bestFit="1" customWidth="1"/>
    <col min="9436" max="9437" width="14.125" style="1" bestFit="1" customWidth="1"/>
    <col min="9438" max="9438" width="11.375" style="1" bestFit="1" customWidth="1"/>
    <col min="9439" max="9441" width="12.5" style="1" bestFit="1" customWidth="1"/>
    <col min="9442" max="9442" width="11" style="1" bestFit="1" customWidth="1"/>
    <col min="9443" max="9461" width="13" style="1" bestFit="1" customWidth="1"/>
    <col min="9462" max="9465" width="11" style="1" bestFit="1" customWidth="1"/>
    <col min="9466" max="9468" width="12.25" style="1" bestFit="1" customWidth="1"/>
    <col min="9469" max="9481" width="11" style="1" bestFit="1" customWidth="1"/>
    <col min="9482" max="9482" width="13.25" style="1" bestFit="1" customWidth="1"/>
    <col min="9483" max="9483" width="10" style="1" bestFit="1" customWidth="1"/>
    <col min="9484" max="9484" width="11" style="1" bestFit="1" customWidth="1"/>
    <col min="9485" max="9688" width="9" style="1"/>
    <col min="9689" max="9689" width="2.875" style="1" bestFit="1" customWidth="1"/>
    <col min="9690" max="9690" width="17.625" style="1" bestFit="1" customWidth="1"/>
    <col min="9691" max="9691" width="11.375" style="1" bestFit="1" customWidth="1"/>
    <col min="9692" max="9693" width="14.125" style="1" bestFit="1" customWidth="1"/>
    <col min="9694" max="9694" width="11.375" style="1" bestFit="1" customWidth="1"/>
    <col min="9695" max="9697" width="12.5" style="1" bestFit="1" customWidth="1"/>
    <col min="9698" max="9698" width="11" style="1" bestFit="1" customWidth="1"/>
    <col min="9699" max="9717" width="13" style="1" bestFit="1" customWidth="1"/>
    <col min="9718" max="9721" width="11" style="1" bestFit="1" customWidth="1"/>
    <col min="9722" max="9724" width="12.25" style="1" bestFit="1" customWidth="1"/>
    <col min="9725" max="9737" width="11" style="1" bestFit="1" customWidth="1"/>
    <col min="9738" max="9738" width="13.25" style="1" bestFit="1" customWidth="1"/>
    <col min="9739" max="9739" width="10" style="1" bestFit="1" customWidth="1"/>
    <col min="9740" max="9740" width="11" style="1" bestFit="1" customWidth="1"/>
    <col min="9741" max="9944" width="9" style="1"/>
    <col min="9945" max="9945" width="2.875" style="1" bestFit="1" customWidth="1"/>
    <col min="9946" max="9946" width="17.625" style="1" bestFit="1" customWidth="1"/>
    <col min="9947" max="9947" width="11.375" style="1" bestFit="1" customWidth="1"/>
    <col min="9948" max="9949" width="14.125" style="1" bestFit="1" customWidth="1"/>
    <col min="9950" max="9950" width="11.375" style="1" bestFit="1" customWidth="1"/>
    <col min="9951" max="9953" width="12.5" style="1" bestFit="1" customWidth="1"/>
    <col min="9954" max="9954" width="11" style="1" bestFit="1" customWidth="1"/>
    <col min="9955" max="9973" width="13" style="1" bestFit="1" customWidth="1"/>
    <col min="9974" max="9977" width="11" style="1" bestFit="1" customWidth="1"/>
    <col min="9978" max="9980" width="12.25" style="1" bestFit="1" customWidth="1"/>
    <col min="9981" max="9993" width="11" style="1" bestFit="1" customWidth="1"/>
    <col min="9994" max="9994" width="13.25" style="1" bestFit="1" customWidth="1"/>
    <col min="9995" max="9995" width="10" style="1" bestFit="1" customWidth="1"/>
    <col min="9996" max="9996" width="11" style="1" bestFit="1" customWidth="1"/>
    <col min="9997" max="10200" width="9" style="1"/>
    <col min="10201" max="10201" width="2.875" style="1" bestFit="1" customWidth="1"/>
    <col min="10202" max="10202" width="17.625" style="1" bestFit="1" customWidth="1"/>
    <col min="10203" max="10203" width="11.375" style="1" bestFit="1" customWidth="1"/>
    <col min="10204" max="10205" width="14.125" style="1" bestFit="1" customWidth="1"/>
    <col min="10206" max="10206" width="11.375" style="1" bestFit="1" customWidth="1"/>
    <col min="10207" max="10209" width="12.5" style="1" bestFit="1" customWidth="1"/>
    <col min="10210" max="10210" width="11" style="1" bestFit="1" customWidth="1"/>
    <col min="10211" max="10229" width="13" style="1" bestFit="1" customWidth="1"/>
    <col min="10230" max="10233" width="11" style="1" bestFit="1" customWidth="1"/>
    <col min="10234" max="10236" width="12.25" style="1" bestFit="1" customWidth="1"/>
    <col min="10237" max="10249" width="11" style="1" bestFit="1" customWidth="1"/>
    <col min="10250" max="10250" width="13.25" style="1" bestFit="1" customWidth="1"/>
    <col min="10251" max="10251" width="10" style="1" bestFit="1" customWidth="1"/>
    <col min="10252" max="10252" width="11" style="1" bestFit="1" customWidth="1"/>
    <col min="10253" max="10456" width="9" style="1"/>
    <col min="10457" max="10457" width="2.875" style="1" bestFit="1" customWidth="1"/>
    <col min="10458" max="10458" width="17.625" style="1" bestFit="1" customWidth="1"/>
    <col min="10459" max="10459" width="11.375" style="1" bestFit="1" customWidth="1"/>
    <col min="10460" max="10461" width="14.125" style="1" bestFit="1" customWidth="1"/>
    <col min="10462" max="10462" width="11.375" style="1" bestFit="1" customWidth="1"/>
    <col min="10463" max="10465" width="12.5" style="1" bestFit="1" customWidth="1"/>
    <col min="10466" max="10466" width="11" style="1" bestFit="1" customWidth="1"/>
    <col min="10467" max="10485" width="13" style="1" bestFit="1" customWidth="1"/>
    <col min="10486" max="10489" width="11" style="1" bestFit="1" customWidth="1"/>
    <col min="10490" max="10492" width="12.25" style="1" bestFit="1" customWidth="1"/>
    <col min="10493" max="10505" width="11" style="1" bestFit="1" customWidth="1"/>
    <col min="10506" max="10506" width="13.25" style="1" bestFit="1" customWidth="1"/>
    <col min="10507" max="10507" width="10" style="1" bestFit="1" customWidth="1"/>
    <col min="10508" max="10508" width="11" style="1" bestFit="1" customWidth="1"/>
    <col min="10509" max="10712" width="9" style="1"/>
    <col min="10713" max="10713" width="2.875" style="1" bestFit="1" customWidth="1"/>
    <col min="10714" max="10714" width="17.625" style="1" bestFit="1" customWidth="1"/>
    <col min="10715" max="10715" width="11.375" style="1" bestFit="1" customWidth="1"/>
    <col min="10716" max="10717" width="14.125" style="1" bestFit="1" customWidth="1"/>
    <col min="10718" max="10718" width="11.375" style="1" bestFit="1" customWidth="1"/>
    <col min="10719" max="10721" width="12.5" style="1" bestFit="1" customWidth="1"/>
    <col min="10722" max="10722" width="11" style="1" bestFit="1" customWidth="1"/>
    <col min="10723" max="10741" width="13" style="1" bestFit="1" customWidth="1"/>
    <col min="10742" max="10745" width="11" style="1" bestFit="1" customWidth="1"/>
    <col min="10746" max="10748" width="12.25" style="1" bestFit="1" customWidth="1"/>
    <col min="10749" max="10761" width="11" style="1" bestFit="1" customWidth="1"/>
    <col min="10762" max="10762" width="13.25" style="1" bestFit="1" customWidth="1"/>
    <col min="10763" max="10763" width="10" style="1" bestFit="1" customWidth="1"/>
    <col min="10764" max="10764" width="11" style="1" bestFit="1" customWidth="1"/>
    <col min="10765" max="10968" width="9" style="1"/>
    <col min="10969" max="10969" width="2.875" style="1" bestFit="1" customWidth="1"/>
    <col min="10970" max="10970" width="17.625" style="1" bestFit="1" customWidth="1"/>
    <col min="10971" max="10971" width="11.375" style="1" bestFit="1" customWidth="1"/>
    <col min="10972" max="10973" width="14.125" style="1" bestFit="1" customWidth="1"/>
    <col min="10974" max="10974" width="11.375" style="1" bestFit="1" customWidth="1"/>
    <col min="10975" max="10977" width="12.5" style="1" bestFit="1" customWidth="1"/>
    <col min="10978" max="10978" width="11" style="1" bestFit="1" customWidth="1"/>
    <col min="10979" max="10997" width="13" style="1" bestFit="1" customWidth="1"/>
    <col min="10998" max="11001" width="11" style="1" bestFit="1" customWidth="1"/>
    <col min="11002" max="11004" width="12.25" style="1" bestFit="1" customWidth="1"/>
    <col min="11005" max="11017" width="11" style="1" bestFit="1" customWidth="1"/>
    <col min="11018" max="11018" width="13.25" style="1" bestFit="1" customWidth="1"/>
    <col min="11019" max="11019" width="10" style="1" bestFit="1" customWidth="1"/>
    <col min="11020" max="11020" width="11" style="1" bestFit="1" customWidth="1"/>
    <col min="11021" max="11224" width="9" style="1"/>
    <col min="11225" max="11225" width="2.875" style="1" bestFit="1" customWidth="1"/>
    <col min="11226" max="11226" width="17.625" style="1" bestFit="1" customWidth="1"/>
    <col min="11227" max="11227" width="11.375" style="1" bestFit="1" customWidth="1"/>
    <col min="11228" max="11229" width="14.125" style="1" bestFit="1" customWidth="1"/>
    <col min="11230" max="11230" width="11.375" style="1" bestFit="1" customWidth="1"/>
    <col min="11231" max="11233" width="12.5" style="1" bestFit="1" customWidth="1"/>
    <col min="11234" max="11234" width="11" style="1" bestFit="1" customWidth="1"/>
    <col min="11235" max="11253" width="13" style="1" bestFit="1" customWidth="1"/>
    <col min="11254" max="11257" width="11" style="1" bestFit="1" customWidth="1"/>
    <col min="11258" max="11260" width="12.25" style="1" bestFit="1" customWidth="1"/>
    <col min="11261" max="11273" width="11" style="1" bestFit="1" customWidth="1"/>
    <col min="11274" max="11274" width="13.25" style="1" bestFit="1" customWidth="1"/>
    <col min="11275" max="11275" width="10" style="1" bestFit="1" customWidth="1"/>
    <col min="11276" max="11276" width="11" style="1" bestFit="1" customWidth="1"/>
    <col min="11277" max="11480" width="9" style="1"/>
    <col min="11481" max="11481" width="2.875" style="1" bestFit="1" customWidth="1"/>
    <col min="11482" max="11482" width="17.625" style="1" bestFit="1" customWidth="1"/>
    <col min="11483" max="11483" width="11.375" style="1" bestFit="1" customWidth="1"/>
    <col min="11484" max="11485" width="14.125" style="1" bestFit="1" customWidth="1"/>
    <col min="11486" max="11486" width="11.375" style="1" bestFit="1" customWidth="1"/>
    <col min="11487" max="11489" width="12.5" style="1" bestFit="1" customWidth="1"/>
    <col min="11490" max="11490" width="11" style="1" bestFit="1" customWidth="1"/>
    <col min="11491" max="11509" width="13" style="1" bestFit="1" customWidth="1"/>
    <col min="11510" max="11513" width="11" style="1" bestFit="1" customWidth="1"/>
    <col min="11514" max="11516" width="12.25" style="1" bestFit="1" customWidth="1"/>
    <col min="11517" max="11529" width="11" style="1" bestFit="1" customWidth="1"/>
    <col min="11530" max="11530" width="13.25" style="1" bestFit="1" customWidth="1"/>
    <col min="11531" max="11531" width="10" style="1" bestFit="1" customWidth="1"/>
    <col min="11532" max="11532" width="11" style="1" bestFit="1" customWidth="1"/>
    <col min="11533" max="11736" width="9" style="1"/>
    <col min="11737" max="11737" width="2.875" style="1" bestFit="1" customWidth="1"/>
    <col min="11738" max="11738" width="17.625" style="1" bestFit="1" customWidth="1"/>
    <col min="11739" max="11739" width="11.375" style="1" bestFit="1" customWidth="1"/>
    <col min="11740" max="11741" width="14.125" style="1" bestFit="1" customWidth="1"/>
    <col min="11742" max="11742" width="11.375" style="1" bestFit="1" customWidth="1"/>
    <col min="11743" max="11745" width="12.5" style="1" bestFit="1" customWidth="1"/>
    <col min="11746" max="11746" width="11" style="1" bestFit="1" customWidth="1"/>
    <col min="11747" max="11765" width="13" style="1" bestFit="1" customWidth="1"/>
    <col min="11766" max="11769" width="11" style="1" bestFit="1" customWidth="1"/>
    <col min="11770" max="11772" width="12.25" style="1" bestFit="1" customWidth="1"/>
    <col min="11773" max="11785" width="11" style="1" bestFit="1" customWidth="1"/>
    <col min="11786" max="11786" width="13.25" style="1" bestFit="1" customWidth="1"/>
    <col min="11787" max="11787" width="10" style="1" bestFit="1" customWidth="1"/>
    <col min="11788" max="11788" width="11" style="1" bestFit="1" customWidth="1"/>
    <col min="11789" max="11992" width="9" style="1"/>
    <col min="11993" max="11993" width="2.875" style="1" bestFit="1" customWidth="1"/>
    <col min="11994" max="11994" width="17.625" style="1" bestFit="1" customWidth="1"/>
    <col min="11995" max="11995" width="11.375" style="1" bestFit="1" customWidth="1"/>
    <col min="11996" max="11997" width="14.125" style="1" bestFit="1" customWidth="1"/>
    <col min="11998" max="11998" width="11.375" style="1" bestFit="1" customWidth="1"/>
    <col min="11999" max="12001" width="12.5" style="1" bestFit="1" customWidth="1"/>
    <col min="12002" max="12002" width="11" style="1" bestFit="1" customWidth="1"/>
    <col min="12003" max="12021" width="13" style="1" bestFit="1" customWidth="1"/>
    <col min="12022" max="12025" width="11" style="1" bestFit="1" customWidth="1"/>
    <col min="12026" max="12028" width="12.25" style="1" bestFit="1" customWidth="1"/>
    <col min="12029" max="12041" width="11" style="1" bestFit="1" customWidth="1"/>
    <col min="12042" max="12042" width="13.25" style="1" bestFit="1" customWidth="1"/>
    <col min="12043" max="12043" width="10" style="1" bestFit="1" customWidth="1"/>
    <col min="12044" max="12044" width="11" style="1" bestFit="1" customWidth="1"/>
    <col min="12045" max="12248" width="9" style="1"/>
    <col min="12249" max="12249" width="2.875" style="1" bestFit="1" customWidth="1"/>
    <col min="12250" max="12250" width="17.625" style="1" bestFit="1" customWidth="1"/>
    <col min="12251" max="12251" width="11.375" style="1" bestFit="1" customWidth="1"/>
    <col min="12252" max="12253" width="14.125" style="1" bestFit="1" customWidth="1"/>
    <col min="12254" max="12254" width="11.375" style="1" bestFit="1" customWidth="1"/>
    <col min="12255" max="12257" width="12.5" style="1" bestFit="1" customWidth="1"/>
    <col min="12258" max="12258" width="11" style="1" bestFit="1" customWidth="1"/>
    <col min="12259" max="12277" width="13" style="1" bestFit="1" customWidth="1"/>
    <col min="12278" max="12281" width="11" style="1" bestFit="1" customWidth="1"/>
    <col min="12282" max="12284" width="12.25" style="1" bestFit="1" customWidth="1"/>
    <col min="12285" max="12297" width="11" style="1" bestFit="1" customWidth="1"/>
    <col min="12298" max="12298" width="13.25" style="1" bestFit="1" customWidth="1"/>
    <col min="12299" max="12299" width="10" style="1" bestFit="1" customWidth="1"/>
    <col min="12300" max="12300" width="11" style="1" bestFit="1" customWidth="1"/>
    <col min="12301" max="12504" width="9" style="1"/>
    <col min="12505" max="12505" width="2.875" style="1" bestFit="1" customWidth="1"/>
    <col min="12506" max="12506" width="17.625" style="1" bestFit="1" customWidth="1"/>
    <col min="12507" max="12507" width="11.375" style="1" bestFit="1" customWidth="1"/>
    <col min="12508" max="12509" width="14.125" style="1" bestFit="1" customWidth="1"/>
    <col min="12510" max="12510" width="11.375" style="1" bestFit="1" customWidth="1"/>
    <col min="12511" max="12513" width="12.5" style="1" bestFit="1" customWidth="1"/>
    <col min="12514" max="12514" width="11" style="1" bestFit="1" customWidth="1"/>
    <col min="12515" max="12533" width="13" style="1" bestFit="1" customWidth="1"/>
    <col min="12534" max="12537" width="11" style="1" bestFit="1" customWidth="1"/>
    <col min="12538" max="12540" width="12.25" style="1" bestFit="1" customWidth="1"/>
    <col min="12541" max="12553" width="11" style="1" bestFit="1" customWidth="1"/>
    <col min="12554" max="12554" width="13.25" style="1" bestFit="1" customWidth="1"/>
    <col min="12555" max="12555" width="10" style="1" bestFit="1" customWidth="1"/>
    <col min="12556" max="12556" width="11" style="1" bestFit="1" customWidth="1"/>
    <col min="12557" max="12760" width="9" style="1"/>
    <col min="12761" max="12761" width="2.875" style="1" bestFit="1" customWidth="1"/>
    <col min="12762" max="12762" width="17.625" style="1" bestFit="1" customWidth="1"/>
    <col min="12763" max="12763" width="11.375" style="1" bestFit="1" customWidth="1"/>
    <col min="12764" max="12765" width="14.125" style="1" bestFit="1" customWidth="1"/>
    <col min="12766" max="12766" width="11.375" style="1" bestFit="1" customWidth="1"/>
    <col min="12767" max="12769" width="12.5" style="1" bestFit="1" customWidth="1"/>
    <col min="12770" max="12770" width="11" style="1" bestFit="1" customWidth="1"/>
    <col min="12771" max="12789" width="13" style="1" bestFit="1" customWidth="1"/>
    <col min="12790" max="12793" width="11" style="1" bestFit="1" customWidth="1"/>
    <col min="12794" max="12796" width="12.25" style="1" bestFit="1" customWidth="1"/>
    <col min="12797" max="12809" width="11" style="1" bestFit="1" customWidth="1"/>
    <col min="12810" max="12810" width="13.25" style="1" bestFit="1" customWidth="1"/>
    <col min="12811" max="12811" width="10" style="1" bestFit="1" customWidth="1"/>
    <col min="12812" max="12812" width="11" style="1" bestFit="1" customWidth="1"/>
    <col min="12813" max="13016" width="9" style="1"/>
    <col min="13017" max="13017" width="2.875" style="1" bestFit="1" customWidth="1"/>
    <col min="13018" max="13018" width="17.625" style="1" bestFit="1" customWidth="1"/>
    <col min="13019" max="13019" width="11.375" style="1" bestFit="1" customWidth="1"/>
    <col min="13020" max="13021" width="14.125" style="1" bestFit="1" customWidth="1"/>
    <col min="13022" max="13022" width="11.375" style="1" bestFit="1" customWidth="1"/>
    <col min="13023" max="13025" width="12.5" style="1" bestFit="1" customWidth="1"/>
    <col min="13026" max="13026" width="11" style="1" bestFit="1" customWidth="1"/>
    <col min="13027" max="13045" width="13" style="1" bestFit="1" customWidth="1"/>
    <col min="13046" max="13049" width="11" style="1" bestFit="1" customWidth="1"/>
    <col min="13050" max="13052" width="12.25" style="1" bestFit="1" customWidth="1"/>
    <col min="13053" max="13065" width="11" style="1" bestFit="1" customWidth="1"/>
    <col min="13066" max="13066" width="13.25" style="1" bestFit="1" customWidth="1"/>
    <col min="13067" max="13067" width="10" style="1" bestFit="1" customWidth="1"/>
    <col min="13068" max="13068" width="11" style="1" bestFit="1" customWidth="1"/>
    <col min="13069" max="13272" width="9" style="1"/>
    <col min="13273" max="13273" width="2.875" style="1" bestFit="1" customWidth="1"/>
    <col min="13274" max="13274" width="17.625" style="1" bestFit="1" customWidth="1"/>
    <col min="13275" max="13275" width="11.375" style="1" bestFit="1" customWidth="1"/>
    <col min="13276" max="13277" width="14.125" style="1" bestFit="1" customWidth="1"/>
    <col min="13278" max="13278" width="11.375" style="1" bestFit="1" customWidth="1"/>
    <col min="13279" max="13281" width="12.5" style="1" bestFit="1" customWidth="1"/>
    <col min="13282" max="13282" width="11" style="1" bestFit="1" customWidth="1"/>
    <col min="13283" max="13301" width="13" style="1" bestFit="1" customWidth="1"/>
    <col min="13302" max="13305" width="11" style="1" bestFit="1" customWidth="1"/>
    <col min="13306" max="13308" width="12.25" style="1" bestFit="1" customWidth="1"/>
    <col min="13309" max="13321" width="11" style="1" bestFit="1" customWidth="1"/>
    <col min="13322" max="13322" width="13.25" style="1" bestFit="1" customWidth="1"/>
    <col min="13323" max="13323" width="10" style="1" bestFit="1" customWidth="1"/>
    <col min="13324" max="13324" width="11" style="1" bestFit="1" customWidth="1"/>
    <col min="13325" max="13528" width="9" style="1"/>
    <col min="13529" max="13529" width="2.875" style="1" bestFit="1" customWidth="1"/>
    <col min="13530" max="13530" width="17.625" style="1" bestFit="1" customWidth="1"/>
    <col min="13531" max="13531" width="11.375" style="1" bestFit="1" customWidth="1"/>
    <col min="13532" max="13533" width="14.125" style="1" bestFit="1" customWidth="1"/>
    <col min="13534" max="13534" width="11.375" style="1" bestFit="1" customWidth="1"/>
    <col min="13535" max="13537" width="12.5" style="1" bestFit="1" customWidth="1"/>
    <col min="13538" max="13538" width="11" style="1" bestFit="1" customWidth="1"/>
    <col min="13539" max="13557" width="13" style="1" bestFit="1" customWidth="1"/>
    <col min="13558" max="13561" width="11" style="1" bestFit="1" customWidth="1"/>
    <col min="13562" max="13564" width="12.25" style="1" bestFit="1" customWidth="1"/>
    <col min="13565" max="13577" width="11" style="1" bestFit="1" customWidth="1"/>
    <col min="13578" max="13578" width="13.25" style="1" bestFit="1" customWidth="1"/>
    <col min="13579" max="13579" width="10" style="1" bestFit="1" customWidth="1"/>
    <col min="13580" max="13580" width="11" style="1" bestFit="1" customWidth="1"/>
    <col min="13581" max="13784" width="9" style="1"/>
    <col min="13785" max="13785" width="2.875" style="1" bestFit="1" customWidth="1"/>
    <col min="13786" max="13786" width="17.625" style="1" bestFit="1" customWidth="1"/>
    <col min="13787" max="13787" width="11.375" style="1" bestFit="1" customWidth="1"/>
    <col min="13788" max="13789" width="14.125" style="1" bestFit="1" customWidth="1"/>
    <col min="13790" max="13790" width="11.375" style="1" bestFit="1" customWidth="1"/>
    <col min="13791" max="13793" width="12.5" style="1" bestFit="1" customWidth="1"/>
    <col min="13794" max="13794" width="11" style="1" bestFit="1" customWidth="1"/>
    <col min="13795" max="13813" width="13" style="1" bestFit="1" customWidth="1"/>
    <col min="13814" max="13817" width="11" style="1" bestFit="1" customWidth="1"/>
    <col min="13818" max="13820" width="12.25" style="1" bestFit="1" customWidth="1"/>
    <col min="13821" max="13833" width="11" style="1" bestFit="1" customWidth="1"/>
    <col min="13834" max="13834" width="13.25" style="1" bestFit="1" customWidth="1"/>
    <col min="13835" max="13835" width="10" style="1" bestFit="1" customWidth="1"/>
    <col min="13836" max="13836" width="11" style="1" bestFit="1" customWidth="1"/>
    <col min="13837" max="14040" width="9" style="1"/>
    <col min="14041" max="14041" width="2.875" style="1" bestFit="1" customWidth="1"/>
    <col min="14042" max="14042" width="17.625" style="1" bestFit="1" customWidth="1"/>
    <col min="14043" max="14043" width="11.375" style="1" bestFit="1" customWidth="1"/>
    <col min="14044" max="14045" width="14.125" style="1" bestFit="1" customWidth="1"/>
    <col min="14046" max="14046" width="11.375" style="1" bestFit="1" customWidth="1"/>
    <col min="14047" max="14049" width="12.5" style="1" bestFit="1" customWidth="1"/>
    <col min="14050" max="14050" width="11" style="1" bestFit="1" customWidth="1"/>
    <col min="14051" max="14069" width="13" style="1" bestFit="1" customWidth="1"/>
    <col min="14070" max="14073" width="11" style="1" bestFit="1" customWidth="1"/>
    <col min="14074" max="14076" width="12.25" style="1" bestFit="1" customWidth="1"/>
    <col min="14077" max="14089" width="11" style="1" bestFit="1" customWidth="1"/>
    <col min="14090" max="14090" width="13.25" style="1" bestFit="1" customWidth="1"/>
    <col min="14091" max="14091" width="10" style="1" bestFit="1" customWidth="1"/>
    <col min="14092" max="14092" width="11" style="1" bestFit="1" customWidth="1"/>
    <col min="14093" max="14296" width="9" style="1"/>
    <col min="14297" max="14297" width="2.875" style="1" bestFit="1" customWidth="1"/>
    <col min="14298" max="14298" width="17.625" style="1" bestFit="1" customWidth="1"/>
    <col min="14299" max="14299" width="11.375" style="1" bestFit="1" customWidth="1"/>
    <col min="14300" max="14301" width="14.125" style="1" bestFit="1" customWidth="1"/>
    <col min="14302" max="14302" width="11.375" style="1" bestFit="1" customWidth="1"/>
    <col min="14303" max="14305" width="12.5" style="1" bestFit="1" customWidth="1"/>
    <col min="14306" max="14306" width="11" style="1" bestFit="1" customWidth="1"/>
    <col min="14307" max="14325" width="13" style="1" bestFit="1" customWidth="1"/>
    <col min="14326" max="14329" width="11" style="1" bestFit="1" customWidth="1"/>
    <col min="14330" max="14332" width="12.25" style="1" bestFit="1" customWidth="1"/>
    <col min="14333" max="14345" width="11" style="1" bestFit="1" customWidth="1"/>
    <col min="14346" max="14346" width="13.25" style="1" bestFit="1" customWidth="1"/>
    <col min="14347" max="14347" width="10" style="1" bestFit="1" customWidth="1"/>
    <col min="14348" max="14348" width="11" style="1" bestFit="1" customWidth="1"/>
    <col min="14349" max="14552" width="9" style="1"/>
    <col min="14553" max="14553" width="2.875" style="1" bestFit="1" customWidth="1"/>
    <col min="14554" max="14554" width="17.625" style="1" bestFit="1" customWidth="1"/>
    <col min="14555" max="14555" width="11.375" style="1" bestFit="1" customWidth="1"/>
    <col min="14556" max="14557" width="14.125" style="1" bestFit="1" customWidth="1"/>
    <col min="14558" max="14558" width="11.375" style="1" bestFit="1" customWidth="1"/>
    <col min="14559" max="14561" width="12.5" style="1" bestFit="1" customWidth="1"/>
    <col min="14562" max="14562" width="11" style="1" bestFit="1" customWidth="1"/>
    <col min="14563" max="14581" width="13" style="1" bestFit="1" customWidth="1"/>
    <col min="14582" max="14585" width="11" style="1" bestFit="1" customWidth="1"/>
    <col min="14586" max="14588" width="12.25" style="1" bestFit="1" customWidth="1"/>
    <col min="14589" max="14601" width="11" style="1" bestFit="1" customWidth="1"/>
    <col min="14602" max="14602" width="13.25" style="1" bestFit="1" customWidth="1"/>
    <col min="14603" max="14603" width="10" style="1" bestFit="1" customWidth="1"/>
    <col min="14604" max="14604" width="11" style="1" bestFit="1" customWidth="1"/>
    <col min="14605" max="14808" width="9" style="1"/>
    <col min="14809" max="14809" width="2.875" style="1" bestFit="1" customWidth="1"/>
    <col min="14810" max="14810" width="17.625" style="1" bestFit="1" customWidth="1"/>
    <col min="14811" max="14811" width="11.375" style="1" bestFit="1" customWidth="1"/>
    <col min="14812" max="14813" width="14.125" style="1" bestFit="1" customWidth="1"/>
    <col min="14814" max="14814" width="11.375" style="1" bestFit="1" customWidth="1"/>
    <col min="14815" max="14817" width="12.5" style="1" bestFit="1" customWidth="1"/>
    <col min="14818" max="14818" width="11" style="1" bestFit="1" customWidth="1"/>
    <col min="14819" max="14837" width="13" style="1" bestFit="1" customWidth="1"/>
    <col min="14838" max="14841" width="11" style="1" bestFit="1" customWidth="1"/>
    <col min="14842" max="14844" width="12.25" style="1" bestFit="1" customWidth="1"/>
    <col min="14845" max="14857" width="11" style="1" bestFit="1" customWidth="1"/>
    <col min="14858" max="14858" width="13.25" style="1" bestFit="1" customWidth="1"/>
    <col min="14859" max="14859" width="10" style="1" bestFit="1" customWidth="1"/>
    <col min="14860" max="14860" width="11" style="1" bestFit="1" customWidth="1"/>
    <col min="14861" max="15064" width="9" style="1"/>
    <col min="15065" max="15065" width="2.875" style="1" bestFit="1" customWidth="1"/>
    <col min="15066" max="15066" width="17.625" style="1" bestFit="1" customWidth="1"/>
    <col min="15067" max="15067" width="11.375" style="1" bestFit="1" customWidth="1"/>
    <col min="15068" max="15069" width="14.125" style="1" bestFit="1" customWidth="1"/>
    <col min="15070" max="15070" width="11.375" style="1" bestFit="1" customWidth="1"/>
    <col min="15071" max="15073" width="12.5" style="1" bestFit="1" customWidth="1"/>
    <col min="15074" max="15074" width="11" style="1" bestFit="1" customWidth="1"/>
    <col min="15075" max="15093" width="13" style="1" bestFit="1" customWidth="1"/>
    <col min="15094" max="15097" width="11" style="1" bestFit="1" customWidth="1"/>
    <col min="15098" max="15100" width="12.25" style="1" bestFit="1" customWidth="1"/>
    <col min="15101" max="15113" width="11" style="1" bestFit="1" customWidth="1"/>
    <col min="15114" max="15114" width="13.25" style="1" bestFit="1" customWidth="1"/>
    <col min="15115" max="15115" width="10" style="1" bestFit="1" customWidth="1"/>
    <col min="15116" max="15116" width="11" style="1" bestFit="1" customWidth="1"/>
    <col min="15117" max="15320" width="9" style="1"/>
    <col min="15321" max="15321" width="2.875" style="1" bestFit="1" customWidth="1"/>
    <col min="15322" max="15322" width="17.625" style="1" bestFit="1" customWidth="1"/>
    <col min="15323" max="15323" width="11.375" style="1" bestFit="1" customWidth="1"/>
    <col min="15324" max="15325" width="14.125" style="1" bestFit="1" customWidth="1"/>
    <col min="15326" max="15326" width="11.375" style="1" bestFit="1" customWidth="1"/>
    <col min="15327" max="15329" width="12.5" style="1" bestFit="1" customWidth="1"/>
    <col min="15330" max="15330" width="11" style="1" bestFit="1" customWidth="1"/>
    <col min="15331" max="15349" width="13" style="1" bestFit="1" customWidth="1"/>
    <col min="15350" max="15353" width="11" style="1" bestFit="1" customWidth="1"/>
    <col min="15354" max="15356" width="12.25" style="1" bestFit="1" customWidth="1"/>
    <col min="15357" max="15369" width="11" style="1" bestFit="1" customWidth="1"/>
    <col min="15370" max="15370" width="13.25" style="1" bestFit="1" customWidth="1"/>
    <col min="15371" max="15371" width="10" style="1" bestFit="1" customWidth="1"/>
    <col min="15372" max="15372" width="11" style="1" bestFit="1" customWidth="1"/>
    <col min="15373" max="15576" width="9" style="1"/>
    <col min="15577" max="15577" width="2.875" style="1" bestFit="1" customWidth="1"/>
    <col min="15578" max="15578" width="17.625" style="1" bestFit="1" customWidth="1"/>
    <col min="15579" max="15579" width="11.375" style="1" bestFit="1" customWidth="1"/>
    <col min="15580" max="15581" width="14.125" style="1" bestFit="1" customWidth="1"/>
    <col min="15582" max="15582" width="11.375" style="1" bestFit="1" customWidth="1"/>
    <col min="15583" max="15585" width="12.5" style="1" bestFit="1" customWidth="1"/>
    <col min="15586" max="15586" width="11" style="1" bestFit="1" customWidth="1"/>
    <col min="15587" max="15605" width="13" style="1" bestFit="1" customWidth="1"/>
    <col min="15606" max="15609" width="11" style="1" bestFit="1" customWidth="1"/>
    <col min="15610" max="15612" width="12.25" style="1" bestFit="1" customWidth="1"/>
    <col min="15613" max="15625" width="11" style="1" bestFit="1" customWidth="1"/>
    <col min="15626" max="15626" width="13.25" style="1" bestFit="1" customWidth="1"/>
    <col min="15627" max="15627" width="10" style="1" bestFit="1" customWidth="1"/>
    <col min="15628" max="15628" width="11" style="1" bestFit="1" customWidth="1"/>
    <col min="15629" max="15832" width="9" style="1"/>
    <col min="15833" max="15833" width="2.875" style="1" bestFit="1" customWidth="1"/>
    <col min="15834" max="15834" width="17.625" style="1" bestFit="1" customWidth="1"/>
    <col min="15835" max="15835" width="11.375" style="1" bestFit="1" customWidth="1"/>
    <col min="15836" max="15837" width="14.125" style="1" bestFit="1" customWidth="1"/>
    <col min="15838" max="15838" width="11.375" style="1" bestFit="1" customWidth="1"/>
    <col min="15839" max="15841" width="12.5" style="1" bestFit="1" customWidth="1"/>
    <col min="15842" max="15842" width="11" style="1" bestFit="1" customWidth="1"/>
    <col min="15843" max="15861" width="13" style="1" bestFit="1" customWidth="1"/>
    <col min="15862" max="15865" width="11" style="1" bestFit="1" customWidth="1"/>
    <col min="15866" max="15868" width="12.25" style="1" bestFit="1" customWidth="1"/>
    <col min="15869" max="15881" width="11" style="1" bestFit="1" customWidth="1"/>
    <col min="15882" max="15882" width="13.25" style="1" bestFit="1" customWidth="1"/>
    <col min="15883" max="15883" width="10" style="1" bestFit="1" customWidth="1"/>
    <col min="15884" max="15884" width="11" style="1" bestFit="1" customWidth="1"/>
    <col min="15885" max="16088" width="9" style="1"/>
    <col min="16089" max="16089" width="2.875" style="1" bestFit="1" customWidth="1"/>
    <col min="16090" max="16090" width="17.625" style="1" bestFit="1" customWidth="1"/>
    <col min="16091" max="16091" width="11.375" style="1" bestFit="1" customWidth="1"/>
    <col min="16092" max="16093" width="14.125" style="1" bestFit="1" customWidth="1"/>
    <col min="16094" max="16094" width="11.375" style="1" bestFit="1" customWidth="1"/>
    <col min="16095" max="16097" width="12.5" style="1" bestFit="1" customWidth="1"/>
    <col min="16098" max="16098" width="11" style="1" bestFit="1" customWidth="1"/>
    <col min="16099" max="16117" width="13" style="1" bestFit="1" customWidth="1"/>
    <col min="16118" max="16121" width="11" style="1" bestFit="1" customWidth="1"/>
    <col min="16122" max="16124" width="12.25" style="1" bestFit="1" customWidth="1"/>
    <col min="16125" max="16137" width="11" style="1" bestFit="1" customWidth="1"/>
    <col min="16138" max="16138" width="13.25" style="1" bestFit="1" customWidth="1"/>
    <col min="16139" max="16139" width="10" style="1" bestFit="1" customWidth="1"/>
    <col min="16140" max="16140" width="11" style="1" bestFit="1" customWidth="1"/>
    <col min="16141" max="16384" width="9" style="1"/>
  </cols>
  <sheetData>
    <row r="1" spans="1:12" hidden="1" x14ac:dyDescent="0.15"/>
    <row r="2" spans="1:12" ht="30.75" hidden="1" customHeight="1" x14ac:dyDescent="0.15"/>
    <row r="3" spans="1:12" ht="17.25" x14ac:dyDescent="0.2">
      <c r="A3" s="53">
        <v>45505</v>
      </c>
      <c r="B3" s="53"/>
      <c r="C3" s="45" t="s">
        <v>245</v>
      </c>
    </row>
    <row r="4" spans="1:12" s="5" customFormat="1" ht="10.5" customHeight="1" x14ac:dyDescent="0.15">
      <c r="A4" s="46" t="s">
        <v>0</v>
      </c>
      <c r="B4" s="46"/>
      <c r="C4" s="2" t="s">
        <v>26</v>
      </c>
      <c r="D4" s="2" t="s">
        <v>27</v>
      </c>
      <c r="E4" s="2" t="s">
        <v>28</v>
      </c>
      <c r="F4" s="2" t="s">
        <v>29</v>
      </c>
      <c r="G4" s="2" t="s">
        <v>30</v>
      </c>
      <c r="H4" s="2" t="s">
        <v>31</v>
      </c>
      <c r="I4" s="2" t="s">
        <v>32</v>
      </c>
      <c r="J4" s="3" t="s">
        <v>41</v>
      </c>
      <c r="K4" s="3" t="s">
        <v>42</v>
      </c>
      <c r="L4" s="4" t="s">
        <v>43</v>
      </c>
    </row>
    <row r="5" spans="1:12" s="5" customFormat="1" hidden="1" x14ac:dyDescent="0.15">
      <c r="A5" s="50" t="s">
        <v>44</v>
      </c>
      <c r="B5" s="54"/>
      <c r="C5" s="2">
        <v>6</v>
      </c>
      <c r="D5" s="2">
        <v>6</v>
      </c>
      <c r="E5" s="2">
        <v>6</v>
      </c>
      <c r="F5" s="2">
        <v>6</v>
      </c>
      <c r="G5" s="2">
        <v>6</v>
      </c>
      <c r="H5" s="2">
        <v>6</v>
      </c>
      <c r="I5" s="2">
        <v>6</v>
      </c>
      <c r="J5" s="3"/>
      <c r="K5" s="3"/>
      <c r="L5" s="4"/>
    </row>
    <row r="6" spans="1:12" s="5" customFormat="1" hidden="1" x14ac:dyDescent="0.15">
      <c r="A6" s="50" t="s">
        <v>45</v>
      </c>
      <c r="B6" s="54"/>
      <c r="C6" s="2" t="s">
        <v>48</v>
      </c>
      <c r="D6" s="2" t="s">
        <v>48</v>
      </c>
      <c r="E6" s="2" t="s">
        <v>48</v>
      </c>
      <c r="F6" s="2" t="s">
        <v>48</v>
      </c>
      <c r="G6" s="2" t="s">
        <v>48</v>
      </c>
      <c r="H6" s="2" t="s">
        <v>48</v>
      </c>
      <c r="I6" s="2" t="s">
        <v>48</v>
      </c>
      <c r="J6" s="3"/>
      <c r="K6" s="3"/>
      <c r="L6" s="4"/>
    </row>
    <row r="7" spans="1:12" s="5" customFormat="1" ht="12" customHeight="1" x14ac:dyDescent="0.15">
      <c r="A7" s="52" t="s">
        <v>51</v>
      </c>
      <c r="B7" s="52"/>
      <c r="C7" s="36" t="s">
        <v>166</v>
      </c>
      <c r="D7" s="36" t="s">
        <v>167</v>
      </c>
      <c r="E7" s="36" t="s">
        <v>165</v>
      </c>
      <c r="F7" s="36" t="s">
        <v>175</v>
      </c>
      <c r="G7" s="36" t="s">
        <v>186</v>
      </c>
      <c r="H7" s="36" t="s">
        <v>183</v>
      </c>
      <c r="I7" s="36" t="s">
        <v>184</v>
      </c>
      <c r="J7" s="6"/>
      <c r="K7" s="6"/>
      <c r="L7" s="7"/>
    </row>
    <row r="8" spans="1:12" s="5" customFormat="1" ht="12" customHeight="1" x14ac:dyDescent="0.15">
      <c r="A8" s="52" t="s">
        <v>52</v>
      </c>
      <c r="B8" s="52"/>
      <c r="C8" s="36" t="s">
        <v>224</v>
      </c>
      <c r="D8" s="36" t="s">
        <v>225</v>
      </c>
      <c r="E8" s="36" t="s">
        <v>226</v>
      </c>
      <c r="F8" s="36" t="s">
        <v>227</v>
      </c>
      <c r="G8" s="36" t="s">
        <v>228</v>
      </c>
      <c r="H8" s="36" t="s">
        <v>229</v>
      </c>
      <c r="I8" s="36" t="s">
        <v>230</v>
      </c>
      <c r="J8" s="6"/>
      <c r="K8" s="6"/>
      <c r="L8" s="7"/>
    </row>
    <row r="9" spans="1:12" ht="12" customHeight="1" x14ac:dyDescent="0.15">
      <c r="A9" s="48" t="s">
        <v>53</v>
      </c>
      <c r="B9" s="49"/>
      <c r="C9" s="38">
        <v>8</v>
      </c>
      <c r="D9" s="38">
        <v>8</v>
      </c>
      <c r="E9" s="38">
        <v>8</v>
      </c>
      <c r="F9" s="38">
        <v>10</v>
      </c>
      <c r="G9" s="38">
        <v>10</v>
      </c>
      <c r="H9" s="38">
        <v>10</v>
      </c>
      <c r="I9" s="38">
        <v>10</v>
      </c>
      <c r="J9" s="9">
        <f>SUM(C9:I9)</f>
        <v>64</v>
      </c>
      <c r="K9" s="9"/>
      <c r="L9" s="10"/>
    </row>
    <row r="10" spans="1:12" ht="12.75" customHeight="1" x14ac:dyDescent="0.15">
      <c r="A10" s="46" t="s">
        <v>54</v>
      </c>
      <c r="B10" s="46"/>
      <c r="C10" s="41" t="s">
        <v>57</v>
      </c>
      <c r="D10" s="41" t="s">
        <v>57</v>
      </c>
      <c r="E10" s="41" t="s">
        <v>58</v>
      </c>
      <c r="F10" s="41" t="s">
        <v>59</v>
      </c>
      <c r="G10" s="41" t="s">
        <v>61</v>
      </c>
      <c r="H10" s="41" t="s">
        <v>61</v>
      </c>
      <c r="I10" s="41" t="s">
        <v>61</v>
      </c>
      <c r="J10" s="12"/>
      <c r="K10" s="12"/>
      <c r="L10" s="13"/>
    </row>
    <row r="11" spans="1:12" ht="12.75" customHeight="1" x14ac:dyDescent="0.15">
      <c r="A11" s="46" t="s">
        <v>65</v>
      </c>
      <c r="B11" s="46"/>
      <c r="C11" s="14">
        <v>6777</v>
      </c>
      <c r="D11" s="14">
        <v>5609</v>
      </c>
      <c r="E11" s="14">
        <v>7399</v>
      </c>
      <c r="F11" s="14">
        <v>9713</v>
      </c>
      <c r="G11" s="14">
        <v>4236</v>
      </c>
      <c r="H11" s="14">
        <v>6707</v>
      </c>
      <c r="I11" s="14">
        <v>2345</v>
      </c>
      <c r="J11" s="16">
        <f>SUM(C11:I11)</f>
        <v>42786</v>
      </c>
      <c r="K11" s="16">
        <f>AVERAGE(C11:I11)</f>
        <v>6112.2857142857147</v>
      </c>
      <c r="L11" s="13"/>
    </row>
    <row r="12" spans="1:12" ht="12.75" customHeight="1" x14ac:dyDescent="0.15">
      <c r="A12" s="50" t="s">
        <v>239</v>
      </c>
      <c r="B12" s="51"/>
      <c r="C12" s="43">
        <v>8.7298611111111111</v>
      </c>
      <c r="D12" s="43">
        <v>6.8493055555555555</v>
      </c>
      <c r="E12" s="43">
        <v>10.783333333333333</v>
      </c>
      <c r="F12" s="43">
        <v>12.400694444444444</v>
      </c>
      <c r="G12" s="43">
        <v>7.1111111111111107</v>
      </c>
      <c r="H12" s="43">
        <v>9.2881944444444446</v>
      </c>
      <c r="I12" s="43">
        <v>3.6958333333333333</v>
      </c>
      <c r="J12" s="16"/>
      <c r="K12" s="16"/>
      <c r="L12" s="13"/>
    </row>
    <row r="13" spans="1:12" ht="12.75" customHeight="1" x14ac:dyDescent="0.15">
      <c r="A13" s="46" t="s">
        <v>66</v>
      </c>
      <c r="B13" s="46"/>
      <c r="C13" s="14">
        <v>1586771</v>
      </c>
      <c r="D13" s="14">
        <v>1340753</v>
      </c>
      <c r="E13" s="14">
        <v>1285348</v>
      </c>
      <c r="F13" s="14">
        <v>1329600</v>
      </c>
      <c r="G13" s="14">
        <v>929881</v>
      </c>
      <c r="H13" s="14">
        <v>1387908</v>
      </c>
      <c r="I13" s="14">
        <v>452752</v>
      </c>
      <c r="J13" s="16">
        <f>SUM(C13:I13)</f>
        <v>8313013</v>
      </c>
      <c r="K13" s="16">
        <f>AVERAGE(C13:I13)</f>
        <v>1187573.2857142857</v>
      </c>
      <c r="L13" s="13">
        <f>J13/J13</f>
        <v>1</v>
      </c>
    </row>
    <row r="14" spans="1:12" ht="12.75" customHeight="1" x14ac:dyDescent="0.15">
      <c r="A14" s="50" t="s">
        <v>240</v>
      </c>
      <c r="B14" s="51"/>
      <c r="C14" s="14"/>
      <c r="D14" s="14"/>
      <c r="E14" s="14"/>
      <c r="F14" s="14"/>
      <c r="G14" s="14"/>
      <c r="H14" s="14"/>
      <c r="I14" s="14"/>
      <c r="J14" s="16">
        <f>SUM(C14:I14)</f>
        <v>0</v>
      </c>
      <c r="K14" s="16"/>
      <c r="L14" s="13"/>
    </row>
    <row r="15" spans="1:12" ht="12.75" customHeight="1" x14ac:dyDescent="0.15">
      <c r="A15" s="46" t="s">
        <v>67</v>
      </c>
      <c r="B15" s="46"/>
      <c r="C15" s="14">
        <f t="shared" ref="C15:I15" si="0">SUM(C13/C11)</f>
        <v>234.14062269440757</v>
      </c>
      <c r="D15" s="14">
        <f t="shared" si="0"/>
        <v>239.03601354965235</v>
      </c>
      <c r="E15" s="14">
        <f t="shared" si="0"/>
        <v>173.7191512366536</v>
      </c>
      <c r="F15" s="14">
        <f t="shared" si="0"/>
        <v>136.88870585812828</v>
      </c>
      <c r="G15" s="14">
        <f t="shared" si="0"/>
        <v>219.51864966949952</v>
      </c>
      <c r="H15" s="14">
        <f t="shared" si="0"/>
        <v>206.93424780080514</v>
      </c>
      <c r="I15" s="14">
        <f t="shared" si="0"/>
        <v>193.07121535181236</v>
      </c>
      <c r="J15" s="12">
        <f>SUM(J13/J11)</f>
        <v>194.29282943018745</v>
      </c>
      <c r="K15" s="16">
        <f>AVERAGE(C15:I15)</f>
        <v>200.47265802299412</v>
      </c>
      <c r="L15" s="13"/>
    </row>
    <row r="16" spans="1:12" ht="12.75" customHeight="1" x14ac:dyDescent="0.15">
      <c r="A16" s="50" t="s">
        <v>241</v>
      </c>
      <c r="B16" s="51"/>
      <c r="C16" s="14">
        <f t="shared" ref="C16:I16" si="1">C13/(C12*24)</f>
        <v>7573.4834142073032</v>
      </c>
      <c r="D16" s="14">
        <f t="shared" si="1"/>
        <v>8156.258744803813</v>
      </c>
      <c r="E16" s="14">
        <f t="shared" si="1"/>
        <v>4966.5687789799067</v>
      </c>
      <c r="F16" s="14">
        <f t="shared" si="1"/>
        <v>4467.4917399339192</v>
      </c>
      <c r="G16" s="14">
        <f t="shared" si="1"/>
        <v>5448.521484375</v>
      </c>
      <c r="H16" s="14">
        <f t="shared" si="1"/>
        <v>6226.1293457943921</v>
      </c>
      <c r="I16" s="14">
        <f t="shared" si="1"/>
        <v>5104.3066516347235</v>
      </c>
      <c r="J16" s="12"/>
      <c r="K16" s="16"/>
      <c r="L16" s="13"/>
    </row>
    <row r="17" spans="1:12" ht="12.75" customHeight="1" x14ac:dyDescent="0.15">
      <c r="A17" s="47" t="s">
        <v>68</v>
      </c>
      <c r="B17" s="11" t="s">
        <v>69</v>
      </c>
      <c r="C17" s="14">
        <v>82500</v>
      </c>
      <c r="D17" s="14">
        <v>215200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6">
        <f t="shared" ref="J17:J30" si="2">SUM(C17:I17)</f>
        <v>297700</v>
      </c>
      <c r="K17" s="16">
        <f t="shared" ref="K17:K45" si="3">AVERAGE(C17:I17)</f>
        <v>42528.571428571428</v>
      </c>
      <c r="L17" s="13">
        <f>J17/J13</f>
        <v>3.581132376431987E-2</v>
      </c>
    </row>
    <row r="18" spans="1:12" ht="12.75" customHeight="1" x14ac:dyDescent="0.15">
      <c r="A18" s="47"/>
      <c r="B18" s="11" t="s">
        <v>70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6">
        <f t="shared" si="2"/>
        <v>0</v>
      </c>
      <c r="K18" s="16">
        <f t="shared" si="3"/>
        <v>0</v>
      </c>
      <c r="L18" s="13">
        <f>J18/J13</f>
        <v>0</v>
      </c>
    </row>
    <row r="19" spans="1:12" ht="12.75" customHeight="1" x14ac:dyDescent="0.15">
      <c r="A19" s="47"/>
      <c r="B19" s="11" t="s">
        <v>71</v>
      </c>
      <c r="C19" s="14">
        <v>3249</v>
      </c>
      <c r="D19" s="14">
        <v>0</v>
      </c>
      <c r="E19" s="14">
        <v>4417</v>
      </c>
      <c r="F19" s="14">
        <v>4025</v>
      </c>
      <c r="G19" s="14">
        <v>5642</v>
      </c>
      <c r="H19" s="14">
        <v>5642</v>
      </c>
      <c r="I19" s="14">
        <v>4825</v>
      </c>
      <c r="J19" s="16">
        <f t="shared" si="2"/>
        <v>27800</v>
      </c>
      <c r="K19" s="16">
        <f t="shared" si="3"/>
        <v>3971.4285714285716</v>
      </c>
      <c r="L19" s="13">
        <f>J19/J13</f>
        <v>3.3441545201481101E-3</v>
      </c>
    </row>
    <row r="20" spans="1:12" ht="12.75" customHeight="1" x14ac:dyDescent="0.15">
      <c r="A20" s="47"/>
      <c r="B20" s="11" t="s">
        <v>72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6">
        <f t="shared" si="2"/>
        <v>0</v>
      </c>
      <c r="K20" s="16">
        <f t="shared" si="3"/>
        <v>0</v>
      </c>
      <c r="L20" s="13">
        <f>J20/J13</f>
        <v>0</v>
      </c>
    </row>
    <row r="21" spans="1:12" ht="12.75" customHeight="1" x14ac:dyDescent="0.15">
      <c r="A21" s="47"/>
      <c r="B21" s="11" t="s">
        <v>73</v>
      </c>
      <c r="C21" s="14">
        <v>4550</v>
      </c>
      <c r="D21" s="14">
        <v>0</v>
      </c>
      <c r="E21" s="14">
        <v>4766</v>
      </c>
      <c r="F21" s="14">
        <v>4583</v>
      </c>
      <c r="G21" s="14">
        <v>4774</v>
      </c>
      <c r="H21" s="14">
        <v>4774</v>
      </c>
      <c r="I21" s="14">
        <v>4950</v>
      </c>
      <c r="J21" s="16">
        <f t="shared" si="2"/>
        <v>28397</v>
      </c>
      <c r="K21" s="16">
        <f t="shared" si="3"/>
        <v>4056.7142857142858</v>
      </c>
      <c r="L21" s="13">
        <f>J21/J13</f>
        <v>3.4159696370016502E-3</v>
      </c>
    </row>
    <row r="22" spans="1:12" ht="12.75" customHeight="1" x14ac:dyDescent="0.15">
      <c r="A22" s="47"/>
      <c r="B22" s="11" t="s">
        <v>74</v>
      </c>
      <c r="C22" s="14">
        <v>49246</v>
      </c>
      <c r="D22" s="14">
        <v>7468</v>
      </c>
      <c r="E22" s="14">
        <v>68895</v>
      </c>
      <c r="F22" s="14">
        <v>46162</v>
      </c>
      <c r="G22" s="14">
        <v>47355</v>
      </c>
      <c r="H22" s="14">
        <v>30980</v>
      </c>
      <c r="I22" s="14">
        <v>49902</v>
      </c>
      <c r="J22" s="16">
        <f t="shared" si="2"/>
        <v>300008</v>
      </c>
      <c r="K22" s="16">
        <f t="shared" si="3"/>
        <v>42858.285714285717</v>
      </c>
      <c r="L22" s="13">
        <f>J22/J13</f>
        <v>3.6088960765489002E-2</v>
      </c>
    </row>
    <row r="23" spans="1:12" ht="12.75" customHeight="1" x14ac:dyDescent="0.15">
      <c r="A23" s="47"/>
      <c r="B23" s="17" t="s">
        <v>75</v>
      </c>
      <c r="C23" s="18">
        <f t="shared" ref="C23:I23" si="4">SUM(C17:C22)</f>
        <v>139545</v>
      </c>
      <c r="D23" s="18">
        <f t="shared" si="4"/>
        <v>222668</v>
      </c>
      <c r="E23" s="18">
        <f t="shared" si="4"/>
        <v>78078</v>
      </c>
      <c r="F23" s="18">
        <f t="shared" si="4"/>
        <v>54770</v>
      </c>
      <c r="G23" s="18">
        <f t="shared" si="4"/>
        <v>57771</v>
      </c>
      <c r="H23" s="18">
        <f t="shared" si="4"/>
        <v>41396</v>
      </c>
      <c r="I23" s="18">
        <f t="shared" si="4"/>
        <v>59677</v>
      </c>
      <c r="J23" s="20">
        <f t="shared" si="2"/>
        <v>653905</v>
      </c>
      <c r="K23" s="20">
        <f t="shared" si="3"/>
        <v>93415</v>
      </c>
      <c r="L23" s="21">
        <f>J23/J13</f>
        <v>7.866040868695863E-2</v>
      </c>
    </row>
    <row r="24" spans="1:12" ht="12.75" customHeight="1" x14ac:dyDescent="0.15">
      <c r="A24" s="47" t="s">
        <v>76</v>
      </c>
      <c r="B24" s="11" t="s">
        <v>77</v>
      </c>
      <c r="C24" s="14">
        <v>0</v>
      </c>
      <c r="D24" s="14">
        <v>0</v>
      </c>
      <c r="E24" s="14">
        <v>994027</v>
      </c>
      <c r="F24" s="14">
        <v>0</v>
      </c>
      <c r="G24" s="14">
        <v>86500</v>
      </c>
      <c r="H24" s="14">
        <v>0</v>
      </c>
      <c r="I24" s="14">
        <v>92415</v>
      </c>
      <c r="J24" s="16">
        <f t="shared" si="2"/>
        <v>1172942</v>
      </c>
      <c r="K24" s="16">
        <f t="shared" si="3"/>
        <v>167563.14285714287</v>
      </c>
      <c r="L24" s="13">
        <f>J24/J13</f>
        <v>0.14109709680473254</v>
      </c>
    </row>
    <row r="25" spans="1:12" ht="12.75" customHeight="1" x14ac:dyDescent="0.15">
      <c r="A25" s="47"/>
      <c r="B25" s="11" t="s">
        <v>78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6">
        <f t="shared" si="2"/>
        <v>0</v>
      </c>
      <c r="K25" s="16">
        <f t="shared" si="3"/>
        <v>0</v>
      </c>
      <c r="L25" s="13">
        <f>J25/J13</f>
        <v>0</v>
      </c>
    </row>
    <row r="26" spans="1:12" ht="12.75" customHeight="1" x14ac:dyDescent="0.15">
      <c r="A26" s="47"/>
      <c r="B26" s="11" t="s">
        <v>79</v>
      </c>
      <c r="C26" s="14">
        <f t="shared" ref="C26:I26" si="5">30000*C9/70000*C11</f>
        <v>23235.428571428569</v>
      </c>
      <c r="D26" s="14">
        <f t="shared" si="5"/>
        <v>19230.857142857141</v>
      </c>
      <c r="E26" s="14">
        <f t="shared" si="5"/>
        <v>25368</v>
      </c>
      <c r="F26" s="14">
        <f t="shared" si="5"/>
        <v>41627.142857142855</v>
      </c>
      <c r="G26" s="14">
        <f t="shared" si="5"/>
        <v>18154.285714285714</v>
      </c>
      <c r="H26" s="14">
        <f t="shared" si="5"/>
        <v>28744.285714285714</v>
      </c>
      <c r="I26" s="14">
        <f t="shared" si="5"/>
        <v>10050</v>
      </c>
      <c r="J26" s="16">
        <f t="shared" si="2"/>
        <v>166410</v>
      </c>
      <c r="K26" s="16">
        <f t="shared" si="3"/>
        <v>23772.857142857141</v>
      </c>
      <c r="L26" s="13">
        <f>J26/J13</f>
        <v>2.0018012722944137E-2</v>
      </c>
    </row>
    <row r="27" spans="1:12" ht="12.75" customHeight="1" x14ac:dyDescent="0.15">
      <c r="A27" s="47"/>
      <c r="B27" s="11" t="s">
        <v>80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6">
        <f t="shared" si="2"/>
        <v>0</v>
      </c>
      <c r="K27" s="16">
        <f t="shared" si="3"/>
        <v>0</v>
      </c>
      <c r="L27" s="13">
        <f>J27/J13</f>
        <v>0</v>
      </c>
    </row>
    <row r="28" spans="1:12" ht="12.75" customHeight="1" x14ac:dyDescent="0.15">
      <c r="A28" s="47"/>
      <c r="B28" s="11" t="s">
        <v>81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6">
        <f t="shared" si="2"/>
        <v>0</v>
      </c>
      <c r="K28" s="16">
        <f t="shared" si="3"/>
        <v>0</v>
      </c>
      <c r="L28" s="13">
        <f>J28/J13</f>
        <v>0</v>
      </c>
    </row>
    <row r="29" spans="1:12" ht="12.75" customHeight="1" x14ac:dyDescent="0.15">
      <c r="A29" s="47"/>
      <c r="B29" s="17" t="s">
        <v>82</v>
      </c>
      <c r="C29" s="18">
        <f t="shared" ref="C29:I29" si="6">SUM(C24:C28)</f>
        <v>23235.428571428569</v>
      </c>
      <c r="D29" s="18">
        <f t="shared" si="6"/>
        <v>19230.857142857141</v>
      </c>
      <c r="E29" s="18">
        <f t="shared" si="6"/>
        <v>1019395</v>
      </c>
      <c r="F29" s="18">
        <f t="shared" si="6"/>
        <v>41627.142857142855</v>
      </c>
      <c r="G29" s="18">
        <f t="shared" si="6"/>
        <v>104654.28571428571</v>
      </c>
      <c r="H29" s="18">
        <f t="shared" si="6"/>
        <v>28744.285714285714</v>
      </c>
      <c r="I29" s="18">
        <f t="shared" si="6"/>
        <v>102465</v>
      </c>
      <c r="J29" s="20">
        <f t="shared" si="2"/>
        <v>1339352</v>
      </c>
      <c r="K29" s="20">
        <f t="shared" si="3"/>
        <v>191336</v>
      </c>
      <c r="L29" s="21">
        <f>J29/J13</f>
        <v>0.16111510952767666</v>
      </c>
    </row>
    <row r="30" spans="1:12" ht="12.75" customHeight="1" x14ac:dyDescent="0.15">
      <c r="A30" s="47" t="s">
        <v>83</v>
      </c>
      <c r="B30" s="8" t="s">
        <v>84</v>
      </c>
      <c r="C30" s="22">
        <v>1597</v>
      </c>
      <c r="D30" s="22">
        <v>1249</v>
      </c>
      <c r="E30" s="22">
        <v>1843</v>
      </c>
      <c r="F30" s="22">
        <v>2275</v>
      </c>
      <c r="G30" s="22">
        <v>1028</v>
      </c>
      <c r="H30" s="22">
        <v>1669</v>
      </c>
      <c r="I30" s="22">
        <v>525</v>
      </c>
      <c r="J30" s="24">
        <f t="shared" si="2"/>
        <v>10186</v>
      </c>
      <c r="K30" s="24">
        <f t="shared" si="3"/>
        <v>1455.1428571428571</v>
      </c>
      <c r="L30" s="10">
        <f>J30/J13</f>
        <v>1.2253078396485125E-3</v>
      </c>
    </row>
    <row r="31" spans="1:12" ht="12.75" customHeight="1" x14ac:dyDescent="0.15">
      <c r="A31" s="47"/>
      <c r="B31" s="25" t="s">
        <v>85</v>
      </c>
      <c r="C31" s="26">
        <f t="shared" ref="C31:J31" si="7">SUM(C11/C30)</f>
        <v>4.2435817157169691</v>
      </c>
      <c r="D31" s="26">
        <f t="shared" si="7"/>
        <v>4.4907926341072857</v>
      </c>
      <c r="E31" s="26">
        <f t="shared" si="7"/>
        <v>4.0146500271296794</v>
      </c>
      <c r="F31" s="26">
        <f t="shared" si="7"/>
        <v>4.269450549450549</v>
      </c>
      <c r="G31" s="26">
        <f t="shared" si="7"/>
        <v>4.1206225680933848</v>
      </c>
      <c r="H31" s="26">
        <f t="shared" si="7"/>
        <v>4.0185739964050331</v>
      </c>
      <c r="I31" s="26">
        <f t="shared" si="7"/>
        <v>4.4666666666666668</v>
      </c>
      <c r="J31" s="28">
        <f t="shared" si="7"/>
        <v>4.2004712350284708</v>
      </c>
      <c r="K31" s="28">
        <f t="shared" si="3"/>
        <v>4.2320483082242237</v>
      </c>
      <c r="L31" s="25">
        <f>J31/J13</f>
        <v>5.0528866429397752E-7</v>
      </c>
    </row>
    <row r="32" spans="1:12" ht="12.75" customHeight="1" x14ac:dyDescent="0.15">
      <c r="A32" s="47"/>
      <c r="B32" s="11" t="s">
        <v>86</v>
      </c>
      <c r="C32" s="14">
        <v>180732</v>
      </c>
      <c r="D32" s="14">
        <v>141349</v>
      </c>
      <c r="E32" s="14">
        <v>208572</v>
      </c>
      <c r="F32" s="14">
        <v>257462</v>
      </c>
      <c r="G32" s="14">
        <v>116339</v>
      </c>
      <c r="H32" s="14">
        <v>188881</v>
      </c>
      <c r="I32" s="14">
        <v>59414</v>
      </c>
      <c r="J32" s="16">
        <f t="shared" ref="J32:J46" si="8">SUM(C32:I32)</f>
        <v>1152749</v>
      </c>
      <c r="K32" s="16">
        <f t="shared" si="3"/>
        <v>164678.42857142858</v>
      </c>
      <c r="L32" s="13">
        <f>J32/J13</f>
        <v>0.13866801363115877</v>
      </c>
    </row>
    <row r="33" spans="1:12" ht="12.75" customHeight="1" x14ac:dyDescent="0.15">
      <c r="A33" s="47"/>
      <c r="B33" s="11" t="s">
        <v>87</v>
      </c>
      <c r="C33" s="14">
        <v>0</v>
      </c>
      <c r="D33" s="14">
        <v>0</v>
      </c>
      <c r="E33" s="14">
        <v>9585</v>
      </c>
      <c r="F33" s="14">
        <v>9585</v>
      </c>
      <c r="G33" s="14">
        <v>0</v>
      </c>
      <c r="H33" s="14">
        <v>0</v>
      </c>
      <c r="I33" s="14">
        <v>0</v>
      </c>
      <c r="J33" s="16">
        <f t="shared" si="8"/>
        <v>19170</v>
      </c>
      <c r="K33" s="16">
        <f t="shared" si="3"/>
        <v>2738.5714285714284</v>
      </c>
      <c r="L33" s="13">
        <f>J33/J13</f>
        <v>2.3060230989654412E-3</v>
      </c>
    </row>
    <row r="34" spans="1:12" ht="12.75" customHeight="1" x14ac:dyDescent="0.15">
      <c r="A34" s="47"/>
      <c r="B34" s="11" t="s">
        <v>88</v>
      </c>
      <c r="C34" s="14">
        <v>0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6">
        <f t="shared" si="8"/>
        <v>0</v>
      </c>
      <c r="K34" s="16">
        <f t="shared" si="3"/>
        <v>0</v>
      </c>
      <c r="L34" s="13">
        <f>J34/J13</f>
        <v>0</v>
      </c>
    </row>
    <row r="35" spans="1:12" ht="12.75" customHeight="1" x14ac:dyDescent="0.15">
      <c r="A35" s="47"/>
      <c r="B35" s="17" t="s">
        <v>89</v>
      </c>
      <c r="C35" s="18">
        <f t="shared" ref="C35:I35" si="9">SUM(C32:C34)</f>
        <v>180732</v>
      </c>
      <c r="D35" s="18">
        <f t="shared" si="9"/>
        <v>141349</v>
      </c>
      <c r="E35" s="18">
        <f t="shared" si="9"/>
        <v>218157</v>
      </c>
      <c r="F35" s="18">
        <f t="shared" si="9"/>
        <v>267047</v>
      </c>
      <c r="G35" s="18">
        <f t="shared" si="9"/>
        <v>116339</v>
      </c>
      <c r="H35" s="18">
        <f t="shared" si="9"/>
        <v>188881</v>
      </c>
      <c r="I35" s="18">
        <f t="shared" si="9"/>
        <v>59414</v>
      </c>
      <c r="J35" s="20">
        <f t="shared" si="8"/>
        <v>1171919</v>
      </c>
      <c r="K35" s="20">
        <f t="shared" si="3"/>
        <v>167417</v>
      </c>
      <c r="L35" s="21">
        <f>J35/J13</f>
        <v>0.14097403673012421</v>
      </c>
    </row>
    <row r="36" spans="1:12" ht="12.75" customHeight="1" x14ac:dyDescent="0.15">
      <c r="A36" s="47" t="s">
        <v>90</v>
      </c>
      <c r="B36" s="11" t="s">
        <v>91</v>
      </c>
      <c r="C36" s="14">
        <v>2012</v>
      </c>
      <c r="D36" s="14">
        <v>2012</v>
      </c>
      <c r="E36" s="14">
        <v>2008</v>
      </c>
      <c r="F36" s="14">
        <v>2008</v>
      </c>
      <c r="G36" s="14">
        <v>2008</v>
      </c>
      <c r="H36" s="14">
        <v>2008</v>
      </c>
      <c r="I36" s="14">
        <v>2628</v>
      </c>
      <c r="J36" s="16">
        <f t="shared" si="8"/>
        <v>14684</v>
      </c>
      <c r="K36" s="16">
        <f t="shared" si="3"/>
        <v>2097.7142857142858</v>
      </c>
      <c r="L36" s="13">
        <f>J36/J13</f>
        <v>1.7663872292753542E-3</v>
      </c>
    </row>
    <row r="37" spans="1:12" ht="12.75" customHeight="1" x14ac:dyDescent="0.15">
      <c r="A37" s="47"/>
      <c r="B37" s="11" t="s">
        <v>92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6">
        <f t="shared" si="8"/>
        <v>0</v>
      </c>
      <c r="K37" s="16">
        <f t="shared" si="3"/>
        <v>0</v>
      </c>
      <c r="L37" s="13">
        <f>J37/J13</f>
        <v>0</v>
      </c>
    </row>
    <row r="38" spans="1:12" ht="12.75" customHeight="1" x14ac:dyDescent="0.15">
      <c r="A38" s="47"/>
      <c r="B38" s="11" t="s">
        <v>93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6">
        <f t="shared" si="8"/>
        <v>0</v>
      </c>
      <c r="K38" s="16">
        <f t="shared" si="3"/>
        <v>0</v>
      </c>
      <c r="L38" s="13">
        <f>J38/J13</f>
        <v>0</v>
      </c>
    </row>
    <row r="39" spans="1:12" ht="12.75" customHeight="1" x14ac:dyDescent="0.15">
      <c r="A39" s="47"/>
      <c r="B39" s="11" t="s">
        <v>94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6">
        <f t="shared" si="8"/>
        <v>0</v>
      </c>
      <c r="K39" s="16">
        <f t="shared" si="3"/>
        <v>0</v>
      </c>
      <c r="L39" s="13">
        <f>J39/J13</f>
        <v>0</v>
      </c>
    </row>
    <row r="40" spans="1:12" ht="12.75" customHeight="1" x14ac:dyDescent="0.15">
      <c r="A40" s="47"/>
      <c r="B40" s="11" t="s">
        <v>95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6">
        <f t="shared" si="8"/>
        <v>0</v>
      </c>
      <c r="K40" s="16">
        <f t="shared" si="3"/>
        <v>0</v>
      </c>
      <c r="L40" s="13">
        <f>J40/J13</f>
        <v>0</v>
      </c>
    </row>
    <row r="41" spans="1:12" ht="12.75" customHeight="1" x14ac:dyDescent="0.15">
      <c r="A41" s="47"/>
      <c r="B41" s="11" t="s">
        <v>96</v>
      </c>
      <c r="C41" s="14">
        <v>5150</v>
      </c>
      <c r="D41" s="14">
        <v>9610</v>
      </c>
      <c r="E41" s="14">
        <v>5150</v>
      </c>
      <c r="F41" s="14">
        <v>5150</v>
      </c>
      <c r="G41" s="14">
        <v>4430</v>
      </c>
      <c r="H41" s="14">
        <v>4430</v>
      </c>
      <c r="I41" s="14">
        <v>4430</v>
      </c>
      <c r="J41" s="16">
        <f t="shared" si="8"/>
        <v>38350</v>
      </c>
      <c r="K41" s="16">
        <f t="shared" si="3"/>
        <v>5478.5714285714284</v>
      </c>
      <c r="L41" s="13">
        <f>J41/J13</f>
        <v>4.6132491312115111E-3</v>
      </c>
    </row>
    <row r="42" spans="1:12" ht="12.75" customHeight="1" x14ac:dyDescent="0.15">
      <c r="A42" s="47"/>
      <c r="B42" s="17" t="s">
        <v>97</v>
      </c>
      <c r="C42" s="18">
        <f t="shared" ref="C42:I42" si="10">SUM(C36:C41)</f>
        <v>7162</v>
      </c>
      <c r="D42" s="18">
        <f t="shared" si="10"/>
        <v>11622</v>
      </c>
      <c r="E42" s="18">
        <f t="shared" si="10"/>
        <v>7158</v>
      </c>
      <c r="F42" s="18">
        <f t="shared" si="10"/>
        <v>7158</v>
      </c>
      <c r="G42" s="18">
        <f t="shared" si="10"/>
        <v>6438</v>
      </c>
      <c r="H42" s="18">
        <f t="shared" si="10"/>
        <v>6438</v>
      </c>
      <c r="I42" s="18">
        <f t="shared" si="10"/>
        <v>7058</v>
      </c>
      <c r="J42" s="20">
        <f t="shared" si="8"/>
        <v>53034</v>
      </c>
      <c r="K42" s="20">
        <f t="shared" si="3"/>
        <v>7576.2857142857147</v>
      </c>
      <c r="L42" s="21">
        <f>J42/J13</f>
        <v>6.3796363604868653E-3</v>
      </c>
    </row>
    <row r="43" spans="1:12" ht="12.75" customHeight="1" x14ac:dyDescent="0.15">
      <c r="A43" s="47" t="s">
        <v>98</v>
      </c>
      <c r="B43" s="11" t="s">
        <v>99</v>
      </c>
      <c r="C43" s="14">
        <v>119870</v>
      </c>
      <c r="D43" s="14">
        <v>103060</v>
      </c>
      <c r="E43" s="14">
        <v>233550</v>
      </c>
      <c r="F43" s="14">
        <v>205780</v>
      </c>
      <c r="G43" s="14">
        <v>48520</v>
      </c>
      <c r="H43" s="14">
        <v>132680</v>
      </c>
      <c r="I43" s="14">
        <v>44980</v>
      </c>
      <c r="J43" s="16">
        <f t="shared" si="8"/>
        <v>888440</v>
      </c>
      <c r="K43" s="16">
        <f t="shared" si="3"/>
        <v>126920</v>
      </c>
      <c r="L43" s="13">
        <f>J43/J13</f>
        <v>0.10687340438418658</v>
      </c>
    </row>
    <row r="44" spans="1:12" ht="12.75" customHeight="1" x14ac:dyDescent="0.15">
      <c r="A44" s="47"/>
      <c r="B44" s="11" t="s">
        <v>100</v>
      </c>
      <c r="C44" s="14">
        <v>-119870</v>
      </c>
      <c r="D44" s="14">
        <v>-103060</v>
      </c>
      <c r="E44" s="14">
        <v>-175670</v>
      </c>
      <c r="F44" s="14">
        <v>-45868</v>
      </c>
      <c r="G44" s="14">
        <v>0</v>
      </c>
      <c r="H44" s="14">
        <v>0</v>
      </c>
      <c r="I44" s="14">
        <v>0</v>
      </c>
      <c r="J44" s="16">
        <f t="shared" si="8"/>
        <v>-444468</v>
      </c>
      <c r="K44" s="16">
        <f t="shared" si="3"/>
        <v>-63495.428571428572</v>
      </c>
      <c r="L44" s="13">
        <f>J44/J13</f>
        <v>-5.3466534937452882E-2</v>
      </c>
    </row>
    <row r="45" spans="1:12" ht="12.75" customHeight="1" x14ac:dyDescent="0.15">
      <c r="A45" s="47"/>
      <c r="B45" s="11" t="s">
        <v>101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6">
        <f t="shared" si="8"/>
        <v>0</v>
      </c>
      <c r="K45" s="16">
        <f t="shared" si="3"/>
        <v>0</v>
      </c>
      <c r="L45" s="13">
        <f>J45/J13</f>
        <v>0</v>
      </c>
    </row>
    <row r="46" spans="1:12" ht="12.75" customHeight="1" x14ac:dyDescent="0.15">
      <c r="A46" s="47"/>
      <c r="B46" s="11" t="s">
        <v>102</v>
      </c>
      <c r="C46" s="14">
        <v>-38358.400000000001</v>
      </c>
      <c r="D46" s="14">
        <v>-32979.199999999997</v>
      </c>
      <c r="E46" s="14">
        <v>-74736</v>
      </c>
      <c r="F46" s="14">
        <v>-65849.600000000006</v>
      </c>
      <c r="G46" s="14">
        <v>-15526.4</v>
      </c>
      <c r="H46" s="14">
        <v>-42457.599999999999</v>
      </c>
      <c r="I46" s="14">
        <v>-14393.6</v>
      </c>
      <c r="J46" s="16">
        <f t="shared" si="8"/>
        <v>-284300.79999999999</v>
      </c>
      <c r="K46" s="16">
        <f>AVERAGE(B46:I46)</f>
        <v>-40614.400000000001</v>
      </c>
      <c r="L46" s="13">
        <f>J46/J13</f>
        <v>-3.4199489402939702E-2</v>
      </c>
    </row>
    <row r="47" spans="1:12" ht="12.75" customHeight="1" x14ac:dyDescent="0.15">
      <c r="A47" s="47"/>
      <c r="B47" s="17" t="s">
        <v>103</v>
      </c>
      <c r="C47" s="18">
        <f t="shared" ref="C47:J47" si="11">SUM(C43:C46)</f>
        <v>-38358.400000000001</v>
      </c>
      <c r="D47" s="18">
        <f t="shared" si="11"/>
        <v>-32979.199999999997</v>
      </c>
      <c r="E47" s="18">
        <f t="shared" si="11"/>
        <v>-16856</v>
      </c>
      <c r="F47" s="18">
        <f t="shared" si="11"/>
        <v>94062.399999999994</v>
      </c>
      <c r="G47" s="18">
        <f t="shared" si="11"/>
        <v>32993.599999999999</v>
      </c>
      <c r="H47" s="18">
        <f t="shared" si="11"/>
        <v>90222.399999999994</v>
      </c>
      <c r="I47" s="18">
        <f t="shared" si="11"/>
        <v>30586.400000000001</v>
      </c>
      <c r="J47" s="20">
        <f t="shared" si="11"/>
        <v>159671.20000000001</v>
      </c>
      <c r="K47" s="20">
        <f>AVERAGE(B47:I47)</f>
        <v>22810.171428571426</v>
      </c>
      <c r="L47" s="21">
        <f>J47/J13</f>
        <v>1.9207380043793989E-2</v>
      </c>
    </row>
    <row r="48" spans="1:12" ht="12.75" customHeight="1" x14ac:dyDescent="0.15">
      <c r="A48" s="47" t="s">
        <v>104</v>
      </c>
      <c r="B48" s="11" t="s">
        <v>105</v>
      </c>
      <c r="C48" s="14">
        <v>281265</v>
      </c>
      <c r="D48" s="14">
        <v>241084</v>
      </c>
      <c r="E48" s="14">
        <v>321446</v>
      </c>
      <c r="F48" s="14">
        <v>361627</v>
      </c>
      <c r="G48" s="14">
        <v>361622</v>
      </c>
      <c r="H48" s="14">
        <v>455381</v>
      </c>
      <c r="I48" s="14">
        <v>214297</v>
      </c>
      <c r="J48" s="16">
        <f t="shared" ref="J48:J65" si="12">SUM(C48:I48)</f>
        <v>2236722</v>
      </c>
      <c r="K48" s="16">
        <f t="shared" ref="K48:K65" si="13">AVERAGE(C48:I48)</f>
        <v>319531.71428571426</v>
      </c>
      <c r="L48" s="13">
        <f>J48/J13</f>
        <v>0.2690627333314648</v>
      </c>
    </row>
    <row r="49" spans="1:12" ht="12.75" customHeight="1" x14ac:dyDescent="0.15">
      <c r="A49" s="47"/>
      <c r="B49" s="11" t="s">
        <v>106</v>
      </c>
      <c r="C49" s="14">
        <v>18434</v>
      </c>
      <c r="D49" s="14">
        <v>15801</v>
      </c>
      <c r="E49" s="14">
        <v>21068</v>
      </c>
      <c r="F49" s="14">
        <v>23700</v>
      </c>
      <c r="G49" s="14">
        <v>23696</v>
      </c>
      <c r="H49" s="14">
        <v>29846</v>
      </c>
      <c r="I49" s="14">
        <v>14045</v>
      </c>
      <c r="J49" s="16">
        <f t="shared" si="12"/>
        <v>146590</v>
      </c>
      <c r="K49" s="16">
        <f t="shared" si="13"/>
        <v>20941.428571428572</v>
      </c>
      <c r="L49" s="13">
        <f>J49/J13</f>
        <v>1.7633798960737822E-2</v>
      </c>
    </row>
    <row r="50" spans="1:12" ht="12.75" customHeight="1" x14ac:dyDescent="0.15">
      <c r="A50" s="47"/>
      <c r="B50" s="11" t="s">
        <v>107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6">
        <f t="shared" si="12"/>
        <v>0</v>
      </c>
      <c r="K50" s="16">
        <f t="shared" si="13"/>
        <v>0</v>
      </c>
      <c r="L50" s="13">
        <f>J50/J13</f>
        <v>0</v>
      </c>
    </row>
    <row r="51" spans="1:12" ht="12.75" customHeight="1" x14ac:dyDescent="0.15">
      <c r="A51" s="47"/>
      <c r="B51" s="11" t="s">
        <v>108</v>
      </c>
      <c r="C51" s="14">
        <v>53404</v>
      </c>
      <c r="D51" s="14">
        <v>45775</v>
      </c>
      <c r="E51" s="14">
        <v>61034</v>
      </c>
      <c r="F51" s="14">
        <v>68663</v>
      </c>
      <c r="G51" s="14">
        <v>68662</v>
      </c>
      <c r="H51" s="14">
        <v>86464</v>
      </c>
      <c r="I51" s="14">
        <v>40688</v>
      </c>
      <c r="J51" s="16">
        <f t="shared" si="12"/>
        <v>424690</v>
      </c>
      <c r="K51" s="16">
        <f t="shared" si="13"/>
        <v>60670</v>
      </c>
      <c r="L51" s="13">
        <f>J51/J13</f>
        <v>5.1087373495025207E-2</v>
      </c>
    </row>
    <row r="52" spans="1:12" ht="12.75" customHeight="1" x14ac:dyDescent="0.15">
      <c r="A52" s="47"/>
      <c r="B52" s="11" t="s">
        <v>109</v>
      </c>
      <c r="C52" s="14">
        <v>3231</v>
      </c>
      <c r="D52" s="14">
        <v>2770</v>
      </c>
      <c r="E52" s="14">
        <v>3692</v>
      </c>
      <c r="F52" s="14">
        <v>4154</v>
      </c>
      <c r="G52" s="14">
        <v>4149</v>
      </c>
      <c r="H52" s="14">
        <v>5230</v>
      </c>
      <c r="I52" s="14">
        <v>2462</v>
      </c>
      <c r="J52" s="16">
        <f t="shared" si="12"/>
        <v>25688</v>
      </c>
      <c r="K52" s="16">
        <f t="shared" si="13"/>
        <v>3669.7142857142858</v>
      </c>
      <c r="L52" s="13">
        <f>J52/J13</f>
        <v>3.090095011279304E-3</v>
      </c>
    </row>
    <row r="53" spans="1:12" ht="12.75" customHeight="1" x14ac:dyDescent="0.15">
      <c r="A53" s="47"/>
      <c r="B53" s="17" t="s">
        <v>110</v>
      </c>
      <c r="C53" s="18">
        <f t="shared" ref="C53:I53" si="14">SUM(C48:C52)</f>
        <v>356334</v>
      </c>
      <c r="D53" s="18">
        <f t="shared" si="14"/>
        <v>305430</v>
      </c>
      <c r="E53" s="18">
        <f t="shared" si="14"/>
        <v>407240</v>
      </c>
      <c r="F53" s="18">
        <f t="shared" si="14"/>
        <v>458144</v>
      </c>
      <c r="G53" s="18">
        <f t="shared" si="14"/>
        <v>458129</v>
      </c>
      <c r="H53" s="18">
        <f t="shared" si="14"/>
        <v>576921</v>
      </c>
      <c r="I53" s="18">
        <f t="shared" si="14"/>
        <v>271492</v>
      </c>
      <c r="J53" s="20">
        <f t="shared" si="12"/>
        <v>2833690</v>
      </c>
      <c r="K53" s="20">
        <f t="shared" si="13"/>
        <v>404812.85714285716</v>
      </c>
      <c r="L53" s="21">
        <f>J53/J13</f>
        <v>0.3408740007985071</v>
      </c>
    </row>
    <row r="54" spans="1:12" ht="12.75" customHeight="1" x14ac:dyDescent="0.15">
      <c r="A54" s="47" t="s">
        <v>111</v>
      </c>
      <c r="B54" s="11" t="s">
        <v>112</v>
      </c>
      <c r="C54" s="14">
        <v>21428.571428571428</v>
      </c>
      <c r="D54" s="14">
        <v>21428.571428571428</v>
      </c>
      <c r="E54" s="14">
        <v>21428.571428571428</v>
      </c>
      <c r="F54" s="14">
        <v>21428.571428571428</v>
      </c>
      <c r="G54" s="14">
        <v>21428.571428571428</v>
      </c>
      <c r="H54" s="14">
        <v>21428.571428571428</v>
      </c>
      <c r="I54" s="14">
        <v>21428.571428571428</v>
      </c>
      <c r="J54" s="16">
        <f t="shared" si="12"/>
        <v>149999.99999999997</v>
      </c>
      <c r="K54" s="16">
        <f t="shared" si="13"/>
        <v>21428.571428571424</v>
      </c>
      <c r="L54" s="13">
        <f>J54/J13</f>
        <v>1.8043999209432244E-2</v>
      </c>
    </row>
    <row r="55" spans="1:12" ht="12.75" customHeight="1" x14ac:dyDescent="0.15">
      <c r="A55" s="47"/>
      <c r="B55" s="11" t="s">
        <v>113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6">
        <f t="shared" si="12"/>
        <v>0</v>
      </c>
      <c r="K55" s="16">
        <f t="shared" si="13"/>
        <v>0</v>
      </c>
      <c r="L55" s="13">
        <f>J55/J13</f>
        <v>0</v>
      </c>
    </row>
    <row r="56" spans="1:12" ht="12.75" customHeight="1" x14ac:dyDescent="0.15">
      <c r="A56" s="47"/>
      <c r="B56" s="11" t="s">
        <v>114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6">
        <f t="shared" si="12"/>
        <v>0</v>
      </c>
      <c r="K56" s="16">
        <f t="shared" si="13"/>
        <v>0</v>
      </c>
      <c r="L56" s="13">
        <f>J56/J13</f>
        <v>0</v>
      </c>
    </row>
    <row r="57" spans="1:12" ht="12.75" customHeight="1" x14ac:dyDescent="0.15">
      <c r="A57" s="47"/>
      <c r="B57" s="11" t="s">
        <v>115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6">
        <f t="shared" si="12"/>
        <v>0</v>
      </c>
      <c r="K57" s="16">
        <f t="shared" si="13"/>
        <v>0</v>
      </c>
      <c r="L57" s="13">
        <f>J57/J13</f>
        <v>0</v>
      </c>
    </row>
    <row r="58" spans="1:12" ht="12.75" customHeight="1" x14ac:dyDescent="0.15">
      <c r="A58" s="47"/>
      <c r="B58" s="11" t="s">
        <v>116</v>
      </c>
      <c r="C58" s="14">
        <v>85031.857142857145</v>
      </c>
      <c r="D58" s="14">
        <v>85031.857142857145</v>
      </c>
      <c r="E58" s="14">
        <v>85031.857142857145</v>
      </c>
      <c r="F58" s="14">
        <v>85031.857142857145</v>
      </c>
      <c r="G58" s="14">
        <v>85031.857142857145</v>
      </c>
      <c r="H58" s="14">
        <v>85031.857142857145</v>
      </c>
      <c r="I58" s="14">
        <v>85031.857142857145</v>
      </c>
      <c r="J58" s="16">
        <f t="shared" si="12"/>
        <v>595223</v>
      </c>
      <c r="K58" s="16">
        <f t="shared" si="13"/>
        <v>85031.857142857145</v>
      </c>
      <c r="L58" s="13">
        <f>J58/J13</f>
        <v>7.1601355609572606E-2</v>
      </c>
    </row>
    <row r="59" spans="1:12" ht="12.75" customHeight="1" x14ac:dyDescent="0.15">
      <c r="A59" s="47"/>
      <c r="B59" s="11" t="s">
        <v>117</v>
      </c>
      <c r="C59" s="14">
        <v>81607</v>
      </c>
      <c r="D59" s="14">
        <v>81607</v>
      </c>
      <c r="E59" s="14">
        <v>81607</v>
      </c>
      <c r="F59" s="14">
        <v>81607</v>
      </c>
      <c r="G59" s="14">
        <v>81607</v>
      </c>
      <c r="H59" s="14">
        <v>81607</v>
      </c>
      <c r="I59" s="14">
        <v>81607</v>
      </c>
      <c r="J59" s="16">
        <f t="shared" si="12"/>
        <v>571249</v>
      </c>
      <c r="K59" s="16">
        <f t="shared" si="13"/>
        <v>81607</v>
      </c>
      <c r="L59" s="13">
        <f>J59/J13</f>
        <v>6.8717443362593084E-2</v>
      </c>
    </row>
    <row r="60" spans="1:12" ht="12.75" customHeight="1" x14ac:dyDescent="0.15">
      <c r="A60" s="47"/>
      <c r="B60" s="17" t="s">
        <v>118</v>
      </c>
      <c r="C60" s="18">
        <f t="shared" ref="C60:I60" si="15">SUM(C54:C59)</f>
        <v>188067.42857142858</v>
      </c>
      <c r="D60" s="18">
        <f t="shared" si="15"/>
        <v>188067.42857142858</v>
      </c>
      <c r="E60" s="18">
        <f t="shared" si="15"/>
        <v>188067.42857142858</v>
      </c>
      <c r="F60" s="18">
        <f t="shared" si="15"/>
        <v>188067.42857142858</v>
      </c>
      <c r="G60" s="18">
        <f t="shared" si="15"/>
        <v>188067.42857142858</v>
      </c>
      <c r="H60" s="18">
        <f t="shared" si="15"/>
        <v>188067.42857142858</v>
      </c>
      <c r="I60" s="18">
        <f t="shared" si="15"/>
        <v>188067.42857142858</v>
      </c>
      <c r="J60" s="20">
        <f t="shared" si="12"/>
        <v>1316472.0000000002</v>
      </c>
      <c r="K60" s="20">
        <f t="shared" si="13"/>
        <v>188067.42857142861</v>
      </c>
      <c r="L60" s="21">
        <f>J60/J13</f>
        <v>0.15836279818159796</v>
      </c>
    </row>
    <row r="61" spans="1:12" ht="12.75" customHeight="1" x14ac:dyDescent="0.15">
      <c r="A61" s="46" t="s">
        <v>119</v>
      </c>
      <c r="B61" s="46"/>
      <c r="C61" s="14">
        <f t="shared" ref="C61:I61" si="16">SUM(C53+C23+C29+C35+C42+C47+C60)</f>
        <v>856717.45714285714</v>
      </c>
      <c r="D61" s="14">
        <f t="shared" si="16"/>
        <v>855388.08571428573</v>
      </c>
      <c r="E61" s="14">
        <f t="shared" si="16"/>
        <v>1901239.4285714286</v>
      </c>
      <c r="F61" s="14">
        <f t="shared" si="16"/>
        <v>1110875.9714285715</v>
      </c>
      <c r="G61" s="14">
        <f t="shared" si="16"/>
        <v>964392.31428571418</v>
      </c>
      <c r="H61" s="14">
        <f t="shared" si="16"/>
        <v>1120670.1142857142</v>
      </c>
      <c r="I61" s="14">
        <f t="shared" si="16"/>
        <v>718759.82857142854</v>
      </c>
      <c r="J61" s="16">
        <f t="shared" si="12"/>
        <v>7528043.1999999993</v>
      </c>
      <c r="K61" s="16">
        <f t="shared" si="13"/>
        <v>1075434.7428571428</v>
      </c>
      <c r="L61" s="13">
        <f>J61/J13</f>
        <v>0.90557337032914531</v>
      </c>
    </row>
    <row r="62" spans="1:12" ht="12.75" customHeight="1" x14ac:dyDescent="0.15">
      <c r="A62" s="46" t="s">
        <v>120</v>
      </c>
      <c r="B62" s="46"/>
      <c r="C62" s="14">
        <f t="shared" ref="C62:I62" si="17">SUM(C13-C61)</f>
        <v>730053.54285714286</v>
      </c>
      <c r="D62" s="14">
        <f t="shared" si="17"/>
        <v>485364.91428571427</v>
      </c>
      <c r="E62" s="14">
        <f t="shared" si="17"/>
        <v>-615891.42857142864</v>
      </c>
      <c r="F62" s="14">
        <f t="shared" si="17"/>
        <v>218724.0285714285</v>
      </c>
      <c r="G62" s="14">
        <f t="shared" si="17"/>
        <v>-34511.314285714179</v>
      </c>
      <c r="H62" s="14">
        <f t="shared" si="17"/>
        <v>267237.88571428577</v>
      </c>
      <c r="I62" s="14">
        <f t="shared" si="17"/>
        <v>-266007.82857142854</v>
      </c>
      <c r="J62" s="16">
        <f t="shared" si="12"/>
        <v>784969.8</v>
      </c>
      <c r="K62" s="16">
        <f t="shared" si="13"/>
        <v>112138.54285714286</v>
      </c>
      <c r="L62" s="13">
        <f>J62/J13</f>
        <v>9.4426629670854606E-2</v>
      </c>
    </row>
    <row r="63" spans="1:12" ht="12.75" customHeight="1" x14ac:dyDescent="0.15">
      <c r="A63" s="46" t="s">
        <v>121</v>
      </c>
      <c r="B63" s="46"/>
      <c r="C63" s="14">
        <v>104592.76190476191</v>
      </c>
      <c r="D63" s="14">
        <v>104592.76190476191</v>
      </c>
      <c r="E63" s="14">
        <v>104592.76190476191</v>
      </c>
      <c r="F63" s="14">
        <v>104592.76190476191</v>
      </c>
      <c r="G63" s="14">
        <v>104592.76190476191</v>
      </c>
      <c r="H63" s="14">
        <v>104592.76190476191</v>
      </c>
      <c r="I63" s="14">
        <v>104592.76190476191</v>
      </c>
      <c r="J63" s="16">
        <f t="shared" si="12"/>
        <v>732149.33333333337</v>
      </c>
      <c r="K63" s="16">
        <f t="shared" si="13"/>
        <v>104592.76190476191</v>
      </c>
      <c r="L63" s="13">
        <f>J63/J13</f>
        <v>8.8072679945686766E-2</v>
      </c>
    </row>
    <row r="64" spans="1:12" ht="12.75" customHeight="1" x14ac:dyDescent="0.15">
      <c r="A64" s="46" t="s">
        <v>122</v>
      </c>
      <c r="B64" s="46"/>
      <c r="C64" s="14">
        <v>32656.309523809523</v>
      </c>
      <c r="D64" s="14">
        <v>32656.309523809523</v>
      </c>
      <c r="E64" s="14">
        <v>32656.309523809523</v>
      </c>
      <c r="F64" s="14">
        <v>32656.309523809523</v>
      </c>
      <c r="G64" s="14">
        <v>32656.309523809523</v>
      </c>
      <c r="H64" s="14">
        <v>32656.309523809523</v>
      </c>
      <c r="I64" s="14">
        <v>32656.309523809523</v>
      </c>
      <c r="J64" s="16">
        <f t="shared" si="12"/>
        <v>228594.16666666666</v>
      </c>
      <c r="K64" s="16">
        <f t="shared" si="13"/>
        <v>32656.309523809523</v>
      </c>
      <c r="L64" s="13">
        <f>J64/J13</f>
        <v>2.7498353084094377E-2</v>
      </c>
    </row>
    <row r="65" spans="1:12" ht="12.75" customHeight="1" x14ac:dyDescent="0.15">
      <c r="A65" s="46" t="s">
        <v>123</v>
      </c>
      <c r="B65" s="46"/>
      <c r="C65" s="14">
        <f t="shared" ref="C65:I65" si="18">SUM(C62-(C63+C64))</f>
        <v>592804.4714285715</v>
      </c>
      <c r="D65" s="14">
        <f t="shared" si="18"/>
        <v>348115.84285714285</v>
      </c>
      <c r="E65" s="14">
        <f t="shared" si="18"/>
        <v>-753140.5</v>
      </c>
      <c r="F65" s="14">
        <f t="shared" si="18"/>
        <v>81474.957142857078</v>
      </c>
      <c r="G65" s="14">
        <f t="shared" si="18"/>
        <v>-171760.3857142856</v>
      </c>
      <c r="H65" s="14">
        <f t="shared" si="18"/>
        <v>129988.81428571435</v>
      </c>
      <c r="I65" s="14">
        <f t="shared" si="18"/>
        <v>-403256.89999999997</v>
      </c>
      <c r="J65" s="16">
        <f t="shared" si="12"/>
        <v>-175773.69999999972</v>
      </c>
      <c r="K65" s="16">
        <f t="shared" si="13"/>
        <v>-25110.528571428531</v>
      </c>
      <c r="L65" s="13">
        <f>J65/J13</f>
        <v>-2.1144403358926506E-2</v>
      </c>
    </row>
    <row r="66" spans="1:12" x14ac:dyDescent="0.15">
      <c r="A66" s="11"/>
      <c r="B66" s="29" t="s">
        <v>46</v>
      </c>
      <c r="C66" s="11"/>
      <c r="D66" s="11"/>
      <c r="E66" s="11"/>
      <c r="F66" s="11"/>
      <c r="G66" s="11"/>
      <c r="H66" s="11"/>
      <c r="I66" s="11"/>
    </row>
    <row r="67" spans="1:12" x14ac:dyDescent="0.15">
      <c r="A67" s="12"/>
      <c r="B67" s="30"/>
      <c r="C67" s="11"/>
      <c r="D67" s="11"/>
      <c r="E67" s="11"/>
      <c r="F67" s="11"/>
      <c r="G67" s="11"/>
      <c r="H67" s="11"/>
      <c r="I67" s="11"/>
    </row>
    <row r="68" spans="1:12" x14ac:dyDescent="0.15">
      <c r="A68" s="12"/>
      <c r="B68" s="33" t="s">
        <v>130</v>
      </c>
      <c r="C68" s="11"/>
      <c r="D68" s="11"/>
      <c r="E68" s="11"/>
      <c r="F68" s="11"/>
      <c r="G68" s="11"/>
      <c r="H68" s="11"/>
      <c r="I68" s="11"/>
    </row>
    <row r="69" spans="1:12" x14ac:dyDescent="0.15">
      <c r="A69" s="12"/>
      <c r="B69" s="34" t="s">
        <v>131</v>
      </c>
      <c r="C69" s="11"/>
      <c r="D69" s="11"/>
      <c r="E69" s="11"/>
      <c r="F69" s="11"/>
      <c r="G69" s="11"/>
      <c r="H69" s="11"/>
      <c r="I69" s="11"/>
    </row>
    <row r="70" spans="1:12" x14ac:dyDescent="0.15">
      <c r="A70" s="12"/>
      <c r="B70" s="34" t="s">
        <v>41</v>
      </c>
      <c r="C70" s="11"/>
      <c r="D70" s="11"/>
      <c r="E70" s="11"/>
      <c r="F70" s="11"/>
      <c r="G70" s="11"/>
      <c r="H70" s="11"/>
      <c r="I70" s="11"/>
    </row>
    <row r="71" spans="1:12" x14ac:dyDescent="0.15">
      <c r="A71" s="11"/>
      <c r="B71" s="35" t="s">
        <v>47</v>
      </c>
      <c r="C71" s="11"/>
      <c r="D71" s="11"/>
      <c r="E71" s="11"/>
      <c r="F71" s="11"/>
      <c r="G71" s="11"/>
      <c r="H71" s="11"/>
      <c r="I71" s="11"/>
    </row>
    <row r="72" spans="1:12" x14ac:dyDescent="0.15">
      <c r="A72" s="11"/>
      <c r="B72" s="30"/>
      <c r="C72" s="11"/>
      <c r="D72" s="11"/>
      <c r="E72" s="11"/>
      <c r="F72" s="11"/>
      <c r="G72" s="11"/>
      <c r="H72" s="11"/>
      <c r="I72" s="11"/>
    </row>
    <row r="73" spans="1:12" x14ac:dyDescent="0.15">
      <c r="A73" s="11"/>
      <c r="B73" s="33" t="s">
        <v>130</v>
      </c>
      <c r="C73" s="11"/>
      <c r="D73" s="11"/>
      <c r="E73" s="11"/>
      <c r="F73" s="11"/>
      <c r="G73" s="11"/>
      <c r="H73" s="11"/>
      <c r="I73" s="11"/>
    </row>
    <row r="74" spans="1:12" x14ac:dyDescent="0.15">
      <c r="A74" s="11"/>
      <c r="B74" s="34" t="s">
        <v>131</v>
      </c>
      <c r="C74" s="11"/>
      <c r="D74" s="11"/>
      <c r="E74" s="11"/>
      <c r="F74" s="11"/>
      <c r="G74" s="11"/>
      <c r="H74" s="11"/>
      <c r="I74" s="11"/>
    </row>
    <row r="75" spans="1:12" x14ac:dyDescent="0.15">
      <c r="A75" s="11"/>
      <c r="B75" s="34" t="s">
        <v>41</v>
      </c>
      <c r="C75" s="11"/>
      <c r="D75" s="11"/>
      <c r="E75" s="11"/>
      <c r="F75" s="11"/>
      <c r="G75" s="11"/>
      <c r="H75" s="11"/>
      <c r="I75" s="11"/>
    </row>
    <row r="76" spans="1:12" x14ac:dyDescent="0.15">
      <c r="A76" s="11"/>
      <c r="B76" s="11" t="s">
        <v>135</v>
      </c>
      <c r="C76" s="11"/>
      <c r="D76" s="11"/>
      <c r="E76" s="11"/>
      <c r="F76" s="11"/>
      <c r="G76" s="11"/>
      <c r="H76" s="11"/>
      <c r="I76" s="11"/>
    </row>
    <row r="77" spans="1:12" x14ac:dyDescent="0.15">
      <c r="A77" s="11"/>
      <c r="B77" s="30"/>
      <c r="C77" s="11"/>
      <c r="D77" s="11"/>
      <c r="E77" s="11"/>
      <c r="F77" s="11"/>
      <c r="G77" s="11"/>
      <c r="H77" s="11"/>
      <c r="I77" s="11"/>
    </row>
    <row r="78" spans="1:12" x14ac:dyDescent="0.15">
      <c r="A78" s="11"/>
      <c r="B78" s="33" t="s">
        <v>130</v>
      </c>
      <c r="C78" s="11"/>
      <c r="D78" s="11"/>
      <c r="E78" s="11"/>
      <c r="F78" s="11"/>
      <c r="G78" s="11"/>
      <c r="H78" s="11"/>
      <c r="I78" s="11"/>
    </row>
    <row r="79" spans="1:12" x14ac:dyDescent="0.15">
      <c r="A79" s="11"/>
      <c r="B79" s="34" t="s">
        <v>131</v>
      </c>
      <c r="C79" s="11"/>
      <c r="D79" s="11"/>
      <c r="E79" s="11"/>
      <c r="F79" s="11"/>
      <c r="G79" s="11"/>
      <c r="H79" s="11"/>
      <c r="I79" s="11"/>
    </row>
    <row r="80" spans="1:12" x14ac:dyDescent="0.15">
      <c r="A80" s="11"/>
      <c r="B80" s="34" t="s">
        <v>41</v>
      </c>
      <c r="C80" s="11"/>
      <c r="D80" s="11"/>
      <c r="E80" s="11"/>
      <c r="F80" s="11"/>
      <c r="G80" s="11"/>
      <c r="H80" s="11"/>
      <c r="I80" s="11"/>
    </row>
    <row r="81" spans="1:9" x14ac:dyDescent="0.15">
      <c r="A81" s="11"/>
      <c r="B81" s="11" t="s">
        <v>139</v>
      </c>
      <c r="C81" s="11"/>
      <c r="D81" s="11"/>
      <c r="E81" s="11"/>
      <c r="F81" s="11"/>
      <c r="G81" s="11"/>
      <c r="H81" s="11"/>
      <c r="I81" s="11"/>
    </row>
    <row r="82" spans="1:9" x14ac:dyDescent="0.15">
      <c r="A82" s="11"/>
      <c r="B82" s="30"/>
      <c r="C82" s="11"/>
      <c r="D82" s="11"/>
      <c r="E82" s="11"/>
      <c r="F82" s="11"/>
      <c r="G82" s="11"/>
      <c r="H82" s="11"/>
      <c r="I82" s="11"/>
    </row>
    <row r="83" spans="1:9" x14ac:dyDescent="0.15">
      <c r="A83" s="11"/>
      <c r="B83" s="33" t="s">
        <v>130</v>
      </c>
      <c r="C83" s="11"/>
      <c r="D83" s="11"/>
      <c r="E83" s="11"/>
      <c r="F83" s="11"/>
      <c r="G83" s="11"/>
      <c r="H83" s="11"/>
      <c r="I83" s="11"/>
    </row>
    <row r="84" spans="1:9" x14ac:dyDescent="0.15">
      <c r="A84" s="11"/>
      <c r="B84" s="34" t="s">
        <v>131</v>
      </c>
      <c r="C84" s="11"/>
      <c r="D84" s="11"/>
      <c r="E84" s="11"/>
      <c r="F84" s="11"/>
      <c r="G84" s="11"/>
      <c r="H84" s="11"/>
      <c r="I84" s="11"/>
    </row>
    <row r="85" spans="1:9" x14ac:dyDescent="0.15">
      <c r="A85" s="11"/>
      <c r="B85" s="34" t="s">
        <v>41</v>
      </c>
      <c r="C85" s="11"/>
      <c r="D85" s="11"/>
      <c r="E85" s="11"/>
      <c r="F85" s="11"/>
      <c r="G85" s="11"/>
      <c r="H85" s="11"/>
      <c r="I85" s="11"/>
    </row>
    <row r="86" spans="1:9" x14ac:dyDescent="0.15">
      <c r="A86" s="11"/>
      <c r="B86" s="11" t="s">
        <v>143</v>
      </c>
      <c r="C86" s="11"/>
      <c r="D86" s="11"/>
      <c r="E86" s="11"/>
      <c r="F86" s="11"/>
      <c r="G86" s="11"/>
      <c r="H86" s="11"/>
      <c r="I86" s="11"/>
    </row>
    <row r="87" spans="1:9" x14ac:dyDescent="0.15">
      <c r="A87" s="11"/>
      <c r="B87" s="30"/>
      <c r="C87" s="11"/>
      <c r="D87" s="11"/>
      <c r="E87" s="11"/>
      <c r="F87" s="11"/>
      <c r="G87" s="11"/>
      <c r="H87" s="11"/>
      <c r="I87" s="11"/>
    </row>
    <row r="88" spans="1:9" x14ac:dyDescent="0.15">
      <c r="A88" s="11"/>
      <c r="B88" s="33" t="s">
        <v>130</v>
      </c>
      <c r="C88" s="11"/>
      <c r="D88" s="11"/>
      <c r="E88" s="11"/>
      <c r="F88" s="11"/>
      <c r="G88" s="11"/>
      <c r="H88" s="11"/>
      <c r="I88" s="11"/>
    </row>
    <row r="89" spans="1:9" x14ac:dyDescent="0.15">
      <c r="A89" s="11"/>
      <c r="B89" s="34" t="s">
        <v>131</v>
      </c>
      <c r="C89" s="11"/>
      <c r="D89" s="11"/>
      <c r="E89" s="11"/>
      <c r="F89" s="11"/>
      <c r="G89" s="11"/>
      <c r="H89" s="11"/>
      <c r="I89" s="11"/>
    </row>
    <row r="90" spans="1:9" x14ac:dyDescent="0.15">
      <c r="A90" s="11"/>
      <c r="B90" s="34" t="s">
        <v>41</v>
      </c>
      <c r="C90" s="11"/>
      <c r="D90" s="11"/>
      <c r="E90" s="11"/>
      <c r="F90" s="11"/>
      <c r="G90" s="11"/>
      <c r="H90" s="11"/>
      <c r="I90" s="11"/>
    </row>
    <row r="91" spans="1:9" x14ac:dyDescent="0.15">
      <c r="A91" s="11"/>
      <c r="B91" s="11"/>
      <c r="C91" s="11"/>
      <c r="D91" s="11"/>
      <c r="E91" s="11"/>
      <c r="F91" s="11"/>
      <c r="G91" s="11"/>
      <c r="H91" s="11"/>
      <c r="I91" s="11"/>
    </row>
    <row r="92" spans="1:9" x14ac:dyDescent="0.15">
      <c r="A92" s="11"/>
      <c r="B92" s="30"/>
      <c r="C92" s="11"/>
      <c r="D92" s="11"/>
      <c r="E92" s="11"/>
      <c r="F92" s="11"/>
      <c r="G92" s="11"/>
      <c r="H92" s="11"/>
      <c r="I92" s="11"/>
    </row>
    <row r="93" spans="1:9" x14ac:dyDescent="0.15">
      <c r="A93" s="11"/>
      <c r="B93" s="33" t="s">
        <v>130</v>
      </c>
      <c r="C93" s="11"/>
      <c r="D93" s="11"/>
      <c r="E93" s="11"/>
      <c r="F93" s="11"/>
      <c r="G93" s="11"/>
      <c r="H93" s="11"/>
      <c r="I93" s="11"/>
    </row>
    <row r="94" spans="1:9" x14ac:dyDescent="0.15">
      <c r="B94" s="34" t="s">
        <v>131</v>
      </c>
    </row>
    <row r="95" spans="1:9" x14ac:dyDescent="0.15">
      <c r="B95" s="34" t="s">
        <v>41</v>
      </c>
    </row>
    <row r="97" spans="2:2" x14ac:dyDescent="0.15">
      <c r="B97" s="30"/>
    </row>
    <row r="98" spans="2:2" x14ac:dyDescent="0.15">
      <c r="B98" s="33" t="s">
        <v>130</v>
      </c>
    </row>
    <row r="99" spans="2:2" x14ac:dyDescent="0.15">
      <c r="B99" s="34" t="s">
        <v>131</v>
      </c>
    </row>
    <row r="100" spans="2:2" x14ac:dyDescent="0.15">
      <c r="B100" s="34" t="s">
        <v>41</v>
      </c>
    </row>
    <row r="102" spans="2:2" x14ac:dyDescent="0.15">
      <c r="B102" s="30"/>
    </row>
    <row r="103" spans="2:2" x14ac:dyDescent="0.15">
      <c r="B103" s="33" t="s">
        <v>130</v>
      </c>
    </row>
    <row r="104" spans="2:2" x14ac:dyDescent="0.15">
      <c r="B104" s="34" t="s">
        <v>131</v>
      </c>
    </row>
    <row r="105" spans="2:2" x14ac:dyDescent="0.15">
      <c r="B105" s="34" t="s">
        <v>41</v>
      </c>
    </row>
    <row r="107" spans="2:2" x14ac:dyDescent="0.15">
      <c r="B107" s="11" t="s">
        <v>156</v>
      </c>
    </row>
  </sheetData>
  <mergeCells count="26">
    <mergeCell ref="A8:B8"/>
    <mergeCell ref="A3:B3"/>
    <mergeCell ref="A4:B4"/>
    <mergeCell ref="A5:B5"/>
    <mergeCell ref="A6:B6"/>
    <mergeCell ref="A7:B7"/>
    <mergeCell ref="A36:A42"/>
    <mergeCell ref="A9:B9"/>
    <mergeCell ref="A10:B10"/>
    <mergeCell ref="A11:B11"/>
    <mergeCell ref="A12:B12"/>
    <mergeCell ref="A13:B13"/>
    <mergeCell ref="A14:B14"/>
    <mergeCell ref="A15:B15"/>
    <mergeCell ref="A16:B16"/>
    <mergeCell ref="A17:A23"/>
    <mergeCell ref="A24:A29"/>
    <mergeCell ref="A30:A35"/>
    <mergeCell ref="A64:B64"/>
    <mergeCell ref="A65:B65"/>
    <mergeCell ref="A43:A47"/>
    <mergeCell ref="A48:A53"/>
    <mergeCell ref="A54:A60"/>
    <mergeCell ref="A61:B61"/>
    <mergeCell ref="A62:B62"/>
    <mergeCell ref="A63:B63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print="0" autoLine="0" r:id="rId5">
            <anchor>
              <from>
                <xdr:col>0</xdr:col>
                <xdr:colOff>19050</xdr:colOff>
                <xdr:row>2</xdr:row>
                <xdr:rowOff>28575</xdr:rowOff>
              </from>
              <to>
                <xdr:col>1</xdr:col>
                <xdr:colOff>485775</xdr:colOff>
                <xdr:row>6</xdr:row>
                <xdr:rowOff>9525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DF583-AA24-4BA1-9B30-AB6008712108}">
  <sheetPr codeName="Sheet4"/>
  <dimension ref="A1:K107"/>
  <sheetViews>
    <sheetView topLeftCell="A3" workbookViewId="0">
      <selection activeCell="I54" sqref="I54:I59"/>
    </sheetView>
  </sheetViews>
  <sheetFormatPr defaultRowHeight="13.5" x14ac:dyDescent="0.15"/>
  <cols>
    <col min="1" max="1" width="2.875" style="1" bestFit="1" customWidth="1"/>
    <col min="2" max="2" width="17.625" style="1" bestFit="1" customWidth="1"/>
    <col min="3" max="8" width="11" style="1" bestFit="1" customWidth="1"/>
    <col min="9" max="9" width="13.25" style="1" bestFit="1" customWidth="1"/>
    <col min="10" max="10" width="10" style="1" bestFit="1" customWidth="1"/>
    <col min="11" max="11" width="11" style="1" bestFit="1" customWidth="1"/>
    <col min="12" max="215" width="9" style="1"/>
    <col min="216" max="216" width="2.875" style="1" bestFit="1" customWidth="1"/>
    <col min="217" max="217" width="17.625" style="1" bestFit="1" customWidth="1"/>
    <col min="218" max="218" width="11.375" style="1" bestFit="1" customWidth="1"/>
    <col min="219" max="220" width="14.125" style="1" bestFit="1" customWidth="1"/>
    <col min="221" max="221" width="11.375" style="1" bestFit="1" customWidth="1"/>
    <col min="222" max="224" width="12.5" style="1" bestFit="1" customWidth="1"/>
    <col min="225" max="225" width="11" style="1" bestFit="1" customWidth="1"/>
    <col min="226" max="244" width="13" style="1" bestFit="1" customWidth="1"/>
    <col min="245" max="248" width="11" style="1" bestFit="1" customWidth="1"/>
    <col min="249" max="251" width="12.25" style="1" bestFit="1" customWidth="1"/>
    <col min="252" max="264" width="11" style="1" bestFit="1" customWidth="1"/>
    <col min="265" max="265" width="13.25" style="1" bestFit="1" customWidth="1"/>
    <col min="266" max="266" width="10" style="1" bestFit="1" customWidth="1"/>
    <col min="267" max="267" width="11" style="1" bestFit="1" customWidth="1"/>
    <col min="268" max="471" width="9" style="1"/>
    <col min="472" max="472" width="2.875" style="1" bestFit="1" customWidth="1"/>
    <col min="473" max="473" width="17.625" style="1" bestFit="1" customWidth="1"/>
    <col min="474" max="474" width="11.375" style="1" bestFit="1" customWidth="1"/>
    <col min="475" max="476" width="14.125" style="1" bestFit="1" customWidth="1"/>
    <col min="477" max="477" width="11.375" style="1" bestFit="1" customWidth="1"/>
    <col min="478" max="480" width="12.5" style="1" bestFit="1" customWidth="1"/>
    <col min="481" max="481" width="11" style="1" bestFit="1" customWidth="1"/>
    <col min="482" max="500" width="13" style="1" bestFit="1" customWidth="1"/>
    <col min="501" max="504" width="11" style="1" bestFit="1" customWidth="1"/>
    <col min="505" max="507" width="12.25" style="1" bestFit="1" customWidth="1"/>
    <col min="508" max="520" width="11" style="1" bestFit="1" customWidth="1"/>
    <col min="521" max="521" width="13.25" style="1" bestFit="1" customWidth="1"/>
    <col min="522" max="522" width="10" style="1" bestFit="1" customWidth="1"/>
    <col min="523" max="523" width="11" style="1" bestFit="1" customWidth="1"/>
    <col min="524" max="727" width="9" style="1"/>
    <col min="728" max="728" width="2.875" style="1" bestFit="1" customWidth="1"/>
    <col min="729" max="729" width="17.625" style="1" bestFit="1" customWidth="1"/>
    <col min="730" max="730" width="11.375" style="1" bestFit="1" customWidth="1"/>
    <col min="731" max="732" width="14.125" style="1" bestFit="1" customWidth="1"/>
    <col min="733" max="733" width="11.375" style="1" bestFit="1" customWidth="1"/>
    <col min="734" max="736" width="12.5" style="1" bestFit="1" customWidth="1"/>
    <col min="737" max="737" width="11" style="1" bestFit="1" customWidth="1"/>
    <col min="738" max="756" width="13" style="1" bestFit="1" customWidth="1"/>
    <col min="757" max="760" width="11" style="1" bestFit="1" customWidth="1"/>
    <col min="761" max="763" width="12.25" style="1" bestFit="1" customWidth="1"/>
    <col min="764" max="776" width="11" style="1" bestFit="1" customWidth="1"/>
    <col min="777" max="777" width="13.25" style="1" bestFit="1" customWidth="1"/>
    <col min="778" max="778" width="10" style="1" bestFit="1" customWidth="1"/>
    <col min="779" max="779" width="11" style="1" bestFit="1" customWidth="1"/>
    <col min="780" max="983" width="9" style="1"/>
    <col min="984" max="984" width="2.875" style="1" bestFit="1" customWidth="1"/>
    <col min="985" max="985" width="17.625" style="1" bestFit="1" customWidth="1"/>
    <col min="986" max="986" width="11.375" style="1" bestFit="1" customWidth="1"/>
    <col min="987" max="988" width="14.125" style="1" bestFit="1" customWidth="1"/>
    <col min="989" max="989" width="11.375" style="1" bestFit="1" customWidth="1"/>
    <col min="990" max="992" width="12.5" style="1" bestFit="1" customWidth="1"/>
    <col min="993" max="993" width="11" style="1" bestFit="1" customWidth="1"/>
    <col min="994" max="1012" width="13" style="1" bestFit="1" customWidth="1"/>
    <col min="1013" max="1016" width="11" style="1" bestFit="1" customWidth="1"/>
    <col min="1017" max="1019" width="12.25" style="1" bestFit="1" customWidth="1"/>
    <col min="1020" max="1032" width="11" style="1" bestFit="1" customWidth="1"/>
    <col min="1033" max="1033" width="13.25" style="1" bestFit="1" customWidth="1"/>
    <col min="1034" max="1034" width="10" style="1" bestFit="1" customWidth="1"/>
    <col min="1035" max="1035" width="11" style="1" bestFit="1" customWidth="1"/>
    <col min="1036" max="1239" width="9" style="1"/>
    <col min="1240" max="1240" width="2.875" style="1" bestFit="1" customWidth="1"/>
    <col min="1241" max="1241" width="17.625" style="1" bestFit="1" customWidth="1"/>
    <col min="1242" max="1242" width="11.375" style="1" bestFit="1" customWidth="1"/>
    <col min="1243" max="1244" width="14.125" style="1" bestFit="1" customWidth="1"/>
    <col min="1245" max="1245" width="11.375" style="1" bestFit="1" customWidth="1"/>
    <col min="1246" max="1248" width="12.5" style="1" bestFit="1" customWidth="1"/>
    <col min="1249" max="1249" width="11" style="1" bestFit="1" customWidth="1"/>
    <col min="1250" max="1268" width="13" style="1" bestFit="1" customWidth="1"/>
    <col min="1269" max="1272" width="11" style="1" bestFit="1" customWidth="1"/>
    <col min="1273" max="1275" width="12.25" style="1" bestFit="1" customWidth="1"/>
    <col min="1276" max="1288" width="11" style="1" bestFit="1" customWidth="1"/>
    <col min="1289" max="1289" width="13.25" style="1" bestFit="1" customWidth="1"/>
    <col min="1290" max="1290" width="10" style="1" bestFit="1" customWidth="1"/>
    <col min="1291" max="1291" width="11" style="1" bestFit="1" customWidth="1"/>
    <col min="1292" max="1495" width="9" style="1"/>
    <col min="1496" max="1496" width="2.875" style="1" bestFit="1" customWidth="1"/>
    <col min="1497" max="1497" width="17.625" style="1" bestFit="1" customWidth="1"/>
    <col min="1498" max="1498" width="11.375" style="1" bestFit="1" customWidth="1"/>
    <col min="1499" max="1500" width="14.125" style="1" bestFit="1" customWidth="1"/>
    <col min="1501" max="1501" width="11.375" style="1" bestFit="1" customWidth="1"/>
    <col min="1502" max="1504" width="12.5" style="1" bestFit="1" customWidth="1"/>
    <col min="1505" max="1505" width="11" style="1" bestFit="1" customWidth="1"/>
    <col min="1506" max="1524" width="13" style="1" bestFit="1" customWidth="1"/>
    <col min="1525" max="1528" width="11" style="1" bestFit="1" customWidth="1"/>
    <col min="1529" max="1531" width="12.25" style="1" bestFit="1" customWidth="1"/>
    <col min="1532" max="1544" width="11" style="1" bestFit="1" customWidth="1"/>
    <col min="1545" max="1545" width="13.25" style="1" bestFit="1" customWidth="1"/>
    <col min="1546" max="1546" width="10" style="1" bestFit="1" customWidth="1"/>
    <col min="1547" max="1547" width="11" style="1" bestFit="1" customWidth="1"/>
    <col min="1548" max="1751" width="9" style="1"/>
    <col min="1752" max="1752" width="2.875" style="1" bestFit="1" customWidth="1"/>
    <col min="1753" max="1753" width="17.625" style="1" bestFit="1" customWidth="1"/>
    <col min="1754" max="1754" width="11.375" style="1" bestFit="1" customWidth="1"/>
    <col min="1755" max="1756" width="14.125" style="1" bestFit="1" customWidth="1"/>
    <col min="1757" max="1757" width="11.375" style="1" bestFit="1" customWidth="1"/>
    <col min="1758" max="1760" width="12.5" style="1" bestFit="1" customWidth="1"/>
    <col min="1761" max="1761" width="11" style="1" bestFit="1" customWidth="1"/>
    <col min="1762" max="1780" width="13" style="1" bestFit="1" customWidth="1"/>
    <col min="1781" max="1784" width="11" style="1" bestFit="1" customWidth="1"/>
    <col min="1785" max="1787" width="12.25" style="1" bestFit="1" customWidth="1"/>
    <col min="1788" max="1800" width="11" style="1" bestFit="1" customWidth="1"/>
    <col min="1801" max="1801" width="13.25" style="1" bestFit="1" customWidth="1"/>
    <col min="1802" max="1802" width="10" style="1" bestFit="1" customWidth="1"/>
    <col min="1803" max="1803" width="11" style="1" bestFit="1" customWidth="1"/>
    <col min="1804" max="2007" width="9" style="1"/>
    <col min="2008" max="2008" width="2.875" style="1" bestFit="1" customWidth="1"/>
    <col min="2009" max="2009" width="17.625" style="1" bestFit="1" customWidth="1"/>
    <col min="2010" max="2010" width="11.375" style="1" bestFit="1" customWidth="1"/>
    <col min="2011" max="2012" width="14.125" style="1" bestFit="1" customWidth="1"/>
    <col min="2013" max="2013" width="11.375" style="1" bestFit="1" customWidth="1"/>
    <col min="2014" max="2016" width="12.5" style="1" bestFit="1" customWidth="1"/>
    <col min="2017" max="2017" width="11" style="1" bestFit="1" customWidth="1"/>
    <col min="2018" max="2036" width="13" style="1" bestFit="1" customWidth="1"/>
    <col min="2037" max="2040" width="11" style="1" bestFit="1" customWidth="1"/>
    <col min="2041" max="2043" width="12.25" style="1" bestFit="1" customWidth="1"/>
    <col min="2044" max="2056" width="11" style="1" bestFit="1" customWidth="1"/>
    <col min="2057" max="2057" width="13.25" style="1" bestFit="1" customWidth="1"/>
    <col min="2058" max="2058" width="10" style="1" bestFit="1" customWidth="1"/>
    <col min="2059" max="2059" width="11" style="1" bestFit="1" customWidth="1"/>
    <col min="2060" max="2263" width="9" style="1"/>
    <col min="2264" max="2264" width="2.875" style="1" bestFit="1" customWidth="1"/>
    <col min="2265" max="2265" width="17.625" style="1" bestFit="1" customWidth="1"/>
    <col min="2266" max="2266" width="11.375" style="1" bestFit="1" customWidth="1"/>
    <col min="2267" max="2268" width="14.125" style="1" bestFit="1" customWidth="1"/>
    <col min="2269" max="2269" width="11.375" style="1" bestFit="1" customWidth="1"/>
    <col min="2270" max="2272" width="12.5" style="1" bestFit="1" customWidth="1"/>
    <col min="2273" max="2273" width="11" style="1" bestFit="1" customWidth="1"/>
    <col min="2274" max="2292" width="13" style="1" bestFit="1" customWidth="1"/>
    <col min="2293" max="2296" width="11" style="1" bestFit="1" customWidth="1"/>
    <col min="2297" max="2299" width="12.25" style="1" bestFit="1" customWidth="1"/>
    <col min="2300" max="2312" width="11" style="1" bestFit="1" customWidth="1"/>
    <col min="2313" max="2313" width="13.25" style="1" bestFit="1" customWidth="1"/>
    <col min="2314" max="2314" width="10" style="1" bestFit="1" customWidth="1"/>
    <col min="2315" max="2315" width="11" style="1" bestFit="1" customWidth="1"/>
    <col min="2316" max="2519" width="9" style="1"/>
    <col min="2520" max="2520" width="2.875" style="1" bestFit="1" customWidth="1"/>
    <col min="2521" max="2521" width="17.625" style="1" bestFit="1" customWidth="1"/>
    <col min="2522" max="2522" width="11.375" style="1" bestFit="1" customWidth="1"/>
    <col min="2523" max="2524" width="14.125" style="1" bestFit="1" customWidth="1"/>
    <col min="2525" max="2525" width="11.375" style="1" bestFit="1" customWidth="1"/>
    <col min="2526" max="2528" width="12.5" style="1" bestFit="1" customWidth="1"/>
    <col min="2529" max="2529" width="11" style="1" bestFit="1" customWidth="1"/>
    <col min="2530" max="2548" width="13" style="1" bestFit="1" customWidth="1"/>
    <col min="2549" max="2552" width="11" style="1" bestFit="1" customWidth="1"/>
    <col min="2553" max="2555" width="12.25" style="1" bestFit="1" customWidth="1"/>
    <col min="2556" max="2568" width="11" style="1" bestFit="1" customWidth="1"/>
    <col min="2569" max="2569" width="13.25" style="1" bestFit="1" customWidth="1"/>
    <col min="2570" max="2570" width="10" style="1" bestFit="1" customWidth="1"/>
    <col min="2571" max="2571" width="11" style="1" bestFit="1" customWidth="1"/>
    <col min="2572" max="2775" width="9" style="1"/>
    <col min="2776" max="2776" width="2.875" style="1" bestFit="1" customWidth="1"/>
    <col min="2777" max="2777" width="17.625" style="1" bestFit="1" customWidth="1"/>
    <col min="2778" max="2778" width="11.375" style="1" bestFit="1" customWidth="1"/>
    <col min="2779" max="2780" width="14.125" style="1" bestFit="1" customWidth="1"/>
    <col min="2781" max="2781" width="11.375" style="1" bestFit="1" customWidth="1"/>
    <col min="2782" max="2784" width="12.5" style="1" bestFit="1" customWidth="1"/>
    <col min="2785" max="2785" width="11" style="1" bestFit="1" customWidth="1"/>
    <col min="2786" max="2804" width="13" style="1" bestFit="1" customWidth="1"/>
    <col min="2805" max="2808" width="11" style="1" bestFit="1" customWidth="1"/>
    <col min="2809" max="2811" width="12.25" style="1" bestFit="1" customWidth="1"/>
    <col min="2812" max="2824" width="11" style="1" bestFit="1" customWidth="1"/>
    <col min="2825" max="2825" width="13.25" style="1" bestFit="1" customWidth="1"/>
    <col min="2826" max="2826" width="10" style="1" bestFit="1" customWidth="1"/>
    <col min="2827" max="2827" width="11" style="1" bestFit="1" customWidth="1"/>
    <col min="2828" max="3031" width="9" style="1"/>
    <col min="3032" max="3032" width="2.875" style="1" bestFit="1" customWidth="1"/>
    <col min="3033" max="3033" width="17.625" style="1" bestFit="1" customWidth="1"/>
    <col min="3034" max="3034" width="11.375" style="1" bestFit="1" customWidth="1"/>
    <col min="3035" max="3036" width="14.125" style="1" bestFit="1" customWidth="1"/>
    <col min="3037" max="3037" width="11.375" style="1" bestFit="1" customWidth="1"/>
    <col min="3038" max="3040" width="12.5" style="1" bestFit="1" customWidth="1"/>
    <col min="3041" max="3041" width="11" style="1" bestFit="1" customWidth="1"/>
    <col min="3042" max="3060" width="13" style="1" bestFit="1" customWidth="1"/>
    <col min="3061" max="3064" width="11" style="1" bestFit="1" customWidth="1"/>
    <col min="3065" max="3067" width="12.25" style="1" bestFit="1" customWidth="1"/>
    <col min="3068" max="3080" width="11" style="1" bestFit="1" customWidth="1"/>
    <col min="3081" max="3081" width="13.25" style="1" bestFit="1" customWidth="1"/>
    <col min="3082" max="3082" width="10" style="1" bestFit="1" customWidth="1"/>
    <col min="3083" max="3083" width="11" style="1" bestFit="1" customWidth="1"/>
    <col min="3084" max="3287" width="9" style="1"/>
    <col min="3288" max="3288" width="2.875" style="1" bestFit="1" customWidth="1"/>
    <col min="3289" max="3289" width="17.625" style="1" bestFit="1" customWidth="1"/>
    <col min="3290" max="3290" width="11.375" style="1" bestFit="1" customWidth="1"/>
    <col min="3291" max="3292" width="14.125" style="1" bestFit="1" customWidth="1"/>
    <col min="3293" max="3293" width="11.375" style="1" bestFit="1" customWidth="1"/>
    <col min="3294" max="3296" width="12.5" style="1" bestFit="1" customWidth="1"/>
    <col min="3297" max="3297" width="11" style="1" bestFit="1" customWidth="1"/>
    <col min="3298" max="3316" width="13" style="1" bestFit="1" customWidth="1"/>
    <col min="3317" max="3320" width="11" style="1" bestFit="1" customWidth="1"/>
    <col min="3321" max="3323" width="12.25" style="1" bestFit="1" customWidth="1"/>
    <col min="3324" max="3336" width="11" style="1" bestFit="1" customWidth="1"/>
    <col min="3337" max="3337" width="13.25" style="1" bestFit="1" customWidth="1"/>
    <col min="3338" max="3338" width="10" style="1" bestFit="1" customWidth="1"/>
    <col min="3339" max="3339" width="11" style="1" bestFit="1" customWidth="1"/>
    <col min="3340" max="3543" width="9" style="1"/>
    <col min="3544" max="3544" width="2.875" style="1" bestFit="1" customWidth="1"/>
    <col min="3545" max="3545" width="17.625" style="1" bestFit="1" customWidth="1"/>
    <col min="3546" max="3546" width="11.375" style="1" bestFit="1" customWidth="1"/>
    <col min="3547" max="3548" width="14.125" style="1" bestFit="1" customWidth="1"/>
    <col min="3549" max="3549" width="11.375" style="1" bestFit="1" customWidth="1"/>
    <col min="3550" max="3552" width="12.5" style="1" bestFit="1" customWidth="1"/>
    <col min="3553" max="3553" width="11" style="1" bestFit="1" customWidth="1"/>
    <col min="3554" max="3572" width="13" style="1" bestFit="1" customWidth="1"/>
    <col min="3573" max="3576" width="11" style="1" bestFit="1" customWidth="1"/>
    <col min="3577" max="3579" width="12.25" style="1" bestFit="1" customWidth="1"/>
    <col min="3580" max="3592" width="11" style="1" bestFit="1" customWidth="1"/>
    <col min="3593" max="3593" width="13.25" style="1" bestFit="1" customWidth="1"/>
    <col min="3594" max="3594" width="10" style="1" bestFit="1" customWidth="1"/>
    <col min="3595" max="3595" width="11" style="1" bestFit="1" customWidth="1"/>
    <col min="3596" max="3799" width="9" style="1"/>
    <col min="3800" max="3800" width="2.875" style="1" bestFit="1" customWidth="1"/>
    <col min="3801" max="3801" width="17.625" style="1" bestFit="1" customWidth="1"/>
    <col min="3802" max="3802" width="11.375" style="1" bestFit="1" customWidth="1"/>
    <col min="3803" max="3804" width="14.125" style="1" bestFit="1" customWidth="1"/>
    <col min="3805" max="3805" width="11.375" style="1" bestFit="1" customWidth="1"/>
    <col min="3806" max="3808" width="12.5" style="1" bestFit="1" customWidth="1"/>
    <col min="3809" max="3809" width="11" style="1" bestFit="1" customWidth="1"/>
    <col min="3810" max="3828" width="13" style="1" bestFit="1" customWidth="1"/>
    <col min="3829" max="3832" width="11" style="1" bestFit="1" customWidth="1"/>
    <col min="3833" max="3835" width="12.25" style="1" bestFit="1" customWidth="1"/>
    <col min="3836" max="3848" width="11" style="1" bestFit="1" customWidth="1"/>
    <col min="3849" max="3849" width="13.25" style="1" bestFit="1" customWidth="1"/>
    <col min="3850" max="3850" width="10" style="1" bestFit="1" customWidth="1"/>
    <col min="3851" max="3851" width="11" style="1" bestFit="1" customWidth="1"/>
    <col min="3852" max="4055" width="9" style="1"/>
    <col min="4056" max="4056" width="2.875" style="1" bestFit="1" customWidth="1"/>
    <col min="4057" max="4057" width="17.625" style="1" bestFit="1" customWidth="1"/>
    <col min="4058" max="4058" width="11.375" style="1" bestFit="1" customWidth="1"/>
    <col min="4059" max="4060" width="14.125" style="1" bestFit="1" customWidth="1"/>
    <col min="4061" max="4061" width="11.375" style="1" bestFit="1" customWidth="1"/>
    <col min="4062" max="4064" width="12.5" style="1" bestFit="1" customWidth="1"/>
    <col min="4065" max="4065" width="11" style="1" bestFit="1" customWidth="1"/>
    <col min="4066" max="4084" width="13" style="1" bestFit="1" customWidth="1"/>
    <col min="4085" max="4088" width="11" style="1" bestFit="1" customWidth="1"/>
    <col min="4089" max="4091" width="12.25" style="1" bestFit="1" customWidth="1"/>
    <col min="4092" max="4104" width="11" style="1" bestFit="1" customWidth="1"/>
    <col min="4105" max="4105" width="13.25" style="1" bestFit="1" customWidth="1"/>
    <col min="4106" max="4106" width="10" style="1" bestFit="1" customWidth="1"/>
    <col min="4107" max="4107" width="11" style="1" bestFit="1" customWidth="1"/>
    <col min="4108" max="4311" width="9" style="1"/>
    <col min="4312" max="4312" width="2.875" style="1" bestFit="1" customWidth="1"/>
    <col min="4313" max="4313" width="17.625" style="1" bestFit="1" customWidth="1"/>
    <col min="4314" max="4314" width="11.375" style="1" bestFit="1" customWidth="1"/>
    <col min="4315" max="4316" width="14.125" style="1" bestFit="1" customWidth="1"/>
    <col min="4317" max="4317" width="11.375" style="1" bestFit="1" customWidth="1"/>
    <col min="4318" max="4320" width="12.5" style="1" bestFit="1" customWidth="1"/>
    <col min="4321" max="4321" width="11" style="1" bestFit="1" customWidth="1"/>
    <col min="4322" max="4340" width="13" style="1" bestFit="1" customWidth="1"/>
    <col min="4341" max="4344" width="11" style="1" bestFit="1" customWidth="1"/>
    <col min="4345" max="4347" width="12.25" style="1" bestFit="1" customWidth="1"/>
    <col min="4348" max="4360" width="11" style="1" bestFit="1" customWidth="1"/>
    <col min="4361" max="4361" width="13.25" style="1" bestFit="1" customWidth="1"/>
    <col min="4362" max="4362" width="10" style="1" bestFit="1" customWidth="1"/>
    <col min="4363" max="4363" width="11" style="1" bestFit="1" customWidth="1"/>
    <col min="4364" max="4567" width="9" style="1"/>
    <col min="4568" max="4568" width="2.875" style="1" bestFit="1" customWidth="1"/>
    <col min="4569" max="4569" width="17.625" style="1" bestFit="1" customWidth="1"/>
    <col min="4570" max="4570" width="11.375" style="1" bestFit="1" customWidth="1"/>
    <col min="4571" max="4572" width="14.125" style="1" bestFit="1" customWidth="1"/>
    <col min="4573" max="4573" width="11.375" style="1" bestFit="1" customWidth="1"/>
    <col min="4574" max="4576" width="12.5" style="1" bestFit="1" customWidth="1"/>
    <col min="4577" max="4577" width="11" style="1" bestFit="1" customWidth="1"/>
    <col min="4578" max="4596" width="13" style="1" bestFit="1" customWidth="1"/>
    <col min="4597" max="4600" width="11" style="1" bestFit="1" customWidth="1"/>
    <col min="4601" max="4603" width="12.25" style="1" bestFit="1" customWidth="1"/>
    <col min="4604" max="4616" width="11" style="1" bestFit="1" customWidth="1"/>
    <col min="4617" max="4617" width="13.25" style="1" bestFit="1" customWidth="1"/>
    <col min="4618" max="4618" width="10" style="1" bestFit="1" customWidth="1"/>
    <col min="4619" max="4619" width="11" style="1" bestFit="1" customWidth="1"/>
    <col min="4620" max="4823" width="9" style="1"/>
    <col min="4824" max="4824" width="2.875" style="1" bestFit="1" customWidth="1"/>
    <col min="4825" max="4825" width="17.625" style="1" bestFit="1" customWidth="1"/>
    <col min="4826" max="4826" width="11.375" style="1" bestFit="1" customWidth="1"/>
    <col min="4827" max="4828" width="14.125" style="1" bestFit="1" customWidth="1"/>
    <col min="4829" max="4829" width="11.375" style="1" bestFit="1" customWidth="1"/>
    <col min="4830" max="4832" width="12.5" style="1" bestFit="1" customWidth="1"/>
    <col min="4833" max="4833" width="11" style="1" bestFit="1" customWidth="1"/>
    <col min="4834" max="4852" width="13" style="1" bestFit="1" customWidth="1"/>
    <col min="4853" max="4856" width="11" style="1" bestFit="1" customWidth="1"/>
    <col min="4857" max="4859" width="12.25" style="1" bestFit="1" customWidth="1"/>
    <col min="4860" max="4872" width="11" style="1" bestFit="1" customWidth="1"/>
    <col min="4873" max="4873" width="13.25" style="1" bestFit="1" customWidth="1"/>
    <col min="4874" max="4874" width="10" style="1" bestFit="1" customWidth="1"/>
    <col min="4875" max="4875" width="11" style="1" bestFit="1" customWidth="1"/>
    <col min="4876" max="5079" width="9" style="1"/>
    <col min="5080" max="5080" width="2.875" style="1" bestFit="1" customWidth="1"/>
    <col min="5081" max="5081" width="17.625" style="1" bestFit="1" customWidth="1"/>
    <col min="5082" max="5082" width="11.375" style="1" bestFit="1" customWidth="1"/>
    <col min="5083" max="5084" width="14.125" style="1" bestFit="1" customWidth="1"/>
    <col min="5085" max="5085" width="11.375" style="1" bestFit="1" customWidth="1"/>
    <col min="5086" max="5088" width="12.5" style="1" bestFit="1" customWidth="1"/>
    <col min="5089" max="5089" width="11" style="1" bestFit="1" customWidth="1"/>
    <col min="5090" max="5108" width="13" style="1" bestFit="1" customWidth="1"/>
    <col min="5109" max="5112" width="11" style="1" bestFit="1" customWidth="1"/>
    <col min="5113" max="5115" width="12.25" style="1" bestFit="1" customWidth="1"/>
    <col min="5116" max="5128" width="11" style="1" bestFit="1" customWidth="1"/>
    <col min="5129" max="5129" width="13.25" style="1" bestFit="1" customWidth="1"/>
    <col min="5130" max="5130" width="10" style="1" bestFit="1" customWidth="1"/>
    <col min="5131" max="5131" width="11" style="1" bestFit="1" customWidth="1"/>
    <col min="5132" max="5335" width="9" style="1"/>
    <col min="5336" max="5336" width="2.875" style="1" bestFit="1" customWidth="1"/>
    <col min="5337" max="5337" width="17.625" style="1" bestFit="1" customWidth="1"/>
    <col min="5338" max="5338" width="11.375" style="1" bestFit="1" customWidth="1"/>
    <col min="5339" max="5340" width="14.125" style="1" bestFit="1" customWidth="1"/>
    <col min="5341" max="5341" width="11.375" style="1" bestFit="1" customWidth="1"/>
    <col min="5342" max="5344" width="12.5" style="1" bestFit="1" customWidth="1"/>
    <col min="5345" max="5345" width="11" style="1" bestFit="1" customWidth="1"/>
    <col min="5346" max="5364" width="13" style="1" bestFit="1" customWidth="1"/>
    <col min="5365" max="5368" width="11" style="1" bestFit="1" customWidth="1"/>
    <col min="5369" max="5371" width="12.25" style="1" bestFit="1" customWidth="1"/>
    <col min="5372" max="5384" width="11" style="1" bestFit="1" customWidth="1"/>
    <col min="5385" max="5385" width="13.25" style="1" bestFit="1" customWidth="1"/>
    <col min="5386" max="5386" width="10" style="1" bestFit="1" customWidth="1"/>
    <col min="5387" max="5387" width="11" style="1" bestFit="1" customWidth="1"/>
    <col min="5388" max="5591" width="9" style="1"/>
    <col min="5592" max="5592" width="2.875" style="1" bestFit="1" customWidth="1"/>
    <col min="5593" max="5593" width="17.625" style="1" bestFit="1" customWidth="1"/>
    <col min="5594" max="5594" width="11.375" style="1" bestFit="1" customWidth="1"/>
    <col min="5595" max="5596" width="14.125" style="1" bestFit="1" customWidth="1"/>
    <col min="5597" max="5597" width="11.375" style="1" bestFit="1" customWidth="1"/>
    <col min="5598" max="5600" width="12.5" style="1" bestFit="1" customWidth="1"/>
    <col min="5601" max="5601" width="11" style="1" bestFit="1" customWidth="1"/>
    <col min="5602" max="5620" width="13" style="1" bestFit="1" customWidth="1"/>
    <col min="5621" max="5624" width="11" style="1" bestFit="1" customWidth="1"/>
    <col min="5625" max="5627" width="12.25" style="1" bestFit="1" customWidth="1"/>
    <col min="5628" max="5640" width="11" style="1" bestFit="1" customWidth="1"/>
    <col min="5641" max="5641" width="13.25" style="1" bestFit="1" customWidth="1"/>
    <col min="5642" max="5642" width="10" style="1" bestFit="1" customWidth="1"/>
    <col min="5643" max="5643" width="11" style="1" bestFit="1" customWidth="1"/>
    <col min="5644" max="5847" width="9" style="1"/>
    <col min="5848" max="5848" width="2.875" style="1" bestFit="1" customWidth="1"/>
    <col min="5849" max="5849" width="17.625" style="1" bestFit="1" customWidth="1"/>
    <col min="5850" max="5850" width="11.375" style="1" bestFit="1" customWidth="1"/>
    <col min="5851" max="5852" width="14.125" style="1" bestFit="1" customWidth="1"/>
    <col min="5853" max="5853" width="11.375" style="1" bestFit="1" customWidth="1"/>
    <col min="5854" max="5856" width="12.5" style="1" bestFit="1" customWidth="1"/>
    <col min="5857" max="5857" width="11" style="1" bestFit="1" customWidth="1"/>
    <col min="5858" max="5876" width="13" style="1" bestFit="1" customWidth="1"/>
    <col min="5877" max="5880" width="11" style="1" bestFit="1" customWidth="1"/>
    <col min="5881" max="5883" width="12.25" style="1" bestFit="1" customWidth="1"/>
    <col min="5884" max="5896" width="11" style="1" bestFit="1" customWidth="1"/>
    <col min="5897" max="5897" width="13.25" style="1" bestFit="1" customWidth="1"/>
    <col min="5898" max="5898" width="10" style="1" bestFit="1" customWidth="1"/>
    <col min="5899" max="5899" width="11" style="1" bestFit="1" customWidth="1"/>
    <col min="5900" max="6103" width="9" style="1"/>
    <col min="6104" max="6104" width="2.875" style="1" bestFit="1" customWidth="1"/>
    <col min="6105" max="6105" width="17.625" style="1" bestFit="1" customWidth="1"/>
    <col min="6106" max="6106" width="11.375" style="1" bestFit="1" customWidth="1"/>
    <col min="6107" max="6108" width="14.125" style="1" bestFit="1" customWidth="1"/>
    <col min="6109" max="6109" width="11.375" style="1" bestFit="1" customWidth="1"/>
    <col min="6110" max="6112" width="12.5" style="1" bestFit="1" customWidth="1"/>
    <col min="6113" max="6113" width="11" style="1" bestFit="1" customWidth="1"/>
    <col min="6114" max="6132" width="13" style="1" bestFit="1" customWidth="1"/>
    <col min="6133" max="6136" width="11" style="1" bestFit="1" customWidth="1"/>
    <col min="6137" max="6139" width="12.25" style="1" bestFit="1" customWidth="1"/>
    <col min="6140" max="6152" width="11" style="1" bestFit="1" customWidth="1"/>
    <col min="6153" max="6153" width="13.25" style="1" bestFit="1" customWidth="1"/>
    <col min="6154" max="6154" width="10" style="1" bestFit="1" customWidth="1"/>
    <col min="6155" max="6155" width="11" style="1" bestFit="1" customWidth="1"/>
    <col min="6156" max="6359" width="9" style="1"/>
    <col min="6360" max="6360" width="2.875" style="1" bestFit="1" customWidth="1"/>
    <col min="6361" max="6361" width="17.625" style="1" bestFit="1" customWidth="1"/>
    <col min="6362" max="6362" width="11.375" style="1" bestFit="1" customWidth="1"/>
    <col min="6363" max="6364" width="14.125" style="1" bestFit="1" customWidth="1"/>
    <col min="6365" max="6365" width="11.375" style="1" bestFit="1" customWidth="1"/>
    <col min="6366" max="6368" width="12.5" style="1" bestFit="1" customWidth="1"/>
    <col min="6369" max="6369" width="11" style="1" bestFit="1" customWidth="1"/>
    <col min="6370" max="6388" width="13" style="1" bestFit="1" customWidth="1"/>
    <col min="6389" max="6392" width="11" style="1" bestFit="1" customWidth="1"/>
    <col min="6393" max="6395" width="12.25" style="1" bestFit="1" customWidth="1"/>
    <col min="6396" max="6408" width="11" style="1" bestFit="1" customWidth="1"/>
    <col min="6409" max="6409" width="13.25" style="1" bestFit="1" customWidth="1"/>
    <col min="6410" max="6410" width="10" style="1" bestFit="1" customWidth="1"/>
    <col min="6411" max="6411" width="11" style="1" bestFit="1" customWidth="1"/>
    <col min="6412" max="6615" width="9" style="1"/>
    <col min="6616" max="6616" width="2.875" style="1" bestFit="1" customWidth="1"/>
    <col min="6617" max="6617" width="17.625" style="1" bestFit="1" customWidth="1"/>
    <col min="6618" max="6618" width="11.375" style="1" bestFit="1" customWidth="1"/>
    <col min="6619" max="6620" width="14.125" style="1" bestFit="1" customWidth="1"/>
    <col min="6621" max="6621" width="11.375" style="1" bestFit="1" customWidth="1"/>
    <col min="6622" max="6624" width="12.5" style="1" bestFit="1" customWidth="1"/>
    <col min="6625" max="6625" width="11" style="1" bestFit="1" customWidth="1"/>
    <col min="6626" max="6644" width="13" style="1" bestFit="1" customWidth="1"/>
    <col min="6645" max="6648" width="11" style="1" bestFit="1" customWidth="1"/>
    <col min="6649" max="6651" width="12.25" style="1" bestFit="1" customWidth="1"/>
    <col min="6652" max="6664" width="11" style="1" bestFit="1" customWidth="1"/>
    <col min="6665" max="6665" width="13.25" style="1" bestFit="1" customWidth="1"/>
    <col min="6666" max="6666" width="10" style="1" bestFit="1" customWidth="1"/>
    <col min="6667" max="6667" width="11" style="1" bestFit="1" customWidth="1"/>
    <col min="6668" max="6871" width="9" style="1"/>
    <col min="6872" max="6872" width="2.875" style="1" bestFit="1" customWidth="1"/>
    <col min="6873" max="6873" width="17.625" style="1" bestFit="1" customWidth="1"/>
    <col min="6874" max="6874" width="11.375" style="1" bestFit="1" customWidth="1"/>
    <col min="6875" max="6876" width="14.125" style="1" bestFit="1" customWidth="1"/>
    <col min="6877" max="6877" width="11.375" style="1" bestFit="1" customWidth="1"/>
    <col min="6878" max="6880" width="12.5" style="1" bestFit="1" customWidth="1"/>
    <col min="6881" max="6881" width="11" style="1" bestFit="1" customWidth="1"/>
    <col min="6882" max="6900" width="13" style="1" bestFit="1" customWidth="1"/>
    <col min="6901" max="6904" width="11" style="1" bestFit="1" customWidth="1"/>
    <col min="6905" max="6907" width="12.25" style="1" bestFit="1" customWidth="1"/>
    <col min="6908" max="6920" width="11" style="1" bestFit="1" customWidth="1"/>
    <col min="6921" max="6921" width="13.25" style="1" bestFit="1" customWidth="1"/>
    <col min="6922" max="6922" width="10" style="1" bestFit="1" customWidth="1"/>
    <col min="6923" max="6923" width="11" style="1" bestFit="1" customWidth="1"/>
    <col min="6924" max="7127" width="9" style="1"/>
    <col min="7128" max="7128" width="2.875" style="1" bestFit="1" customWidth="1"/>
    <col min="7129" max="7129" width="17.625" style="1" bestFit="1" customWidth="1"/>
    <col min="7130" max="7130" width="11.375" style="1" bestFit="1" customWidth="1"/>
    <col min="7131" max="7132" width="14.125" style="1" bestFit="1" customWidth="1"/>
    <col min="7133" max="7133" width="11.375" style="1" bestFit="1" customWidth="1"/>
    <col min="7134" max="7136" width="12.5" style="1" bestFit="1" customWidth="1"/>
    <col min="7137" max="7137" width="11" style="1" bestFit="1" customWidth="1"/>
    <col min="7138" max="7156" width="13" style="1" bestFit="1" customWidth="1"/>
    <col min="7157" max="7160" width="11" style="1" bestFit="1" customWidth="1"/>
    <col min="7161" max="7163" width="12.25" style="1" bestFit="1" customWidth="1"/>
    <col min="7164" max="7176" width="11" style="1" bestFit="1" customWidth="1"/>
    <col min="7177" max="7177" width="13.25" style="1" bestFit="1" customWidth="1"/>
    <col min="7178" max="7178" width="10" style="1" bestFit="1" customWidth="1"/>
    <col min="7179" max="7179" width="11" style="1" bestFit="1" customWidth="1"/>
    <col min="7180" max="7383" width="9" style="1"/>
    <col min="7384" max="7384" width="2.875" style="1" bestFit="1" customWidth="1"/>
    <col min="7385" max="7385" width="17.625" style="1" bestFit="1" customWidth="1"/>
    <col min="7386" max="7386" width="11.375" style="1" bestFit="1" customWidth="1"/>
    <col min="7387" max="7388" width="14.125" style="1" bestFit="1" customWidth="1"/>
    <col min="7389" max="7389" width="11.375" style="1" bestFit="1" customWidth="1"/>
    <col min="7390" max="7392" width="12.5" style="1" bestFit="1" customWidth="1"/>
    <col min="7393" max="7393" width="11" style="1" bestFit="1" customWidth="1"/>
    <col min="7394" max="7412" width="13" style="1" bestFit="1" customWidth="1"/>
    <col min="7413" max="7416" width="11" style="1" bestFit="1" customWidth="1"/>
    <col min="7417" max="7419" width="12.25" style="1" bestFit="1" customWidth="1"/>
    <col min="7420" max="7432" width="11" style="1" bestFit="1" customWidth="1"/>
    <col min="7433" max="7433" width="13.25" style="1" bestFit="1" customWidth="1"/>
    <col min="7434" max="7434" width="10" style="1" bestFit="1" customWidth="1"/>
    <col min="7435" max="7435" width="11" style="1" bestFit="1" customWidth="1"/>
    <col min="7436" max="7639" width="9" style="1"/>
    <col min="7640" max="7640" width="2.875" style="1" bestFit="1" customWidth="1"/>
    <col min="7641" max="7641" width="17.625" style="1" bestFit="1" customWidth="1"/>
    <col min="7642" max="7642" width="11.375" style="1" bestFit="1" customWidth="1"/>
    <col min="7643" max="7644" width="14.125" style="1" bestFit="1" customWidth="1"/>
    <col min="7645" max="7645" width="11.375" style="1" bestFit="1" customWidth="1"/>
    <col min="7646" max="7648" width="12.5" style="1" bestFit="1" customWidth="1"/>
    <col min="7649" max="7649" width="11" style="1" bestFit="1" customWidth="1"/>
    <col min="7650" max="7668" width="13" style="1" bestFit="1" customWidth="1"/>
    <col min="7669" max="7672" width="11" style="1" bestFit="1" customWidth="1"/>
    <col min="7673" max="7675" width="12.25" style="1" bestFit="1" customWidth="1"/>
    <col min="7676" max="7688" width="11" style="1" bestFit="1" customWidth="1"/>
    <col min="7689" max="7689" width="13.25" style="1" bestFit="1" customWidth="1"/>
    <col min="7690" max="7690" width="10" style="1" bestFit="1" customWidth="1"/>
    <col min="7691" max="7691" width="11" style="1" bestFit="1" customWidth="1"/>
    <col min="7692" max="7895" width="9" style="1"/>
    <col min="7896" max="7896" width="2.875" style="1" bestFit="1" customWidth="1"/>
    <col min="7897" max="7897" width="17.625" style="1" bestFit="1" customWidth="1"/>
    <col min="7898" max="7898" width="11.375" style="1" bestFit="1" customWidth="1"/>
    <col min="7899" max="7900" width="14.125" style="1" bestFit="1" customWidth="1"/>
    <col min="7901" max="7901" width="11.375" style="1" bestFit="1" customWidth="1"/>
    <col min="7902" max="7904" width="12.5" style="1" bestFit="1" customWidth="1"/>
    <col min="7905" max="7905" width="11" style="1" bestFit="1" customWidth="1"/>
    <col min="7906" max="7924" width="13" style="1" bestFit="1" customWidth="1"/>
    <col min="7925" max="7928" width="11" style="1" bestFit="1" customWidth="1"/>
    <col min="7929" max="7931" width="12.25" style="1" bestFit="1" customWidth="1"/>
    <col min="7932" max="7944" width="11" style="1" bestFit="1" customWidth="1"/>
    <col min="7945" max="7945" width="13.25" style="1" bestFit="1" customWidth="1"/>
    <col min="7946" max="7946" width="10" style="1" bestFit="1" customWidth="1"/>
    <col min="7947" max="7947" width="11" style="1" bestFit="1" customWidth="1"/>
    <col min="7948" max="8151" width="9" style="1"/>
    <col min="8152" max="8152" width="2.875" style="1" bestFit="1" customWidth="1"/>
    <col min="8153" max="8153" width="17.625" style="1" bestFit="1" customWidth="1"/>
    <col min="8154" max="8154" width="11.375" style="1" bestFit="1" customWidth="1"/>
    <col min="8155" max="8156" width="14.125" style="1" bestFit="1" customWidth="1"/>
    <col min="8157" max="8157" width="11.375" style="1" bestFit="1" customWidth="1"/>
    <col min="8158" max="8160" width="12.5" style="1" bestFit="1" customWidth="1"/>
    <col min="8161" max="8161" width="11" style="1" bestFit="1" customWidth="1"/>
    <col min="8162" max="8180" width="13" style="1" bestFit="1" customWidth="1"/>
    <col min="8181" max="8184" width="11" style="1" bestFit="1" customWidth="1"/>
    <col min="8185" max="8187" width="12.25" style="1" bestFit="1" customWidth="1"/>
    <col min="8188" max="8200" width="11" style="1" bestFit="1" customWidth="1"/>
    <col min="8201" max="8201" width="13.25" style="1" bestFit="1" customWidth="1"/>
    <col min="8202" max="8202" width="10" style="1" bestFit="1" customWidth="1"/>
    <col min="8203" max="8203" width="11" style="1" bestFit="1" customWidth="1"/>
    <col min="8204" max="8407" width="9" style="1"/>
    <col min="8408" max="8408" width="2.875" style="1" bestFit="1" customWidth="1"/>
    <col min="8409" max="8409" width="17.625" style="1" bestFit="1" customWidth="1"/>
    <col min="8410" max="8410" width="11.375" style="1" bestFit="1" customWidth="1"/>
    <col min="8411" max="8412" width="14.125" style="1" bestFit="1" customWidth="1"/>
    <col min="8413" max="8413" width="11.375" style="1" bestFit="1" customWidth="1"/>
    <col min="8414" max="8416" width="12.5" style="1" bestFit="1" customWidth="1"/>
    <col min="8417" max="8417" width="11" style="1" bestFit="1" customWidth="1"/>
    <col min="8418" max="8436" width="13" style="1" bestFit="1" customWidth="1"/>
    <col min="8437" max="8440" width="11" style="1" bestFit="1" customWidth="1"/>
    <col min="8441" max="8443" width="12.25" style="1" bestFit="1" customWidth="1"/>
    <col min="8444" max="8456" width="11" style="1" bestFit="1" customWidth="1"/>
    <col min="8457" max="8457" width="13.25" style="1" bestFit="1" customWidth="1"/>
    <col min="8458" max="8458" width="10" style="1" bestFit="1" customWidth="1"/>
    <col min="8459" max="8459" width="11" style="1" bestFit="1" customWidth="1"/>
    <col min="8460" max="8663" width="9" style="1"/>
    <col min="8664" max="8664" width="2.875" style="1" bestFit="1" customWidth="1"/>
    <col min="8665" max="8665" width="17.625" style="1" bestFit="1" customWidth="1"/>
    <col min="8666" max="8666" width="11.375" style="1" bestFit="1" customWidth="1"/>
    <col min="8667" max="8668" width="14.125" style="1" bestFit="1" customWidth="1"/>
    <col min="8669" max="8669" width="11.375" style="1" bestFit="1" customWidth="1"/>
    <col min="8670" max="8672" width="12.5" style="1" bestFit="1" customWidth="1"/>
    <col min="8673" max="8673" width="11" style="1" bestFit="1" customWidth="1"/>
    <col min="8674" max="8692" width="13" style="1" bestFit="1" customWidth="1"/>
    <col min="8693" max="8696" width="11" style="1" bestFit="1" customWidth="1"/>
    <col min="8697" max="8699" width="12.25" style="1" bestFit="1" customWidth="1"/>
    <col min="8700" max="8712" width="11" style="1" bestFit="1" customWidth="1"/>
    <col min="8713" max="8713" width="13.25" style="1" bestFit="1" customWidth="1"/>
    <col min="8714" max="8714" width="10" style="1" bestFit="1" customWidth="1"/>
    <col min="8715" max="8715" width="11" style="1" bestFit="1" customWidth="1"/>
    <col min="8716" max="8919" width="9" style="1"/>
    <col min="8920" max="8920" width="2.875" style="1" bestFit="1" customWidth="1"/>
    <col min="8921" max="8921" width="17.625" style="1" bestFit="1" customWidth="1"/>
    <col min="8922" max="8922" width="11.375" style="1" bestFit="1" customWidth="1"/>
    <col min="8923" max="8924" width="14.125" style="1" bestFit="1" customWidth="1"/>
    <col min="8925" max="8925" width="11.375" style="1" bestFit="1" customWidth="1"/>
    <col min="8926" max="8928" width="12.5" style="1" bestFit="1" customWidth="1"/>
    <col min="8929" max="8929" width="11" style="1" bestFit="1" customWidth="1"/>
    <col min="8930" max="8948" width="13" style="1" bestFit="1" customWidth="1"/>
    <col min="8949" max="8952" width="11" style="1" bestFit="1" customWidth="1"/>
    <col min="8953" max="8955" width="12.25" style="1" bestFit="1" customWidth="1"/>
    <col min="8956" max="8968" width="11" style="1" bestFit="1" customWidth="1"/>
    <col min="8969" max="8969" width="13.25" style="1" bestFit="1" customWidth="1"/>
    <col min="8970" max="8970" width="10" style="1" bestFit="1" customWidth="1"/>
    <col min="8971" max="8971" width="11" style="1" bestFit="1" customWidth="1"/>
    <col min="8972" max="9175" width="9" style="1"/>
    <col min="9176" max="9176" width="2.875" style="1" bestFit="1" customWidth="1"/>
    <col min="9177" max="9177" width="17.625" style="1" bestFit="1" customWidth="1"/>
    <col min="9178" max="9178" width="11.375" style="1" bestFit="1" customWidth="1"/>
    <col min="9179" max="9180" width="14.125" style="1" bestFit="1" customWidth="1"/>
    <col min="9181" max="9181" width="11.375" style="1" bestFit="1" customWidth="1"/>
    <col min="9182" max="9184" width="12.5" style="1" bestFit="1" customWidth="1"/>
    <col min="9185" max="9185" width="11" style="1" bestFit="1" customWidth="1"/>
    <col min="9186" max="9204" width="13" style="1" bestFit="1" customWidth="1"/>
    <col min="9205" max="9208" width="11" style="1" bestFit="1" customWidth="1"/>
    <col min="9209" max="9211" width="12.25" style="1" bestFit="1" customWidth="1"/>
    <col min="9212" max="9224" width="11" style="1" bestFit="1" customWidth="1"/>
    <col min="9225" max="9225" width="13.25" style="1" bestFit="1" customWidth="1"/>
    <col min="9226" max="9226" width="10" style="1" bestFit="1" customWidth="1"/>
    <col min="9227" max="9227" width="11" style="1" bestFit="1" customWidth="1"/>
    <col min="9228" max="9431" width="9" style="1"/>
    <col min="9432" max="9432" width="2.875" style="1" bestFit="1" customWidth="1"/>
    <col min="9433" max="9433" width="17.625" style="1" bestFit="1" customWidth="1"/>
    <col min="9434" max="9434" width="11.375" style="1" bestFit="1" customWidth="1"/>
    <col min="9435" max="9436" width="14.125" style="1" bestFit="1" customWidth="1"/>
    <col min="9437" max="9437" width="11.375" style="1" bestFit="1" customWidth="1"/>
    <col min="9438" max="9440" width="12.5" style="1" bestFit="1" customWidth="1"/>
    <col min="9441" max="9441" width="11" style="1" bestFit="1" customWidth="1"/>
    <col min="9442" max="9460" width="13" style="1" bestFit="1" customWidth="1"/>
    <col min="9461" max="9464" width="11" style="1" bestFit="1" customWidth="1"/>
    <col min="9465" max="9467" width="12.25" style="1" bestFit="1" customWidth="1"/>
    <col min="9468" max="9480" width="11" style="1" bestFit="1" customWidth="1"/>
    <col min="9481" max="9481" width="13.25" style="1" bestFit="1" customWidth="1"/>
    <col min="9482" max="9482" width="10" style="1" bestFit="1" customWidth="1"/>
    <col min="9483" max="9483" width="11" style="1" bestFit="1" customWidth="1"/>
    <col min="9484" max="9687" width="9" style="1"/>
    <col min="9688" max="9688" width="2.875" style="1" bestFit="1" customWidth="1"/>
    <col min="9689" max="9689" width="17.625" style="1" bestFit="1" customWidth="1"/>
    <col min="9690" max="9690" width="11.375" style="1" bestFit="1" customWidth="1"/>
    <col min="9691" max="9692" width="14.125" style="1" bestFit="1" customWidth="1"/>
    <col min="9693" max="9693" width="11.375" style="1" bestFit="1" customWidth="1"/>
    <col min="9694" max="9696" width="12.5" style="1" bestFit="1" customWidth="1"/>
    <col min="9697" max="9697" width="11" style="1" bestFit="1" customWidth="1"/>
    <col min="9698" max="9716" width="13" style="1" bestFit="1" customWidth="1"/>
    <col min="9717" max="9720" width="11" style="1" bestFit="1" customWidth="1"/>
    <col min="9721" max="9723" width="12.25" style="1" bestFit="1" customWidth="1"/>
    <col min="9724" max="9736" width="11" style="1" bestFit="1" customWidth="1"/>
    <col min="9737" max="9737" width="13.25" style="1" bestFit="1" customWidth="1"/>
    <col min="9738" max="9738" width="10" style="1" bestFit="1" customWidth="1"/>
    <col min="9739" max="9739" width="11" style="1" bestFit="1" customWidth="1"/>
    <col min="9740" max="9943" width="9" style="1"/>
    <col min="9944" max="9944" width="2.875" style="1" bestFit="1" customWidth="1"/>
    <col min="9945" max="9945" width="17.625" style="1" bestFit="1" customWidth="1"/>
    <col min="9946" max="9946" width="11.375" style="1" bestFit="1" customWidth="1"/>
    <col min="9947" max="9948" width="14.125" style="1" bestFit="1" customWidth="1"/>
    <col min="9949" max="9949" width="11.375" style="1" bestFit="1" customWidth="1"/>
    <col min="9950" max="9952" width="12.5" style="1" bestFit="1" customWidth="1"/>
    <col min="9953" max="9953" width="11" style="1" bestFit="1" customWidth="1"/>
    <col min="9954" max="9972" width="13" style="1" bestFit="1" customWidth="1"/>
    <col min="9973" max="9976" width="11" style="1" bestFit="1" customWidth="1"/>
    <col min="9977" max="9979" width="12.25" style="1" bestFit="1" customWidth="1"/>
    <col min="9980" max="9992" width="11" style="1" bestFit="1" customWidth="1"/>
    <col min="9993" max="9993" width="13.25" style="1" bestFit="1" customWidth="1"/>
    <col min="9994" max="9994" width="10" style="1" bestFit="1" customWidth="1"/>
    <col min="9995" max="9995" width="11" style="1" bestFit="1" customWidth="1"/>
    <col min="9996" max="10199" width="9" style="1"/>
    <col min="10200" max="10200" width="2.875" style="1" bestFit="1" customWidth="1"/>
    <col min="10201" max="10201" width="17.625" style="1" bestFit="1" customWidth="1"/>
    <col min="10202" max="10202" width="11.375" style="1" bestFit="1" customWidth="1"/>
    <col min="10203" max="10204" width="14.125" style="1" bestFit="1" customWidth="1"/>
    <col min="10205" max="10205" width="11.375" style="1" bestFit="1" customWidth="1"/>
    <col min="10206" max="10208" width="12.5" style="1" bestFit="1" customWidth="1"/>
    <col min="10209" max="10209" width="11" style="1" bestFit="1" customWidth="1"/>
    <col min="10210" max="10228" width="13" style="1" bestFit="1" customWidth="1"/>
    <col min="10229" max="10232" width="11" style="1" bestFit="1" customWidth="1"/>
    <col min="10233" max="10235" width="12.25" style="1" bestFit="1" customWidth="1"/>
    <col min="10236" max="10248" width="11" style="1" bestFit="1" customWidth="1"/>
    <col min="10249" max="10249" width="13.25" style="1" bestFit="1" customWidth="1"/>
    <col min="10250" max="10250" width="10" style="1" bestFit="1" customWidth="1"/>
    <col min="10251" max="10251" width="11" style="1" bestFit="1" customWidth="1"/>
    <col min="10252" max="10455" width="9" style="1"/>
    <col min="10456" max="10456" width="2.875" style="1" bestFit="1" customWidth="1"/>
    <col min="10457" max="10457" width="17.625" style="1" bestFit="1" customWidth="1"/>
    <col min="10458" max="10458" width="11.375" style="1" bestFit="1" customWidth="1"/>
    <col min="10459" max="10460" width="14.125" style="1" bestFit="1" customWidth="1"/>
    <col min="10461" max="10461" width="11.375" style="1" bestFit="1" customWidth="1"/>
    <col min="10462" max="10464" width="12.5" style="1" bestFit="1" customWidth="1"/>
    <col min="10465" max="10465" width="11" style="1" bestFit="1" customWidth="1"/>
    <col min="10466" max="10484" width="13" style="1" bestFit="1" customWidth="1"/>
    <col min="10485" max="10488" width="11" style="1" bestFit="1" customWidth="1"/>
    <col min="10489" max="10491" width="12.25" style="1" bestFit="1" customWidth="1"/>
    <col min="10492" max="10504" width="11" style="1" bestFit="1" customWidth="1"/>
    <col min="10505" max="10505" width="13.25" style="1" bestFit="1" customWidth="1"/>
    <col min="10506" max="10506" width="10" style="1" bestFit="1" customWidth="1"/>
    <col min="10507" max="10507" width="11" style="1" bestFit="1" customWidth="1"/>
    <col min="10508" max="10711" width="9" style="1"/>
    <col min="10712" max="10712" width="2.875" style="1" bestFit="1" customWidth="1"/>
    <col min="10713" max="10713" width="17.625" style="1" bestFit="1" customWidth="1"/>
    <col min="10714" max="10714" width="11.375" style="1" bestFit="1" customWidth="1"/>
    <col min="10715" max="10716" width="14.125" style="1" bestFit="1" customWidth="1"/>
    <col min="10717" max="10717" width="11.375" style="1" bestFit="1" customWidth="1"/>
    <col min="10718" max="10720" width="12.5" style="1" bestFit="1" customWidth="1"/>
    <col min="10721" max="10721" width="11" style="1" bestFit="1" customWidth="1"/>
    <col min="10722" max="10740" width="13" style="1" bestFit="1" customWidth="1"/>
    <col min="10741" max="10744" width="11" style="1" bestFit="1" customWidth="1"/>
    <col min="10745" max="10747" width="12.25" style="1" bestFit="1" customWidth="1"/>
    <col min="10748" max="10760" width="11" style="1" bestFit="1" customWidth="1"/>
    <col min="10761" max="10761" width="13.25" style="1" bestFit="1" customWidth="1"/>
    <col min="10762" max="10762" width="10" style="1" bestFit="1" customWidth="1"/>
    <col min="10763" max="10763" width="11" style="1" bestFit="1" customWidth="1"/>
    <col min="10764" max="10967" width="9" style="1"/>
    <col min="10968" max="10968" width="2.875" style="1" bestFit="1" customWidth="1"/>
    <col min="10969" max="10969" width="17.625" style="1" bestFit="1" customWidth="1"/>
    <col min="10970" max="10970" width="11.375" style="1" bestFit="1" customWidth="1"/>
    <col min="10971" max="10972" width="14.125" style="1" bestFit="1" customWidth="1"/>
    <col min="10973" max="10973" width="11.375" style="1" bestFit="1" customWidth="1"/>
    <col min="10974" max="10976" width="12.5" style="1" bestFit="1" customWidth="1"/>
    <col min="10977" max="10977" width="11" style="1" bestFit="1" customWidth="1"/>
    <col min="10978" max="10996" width="13" style="1" bestFit="1" customWidth="1"/>
    <col min="10997" max="11000" width="11" style="1" bestFit="1" customWidth="1"/>
    <col min="11001" max="11003" width="12.25" style="1" bestFit="1" customWidth="1"/>
    <col min="11004" max="11016" width="11" style="1" bestFit="1" customWidth="1"/>
    <col min="11017" max="11017" width="13.25" style="1" bestFit="1" customWidth="1"/>
    <col min="11018" max="11018" width="10" style="1" bestFit="1" customWidth="1"/>
    <col min="11019" max="11019" width="11" style="1" bestFit="1" customWidth="1"/>
    <col min="11020" max="11223" width="9" style="1"/>
    <col min="11224" max="11224" width="2.875" style="1" bestFit="1" customWidth="1"/>
    <col min="11225" max="11225" width="17.625" style="1" bestFit="1" customWidth="1"/>
    <col min="11226" max="11226" width="11.375" style="1" bestFit="1" customWidth="1"/>
    <col min="11227" max="11228" width="14.125" style="1" bestFit="1" customWidth="1"/>
    <col min="11229" max="11229" width="11.375" style="1" bestFit="1" customWidth="1"/>
    <col min="11230" max="11232" width="12.5" style="1" bestFit="1" customWidth="1"/>
    <col min="11233" max="11233" width="11" style="1" bestFit="1" customWidth="1"/>
    <col min="11234" max="11252" width="13" style="1" bestFit="1" customWidth="1"/>
    <col min="11253" max="11256" width="11" style="1" bestFit="1" customWidth="1"/>
    <col min="11257" max="11259" width="12.25" style="1" bestFit="1" customWidth="1"/>
    <col min="11260" max="11272" width="11" style="1" bestFit="1" customWidth="1"/>
    <col min="11273" max="11273" width="13.25" style="1" bestFit="1" customWidth="1"/>
    <col min="11274" max="11274" width="10" style="1" bestFit="1" customWidth="1"/>
    <col min="11275" max="11275" width="11" style="1" bestFit="1" customWidth="1"/>
    <col min="11276" max="11479" width="9" style="1"/>
    <col min="11480" max="11480" width="2.875" style="1" bestFit="1" customWidth="1"/>
    <col min="11481" max="11481" width="17.625" style="1" bestFit="1" customWidth="1"/>
    <col min="11482" max="11482" width="11.375" style="1" bestFit="1" customWidth="1"/>
    <col min="11483" max="11484" width="14.125" style="1" bestFit="1" customWidth="1"/>
    <col min="11485" max="11485" width="11.375" style="1" bestFit="1" customWidth="1"/>
    <col min="11486" max="11488" width="12.5" style="1" bestFit="1" customWidth="1"/>
    <col min="11489" max="11489" width="11" style="1" bestFit="1" customWidth="1"/>
    <col min="11490" max="11508" width="13" style="1" bestFit="1" customWidth="1"/>
    <col min="11509" max="11512" width="11" style="1" bestFit="1" customWidth="1"/>
    <col min="11513" max="11515" width="12.25" style="1" bestFit="1" customWidth="1"/>
    <col min="11516" max="11528" width="11" style="1" bestFit="1" customWidth="1"/>
    <col min="11529" max="11529" width="13.25" style="1" bestFit="1" customWidth="1"/>
    <col min="11530" max="11530" width="10" style="1" bestFit="1" customWidth="1"/>
    <col min="11531" max="11531" width="11" style="1" bestFit="1" customWidth="1"/>
    <col min="11532" max="11735" width="9" style="1"/>
    <col min="11736" max="11736" width="2.875" style="1" bestFit="1" customWidth="1"/>
    <col min="11737" max="11737" width="17.625" style="1" bestFit="1" customWidth="1"/>
    <col min="11738" max="11738" width="11.375" style="1" bestFit="1" customWidth="1"/>
    <col min="11739" max="11740" width="14.125" style="1" bestFit="1" customWidth="1"/>
    <col min="11741" max="11741" width="11.375" style="1" bestFit="1" customWidth="1"/>
    <col min="11742" max="11744" width="12.5" style="1" bestFit="1" customWidth="1"/>
    <col min="11745" max="11745" width="11" style="1" bestFit="1" customWidth="1"/>
    <col min="11746" max="11764" width="13" style="1" bestFit="1" customWidth="1"/>
    <col min="11765" max="11768" width="11" style="1" bestFit="1" customWidth="1"/>
    <col min="11769" max="11771" width="12.25" style="1" bestFit="1" customWidth="1"/>
    <col min="11772" max="11784" width="11" style="1" bestFit="1" customWidth="1"/>
    <col min="11785" max="11785" width="13.25" style="1" bestFit="1" customWidth="1"/>
    <col min="11786" max="11786" width="10" style="1" bestFit="1" customWidth="1"/>
    <col min="11787" max="11787" width="11" style="1" bestFit="1" customWidth="1"/>
    <col min="11788" max="11991" width="9" style="1"/>
    <col min="11992" max="11992" width="2.875" style="1" bestFit="1" customWidth="1"/>
    <col min="11993" max="11993" width="17.625" style="1" bestFit="1" customWidth="1"/>
    <col min="11994" max="11994" width="11.375" style="1" bestFit="1" customWidth="1"/>
    <col min="11995" max="11996" width="14.125" style="1" bestFit="1" customWidth="1"/>
    <col min="11997" max="11997" width="11.375" style="1" bestFit="1" customWidth="1"/>
    <col min="11998" max="12000" width="12.5" style="1" bestFit="1" customWidth="1"/>
    <col min="12001" max="12001" width="11" style="1" bestFit="1" customWidth="1"/>
    <col min="12002" max="12020" width="13" style="1" bestFit="1" customWidth="1"/>
    <col min="12021" max="12024" width="11" style="1" bestFit="1" customWidth="1"/>
    <col min="12025" max="12027" width="12.25" style="1" bestFit="1" customWidth="1"/>
    <col min="12028" max="12040" width="11" style="1" bestFit="1" customWidth="1"/>
    <col min="12041" max="12041" width="13.25" style="1" bestFit="1" customWidth="1"/>
    <col min="12042" max="12042" width="10" style="1" bestFit="1" customWidth="1"/>
    <col min="12043" max="12043" width="11" style="1" bestFit="1" customWidth="1"/>
    <col min="12044" max="12247" width="9" style="1"/>
    <col min="12248" max="12248" width="2.875" style="1" bestFit="1" customWidth="1"/>
    <col min="12249" max="12249" width="17.625" style="1" bestFit="1" customWidth="1"/>
    <col min="12250" max="12250" width="11.375" style="1" bestFit="1" customWidth="1"/>
    <col min="12251" max="12252" width="14.125" style="1" bestFit="1" customWidth="1"/>
    <col min="12253" max="12253" width="11.375" style="1" bestFit="1" customWidth="1"/>
    <col min="12254" max="12256" width="12.5" style="1" bestFit="1" customWidth="1"/>
    <col min="12257" max="12257" width="11" style="1" bestFit="1" customWidth="1"/>
    <col min="12258" max="12276" width="13" style="1" bestFit="1" customWidth="1"/>
    <col min="12277" max="12280" width="11" style="1" bestFit="1" customWidth="1"/>
    <col min="12281" max="12283" width="12.25" style="1" bestFit="1" customWidth="1"/>
    <col min="12284" max="12296" width="11" style="1" bestFit="1" customWidth="1"/>
    <col min="12297" max="12297" width="13.25" style="1" bestFit="1" customWidth="1"/>
    <col min="12298" max="12298" width="10" style="1" bestFit="1" customWidth="1"/>
    <col min="12299" max="12299" width="11" style="1" bestFit="1" customWidth="1"/>
    <col min="12300" max="12503" width="9" style="1"/>
    <col min="12504" max="12504" width="2.875" style="1" bestFit="1" customWidth="1"/>
    <col min="12505" max="12505" width="17.625" style="1" bestFit="1" customWidth="1"/>
    <col min="12506" max="12506" width="11.375" style="1" bestFit="1" customWidth="1"/>
    <col min="12507" max="12508" width="14.125" style="1" bestFit="1" customWidth="1"/>
    <col min="12509" max="12509" width="11.375" style="1" bestFit="1" customWidth="1"/>
    <col min="12510" max="12512" width="12.5" style="1" bestFit="1" customWidth="1"/>
    <col min="12513" max="12513" width="11" style="1" bestFit="1" customWidth="1"/>
    <col min="12514" max="12532" width="13" style="1" bestFit="1" customWidth="1"/>
    <col min="12533" max="12536" width="11" style="1" bestFit="1" customWidth="1"/>
    <col min="12537" max="12539" width="12.25" style="1" bestFit="1" customWidth="1"/>
    <col min="12540" max="12552" width="11" style="1" bestFit="1" customWidth="1"/>
    <col min="12553" max="12553" width="13.25" style="1" bestFit="1" customWidth="1"/>
    <col min="12554" max="12554" width="10" style="1" bestFit="1" customWidth="1"/>
    <col min="12555" max="12555" width="11" style="1" bestFit="1" customWidth="1"/>
    <col min="12556" max="12759" width="9" style="1"/>
    <col min="12760" max="12760" width="2.875" style="1" bestFit="1" customWidth="1"/>
    <col min="12761" max="12761" width="17.625" style="1" bestFit="1" customWidth="1"/>
    <col min="12762" max="12762" width="11.375" style="1" bestFit="1" customWidth="1"/>
    <col min="12763" max="12764" width="14.125" style="1" bestFit="1" customWidth="1"/>
    <col min="12765" max="12765" width="11.375" style="1" bestFit="1" customWidth="1"/>
    <col min="12766" max="12768" width="12.5" style="1" bestFit="1" customWidth="1"/>
    <col min="12769" max="12769" width="11" style="1" bestFit="1" customWidth="1"/>
    <col min="12770" max="12788" width="13" style="1" bestFit="1" customWidth="1"/>
    <col min="12789" max="12792" width="11" style="1" bestFit="1" customWidth="1"/>
    <col min="12793" max="12795" width="12.25" style="1" bestFit="1" customWidth="1"/>
    <col min="12796" max="12808" width="11" style="1" bestFit="1" customWidth="1"/>
    <col min="12809" max="12809" width="13.25" style="1" bestFit="1" customWidth="1"/>
    <col min="12810" max="12810" width="10" style="1" bestFit="1" customWidth="1"/>
    <col min="12811" max="12811" width="11" style="1" bestFit="1" customWidth="1"/>
    <col min="12812" max="13015" width="9" style="1"/>
    <col min="13016" max="13016" width="2.875" style="1" bestFit="1" customWidth="1"/>
    <col min="13017" max="13017" width="17.625" style="1" bestFit="1" customWidth="1"/>
    <col min="13018" max="13018" width="11.375" style="1" bestFit="1" customWidth="1"/>
    <col min="13019" max="13020" width="14.125" style="1" bestFit="1" customWidth="1"/>
    <col min="13021" max="13021" width="11.375" style="1" bestFit="1" customWidth="1"/>
    <col min="13022" max="13024" width="12.5" style="1" bestFit="1" customWidth="1"/>
    <col min="13025" max="13025" width="11" style="1" bestFit="1" customWidth="1"/>
    <col min="13026" max="13044" width="13" style="1" bestFit="1" customWidth="1"/>
    <col min="13045" max="13048" width="11" style="1" bestFit="1" customWidth="1"/>
    <col min="13049" max="13051" width="12.25" style="1" bestFit="1" customWidth="1"/>
    <col min="13052" max="13064" width="11" style="1" bestFit="1" customWidth="1"/>
    <col min="13065" max="13065" width="13.25" style="1" bestFit="1" customWidth="1"/>
    <col min="13066" max="13066" width="10" style="1" bestFit="1" customWidth="1"/>
    <col min="13067" max="13067" width="11" style="1" bestFit="1" customWidth="1"/>
    <col min="13068" max="13271" width="9" style="1"/>
    <col min="13272" max="13272" width="2.875" style="1" bestFit="1" customWidth="1"/>
    <col min="13273" max="13273" width="17.625" style="1" bestFit="1" customWidth="1"/>
    <col min="13274" max="13274" width="11.375" style="1" bestFit="1" customWidth="1"/>
    <col min="13275" max="13276" width="14.125" style="1" bestFit="1" customWidth="1"/>
    <col min="13277" max="13277" width="11.375" style="1" bestFit="1" customWidth="1"/>
    <col min="13278" max="13280" width="12.5" style="1" bestFit="1" customWidth="1"/>
    <col min="13281" max="13281" width="11" style="1" bestFit="1" customWidth="1"/>
    <col min="13282" max="13300" width="13" style="1" bestFit="1" customWidth="1"/>
    <col min="13301" max="13304" width="11" style="1" bestFit="1" customWidth="1"/>
    <col min="13305" max="13307" width="12.25" style="1" bestFit="1" customWidth="1"/>
    <col min="13308" max="13320" width="11" style="1" bestFit="1" customWidth="1"/>
    <col min="13321" max="13321" width="13.25" style="1" bestFit="1" customWidth="1"/>
    <col min="13322" max="13322" width="10" style="1" bestFit="1" customWidth="1"/>
    <col min="13323" max="13323" width="11" style="1" bestFit="1" customWidth="1"/>
    <col min="13324" max="13527" width="9" style="1"/>
    <col min="13528" max="13528" width="2.875" style="1" bestFit="1" customWidth="1"/>
    <col min="13529" max="13529" width="17.625" style="1" bestFit="1" customWidth="1"/>
    <col min="13530" max="13530" width="11.375" style="1" bestFit="1" customWidth="1"/>
    <col min="13531" max="13532" width="14.125" style="1" bestFit="1" customWidth="1"/>
    <col min="13533" max="13533" width="11.375" style="1" bestFit="1" customWidth="1"/>
    <col min="13534" max="13536" width="12.5" style="1" bestFit="1" customWidth="1"/>
    <col min="13537" max="13537" width="11" style="1" bestFit="1" customWidth="1"/>
    <col min="13538" max="13556" width="13" style="1" bestFit="1" customWidth="1"/>
    <col min="13557" max="13560" width="11" style="1" bestFit="1" customWidth="1"/>
    <col min="13561" max="13563" width="12.25" style="1" bestFit="1" customWidth="1"/>
    <col min="13564" max="13576" width="11" style="1" bestFit="1" customWidth="1"/>
    <col min="13577" max="13577" width="13.25" style="1" bestFit="1" customWidth="1"/>
    <col min="13578" max="13578" width="10" style="1" bestFit="1" customWidth="1"/>
    <col min="13579" max="13579" width="11" style="1" bestFit="1" customWidth="1"/>
    <col min="13580" max="13783" width="9" style="1"/>
    <col min="13784" max="13784" width="2.875" style="1" bestFit="1" customWidth="1"/>
    <col min="13785" max="13785" width="17.625" style="1" bestFit="1" customWidth="1"/>
    <col min="13786" max="13786" width="11.375" style="1" bestFit="1" customWidth="1"/>
    <col min="13787" max="13788" width="14.125" style="1" bestFit="1" customWidth="1"/>
    <col min="13789" max="13789" width="11.375" style="1" bestFit="1" customWidth="1"/>
    <col min="13790" max="13792" width="12.5" style="1" bestFit="1" customWidth="1"/>
    <col min="13793" max="13793" width="11" style="1" bestFit="1" customWidth="1"/>
    <col min="13794" max="13812" width="13" style="1" bestFit="1" customWidth="1"/>
    <col min="13813" max="13816" width="11" style="1" bestFit="1" customWidth="1"/>
    <col min="13817" max="13819" width="12.25" style="1" bestFit="1" customWidth="1"/>
    <col min="13820" max="13832" width="11" style="1" bestFit="1" customWidth="1"/>
    <col min="13833" max="13833" width="13.25" style="1" bestFit="1" customWidth="1"/>
    <col min="13834" max="13834" width="10" style="1" bestFit="1" customWidth="1"/>
    <col min="13835" max="13835" width="11" style="1" bestFit="1" customWidth="1"/>
    <col min="13836" max="14039" width="9" style="1"/>
    <col min="14040" max="14040" width="2.875" style="1" bestFit="1" customWidth="1"/>
    <col min="14041" max="14041" width="17.625" style="1" bestFit="1" customWidth="1"/>
    <col min="14042" max="14042" width="11.375" style="1" bestFit="1" customWidth="1"/>
    <col min="14043" max="14044" width="14.125" style="1" bestFit="1" customWidth="1"/>
    <col min="14045" max="14045" width="11.375" style="1" bestFit="1" customWidth="1"/>
    <col min="14046" max="14048" width="12.5" style="1" bestFit="1" customWidth="1"/>
    <col min="14049" max="14049" width="11" style="1" bestFit="1" customWidth="1"/>
    <col min="14050" max="14068" width="13" style="1" bestFit="1" customWidth="1"/>
    <col min="14069" max="14072" width="11" style="1" bestFit="1" customWidth="1"/>
    <col min="14073" max="14075" width="12.25" style="1" bestFit="1" customWidth="1"/>
    <col min="14076" max="14088" width="11" style="1" bestFit="1" customWidth="1"/>
    <col min="14089" max="14089" width="13.25" style="1" bestFit="1" customWidth="1"/>
    <col min="14090" max="14090" width="10" style="1" bestFit="1" customWidth="1"/>
    <col min="14091" max="14091" width="11" style="1" bestFit="1" customWidth="1"/>
    <col min="14092" max="14295" width="9" style="1"/>
    <col min="14296" max="14296" width="2.875" style="1" bestFit="1" customWidth="1"/>
    <col min="14297" max="14297" width="17.625" style="1" bestFit="1" customWidth="1"/>
    <col min="14298" max="14298" width="11.375" style="1" bestFit="1" customWidth="1"/>
    <col min="14299" max="14300" width="14.125" style="1" bestFit="1" customWidth="1"/>
    <col min="14301" max="14301" width="11.375" style="1" bestFit="1" customWidth="1"/>
    <col min="14302" max="14304" width="12.5" style="1" bestFit="1" customWidth="1"/>
    <col min="14305" max="14305" width="11" style="1" bestFit="1" customWidth="1"/>
    <col min="14306" max="14324" width="13" style="1" bestFit="1" customWidth="1"/>
    <col min="14325" max="14328" width="11" style="1" bestFit="1" customWidth="1"/>
    <col min="14329" max="14331" width="12.25" style="1" bestFit="1" customWidth="1"/>
    <col min="14332" max="14344" width="11" style="1" bestFit="1" customWidth="1"/>
    <col min="14345" max="14345" width="13.25" style="1" bestFit="1" customWidth="1"/>
    <col min="14346" max="14346" width="10" style="1" bestFit="1" customWidth="1"/>
    <col min="14347" max="14347" width="11" style="1" bestFit="1" customWidth="1"/>
    <col min="14348" max="14551" width="9" style="1"/>
    <col min="14552" max="14552" width="2.875" style="1" bestFit="1" customWidth="1"/>
    <col min="14553" max="14553" width="17.625" style="1" bestFit="1" customWidth="1"/>
    <col min="14554" max="14554" width="11.375" style="1" bestFit="1" customWidth="1"/>
    <col min="14555" max="14556" width="14.125" style="1" bestFit="1" customWidth="1"/>
    <col min="14557" max="14557" width="11.375" style="1" bestFit="1" customWidth="1"/>
    <col min="14558" max="14560" width="12.5" style="1" bestFit="1" customWidth="1"/>
    <col min="14561" max="14561" width="11" style="1" bestFit="1" customWidth="1"/>
    <col min="14562" max="14580" width="13" style="1" bestFit="1" customWidth="1"/>
    <col min="14581" max="14584" width="11" style="1" bestFit="1" customWidth="1"/>
    <col min="14585" max="14587" width="12.25" style="1" bestFit="1" customWidth="1"/>
    <col min="14588" max="14600" width="11" style="1" bestFit="1" customWidth="1"/>
    <col min="14601" max="14601" width="13.25" style="1" bestFit="1" customWidth="1"/>
    <col min="14602" max="14602" width="10" style="1" bestFit="1" customWidth="1"/>
    <col min="14603" max="14603" width="11" style="1" bestFit="1" customWidth="1"/>
    <col min="14604" max="14807" width="9" style="1"/>
    <col min="14808" max="14808" width="2.875" style="1" bestFit="1" customWidth="1"/>
    <col min="14809" max="14809" width="17.625" style="1" bestFit="1" customWidth="1"/>
    <col min="14810" max="14810" width="11.375" style="1" bestFit="1" customWidth="1"/>
    <col min="14811" max="14812" width="14.125" style="1" bestFit="1" customWidth="1"/>
    <col min="14813" max="14813" width="11.375" style="1" bestFit="1" customWidth="1"/>
    <col min="14814" max="14816" width="12.5" style="1" bestFit="1" customWidth="1"/>
    <col min="14817" max="14817" width="11" style="1" bestFit="1" customWidth="1"/>
    <col min="14818" max="14836" width="13" style="1" bestFit="1" customWidth="1"/>
    <col min="14837" max="14840" width="11" style="1" bestFit="1" customWidth="1"/>
    <col min="14841" max="14843" width="12.25" style="1" bestFit="1" customWidth="1"/>
    <col min="14844" max="14856" width="11" style="1" bestFit="1" customWidth="1"/>
    <col min="14857" max="14857" width="13.25" style="1" bestFit="1" customWidth="1"/>
    <col min="14858" max="14858" width="10" style="1" bestFit="1" customWidth="1"/>
    <col min="14859" max="14859" width="11" style="1" bestFit="1" customWidth="1"/>
    <col min="14860" max="15063" width="9" style="1"/>
    <col min="15064" max="15064" width="2.875" style="1" bestFit="1" customWidth="1"/>
    <col min="15065" max="15065" width="17.625" style="1" bestFit="1" customWidth="1"/>
    <col min="15066" max="15066" width="11.375" style="1" bestFit="1" customWidth="1"/>
    <col min="15067" max="15068" width="14.125" style="1" bestFit="1" customWidth="1"/>
    <col min="15069" max="15069" width="11.375" style="1" bestFit="1" customWidth="1"/>
    <col min="15070" max="15072" width="12.5" style="1" bestFit="1" customWidth="1"/>
    <col min="15073" max="15073" width="11" style="1" bestFit="1" customWidth="1"/>
    <col min="15074" max="15092" width="13" style="1" bestFit="1" customWidth="1"/>
    <col min="15093" max="15096" width="11" style="1" bestFit="1" customWidth="1"/>
    <col min="15097" max="15099" width="12.25" style="1" bestFit="1" customWidth="1"/>
    <col min="15100" max="15112" width="11" style="1" bestFit="1" customWidth="1"/>
    <col min="15113" max="15113" width="13.25" style="1" bestFit="1" customWidth="1"/>
    <col min="15114" max="15114" width="10" style="1" bestFit="1" customWidth="1"/>
    <col min="15115" max="15115" width="11" style="1" bestFit="1" customWidth="1"/>
    <col min="15116" max="15319" width="9" style="1"/>
    <col min="15320" max="15320" width="2.875" style="1" bestFit="1" customWidth="1"/>
    <col min="15321" max="15321" width="17.625" style="1" bestFit="1" customWidth="1"/>
    <col min="15322" max="15322" width="11.375" style="1" bestFit="1" customWidth="1"/>
    <col min="15323" max="15324" width="14.125" style="1" bestFit="1" customWidth="1"/>
    <col min="15325" max="15325" width="11.375" style="1" bestFit="1" customWidth="1"/>
    <col min="15326" max="15328" width="12.5" style="1" bestFit="1" customWidth="1"/>
    <col min="15329" max="15329" width="11" style="1" bestFit="1" customWidth="1"/>
    <col min="15330" max="15348" width="13" style="1" bestFit="1" customWidth="1"/>
    <col min="15349" max="15352" width="11" style="1" bestFit="1" customWidth="1"/>
    <col min="15353" max="15355" width="12.25" style="1" bestFit="1" customWidth="1"/>
    <col min="15356" max="15368" width="11" style="1" bestFit="1" customWidth="1"/>
    <col min="15369" max="15369" width="13.25" style="1" bestFit="1" customWidth="1"/>
    <col min="15370" max="15370" width="10" style="1" bestFit="1" customWidth="1"/>
    <col min="15371" max="15371" width="11" style="1" bestFit="1" customWidth="1"/>
    <col min="15372" max="15575" width="9" style="1"/>
    <col min="15576" max="15576" width="2.875" style="1" bestFit="1" customWidth="1"/>
    <col min="15577" max="15577" width="17.625" style="1" bestFit="1" customWidth="1"/>
    <col min="15578" max="15578" width="11.375" style="1" bestFit="1" customWidth="1"/>
    <col min="15579" max="15580" width="14.125" style="1" bestFit="1" customWidth="1"/>
    <col min="15581" max="15581" width="11.375" style="1" bestFit="1" customWidth="1"/>
    <col min="15582" max="15584" width="12.5" style="1" bestFit="1" customWidth="1"/>
    <col min="15585" max="15585" width="11" style="1" bestFit="1" customWidth="1"/>
    <col min="15586" max="15604" width="13" style="1" bestFit="1" customWidth="1"/>
    <col min="15605" max="15608" width="11" style="1" bestFit="1" customWidth="1"/>
    <col min="15609" max="15611" width="12.25" style="1" bestFit="1" customWidth="1"/>
    <col min="15612" max="15624" width="11" style="1" bestFit="1" customWidth="1"/>
    <col min="15625" max="15625" width="13.25" style="1" bestFit="1" customWidth="1"/>
    <col min="15626" max="15626" width="10" style="1" bestFit="1" customWidth="1"/>
    <col min="15627" max="15627" width="11" style="1" bestFit="1" customWidth="1"/>
    <col min="15628" max="15831" width="9" style="1"/>
    <col min="15832" max="15832" width="2.875" style="1" bestFit="1" customWidth="1"/>
    <col min="15833" max="15833" width="17.625" style="1" bestFit="1" customWidth="1"/>
    <col min="15834" max="15834" width="11.375" style="1" bestFit="1" customWidth="1"/>
    <col min="15835" max="15836" width="14.125" style="1" bestFit="1" customWidth="1"/>
    <col min="15837" max="15837" width="11.375" style="1" bestFit="1" customWidth="1"/>
    <col min="15838" max="15840" width="12.5" style="1" bestFit="1" customWidth="1"/>
    <col min="15841" max="15841" width="11" style="1" bestFit="1" customWidth="1"/>
    <col min="15842" max="15860" width="13" style="1" bestFit="1" customWidth="1"/>
    <col min="15861" max="15864" width="11" style="1" bestFit="1" customWidth="1"/>
    <col min="15865" max="15867" width="12.25" style="1" bestFit="1" customWidth="1"/>
    <col min="15868" max="15880" width="11" style="1" bestFit="1" customWidth="1"/>
    <col min="15881" max="15881" width="13.25" style="1" bestFit="1" customWidth="1"/>
    <col min="15882" max="15882" width="10" style="1" bestFit="1" customWidth="1"/>
    <col min="15883" max="15883" width="11" style="1" bestFit="1" customWidth="1"/>
    <col min="15884" max="16087" width="9" style="1"/>
    <col min="16088" max="16088" width="2.875" style="1" bestFit="1" customWidth="1"/>
    <col min="16089" max="16089" width="17.625" style="1" bestFit="1" customWidth="1"/>
    <col min="16090" max="16090" width="11.375" style="1" bestFit="1" customWidth="1"/>
    <col min="16091" max="16092" width="14.125" style="1" bestFit="1" customWidth="1"/>
    <col min="16093" max="16093" width="11.375" style="1" bestFit="1" customWidth="1"/>
    <col min="16094" max="16096" width="12.5" style="1" bestFit="1" customWidth="1"/>
    <col min="16097" max="16097" width="11" style="1" bestFit="1" customWidth="1"/>
    <col min="16098" max="16116" width="13" style="1" bestFit="1" customWidth="1"/>
    <col min="16117" max="16120" width="11" style="1" bestFit="1" customWidth="1"/>
    <col min="16121" max="16123" width="12.25" style="1" bestFit="1" customWidth="1"/>
    <col min="16124" max="16136" width="11" style="1" bestFit="1" customWidth="1"/>
    <col min="16137" max="16137" width="13.25" style="1" bestFit="1" customWidth="1"/>
    <col min="16138" max="16138" width="10" style="1" bestFit="1" customWidth="1"/>
    <col min="16139" max="16139" width="11" style="1" bestFit="1" customWidth="1"/>
    <col min="16140" max="16384" width="9" style="1"/>
  </cols>
  <sheetData>
    <row r="1" spans="1:11" hidden="1" x14ac:dyDescent="0.15"/>
    <row r="2" spans="1:11" ht="30.75" hidden="1" customHeight="1" x14ac:dyDescent="0.15"/>
    <row r="3" spans="1:11" ht="17.25" x14ac:dyDescent="0.2">
      <c r="A3" s="53">
        <v>45505</v>
      </c>
      <c r="B3" s="53"/>
      <c r="C3" s="45" t="s">
        <v>246</v>
      </c>
    </row>
    <row r="4" spans="1:11" s="5" customFormat="1" ht="10.5" customHeight="1" x14ac:dyDescent="0.15">
      <c r="A4" s="46" t="s">
        <v>0</v>
      </c>
      <c r="B4" s="46"/>
      <c r="C4" s="2" t="s">
        <v>188</v>
      </c>
      <c r="D4" s="2" t="s">
        <v>189</v>
      </c>
      <c r="E4" s="2" t="s">
        <v>33</v>
      </c>
      <c r="F4" s="2" t="s">
        <v>34</v>
      </c>
      <c r="G4" s="2" t="s">
        <v>35</v>
      </c>
      <c r="H4" s="2" t="s">
        <v>36</v>
      </c>
      <c r="I4" s="3" t="s">
        <v>41</v>
      </c>
      <c r="J4" s="3" t="s">
        <v>42</v>
      </c>
      <c r="K4" s="4" t="s">
        <v>43</v>
      </c>
    </row>
    <row r="5" spans="1:11" s="5" customFormat="1" hidden="1" x14ac:dyDescent="0.15">
      <c r="A5" s="50" t="s">
        <v>44</v>
      </c>
      <c r="B5" s="54"/>
      <c r="C5" s="2">
        <v>7</v>
      </c>
      <c r="D5" s="2">
        <v>7</v>
      </c>
      <c r="E5" s="2">
        <v>7</v>
      </c>
      <c r="F5" s="2">
        <v>7</v>
      </c>
      <c r="G5" s="2">
        <v>7</v>
      </c>
      <c r="H5" s="2">
        <v>7</v>
      </c>
      <c r="I5" s="3"/>
      <c r="J5" s="3"/>
      <c r="K5" s="4"/>
    </row>
    <row r="6" spans="1:11" s="5" customFormat="1" hidden="1" x14ac:dyDescent="0.15">
      <c r="A6" s="50" t="s">
        <v>45</v>
      </c>
      <c r="B6" s="54"/>
      <c r="C6" s="2" t="s">
        <v>49</v>
      </c>
      <c r="D6" s="2" t="s">
        <v>49</v>
      </c>
      <c r="E6" s="2" t="s">
        <v>49</v>
      </c>
      <c r="F6" s="2" t="s">
        <v>49</v>
      </c>
      <c r="G6" s="2" t="s">
        <v>49</v>
      </c>
      <c r="H6" s="2" t="s">
        <v>49</v>
      </c>
      <c r="I6" s="3"/>
      <c r="J6" s="3"/>
      <c r="K6" s="4"/>
    </row>
    <row r="7" spans="1:11" s="5" customFormat="1" ht="12" customHeight="1" x14ac:dyDescent="0.15">
      <c r="A7" s="52" t="s">
        <v>51</v>
      </c>
      <c r="B7" s="52"/>
      <c r="C7" s="36" t="s">
        <v>190</v>
      </c>
      <c r="D7" s="36" t="s">
        <v>172</v>
      </c>
      <c r="E7" s="36" t="s">
        <v>191</v>
      </c>
      <c r="F7" s="36" t="s">
        <v>192</v>
      </c>
      <c r="G7" s="36" t="s">
        <v>191</v>
      </c>
      <c r="H7" s="36"/>
      <c r="I7" s="6"/>
      <c r="J7" s="6"/>
      <c r="K7" s="7"/>
    </row>
    <row r="8" spans="1:11" s="5" customFormat="1" ht="12" customHeight="1" x14ac:dyDescent="0.15">
      <c r="A8" s="52" t="s">
        <v>52</v>
      </c>
      <c r="B8" s="52"/>
      <c r="C8" s="36" t="s">
        <v>231</v>
      </c>
      <c r="D8" s="36" t="s">
        <v>232</v>
      </c>
      <c r="E8" s="36" t="s">
        <v>233</v>
      </c>
      <c r="F8" s="36" t="s">
        <v>204</v>
      </c>
      <c r="G8" s="36" t="s">
        <v>234</v>
      </c>
      <c r="H8" s="36"/>
      <c r="I8" s="6"/>
      <c r="J8" s="6"/>
      <c r="K8" s="7"/>
    </row>
    <row r="9" spans="1:11" ht="12" customHeight="1" x14ac:dyDescent="0.15">
      <c r="A9" s="48" t="s">
        <v>53</v>
      </c>
      <c r="B9" s="49"/>
      <c r="C9" s="38">
        <v>14</v>
      </c>
      <c r="D9" s="38">
        <v>14</v>
      </c>
      <c r="E9" s="38">
        <v>8</v>
      </c>
      <c r="F9" s="38">
        <v>8</v>
      </c>
      <c r="G9" s="38">
        <v>8</v>
      </c>
      <c r="H9" s="38"/>
      <c r="I9" s="9">
        <f>SUM(C9:H9)</f>
        <v>52</v>
      </c>
      <c r="J9" s="9"/>
      <c r="K9" s="10"/>
    </row>
    <row r="10" spans="1:11" ht="12.75" customHeight="1" x14ac:dyDescent="0.15">
      <c r="A10" s="46" t="s">
        <v>54</v>
      </c>
      <c r="B10" s="46"/>
      <c r="C10" s="41" t="s">
        <v>64</v>
      </c>
      <c r="D10" s="41" t="s">
        <v>64</v>
      </c>
      <c r="E10" s="41" t="s">
        <v>62</v>
      </c>
      <c r="F10" s="41" t="s">
        <v>62</v>
      </c>
      <c r="G10" s="41" t="s">
        <v>62</v>
      </c>
      <c r="H10" s="41"/>
      <c r="I10" s="12"/>
      <c r="J10" s="12"/>
      <c r="K10" s="13"/>
    </row>
    <row r="11" spans="1:11" ht="12.75" customHeight="1" x14ac:dyDescent="0.15">
      <c r="A11" s="46" t="s">
        <v>65</v>
      </c>
      <c r="B11" s="46"/>
      <c r="C11" s="14">
        <v>3089</v>
      </c>
      <c r="D11" s="14">
        <v>3771.1</v>
      </c>
      <c r="E11" s="14">
        <v>2829</v>
      </c>
      <c r="F11" s="14">
        <v>2502.5</v>
      </c>
      <c r="G11" s="14">
        <v>2520.5</v>
      </c>
      <c r="H11" s="14">
        <v>0</v>
      </c>
      <c r="I11" s="16">
        <f>SUM(C11:H11)</f>
        <v>14712.1</v>
      </c>
      <c r="J11" s="16">
        <f>AVERAGE(C11:H11)</f>
        <v>2452.0166666666669</v>
      </c>
      <c r="K11" s="13"/>
    </row>
    <row r="12" spans="1:11" ht="12.75" customHeight="1" x14ac:dyDescent="0.15">
      <c r="A12" s="50" t="s">
        <v>239</v>
      </c>
      <c r="B12" s="51"/>
      <c r="C12" s="43">
        <v>6.0395833333333337</v>
      </c>
      <c r="D12" s="43">
        <v>6.0444444444444443</v>
      </c>
      <c r="E12" s="43">
        <v>5.7333333333333334</v>
      </c>
      <c r="F12" s="43">
        <v>5.25</v>
      </c>
      <c r="G12" s="43">
        <v>3.7368055555555557</v>
      </c>
      <c r="H12" s="43"/>
      <c r="I12" s="16"/>
      <c r="J12" s="16"/>
      <c r="K12" s="13"/>
    </row>
    <row r="13" spans="1:11" ht="12.75" customHeight="1" x14ac:dyDescent="0.15">
      <c r="A13" s="46" t="s">
        <v>66</v>
      </c>
      <c r="B13" s="46"/>
      <c r="C13" s="14">
        <v>1407600</v>
      </c>
      <c r="D13" s="14">
        <v>1251600</v>
      </c>
      <c r="E13" s="14">
        <v>716687</v>
      </c>
      <c r="F13" s="14">
        <v>683900</v>
      </c>
      <c r="G13" s="14">
        <v>530104</v>
      </c>
      <c r="H13" s="14">
        <v>256690</v>
      </c>
      <c r="I13" s="16">
        <f>SUM(C13:H13)</f>
        <v>4846581</v>
      </c>
      <c r="J13" s="16">
        <f>AVERAGE(C13:H13)</f>
        <v>807763.5</v>
      </c>
      <c r="K13" s="13">
        <f>I13/I13</f>
        <v>1</v>
      </c>
    </row>
    <row r="14" spans="1:11" ht="12.75" customHeight="1" x14ac:dyDescent="0.15">
      <c r="A14" s="50" t="s">
        <v>240</v>
      </c>
      <c r="B14" s="51"/>
      <c r="C14" s="14"/>
      <c r="D14" s="14"/>
      <c r="E14" s="14"/>
      <c r="F14" s="14"/>
      <c r="G14" s="14"/>
      <c r="H14" s="14"/>
      <c r="I14" s="16">
        <f>SUM(C14:H14)</f>
        <v>0</v>
      </c>
      <c r="J14" s="16"/>
      <c r="K14" s="13"/>
    </row>
    <row r="15" spans="1:11" ht="12.75" customHeight="1" x14ac:dyDescent="0.15">
      <c r="A15" s="46" t="s">
        <v>67</v>
      </c>
      <c r="B15" s="46"/>
      <c r="C15" s="14">
        <f t="shared" ref="C15:H15" si="0">SUM(C13/C11)</f>
        <v>455.68145030754289</v>
      </c>
      <c r="D15" s="14">
        <f t="shared" si="0"/>
        <v>331.89255124499482</v>
      </c>
      <c r="E15" s="14">
        <f t="shared" si="0"/>
        <v>253.33580770590314</v>
      </c>
      <c r="F15" s="14">
        <f t="shared" si="0"/>
        <v>273.28671328671328</v>
      </c>
      <c r="G15" s="14">
        <f t="shared" si="0"/>
        <v>210.31700059512002</v>
      </c>
      <c r="H15" s="14" t="e">
        <f t="shared" si="0"/>
        <v>#DIV/0!</v>
      </c>
      <c r="I15" s="12">
        <f>SUM(I13/I11)</f>
        <v>329.42822574615451</v>
      </c>
      <c r="J15" s="16" t="e">
        <f>AVERAGE(C15:H15)</f>
        <v>#DIV/0!</v>
      </c>
      <c r="K15" s="13"/>
    </row>
    <row r="16" spans="1:11" ht="12.75" customHeight="1" x14ac:dyDescent="0.15">
      <c r="A16" s="50" t="s">
        <v>241</v>
      </c>
      <c r="B16" s="51"/>
      <c r="C16" s="14">
        <f t="shared" ref="C16:H16" si="1">C13/(C12*24)</f>
        <v>9710.9348051052075</v>
      </c>
      <c r="D16" s="14">
        <f t="shared" si="1"/>
        <v>8627.7573529411766</v>
      </c>
      <c r="E16" s="14">
        <f t="shared" si="1"/>
        <v>5208.4811046511632</v>
      </c>
      <c r="F16" s="14">
        <f t="shared" si="1"/>
        <v>5427.7777777777774</v>
      </c>
      <c r="G16" s="14">
        <f t="shared" si="1"/>
        <v>5910.8418509570711</v>
      </c>
      <c r="H16" s="14" t="e">
        <f t="shared" si="1"/>
        <v>#DIV/0!</v>
      </c>
      <c r="I16" s="12"/>
      <c r="J16" s="16"/>
      <c r="K16" s="13"/>
    </row>
    <row r="17" spans="1:11" ht="12.75" customHeight="1" x14ac:dyDescent="0.15">
      <c r="A17" s="47" t="s">
        <v>68</v>
      </c>
      <c r="B17" s="11" t="s">
        <v>69</v>
      </c>
      <c r="C17" s="14">
        <v>0</v>
      </c>
      <c r="D17" s="14">
        <v>0</v>
      </c>
      <c r="E17" s="14">
        <v>0</v>
      </c>
      <c r="F17" s="14">
        <v>0</v>
      </c>
      <c r="G17" s="14">
        <v>261500</v>
      </c>
      <c r="H17" s="14">
        <v>0</v>
      </c>
      <c r="I17" s="16">
        <f t="shared" ref="I17:I30" si="2">SUM(C17:H17)</f>
        <v>261500</v>
      </c>
      <c r="J17" s="16">
        <f t="shared" ref="J17:J45" si="3">AVERAGE(C17:H17)</f>
        <v>43583.333333333336</v>
      </c>
      <c r="K17" s="13">
        <f>I17/I13</f>
        <v>5.395556166295374E-2</v>
      </c>
    </row>
    <row r="18" spans="1:11" ht="12.75" customHeight="1" x14ac:dyDescent="0.15">
      <c r="A18" s="47"/>
      <c r="B18" s="11" t="s">
        <v>70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6">
        <f t="shared" si="2"/>
        <v>0</v>
      </c>
      <c r="J18" s="16">
        <f t="shared" si="3"/>
        <v>0</v>
      </c>
      <c r="K18" s="13">
        <f>I18/I13</f>
        <v>0</v>
      </c>
    </row>
    <row r="19" spans="1:11" ht="12.75" customHeight="1" x14ac:dyDescent="0.15">
      <c r="A19" s="47"/>
      <c r="B19" s="11" t="s">
        <v>71</v>
      </c>
      <c r="C19" s="14">
        <v>6950</v>
      </c>
      <c r="D19" s="14">
        <v>7075</v>
      </c>
      <c r="E19" s="14">
        <v>4025</v>
      </c>
      <c r="F19" s="14">
        <v>4825</v>
      </c>
      <c r="G19" s="14">
        <v>0</v>
      </c>
      <c r="H19" s="14">
        <v>0</v>
      </c>
      <c r="I19" s="16">
        <f t="shared" si="2"/>
        <v>22875</v>
      </c>
      <c r="J19" s="16">
        <f t="shared" si="3"/>
        <v>3812.5</v>
      </c>
      <c r="K19" s="13">
        <f>I19/I13</f>
        <v>4.7198220766350545E-3</v>
      </c>
    </row>
    <row r="20" spans="1:11" ht="12.75" customHeight="1" x14ac:dyDescent="0.15">
      <c r="A20" s="47"/>
      <c r="B20" s="11" t="s">
        <v>72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6">
        <f t="shared" si="2"/>
        <v>0</v>
      </c>
      <c r="J20" s="16">
        <f t="shared" si="3"/>
        <v>0</v>
      </c>
      <c r="K20" s="13">
        <f>I20/I13</f>
        <v>0</v>
      </c>
    </row>
    <row r="21" spans="1:11" ht="12.75" customHeight="1" x14ac:dyDescent="0.15">
      <c r="A21" s="47"/>
      <c r="B21" s="11" t="s">
        <v>73</v>
      </c>
      <c r="C21" s="14">
        <v>8333</v>
      </c>
      <c r="D21" s="14">
        <v>9000</v>
      </c>
      <c r="E21" s="14">
        <v>4587</v>
      </c>
      <c r="F21" s="14">
        <v>4950</v>
      </c>
      <c r="G21" s="14">
        <v>4766</v>
      </c>
      <c r="H21" s="14">
        <v>0</v>
      </c>
      <c r="I21" s="16">
        <f t="shared" si="2"/>
        <v>31636</v>
      </c>
      <c r="J21" s="16">
        <f t="shared" si="3"/>
        <v>5272.666666666667</v>
      </c>
      <c r="K21" s="13">
        <f>I21/I13</f>
        <v>6.5274881406088125E-3</v>
      </c>
    </row>
    <row r="22" spans="1:11" ht="12.75" customHeight="1" x14ac:dyDescent="0.15">
      <c r="A22" s="47"/>
      <c r="B22" s="11" t="s">
        <v>74</v>
      </c>
      <c r="C22" s="14">
        <v>90423</v>
      </c>
      <c r="D22" s="14">
        <v>29549</v>
      </c>
      <c r="E22" s="14">
        <v>31072</v>
      </c>
      <c r="F22" s="14">
        <v>35766</v>
      </c>
      <c r="G22" s="14">
        <v>27305</v>
      </c>
      <c r="H22" s="14">
        <v>0</v>
      </c>
      <c r="I22" s="16">
        <f t="shared" si="2"/>
        <v>214115</v>
      </c>
      <c r="J22" s="16">
        <f t="shared" si="3"/>
        <v>35685.833333333336</v>
      </c>
      <c r="K22" s="13">
        <f>I22/I13</f>
        <v>4.4178566292402827E-2</v>
      </c>
    </row>
    <row r="23" spans="1:11" ht="12.75" customHeight="1" x14ac:dyDescent="0.15">
      <c r="A23" s="47"/>
      <c r="B23" s="17" t="s">
        <v>75</v>
      </c>
      <c r="C23" s="18">
        <f t="shared" ref="C23:H23" si="4">SUM(C17:C22)</f>
        <v>105706</v>
      </c>
      <c r="D23" s="18">
        <f t="shared" si="4"/>
        <v>45624</v>
      </c>
      <c r="E23" s="18">
        <f t="shared" si="4"/>
        <v>39684</v>
      </c>
      <c r="F23" s="18">
        <f t="shared" si="4"/>
        <v>45541</v>
      </c>
      <c r="G23" s="18">
        <f t="shared" si="4"/>
        <v>293571</v>
      </c>
      <c r="H23" s="18">
        <f t="shared" si="4"/>
        <v>0</v>
      </c>
      <c r="I23" s="20">
        <f t="shared" si="2"/>
        <v>530126</v>
      </c>
      <c r="J23" s="20">
        <f t="shared" si="3"/>
        <v>88354.333333333328</v>
      </c>
      <c r="K23" s="21">
        <f>I23/I13</f>
        <v>0.10938143817260043</v>
      </c>
    </row>
    <row r="24" spans="1:11" ht="12.75" customHeight="1" x14ac:dyDescent="0.15">
      <c r="A24" s="47" t="s">
        <v>76</v>
      </c>
      <c r="B24" s="11" t="s">
        <v>77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6">
        <f t="shared" si="2"/>
        <v>0</v>
      </c>
      <c r="J24" s="16">
        <f t="shared" si="3"/>
        <v>0</v>
      </c>
      <c r="K24" s="13">
        <f>I24/I13</f>
        <v>0</v>
      </c>
    </row>
    <row r="25" spans="1:11" ht="12.75" customHeight="1" x14ac:dyDescent="0.15">
      <c r="A25" s="47"/>
      <c r="B25" s="11" t="s">
        <v>78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6">
        <f t="shared" si="2"/>
        <v>0</v>
      </c>
      <c r="J25" s="16">
        <f t="shared" si="3"/>
        <v>0</v>
      </c>
      <c r="K25" s="13">
        <f>I25/I13</f>
        <v>0</v>
      </c>
    </row>
    <row r="26" spans="1:11" ht="12.75" customHeight="1" x14ac:dyDescent="0.15">
      <c r="A26" s="47"/>
      <c r="B26" s="11" t="s">
        <v>79</v>
      </c>
      <c r="C26" s="14">
        <f t="shared" ref="C26:H26" si="5">30000*C9/70000*C11</f>
        <v>18534</v>
      </c>
      <c r="D26" s="14">
        <f t="shared" si="5"/>
        <v>22626.6</v>
      </c>
      <c r="E26" s="14">
        <f t="shared" si="5"/>
        <v>9699.4285714285706</v>
      </c>
      <c r="F26" s="14">
        <f t="shared" si="5"/>
        <v>8580</v>
      </c>
      <c r="G26" s="14">
        <f t="shared" si="5"/>
        <v>8641.7142857142844</v>
      </c>
      <c r="H26" s="14">
        <f t="shared" si="5"/>
        <v>0</v>
      </c>
      <c r="I26" s="16">
        <f t="shared" si="2"/>
        <v>68081.742857142861</v>
      </c>
      <c r="J26" s="16">
        <f t="shared" si="3"/>
        <v>11346.957142857143</v>
      </c>
      <c r="K26" s="13">
        <f>I26/I13</f>
        <v>1.4047375429636451E-2</v>
      </c>
    </row>
    <row r="27" spans="1:11" ht="12.75" customHeight="1" x14ac:dyDescent="0.15">
      <c r="A27" s="47"/>
      <c r="B27" s="11" t="s">
        <v>80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6">
        <f t="shared" si="2"/>
        <v>0</v>
      </c>
      <c r="J27" s="16">
        <f t="shared" si="3"/>
        <v>0</v>
      </c>
      <c r="K27" s="13">
        <f>I27/I13</f>
        <v>0</v>
      </c>
    </row>
    <row r="28" spans="1:11" ht="12.75" customHeight="1" x14ac:dyDescent="0.15">
      <c r="A28" s="47"/>
      <c r="B28" s="11" t="s">
        <v>81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6">
        <f t="shared" si="2"/>
        <v>0</v>
      </c>
      <c r="J28" s="16">
        <f t="shared" si="3"/>
        <v>0</v>
      </c>
      <c r="K28" s="13">
        <f>I28/I13</f>
        <v>0</v>
      </c>
    </row>
    <row r="29" spans="1:11" ht="12.75" customHeight="1" x14ac:dyDescent="0.15">
      <c r="A29" s="47"/>
      <c r="B29" s="17" t="s">
        <v>82</v>
      </c>
      <c r="C29" s="18">
        <f t="shared" ref="C29:H29" si="6">SUM(C24:C28)</f>
        <v>18534</v>
      </c>
      <c r="D29" s="18">
        <f t="shared" si="6"/>
        <v>22626.6</v>
      </c>
      <c r="E29" s="18">
        <f t="shared" si="6"/>
        <v>9699.4285714285706</v>
      </c>
      <c r="F29" s="18">
        <f t="shared" si="6"/>
        <v>8580</v>
      </c>
      <c r="G29" s="18">
        <f t="shared" si="6"/>
        <v>8641.7142857142844</v>
      </c>
      <c r="H29" s="18">
        <f t="shared" si="6"/>
        <v>0</v>
      </c>
      <c r="I29" s="20">
        <f t="shared" si="2"/>
        <v>68081.742857142861</v>
      </c>
      <c r="J29" s="20">
        <f t="shared" si="3"/>
        <v>11346.957142857143</v>
      </c>
      <c r="K29" s="21">
        <f>I29/I13</f>
        <v>1.4047375429636451E-2</v>
      </c>
    </row>
    <row r="30" spans="1:11" ht="12.75" customHeight="1" x14ac:dyDescent="0.15">
      <c r="A30" s="47" t="s">
        <v>83</v>
      </c>
      <c r="B30" s="8" t="s">
        <v>84</v>
      </c>
      <c r="C30" s="22">
        <v>986</v>
      </c>
      <c r="D30" s="22">
        <v>1246</v>
      </c>
      <c r="E30" s="22">
        <v>673</v>
      </c>
      <c r="F30" s="22">
        <v>819</v>
      </c>
      <c r="G30" s="22">
        <v>495</v>
      </c>
      <c r="H30" s="22">
        <v>0</v>
      </c>
      <c r="I30" s="24">
        <f t="shared" si="2"/>
        <v>4219</v>
      </c>
      <c r="J30" s="24">
        <f t="shared" si="3"/>
        <v>703.16666666666663</v>
      </c>
      <c r="K30" s="10">
        <f>I30/I13</f>
        <v>8.7051057229828614E-4</v>
      </c>
    </row>
    <row r="31" spans="1:11" ht="12.75" customHeight="1" x14ac:dyDescent="0.15">
      <c r="A31" s="47"/>
      <c r="B31" s="25" t="s">
        <v>85</v>
      </c>
      <c r="C31" s="26">
        <f t="shared" ref="C31:I31" si="7">SUM(C11/C30)</f>
        <v>3.1328600405679512</v>
      </c>
      <c r="D31" s="26">
        <f t="shared" si="7"/>
        <v>3.0265650080256821</v>
      </c>
      <c r="E31" s="26">
        <f t="shared" si="7"/>
        <v>4.2035661218424965</v>
      </c>
      <c r="F31" s="26">
        <f t="shared" si="7"/>
        <v>3.0555555555555554</v>
      </c>
      <c r="G31" s="26">
        <f t="shared" si="7"/>
        <v>5.0919191919191915</v>
      </c>
      <c r="H31" s="26" t="e">
        <f t="shared" si="7"/>
        <v>#DIV/0!</v>
      </c>
      <c r="I31" s="28">
        <f t="shared" si="7"/>
        <v>3.4871059492770802</v>
      </c>
      <c r="J31" s="28" t="e">
        <f t="shared" si="3"/>
        <v>#DIV/0!</v>
      </c>
      <c r="K31" s="25">
        <f>I31/I13</f>
        <v>7.1949812646834541E-7</v>
      </c>
    </row>
    <row r="32" spans="1:11" ht="12.75" customHeight="1" x14ac:dyDescent="0.15">
      <c r="A32" s="47"/>
      <c r="B32" s="11" t="s">
        <v>86</v>
      </c>
      <c r="C32" s="14">
        <v>115755</v>
      </c>
      <c r="D32" s="14">
        <v>146278</v>
      </c>
      <c r="E32" s="14">
        <v>79009</v>
      </c>
      <c r="F32" s="14">
        <v>96149</v>
      </c>
      <c r="G32" s="14">
        <v>57993</v>
      </c>
      <c r="H32" s="14">
        <v>0</v>
      </c>
      <c r="I32" s="16">
        <f t="shared" ref="I32:I46" si="8">SUM(C32:H32)</f>
        <v>495184</v>
      </c>
      <c r="J32" s="16">
        <f t="shared" si="3"/>
        <v>82530.666666666672</v>
      </c>
      <c r="K32" s="13">
        <f>I32/I13</f>
        <v>0.10217181968071926</v>
      </c>
    </row>
    <row r="33" spans="1:11" ht="12.75" customHeight="1" x14ac:dyDescent="0.15">
      <c r="A33" s="47"/>
      <c r="B33" s="11" t="s">
        <v>87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6">
        <f t="shared" si="8"/>
        <v>0</v>
      </c>
      <c r="J33" s="16">
        <f t="shared" si="3"/>
        <v>0</v>
      </c>
      <c r="K33" s="13">
        <f>I33/I13</f>
        <v>0</v>
      </c>
    </row>
    <row r="34" spans="1:11" ht="12.75" customHeight="1" x14ac:dyDescent="0.15">
      <c r="A34" s="47"/>
      <c r="B34" s="11" t="s">
        <v>88</v>
      </c>
      <c r="C34" s="14">
        <v>2736</v>
      </c>
      <c r="D34" s="14">
        <v>6103</v>
      </c>
      <c r="E34" s="14">
        <v>2119</v>
      </c>
      <c r="F34" s="14">
        <v>1544</v>
      </c>
      <c r="G34" s="14">
        <v>2124</v>
      </c>
      <c r="H34" s="14">
        <v>0</v>
      </c>
      <c r="I34" s="16">
        <f t="shared" si="8"/>
        <v>14626</v>
      </c>
      <c r="J34" s="16">
        <f t="shared" si="3"/>
        <v>2437.6666666666665</v>
      </c>
      <c r="K34" s="13">
        <f>I34/I13</f>
        <v>3.0177974947700244E-3</v>
      </c>
    </row>
    <row r="35" spans="1:11" ht="12.75" customHeight="1" x14ac:dyDescent="0.15">
      <c r="A35" s="47"/>
      <c r="B35" s="17" t="s">
        <v>89</v>
      </c>
      <c r="C35" s="18">
        <f t="shared" ref="C35:H35" si="9">SUM(C32:C34)</f>
        <v>118491</v>
      </c>
      <c r="D35" s="18">
        <f t="shared" si="9"/>
        <v>152381</v>
      </c>
      <c r="E35" s="18">
        <f t="shared" si="9"/>
        <v>81128</v>
      </c>
      <c r="F35" s="18">
        <f t="shared" si="9"/>
        <v>97693</v>
      </c>
      <c r="G35" s="18">
        <f t="shared" si="9"/>
        <v>60117</v>
      </c>
      <c r="H35" s="18">
        <f t="shared" si="9"/>
        <v>0</v>
      </c>
      <c r="I35" s="20">
        <f t="shared" si="8"/>
        <v>509810</v>
      </c>
      <c r="J35" s="20">
        <f t="shared" si="3"/>
        <v>84968.333333333328</v>
      </c>
      <c r="K35" s="21">
        <f>I35/I13</f>
        <v>0.10518961717548928</v>
      </c>
    </row>
    <row r="36" spans="1:11" ht="12.75" customHeight="1" x14ac:dyDescent="0.15">
      <c r="A36" s="47" t="s">
        <v>90</v>
      </c>
      <c r="B36" s="11" t="s">
        <v>91</v>
      </c>
      <c r="C36" s="14">
        <v>2451</v>
      </c>
      <c r="D36" s="14">
        <v>2451</v>
      </c>
      <c r="E36" s="14">
        <v>2008</v>
      </c>
      <c r="F36" s="14">
        <v>2012</v>
      </c>
      <c r="G36" s="14">
        <v>2012</v>
      </c>
      <c r="H36" s="14">
        <v>0</v>
      </c>
      <c r="I36" s="16">
        <f t="shared" si="8"/>
        <v>10934</v>
      </c>
      <c r="J36" s="16">
        <f t="shared" si="3"/>
        <v>1822.3333333333333</v>
      </c>
      <c r="K36" s="13">
        <f>I36/I13</f>
        <v>2.2560233698766204E-3</v>
      </c>
    </row>
    <row r="37" spans="1:11" ht="12.75" customHeight="1" x14ac:dyDescent="0.15">
      <c r="A37" s="47"/>
      <c r="B37" s="11" t="s">
        <v>92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6">
        <f t="shared" si="8"/>
        <v>0</v>
      </c>
      <c r="J37" s="16">
        <f t="shared" si="3"/>
        <v>0</v>
      </c>
      <c r="K37" s="13">
        <f>I37/I13</f>
        <v>0</v>
      </c>
    </row>
    <row r="38" spans="1:11" ht="12.75" customHeight="1" x14ac:dyDescent="0.15">
      <c r="A38" s="47"/>
      <c r="B38" s="11" t="s">
        <v>93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6">
        <f t="shared" si="8"/>
        <v>0</v>
      </c>
      <c r="J38" s="16">
        <f t="shared" si="3"/>
        <v>0</v>
      </c>
      <c r="K38" s="13">
        <f>I38/I13</f>
        <v>0</v>
      </c>
    </row>
    <row r="39" spans="1:11" ht="12.75" customHeight="1" x14ac:dyDescent="0.15">
      <c r="A39" s="47"/>
      <c r="B39" s="11" t="s">
        <v>94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6">
        <f t="shared" si="8"/>
        <v>0</v>
      </c>
      <c r="J39" s="16">
        <f t="shared" si="3"/>
        <v>0</v>
      </c>
      <c r="K39" s="13">
        <f>I39/I13</f>
        <v>0</v>
      </c>
    </row>
    <row r="40" spans="1:11" ht="12.75" customHeight="1" x14ac:dyDescent="0.15">
      <c r="A40" s="47"/>
      <c r="B40" s="11" t="s">
        <v>95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6">
        <f t="shared" si="8"/>
        <v>0</v>
      </c>
      <c r="J40" s="16">
        <f t="shared" si="3"/>
        <v>0</v>
      </c>
      <c r="K40" s="13">
        <f>I40/I13</f>
        <v>0</v>
      </c>
    </row>
    <row r="41" spans="1:11" ht="12.75" customHeight="1" x14ac:dyDescent="0.15">
      <c r="A41" s="47"/>
      <c r="B41" s="11" t="s">
        <v>96</v>
      </c>
      <c r="C41" s="14">
        <v>10249</v>
      </c>
      <c r="D41" s="14">
        <v>10249</v>
      </c>
      <c r="E41" s="14">
        <v>5150</v>
      </c>
      <c r="F41" s="14">
        <v>5150</v>
      </c>
      <c r="G41" s="14">
        <v>7990</v>
      </c>
      <c r="H41" s="14">
        <v>0</v>
      </c>
      <c r="I41" s="16">
        <f t="shared" si="8"/>
        <v>38788</v>
      </c>
      <c r="J41" s="16">
        <f t="shared" si="3"/>
        <v>6464.666666666667</v>
      </c>
      <c r="K41" s="13">
        <f>I41/I13</f>
        <v>8.0031675938151033E-3</v>
      </c>
    </row>
    <row r="42" spans="1:11" ht="12.75" customHeight="1" x14ac:dyDescent="0.15">
      <c r="A42" s="47"/>
      <c r="B42" s="17" t="s">
        <v>97</v>
      </c>
      <c r="C42" s="18">
        <f t="shared" ref="C42:H42" si="10">SUM(C36:C41)</f>
        <v>12700</v>
      </c>
      <c r="D42" s="18">
        <f t="shared" si="10"/>
        <v>12700</v>
      </c>
      <c r="E42" s="18">
        <f t="shared" si="10"/>
        <v>7158</v>
      </c>
      <c r="F42" s="18">
        <f t="shared" si="10"/>
        <v>7162</v>
      </c>
      <c r="G42" s="18">
        <f t="shared" si="10"/>
        <v>10002</v>
      </c>
      <c r="H42" s="18">
        <f t="shared" si="10"/>
        <v>0</v>
      </c>
      <c r="I42" s="20">
        <f t="shared" si="8"/>
        <v>49722</v>
      </c>
      <c r="J42" s="20">
        <f t="shared" si="3"/>
        <v>8287</v>
      </c>
      <c r="K42" s="21">
        <f>I42/I13</f>
        <v>1.0259190963691723E-2</v>
      </c>
    </row>
    <row r="43" spans="1:11" ht="12.75" customHeight="1" x14ac:dyDescent="0.15">
      <c r="A43" s="47" t="s">
        <v>98</v>
      </c>
      <c r="B43" s="11" t="s">
        <v>99</v>
      </c>
      <c r="C43" s="14">
        <v>96790</v>
      </c>
      <c r="D43" s="14">
        <v>182050</v>
      </c>
      <c r="E43" s="14">
        <v>105330</v>
      </c>
      <c r="F43" s="14">
        <v>93460</v>
      </c>
      <c r="G43" s="14">
        <v>90740</v>
      </c>
      <c r="H43" s="14">
        <v>0</v>
      </c>
      <c r="I43" s="16">
        <f t="shared" si="8"/>
        <v>568370</v>
      </c>
      <c r="J43" s="16">
        <f t="shared" si="3"/>
        <v>94728.333333333328</v>
      </c>
      <c r="K43" s="13">
        <f>I43/I13</f>
        <v>0.11727236169167501</v>
      </c>
    </row>
    <row r="44" spans="1:11" ht="12.75" customHeight="1" x14ac:dyDescent="0.15">
      <c r="A44" s="47"/>
      <c r="B44" s="11" t="s">
        <v>100</v>
      </c>
      <c r="C44" s="14">
        <v>-77572</v>
      </c>
      <c r="D44" s="14">
        <v>-123541</v>
      </c>
      <c r="E44" s="14">
        <v>-49766</v>
      </c>
      <c r="F44" s="14">
        <v>-48924</v>
      </c>
      <c r="G44" s="14">
        <v>-44449</v>
      </c>
      <c r="H44" s="14">
        <v>0</v>
      </c>
      <c r="I44" s="16">
        <f t="shared" si="8"/>
        <v>-344252</v>
      </c>
      <c r="J44" s="16">
        <f t="shared" si="3"/>
        <v>-57375.333333333336</v>
      </c>
      <c r="K44" s="13">
        <f>I44/I13</f>
        <v>-7.1029866208776868E-2</v>
      </c>
    </row>
    <row r="45" spans="1:11" ht="12.75" customHeight="1" x14ac:dyDescent="0.15">
      <c r="A45" s="47"/>
      <c r="B45" s="11" t="s">
        <v>101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6">
        <f t="shared" si="8"/>
        <v>0</v>
      </c>
      <c r="J45" s="16">
        <f t="shared" si="3"/>
        <v>0</v>
      </c>
      <c r="K45" s="13">
        <f>I45/I13</f>
        <v>0</v>
      </c>
    </row>
    <row r="46" spans="1:11" ht="12.75" customHeight="1" x14ac:dyDescent="0.15">
      <c r="A46" s="47"/>
      <c r="B46" s="11" t="s">
        <v>102</v>
      </c>
      <c r="C46" s="14">
        <v>-30972.799999999999</v>
      </c>
      <c r="D46" s="14">
        <v>-58256</v>
      </c>
      <c r="E46" s="14">
        <v>-33705.599999999999</v>
      </c>
      <c r="F46" s="14">
        <v>-29907.200000000001</v>
      </c>
      <c r="G46" s="14">
        <v>-29036.799999999999</v>
      </c>
      <c r="H46" s="14">
        <v>0</v>
      </c>
      <c r="I46" s="16">
        <f t="shared" si="8"/>
        <v>-181878.39999999999</v>
      </c>
      <c r="J46" s="16">
        <f>AVERAGE(B46:H46)</f>
        <v>-30313.066666666666</v>
      </c>
      <c r="K46" s="13">
        <f>I46/I13</f>
        <v>-3.7527155741336006E-2</v>
      </c>
    </row>
    <row r="47" spans="1:11" ht="12.75" customHeight="1" x14ac:dyDescent="0.15">
      <c r="A47" s="47"/>
      <c r="B47" s="17" t="s">
        <v>103</v>
      </c>
      <c r="C47" s="18">
        <f t="shared" ref="C47:I47" si="11">SUM(C43:C46)</f>
        <v>-11754.8</v>
      </c>
      <c r="D47" s="18">
        <f t="shared" si="11"/>
        <v>253</v>
      </c>
      <c r="E47" s="18">
        <f t="shared" si="11"/>
        <v>21858.400000000001</v>
      </c>
      <c r="F47" s="18">
        <f t="shared" si="11"/>
        <v>14628.8</v>
      </c>
      <c r="G47" s="18">
        <f t="shared" si="11"/>
        <v>17254.2</v>
      </c>
      <c r="H47" s="18">
        <f t="shared" si="11"/>
        <v>0</v>
      </c>
      <c r="I47" s="20">
        <f t="shared" si="11"/>
        <v>42239.600000000006</v>
      </c>
      <c r="J47" s="20">
        <f>AVERAGE(B47:H47)</f>
        <v>7039.9333333333343</v>
      </c>
      <c r="K47" s="21">
        <f>I47/I13</f>
        <v>8.7153397415621458E-3</v>
      </c>
    </row>
    <row r="48" spans="1:11" ht="12.75" customHeight="1" x14ac:dyDescent="0.15">
      <c r="A48" s="47" t="s">
        <v>104</v>
      </c>
      <c r="B48" s="11" t="s">
        <v>105</v>
      </c>
      <c r="C48" s="14">
        <v>292712</v>
      </c>
      <c r="D48" s="14">
        <v>292711</v>
      </c>
      <c r="E48" s="14">
        <v>315229</v>
      </c>
      <c r="F48" s="14">
        <v>292712</v>
      </c>
      <c r="G48" s="14">
        <v>202646</v>
      </c>
      <c r="H48" s="14">
        <v>0</v>
      </c>
      <c r="I48" s="16">
        <f t="shared" ref="I48:I65" si="12">SUM(C48:H48)</f>
        <v>1396010</v>
      </c>
      <c r="J48" s="16">
        <f t="shared" ref="J48:J65" si="13">AVERAGE(C48:H48)</f>
        <v>232668.33333333334</v>
      </c>
      <c r="K48" s="13">
        <f>I48/I13</f>
        <v>0.28804016687227552</v>
      </c>
    </row>
    <row r="49" spans="1:11" ht="12.75" customHeight="1" x14ac:dyDescent="0.15">
      <c r="A49" s="47"/>
      <c r="B49" s="11" t="s">
        <v>106</v>
      </c>
      <c r="C49" s="14">
        <v>7868</v>
      </c>
      <c r="D49" s="14">
        <v>7868</v>
      </c>
      <c r="E49" s="14">
        <v>8474</v>
      </c>
      <c r="F49" s="14">
        <v>7870</v>
      </c>
      <c r="G49" s="14">
        <v>5447</v>
      </c>
      <c r="H49" s="14">
        <v>0</v>
      </c>
      <c r="I49" s="16">
        <f t="shared" si="12"/>
        <v>37527</v>
      </c>
      <c r="J49" s="16">
        <f t="shared" si="13"/>
        <v>6254.5</v>
      </c>
      <c r="K49" s="13">
        <f>I49/I13</f>
        <v>7.7429841779184131E-3</v>
      </c>
    </row>
    <row r="50" spans="1:11" ht="12.75" customHeight="1" x14ac:dyDescent="0.15">
      <c r="A50" s="47"/>
      <c r="B50" s="11" t="s">
        <v>107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6">
        <f t="shared" si="12"/>
        <v>0</v>
      </c>
      <c r="J50" s="16">
        <f t="shared" si="13"/>
        <v>0</v>
      </c>
      <c r="K50" s="13">
        <f>I50/I13</f>
        <v>0</v>
      </c>
    </row>
    <row r="51" spans="1:11" ht="12.75" customHeight="1" x14ac:dyDescent="0.15">
      <c r="A51" s="47"/>
      <c r="B51" s="11" t="s">
        <v>108</v>
      </c>
      <c r="C51" s="14">
        <v>50518</v>
      </c>
      <c r="D51" s="14">
        <v>50518</v>
      </c>
      <c r="E51" s="14">
        <v>54404</v>
      </c>
      <c r="F51" s="14">
        <v>50521</v>
      </c>
      <c r="G51" s="14">
        <v>34974</v>
      </c>
      <c r="H51" s="14">
        <v>0</v>
      </c>
      <c r="I51" s="16">
        <f t="shared" si="12"/>
        <v>240935</v>
      </c>
      <c r="J51" s="16">
        <f t="shared" si="13"/>
        <v>40155.833333333336</v>
      </c>
      <c r="K51" s="13">
        <f>I51/I13</f>
        <v>4.9712364241926425E-2</v>
      </c>
    </row>
    <row r="52" spans="1:11" ht="12.75" customHeight="1" x14ac:dyDescent="0.15">
      <c r="A52" s="47"/>
      <c r="B52" s="11" t="s">
        <v>109</v>
      </c>
      <c r="C52" s="14">
        <v>1258</v>
      </c>
      <c r="D52" s="14">
        <v>1258</v>
      </c>
      <c r="E52" s="14">
        <v>1356</v>
      </c>
      <c r="F52" s="14">
        <v>1256</v>
      </c>
      <c r="G52" s="14">
        <v>872</v>
      </c>
      <c r="H52" s="14">
        <v>0</v>
      </c>
      <c r="I52" s="16">
        <f t="shared" si="12"/>
        <v>6000</v>
      </c>
      <c r="J52" s="16">
        <f t="shared" si="13"/>
        <v>1000</v>
      </c>
      <c r="K52" s="13">
        <f>I52/I13</f>
        <v>1.2379861184616536E-3</v>
      </c>
    </row>
    <row r="53" spans="1:11" ht="12.75" customHeight="1" x14ac:dyDescent="0.15">
      <c r="A53" s="47"/>
      <c r="B53" s="17" t="s">
        <v>110</v>
      </c>
      <c r="C53" s="18">
        <f t="shared" ref="C53:H53" si="14">SUM(C48:C52)</f>
        <v>352356</v>
      </c>
      <c r="D53" s="18">
        <f t="shared" si="14"/>
        <v>352355</v>
      </c>
      <c r="E53" s="18">
        <f t="shared" si="14"/>
        <v>379463</v>
      </c>
      <c r="F53" s="18">
        <f t="shared" si="14"/>
        <v>352359</v>
      </c>
      <c r="G53" s="18">
        <f t="shared" si="14"/>
        <v>243939</v>
      </c>
      <c r="H53" s="18">
        <f t="shared" si="14"/>
        <v>0</v>
      </c>
      <c r="I53" s="20">
        <f t="shared" si="12"/>
        <v>1680472</v>
      </c>
      <c r="J53" s="20">
        <f t="shared" si="13"/>
        <v>280078.66666666669</v>
      </c>
      <c r="K53" s="21">
        <f>I53/I13</f>
        <v>0.34673350141058201</v>
      </c>
    </row>
    <row r="54" spans="1:11" ht="12.75" customHeight="1" x14ac:dyDescent="0.15">
      <c r="A54" s="47" t="s">
        <v>111</v>
      </c>
      <c r="B54" s="11" t="s">
        <v>112</v>
      </c>
      <c r="C54" s="14">
        <v>59400</v>
      </c>
      <c r="D54" s="14">
        <v>59400</v>
      </c>
      <c r="E54" s="14">
        <v>59400</v>
      </c>
      <c r="F54" s="14">
        <v>59400</v>
      </c>
      <c r="G54" s="14">
        <v>59400</v>
      </c>
      <c r="H54" s="14">
        <v>0</v>
      </c>
      <c r="I54" s="16">
        <f t="shared" si="12"/>
        <v>297000</v>
      </c>
      <c r="J54" s="16">
        <f t="shared" si="13"/>
        <v>49500</v>
      </c>
      <c r="K54" s="13">
        <f>I54/I13</f>
        <v>6.1280312863851855E-2</v>
      </c>
    </row>
    <row r="55" spans="1:11" ht="12.75" customHeight="1" x14ac:dyDescent="0.15">
      <c r="A55" s="47"/>
      <c r="B55" s="11" t="s">
        <v>113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6">
        <f t="shared" si="12"/>
        <v>0</v>
      </c>
      <c r="J55" s="16">
        <f t="shared" si="13"/>
        <v>0</v>
      </c>
      <c r="K55" s="13">
        <f>I55/I13</f>
        <v>0</v>
      </c>
    </row>
    <row r="56" spans="1:11" ht="12.75" customHeight="1" x14ac:dyDescent="0.15">
      <c r="A56" s="47"/>
      <c r="B56" s="11" t="s">
        <v>114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6">
        <f t="shared" si="12"/>
        <v>0</v>
      </c>
      <c r="J56" s="16">
        <f t="shared" si="13"/>
        <v>0</v>
      </c>
      <c r="K56" s="13">
        <f>I56/I13</f>
        <v>0</v>
      </c>
    </row>
    <row r="57" spans="1:11" ht="12.75" customHeight="1" x14ac:dyDescent="0.15">
      <c r="A57" s="47"/>
      <c r="B57" s="11" t="s">
        <v>115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6">
        <f t="shared" si="12"/>
        <v>0</v>
      </c>
      <c r="J57" s="16">
        <f t="shared" si="13"/>
        <v>0</v>
      </c>
      <c r="K57" s="13">
        <f>I57/I13</f>
        <v>0</v>
      </c>
    </row>
    <row r="58" spans="1:11" ht="12.75" customHeight="1" x14ac:dyDescent="0.15">
      <c r="A58" s="47"/>
      <c r="B58" s="11" t="s">
        <v>116</v>
      </c>
      <c r="C58" s="14">
        <v>125196.8</v>
      </c>
      <c r="D58" s="14">
        <v>125196.8</v>
      </c>
      <c r="E58" s="14">
        <v>125196.8</v>
      </c>
      <c r="F58" s="14">
        <v>125196.8</v>
      </c>
      <c r="G58" s="14">
        <v>125196.8</v>
      </c>
      <c r="H58" s="14">
        <v>0</v>
      </c>
      <c r="I58" s="16">
        <f t="shared" si="12"/>
        <v>625984</v>
      </c>
      <c r="J58" s="16">
        <f t="shared" si="13"/>
        <v>104330.66666666667</v>
      </c>
      <c r="K58" s="13">
        <f>I58/I13</f>
        <v>0.1291599170631833</v>
      </c>
    </row>
    <row r="59" spans="1:11" ht="12.75" customHeight="1" x14ac:dyDescent="0.15">
      <c r="A59" s="47"/>
      <c r="B59" s="11" t="s">
        <v>117</v>
      </c>
      <c r="C59" s="14">
        <v>65053.2</v>
      </c>
      <c r="D59" s="14">
        <v>65053.2</v>
      </c>
      <c r="E59" s="14">
        <v>65053.2</v>
      </c>
      <c r="F59" s="14">
        <v>65053.2</v>
      </c>
      <c r="G59" s="14">
        <v>65053.2</v>
      </c>
      <c r="H59" s="14">
        <v>0</v>
      </c>
      <c r="I59" s="16">
        <f t="shared" si="12"/>
        <v>325266</v>
      </c>
      <c r="J59" s="16">
        <f t="shared" si="13"/>
        <v>54211</v>
      </c>
      <c r="K59" s="13">
        <f>I59/I13</f>
        <v>6.7112465467924709E-2</v>
      </c>
    </row>
    <row r="60" spans="1:11" ht="12.75" customHeight="1" x14ac:dyDescent="0.15">
      <c r="A60" s="47"/>
      <c r="B60" s="17" t="s">
        <v>118</v>
      </c>
      <c r="C60" s="18">
        <f t="shared" ref="C60:H60" si="15">SUM(C54:C59)</f>
        <v>249650</v>
      </c>
      <c r="D60" s="18">
        <f t="shared" si="15"/>
        <v>249650</v>
      </c>
      <c r="E60" s="18">
        <f t="shared" si="15"/>
        <v>249650</v>
      </c>
      <c r="F60" s="18">
        <f t="shared" si="15"/>
        <v>249650</v>
      </c>
      <c r="G60" s="18">
        <f t="shared" si="15"/>
        <v>249650</v>
      </c>
      <c r="H60" s="18">
        <f t="shared" si="15"/>
        <v>0</v>
      </c>
      <c r="I60" s="20">
        <f t="shared" si="12"/>
        <v>1248250</v>
      </c>
      <c r="J60" s="20">
        <f t="shared" si="13"/>
        <v>208041.66666666666</v>
      </c>
      <c r="K60" s="21">
        <f>I60/I13</f>
        <v>0.2575526953949599</v>
      </c>
    </row>
    <row r="61" spans="1:11" ht="12.75" customHeight="1" x14ac:dyDescent="0.15">
      <c r="A61" s="46" t="s">
        <v>119</v>
      </c>
      <c r="B61" s="46"/>
      <c r="C61" s="14">
        <f t="shared" ref="C61:H61" si="16">SUM(C53+C23+C29+C35+C42+C47+C60)</f>
        <v>845682.2</v>
      </c>
      <c r="D61" s="14">
        <f t="shared" si="16"/>
        <v>835589.6</v>
      </c>
      <c r="E61" s="14">
        <f t="shared" si="16"/>
        <v>788640.82857142854</v>
      </c>
      <c r="F61" s="14">
        <f t="shared" si="16"/>
        <v>775613.8</v>
      </c>
      <c r="G61" s="14">
        <f t="shared" si="16"/>
        <v>883174.91428571427</v>
      </c>
      <c r="H61" s="14">
        <f t="shared" si="16"/>
        <v>0</v>
      </c>
      <c r="I61" s="16">
        <f t="shared" si="12"/>
        <v>4128701.3428571424</v>
      </c>
      <c r="J61" s="16">
        <f t="shared" si="13"/>
        <v>688116.89047619037</v>
      </c>
      <c r="K61" s="13">
        <f>I61/I13</f>
        <v>0.85187915828852179</v>
      </c>
    </row>
    <row r="62" spans="1:11" ht="12.75" customHeight="1" x14ac:dyDescent="0.15">
      <c r="A62" s="46" t="s">
        <v>120</v>
      </c>
      <c r="B62" s="46"/>
      <c r="C62" s="14">
        <f t="shared" ref="C62:H62" si="17">SUM(C13-C61)</f>
        <v>561917.80000000005</v>
      </c>
      <c r="D62" s="14">
        <f t="shared" si="17"/>
        <v>416010.4</v>
      </c>
      <c r="E62" s="14">
        <f t="shared" si="17"/>
        <v>-71953.828571428545</v>
      </c>
      <c r="F62" s="14">
        <f t="shared" si="17"/>
        <v>-91713.800000000047</v>
      </c>
      <c r="G62" s="14">
        <f t="shared" si="17"/>
        <v>-353070.91428571427</v>
      </c>
      <c r="H62" s="14">
        <f t="shared" si="17"/>
        <v>256690</v>
      </c>
      <c r="I62" s="16">
        <f t="shared" si="12"/>
        <v>717879.65714285721</v>
      </c>
      <c r="J62" s="16">
        <f t="shared" si="13"/>
        <v>119646.60952380953</v>
      </c>
      <c r="K62" s="13">
        <f>I62/I13</f>
        <v>0.1481208417114781</v>
      </c>
    </row>
    <row r="63" spans="1:11" ht="12.75" customHeight="1" x14ac:dyDescent="0.15">
      <c r="A63" s="46" t="s">
        <v>121</v>
      </c>
      <c r="B63" s="46"/>
      <c r="C63" s="14">
        <v>104592.76190476191</v>
      </c>
      <c r="D63" s="14">
        <v>104592.76190476191</v>
      </c>
      <c r="E63" s="14">
        <v>104592.76190476191</v>
      </c>
      <c r="F63" s="14">
        <v>104592.76190476191</v>
      </c>
      <c r="G63" s="14">
        <v>104592.76190476191</v>
      </c>
      <c r="H63" s="14">
        <v>0</v>
      </c>
      <c r="I63" s="16">
        <f t="shared" si="12"/>
        <v>522963.80952380953</v>
      </c>
      <c r="J63" s="16">
        <f t="shared" si="13"/>
        <v>87160.634920634926</v>
      </c>
      <c r="K63" s="13">
        <f>I63/I13</f>
        <v>0.1079036561080501</v>
      </c>
    </row>
    <row r="64" spans="1:11" ht="12.75" customHeight="1" x14ac:dyDescent="0.15">
      <c r="A64" s="46" t="s">
        <v>122</v>
      </c>
      <c r="B64" s="46"/>
      <c r="C64" s="14">
        <v>32656.309523809523</v>
      </c>
      <c r="D64" s="14">
        <v>32656.309523809523</v>
      </c>
      <c r="E64" s="14">
        <v>32656.309523809523</v>
      </c>
      <c r="F64" s="14">
        <v>32656.309523809523</v>
      </c>
      <c r="G64" s="14">
        <v>32656.309523809523</v>
      </c>
      <c r="H64" s="14">
        <v>0</v>
      </c>
      <c r="I64" s="16">
        <f t="shared" si="12"/>
        <v>163281.5476190476</v>
      </c>
      <c r="J64" s="16">
        <f t="shared" si="13"/>
        <v>27213.591269841269</v>
      </c>
      <c r="K64" s="13">
        <f>I64/I13</f>
        <v>3.3690048225552736E-2</v>
      </c>
    </row>
    <row r="65" spans="1:11" ht="12.75" customHeight="1" x14ac:dyDescent="0.15">
      <c r="A65" s="46" t="s">
        <v>123</v>
      </c>
      <c r="B65" s="46"/>
      <c r="C65" s="14">
        <f t="shared" ref="C65:H65" si="18">SUM(C62-(C63+C64))</f>
        <v>424668.72857142863</v>
      </c>
      <c r="D65" s="14">
        <f t="shared" si="18"/>
        <v>278761.3285714286</v>
      </c>
      <c r="E65" s="14">
        <f t="shared" si="18"/>
        <v>-209202.89999999997</v>
      </c>
      <c r="F65" s="14">
        <f t="shared" si="18"/>
        <v>-228962.87142857147</v>
      </c>
      <c r="G65" s="14">
        <f t="shared" si="18"/>
        <v>-490319.98571428569</v>
      </c>
      <c r="H65" s="14">
        <f t="shared" si="18"/>
        <v>256690</v>
      </c>
      <c r="I65" s="16">
        <f t="shared" si="12"/>
        <v>31634.300000000105</v>
      </c>
      <c r="J65" s="16">
        <f t="shared" si="13"/>
        <v>5272.3833333333505</v>
      </c>
      <c r="K65" s="13">
        <f>I65/I13</f>
        <v>6.5271373778752698E-3</v>
      </c>
    </row>
    <row r="66" spans="1:11" x14ac:dyDescent="0.15">
      <c r="A66" s="11"/>
      <c r="B66" s="29" t="s">
        <v>46</v>
      </c>
      <c r="C66" s="11"/>
      <c r="D66" s="11"/>
      <c r="E66" s="11"/>
      <c r="F66" s="11"/>
      <c r="G66" s="11"/>
      <c r="H66" s="11"/>
    </row>
    <row r="67" spans="1:11" x14ac:dyDescent="0.15">
      <c r="A67" s="12"/>
      <c r="B67" s="30"/>
      <c r="C67" s="11"/>
      <c r="D67" s="11"/>
      <c r="E67" s="11"/>
      <c r="F67" s="11"/>
      <c r="G67" s="11"/>
      <c r="H67" s="11"/>
    </row>
    <row r="68" spans="1:11" x14ac:dyDescent="0.15">
      <c r="A68" s="12"/>
      <c r="B68" s="33" t="s">
        <v>130</v>
      </c>
      <c r="C68" s="11"/>
      <c r="D68" s="11"/>
      <c r="E68" s="11"/>
      <c r="F68" s="11"/>
      <c r="G68" s="11"/>
      <c r="H68" s="11"/>
    </row>
    <row r="69" spans="1:11" x14ac:dyDescent="0.15">
      <c r="A69" s="12"/>
      <c r="B69" s="34" t="s">
        <v>131</v>
      </c>
      <c r="C69" s="11"/>
      <c r="D69" s="11"/>
      <c r="E69" s="11"/>
      <c r="F69" s="11"/>
      <c r="G69" s="11"/>
      <c r="H69" s="11"/>
    </row>
    <row r="70" spans="1:11" x14ac:dyDescent="0.15">
      <c r="A70" s="12"/>
      <c r="B70" s="34" t="s">
        <v>41</v>
      </c>
      <c r="C70" s="11"/>
      <c r="D70" s="11"/>
      <c r="E70" s="11"/>
      <c r="F70" s="11"/>
      <c r="G70" s="11"/>
      <c r="H70" s="11"/>
    </row>
    <row r="71" spans="1:11" x14ac:dyDescent="0.15">
      <c r="A71" s="11"/>
      <c r="B71" s="35" t="s">
        <v>47</v>
      </c>
      <c r="C71" s="11"/>
      <c r="D71" s="11"/>
      <c r="E71" s="11"/>
      <c r="F71" s="11"/>
      <c r="G71" s="11"/>
      <c r="H71" s="11"/>
    </row>
    <row r="72" spans="1:11" x14ac:dyDescent="0.15">
      <c r="A72" s="11"/>
      <c r="B72" s="30"/>
      <c r="C72" s="11"/>
      <c r="D72" s="11"/>
      <c r="E72" s="11"/>
      <c r="F72" s="11"/>
      <c r="G72" s="11"/>
      <c r="H72" s="11"/>
    </row>
    <row r="73" spans="1:11" x14ac:dyDescent="0.15">
      <c r="A73" s="11"/>
      <c r="B73" s="33" t="s">
        <v>130</v>
      </c>
      <c r="C73" s="11"/>
      <c r="D73" s="11"/>
      <c r="E73" s="11"/>
      <c r="F73" s="11"/>
      <c r="G73" s="11"/>
      <c r="H73" s="11"/>
    </row>
    <row r="74" spans="1:11" x14ac:dyDescent="0.15">
      <c r="A74" s="11"/>
      <c r="B74" s="34" t="s">
        <v>131</v>
      </c>
      <c r="C74" s="11"/>
      <c r="D74" s="11"/>
      <c r="E74" s="11"/>
      <c r="F74" s="11"/>
      <c r="G74" s="11"/>
      <c r="H74" s="11"/>
    </row>
    <row r="75" spans="1:11" x14ac:dyDescent="0.15">
      <c r="A75" s="11"/>
      <c r="B75" s="34" t="s">
        <v>41</v>
      </c>
      <c r="C75" s="11"/>
      <c r="D75" s="11"/>
      <c r="E75" s="11"/>
      <c r="F75" s="11"/>
      <c r="G75" s="11"/>
      <c r="H75" s="11"/>
    </row>
    <row r="76" spans="1:11" x14ac:dyDescent="0.15">
      <c r="A76" s="11"/>
      <c r="B76" s="11" t="s">
        <v>135</v>
      </c>
      <c r="C76" s="11"/>
      <c r="D76" s="11"/>
      <c r="E76" s="11"/>
      <c r="F76" s="11"/>
      <c r="G76" s="11"/>
      <c r="H76" s="11"/>
    </row>
    <row r="77" spans="1:11" x14ac:dyDescent="0.15">
      <c r="A77" s="11"/>
      <c r="B77" s="30"/>
      <c r="C77" s="11"/>
      <c r="D77" s="11"/>
      <c r="E77" s="11"/>
      <c r="F77" s="11"/>
      <c r="G77" s="11"/>
      <c r="H77" s="11"/>
    </row>
    <row r="78" spans="1:11" x14ac:dyDescent="0.15">
      <c r="A78" s="11"/>
      <c r="B78" s="33" t="s">
        <v>130</v>
      </c>
      <c r="C78" s="11"/>
      <c r="D78" s="11"/>
      <c r="E78" s="11"/>
      <c r="F78" s="11"/>
      <c r="G78" s="11"/>
      <c r="H78" s="11"/>
    </row>
    <row r="79" spans="1:11" x14ac:dyDescent="0.15">
      <c r="A79" s="11"/>
      <c r="B79" s="34" t="s">
        <v>131</v>
      </c>
      <c r="C79" s="11"/>
      <c r="D79" s="11"/>
      <c r="E79" s="11"/>
      <c r="F79" s="11"/>
      <c r="G79" s="11"/>
      <c r="H79" s="11"/>
    </row>
    <row r="80" spans="1:11" x14ac:dyDescent="0.15">
      <c r="A80" s="11"/>
      <c r="B80" s="34" t="s">
        <v>41</v>
      </c>
      <c r="C80" s="11"/>
      <c r="D80" s="11"/>
      <c r="E80" s="11"/>
      <c r="F80" s="11"/>
      <c r="G80" s="11"/>
      <c r="H80" s="11"/>
    </row>
    <row r="81" spans="1:8" x14ac:dyDescent="0.15">
      <c r="A81" s="11"/>
      <c r="B81" s="11" t="s">
        <v>139</v>
      </c>
      <c r="C81" s="11"/>
      <c r="D81" s="11"/>
      <c r="E81" s="11"/>
      <c r="F81" s="11"/>
      <c r="G81" s="11"/>
      <c r="H81" s="11"/>
    </row>
    <row r="82" spans="1:8" x14ac:dyDescent="0.15">
      <c r="A82" s="11"/>
      <c r="B82" s="30"/>
      <c r="C82" s="11"/>
      <c r="D82" s="11"/>
      <c r="E82" s="11"/>
      <c r="F82" s="11"/>
      <c r="G82" s="11"/>
      <c r="H82" s="11"/>
    </row>
    <row r="83" spans="1:8" x14ac:dyDescent="0.15">
      <c r="A83" s="11"/>
      <c r="B83" s="33" t="s">
        <v>130</v>
      </c>
      <c r="C83" s="11"/>
      <c r="D83" s="11"/>
      <c r="E83" s="11"/>
      <c r="F83" s="11"/>
      <c r="G83" s="11"/>
      <c r="H83" s="11"/>
    </row>
    <row r="84" spans="1:8" x14ac:dyDescent="0.15">
      <c r="A84" s="11"/>
      <c r="B84" s="34" t="s">
        <v>131</v>
      </c>
      <c r="C84" s="11"/>
      <c r="D84" s="11"/>
      <c r="E84" s="11"/>
      <c r="F84" s="11"/>
      <c r="G84" s="11"/>
      <c r="H84" s="11"/>
    </row>
    <row r="85" spans="1:8" x14ac:dyDescent="0.15">
      <c r="A85" s="11"/>
      <c r="B85" s="34" t="s">
        <v>41</v>
      </c>
      <c r="C85" s="11"/>
      <c r="D85" s="11"/>
      <c r="E85" s="11"/>
      <c r="F85" s="11"/>
      <c r="G85" s="11"/>
      <c r="H85" s="11"/>
    </row>
    <row r="86" spans="1:8" x14ac:dyDescent="0.15">
      <c r="A86" s="11"/>
      <c r="B86" s="11" t="s">
        <v>143</v>
      </c>
      <c r="C86" s="11"/>
      <c r="D86" s="11"/>
      <c r="E86" s="11"/>
      <c r="F86" s="11"/>
      <c r="G86" s="11"/>
      <c r="H86" s="11"/>
    </row>
    <row r="87" spans="1:8" x14ac:dyDescent="0.15">
      <c r="A87" s="11"/>
      <c r="B87" s="30"/>
      <c r="C87" s="11"/>
      <c r="D87" s="11"/>
      <c r="E87" s="11"/>
      <c r="F87" s="11"/>
      <c r="G87" s="11"/>
      <c r="H87" s="11"/>
    </row>
    <row r="88" spans="1:8" x14ac:dyDescent="0.15">
      <c r="A88" s="11"/>
      <c r="B88" s="33" t="s">
        <v>130</v>
      </c>
      <c r="C88" s="11"/>
      <c r="D88" s="11"/>
      <c r="E88" s="11"/>
      <c r="F88" s="11"/>
      <c r="G88" s="11"/>
      <c r="H88" s="11"/>
    </row>
    <row r="89" spans="1:8" x14ac:dyDescent="0.15">
      <c r="A89" s="11"/>
      <c r="B89" s="34" t="s">
        <v>131</v>
      </c>
      <c r="C89" s="11"/>
      <c r="D89" s="11"/>
      <c r="E89" s="11"/>
      <c r="F89" s="11"/>
      <c r="G89" s="11"/>
      <c r="H89" s="11"/>
    </row>
    <row r="90" spans="1:8" x14ac:dyDescent="0.15">
      <c r="A90" s="11"/>
      <c r="B90" s="34" t="s">
        <v>41</v>
      </c>
      <c r="C90" s="11"/>
      <c r="D90" s="11"/>
      <c r="E90" s="11"/>
      <c r="F90" s="11"/>
      <c r="G90" s="11"/>
      <c r="H90" s="11"/>
    </row>
    <row r="91" spans="1:8" x14ac:dyDescent="0.15">
      <c r="A91" s="11"/>
      <c r="B91" s="11"/>
      <c r="C91" s="11"/>
      <c r="D91" s="11"/>
      <c r="E91" s="11"/>
      <c r="F91" s="11"/>
      <c r="G91" s="11"/>
      <c r="H91" s="11"/>
    </row>
    <row r="92" spans="1:8" x14ac:dyDescent="0.15">
      <c r="A92" s="11"/>
      <c r="B92" s="30"/>
      <c r="C92" s="11"/>
      <c r="D92" s="11"/>
      <c r="E92" s="11"/>
      <c r="F92" s="11"/>
      <c r="G92" s="11"/>
      <c r="H92" s="11"/>
    </row>
    <row r="93" spans="1:8" x14ac:dyDescent="0.15">
      <c r="A93" s="11"/>
      <c r="B93" s="33" t="s">
        <v>130</v>
      </c>
      <c r="C93" s="11"/>
      <c r="D93" s="11"/>
      <c r="E93" s="11"/>
      <c r="F93" s="11"/>
      <c r="G93" s="11"/>
      <c r="H93" s="11"/>
    </row>
    <row r="94" spans="1:8" x14ac:dyDescent="0.15">
      <c r="B94" s="34" t="s">
        <v>131</v>
      </c>
    </row>
    <row r="95" spans="1:8" x14ac:dyDescent="0.15">
      <c r="B95" s="34" t="s">
        <v>41</v>
      </c>
    </row>
    <row r="97" spans="2:2" x14ac:dyDescent="0.15">
      <c r="B97" s="30"/>
    </row>
    <row r="98" spans="2:2" x14ac:dyDescent="0.15">
      <c r="B98" s="33" t="s">
        <v>130</v>
      </c>
    </row>
    <row r="99" spans="2:2" x14ac:dyDescent="0.15">
      <c r="B99" s="34" t="s">
        <v>131</v>
      </c>
    </row>
    <row r="100" spans="2:2" x14ac:dyDescent="0.15">
      <c r="B100" s="34" t="s">
        <v>41</v>
      </c>
    </row>
    <row r="102" spans="2:2" x14ac:dyDescent="0.15">
      <c r="B102" s="30"/>
    </row>
    <row r="103" spans="2:2" x14ac:dyDescent="0.15">
      <c r="B103" s="33" t="s">
        <v>130</v>
      </c>
    </row>
    <row r="104" spans="2:2" x14ac:dyDescent="0.15">
      <c r="B104" s="34" t="s">
        <v>131</v>
      </c>
    </row>
    <row r="105" spans="2:2" x14ac:dyDescent="0.15">
      <c r="B105" s="34" t="s">
        <v>41</v>
      </c>
    </row>
    <row r="107" spans="2:2" x14ac:dyDescent="0.15">
      <c r="B107" s="11" t="s">
        <v>156</v>
      </c>
    </row>
  </sheetData>
  <mergeCells count="26">
    <mergeCell ref="A8:B8"/>
    <mergeCell ref="A3:B3"/>
    <mergeCell ref="A4:B4"/>
    <mergeCell ref="A5:B5"/>
    <mergeCell ref="A6:B6"/>
    <mergeCell ref="A7:B7"/>
    <mergeCell ref="A36:A42"/>
    <mergeCell ref="A9:B9"/>
    <mergeCell ref="A10:B10"/>
    <mergeCell ref="A11:B11"/>
    <mergeCell ref="A12:B12"/>
    <mergeCell ref="A13:B13"/>
    <mergeCell ref="A14:B14"/>
    <mergeCell ref="A15:B15"/>
    <mergeCell ref="A16:B16"/>
    <mergeCell ref="A17:A23"/>
    <mergeCell ref="A24:A29"/>
    <mergeCell ref="A30:A35"/>
    <mergeCell ref="A64:B64"/>
    <mergeCell ref="A65:B65"/>
    <mergeCell ref="A43:A47"/>
    <mergeCell ref="A48:A53"/>
    <mergeCell ref="A54:A60"/>
    <mergeCell ref="A61:B61"/>
    <mergeCell ref="A62:B62"/>
    <mergeCell ref="A63:B63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print="0" autoLine="0" r:id="rId5">
            <anchor>
              <from>
                <xdr:col>0</xdr:col>
                <xdr:colOff>19050</xdr:colOff>
                <xdr:row>2</xdr:row>
                <xdr:rowOff>28575</xdr:rowOff>
              </from>
              <to>
                <xdr:col>1</xdr:col>
                <xdr:colOff>485775</xdr:colOff>
                <xdr:row>6</xdr:row>
                <xdr:rowOff>9525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5C3FE-CF33-43B1-BF48-F90FCEE894B4}">
  <sheetPr codeName="Sheet7"/>
  <dimension ref="A1:K107"/>
  <sheetViews>
    <sheetView topLeftCell="A3" workbookViewId="0">
      <selection activeCell="C4" sqref="C4"/>
    </sheetView>
  </sheetViews>
  <sheetFormatPr defaultRowHeight="13.5" x14ac:dyDescent="0.15"/>
  <cols>
    <col min="1" max="1" width="2.875" style="1" bestFit="1" customWidth="1"/>
    <col min="2" max="2" width="17.625" style="1" bestFit="1" customWidth="1"/>
    <col min="3" max="8" width="11" style="1" bestFit="1" customWidth="1"/>
    <col min="9" max="9" width="13.25" style="1" bestFit="1" customWidth="1"/>
    <col min="10" max="10" width="10" style="1" bestFit="1" customWidth="1"/>
    <col min="11" max="11" width="11" style="1" bestFit="1" customWidth="1"/>
    <col min="12" max="215" width="9" style="1"/>
    <col min="216" max="216" width="2.875" style="1" bestFit="1" customWidth="1"/>
    <col min="217" max="217" width="17.625" style="1" bestFit="1" customWidth="1"/>
    <col min="218" max="218" width="11.375" style="1" bestFit="1" customWidth="1"/>
    <col min="219" max="220" width="14.125" style="1" bestFit="1" customWidth="1"/>
    <col min="221" max="221" width="11.375" style="1" bestFit="1" customWidth="1"/>
    <col min="222" max="224" width="12.5" style="1" bestFit="1" customWidth="1"/>
    <col min="225" max="225" width="11" style="1" bestFit="1" customWidth="1"/>
    <col min="226" max="244" width="13" style="1" bestFit="1" customWidth="1"/>
    <col min="245" max="248" width="11" style="1" bestFit="1" customWidth="1"/>
    <col min="249" max="251" width="12.25" style="1" bestFit="1" customWidth="1"/>
    <col min="252" max="264" width="11" style="1" bestFit="1" customWidth="1"/>
    <col min="265" max="265" width="13.25" style="1" bestFit="1" customWidth="1"/>
    <col min="266" max="266" width="10" style="1" bestFit="1" customWidth="1"/>
    <col min="267" max="267" width="11" style="1" bestFit="1" customWidth="1"/>
    <col min="268" max="471" width="9" style="1"/>
    <col min="472" max="472" width="2.875" style="1" bestFit="1" customWidth="1"/>
    <col min="473" max="473" width="17.625" style="1" bestFit="1" customWidth="1"/>
    <col min="474" max="474" width="11.375" style="1" bestFit="1" customWidth="1"/>
    <col min="475" max="476" width="14.125" style="1" bestFit="1" customWidth="1"/>
    <col min="477" max="477" width="11.375" style="1" bestFit="1" customWidth="1"/>
    <col min="478" max="480" width="12.5" style="1" bestFit="1" customWidth="1"/>
    <col min="481" max="481" width="11" style="1" bestFit="1" customWidth="1"/>
    <col min="482" max="500" width="13" style="1" bestFit="1" customWidth="1"/>
    <col min="501" max="504" width="11" style="1" bestFit="1" customWidth="1"/>
    <col min="505" max="507" width="12.25" style="1" bestFit="1" customWidth="1"/>
    <col min="508" max="520" width="11" style="1" bestFit="1" customWidth="1"/>
    <col min="521" max="521" width="13.25" style="1" bestFit="1" customWidth="1"/>
    <col min="522" max="522" width="10" style="1" bestFit="1" customWidth="1"/>
    <col min="523" max="523" width="11" style="1" bestFit="1" customWidth="1"/>
    <col min="524" max="727" width="9" style="1"/>
    <col min="728" max="728" width="2.875" style="1" bestFit="1" customWidth="1"/>
    <col min="729" max="729" width="17.625" style="1" bestFit="1" customWidth="1"/>
    <col min="730" max="730" width="11.375" style="1" bestFit="1" customWidth="1"/>
    <col min="731" max="732" width="14.125" style="1" bestFit="1" customWidth="1"/>
    <col min="733" max="733" width="11.375" style="1" bestFit="1" customWidth="1"/>
    <col min="734" max="736" width="12.5" style="1" bestFit="1" customWidth="1"/>
    <col min="737" max="737" width="11" style="1" bestFit="1" customWidth="1"/>
    <col min="738" max="756" width="13" style="1" bestFit="1" customWidth="1"/>
    <col min="757" max="760" width="11" style="1" bestFit="1" customWidth="1"/>
    <col min="761" max="763" width="12.25" style="1" bestFit="1" customWidth="1"/>
    <col min="764" max="776" width="11" style="1" bestFit="1" customWidth="1"/>
    <col min="777" max="777" width="13.25" style="1" bestFit="1" customWidth="1"/>
    <col min="778" max="778" width="10" style="1" bestFit="1" customWidth="1"/>
    <col min="779" max="779" width="11" style="1" bestFit="1" customWidth="1"/>
    <col min="780" max="983" width="9" style="1"/>
    <col min="984" max="984" width="2.875" style="1" bestFit="1" customWidth="1"/>
    <col min="985" max="985" width="17.625" style="1" bestFit="1" customWidth="1"/>
    <col min="986" max="986" width="11.375" style="1" bestFit="1" customWidth="1"/>
    <col min="987" max="988" width="14.125" style="1" bestFit="1" customWidth="1"/>
    <col min="989" max="989" width="11.375" style="1" bestFit="1" customWidth="1"/>
    <col min="990" max="992" width="12.5" style="1" bestFit="1" customWidth="1"/>
    <col min="993" max="993" width="11" style="1" bestFit="1" customWidth="1"/>
    <col min="994" max="1012" width="13" style="1" bestFit="1" customWidth="1"/>
    <col min="1013" max="1016" width="11" style="1" bestFit="1" customWidth="1"/>
    <col min="1017" max="1019" width="12.25" style="1" bestFit="1" customWidth="1"/>
    <col min="1020" max="1032" width="11" style="1" bestFit="1" customWidth="1"/>
    <col min="1033" max="1033" width="13.25" style="1" bestFit="1" customWidth="1"/>
    <col min="1034" max="1034" width="10" style="1" bestFit="1" customWidth="1"/>
    <col min="1035" max="1035" width="11" style="1" bestFit="1" customWidth="1"/>
    <col min="1036" max="1239" width="9" style="1"/>
    <col min="1240" max="1240" width="2.875" style="1" bestFit="1" customWidth="1"/>
    <col min="1241" max="1241" width="17.625" style="1" bestFit="1" customWidth="1"/>
    <col min="1242" max="1242" width="11.375" style="1" bestFit="1" customWidth="1"/>
    <col min="1243" max="1244" width="14.125" style="1" bestFit="1" customWidth="1"/>
    <col min="1245" max="1245" width="11.375" style="1" bestFit="1" customWidth="1"/>
    <col min="1246" max="1248" width="12.5" style="1" bestFit="1" customWidth="1"/>
    <col min="1249" max="1249" width="11" style="1" bestFit="1" customWidth="1"/>
    <col min="1250" max="1268" width="13" style="1" bestFit="1" customWidth="1"/>
    <col min="1269" max="1272" width="11" style="1" bestFit="1" customWidth="1"/>
    <col min="1273" max="1275" width="12.25" style="1" bestFit="1" customWidth="1"/>
    <col min="1276" max="1288" width="11" style="1" bestFit="1" customWidth="1"/>
    <col min="1289" max="1289" width="13.25" style="1" bestFit="1" customWidth="1"/>
    <col min="1290" max="1290" width="10" style="1" bestFit="1" customWidth="1"/>
    <col min="1291" max="1291" width="11" style="1" bestFit="1" customWidth="1"/>
    <col min="1292" max="1495" width="9" style="1"/>
    <col min="1496" max="1496" width="2.875" style="1" bestFit="1" customWidth="1"/>
    <col min="1497" max="1497" width="17.625" style="1" bestFit="1" customWidth="1"/>
    <col min="1498" max="1498" width="11.375" style="1" bestFit="1" customWidth="1"/>
    <col min="1499" max="1500" width="14.125" style="1" bestFit="1" customWidth="1"/>
    <col min="1501" max="1501" width="11.375" style="1" bestFit="1" customWidth="1"/>
    <col min="1502" max="1504" width="12.5" style="1" bestFit="1" customWidth="1"/>
    <col min="1505" max="1505" width="11" style="1" bestFit="1" customWidth="1"/>
    <col min="1506" max="1524" width="13" style="1" bestFit="1" customWidth="1"/>
    <col min="1525" max="1528" width="11" style="1" bestFit="1" customWidth="1"/>
    <col min="1529" max="1531" width="12.25" style="1" bestFit="1" customWidth="1"/>
    <col min="1532" max="1544" width="11" style="1" bestFit="1" customWidth="1"/>
    <col min="1545" max="1545" width="13.25" style="1" bestFit="1" customWidth="1"/>
    <col min="1546" max="1546" width="10" style="1" bestFit="1" customWidth="1"/>
    <col min="1547" max="1547" width="11" style="1" bestFit="1" customWidth="1"/>
    <col min="1548" max="1751" width="9" style="1"/>
    <col min="1752" max="1752" width="2.875" style="1" bestFit="1" customWidth="1"/>
    <col min="1753" max="1753" width="17.625" style="1" bestFit="1" customWidth="1"/>
    <col min="1754" max="1754" width="11.375" style="1" bestFit="1" customWidth="1"/>
    <col min="1755" max="1756" width="14.125" style="1" bestFit="1" customWidth="1"/>
    <col min="1757" max="1757" width="11.375" style="1" bestFit="1" customWidth="1"/>
    <col min="1758" max="1760" width="12.5" style="1" bestFit="1" customWidth="1"/>
    <col min="1761" max="1761" width="11" style="1" bestFit="1" customWidth="1"/>
    <col min="1762" max="1780" width="13" style="1" bestFit="1" customWidth="1"/>
    <col min="1781" max="1784" width="11" style="1" bestFit="1" customWidth="1"/>
    <col min="1785" max="1787" width="12.25" style="1" bestFit="1" customWidth="1"/>
    <col min="1788" max="1800" width="11" style="1" bestFit="1" customWidth="1"/>
    <col min="1801" max="1801" width="13.25" style="1" bestFit="1" customWidth="1"/>
    <col min="1802" max="1802" width="10" style="1" bestFit="1" customWidth="1"/>
    <col min="1803" max="1803" width="11" style="1" bestFit="1" customWidth="1"/>
    <col min="1804" max="2007" width="9" style="1"/>
    <col min="2008" max="2008" width="2.875" style="1" bestFit="1" customWidth="1"/>
    <col min="2009" max="2009" width="17.625" style="1" bestFit="1" customWidth="1"/>
    <col min="2010" max="2010" width="11.375" style="1" bestFit="1" customWidth="1"/>
    <col min="2011" max="2012" width="14.125" style="1" bestFit="1" customWidth="1"/>
    <col min="2013" max="2013" width="11.375" style="1" bestFit="1" customWidth="1"/>
    <col min="2014" max="2016" width="12.5" style="1" bestFit="1" customWidth="1"/>
    <col min="2017" max="2017" width="11" style="1" bestFit="1" customWidth="1"/>
    <col min="2018" max="2036" width="13" style="1" bestFit="1" customWidth="1"/>
    <col min="2037" max="2040" width="11" style="1" bestFit="1" customWidth="1"/>
    <col min="2041" max="2043" width="12.25" style="1" bestFit="1" customWidth="1"/>
    <col min="2044" max="2056" width="11" style="1" bestFit="1" customWidth="1"/>
    <col min="2057" max="2057" width="13.25" style="1" bestFit="1" customWidth="1"/>
    <col min="2058" max="2058" width="10" style="1" bestFit="1" customWidth="1"/>
    <col min="2059" max="2059" width="11" style="1" bestFit="1" customWidth="1"/>
    <col min="2060" max="2263" width="9" style="1"/>
    <col min="2264" max="2264" width="2.875" style="1" bestFit="1" customWidth="1"/>
    <col min="2265" max="2265" width="17.625" style="1" bestFit="1" customWidth="1"/>
    <col min="2266" max="2266" width="11.375" style="1" bestFit="1" customWidth="1"/>
    <col min="2267" max="2268" width="14.125" style="1" bestFit="1" customWidth="1"/>
    <col min="2269" max="2269" width="11.375" style="1" bestFit="1" customWidth="1"/>
    <col min="2270" max="2272" width="12.5" style="1" bestFit="1" customWidth="1"/>
    <col min="2273" max="2273" width="11" style="1" bestFit="1" customWidth="1"/>
    <col min="2274" max="2292" width="13" style="1" bestFit="1" customWidth="1"/>
    <col min="2293" max="2296" width="11" style="1" bestFit="1" customWidth="1"/>
    <col min="2297" max="2299" width="12.25" style="1" bestFit="1" customWidth="1"/>
    <col min="2300" max="2312" width="11" style="1" bestFit="1" customWidth="1"/>
    <col min="2313" max="2313" width="13.25" style="1" bestFit="1" customWidth="1"/>
    <col min="2314" max="2314" width="10" style="1" bestFit="1" customWidth="1"/>
    <col min="2315" max="2315" width="11" style="1" bestFit="1" customWidth="1"/>
    <col min="2316" max="2519" width="9" style="1"/>
    <col min="2520" max="2520" width="2.875" style="1" bestFit="1" customWidth="1"/>
    <col min="2521" max="2521" width="17.625" style="1" bestFit="1" customWidth="1"/>
    <col min="2522" max="2522" width="11.375" style="1" bestFit="1" customWidth="1"/>
    <col min="2523" max="2524" width="14.125" style="1" bestFit="1" customWidth="1"/>
    <col min="2525" max="2525" width="11.375" style="1" bestFit="1" customWidth="1"/>
    <col min="2526" max="2528" width="12.5" style="1" bestFit="1" customWidth="1"/>
    <col min="2529" max="2529" width="11" style="1" bestFit="1" customWidth="1"/>
    <col min="2530" max="2548" width="13" style="1" bestFit="1" customWidth="1"/>
    <col min="2549" max="2552" width="11" style="1" bestFit="1" customWidth="1"/>
    <col min="2553" max="2555" width="12.25" style="1" bestFit="1" customWidth="1"/>
    <col min="2556" max="2568" width="11" style="1" bestFit="1" customWidth="1"/>
    <col min="2569" max="2569" width="13.25" style="1" bestFit="1" customWidth="1"/>
    <col min="2570" max="2570" width="10" style="1" bestFit="1" customWidth="1"/>
    <col min="2571" max="2571" width="11" style="1" bestFit="1" customWidth="1"/>
    <col min="2572" max="2775" width="9" style="1"/>
    <col min="2776" max="2776" width="2.875" style="1" bestFit="1" customWidth="1"/>
    <col min="2777" max="2777" width="17.625" style="1" bestFit="1" customWidth="1"/>
    <col min="2778" max="2778" width="11.375" style="1" bestFit="1" customWidth="1"/>
    <col min="2779" max="2780" width="14.125" style="1" bestFit="1" customWidth="1"/>
    <col min="2781" max="2781" width="11.375" style="1" bestFit="1" customWidth="1"/>
    <col min="2782" max="2784" width="12.5" style="1" bestFit="1" customWidth="1"/>
    <col min="2785" max="2785" width="11" style="1" bestFit="1" customWidth="1"/>
    <col min="2786" max="2804" width="13" style="1" bestFit="1" customWidth="1"/>
    <col min="2805" max="2808" width="11" style="1" bestFit="1" customWidth="1"/>
    <col min="2809" max="2811" width="12.25" style="1" bestFit="1" customWidth="1"/>
    <col min="2812" max="2824" width="11" style="1" bestFit="1" customWidth="1"/>
    <col min="2825" max="2825" width="13.25" style="1" bestFit="1" customWidth="1"/>
    <col min="2826" max="2826" width="10" style="1" bestFit="1" customWidth="1"/>
    <col min="2827" max="2827" width="11" style="1" bestFit="1" customWidth="1"/>
    <col min="2828" max="3031" width="9" style="1"/>
    <col min="3032" max="3032" width="2.875" style="1" bestFit="1" customWidth="1"/>
    <col min="3033" max="3033" width="17.625" style="1" bestFit="1" customWidth="1"/>
    <col min="3034" max="3034" width="11.375" style="1" bestFit="1" customWidth="1"/>
    <col min="3035" max="3036" width="14.125" style="1" bestFit="1" customWidth="1"/>
    <col min="3037" max="3037" width="11.375" style="1" bestFit="1" customWidth="1"/>
    <col min="3038" max="3040" width="12.5" style="1" bestFit="1" customWidth="1"/>
    <col min="3041" max="3041" width="11" style="1" bestFit="1" customWidth="1"/>
    <col min="3042" max="3060" width="13" style="1" bestFit="1" customWidth="1"/>
    <col min="3061" max="3064" width="11" style="1" bestFit="1" customWidth="1"/>
    <col min="3065" max="3067" width="12.25" style="1" bestFit="1" customWidth="1"/>
    <col min="3068" max="3080" width="11" style="1" bestFit="1" customWidth="1"/>
    <col min="3081" max="3081" width="13.25" style="1" bestFit="1" customWidth="1"/>
    <col min="3082" max="3082" width="10" style="1" bestFit="1" customWidth="1"/>
    <col min="3083" max="3083" width="11" style="1" bestFit="1" customWidth="1"/>
    <col min="3084" max="3287" width="9" style="1"/>
    <col min="3288" max="3288" width="2.875" style="1" bestFit="1" customWidth="1"/>
    <col min="3289" max="3289" width="17.625" style="1" bestFit="1" customWidth="1"/>
    <col min="3290" max="3290" width="11.375" style="1" bestFit="1" customWidth="1"/>
    <col min="3291" max="3292" width="14.125" style="1" bestFit="1" customWidth="1"/>
    <col min="3293" max="3293" width="11.375" style="1" bestFit="1" customWidth="1"/>
    <col min="3294" max="3296" width="12.5" style="1" bestFit="1" customWidth="1"/>
    <col min="3297" max="3297" width="11" style="1" bestFit="1" customWidth="1"/>
    <col min="3298" max="3316" width="13" style="1" bestFit="1" customWidth="1"/>
    <col min="3317" max="3320" width="11" style="1" bestFit="1" customWidth="1"/>
    <col min="3321" max="3323" width="12.25" style="1" bestFit="1" customWidth="1"/>
    <col min="3324" max="3336" width="11" style="1" bestFit="1" customWidth="1"/>
    <col min="3337" max="3337" width="13.25" style="1" bestFit="1" customWidth="1"/>
    <col min="3338" max="3338" width="10" style="1" bestFit="1" customWidth="1"/>
    <col min="3339" max="3339" width="11" style="1" bestFit="1" customWidth="1"/>
    <col min="3340" max="3543" width="9" style="1"/>
    <col min="3544" max="3544" width="2.875" style="1" bestFit="1" customWidth="1"/>
    <col min="3545" max="3545" width="17.625" style="1" bestFit="1" customWidth="1"/>
    <col min="3546" max="3546" width="11.375" style="1" bestFit="1" customWidth="1"/>
    <col min="3547" max="3548" width="14.125" style="1" bestFit="1" customWidth="1"/>
    <col min="3549" max="3549" width="11.375" style="1" bestFit="1" customWidth="1"/>
    <col min="3550" max="3552" width="12.5" style="1" bestFit="1" customWidth="1"/>
    <col min="3553" max="3553" width="11" style="1" bestFit="1" customWidth="1"/>
    <col min="3554" max="3572" width="13" style="1" bestFit="1" customWidth="1"/>
    <col min="3573" max="3576" width="11" style="1" bestFit="1" customWidth="1"/>
    <col min="3577" max="3579" width="12.25" style="1" bestFit="1" customWidth="1"/>
    <col min="3580" max="3592" width="11" style="1" bestFit="1" customWidth="1"/>
    <col min="3593" max="3593" width="13.25" style="1" bestFit="1" customWidth="1"/>
    <col min="3594" max="3594" width="10" style="1" bestFit="1" customWidth="1"/>
    <col min="3595" max="3595" width="11" style="1" bestFit="1" customWidth="1"/>
    <col min="3596" max="3799" width="9" style="1"/>
    <col min="3800" max="3800" width="2.875" style="1" bestFit="1" customWidth="1"/>
    <col min="3801" max="3801" width="17.625" style="1" bestFit="1" customWidth="1"/>
    <col min="3802" max="3802" width="11.375" style="1" bestFit="1" customWidth="1"/>
    <col min="3803" max="3804" width="14.125" style="1" bestFit="1" customWidth="1"/>
    <col min="3805" max="3805" width="11.375" style="1" bestFit="1" customWidth="1"/>
    <col min="3806" max="3808" width="12.5" style="1" bestFit="1" customWidth="1"/>
    <col min="3809" max="3809" width="11" style="1" bestFit="1" customWidth="1"/>
    <col min="3810" max="3828" width="13" style="1" bestFit="1" customWidth="1"/>
    <col min="3829" max="3832" width="11" style="1" bestFit="1" customWidth="1"/>
    <col min="3833" max="3835" width="12.25" style="1" bestFit="1" customWidth="1"/>
    <col min="3836" max="3848" width="11" style="1" bestFit="1" customWidth="1"/>
    <col min="3849" max="3849" width="13.25" style="1" bestFit="1" customWidth="1"/>
    <col min="3850" max="3850" width="10" style="1" bestFit="1" customWidth="1"/>
    <col min="3851" max="3851" width="11" style="1" bestFit="1" customWidth="1"/>
    <col min="3852" max="4055" width="9" style="1"/>
    <col min="4056" max="4056" width="2.875" style="1" bestFit="1" customWidth="1"/>
    <col min="4057" max="4057" width="17.625" style="1" bestFit="1" customWidth="1"/>
    <col min="4058" max="4058" width="11.375" style="1" bestFit="1" customWidth="1"/>
    <col min="4059" max="4060" width="14.125" style="1" bestFit="1" customWidth="1"/>
    <col min="4061" max="4061" width="11.375" style="1" bestFit="1" customWidth="1"/>
    <col min="4062" max="4064" width="12.5" style="1" bestFit="1" customWidth="1"/>
    <col min="4065" max="4065" width="11" style="1" bestFit="1" customWidth="1"/>
    <col min="4066" max="4084" width="13" style="1" bestFit="1" customWidth="1"/>
    <col min="4085" max="4088" width="11" style="1" bestFit="1" customWidth="1"/>
    <col min="4089" max="4091" width="12.25" style="1" bestFit="1" customWidth="1"/>
    <col min="4092" max="4104" width="11" style="1" bestFit="1" customWidth="1"/>
    <col min="4105" max="4105" width="13.25" style="1" bestFit="1" customWidth="1"/>
    <col min="4106" max="4106" width="10" style="1" bestFit="1" customWidth="1"/>
    <col min="4107" max="4107" width="11" style="1" bestFit="1" customWidth="1"/>
    <col min="4108" max="4311" width="9" style="1"/>
    <col min="4312" max="4312" width="2.875" style="1" bestFit="1" customWidth="1"/>
    <col min="4313" max="4313" width="17.625" style="1" bestFit="1" customWidth="1"/>
    <col min="4314" max="4314" width="11.375" style="1" bestFit="1" customWidth="1"/>
    <col min="4315" max="4316" width="14.125" style="1" bestFit="1" customWidth="1"/>
    <col min="4317" max="4317" width="11.375" style="1" bestFit="1" customWidth="1"/>
    <col min="4318" max="4320" width="12.5" style="1" bestFit="1" customWidth="1"/>
    <col min="4321" max="4321" width="11" style="1" bestFit="1" customWidth="1"/>
    <col min="4322" max="4340" width="13" style="1" bestFit="1" customWidth="1"/>
    <col min="4341" max="4344" width="11" style="1" bestFit="1" customWidth="1"/>
    <col min="4345" max="4347" width="12.25" style="1" bestFit="1" customWidth="1"/>
    <col min="4348" max="4360" width="11" style="1" bestFit="1" customWidth="1"/>
    <col min="4361" max="4361" width="13.25" style="1" bestFit="1" customWidth="1"/>
    <col min="4362" max="4362" width="10" style="1" bestFit="1" customWidth="1"/>
    <col min="4363" max="4363" width="11" style="1" bestFit="1" customWidth="1"/>
    <col min="4364" max="4567" width="9" style="1"/>
    <col min="4568" max="4568" width="2.875" style="1" bestFit="1" customWidth="1"/>
    <col min="4569" max="4569" width="17.625" style="1" bestFit="1" customWidth="1"/>
    <col min="4570" max="4570" width="11.375" style="1" bestFit="1" customWidth="1"/>
    <col min="4571" max="4572" width="14.125" style="1" bestFit="1" customWidth="1"/>
    <col min="4573" max="4573" width="11.375" style="1" bestFit="1" customWidth="1"/>
    <col min="4574" max="4576" width="12.5" style="1" bestFit="1" customWidth="1"/>
    <col min="4577" max="4577" width="11" style="1" bestFit="1" customWidth="1"/>
    <col min="4578" max="4596" width="13" style="1" bestFit="1" customWidth="1"/>
    <col min="4597" max="4600" width="11" style="1" bestFit="1" customWidth="1"/>
    <col min="4601" max="4603" width="12.25" style="1" bestFit="1" customWidth="1"/>
    <col min="4604" max="4616" width="11" style="1" bestFit="1" customWidth="1"/>
    <col min="4617" max="4617" width="13.25" style="1" bestFit="1" customWidth="1"/>
    <col min="4618" max="4618" width="10" style="1" bestFit="1" customWidth="1"/>
    <col min="4619" max="4619" width="11" style="1" bestFit="1" customWidth="1"/>
    <col min="4620" max="4823" width="9" style="1"/>
    <col min="4824" max="4824" width="2.875" style="1" bestFit="1" customWidth="1"/>
    <col min="4825" max="4825" width="17.625" style="1" bestFit="1" customWidth="1"/>
    <col min="4826" max="4826" width="11.375" style="1" bestFit="1" customWidth="1"/>
    <col min="4827" max="4828" width="14.125" style="1" bestFit="1" customWidth="1"/>
    <col min="4829" max="4829" width="11.375" style="1" bestFit="1" customWidth="1"/>
    <col min="4830" max="4832" width="12.5" style="1" bestFit="1" customWidth="1"/>
    <col min="4833" max="4833" width="11" style="1" bestFit="1" customWidth="1"/>
    <col min="4834" max="4852" width="13" style="1" bestFit="1" customWidth="1"/>
    <col min="4853" max="4856" width="11" style="1" bestFit="1" customWidth="1"/>
    <col min="4857" max="4859" width="12.25" style="1" bestFit="1" customWidth="1"/>
    <col min="4860" max="4872" width="11" style="1" bestFit="1" customWidth="1"/>
    <col min="4873" max="4873" width="13.25" style="1" bestFit="1" customWidth="1"/>
    <col min="4874" max="4874" width="10" style="1" bestFit="1" customWidth="1"/>
    <col min="4875" max="4875" width="11" style="1" bestFit="1" customWidth="1"/>
    <col min="4876" max="5079" width="9" style="1"/>
    <col min="5080" max="5080" width="2.875" style="1" bestFit="1" customWidth="1"/>
    <col min="5081" max="5081" width="17.625" style="1" bestFit="1" customWidth="1"/>
    <col min="5082" max="5082" width="11.375" style="1" bestFit="1" customWidth="1"/>
    <col min="5083" max="5084" width="14.125" style="1" bestFit="1" customWidth="1"/>
    <col min="5085" max="5085" width="11.375" style="1" bestFit="1" customWidth="1"/>
    <col min="5086" max="5088" width="12.5" style="1" bestFit="1" customWidth="1"/>
    <col min="5089" max="5089" width="11" style="1" bestFit="1" customWidth="1"/>
    <col min="5090" max="5108" width="13" style="1" bestFit="1" customWidth="1"/>
    <col min="5109" max="5112" width="11" style="1" bestFit="1" customWidth="1"/>
    <col min="5113" max="5115" width="12.25" style="1" bestFit="1" customWidth="1"/>
    <col min="5116" max="5128" width="11" style="1" bestFit="1" customWidth="1"/>
    <col min="5129" max="5129" width="13.25" style="1" bestFit="1" customWidth="1"/>
    <col min="5130" max="5130" width="10" style="1" bestFit="1" customWidth="1"/>
    <col min="5131" max="5131" width="11" style="1" bestFit="1" customWidth="1"/>
    <col min="5132" max="5335" width="9" style="1"/>
    <col min="5336" max="5336" width="2.875" style="1" bestFit="1" customWidth="1"/>
    <col min="5337" max="5337" width="17.625" style="1" bestFit="1" customWidth="1"/>
    <col min="5338" max="5338" width="11.375" style="1" bestFit="1" customWidth="1"/>
    <col min="5339" max="5340" width="14.125" style="1" bestFit="1" customWidth="1"/>
    <col min="5341" max="5341" width="11.375" style="1" bestFit="1" customWidth="1"/>
    <col min="5342" max="5344" width="12.5" style="1" bestFit="1" customWidth="1"/>
    <col min="5345" max="5345" width="11" style="1" bestFit="1" customWidth="1"/>
    <col min="5346" max="5364" width="13" style="1" bestFit="1" customWidth="1"/>
    <col min="5365" max="5368" width="11" style="1" bestFit="1" customWidth="1"/>
    <col min="5369" max="5371" width="12.25" style="1" bestFit="1" customWidth="1"/>
    <col min="5372" max="5384" width="11" style="1" bestFit="1" customWidth="1"/>
    <col min="5385" max="5385" width="13.25" style="1" bestFit="1" customWidth="1"/>
    <col min="5386" max="5386" width="10" style="1" bestFit="1" customWidth="1"/>
    <col min="5387" max="5387" width="11" style="1" bestFit="1" customWidth="1"/>
    <col min="5388" max="5591" width="9" style="1"/>
    <col min="5592" max="5592" width="2.875" style="1" bestFit="1" customWidth="1"/>
    <col min="5593" max="5593" width="17.625" style="1" bestFit="1" customWidth="1"/>
    <col min="5594" max="5594" width="11.375" style="1" bestFit="1" customWidth="1"/>
    <col min="5595" max="5596" width="14.125" style="1" bestFit="1" customWidth="1"/>
    <col min="5597" max="5597" width="11.375" style="1" bestFit="1" customWidth="1"/>
    <col min="5598" max="5600" width="12.5" style="1" bestFit="1" customWidth="1"/>
    <col min="5601" max="5601" width="11" style="1" bestFit="1" customWidth="1"/>
    <col min="5602" max="5620" width="13" style="1" bestFit="1" customWidth="1"/>
    <col min="5621" max="5624" width="11" style="1" bestFit="1" customWidth="1"/>
    <col min="5625" max="5627" width="12.25" style="1" bestFit="1" customWidth="1"/>
    <col min="5628" max="5640" width="11" style="1" bestFit="1" customWidth="1"/>
    <col min="5641" max="5641" width="13.25" style="1" bestFit="1" customWidth="1"/>
    <col min="5642" max="5642" width="10" style="1" bestFit="1" customWidth="1"/>
    <col min="5643" max="5643" width="11" style="1" bestFit="1" customWidth="1"/>
    <col min="5644" max="5847" width="9" style="1"/>
    <col min="5848" max="5848" width="2.875" style="1" bestFit="1" customWidth="1"/>
    <col min="5849" max="5849" width="17.625" style="1" bestFit="1" customWidth="1"/>
    <col min="5850" max="5850" width="11.375" style="1" bestFit="1" customWidth="1"/>
    <col min="5851" max="5852" width="14.125" style="1" bestFit="1" customWidth="1"/>
    <col min="5853" max="5853" width="11.375" style="1" bestFit="1" customWidth="1"/>
    <col min="5854" max="5856" width="12.5" style="1" bestFit="1" customWidth="1"/>
    <col min="5857" max="5857" width="11" style="1" bestFit="1" customWidth="1"/>
    <col min="5858" max="5876" width="13" style="1" bestFit="1" customWidth="1"/>
    <col min="5877" max="5880" width="11" style="1" bestFit="1" customWidth="1"/>
    <col min="5881" max="5883" width="12.25" style="1" bestFit="1" customWidth="1"/>
    <col min="5884" max="5896" width="11" style="1" bestFit="1" customWidth="1"/>
    <col min="5897" max="5897" width="13.25" style="1" bestFit="1" customWidth="1"/>
    <col min="5898" max="5898" width="10" style="1" bestFit="1" customWidth="1"/>
    <col min="5899" max="5899" width="11" style="1" bestFit="1" customWidth="1"/>
    <col min="5900" max="6103" width="9" style="1"/>
    <col min="6104" max="6104" width="2.875" style="1" bestFit="1" customWidth="1"/>
    <col min="6105" max="6105" width="17.625" style="1" bestFit="1" customWidth="1"/>
    <col min="6106" max="6106" width="11.375" style="1" bestFit="1" customWidth="1"/>
    <col min="6107" max="6108" width="14.125" style="1" bestFit="1" customWidth="1"/>
    <col min="6109" max="6109" width="11.375" style="1" bestFit="1" customWidth="1"/>
    <col min="6110" max="6112" width="12.5" style="1" bestFit="1" customWidth="1"/>
    <col min="6113" max="6113" width="11" style="1" bestFit="1" customWidth="1"/>
    <col min="6114" max="6132" width="13" style="1" bestFit="1" customWidth="1"/>
    <col min="6133" max="6136" width="11" style="1" bestFit="1" customWidth="1"/>
    <col min="6137" max="6139" width="12.25" style="1" bestFit="1" customWidth="1"/>
    <col min="6140" max="6152" width="11" style="1" bestFit="1" customWidth="1"/>
    <col min="6153" max="6153" width="13.25" style="1" bestFit="1" customWidth="1"/>
    <col min="6154" max="6154" width="10" style="1" bestFit="1" customWidth="1"/>
    <col min="6155" max="6155" width="11" style="1" bestFit="1" customWidth="1"/>
    <col min="6156" max="6359" width="9" style="1"/>
    <col min="6360" max="6360" width="2.875" style="1" bestFit="1" customWidth="1"/>
    <col min="6361" max="6361" width="17.625" style="1" bestFit="1" customWidth="1"/>
    <col min="6362" max="6362" width="11.375" style="1" bestFit="1" customWidth="1"/>
    <col min="6363" max="6364" width="14.125" style="1" bestFit="1" customWidth="1"/>
    <col min="6365" max="6365" width="11.375" style="1" bestFit="1" customWidth="1"/>
    <col min="6366" max="6368" width="12.5" style="1" bestFit="1" customWidth="1"/>
    <col min="6369" max="6369" width="11" style="1" bestFit="1" customWidth="1"/>
    <col min="6370" max="6388" width="13" style="1" bestFit="1" customWidth="1"/>
    <col min="6389" max="6392" width="11" style="1" bestFit="1" customWidth="1"/>
    <col min="6393" max="6395" width="12.25" style="1" bestFit="1" customWidth="1"/>
    <col min="6396" max="6408" width="11" style="1" bestFit="1" customWidth="1"/>
    <col min="6409" max="6409" width="13.25" style="1" bestFit="1" customWidth="1"/>
    <col min="6410" max="6410" width="10" style="1" bestFit="1" customWidth="1"/>
    <col min="6411" max="6411" width="11" style="1" bestFit="1" customWidth="1"/>
    <col min="6412" max="6615" width="9" style="1"/>
    <col min="6616" max="6616" width="2.875" style="1" bestFit="1" customWidth="1"/>
    <col min="6617" max="6617" width="17.625" style="1" bestFit="1" customWidth="1"/>
    <col min="6618" max="6618" width="11.375" style="1" bestFit="1" customWidth="1"/>
    <col min="6619" max="6620" width="14.125" style="1" bestFit="1" customWidth="1"/>
    <col min="6621" max="6621" width="11.375" style="1" bestFit="1" customWidth="1"/>
    <col min="6622" max="6624" width="12.5" style="1" bestFit="1" customWidth="1"/>
    <col min="6625" max="6625" width="11" style="1" bestFit="1" customWidth="1"/>
    <col min="6626" max="6644" width="13" style="1" bestFit="1" customWidth="1"/>
    <col min="6645" max="6648" width="11" style="1" bestFit="1" customWidth="1"/>
    <col min="6649" max="6651" width="12.25" style="1" bestFit="1" customWidth="1"/>
    <col min="6652" max="6664" width="11" style="1" bestFit="1" customWidth="1"/>
    <col min="6665" max="6665" width="13.25" style="1" bestFit="1" customWidth="1"/>
    <col min="6666" max="6666" width="10" style="1" bestFit="1" customWidth="1"/>
    <col min="6667" max="6667" width="11" style="1" bestFit="1" customWidth="1"/>
    <col min="6668" max="6871" width="9" style="1"/>
    <col min="6872" max="6872" width="2.875" style="1" bestFit="1" customWidth="1"/>
    <col min="6873" max="6873" width="17.625" style="1" bestFit="1" customWidth="1"/>
    <col min="6874" max="6874" width="11.375" style="1" bestFit="1" customWidth="1"/>
    <col min="6875" max="6876" width="14.125" style="1" bestFit="1" customWidth="1"/>
    <col min="6877" max="6877" width="11.375" style="1" bestFit="1" customWidth="1"/>
    <col min="6878" max="6880" width="12.5" style="1" bestFit="1" customWidth="1"/>
    <col min="6881" max="6881" width="11" style="1" bestFit="1" customWidth="1"/>
    <col min="6882" max="6900" width="13" style="1" bestFit="1" customWidth="1"/>
    <col min="6901" max="6904" width="11" style="1" bestFit="1" customWidth="1"/>
    <col min="6905" max="6907" width="12.25" style="1" bestFit="1" customWidth="1"/>
    <col min="6908" max="6920" width="11" style="1" bestFit="1" customWidth="1"/>
    <col min="6921" max="6921" width="13.25" style="1" bestFit="1" customWidth="1"/>
    <col min="6922" max="6922" width="10" style="1" bestFit="1" customWidth="1"/>
    <col min="6923" max="6923" width="11" style="1" bestFit="1" customWidth="1"/>
    <col min="6924" max="7127" width="9" style="1"/>
    <col min="7128" max="7128" width="2.875" style="1" bestFit="1" customWidth="1"/>
    <col min="7129" max="7129" width="17.625" style="1" bestFit="1" customWidth="1"/>
    <col min="7130" max="7130" width="11.375" style="1" bestFit="1" customWidth="1"/>
    <col min="7131" max="7132" width="14.125" style="1" bestFit="1" customWidth="1"/>
    <col min="7133" max="7133" width="11.375" style="1" bestFit="1" customWidth="1"/>
    <col min="7134" max="7136" width="12.5" style="1" bestFit="1" customWidth="1"/>
    <col min="7137" max="7137" width="11" style="1" bestFit="1" customWidth="1"/>
    <col min="7138" max="7156" width="13" style="1" bestFit="1" customWidth="1"/>
    <col min="7157" max="7160" width="11" style="1" bestFit="1" customWidth="1"/>
    <col min="7161" max="7163" width="12.25" style="1" bestFit="1" customWidth="1"/>
    <col min="7164" max="7176" width="11" style="1" bestFit="1" customWidth="1"/>
    <col min="7177" max="7177" width="13.25" style="1" bestFit="1" customWidth="1"/>
    <col min="7178" max="7178" width="10" style="1" bestFit="1" customWidth="1"/>
    <col min="7179" max="7179" width="11" style="1" bestFit="1" customWidth="1"/>
    <col min="7180" max="7383" width="9" style="1"/>
    <col min="7384" max="7384" width="2.875" style="1" bestFit="1" customWidth="1"/>
    <col min="7385" max="7385" width="17.625" style="1" bestFit="1" customWidth="1"/>
    <col min="7386" max="7386" width="11.375" style="1" bestFit="1" customWidth="1"/>
    <col min="7387" max="7388" width="14.125" style="1" bestFit="1" customWidth="1"/>
    <col min="7389" max="7389" width="11.375" style="1" bestFit="1" customWidth="1"/>
    <col min="7390" max="7392" width="12.5" style="1" bestFit="1" customWidth="1"/>
    <col min="7393" max="7393" width="11" style="1" bestFit="1" customWidth="1"/>
    <col min="7394" max="7412" width="13" style="1" bestFit="1" customWidth="1"/>
    <col min="7413" max="7416" width="11" style="1" bestFit="1" customWidth="1"/>
    <col min="7417" max="7419" width="12.25" style="1" bestFit="1" customWidth="1"/>
    <col min="7420" max="7432" width="11" style="1" bestFit="1" customWidth="1"/>
    <col min="7433" max="7433" width="13.25" style="1" bestFit="1" customWidth="1"/>
    <col min="7434" max="7434" width="10" style="1" bestFit="1" customWidth="1"/>
    <col min="7435" max="7435" width="11" style="1" bestFit="1" customWidth="1"/>
    <col min="7436" max="7639" width="9" style="1"/>
    <col min="7640" max="7640" width="2.875" style="1" bestFit="1" customWidth="1"/>
    <col min="7641" max="7641" width="17.625" style="1" bestFit="1" customWidth="1"/>
    <col min="7642" max="7642" width="11.375" style="1" bestFit="1" customWidth="1"/>
    <col min="7643" max="7644" width="14.125" style="1" bestFit="1" customWidth="1"/>
    <col min="7645" max="7645" width="11.375" style="1" bestFit="1" customWidth="1"/>
    <col min="7646" max="7648" width="12.5" style="1" bestFit="1" customWidth="1"/>
    <col min="7649" max="7649" width="11" style="1" bestFit="1" customWidth="1"/>
    <col min="7650" max="7668" width="13" style="1" bestFit="1" customWidth="1"/>
    <col min="7669" max="7672" width="11" style="1" bestFit="1" customWidth="1"/>
    <col min="7673" max="7675" width="12.25" style="1" bestFit="1" customWidth="1"/>
    <col min="7676" max="7688" width="11" style="1" bestFit="1" customWidth="1"/>
    <col min="7689" max="7689" width="13.25" style="1" bestFit="1" customWidth="1"/>
    <col min="7690" max="7690" width="10" style="1" bestFit="1" customWidth="1"/>
    <col min="7691" max="7691" width="11" style="1" bestFit="1" customWidth="1"/>
    <col min="7692" max="7895" width="9" style="1"/>
    <col min="7896" max="7896" width="2.875" style="1" bestFit="1" customWidth="1"/>
    <col min="7897" max="7897" width="17.625" style="1" bestFit="1" customWidth="1"/>
    <col min="7898" max="7898" width="11.375" style="1" bestFit="1" customWidth="1"/>
    <col min="7899" max="7900" width="14.125" style="1" bestFit="1" customWidth="1"/>
    <col min="7901" max="7901" width="11.375" style="1" bestFit="1" customWidth="1"/>
    <col min="7902" max="7904" width="12.5" style="1" bestFit="1" customWidth="1"/>
    <col min="7905" max="7905" width="11" style="1" bestFit="1" customWidth="1"/>
    <col min="7906" max="7924" width="13" style="1" bestFit="1" customWidth="1"/>
    <col min="7925" max="7928" width="11" style="1" bestFit="1" customWidth="1"/>
    <col min="7929" max="7931" width="12.25" style="1" bestFit="1" customWidth="1"/>
    <col min="7932" max="7944" width="11" style="1" bestFit="1" customWidth="1"/>
    <col min="7945" max="7945" width="13.25" style="1" bestFit="1" customWidth="1"/>
    <col min="7946" max="7946" width="10" style="1" bestFit="1" customWidth="1"/>
    <col min="7947" max="7947" width="11" style="1" bestFit="1" customWidth="1"/>
    <col min="7948" max="8151" width="9" style="1"/>
    <col min="8152" max="8152" width="2.875" style="1" bestFit="1" customWidth="1"/>
    <col min="8153" max="8153" width="17.625" style="1" bestFit="1" customWidth="1"/>
    <col min="8154" max="8154" width="11.375" style="1" bestFit="1" customWidth="1"/>
    <col min="8155" max="8156" width="14.125" style="1" bestFit="1" customWidth="1"/>
    <col min="8157" max="8157" width="11.375" style="1" bestFit="1" customWidth="1"/>
    <col min="8158" max="8160" width="12.5" style="1" bestFit="1" customWidth="1"/>
    <col min="8161" max="8161" width="11" style="1" bestFit="1" customWidth="1"/>
    <col min="8162" max="8180" width="13" style="1" bestFit="1" customWidth="1"/>
    <col min="8181" max="8184" width="11" style="1" bestFit="1" customWidth="1"/>
    <col min="8185" max="8187" width="12.25" style="1" bestFit="1" customWidth="1"/>
    <col min="8188" max="8200" width="11" style="1" bestFit="1" customWidth="1"/>
    <col min="8201" max="8201" width="13.25" style="1" bestFit="1" customWidth="1"/>
    <col min="8202" max="8202" width="10" style="1" bestFit="1" customWidth="1"/>
    <col min="8203" max="8203" width="11" style="1" bestFit="1" customWidth="1"/>
    <col min="8204" max="8407" width="9" style="1"/>
    <col min="8408" max="8408" width="2.875" style="1" bestFit="1" customWidth="1"/>
    <col min="8409" max="8409" width="17.625" style="1" bestFit="1" customWidth="1"/>
    <col min="8410" max="8410" width="11.375" style="1" bestFit="1" customWidth="1"/>
    <col min="8411" max="8412" width="14.125" style="1" bestFit="1" customWidth="1"/>
    <col min="8413" max="8413" width="11.375" style="1" bestFit="1" customWidth="1"/>
    <col min="8414" max="8416" width="12.5" style="1" bestFit="1" customWidth="1"/>
    <col min="8417" max="8417" width="11" style="1" bestFit="1" customWidth="1"/>
    <col min="8418" max="8436" width="13" style="1" bestFit="1" customWidth="1"/>
    <col min="8437" max="8440" width="11" style="1" bestFit="1" customWidth="1"/>
    <col min="8441" max="8443" width="12.25" style="1" bestFit="1" customWidth="1"/>
    <col min="8444" max="8456" width="11" style="1" bestFit="1" customWidth="1"/>
    <col min="8457" max="8457" width="13.25" style="1" bestFit="1" customWidth="1"/>
    <col min="8458" max="8458" width="10" style="1" bestFit="1" customWidth="1"/>
    <col min="8459" max="8459" width="11" style="1" bestFit="1" customWidth="1"/>
    <col min="8460" max="8663" width="9" style="1"/>
    <col min="8664" max="8664" width="2.875" style="1" bestFit="1" customWidth="1"/>
    <col min="8665" max="8665" width="17.625" style="1" bestFit="1" customWidth="1"/>
    <col min="8666" max="8666" width="11.375" style="1" bestFit="1" customWidth="1"/>
    <col min="8667" max="8668" width="14.125" style="1" bestFit="1" customWidth="1"/>
    <col min="8669" max="8669" width="11.375" style="1" bestFit="1" customWidth="1"/>
    <col min="8670" max="8672" width="12.5" style="1" bestFit="1" customWidth="1"/>
    <col min="8673" max="8673" width="11" style="1" bestFit="1" customWidth="1"/>
    <col min="8674" max="8692" width="13" style="1" bestFit="1" customWidth="1"/>
    <col min="8693" max="8696" width="11" style="1" bestFit="1" customWidth="1"/>
    <col min="8697" max="8699" width="12.25" style="1" bestFit="1" customWidth="1"/>
    <col min="8700" max="8712" width="11" style="1" bestFit="1" customWidth="1"/>
    <col min="8713" max="8713" width="13.25" style="1" bestFit="1" customWidth="1"/>
    <col min="8714" max="8714" width="10" style="1" bestFit="1" customWidth="1"/>
    <col min="8715" max="8715" width="11" style="1" bestFit="1" customWidth="1"/>
    <col min="8716" max="8919" width="9" style="1"/>
    <col min="8920" max="8920" width="2.875" style="1" bestFit="1" customWidth="1"/>
    <col min="8921" max="8921" width="17.625" style="1" bestFit="1" customWidth="1"/>
    <col min="8922" max="8922" width="11.375" style="1" bestFit="1" customWidth="1"/>
    <col min="8923" max="8924" width="14.125" style="1" bestFit="1" customWidth="1"/>
    <col min="8925" max="8925" width="11.375" style="1" bestFit="1" customWidth="1"/>
    <col min="8926" max="8928" width="12.5" style="1" bestFit="1" customWidth="1"/>
    <col min="8929" max="8929" width="11" style="1" bestFit="1" customWidth="1"/>
    <col min="8930" max="8948" width="13" style="1" bestFit="1" customWidth="1"/>
    <col min="8949" max="8952" width="11" style="1" bestFit="1" customWidth="1"/>
    <col min="8953" max="8955" width="12.25" style="1" bestFit="1" customWidth="1"/>
    <col min="8956" max="8968" width="11" style="1" bestFit="1" customWidth="1"/>
    <col min="8969" max="8969" width="13.25" style="1" bestFit="1" customWidth="1"/>
    <col min="8970" max="8970" width="10" style="1" bestFit="1" customWidth="1"/>
    <col min="8971" max="8971" width="11" style="1" bestFit="1" customWidth="1"/>
    <col min="8972" max="9175" width="9" style="1"/>
    <col min="9176" max="9176" width="2.875" style="1" bestFit="1" customWidth="1"/>
    <col min="9177" max="9177" width="17.625" style="1" bestFit="1" customWidth="1"/>
    <col min="9178" max="9178" width="11.375" style="1" bestFit="1" customWidth="1"/>
    <col min="9179" max="9180" width="14.125" style="1" bestFit="1" customWidth="1"/>
    <col min="9181" max="9181" width="11.375" style="1" bestFit="1" customWidth="1"/>
    <col min="9182" max="9184" width="12.5" style="1" bestFit="1" customWidth="1"/>
    <col min="9185" max="9185" width="11" style="1" bestFit="1" customWidth="1"/>
    <col min="9186" max="9204" width="13" style="1" bestFit="1" customWidth="1"/>
    <col min="9205" max="9208" width="11" style="1" bestFit="1" customWidth="1"/>
    <col min="9209" max="9211" width="12.25" style="1" bestFit="1" customWidth="1"/>
    <col min="9212" max="9224" width="11" style="1" bestFit="1" customWidth="1"/>
    <col min="9225" max="9225" width="13.25" style="1" bestFit="1" customWidth="1"/>
    <col min="9226" max="9226" width="10" style="1" bestFit="1" customWidth="1"/>
    <col min="9227" max="9227" width="11" style="1" bestFit="1" customWidth="1"/>
    <col min="9228" max="9431" width="9" style="1"/>
    <col min="9432" max="9432" width="2.875" style="1" bestFit="1" customWidth="1"/>
    <col min="9433" max="9433" width="17.625" style="1" bestFit="1" customWidth="1"/>
    <col min="9434" max="9434" width="11.375" style="1" bestFit="1" customWidth="1"/>
    <col min="9435" max="9436" width="14.125" style="1" bestFit="1" customWidth="1"/>
    <col min="9437" max="9437" width="11.375" style="1" bestFit="1" customWidth="1"/>
    <col min="9438" max="9440" width="12.5" style="1" bestFit="1" customWidth="1"/>
    <col min="9441" max="9441" width="11" style="1" bestFit="1" customWidth="1"/>
    <col min="9442" max="9460" width="13" style="1" bestFit="1" customWidth="1"/>
    <col min="9461" max="9464" width="11" style="1" bestFit="1" customWidth="1"/>
    <col min="9465" max="9467" width="12.25" style="1" bestFit="1" customWidth="1"/>
    <col min="9468" max="9480" width="11" style="1" bestFit="1" customWidth="1"/>
    <col min="9481" max="9481" width="13.25" style="1" bestFit="1" customWidth="1"/>
    <col min="9482" max="9482" width="10" style="1" bestFit="1" customWidth="1"/>
    <col min="9483" max="9483" width="11" style="1" bestFit="1" customWidth="1"/>
    <col min="9484" max="9687" width="9" style="1"/>
    <col min="9688" max="9688" width="2.875" style="1" bestFit="1" customWidth="1"/>
    <col min="9689" max="9689" width="17.625" style="1" bestFit="1" customWidth="1"/>
    <col min="9690" max="9690" width="11.375" style="1" bestFit="1" customWidth="1"/>
    <col min="9691" max="9692" width="14.125" style="1" bestFit="1" customWidth="1"/>
    <col min="9693" max="9693" width="11.375" style="1" bestFit="1" customWidth="1"/>
    <col min="9694" max="9696" width="12.5" style="1" bestFit="1" customWidth="1"/>
    <col min="9697" max="9697" width="11" style="1" bestFit="1" customWidth="1"/>
    <col min="9698" max="9716" width="13" style="1" bestFit="1" customWidth="1"/>
    <col min="9717" max="9720" width="11" style="1" bestFit="1" customWidth="1"/>
    <col min="9721" max="9723" width="12.25" style="1" bestFit="1" customWidth="1"/>
    <col min="9724" max="9736" width="11" style="1" bestFit="1" customWidth="1"/>
    <col min="9737" max="9737" width="13.25" style="1" bestFit="1" customWidth="1"/>
    <col min="9738" max="9738" width="10" style="1" bestFit="1" customWidth="1"/>
    <col min="9739" max="9739" width="11" style="1" bestFit="1" customWidth="1"/>
    <col min="9740" max="9943" width="9" style="1"/>
    <col min="9944" max="9944" width="2.875" style="1" bestFit="1" customWidth="1"/>
    <col min="9945" max="9945" width="17.625" style="1" bestFit="1" customWidth="1"/>
    <col min="9946" max="9946" width="11.375" style="1" bestFit="1" customWidth="1"/>
    <col min="9947" max="9948" width="14.125" style="1" bestFit="1" customWidth="1"/>
    <col min="9949" max="9949" width="11.375" style="1" bestFit="1" customWidth="1"/>
    <col min="9950" max="9952" width="12.5" style="1" bestFit="1" customWidth="1"/>
    <col min="9953" max="9953" width="11" style="1" bestFit="1" customWidth="1"/>
    <col min="9954" max="9972" width="13" style="1" bestFit="1" customWidth="1"/>
    <col min="9973" max="9976" width="11" style="1" bestFit="1" customWidth="1"/>
    <col min="9977" max="9979" width="12.25" style="1" bestFit="1" customWidth="1"/>
    <col min="9980" max="9992" width="11" style="1" bestFit="1" customWidth="1"/>
    <col min="9993" max="9993" width="13.25" style="1" bestFit="1" customWidth="1"/>
    <col min="9994" max="9994" width="10" style="1" bestFit="1" customWidth="1"/>
    <col min="9995" max="9995" width="11" style="1" bestFit="1" customWidth="1"/>
    <col min="9996" max="10199" width="9" style="1"/>
    <col min="10200" max="10200" width="2.875" style="1" bestFit="1" customWidth="1"/>
    <col min="10201" max="10201" width="17.625" style="1" bestFit="1" customWidth="1"/>
    <col min="10202" max="10202" width="11.375" style="1" bestFit="1" customWidth="1"/>
    <col min="10203" max="10204" width="14.125" style="1" bestFit="1" customWidth="1"/>
    <col min="10205" max="10205" width="11.375" style="1" bestFit="1" customWidth="1"/>
    <col min="10206" max="10208" width="12.5" style="1" bestFit="1" customWidth="1"/>
    <col min="10209" max="10209" width="11" style="1" bestFit="1" customWidth="1"/>
    <col min="10210" max="10228" width="13" style="1" bestFit="1" customWidth="1"/>
    <col min="10229" max="10232" width="11" style="1" bestFit="1" customWidth="1"/>
    <col min="10233" max="10235" width="12.25" style="1" bestFit="1" customWidth="1"/>
    <col min="10236" max="10248" width="11" style="1" bestFit="1" customWidth="1"/>
    <col min="10249" max="10249" width="13.25" style="1" bestFit="1" customWidth="1"/>
    <col min="10250" max="10250" width="10" style="1" bestFit="1" customWidth="1"/>
    <col min="10251" max="10251" width="11" style="1" bestFit="1" customWidth="1"/>
    <col min="10252" max="10455" width="9" style="1"/>
    <col min="10456" max="10456" width="2.875" style="1" bestFit="1" customWidth="1"/>
    <col min="10457" max="10457" width="17.625" style="1" bestFit="1" customWidth="1"/>
    <col min="10458" max="10458" width="11.375" style="1" bestFit="1" customWidth="1"/>
    <col min="10459" max="10460" width="14.125" style="1" bestFit="1" customWidth="1"/>
    <col min="10461" max="10461" width="11.375" style="1" bestFit="1" customWidth="1"/>
    <col min="10462" max="10464" width="12.5" style="1" bestFit="1" customWidth="1"/>
    <col min="10465" max="10465" width="11" style="1" bestFit="1" customWidth="1"/>
    <col min="10466" max="10484" width="13" style="1" bestFit="1" customWidth="1"/>
    <col min="10485" max="10488" width="11" style="1" bestFit="1" customWidth="1"/>
    <col min="10489" max="10491" width="12.25" style="1" bestFit="1" customWidth="1"/>
    <col min="10492" max="10504" width="11" style="1" bestFit="1" customWidth="1"/>
    <col min="10505" max="10505" width="13.25" style="1" bestFit="1" customWidth="1"/>
    <col min="10506" max="10506" width="10" style="1" bestFit="1" customWidth="1"/>
    <col min="10507" max="10507" width="11" style="1" bestFit="1" customWidth="1"/>
    <col min="10508" max="10711" width="9" style="1"/>
    <col min="10712" max="10712" width="2.875" style="1" bestFit="1" customWidth="1"/>
    <col min="10713" max="10713" width="17.625" style="1" bestFit="1" customWidth="1"/>
    <col min="10714" max="10714" width="11.375" style="1" bestFit="1" customWidth="1"/>
    <col min="10715" max="10716" width="14.125" style="1" bestFit="1" customWidth="1"/>
    <col min="10717" max="10717" width="11.375" style="1" bestFit="1" customWidth="1"/>
    <col min="10718" max="10720" width="12.5" style="1" bestFit="1" customWidth="1"/>
    <col min="10721" max="10721" width="11" style="1" bestFit="1" customWidth="1"/>
    <col min="10722" max="10740" width="13" style="1" bestFit="1" customWidth="1"/>
    <col min="10741" max="10744" width="11" style="1" bestFit="1" customWidth="1"/>
    <col min="10745" max="10747" width="12.25" style="1" bestFit="1" customWidth="1"/>
    <col min="10748" max="10760" width="11" style="1" bestFit="1" customWidth="1"/>
    <col min="10761" max="10761" width="13.25" style="1" bestFit="1" customWidth="1"/>
    <col min="10762" max="10762" width="10" style="1" bestFit="1" customWidth="1"/>
    <col min="10763" max="10763" width="11" style="1" bestFit="1" customWidth="1"/>
    <col min="10764" max="10967" width="9" style="1"/>
    <col min="10968" max="10968" width="2.875" style="1" bestFit="1" customWidth="1"/>
    <col min="10969" max="10969" width="17.625" style="1" bestFit="1" customWidth="1"/>
    <col min="10970" max="10970" width="11.375" style="1" bestFit="1" customWidth="1"/>
    <col min="10971" max="10972" width="14.125" style="1" bestFit="1" customWidth="1"/>
    <col min="10973" max="10973" width="11.375" style="1" bestFit="1" customWidth="1"/>
    <col min="10974" max="10976" width="12.5" style="1" bestFit="1" customWidth="1"/>
    <col min="10977" max="10977" width="11" style="1" bestFit="1" customWidth="1"/>
    <col min="10978" max="10996" width="13" style="1" bestFit="1" customWidth="1"/>
    <col min="10997" max="11000" width="11" style="1" bestFit="1" customWidth="1"/>
    <col min="11001" max="11003" width="12.25" style="1" bestFit="1" customWidth="1"/>
    <col min="11004" max="11016" width="11" style="1" bestFit="1" customWidth="1"/>
    <col min="11017" max="11017" width="13.25" style="1" bestFit="1" customWidth="1"/>
    <col min="11018" max="11018" width="10" style="1" bestFit="1" customWidth="1"/>
    <col min="11019" max="11019" width="11" style="1" bestFit="1" customWidth="1"/>
    <col min="11020" max="11223" width="9" style="1"/>
    <col min="11224" max="11224" width="2.875" style="1" bestFit="1" customWidth="1"/>
    <col min="11225" max="11225" width="17.625" style="1" bestFit="1" customWidth="1"/>
    <col min="11226" max="11226" width="11.375" style="1" bestFit="1" customWidth="1"/>
    <col min="11227" max="11228" width="14.125" style="1" bestFit="1" customWidth="1"/>
    <col min="11229" max="11229" width="11.375" style="1" bestFit="1" customWidth="1"/>
    <col min="11230" max="11232" width="12.5" style="1" bestFit="1" customWidth="1"/>
    <col min="11233" max="11233" width="11" style="1" bestFit="1" customWidth="1"/>
    <col min="11234" max="11252" width="13" style="1" bestFit="1" customWidth="1"/>
    <col min="11253" max="11256" width="11" style="1" bestFit="1" customWidth="1"/>
    <col min="11257" max="11259" width="12.25" style="1" bestFit="1" customWidth="1"/>
    <col min="11260" max="11272" width="11" style="1" bestFit="1" customWidth="1"/>
    <col min="11273" max="11273" width="13.25" style="1" bestFit="1" customWidth="1"/>
    <col min="11274" max="11274" width="10" style="1" bestFit="1" customWidth="1"/>
    <col min="11275" max="11275" width="11" style="1" bestFit="1" customWidth="1"/>
    <col min="11276" max="11479" width="9" style="1"/>
    <col min="11480" max="11480" width="2.875" style="1" bestFit="1" customWidth="1"/>
    <col min="11481" max="11481" width="17.625" style="1" bestFit="1" customWidth="1"/>
    <col min="11482" max="11482" width="11.375" style="1" bestFit="1" customWidth="1"/>
    <col min="11483" max="11484" width="14.125" style="1" bestFit="1" customWidth="1"/>
    <col min="11485" max="11485" width="11.375" style="1" bestFit="1" customWidth="1"/>
    <col min="11486" max="11488" width="12.5" style="1" bestFit="1" customWidth="1"/>
    <col min="11489" max="11489" width="11" style="1" bestFit="1" customWidth="1"/>
    <col min="11490" max="11508" width="13" style="1" bestFit="1" customWidth="1"/>
    <col min="11509" max="11512" width="11" style="1" bestFit="1" customWidth="1"/>
    <col min="11513" max="11515" width="12.25" style="1" bestFit="1" customWidth="1"/>
    <col min="11516" max="11528" width="11" style="1" bestFit="1" customWidth="1"/>
    <col min="11529" max="11529" width="13.25" style="1" bestFit="1" customWidth="1"/>
    <col min="11530" max="11530" width="10" style="1" bestFit="1" customWidth="1"/>
    <col min="11531" max="11531" width="11" style="1" bestFit="1" customWidth="1"/>
    <col min="11532" max="11735" width="9" style="1"/>
    <col min="11736" max="11736" width="2.875" style="1" bestFit="1" customWidth="1"/>
    <col min="11737" max="11737" width="17.625" style="1" bestFit="1" customWidth="1"/>
    <col min="11738" max="11738" width="11.375" style="1" bestFit="1" customWidth="1"/>
    <col min="11739" max="11740" width="14.125" style="1" bestFit="1" customWidth="1"/>
    <col min="11741" max="11741" width="11.375" style="1" bestFit="1" customWidth="1"/>
    <col min="11742" max="11744" width="12.5" style="1" bestFit="1" customWidth="1"/>
    <col min="11745" max="11745" width="11" style="1" bestFit="1" customWidth="1"/>
    <col min="11746" max="11764" width="13" style="1" bestFit="1" customWidth="1"/>
    <col min="11765" max="11768" width="11" style="1" bestFit="1" customWidth="1"/>
    <col min="11769" max="11771" width="12.25" style="1" bestFit="1" customWidth="1"/>
    <col min="11772" max="11784" width="11" style="1" bestFit="1" customWidth="1"/>
    <col min="11785" max="11785" width="13.25" style="1" bestFit="1" customWidth="1"/>
    <col min="11786" max="11786" width="10" style="1" bestFit="1" customWidth="1"/>
    <col min="11787" max="11787" width="11" style="1" bestFit="1" customWidth="1"/>
    <col min="11788" max="11991" width="9" style="1"/>
    <col min="11992" max="11992" width="2.875" style="1" bestFit="1" customWidth="1"/>
    <col min="11993" max="11993" width="17.625" style="1" bestFit="1" customWidth="1"/>
    <col min="11994" max="11994" width="11.375" style="1" bestFit="1" customWidth="1"/>
    <col min="11995" max="11996" width="14.125" style="1" bestFit="1" customWidth="1"/>
    <col min="11997" max="11997" width="11.375" style="1" bestFit="1" customWidth="1"/>
    <col min="11998" max="12000" width="12.5" style="1" bestFit="1" customWidth="1"/>
    <col min="12001" max="12001" width="11" style="1" bestFit="1" customWidth="1"/>
    <col min="12002" max="12020" width="13" style="1" bestFit="1" customWidth="1"/>
    <col min="12021" max="12024" width="11" style="1" bestFit="1" customWidth="1"/>
    <col min="12025" max="12027" width="12.25" style="1" bestFit="1" customWidth="1"/>
    <col min="12028" max="12040" width="11" style="1" bestFit="1" customWidth="1"/>
    <col min="12041" max="12041" width="13.25" style="1" bestFit="1" customWidth="1"/>
    <col min="12042" max="12042" width="10" style="1" bestFit="1" customWidth="1"/>
    <col min="12043" max="12043" width="11" style="1" bestFit="1" customWidth="1"/>
    <col min="12044" max="12247" width="9" style="1"/>
    <col min="12248" max="12248" width="2.875" style="1" bestFit="1" customWidth="1"/>
    <col min="12249" max="12249" width="17.625" style="1" bestFit="1" customWidth="1"/>
    <col min="12250" max="12250" width="11.375" style="1" bestFit="1" customWidth="1"/>
    <col min="12251" max="12252" width="14.125" style="1" bestFit="1" customWidth="1"/>
    <col min="12253" max="12253" width="11.375" style="1" bestFit="1" customWidth="1"/>
    <col min="12254" max="12256" width="12.5" style="1" bestFit="1" customWidth="1"/>
    <col min="12257" max="12257" width="11" style="1" bestFit="1" customWidth="1"/>
    <col min="12258" max="12276" width="13" style="1" bestFit="1" customWidth="1"/>
    <col min="12277" max="12280" width="11" style="1" bestFit="1" customWidth="1"/>
    <col min="12281" max="12283" width="12.25" style="1" bestFit="1" customWidth="1"/>
    <col min="12284" max="12296" width="11" style="1" bestFit="1" customWidth="1"/>
    <col min="12297" max="12297" width="13.25" style="1" bestFit="1" customWidth="1"/>
    <col min="12298" max="12298" width="10" style="1" bestFit="1" customWidth="1"/>
    <col min="12299" max="12299" width="11" style="1" bestFit="1" customWidth="1"/>
    <col min="12300" max="12503" width="9" style="1"/>
    <col min="12504" max="12504" width="2.875" style="1" bestFit="1" customWidth="1"/>
    <col min="12505" max="12505" width="17.625" style="1" bestFit="1" customWidth="1"/>
    <col min="12506" max="12506" width="11.375" style="1" bestFit="1" customWidth="1"/>
    <col min="12507" max="12508" width="14.125" style="1" bestFit="1" customWidth="1"/>
    <col min="12509" max="12509" width="11.375" style="1" bestFit="1" customWidth="1"/>
    <col min="12510" max="12512" width="12.5" style="1" bestFit="1" customWidth="1"/>
    <col min="12513" max="12513" width="11" style="1" bestFit="1" customWidth="1"/>
    <col min="12514" max="12532" width="13" style="1" bestFit="1" customWidth="1"/>
    <col min="12533" max="12536" width="11" style="1" bestFit="1" customWidth="1"/>
    <col min="12537" max="12539" width="12.25" style="1" bestFit="1" customWidth="1"/>
    <col min="12540" max="12552" width="11" style="1" bestFit="1" customWidth="1"/>
    <col min="12553" max="12553" width="13.25" style="1" bestFit="1" customWidth="1"/>
    <col min="12554" max="12554" width="10" style="1" bestFit="1" customWidth="1"/>
    <col min="12555" max="12555" width="11" style="1" bestFit="1" customWidth="1"/>
    <col min="12556" max="12759" width="9" style="1"/>
    <col min="12760" max="12760" width="2.875" style="1" bestFit="1" customWidth="1"/>
    <col min="12761" max="12761" width="17.625" style="1" bestFit="1" customWidth="1"/>
    <col min="12762" max="12762" width="11.375" style="1" bestFit="1" customWidth="1"/>
    <col min="12763" max="12764" width="14.125" style="1" bestFit="1" customWidth="1"/>
    <col min="12765" max="12765" width="11.375" style="1" bestFit="1" customWidth="1"/>
    <col min="12766" max="12768" width="12.5" style="1" bestFit="1" customWidth="1"/>
    <col min="12769" max="12769" width="11" style="1" bestFit="1" customWidth="1"/>
    <col min="12770" max="12788" width="13" style="1" bestFit="1" customWidth="1"/>
    <col min="12789" max="12792" width="11" style="1" bestFit="1" customWidth="1"/>
    <col min="12793" max="12795" width="12.25" style="1" bestFit="1" customWidth="1"/>
    <col min="12796" max="12808" width="11" style="1" bestFit="1" customWidth="1"/>
    <col min="12809" max="12809" width="13.25" style="1" bestFit="1" customWidth="1"/>
    <col min="12810" max="12810" width="10" style="1" bestFit="1" customWidth="1"/>
    <col min="12811" max="12811" width="11" style="1" bestFit="1" customWidth="1"/>
    <col min="12812" max="13015" width="9" style="1"/>
    <col min="13016" max="13016" width="2.875" style="1" bestFit="1" customWidth="1"/>
    <col min="13017" max="13017" width="17.625" style="1" bestFit="1" customWidth="1"/>
    <col min="13018" max="13018" width="11.375" style="1" bestFit="1" customWidth="1"/>
    <col min="13019" max="13020" width="14.125" style="1" bestFit="1" customWidth="1"/>
    <col min="13021" max="13021" width="11.375" style="1" bestFit="1" customWidth="1"/>
    <col min="13022" max="13024" width="12.5" style="1" bestFit="1" customWidth="1"/>
    <col min="13025" max="13025" width="11" style="1" bestFit="1" customWidth="1"/>
    <col min="13026" max="13044" width="13" style="1" bestFit="1" customWidth="1"/>
    <col min="13045" max="13048" width="11" style="1" bestFit="1" customWidth="1"/>
    <col min="13049" max="13051" width="12.25" style="1" bestFit="1" customWidth="1"/>
    <col min="13052" max="13064" width="11" style="1" bestFit="1" customWidth="1"/>
    <col min="13065" max="13065" width="13.25" style="1" bestFit="1" customWidth="1"/>
    <col min="13066" max="13066" width="10" style="1" bestFit="1" customWidth="1"/>
    <col min="13067" max="13067" width="11" style="1" bestFit="1" customWidth="1"/>
    <col min="13068" max="13271" width="9" style="1"/>
    <col min="13272" max="13272" width="2.875" style="1" bestFit="1" customWidth="1"/>
    <col min="13273" max="13273" width="17.625" style="1" bestFit="1" customWidth="1"/>
    <col min="13274" max="13274" width="11.375" style="1" bestFit="1" customWidth="1"/>
    <col min="13275" max="13276" width="14.125" style="1" bestFit="1" customWidth="1"/>
    <col min="13277" max="13277" width="11.375" style="1" bestFit="1" customWidth="1"/>
    <col min="13278" max="13280" width="12.5" style="1" bestFit="1" customWidth="1"/>
    <col min="13281" max="13281" width="11" style="1" bestFit="1" customWidth="1"/>
    <col min="13282" max="13300" width="13" style="1" bestFit="1" customWidth="1"/>
    <col min="13301" max="13304" width="11" style="1" bestFit="1" customWidth="1"/>
    <col min="13305" max="13307" width="12.25" style="1" bestFit="1" customWidth="1"/>
    <col min="13308" max="13320" width="11" style="1" bestFit="1" customWidth="1"/>
    <col min="13321" max="13321" width="13.25" style="1" bestFit="1" customWidth="1"/>
    <col min="13322" max="13322" width="10" style="1" bestFit="1" customWidth="1"/>
    <col min="13323" max="13323" width="11" style="1" bestFit="1" customWidth="1"/>
    <col min="13324" max="13527" width="9" style="1"/>
    <col min="13528" max="13528" width="2.875" style="1" bestFit="1" customWidth="1"/>
    <col min="13529" max="13529" width="17.625" style="1" bestFit="1" customWidth="1"/>
    <col min="13530" max="13530" width="11.375" style="1" bestFit="1" customWidth="1"/>
    <col min="13531" max="13532" width="14.125" style="1" bestFit="1" customWidth="1"/>
    <col min="13533" max="13533" width="11.375" style="1" bestFit="1" customWidth="1"/>
    <col min="13534" max="13536" width="12.5" style="1" bestFit="1" customWidth="1"/>
    <col min="13537" max="13537" width="11" style="1" bestFit="1" customWidth="1"/>
    <col min="13538" max="13556" width="13" style="1" bestFit="1" customWidth="1"/>
    <col min="13557" max="13560" width="11" style="1" bestFit="1" customWidth="1"/>
    <col min="13561" max="13563" width="12.25" style="1" bestFit="1" customWidth="1"/>
    <col min="13564" max="13576" width="11" style="1" bestFit="1" customWidth="1"/>
    <col min="13577" max="13577" width="13.25" style="1" bestFit="1" customWidth="1"/>
    <col min="13578" max="13578" width="10" style="1" bestFit="1" customWidth="1"/>
    <col min="13579" max="13579" width="11" style="1" bestFit="1" customWidth="1"/>
    <col min="13580" max="13783" width="9" style="1"/>
    <col min="13784" max="13784" width="2.875" style="1" bestFit="1" customWidth="1"/>
    <col min="13785" max="13785" width="17.625" style="1" bestFit="1" customWidth="1"/>
    <col min="13786" max="13786" width="11.375" style="1" bestFit="1" customWidth="1"/>
    <col min="13787" max="13788" width="14.125" style="1" bestFit="1" customWidth="1"/>
    <col min="13789" max="13789" width="11.375" style="1" bestFit="1" customWidth="1"/>
    <col min="13790" max="13792" width="12.5" style="1" bestFit="1" customWidth="1"/>
    <col min="13793" max="13793" width="11" style="1" bestFit="1" customWidth="1"/>
    <col min="13794" max="13812" width="13" style="1" bestFit="1" customWidth="1"/>
    <col min="13813" max="13816" width="11" style="1" bestFit="1" customWidth="1"/>
    <col min="13817" max="13819" width="12.25" style="1" bestFit="1" customWidth="1"/>
    <col min="13820" max="13832" width="11" style="1" bestFit="1" customWidth="1"/>
    <col min="13833" max="13833" width="13.25" style="1" bestFit="1" customWidth="1"/>
    <col min="13834" max="13834" width="10" style="1" bestFit="1" customWidth="1"/>
    <col min="13835" max="13835" width="11" style="1" bestFit="1" customWidth="1"/>
    <col min="13836" max="14039" width="9" style="1"/>
    <col min="14040" max="14040" width="2.875" style="1" bestFit="1" customWidth="1"/>
    <col min="14041" max="14041" width="17.625" style="1" bestFit="1" customWidth="1"/>
    <col min="14042" max="14042" width="11.375" style="1" bestFit="1" customWidth="1"/>
    <col min="14043" max="14044" width="14.125" style="1" bestFit="1" customWidth="1"/>
    <col min="14045" max="14045" width="11.375" style="1" bestFit="1" customWidth="1"/>
    <col min="14046" max="14048" width="12.5" style="1" bestFit="1" customWidth="1"/>
    <col min="14049" max="14049" width="11" style="1" bestFit="1" customWidth="1"/>
    <col min="14050" max="14068" width="13" style="1" bestFit="1" customWidth="1"/>
    <col min="14069" max="14072" width="11" style="1" bestFit="1" customWidth="1"/>
    <col min="14073" max="14075" width="12.25" style="1" bestFit="1" customWidth="1"/>
    <col min="14076" max="14088" width="11" style="1" bestFit="1" customWidth="1"/>
    <col min="14089" max="14089" width="13.25" style="1" bestFit="1" customWidth="1"/>
    <col min="14090" max="14090" width="10" style="1" bestFit="1" customWidth="1"/>
    <col min="14091" max="14091" width="11" style="1" bestFit="1" customWidth="1"/>
    <col min="14092" max="14295" width="9" style="1"/>
    <col min="14296" max="14296" width="2.875" style="1" bestFit="1" customWidth="1"/>
    <col min="14297" max="14297" width="17.625" style="1" bestFit="1" customWidth="1"/>
    <col min="14298" max="14298" width="11.375" style="1" bestFit="1" customWidth="1"/>
    <col min="14299" max="14300" width="14.125" style="1" bestFit="1" customWidth="1"/>
    <col min="14301" max="14301" width="11.375" style="1" bestFit="1" customWidth="1"/>
    <col min="14302" max="14304" width="12.5" style="1" bestFit="1" customWidth="1"/>
    <col min="14305" max="14305" width="11" style="1" bestFit="1" customWidth="1"/>
    <col min="14306" max="14324" width="13" style="1" bestFit="1" customWidth="1"/>
    <col min="14325" max="14328" width="11" style="1" bestFit="1" customWidth="1"/>
    <col min="14329" max="14331" width="12.25" style="1" bestFit="1" customWidth="1"/>
    <col min="14332" max="14344" width="11" style="1" bestFit="1" customWidth="1"/>
    <col min="14345" max="14345" width="13.25" style="1" bestFit="1" customWidth="1"/>
    <col min="14346" max="14346" width="10" style="1" bestFit="1" customWidth="1"/>
    <col min="14347" max="14347" width="11" style="1" bestFit="1" customWidth="1"/>
    <col min="14348" max="14551" width="9" style="1"/>
    <col min="14552" max="14552" width="2.875" style="1" bestFit="1" customWidth="1"/>
    <col min="14553" max="14553" width="17.625" style="1" bestFit="1" customWidth="1"/>
    <col min="14554" max="14554" width="11.375" style="1" bestFit="1" customWidth="1"/>
    <col min="14555" max="14556" width="14.125" style="1" bestFit="1" customWidth="1"/>
    <col min="14557" max="14557" width="11.375" style="1" bestFit="1" customWidth="1"/>
    <col min="14558" max="14560" width="12.5" style="1" bestFit="1" customWidth="1"/>
    <col min="14561" max="14561" width="11" style="1" bestFit="1" customWidth="1"/>
    <col min="14562" max="14580" width="13" style="1" bestFit="1" customWidth="1"/>
    <col min="14581" max="14584" width="11" style="1" bestFit="1" customWidth="1"/>
    <col min="14585" max="14587" width="12.25" style="1" bestFit="1" customWidth="1"/>
    <col min="14588" max="14600" width="11" style="1" bestFit="1" customWidth="1"/>
    <col min="14601" max="14601" width="13.25" style="1" bestFit="1" customWidth="1"/>
    <col min="14602" max="14602" width="10" style="1" bestFit="1" customWidth="1"/>
    <col min="14603" max="14603" width="11" style="1" bestFit="1" customWidth="1"/>
    <col min="14604" max="14807" width="9" style="1"/>
    <col min="14808" max="14808" width="2.875" style="1" bestFit="1" customWidth="1"/>
    <col min="14809" max="14809" width="17.625" style="1" bestFit="1" customWidth="1"/>
    <col min="14810" max="14810" width="11.375" style="1" bestFit="1" customWidth="1"/>
    <col min="14811" max="14812" width="14.125" style="1" bestFit="1" customWidth="1"/>
    <col min="14813" max="14813" width="11.375" style="1" bestFit="1" customWidth="1"/>
    <col min="14814" max="14816" width="12.5" style="1" bestFit="1" customWidth="1"/>
    <col min="14817" max="14817" width="11" style="1" bestFit="1" customWidth="1"/>
    <col min="14818" max="14836" width="13" style="1" bestFit="1" customWidth="1"/>
    <col min="14837" max="14840" width="11" style="1" bestFit="1" customWidth="1"/>
    <col min="14841" max="14843" width="12.25" style="1" bestFit="1" customWidth="1"/>
    <col min="14844" max="14856" width="11" style="1" bestFit="1" customWidth="1"/>
    <col min="14857" max="14857" width="13.25" style="1" bestFit="1" customWidth="1"/>
    <col min="14858" max="14858" width="10" style="1" bestFit="1" customWidth="1"/>
    <col min="14859" max="14859" width="11" style="1" bestFit="1" customWidth="1"/>
    <col min="14860" max="15063" width="9" style="1"/>
    <col min="15064" max="15064" width="2.875" style="1" bestFit="1" customWidth="1"/>
    <col min="15065" max="15065" width="17.625" style="1" bestFit="1" customWidth="1"/>
    <col min="15066" max="15066" width="11.375" style="1" bestFit="1" customWidth="1"/>
    <col min="15067" max="15068" width="14.125" style="1" bestFit="1" customWidth="1"/>
    <col min="15069" max="15069" width="11.375" style="1" bestFit="1" customWidth="1"/>
    <col min="15070" max="15072" width="12.5" style="1" bestFit="1" customWidth="1"/>
    <col min="15073" max="15073" width="11" style="1" bestFit="1" customWidth="1"/>
    <col min="15074" max="15092" width="13" style="1" bestFit="1" customWidth="1"/>
    <col min="15093" max="15096" width="11" style="1" bestFit="1" customWidth="1"/>
    <col min="15097" max="15099" width="12.25" style="1" bestFit="1" customWidth="1"/>
    <col min="15100" max="15112" width="11" style="1" bestFit="1" customWidth="1"/>
    <col min="15113" max="15113" width="13.25" style="1" bestFit="1" customWidth="1"/>
    <col min="15114" max="15114" width="10" style="1" bestFit="1" customWidth="1"/>
    <col min="15115" max="15115" width="11" style="1" bestFit="1" customWidth="1"/>
    <col min="15116" max="15319" width="9" style="1"/>
    <col min="15320" max="15320" width="2.875" style="1" bestFit="1" customWidth="1"/>
    <col min="15321" max="15321" width="17.625" style="1" bestFit="1" customWidth="1"/>
    <col min="15322" max="15322" width="11.375" style="1" bestFit="1" customWidth="1"/>
    <col min="15323" max="15324" width="14.125" style="1" bestFit="1" customWidth="1"/>
    <col min="15325" max="15325" width="11.375" style="1" bestFit="1" customWidth="1"/>
    <col min="15326" max="15328" width="12.5" style="1" bestFit="1" customWidth="1"/>
    <col min="15329" max="15329" width="11" style="1" bestFit="1" customWidth="1"/>
    <col min="15330" max="15348" width="13" style="1" bestFit="1" customWidth="1"/>
    <col min="15349" max="15352" width="11" style="1" bestFit="1" customWidth="1"/>
    <col min="15353" max="15355" width="12.25" style="1" bestFit="1" customWidth="1"/>
    <col min="15356" max="15368" width="11" style="1" bestFit="1" customWidth="1"/>
    <col min="15369" max="15369" width="13.25" style="1" bestFit="1" customWidth="1"/>
    <col min="15370" max="15370" width="10" style="1" bestFit="1" customWidth="1"/>
    <col min="15371" max="15371" width="11" style="1" bestFit="1" customWidth="1"/>
    <col min="15372" max="15575" width="9" style="1"/>
    <col min="15576" max="15576" width="2.875" style="1" bestFit="1" customWidth="1"/>
    <col min="15577" max="15577" width="17.625" style="1" bestFit="1" customWidth="1"/>
    <col min="15578" max="15578" width="11.375" style="1" bestFit="1" customWidth="1"/>
    <col min="15579" max="15580" width="14.125" style="1" bestFit="1" customWidth="1"/>
    <col min="15581" max="15581" width="11.375" style="1" bestFit="1" customWidth="1"/>
    <col min="15582" max="15584" width="12.5" style="1" bestFit="1" customWidth="1"/>
    <col min="15585" max="15585" width="11" style="1" bestFit="1" customWidth="1"/>
    <col min="15586" max="15604" width="13" style="1" bestFit="1" customWidth="1"/>
    <col min="15605" max="15608" width="11" style="1" bestFit="1" customWidth="1"/>
    <col min="15609" max="15611" width="12.25" style="1" bestFit="1" customWidth="1"/>
    <col min="15612" max="15624" width="11" style="1" bestFit="1" customWidth="1"/>
    <col min="15625" max="15625" width="13.25" style="1" bestFit="1" customWidth="1"/>
    <col min="15626" max="15626" width="10" style="1" bestFit="1" customWidth="1"/>
    <col min="15627" max="15627" width="11" style="1" bestFit="1" customWidth="1"/>
    <col min="15628" max="15831" width="9" style="1"/>
    <col min="15832" max="15832" width="2.875" style="1" bestFit="1" customWidth="1"/>
    <col min="15833" max="15833" width="17.625" style="1" bestFit="1" customWidth="1"/>
    <col min="15834" max="15834" width="11.375" style="1" bestFit="1" customWidth="1"/>
    <col min="15835" max="15836" width="14.125" style="1" bestFit="1" customWidth="1"/>
    <col min="15837" max="15837" width="11.375" style="1" bestFit="1" customWidth="1"/>
    <col min="15838" max="15840" width="12.5" style="1" bestFit="1" customWidth="1"/>
    <col min="15841" max="15841" width="11" style="1" bestFit="1" customWidth="1"/>
    <col min="15842" max="15860" width="13" style="1" bestFit="1" customWidth="1"/>
    <col min="15861" max="15864" width="11" style="1" bestFit="1" customWidth="1"/>
    <col min="15865" max="15867" width="12.25" style="1" bestFit="1" customWidth="1"/>
    <col min="15868" max="15880" width="11" style="1" bestFit="1" customWidth="1"/>
    <col min="15881" max="15881" width="13.25" style="1" bestFit="1" customWidth="1"/>
    <col min="15882" max="15882" width="10" style="1" bestFit="1" customWidth="1"/>
    <col min="15883" max="15883" width="11" style="1" bestFit="1" customWidth="1"/>
    <col min="15884" max="16087" width="9" style="1"/>
    <col min="16088" max="16088" width="2.875" style="1" bestFit="1" customWidth="1"/>
    <col min="16089" max="16089" width="17.625" style="1" bestFit="1" customWidth="1"/>
    <col min="16090" max="16090" width="11.375" style="1" bestFit="1" customWidth="1"/>
    <col min="16091" max="16092" width="14.125" style="1" bestFit="1" customWidth="1"/>
    <col min="16093" max="16093" width="11.375" style="1" bestFit="1" customWidth="1"/>
    <col min="16094" max="16096" width="12.5" style="1" bestFit="1" customWidth="1"/>
    <col min="16097" max="16097" width="11" style="1" bestFit="1" customWidth="1"/>
    <col min="16098" max="16116" width="13" style="1" bestFit="1" customWidth="1"/>
    <col min="16117" max="16120" width="11" style="1" bestFit="1" customWidth="1"/>
    <col min="16121" max="16123" width="12.25" style="1" bestFit="1" customWidth="1"/>
    <col min="16124" max="16136" width="11" style="1" bestFit="1" customWidth="1"/>
    <col min="16137" max="16137" width="13.25" style="1" bestFit="1" customWidth="1"/>
    <col min="16138" max="16138" width="10" style="1" bestFit="1" customWidth="1"/>
    <col min="16139" max="16139" width="11" style="1" bestFit="1" customWidth="1"/>
    <col min="16140" max="16384" width="9" style="1"/>
  </cols>
  <sheetData>
    <row r="1" spans="1:11" hidden="1" x14ac:dyDescent="0.15"/>
    <row r="2" spans="1:11" ht="30.75" hidden="1" customHeight="1" x14ac:dyDescent="0.15"/>
    <row r="3" spans="1:11" ht="17.25" x14ac:dyDescent="0.2">
      <c r="A3" s="53">
        <v>45505</v>
      </c>
      <c r="B3" s="53"/>
      <c r="C3" s="45" t="s">
        <v>247</v>
      </c>
    </row>
    <row r="4" spans="1:11" s="5" customFormat="1" ht="10.5" customHeight="1" x14ac:dyDescent="0.15">
      <c r="A4" s="46" t="s">
        <v>0</v>
      </c>
      <c r="B4" s="46"/>
      <c r="C4" s="2" t="s">
        <v>193</v>
      </c>
      <c r="D4" s="2" t="s">
        <v>194</v>
      </c>
      <c r="E4" s="2" t="s">
        <v>37</v>
      </c>
      <c r="F4" s="2" t="s">
        <v>38</v>
      </c>
      <c r="G4" s="2" t="s">
        <v>39</v>
      </c>
      <c r="H4" s="3" t="s">
        <v>40</v>
      </c>
      <c r="I4" s="3" t="s">
        <v>41</v>
      </c>
      <c r="J4" s="3" t="s">
        <v>42</v>
      </c>
      <c r="K4" s="4" t="s">
        <v>43</v>
      </c>
    </row>
    <row r="5" spans="1:11" s="5" customFormat="1" hidden="1" x14ac:dyDescent="0.15">
      <c r="A5" s="50" t="s">
        <v>44</v>
      </c>
      <c r="B5" s="54"/>
      <c r="C5" s="2">
        <v>8</v>
      </c>
      <c r="D5" s="2">
        <v>8</v>
      </c>
      <c r="E5" s="2">
        <v>8</v>
      </c>
      <c r="F5" s="2">
        <v>8</v>
      </c>
      <c r="G5" s="2">
        <v>8</v>
      </c>
      <c r="H5" s="3">
        <v>8</v>
      </c>
      <c r="I5" s="3"/>
      <c r="J5" s="3"/>
      <c r="K5" s="4"/>
    </row>
    <row r="6" spans="1:11" s="5" customFormat="1" hidden="1" x14ac:dyDescent="0.15">
      <c r="A6" s="50" t="s">
        <v>45</v>
      </c>
      <c r="B6" s="54"/>
      <c r="C6" s="2" t="s">
        <v>50</v>
      </c>
      <c r="D6" s="2" t="s">
        <v>50</v>
      </c>
      <c r="E6" s="2" t="s">
        <v>50</v>
      </c>
      <c r="F6" s="2" t="s">
        <v>50</v>
      </c>
      <c r="G6" s="2" t="s">
        <v>50</v>
      </c>
      <c r="H6" s="3" t="s">
        <v>50</v>
      </c>
      <c r="I6" s="3"/>
      <c r="J6" s="3"/>
      <c r="K6" s="4"/>
    </row>
    <row r="7" spans="1:11" s="5" customFormat="1" ht="12" customHeight="1" x14ac:dyDescent="0.15">
      <c r="A7" s="52" t="s">
        <v>51</v>
      </c>
      <c r="B7" s="52"/>
      <c r="C7" s="36" t="s">
        <v>195</v>
      </c>
      <c r="D7" s="36" t="s">
        <v>196</v>
      </c>
      <c r="E7" s="36" t="s">
        <v>197</v>
      </c>
      <c r="F7" s="36" t="s">
        <v>198</v>
      </c>
      <c r="G7" s="36" t="s">
        <v>199</v>
      </c>
      <c r="H7" s="37" t="s">
        <v>200</v>
      </c>
      <c r="I7" s="6"/>
      <c r="J7" s="6"/>
      <c r="K7" s="7"/>
    </row>
    <row r="8" spans="1:11" s="5" customFormat="1" ht="12" customHeight="1" x14ac:dyDescent="0.15">
      <c r="A8" s="52" t="s">
        <v>52</v>
      </c>
      <c r="B8" s="52"/>
      <c r="C8" s="36" t="s">
        <v>235</v>
      </c>
      <c r="D8" s="36" t="s">
        <v>226</v>
      </c>
      <c r="E8" s="36" t="s">
        <v>236</v>
      </c>
      <c r="F8" s="36" t="s">
        <v>218</v>
      </c>
      <c r="G8" s="36" t="s">
        <v>237</v>
      </c>
      <c r="H8" s="36" t="s">
        <v>238</v>
      </c>
      <c r="I8" s="6"/>
      <c r="J8" s="6"/>
      <c r="K8" s="7"/>
    </row>
    <row r="9" spans="1:11" ht="12" customHeight="1" x14ac:dyDescent="0.15">
      <c r="A9" s="48" t="s">
        <v>53</v>
      </c>
      <c r="B9" s="49"/>
      <c r="C9" s="38">
        <v>14</v>
      </c>
      <c r="D9" s="38">
        <v>18</v>
      </c>
      <c r="E9" s="38">
        <v>8</v>
      </c>
      <c r="F9" s="38">
        <v>8</v>
      </c>
      <c r="G9" s="38">
        <v>8</v>
      </c>
      <c r="H9" s="39">
        <v>8</v>
      </c>
      <c r="I9" s="9">
        <f>SUM(C9:H9)</f>
        <v>64</v>
      </c>
      <c r="J9" s="9"/>
      <c r="K9" s="10"/>
    </row>
    <row r="10" spans="1:11" ht="12.75" customHeight="1" x14ac:dyDescent="0.15">
      <c r="A10" s="46" t="s">
        <v>54</v>
      </c>
      <c r="B10" s="46"/>
      <c r="C10" s="41" t="s">
        <v>64</v>
      </c>
      <c r="D10" s="41" t="s">
        <v>64</v>
      </c>
      <c r="E10" s="41" t="s">
        <v>62</v>
      </c>
      <c r="F10" s="41" t="s">
        <v>62</v>
      </c>
      <c r="G10" s="41" t="s">
        <v>62</v>
      </c>
      <c r="H10" s="42" t="s">
        <v>62</v>
      </c>
      <c r="I10" s="12"/>
      <c r="J10" s="12"/>
      <c r="K10" s="13"/>
    </row>
    <row r="11" spans="1:11" ht="12.75" customHeight="1" x14ac:dyDescent="0.15">
      <c r="A11" s="46" t="s">
        <v>65</v>
      </c>
      <c r="B11" s="46"/>
      <c r="C11" s="14">
        <v>38.9</v>
      </c>
      <c r="D11" s="14">
        <v>3924</v>
      </c>
      <c r="E11" s="14">
        <v>4005.8</v>
      </c>
      <c r="F11" s="14">
        <v>2573.3000000000002</v>
      </c>
      <c r="G11" s="14">
        <v>3470.9</v>
      </c>
      <c r="H11" s="15">
        <v>1917.3</v>
      </c>
      <c r="I11" s="16">
        <f>SUM(C11:H11)</f>
        <v>15930.199999999999</v>
      </c>
      <c r="J11" s="16">
        <f>AVERAGE(C11:H11)</f>
        <v>2655.0333333333333</v>
      </c>
      <c r="K11" s="13"/>
    </row>
    <row r="12" spans="1:11" ht="12.75" customHeight="1" x14ac:dyDescent="0.15">
      <c r="A12" s="50" t="s">
        <v>239</v>
      </c>
      <c r="B12" s="51"/>
      <c r="C12" s="43">
        <v>1.5041666666666667</v>
      </c>
      <c r="D12" s="43">
        <v>3.7798611111111109</v>
      </c>
      <c r="E12" s="43">
        <v>5.3833333333333337</v>
      </c>
      <c r="F12" s="43">
        <v>3.2041666666666666</v>
      </c>
      <c r="G12" s="43">
        <v>4.209027777777778</v>
      </c>
      <c r="H12" s="44">
        <v>4.0437500000000002</v>
      </c>
      <c r="I12" s="16"/>
      <c r="J12" s="16"/>
      <c r="K12" s="13"/>
    </row>
    <row r="13" spans="1:11" ht="12.75" customHeight="1" x14ac:dyDescent="0.15">
      <c r="A13" s="46" t="s">
        <v>66</v>
      </c>
      <c r="B13" s="46"/>
      <c r="C13" s="14">
        <v>0</v>
      </c>
      <c r="D13" s="14">
        <v>766400</v>
      </c>
      <c r="E13" s="14">
        <v>756100</v>
      </c>
      <c r="F13" s="14">
        <v>456000</v>
      </c>
      <c r="G13" s="14">
        <v>613000</v>
      </c>
      <c r="H13" s="15">
        <v>440692</v>
      </c>
      <c r="I13" s="16">
        <f>SUM(C13:H13)</f>
        <v>3032192</v>
      </c>
      <c r="J13" s="16">
        <f>AVERAGE(C13:H13)</f>
        <v>505365.33333333331</v>
      </c>
      <c r="K13" s="13">
        <f>I13/I13</f>
        <v>1</v>
      </c>
    </row>
    <row r="14" spans="1:11" ht="12.75" customHeight="1" x14ac:dyDescent="0.15">
      <c r="A14" s="50" t="s">
        <v>240</v>
      </c>
      <c r="B14" s="51"/>
      <c r="C14" s="14"/>
      <c r="D14" s="14"/>
      <c r="E14" s="14"/>
      <c r="F14" s="14"/>
      <c r="G14" s="14"/>
      <c r="H14" s="15"/>
      <c r="I14" s="16">
        <f>SUM(C14:H14)</f>
        <v>0</v>
      </c>
      <c r="J14" s="16"/>
      <c r="K14" s="13"/>
    </row>
    <row r="15" spans="1:11" ht="12.75" customHeight="1" x14ac:dyDescent="0.15">
      <c r="A15" s="46" t="s">
        <v>67</v>
      </c>
      <c r="B15" s="46"/>
      <c r="C15" s="14">
        <f t="shared" ref="C15:H15" si="0">SUM(C13/C11)</f>
        <v>0</v>
      </c>
      <c r="D15" s="14">
        <f t="shared" si="0"/>
        <v>195.31090723751274</v>
      </c>
      <c r="E15" s="14">
        <f t="shared" si="0"/>
        <v>188.75131059963053</v>
      </c>
      <c r="F15" s="14">
        <f t="shared" si="0"/>
        <v>177.20436793222709</v>
      </c>
      <c r="G15" s="14">
        <f t="shared" si="0"/>
        <v>176.61125356535769</v>
      </c>
      <c r="H15" s="15">
        <f t="shared" si="0"/>
        <v>229.85031033223805</v>
      </c>
      <c r="I15" s="12">
        <f>SUM(I13/I11)</f>
        <v>190.3423685829431</v>
      </c>
      <c r="J15" s="16">
        <f>AVERAGE(C15:H15)</f>
        <v>161.28802494449437</v>
      </c>
      <c r="K15" s="13"/>
    </row>
    <row r="16" spans="1:11" ht="12.75" customHeight="1" x14ac:dyDescent="0.15">
      <c r="A16" s="50" t="s">
        <v>241</v>
      </c>
      <c r="B16" s="51"/>
      <c r="C16" s="14">
        <f t="shared" ref="C16:H16" si="1">C13/(C12*24)</f>
        <v>0</v>
      </c>
      <c r="D16" s="14">
        <f t="shared" si="1"/>
        <v>8448.282197317656</v>
      </c>
      <c r="E16" s="14">
        <f t="shared" si="1"/>
        <v>5852.1671826625379</v>
      </c>
      <c r="F16" s="14">
        <f t="shared" si="1"/>
        <v>5929.7789336801034</v>
      </c>
      <c r="G16" s="14">
        <f t="shared" si="1"/>
        <v>6068.3055601385904</v>
      </c>
      <c r="H16" s="15">
        <f t="shared" si="1"/>
        <v>4540.8758371973208</v>
      </c>
      <c r="I16" s="12"/>
      <c r="J16" s="16"/>
      <c r="K16" s="13"/>
    </row>
    <row r="17" spans="1:11" ht="12.75" customHeight="1" x14ac:dyDescent="0.15">
      <c r="A17" s="47" t="s">
        <v>68</v>
      </c>
      <c r="B17" s="11" t="s">
        <v>69</v>
      </c>
      <c r="C17" s="14">
        <v>0</v>
      </c>
      <c r="D17" s="14">
        <v>82900</v>
      </c>
      <c r="E17" s="14">
        <v>271700</v>
      </c>
      <c r="F17" s="14">
        <v>189600</v>
      </c>
      <c r="G17" s="14">
        <v>245000</v>
      </c>
      <c r="H17" s="15">
        <v>349400</v>
      </c>
      <c r="I17" s="16">
        <f t="shared" ref="I17:I30" si="2">SUM(C17:H17)</f>
        <v>1138600</v>
      </c>
      <c r="J17" s="16">
        <f t="shared" ref="J17:J45" si="3">AVERAGE(C17:H17)</f>
        <v>189766.66666666666</v>
      </c>
      <c r="K17" s="13">
        <f>I17/I13</f>
        <v>0.37550392587276793</v>
      </c>
    </row>
    <row r="18" spans="1:11" ht="12.75" customHeight="1" x14ac:dyDescent="0.15">
      <c r="A18" s="47"/>
      <c r="B18" s="11" t="s">
        <v>70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5">
        <v>0</v>
      </c>
      <c r="I18" s="16">
        <f t="shared" si="2"/>
        <v>0</v>
      </c>
      <c r="J18" s="16">
        <f t="shared" si="3"/>
        <v>0</v>
      </c>
      <c r="K18" s="13">
        <f>I18/I13</f>
        <v>0</v>
      </c>
    </row>
    <row r="19" spans="1:11" ht="12.75" customHeight="1" x14ac:dyDescent="0.15">
      <c r="A19" s="47"/>
      <c r="B19" s="11" t="s">
        <v>71</v>
      </c>
      <c r="C19" s="14">
        <v>6000</v>
      </c>
      <c r="D19" s="14">
        <v>6950</v>
      </c>
      <c r="E19" s="14">
        <v>0</v>
      </c>
      <c r="F19" s="14">
        <v>0</v>
      </c>
      <c r="G19" s="14">
        <v>0</v>
      </c>
      <c r="H19" s="15">
        <v>0</v>
      </c>
      <c r="I19" s="16">
        <f t="shared" si="2"/>
        <v>12950</v>
      </c>
      <c r="J19" s="16">
        <f t="shared" si="3"/>
        <v>2158.3333333333335</v>
      </c>
      <c r="K19" s="13">
        <f>I19/I13</f>
        <v>4.2708377305922581E-3</v>
      </c>
    </row>
    <row r="20" spans="1:11" ht="12.75" customHeight="1" x14ac:dyDescent="0.15">
      <c r="A20" s="47"/>
      <c r="B20" s="11" t="s">
        <v>72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5">
        <v>0</v>
      </c>
      <c r="I20" s="16">
        <f t="shared" si="2"/>
        <v>0</v>
      </c>
      <c r="J20" s="16">
        <f t="shared" si="3"/>
        <v>0</v>
      </c>
      <c r="K20" s="13">
        <f>I20/I13</f>
        <v>0</v>
      </c>
    </row>
    <row r="21" spans="1:11" ht="12.75" customHeight="1" x14ac:dyDescent="0.15">
      <c r="A21" s="47"/>
      <c r="B21" s="11" t="s">
        <v>73</v>
      </c>
      <c r="C21" s="14">
        <v>8666</v>
      </c>
      <c r="D21" s="14">
        <v>8337</v>
      </c>
      <c r="E21" s="14">
        <v>4766</v>
      </c>
      <c r="F21" s="14">
        <v>4766</v>
      </c>
      <c r="G21" s="14">
        <v>4766</v>
      </c>
      <c r="H21" s="15">
        <v>4583</v>
      </c>
      <c r="I21" s="16">
        <f t="shared" si="2"/>
        <v>35884</v>
      </c>
      <c r="J21" s="16">
        <f t="shared" si="3"/>
        <v>5980.666666666667</v>
      </c>
      <c r="K21" s="13">
        <f>I21/I13</f>
        <v>1.1834342943982439E-2</v>
      </c>
    </row>
    <row r="22" spans="1:11" ht="12.75" customHeight="1" x14ac:dyDescent="0.15">
      <c r="A22" s="47"/>
      <c r="B22" s="11" t="s">
        <v>74</v>
      </c>
      <c r="C22" s="14">
        <v>42121</v>
      </c>
      <c r="D22" s="14">
        <v>42468</v>
      </c>
      <c r="E22" s="14">
        <v>25080</v>
      </c>
      <c r="F22" s="14">
        <v>46616</v>
      </c>
      <c r="G22" s="14">
        <v>29025</v>
      </c>
      <c r="H22" s="15">
        <v>15220</v>
      </c>
      <c r="I22" s="16">
        <f t="shared" si="2"/>
        <v>200530</v>
      </c>
      <c r="J22" s="16">
        <f t="shared" si="3"/>
        <v>33421.666666666664</v>
      </c>
      <c r="K22" s="13">
        <f>I22/I13</f>
        <v>6.6133674912406598E-2</v>
      </c>
    </row>
    <row r="23" spans="1:11" ht="12.75" customHeight="1" x14ac:dyDescent="0.15">
      <c r="A23" s="47"/>
      <c r="B23" s="17" t="s">
        <v>75</v>
      </c>
      <c r="C23" s="18">
        <f t="shared" ref="C23:H23" si="4">SUM(C17:C22)</f>
        <v>56787</v>
      </c>
      <c r="D23" s="18">
        <f t="shared" si="4"/>
        <v>140655</v>
      </c>
      <c r="E23" s="18">
        <f t="shared" si="4"/>
        <v>301546</v>
      </c>
      <c r="F23" s="18">
        <f t="shared" si="4"/>
        <v>240982</v>
      </c>
      <c r="G23" s="18">
        <f t="shared" si="4"/>
        <v>278791</v>
      </c>
      <c r="H23" s="19">
        <f t="shared" si="4"/>
        <v>369203</v>
      </c>
      <c r="I23" s="20">
        <f t="shared" si="2"/>
        <v>1387964</v>
      </c>
      <c r="J23" s="20">
        <f t="shared" si="3"/>
        <v>231327.33333333334</v>
      </c>
      <c r="K23" s="21">
        <f>I23/I13</f>
        <v>0.45774278145974923</v>
      </c>
    </row>
    <row r="24" spans="1:11" ht="12.75" customHeight="1" x14ac:dyDescent="0.15">
      <c r="A24" s="47" t="s">
        <v>76</v>
      </c>
      <c r="B24" s="11" t="s">
        <v>77</v>
      </c>
      <c r="C24" s="14">
        <v>249066</v>
      </c>
      <c r="D24" s="14">
        <v>265700</v>
      </c>
      <c r="E24" s="14">
        <v>0</v>
      </c>
      <c r="F24" s="14">
        <v>0</v>
      </c>
      <c r="G24" s="14">
        <v>0</v>
      </c>
      <c r="H24" s="15">
        <v>90707</v>
      </c>
      <c r="I24" s="16">
        <f t="shared" si="2"/>
        <v>605473</v>
      </c>
      <c r="J24" s="16">
        <f t="shared" si="3"/>
        <v>100912.16666666667</v>
      </c>
      <c r="K24" s="13">
        <f>I24/I13</f>
        <v>0.19968161646755878</v>
      </c>
    </row>
    <row r="25" spans="1:11" ht="12.75" customHeight="1" x14ac:dyDescent="0.15">
      <c r="A25" s="47"/>
      <c r="B25" s="11" t="s">
        <v>78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5">
        <v>0</v>
      </c>
      <c r="I25" s="16">
        <f t="shared" si="2"/>
        <v>0</v>
      </c>
      <c r="J25" s="16">
        <f t="shared" si="3"/>
        <v>0</v>
      </c>
      <c r="K25" s="13">
        <f>I25/I13</f>
        <v>0</v>
      </c>
    </row>
    <row r="26" spans="1:11" ht="12.75" customHeight="1" x14ac:dyDescent="0.15">
      <c r="A26" s="47"/>
      <c r="B26" s="11" t="s">
        <v>79</v>
      </c>
      <c r="C26" s="14">
        <f t="shared" ref="C26:H26" si="5">30000*C9/70000*C11</f>
        <v>233.39999999999998</v>
      </c>
      <c r="D26" s="14">
        <f t="shared" si="5"/>
        <v>30270.857142857145</v>
      </c>
      <c r="E26" s="14">
        <f t="shared" si="5"/>
        <v>13734.171428571428</v>
      </c>
      <c r="F26" s="14">
        <f t="shared" si="5"/>
        <v>8822.7428571428572</v>
      </c>
      <c r="G26" s="14">
        <f t="shared" si="5"/>
        <v>11900.228571428572</v>
      </c>
      <c r="H26" s="15">
        <f t="shared" si="5"/>
        <v>6573.5999999999995</v>
      </c>
      <c r="I26" s="16">
        <f t="shared" si="2"/>
        <v>71535</v>
      </c>
      <c r="J26" s="16">
        <f t="shared" si="3"/>
        <v>11922.5</v>
      </c>
      <c r="K26" s="13">
        <f>I26/I13</f>
        <v>2.3591843788256153E-2</v>
      </c>
    </row>
    <row r="27" spans="1:11" ht="12.75" customHeight="1" x14ac:dyDescent="0.15">
      <c r="A27" s="47"/>
      <c r="B27" s="11" t="s">
        <v>80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5">
        <v>0</v>
      </c>
      <c r="I27" s="16">
        <f t="shared" si="2"/>
        <v>0</v>
      </c>
      <c r="J27" s="16">
        <f t="shared" si="3"/>
        <v>0</v>
      </c>
      <c r="K27" s="13">
        <f>I27/I13</f>
        <v>0</v>
      </c>
    </row>
    <row r="28" spans="1:11" ht="12.75" customHeight="1" x14ac:dyDescent="0.15">
      <c r="A28" s="47"/>
      <c r="B28" s="11" t="s">
        <v>81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5">
        <v>0</v>
      </c>
      <c r="I28" s="16">
        <f t="shared" si="2"/>
        <v>0</v>
      </c>
      <c r="J28" s="16">
        <f t="shared" si="3"/>
        <v>0</v>
      </c>
      <c r="K28" s="13">
        <f>I28/I13</f>
        <v>0</v>
      </c>
    </row>
    <row r="29" spans="1:11" ht="12.75" customHeight="1" x14ac:dyDescent="0.15">
      <c r="A29" s="47"/>
      <c r="B29" s="17" t="s">
        <v>82</v>
      </c>
      <c r="C29" s="18">
        <f t="shared" ref="C29:H29" si="6">SUM(C24:C28)</f>
        <v>249299.4</v>
      </c>
      <c r="D29" s="18">
        <f t="shared" si="6"/>
        <v>295970.85714285716</v>
      </c>
      <c r="E29" s="18">
        <f t="shared" si="6"/>
        <v>13734.171428571428</v>
      </c>
      <c r="F29" s="18">
        <f t="shared" si="6"/>
        <v>8822.7428571428572</v>
      </c>
      <c r="G29" s="18">
        <f t="shared" si="6"/>
        <v>11900.228571428572</v>
      </c>
      <c r="H29" s="19">
        <f t="shared" si="6"/>
        <v>97280.6</v>
      </c>
      <c r="I29" s="20">
        <f t="shared" si="2"/>
        <v>677008</v>
      </c>
      <c r="J29" s="20">
        <f t="shared" si="3"/>
        <v>112834.66666666667</v>
      </c>
      <c r="K29" s="21">
        <f>I29/I13</f>
        <v>0.22327346025581493</v>
      </c>
    </row>
    <row r="30" spans="1:11" ht="12.75" customHeight="1" x14ac:dyDescent="0.15">
      <c r="A30" s="47" t="s">
        <v>83</v>
      </c>
      <c r="B30" s="8" t="s">
        <v>84</v>
      </c>
      <c r="C30" s="22">
        <v>457</v>
      </c>
      <c r="D30" s="22">
        <v>1062</v>
      </c>
      <c r="E30" s="22">
        <v>1256</v>
      </c>
      <c r="F30" s="22">
        <v>595</v>
      </c>
      <c r="G30" s="22">
        <v>864</v>
      </c>
      <c r="H30" s="23">
        <v>581</v>
      </c>
      <c r="I30" s="24">
        <f t="shared" si="2"/>
        <v>4815</v>
      </c>
      <c r="J30" s="24">
        <f t="shared" si="3"/>
        <v>802.5</v>
      </c>
      <c r="K30" s="10">
        <f>I30/I13</f>
        <v>1.5879601291738782E-3</v>
      </c>
    </row>
    <row r="31" spans="1:11" ht="12.75" customHeight="1" x14ac:dyDescent="0.15">
      <c r="A31" s="47"/>
      <c r="B31" s="25" t="s">
        <v>85</v>
      </c>
      <c r="C31" s="26">
        <f t="shared" ref="C31:I31" si="7">SUM(C11/C30)</f>
        <v>8.5120350109409187E-2</v>
      </c>
      <c r="D31" s="26">
        <f t="shared" si="7"/>
        <v>3.6949152542372881</v>
      </c>
      <c r="E31" s="26">
        <f t="shared" si="7"/>
        <v>3.1893312101910829</v>
      </c>
      <c r="F31" s="26">
        <f t="shared" si="7"/>
        <v>4.3248739495798318</v>
      </c>
      <c r="G31" s="26">
        <f t="shared" si="7"/>
        <v>4.0172453703703708</v>
      </c>
      <c r="H31" s="27">
        <f t="shared" si="7"/>
        <v>3.3</v>
      </c>
      <c r="I31" s="28">
        <f t="shared" si="7"/>
        <v>3.3084527518172377</v>
      </c>
      <c r="J31" s="28">
        <f t="shared" si="3"/>
        <v>3.1019143557479971</v>
      </c>
      <c r="K31" s="25">
        <f>I31/I13</f>
        <v>1.0911092542349686E-6</v>
      </c>
    </row>
    <row r="32" spans="1:11" ht="12.75" customHeight="1" x14ac:dyDescent="0.15">
      <c r="A32" s="47"/>
      <c r="B32" s="11" t="s">
        <v>86</v>
      </c>
      <c r="C32" s="14">
        <v>53652</v>
      </c>
      <c r="D32" s="14">
        <v>124677</v>
      </c>
      <c r="E32" s="14">
        <v>147934</v>
      </c>
      <c r="F32" s="14">
        <v>69852</v>
      </c>
      <c r="G32" s="14">
        <v>101433</v>
      </c>
      <c r="H32" s="15">
        <v>68209</v>
      </c>
      <c r="I32" s="16">
        <f t="shared" ref="I32:I46" si="8">SUM(C32:H32)</f>
        <v>565757</v>
      </c>
      <c r="J32" s="16">
        <f t="shared" si="3"/>
        <v>94292.833333333328</v>
      </c>
      <c r="K32" s="13">
        <f>I32/I13</f>
        <v>0.18658350130862425</v>
      </c>
    </row>
    <row r="33" spans="1:11" ht="12.75" customHeight="1" x14ac:dyDescent="0.15">
      <c r="A33" s="47"/>
      <c r="B33" s="11" t="s">
        <v>87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5">
        <v>0</v>
      </c>
      <c r="I33" s="16">
        <f t="shared" si="8"/>
        <v>0</v>
      </c>
      <c r="J33" s="16">
        <f t="shared" si="3"/>
        <v>0</v>
      </c>
      <c r="K33" s="13">
        <f>I33/I13</f>
        <v>0</v>
      </c>
    </row>
    <row r="34" spans="1:11" ht="12.75" customHeight="1" x14ac:dyDescent="0.15">
      <c r="A34" s="47"/>
      <c r="B34" s="11" t="s">
        <v>88</v>
      </c>
      <c r="C34" s="14">
        <v>0</v>
      </c>
      <c r="D34" s="14">
        <v>0</v>
      </c>
      <c r="E34" s="14">
        <v>0</v>
      </c>
      <c r="F34" s="14">
        <v>0</v>
      </c>
      <c r="G34" s="14">
        <v>0</v>
      </c>
      <c r="H34" s="15">
        <v>0</v>
      </c>
      <c r="I34" s="16">
        <f t="shared" si="8"/>
        <v>0</v>
      </c>
      <c r="J34" s="16">
        <f t="shared" si="3"/>
        <v>0</v>
      </c>
      <c r="K34" s="13">
        <f>I34/I13</f>
        <v>0</v>
      </c>
    </row>
    <row r="35" spans="1:11" ht="12.75" customHeight="1" x14ac:dyDescent="0.15">
      <c r="A35" s="47"/>
      <c r="B35" s="17" t="s">
        <v>89</v>
      </c>
      <c r="C35" s="18">
        <f t="shared" ref="C35:H35" si="9">SUM(C32:C34)</f>
        <v>53652</v>
      </c>
      <c r="D35" s="18">
        <f t="shared" si="9"/>
        <v>124677</v>
      </c>
      <c r="E35" s="18">
        <f t="shared" si="9"/>
        <v>147934</v>
      </c>
      <c r="F35" s="18">
        <f t="shared" si="9"/>
        <v>69852</v>
      </c>
      <c r="G35" s="18">
        <f t="shared" si="9"/>
        <v>101433</v>
      </c>
      <c r="H35" s="19">
        <f t="shared" si="9"/>
        <v>68209</v>
      </c>
      <c r="I35" s="20">
        <f t="shared" si="8"/>
        <v>565757</v>
      </c>
      <c r="J35" s="20">
        <f t="shared" si="3"/>
        <v>94292.833333333328</v>
      </c>
      <c r="K35" s="21">
        <f>I35/I13</f>
        <v>0.18658350130862425</v>
      </c>
    </row>
    <row r="36" spans="1:11" ht="12.75" customHeight="1" x14ac:dyDescent="0.15">
      <c r="A36" s="47" t="s">
        <v>90</v>
      </c>
      <c r="B36" s="11" t="s">
        <v>91</v>
      </c>
      <c r="C36" s="14">
        <v>2451</v>
      </c>
      <c r="D36" s="14">
        <v>2451</v>
      </c>
      <c r="E36" s="14">
        <v>2008</v>
      </c>
      <c r="F36" s="14">
        <v>2008</v>
      </c>
      <c r="G36" s="14">
        <v>2012</v>
      </c>
      <c r="H36" s="15">
        <v>2008</v>
      </c>
      <c r="I36" s="16">
        <f t="shared" si="8"/>
        <v>12938</v>
      </c>
      <c r="J36" s="16">
        <f t="shared" si="3"/>
        <v>2156.3333333333335</v>
      </c>
      <c r="K36" s="13">
        <f>I36/I13</f>
        <v>4.2668801975600489E-3</v>
      </c>
    </row>
    <row r="37" spans="1:11" ht="12.75" customHeight="1" x14ac:dyDescent="0.15">
      <c r="A37" s="47"/>
      <c r="B37" s="11" t="s">
        <v>92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5">
        <v>0</v>
      </c>
      <c r="I37" s="16">
        <f t="shared" si="8"/>
        <v>0</v>
      </c>
      <c r="J37" s="16">
        <f t="shared" si="3"/>
        <v>0</v>
      </c>
      <c r="K37" s="13">
        <f>I37/I13</f>
        <v>0</v>
      </c>
    </row>
    <row r="38" spans="1:11" ht="12.75" customHeight="1" x14ac:dyDescent="0.15">
      <c r="A38" s="47"/>
      <c r="B38" s="11" t="s">
        <v>93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5">
        <v>0</v>
      </c>
      <c r="I38" s="16">
        <f t="shared" si="8"/>
        <v>0</v>
      </c>
      <c r="J38" s="16">
        <f t="shared" si="3"/>
        <v>0</v>
      </c>
      <c r="K38" s="13">
        <f>I38/I13</f>
        <v>0</v>
      </c>
    </row>
    <row r="39" spans="1:11" ht="12.75" customHeight="1" x14ac:dyDescent="0.15">
      <c r="A39" s="47"/>
      <c r="B39" s="11" t="s">
        <v>94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5">
        <v>0</v>
      </c>
      <c r="I39" s="16">
        <f t="shared" si="8"/>
        <v>0</v>
      </c>
      <c r="J39" s="16">
        <f t="shared" si="3"/>
        <v>0</v>
      </c>
      <c r="K39" s="13">
        <f>I39/I13</f>
        <v>0</v>
      </c>
    </row>
    <row r="40" spans="1:11" ht="12.75" customHeight="1" x14ac:dyDescent="0.15">
      <c r="A40" s="47"/>
      <c r="B40" s="11" t="s">
        <v>95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5">
        <v>0</v>
      </c>
      <c r="I40" s="16">
        <f t="shared" si="8"/>
        <v>0</v>
      </c>
      <c r="J40" s="16">
        <f t="shared" si="3"/>
        <v>0</v>
      </c>
      <c r="K40" s="13">
        <f>I40/I13</f>
        <v>0</v>
      </c>
    </row>
    <row r="41" spans="1:11" ht="12.75" customHeight="1" x14ac:dyDescent="0.15">
      <c r="A41" s="47"/>
      <c r="B41" s="11" t="s">
        <v>96</v>
      </c>
      <c r="C41" s="14">
        <v>10249</v>
      </c>
      <c r="D41" s="14">
        <v>10249</v>
      </c>
      <c r="E41" s="14">
        <v>10005</v>
      </c>
      <c r="F41" s="14">
        <v>8515</v>
      </c>
      <c r="G41" s="14">
        <v>10163</v>
      </c>
      <c r="H41" s="15">
        <v>11536</v>
      </c>
      <c r="I41" s="16">
        <f t="shared" si="8"/>
        <v>60717</v>
      </c>
      <c r="J41" s="16">
        <f t="shared" si="3"/>
        <v>10119.5</v>
      </c>
      <c r="K41" s="13">
        <f>I41/I13</f>
        <v>2.00241277597197E-2</v>
      </c>
    </row>
    <row r="42" spans="1:11" ht="12.75" customHeight="1" x14ac:dyDescent="0.15">
      <c r="A42" s="47"/>
      <c r="B42" s="17" t="s">
        <v>97</v>
      </c>
      <c r="C42" s="18">
        <f t="shared" ref="C42:H42" si="10">SUM(C36:C41)</f>
        <v>12700</v>
      </c>
      <c r="D42" s="18">
        <f t="shared" si="10"/>
        <v>12700</v>
      </c>
      <c r="E42" s="18">
        <f t="shared" si="10"/>
        <v>12013</v>
      </c>
      <c r="F42" s="18">
        <f t="shared" si="10"/>
        <v>10523</v>
      </c>
      <c r="G42" s="18">
        <f t="shared" si="10"/>
        <v>12175</v>
      </c>
      <c r="H42" s="19">
        <f t="shared" si="10"/>
        <v>13544</v>
      </c>
      <c r="I42" s="20">
        <f t="shared" si="8"/>
        <v>73655</v>
      </c>
      <c r="J42" s="20">
        <f t="shared" si="3"/>
        <v>12275.833333333334</v>
      </c>
      <c r="K42" s="21">
        <f>I42/I13</f>
        <v>2.4291007957279748E-2</v>
      </c>
    </row>
    <row r="43" spans="1:11" ht="12.75" customHeight="1" x14ac:dyDescent="0.15">
      <c r="A43" s="47" t="s">
        <v>98</v>
      </c>
      <c r="B43" s="11" t="s">
        <v>99</v>
      </c>
      <c r="C43" s="14">
        <v>0</v>
      </c>
      <c r="D43" s="14">
        <v>79360</v>
      </c>
      <c r="E43" s="14">
        <v>66100</v>
      </c>
      <c r="F43" s="14">
        <v>42430</v>
      </c>
      <c r="G43" s="14">
        <v>63710</v>
      </c>
      <c r="H43" s="15">
        <v>28380</v>
      </c>
      <c r="I43" s="16">
        <f t="shared" si="8"/>
        <v>279980</v>
      </c>
      <c r="J43" s="16">
        <f t="shared" si="3"/>
        <v>46663.333333333336</v>
      </c>
      <c r="K43" s="13">
        <f>I43/I13</f>
        <v>9.2335841529823964E-2</v>
      </c>
    </row>
    <row r="44" spans="1:11" ht="12.75" customHeight="1" x14ac:dyDescent="0.15">
      <c r="A44" s="47"/>
      <c r="B44" s="11" t="s">
        <v>100</v>
      </c>
      <c r="C44" s="14">
        <v>0</v>
      </c>
      <c r="D44" s="14">
        <v>-7215</v>
      </c>
      <c r="E44" s="14">
        <v>-6009</v>
      </c>
      <c r="F44" s="14">
        <v>-3857</v>
      </c>
      <c r="G44" s="14">
        <v>-5792</v>
      </c>
      <c r="H44" s="15">
        <v>-2580</v>
      </c>
      <c r="I44" s="16">
        <f t="shared" si="8"/>
        <v>-25453</v>
      </c>
      <c r="J44" s="16">
        <f t="shared" si="3"/>
        <v>-4242.166666666667</v>
      </c>
      <c r="K44" s="13">
        <f>I44/I13</f>
        <v>-8.3942573557347286E-3</v>
      </c>
    </row>
    <row r="45" spans="1:11" ht="12.75" customHeight="1" x14ac:dyDescent="0.15">
      <c r="A45" s="47"/>
      <c r="B45" s="11" t="s">
        <v>101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5">
        <v>0</v>
      </c>
      <c r="I45" s="16">
        <f t="shared" si="8"/>
        <v>0</v>
      </c>
      <c r="J45" s="16">
        <f t="shared" si="3"/>
        <v>0</v>
      </c>
      <c r="K45" s="13">
        <f>I45/I13</f>
        <v>0</v>
      </c>
    </row>
    <row r="46" spans="1:11" ht="12.75" customHeight="1" x14ac:dyDescent="0.15">
      <c r="A46" s="47"/>
      <c r="B46" s="11" t="s">
        <v>102</v>
      </c>
      <c r="C46" s="14">
        <v>0</v>
      </c>
      <c r="D46" s="14">
        <v>-25395.200000000001</v>
      </c>
      <c r="E46" s="14">
        <v>-21152</v>
      </c>
      <c r="F46" s="14">
        <v>-13577.6</v>
      </c>
      <c r="G46" s="14">
        <v>-20387.2</v>
      </c>
      <c r="H46" s="15">
        <v>-9081.6</v>
      </c>
      <c r="I46" s="16">
        <f t="shared" si="8"/>
        <v>-89593.600000000006</v>
      </c>
      <c r="J46" s="16">
        <f>AVERAGE(B46:H46)</f>
        <v>-14932.266666666668</v>
      </c>
      <c r="K46" s="13">
        <f>I46/I13</f>
        <v>-2.9547469289543674E-2</v>
      </c>
    </row>
    <row r="47" spans="1:11" ht="12.75" customHeight="1" x14ac:dyDescent="0.15">
      <c r="A47" s="47"/>
      <c r="B47" s="17" t="s">
        <v>103</v>
      </c>
      <c r="C47" s="18">
        <f t="shared" ref="C47:I47" si="11">SUM(C43:C46)</f>
        <v>0</v>
      </c>
      <c r="D47" s="18">
        <f t="shared" si="11"/>
        <v>46749.8</v>
      </c>
      <c r="E47" s="18">
        <f t="shared" si="11"/>
        <v>38939</v>
      </c>
      <c r="F47" s="18">
        <f t="shared" si="11"/>
        <v>24995.4</v>
      </c>
      <c r="G47" s="18">
        <f t="shared" si="11"/>
        <v>37530.800000000003</v>
      </c>
      <c r="H47" s="19">
        <f t="shared" si="11"/>
        <v>16718.400000000001</v>
      </c>
      <c r="I47" s="20">
        <f t="shared" si="11"/>
        <v>164933.4</v>
      </c>
      <c r="J47" s="20">
        <f>AVERAGE(B47:H47)</f>
        <v>27488.899999999998</v>
      </c>
      <c r="K47" s="21">
        <f>I47/I13</f>
        <v>5.4394114884545569E-2</v>
      </c>
    </row>
    <row r="48" spans="1:11" ht="12.75" customHeight="1" x14ac:dyDescent="0.15">
      <c r="A48" s="47" t="s">
        <v>104</v>
      </c>
      <c r="B48" s="11" t="s">
        <v>105</v>
      </c>
      <c r="C48" s="14">
        <v>58901</v>
      </c>
      <c r="D48" s="14">
        <v>215969</v>
      </c>
      <c r="E48" s="14">
        <v>255236</v>
      </c>
      <c r="F48" s="14">
        <v>176703</v>
      </c>
      <c r="G48" s="14">
        <v>196336</v>
      </c>
      <c r="H48" s="15">
        <v>274867</v>
      </c>
      <c r="I48" s="16">
        <f t="shared" ref="I48:I65" si="12">SUM(C48:H48)</f>
        <v>1178012</v>
      </c>
      <c r="J48" s="16">
        <f t="shared" ref="J48:J65" si="13">AVERAGE(C48:H48)</f>
        <v>196335.33333333334</v>
      </c>
      <c r="K48" s="13">
        <f>I48/I13</f>
        <v>0.38850178352821985</v>
      </c>
    </row>
    <row r="49" spans="1:11" ht="12.75" customHeight="1" x14ac:dyDescent="0.15">
      <c r="A49" s="47"/>
      <c r="B49" s="11" t="s">
        <v>106</v>
      </c>
      <c r="C49" s="14">
        <v>3966</v>
      </c>
      <c r="D49" s="14">
        <v>14540</v>
      </c>
      <c r="E49" s="14">
        <v>17183</v>
      </c>
      <c r="F49" s="14">
        <v>11895</v>
      </c>
      <c r="G49" s="14">
        <v>13219</v>
      </c>
      <c r="H49" s="15">
        <v>18506</v>
      </c>
      <c r="I49" s="16">
        <f t="shared" si="12"/>
        <v>79309</v>
      </c>
      <c r="J49" s="16">
        <f t="shared" si="13"/>
        <v>13218.166666666666</v>
      </c>
      <c r="K49" s="13">
        <f>I49/I13</f>
        <v>2.6155665604288912E-2</v>
      </c>
    </row>
    <row r="50" spans="1:11" ht="12.75" customHeight="1" x14ac:dyDescent="0.15">
      <c r="A50" s="47"/>
      <c r="B50" s="11" t="s">
        <v>107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5">
        <v>0</v>
      </c>
      <c r="I50" s="16">
        <f t="shared" si="12"/>
        <v>0</v>
      </c>
      <c r="J50" s="16">
        <f t="shared" si="13"/>
        <v>0</v>
      </c>
      <c r="K50" s="13">
        <f>I50/I13</f>
        <v>0</v>
      </c>
    </row>
    <row r="51" spans="1:11" ht="12.75" customHeight="1" x14ac:dyDescent="0.15">
      <c r="A51" s="47"/>
      <c r="B51" s="11" t="s">
        <v>108</v>
      </c>
      <c r="C51" s="14">
        <v>10665</v>
      </c>
      <c r="D51" s="14">
        <v>39104</v>
      </c>
      <c r="E51" s="14">
        <v>46215</v>
      </c>
      <c r="F51" s="14">
        <v>31995</v>
      </c>
      <c r="G51" s="14">
        <v>35550</v>
      </c>
      <c r="H51" s="15">
        <v>49767</v>
      </c>
      <c r="I51" s="16">
        <f t="shared" si="12"/>
        <v>213296</v>
      </c>
      <c r="J51" s="16">
        <f t="shared" si="13"/>
        <v>35549.333333333336</v>
      </c>
      <c r="K51" s="13">
        <f>I51/I13</f>
        <v>7.0343830469838317E-2</v>
      </c>
    </row>
    <row r="52" spans="1:11" ht="12.75" customHeight="1" x14ac:dyDescent="0.15">
      <c r="A52" s="47"/>
      <c r="B52" s="11" t="s">
        <v>109</v>
      </c>
      <c r="C52" s="14">
        <v>878</v>
      </c>
      <c r="D52" s="14">
        <v>3220</v>
      </c>
      <c r="E52" s="14">
        <v>3805</v>
      </c>
      <c r="F52" s="14">
        <v>2634</v>
      </c>
      <c r="G52" s="14">
        <v>2926</v>
      </c>
      <c r="H52" s="15">
        <v>4098</v>
      </c>
      <c r="I52" s="16">
        <f t="shared" si="12"/>
        <v>17561</v>
      </c>
      <c r="J52" s="16">
        <f t="shared" si="13"/>
        <v>2926.8333333333335</v>
      </c>
      <c r="K52" s="13">
        <f>I52/I13</f>
        <v>5.7915197982185826E-3</v>
      </c>
    </row>
    <row r="53" spans="1:11" ht="12.75" customHeight="1" x14ac:dyDescent="0.15">
      <c r="A53" s="47"/>
      <c r="B53" s="17" t="s">
        <v>110</v>
      </c>
      <c r="C53" s="18">
        <f t="shared" ref="C53:H53" si="14">SUM(C48:C52)</f>
        <v>74410</v>
      </c>
      <c r="D53" s="18">
        <f t="shared" si="14"/>
        <v>272833</v>
      </c>
      <c r="E53" s="18">
        <f t="shared" si="14"/>
        <v>322439</v>
      </c>
      <c r="F53" s="18">
        <f t="shared" si="14"/>
        <v>223227</v>
      </c>
      <c r="G53" s="18">
        <f t="shared" si="14"/>
        <v>248031</v>
      </c>
      <c r="H53" s="19">
        <f t="shared" si="14"/>
        <v>347238</v>
      </c>
      <c r="I53" s="20">
        <f t="shared" si="12"/>
        <v>1488178</v>
      </c>
      <c r="J53" s="20">
        <f t="shared" si="13"/>
        <v>248029.66666666666</v>
      </c>
      <c r="K53" s="21">
        <f>I53/I13</f>
        <v>0.49079279940056564</v>
      </c>
    </row>
    <row r="54" spans="1:11" ht="12.75" customHeight="1" x14ac:dyDescent="0.15">
      <c r="A54" s="47" t="s">
        <v>111</v>
      </c>
      <c r="B54" s="11" t="s">
        <v>112</v>
      </c>
      <c r="C54" s="14">
        <v>28333.333333333332</v>
      </c>
      <c r="D54" s="14">
        <v>28333.333333333332</v>
      </c>
      <c r="E54" s="14">
        <v>28333.333333333332</v>
      </c>
      <c r="F54" s="14">
        <v>28333.333333333332</v>
      </c>
      <c r="G54" s="14">
        <v>28333.333333333332</v>
      </c>
      <c r="H54" s="15">
        <v>28333.333333333332</v>
      </c>
      <c r="I54" s="16">
        <f t="shared" si="12"/>
        <v>170000</v>
      </c>
      <c r="J54" s="16">
        <f t="shared" si="13"/>
        <v>28333.333333333332</v>
      </c>
      <c r="K54" s="13">
        <f>I54/I13</f>
        <v>5.6065051289628097E-2</v>
      </c>
    </row>
    <row r="55" spans="1:11" ht="12.75" customHeight="1" x14ac:dyDescent="0.15">
      <c r="A55" s="47"/>
      <c r="B55" s="11" t="s">
        <v>113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5">
        <v>0</v>
      </c>
      <c r="I55" s="16">
        <f t="shared" si="12"/>
        <v>0</v>
      </c>
      <c r="J55" s="16">
        <f t="shared" si="13"/>
        <v>0</v>
      </c>
      <c r="K55" s="13">
        <f>I55/I13</f>
        <v>0</v>
      </c>
    </row>
    <row r="56" spans="1:11" ht="12.75" customHeight="1" x14ac:dyDescent="0.15">
      <c r="A56" s="47"/>
      <c r="B56" s="11" t="s">
        <v>114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5">
        <v>0</v>
      </c>
      <c r="I56" s="16">
        <f t="shared" si="12"/>
        <v>0</v>
      </c>
      <c r="J56" s="16">
        <f t="shared" si="13"/>
        <v>0</v>
      </c>
      <c r="K56" s="13">
        <f>I56/I13</f>
        <v>0</v>
      </c>
    </row>
    <row r="57" spans="1:11" ht="12.75" customHeight="1" x14ac:dyDescent="0.15">
      <c r="A57" s="47"/>
      <c r="B57" s="11" t="s">
        <v>115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5">
        <v>0</v>
      </c>
      <c r="I57" s="16">
        <f t="shared" si="12"/>
        <v>0</v>
      </c>
      <c r="J57" s="16">
        <f t="shared" si="13"/>
        <v>0</v>
      </c>
      <c r="K57" s="13">
        <f>I57/I13</f>
        <v>0</v>
      </c>
    </row>
    <row r="58" spans="1:11" ht="12.75" customHeight="1" x14ac:dyDescent="0.15">
      <c r="A58" s="47"/>
      <c r="B58" s="11" t="s">
        <v>116</v>
      </c>
      <c r="C58" s="14">
        <v>107509.83333333333</v>
      </c>
      <c r="D58" s="14">
        <v>107509.83333333333</v>
      </c>
      <c r="E58" s="14">
        <v>107509.83333333333</v>
      </c>
      <c r="F58" s="14">
        <v>107509.83333333333</v>
      </c>
      <c r="G58" s="14">
        <v>107509.83333333333</v>
      </c>
      <c r="H58" s="15">
        <v>107509.83333333333</v>
      </c>
      <c r="I58" s="16">
        <f t="shared" si="12"/>
        <v>645059</v>
      </c>
      <c r="J58" s="16">
        <f t="shared" si="13"/>
        <v>107509.83333333333</v>
      </c>
      <c r="K58" s="13">
        <f>I58/I13</f>
        <v>0.2127368583519777</v>
      </c>
    </row>
    <row r="59" spans="1:11" ht="12.75" customHeight="1" x14ac:dyDescent="0.15">
      <c r="A59" s="47"/>
      <c r="B59" s="11" t="s">
        <v>117</v>
      </c>
      <c r="C59" s="14">
        <v>85423.5</v>
      </c>
      <c r="D59" s="14">
        <v>85423.5</v>
      </c>
      <c r="E59" s="14">
        <v>85423.5</v>
      </c>
      <c r="F59" s="14">
        <v>85423.5</v>
      </c>
      <c r="G59" s="14">
        <v>85423.5</v>
      </c>
      <c r="H59" s="15">
        <v>85423.5</v>
      </c>
      <c r="I59" s="16">
        <f t="shared" si="12"/>
        <v>512541</v>
      </c>
      <c r="J59" s="16">
        <f t="shared" si="13"/>
        <v>85423.5</v>
      </c>
      <c r="K59" s="13">
        <f>I59/I13</f>
        <v>0.16903316148845457</v>
      </c>
    </row>
    <row r="60" spans="1:11" ht="12.75" customHeight="1" x14ac:dyDescent="0.15">
      <c r="A60" s="47"/>
      <c r="B60" s="17" t="s">
        <v>118</v>
      </c>
      <c r="C60" s="18">
        <f t="shared" ref="C60:H60" si="15">SUM(C54:C59)</f>
        <v>221266.66666666666</v>
      </c>
      <c r="D60" s="18">
        <f t="shared" si="15"/>
        <v>221266.66666666666</v>
      </c>
      <c r="E60" s="18">
        <f t="shared" si="15"/>
        <v>221266.66666666666</v>
      </c>
      <c r="F60" s="18">
        <f t="shared" si="15"/>
        <v>221266.66666666666</v>
      </c>
      <c r="G60" s="18">
        <f t="shared" si="15"/>
        <v>221266.66666666666</v>
      </c>
      <c r="H60" s="19">
        <f t="shared" si="15"/>
        <v>221266.66666666666</v>
      </c>
      <c r="I60" s="20">
        <f t="shared" si="12"/>
        <v>1327600</v>
      </c>
      <c r="J60" s="20">
        <f t="shared" si="13"/>
        <v>221266.66666666666</v>
      </c>
      <c r="K60" s="21">
        <f>I60/I13</f>
        <v>0.43783507113006037</v>
      </c>
    </row>
    <row r="61" spans="1:11" ht="12.75" customHeight="1" x14ac:dyDescent="0.15">
      <c r="A61" s="46" t="s">
        <v>119</v>
      </c>
      <c r="B61" s="46"/>
      <c r="C61" s="14">
        <f t="shared" ref="C61:H61" si="16">SUM(C53+C23+C29+C35+C42+C47+C60)</f>
        <v>668115.06666666665</v>
      </c>
      <c r="D61" s="14">
        <f t="shared" si="16"/>
        <v>1114852.3238095238</v>
      </c>
      <c r="E61" s="14">
        <f t="shared" si="16"/>
        <v>1057871.8380952382</v>
      </c>
      <c r="F61" s="14">
        <f t="shared" si="16"/>
        <v>799668.80952380947</v>
      </c>
      <c r="G61" s="14">
        <f t="shared" si="16"/>
        <v>911127.69523809524</v>
      </c>
      <c r="H61" s="15">
        <f t="shared" si="16"/>
        <v>1133459.6666666667</v>
      </c>
      <c r="I61" s="16">
        <f t="shared" si="12"/>
        <v>5685095.4000000013</v>
      </c>
      <c r="J61" s="16">
        <f t="shared" si="13"/>
        <v>947515.90000000026</v>
      </c>
      <c r="K61" s="13">
        <f>I61/I13</f>
        <v>1.8749127363966402</v>
      </c>
    </row>
    <row r="62" spans="1:11" ht="12.75" customHeight="1" x14ac:dyDescent="0.15">
      <c r="A62" s="46" t="s">
        <v>120</v>
      </c>
      <c r="B62" s="46"/>
      <c r="C62" s="14">
        <f t="shared" ref="C62:H62" si="17">SUM(C13-C61)</f>
        <v>-668115.06666666665</v>
      </c>
      <c r="D62" s="14">
        <f t="shared" si="17"/>
        <v>-348452.32380952383</v>
      </c>
      <c r="E62" s="14">
        <f t="shared" si="17"/>
        <v>-301771.8380952382</v>
      </c>
      <c r="F62" s="14">
        <f t="shared" si="17"/>
        <v>-343668.80952380947</v>
      </c>
      <c r="G62" s="14">
        <f t="shared" si="17"/>
        <v>-298127.69523809524</v>
      </c>
      <c r="H62" s="15">
        <f t="shared" si="17"/>
        <v>-692767.66666666674</v>
      </c>
      <c r="I62" s="16">
        <f t="shared" si="12"/>
        <v>-2652903.4000000004</v>
      </c>
      <c r="J62" s="16">
        <f t="shared" si="13"/>
        <v>-442150.56666666671</v>
      </c>
      <c r="K62" s="13">
        <f>I62/I13</f>
        <v>-0.87491273639663991</v>
      </c>
    </row>
    <row r="63" spans="1:11" ht="12.75" customHeight="1" x14ac:dyDescent="0.15">
      <c r="A63" s="46" t="s">
        <v>121</v>
      </c>
      <c r="B63" s="46"/>
      <c r="C63" s="14">
        <v>104592.76190476191</v>
      </c>
      <c r="D63" s="14">
        <v>104592.76190476191</v>
      </c>
      <c r="E63" s="14">
        <v>104592.76190476191</v>
      </c>
      <c r="F63" s="14">
        <v>104592.76190476191</v>
      </c>
      <c r="G63" s="14">
        <v>104592.76190476191</v>
      </c>
      <c r="H63" s="15">
        <v>104592.76190476191</v>
      </c>
      <c r="I63" s="16">
        <f t="shared" si="12"/>
        <v>627556.57142857148</v>
      </c>
      <c r="J63" s="16">
        <f t="shared" si="13"/>
        <v>104592.76190476191</v>
      </c>
      <c r="K63" s="13">
        <f>I63/I13</f>
        <v>0.20696465508403541</v>
      </c>
    </row>
    <row r="64" spans="1:11" ht="12.75" customHeight="1" x14ac:dyDescent="0.15">
      <c r="A64" s="46" t="s">
        <v>122</v>
      </c>
      <c r="B64" s="46"/>
      <c r="C64" s="14">
        <v>32656.309523809523</v>
      </c>
      <c r="D64" s="14">
        <v>32656.309523809523</v>
      </c>
      <c r="E64" s="14">
        <v>32656.309523809523</v>
      </c>
      <c r="F64" s="14">
        <v>32656.309523809523</v>
      </c>
      <c r="G64" s="14">
        <v>32656.309523809523</v>
      </c>
      <c r="H64" s="15">
        <v>32656.309523809523</v>
      </c>
      <c r="I64" s="16">
        <f t="shared" si="12"/>
        <v>195937.85714285713</v>
      </c>
      <c r="J64" s="16">
        <f t="shared" si="13"/>
        <v>32656.309523809523</v>
      </c>
      <c r="K64" s="13">
        <f>I64/I13</f>
        <v>6.4619211825259454E-2</v>
      </c>
    </row>
    <row r="65" spans="1:11" ht="12.75" customHeight="1" x14ac:dyDescent="0.15">
      <c r="A65" s="46" t="s">
        <v>123</v>
      </c>
      <c r="B65" s="46"/>
      <c r="C65" s="14">
        <f t="shared" ref="C65:H65" si="18">SUM(C62-(C63+C64))</f>
        <v>-805364.13809523801</v>
      </c>
      <c r="D65" s="14">
        <f t="shared" si="18"/>
        <v>-485701.39523809525</v>
      </c>
      <c r="E65" s="14">
        <f t="shared" si="18"/>
        <v>-439020.90952380962</v>
      </c>
      <c r="F65" s="14">
        <f t="shared" si="18"/>
        <v>-480917.88095238089</v>
      </c>
      <c r="G65" s="14">
        <f t="shared" si="18"/>
        <v>-435376.76666666666</v>
      </c>
      <c r="H65" s="15">
        <f t="shared" si="18"/>
        <v>-830016.73809523811</v>
      </c>
      <c r="I65" s="16">
        <f t="shared" si="12"/>
        <v>-3476397.8285714285</v>
      </c>
      <c r="J65" s="16">
        <f t="shared" si="13"/>
        <v>-579399.63809523813</v>
      </c>
      <c r="K65" s="13">
        <f>I65/I13</f>
        <v>-1.1464966033059347</v>
      </c>
    </row>
    <row r="66" spans="1:11" x14ac:dyDescent="0.15">
      <c r="A66" s="11"/>
      <c r="B66" s="29" t="s">
        <v>46</v>
      </c>
      <c r="C66" s="11"/>
      <c r="D66" s="11"/>
      <c r="E66" s="11"/>
      <c r="F66" s="11"/>
      <c r="G66" s="11"/>
      <c r="H66" s="11"/>
    </row>
    <row r="67" spans="1:11" x14ac:dyDescent="0.15">
      <c r="A67" s="12"/>
      <c r="B67" s="30"/>
      <c r="C67" s="11"/>
      <c r="D67" s="11"/>
      <c r="E67" s="11"/>
      <c r="F67" s="11"/>
      <c r="G67" s="11"/>
      <c r="H67" s="11"/>
    </row>
    <row r="68" spans="1:11" x14ac:dyDescent="0.15">
      <c r="A68" s="12"/>
      <c r="B68" s="33" t="s">
        <v>130</v>
      </c>
      <c r="C68" s="11"/>
      <c r="D68" s="11"/>
      <c r="E68" s="11"/>
      <c r="F68" s="11"/>
      <c r="G68" s="11"/>
      <c r="H68" s="11"/>
    </row>
    <row r="69" spans="1:11" x14ac:dyDescent="0.15">
      <c r="A69" s="12"/>
      <c r="B69" s="34" t="s">
        <v>131</v>
      </c>
      <c r="C69" s="11"/>
      <c r="D69" s="11"/>
      <c r="E69" s="11"/>
      <c r="F69" s="11"/>
      <c r="G69" s="11"/>
      <c r="H69" s="11"/>
    </row>
    <row r="70" spans="1:11" x14ac:dyDescent="0.15">
      <c r="A70" s="12"/>
      <c r="B70" s="34" t="s">
        <v>41</v>
      </c>
      <c r="C70" s="11"/>
      <c r="D70" s="11"/>
      <c r="E70" s="11"/>
      <c r="F70" s="11"/>
      <c r="G70" s="11"/>
      <c r="H70" s="11"/>
    </row>
    <row r="71" spans="1:11" x14ac:dyDescent="0.15">
      <c r="A71" s="11"/>
      <c r="B71" s="35" t="s">
        <v>47</v>
      </c>
      <c r="C71" s="11"/>
      <c r="D71" s="11"/>
      <c r="E71" s="11"/>
      <c r="F71" s="11"/>
      <c r="G71" s="11"/>
      <c r="H71" s="11"/>
    </row>
    <row r="72" spans="1:11" x14ac:dyDescent="0.15">
      <c r="A72" s="11"/>
      <c r="B72" s="30"/>
      <c r="C72" s="11"/>
      <c r="D72" s="11"/>
      <c r="E72" s="11"/>
      <c r="F72" s="11"/>
      <c r="G72" s="11"/>
      <c r="H72" s="11"/>
    </row>
    <row r="73" spans="1:11" x14ac:dyDescent="0.15">
      <c r="A73" s="11"/>
      <c r="B73" s="33" t="s">
        <v>130</v>
      </c>
      <c r="C73" s="11"/>
      <c r="D73" s="11"/>
      <c r="E73" s="11"/>
      <c r="F73" s="11"/>
      <c r="G73" s="11"/>
      <c r="H73" s="11"/>
    </row>
    <row r="74" spans="1:11" x14ac:dyDescent="0.15">
      <c r="A74" s="11"/>
      <c r="B74" s="34" t="s">
        <v>131</v>
      </c>
      <c r="C74" s="11"/>
      <c r="D74" s="11"/>
      <c r="E74" s="11"/>
      <c r="F74" s="11"/>
      <c r="G74" s="11"/>
      <c r="H74" s="11"/>
    </row>
    <row r="75" spans="1:11" x14ac:dyDescent="0.15">
      <c r="A75" s="11"/>
      <c r="B75" s="34" t="s">
        <v>41</v>
      </c>
      <c r="C75" s="11"/>
      <c r="D75" s="11"/>
      <c r="E75" s="11"/>
      <c r="F75" s="11"/>
      <c r="G75" s="11"/>
      <c r="H75" s="11"/>
    </row>
    <row r="76" spans="1:11" x14ac:dyDescent="0.15">
      <c r="A76" s="11"/>
      <c r="B76" s="11" t="s">
        <v>135</v>
      </c>
      <c r="C76" s="11"/>
      <c r="D76" s="11"/>
      <c r="E76" s="11"/>
      <c r="F76" s="11"/>
      <c r="G76" s="11"/>
      <c r="H76" s="11"/>
    </row>
    <row r="77" spans="1:11" x14ac:dyDescent="0.15">
      <c r="A77" s="11"/>
      <c r="B77" s="30"/>
      <c r="C77" s="11"/>
      <c r="D77" s="11"/>
      <c r="E77" s="11"/>
      <c r="F77" s="11"/>
      <c r="G77" s="11"/>
      <c r="H77" s="11"/>
    </row>
    <row r="78" spans="1:11" x14ac:dyDescent="0.15">
      <c r="A78" s="11"/>
      <c r="B78" s="33" t="s">
        <v>130</v>
      </c>
      <c r="C78" s="11"/>
      <c r="D78" s="11"/>
      <c r="E78" s="11"/>
      <c r="F78" s="11"/>
      <c r="G78" s="11"/>
      <c r="H78" s="11"/>
    </row>
    <row r="79" spans="1:11" x14ac:dyDescent="0.15">
      <c r="A79" s="11"/>
      <c r="B79" s="34" t="s">
        <v>131</v>
      </c>
      <c r="C79" s="11"/>
      <c r="D79" s="11"/>
      <c r="E79" s="11"/>
      <c r="F79" s="11"/>
      <c r="G79" s="11"/>
      <c r="H79" s="11"/>
    </row>
    <row r="80" spans="1:11" x14ac:dyDescent="0.15">
      <c r="A80" s="11"/>
      <c r="B80" s="34" t="s">
        <v>41</v>
      </c>
      <c r="C80" s="11"/>
      <c r="D80" s="11"/>
      <c r="E80" s="11"/>
      <c r="F80" s="11"/>
      <c r="G80" s="11"/>
      <c r="H80" s="11"/>
    </row>
    <row r="81" spans="1:8" x14ac:dyDescent="0.15">
      <c r="A81" s="11"/>
      <c r="B81" s="11" t="s">
        <v>139</v>
      </c>
      <c r="C81" s="11"/>
      <c r="D81" s="11"/>
      <c r="E81" s="11"/>
      <c r="F81" s="11"/>
      <c r="G81" s="11"/>
      <c r="H81" s="11"/>
    </row>
    <row r="82" spans="1:8" x14ac:dyDescent="0.15">
      <c r="A82" s="11"/>
      <c r="B82" s="30"/>
      <c r="C82" s="11"/>
      <c r="D82" s="11"/>
      <c r="E82" s="11"/>
      <c r="F82" s="11"/>
      <c r="G82" s="11"/>
      <c r="H82" s="11"/>
    </row>
    <row r="83" spans="1:8" x14ac:dyDescent="0.15">
      <c r="A83" s="11"/>
      <c r="B83" s="33" t="s">
        <v>130</v>
      </c>
      <c r="C83" s="11"/>
      <c r="D83" s="11"/>
      <c r="E83" s="11"/>
      <c r="F83" s="11"/>
      <c r="G83" s="11"/>
      <c r="H83" s="11"/>
    </row>
    <row r="84" spans="1:8" x14ac:dyDescent="0.15">
      <c r="A84" s="11"/>
      <c r="B84" s="34" t="s">
        <v>131</v>
      </c>
      <c r="C84" s="11"/>
      <c r="D84" s="11"/>
      <c r="E84" s="11"/>
      <c r="F84" s="11"/>
      <c r="G84" s="11"/>
      <c r="H84" s="11"/>
    </row>
    <row r="85" spans="1:8" x14ac:dyDescent="0.15">
      <c r="A85" s="11"/>
      <c r="B85" s="34" t="s">
        <v>41</v>
      </c>
      <c r="C85" s="11"/>
      <c r="D85" s="11"/>
      <c r="E85" s="11"/>
      <c r="F85" s="11"/>
      <c r="G85" s="11"/>
      <c r="H85" s="11"/>
    </row>
    <row r="86" spans="1:8" x14ac:dyDescent="0.15">
      <c r="A86" s="11"/>
      <c r="B86" s="11" t="s">
        <v>143</v>
      </c>
      <c r="C86" s="11"/>
      <c r="D86" s="11"/>
      <c r="E86" s="11"/>
      <c r="F86" s="11"/>
      <c r="G86" s="11"/>
      <c r="H86" s="11"/>
    </row>
    <row r="87" spans="1:8" x14ac:dyDescent="0.15">
      <c r="A87" s="11"/>
      <c r="B87" s="30"/>
      <c r="C87" s="11"/>
      <c r="D87" s="11"/>
      <c r="E87" s="11"/>
      <c r="F87" s="11"/>
      <c r="G87" s="11"/>
      <c r="H87" s="11"/>
    </row>
    <row r="88" spans="1:8" x14ac:dyDescent="0.15">
      <c r="A88" s="11"/>
      <c r="B88" s="33" t="s">
        <v>130</v>
      </c>
      <c r="C88" s="11"/>
      <c r="D88" s="11"/>
      <c r="E88" s="11"/>
      <c r="F88" s="11"/>
      <c r="G88" s="11"/>
      <c r="H88" s="11"/>
    </row>
    <row r="89" spans="1:8" x14ac:dyDescent="0.15">
      <c r="A89" s="11"/>
      <c r="B89" s="34" t="s">
        <v>131</v>
      </c>
      <c r="C89" s="11"/>
      <c r="D89" s="11"/>
      <c r="E89" s="11"/>
      <c r="F89" s="11"/>
      <c r="G89" s="11"/>
      <c r="H89" s="11"/>
    </row>
    <row r="90" spans="1:8" x14ac:dyDescent="0.15">
      <c r="A90" s="11"/>
      <c r="B90" s="34" t="s">
        <v>41</v>
      </c>
      <c r="C90" s="11"/>
      <c r="D90" s="11"/>
      <c r="E90" s="11"/>
      <c r="F90" s="11"/>
      <c r="G90" s="11"/>
      <c r="H90" s="11"/>
    </row>
    <row r="91" spans="1:8" x14ac:dyDescent="0.15">
      <c r="A91" s="11"/>
      <c r="B91" s="11"/>
      <c r="C91" s="11"/>
      <c r="D91" s="11"/>
      <c r="E91" s="11"/>
      <c r="F91" s="11"/>
      <c r="G91" s="11"/>
      <c r="H91" s="11"/>
    </row>
    <row r="92" spans="1:8" x14ac:dyDescent="0.15">
      <c r="A92" s="11"/>
      <c r="B92" s="30"/>
      <c r="C92" s="11"/>
      <c r="D92" s="11"/>
      <c r="E92" s="11"/>
      <c r="F92" s="11"/>
      <c r="G92" s="11"/>
      <c r="H92" s="11"/>
    </row>
    <row r="93" spans="1:8" x14ac:dyDescent="0.15">
      <c r="A93" s="11"/>
      <c r="B93" s="33" t="s">
        <v>130</v>
      </c>
      <c r="C93" s="11"/>
      <c r="D93" s="11"/>
      <c r="E93" s="11"/>
      <c r="F93" s="11"/>
      <c r="G93" s="11"/>
      <c r="H93" s="11"/>
    </row>
    <row r="94" spans="1:8" x14ac:dyDescent="0.15">
      <c r="B94" s="34" t="s">
        <v>131</v>
      </c>
    </row>
    <row r="95" spans="1:8" x14ac:dyDescent="0.15">
      <c r="B95" s="34" t="s">
        <v>41</v>
      </c>
    </row>
    <row r="97" spans="2:2" x14ac:dyDescent="0.15">
      <c r="B97" s="30"/>
    </row>
    <row r="98" spans="2:2" x14ac:dyDescent="0.15">
      <c r="B98" s="33" t="s">
        <v>130</v>
      </c>
    </row>
    <row r="99" spans="2:2" x14ac:dyDescent="0.15">
      <c r="B99" s="34" t="s">
        <v>131</v>
      </c>
    </row>
    <row r="100" spans="2:2" x14ac:dyDescent="0.15">
      <c r="B100" s="34" t="s">
        <v>41</v>
      </c>
    </row>
    <row r="102" spans="2:2" x14ac:dyDescent="0.15">
      <c r="B102" s="30"/>
    </row>
    <row r="103" spans="2:2" x14ac:dyDescent="0.15">
      <c r="B103" s="33" t="s">
        <v>130</v>
      </c>
    </row>
    <row r="104" spans="2:2" x14ac:dyDescent="0.15">
      <c r="B104" s="34" t="s">
        <v>131</v>
      </c>
    </row>
    <row r="105" spans="2:2" x14ac:dyDescent="0.15">
      <c r="B105" s="34" t="s">
        <v>41</v>
      </c>
    </row>
    <row r="107" spans="2:2" x14ac:dyDescent="0.15">
      <c r="B107" s="11" t="s">
        <v>156</v>
      </c>
    </row>
  </sheetData>
  <mergeCells count="26">
    <mergeCell ref="A8:B8"/>
    <mergeCell ref="A3:B3"/>
    <mergeCell ref="A4:B4"/>
    <mergeCell ref="A5:B5"/>
    <mergeCell ref="A6:B6"/>
    <mergeCell ref="A7:B7"/>
    <mergeCell ref="A36:A42"/>
    <mergeCell ref="A9:B9"/>
    <mergeCell ref="A10:B10"/>
    <mergeCell ref="A11:B11"/>
    <mergeCell ref="A12:B12"/>
    <mergeCell ref="A13:B13"/>
    <mergeCell ref="A14:B14"/>
    <mergeCell ref="A15:B15"/>
    <mergeCell ref="A16:B16"/>
    <mergeCell ref="A17:A23"/>
    <mergeCell ref="A24:A29"/>
    <mergeCell ref="A30:A35"/>
    <mergeCell ref="A64:B64"/>
    <mergeCell ref="A65:B65"/>
    <mergeCell ref="A43:A47"/>
    <mergeCell ref="A48:A53"/>
    <mergeCell ref="A54:A60"/>
    <mergeCell ref="A61:B61"/>
    <mergeCell ref="A62:B62"/>
    <mergeCell ref="A63:B63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print="0" autoLine="0" r:id="rId5">
            <anchor>
              <from>
                <xdr:col>0</xdr:col>
                <xdr:colOff>19050</xdr:colOff>
                <xdr:row>2</xdr:row>
                <xdr:rowOff>28575</xdr:rowOff>
              </from>
              <to>
                <xdr:col>1</xdr:col>
                <xdr:colOff>485775</xdr:colOff>
                <xdr:row>6</xdr:row>
                <xdr:rowOff>9525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14</vt:i4>
      </vt:variant>
    </vt:vector>
  </HeadingPairs>
  <TitlesOfParts>
    <vt:vector size="21" baseType="lpstr">
      <vt:lpstr>全社</vt:lpstr>
      <vt:lpstr>東京(営)</vt:lpstr>
      <vt:lpstr>東北部門</vt:lpstr>
      <vt:lpstr>小名浜(営)</vt:lpstr>
      <vt:lpstr>仙台(営)</vt:lpstr>
      <vt:lpstr>川崎(営)</vt:lpstr>
      <vt:lpstr>九州(営)</vt:lpstr>
      <vt:lpstr>'九州(営)'!Print_Area</vt:lpstr>
      <vt:lpstr>'小名浜(営)'!Print_Area</vt:lpstr>
      <vt:lpstr>'仙台(営)'!Print_Area</vt:lpstr>
      <vt:lpstr>'川崎(営)'!Print_Area</vt:lpstr>
      <vt:lpstr>全社!Print_Area</vt:lpstr>
      <vt:lpstr>'東京(営)'!Print_Area</vt:lpstr>
      <vt:lpstr>東北部門!Print_Area</vt:lpstr>
      <vt:lpstr>'九州(営)'!Print_Titles</vt:lpstr>
      <vt:lpstr>'小名浜(営)'!Print_Titles</vt:lpstr>
      <vt:lpstr>'仙台(営)'!Print_Titles</vt:lpstr>
      <vt:lpstr>'川崎(営)'!Print_Titles</vt:lpstr>
      <vt:lpstr>全社!Print_Titles</vt:lpstr>
      <vt:lpstr>'東京(営)'!Print_Titles</vt:lpstr>
      <vt:lpstr>東北部門!Print_Titles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asada</dc:creator>
  <cp:lastModifiedBy>asada</cp:lastModifiedBy>
  <cp:lastPrinted>2024-09-25T07:41:48Z</cp:lastPrinted>
  <dcterms:created xsi:type="dcterms:W3CDTF">2024-09-25T04:43:01Z</dcterms:created>
  <dcterms:modified xsi:type="dcterms:W3CDTF">2024-09-25T08:23:51Z</dcterms:modified>
</cp:coreProperties>
</file>