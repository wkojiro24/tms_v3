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ada\若林運送 Dropbox\浅田恵美子\総務・経理\浅田\原価計算\74期　2023.8～2024.8\R6年7月\"/>
    </mc:Choice>
  </mc:AlternateContent>
  <xr:revisionPtr revIDLastSave="0" documentId="13_ncr:1_{AB5969EC-0E8D-41AE-A744-99022DB3A816}" xr6:coauthVersionLast="47" xr6:coauthVersionMax="47" xr10:uidLastSave="{00000000-0000-0000-0000-000000000000}"/>
  <bookViews>
    <workbookView xWindow="-120" yWindow="-120" windowWidth="20730" windowHeight="11160" xr2:uid="{E440FBFB-EA83-41AD-9DAD-4AE5623A4A6A}"/>
  </bookViews>
  <sheets>
    <sheet name="全社" sheetId="1" r:id="rId1"/>
    <sheet name="東京(営)" sheetId="2" r:id="rId2"/>
    <sheet name="東北部門" sheetId="3" r:id="rId3"/>
    <sheet name="小名浜(営)" sheetId="5" r:id="rId4"/>
    <sheet name="仙台(営)" sheetId="6" r:id="rId5"/>
    <sheet name="川崎(営)" sheetId="4" r:id="rId6"/>
    <sheet name="九州(営)" sheetId="7" r:id="rId7"/>
  </sheets>
  <functionGroups builtInGroupCount="19"/>
  <definedNames>
    <definedName name="_xlnm.Print_Area" localSheetId="6">'九州(営)'!$A$1:$K$65</definedName>
    <definedName name="_xlnm.Print_Area" localSheetId="3">'小名浜(営)'!$A$1:$X$65</definedName>
    <definedName name="_xlnm.Print_Area" localSheetId="4">'仙台(営)'!$A$1:$L$65</definedName>
    <definedName name="_xlnm.Print_Area" localSheetId="5">'川崎(営)'!$A$1:$K$65</definedName>
    <definedName name="_xlnm.Print_Area" localSheetId="0">全社!$A$1:$AY$65</definedName>
    <definedName name="_xlnm.Print_Area" localSheetId="1">'東京(営)'!$A$1:$M$65</definedName>
    <definedName name="_xlnm.Print_Area" localSheetId="2">東北部門!$A$1:$AE$65</definedName>
    <definedName name="_xlnm.Print_Titles" localSheetId="6">'九州(営)'!$A:$B</definedName>
    <definedName name="_xlnm.Print_Titles" localSheetId="3">'小名浜(営)'!$A:$B</definedName>
    <definedName name="_xlnm.Print_Titles" localSheetId="4">'仙台(営)'!$A:$B</definedName>
    <definedName name="_xlnm.Print_Titles" localSheetId="5">'川崎(営)'!$A:$B</definedName>
    <definedName name="_xlnm.Print_Titles" localSheetId="0">全社!$A:$B</definedName>
    <definedName name="_xlnm.Print_Titles" localSheetId="1">'東京(営)'!$A:$B</definedName>
    <definedName name="_xlnm.Print_Titles" localSheetId="2">東北部門!$A:$B</definedName>
  </definedName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4" i="7" l="1"/>
  <c r="I64" i="7"/>
  <c r="K64" i="7" s="1"/>
  <c r="J63" i="7"/>
  <c r="I63" i="7"/>
  <c r="H60" i="7"/>
  <c r="G60" i="7"/>
  <c r="F60" i="7"/>
  <c r="I60" i="7" s="1"/>
  <c r="K60" i="7" s="1"/>
  <c r="E60" i="7"/>
  <c r="D60" i="7"/>
  <c r="C60" i="7"/>
  <c r="J60" i="7"/>
  <c r="J59" i="7"/>
  <c r="I59" i="7"/>
  <c r="J58" i="7"/>
  <c r="I58" i="7"/>
  <c r="J57" i="7"/>
  <c r="I57" i="7"/>
  <c r="J56" i="7"/>
  <c r="I56" i="7"/>
  <c r="J55" i="7"/>
  <c r="I55" i="7"/>
  <c r="J54" i="7"/>
  <c r="I54" i="7"/>
  <c r="H53" i="7"/>
  <c r="G53" i="7"/>
  <c r="F53" i="7"/>
  <c r="E53" i="7"/>
  <c r="D53" i="7"/>
  <c r="C53" i="7"/>
  <c r="J52" i="7"/>
  <c r="I52" i="7"/>
  <c r="K52" i="7" s="1"/>
  <c r="J51" i="7"/>
  <c r="I51" i="7"/>
  <c r="J50" i="7"/>
  <c r="I50" i="7"/>
  <c r="J49" i="7"/>
  <c r="I49" i="7"/>
  <c r="J48" i="7"/>
  <c r="I48" i="7"/>
  <c r="H47" i="7"/>
  <c r="G47" i="7"/>
  <c r="F47" i="7"/>
  <c r="E47" i="7"/>
  <c r="D47" i="7"/>
  <c r="C47" i="7"/>
  <c r="J47" i="7"/>
  <c r="J46" i="7"/>
  <c r="I46" i="7"/>
  <c r="J45" i="7"/>
  <c r="I45" i="7"/>
  <c r="J44" i="7"/>
  <c r="I44" i="7"/>
  <c r="K44" i="7" s="1"/>
  <c r="J43" i="7"/>
  <c r="I43" i="7"/>
  <c r="H42" i="7"/>
  <c r="G42" i="7"/>
  <c r="F42" i="7"/>
  <c r="E42" i="7"/>
  <c r="D42" i="7"/>
  <c r="C42" i="7"/>
  <c r="I42" i="7"/>
  <c r="J41" i="7"/>
  <c r="I41" i="7"/>
  <c r="J40" i="7"/>
  <c r="I40" i="7"/>
  <c r="K40" i="7" s="1"/>
  <c r="J39" i="7"/>
  <c r="I39" i="7"/>
  <c r="J38" i="7"/>
  <c r="I38" i="7"/>
  <c r="J37" i="7"/>
  <c r="I37" i="7"/>
  <c r="J36" i="7"/>
  <c r="I36" i="7"/>
  <c r="H35" i="7"/>
  <c r="G35" i="7"/>
  <c r="F35" i="7"/>
  <c r="E35" i="7"/>
  <c r="D35" i="7"/>
  <c r="C35" i="7"/>
  <c r="J35" i="7" s="1"/>
  <c r="J34" i="7"/>
  <c r="I34" i="7"/>
  <c r="J33" i="7"/>
  <c r="I33" i="7"/>
  <c r="J32" i="7"/>
  <c r="I32" i="7"/>
  <c r="K32" i="7" s="1"/>
  <c r="H31" i="7"/>
  <c r="G31" i="7"/>
  <c r="F31" i="7"/>
  <c r="E31" i="7"/>
  <c r="D31" i="7"/>
  <c r="C31" i="7"/>
  <c r="J31" i="7"/>
  <c r="J30" i="7"/>
  <c r="I30" i="7"/>
  <c r="G29" i="7"/>
  <c r="J28" i="7"/>
  <c r="I28" i="7"/>
  <c r="K28" i="7" s="1"/>
  <c r="J27" i="7"/>
  <c r="I27" i="7"/>
  <c r="H26" i="7"/>
  <c r="H29" i="7" s="1"/>
  <c r="G26" i="7"/>
  <c r="F26" i="7"/>
  <c r="F29" i="7" s="1"/>
  <c r="E26" i="7"/>
  <c r="E29" i="7" s="1"/>
  <c r="D26" i="7"/>
  <c r="D29" i="7" s="1"/>
  <c r="C26" i="7"/>
  <c r="C29" i="7" s="1"/>
  <c r="J25" i="7"/>
  <c r="I25" i="7"/>
  <c r="J24" i="7"/>
  <c r="I24" i="7"/>
  <c r="H23" i="7"/>
  <c r="G23" i="7"/>
  <c r="F23" i="7"/>
  <c r="E23" i="7"/>
  <c r="D23" i="7"/>
  <c r="C23" i="7"/>
  <c r="J23" i="7" s="1"/>
  <c r="J22" i="7"/>
  <c r="I22" i="7"/>
  <c r="J21" i="7"/>
  <c r="I21" i="7"/>
  <c r="J20" i="7"/>
  <c r="I20" i="7"/>
  <c r="J19" i="7"/>
  <c r="I19" i="7"/>
  <c r="J18" i="7"/>
  <c r="I18" i="7"/>
  <c r="J17" i="7"/>
  <c r="I17" i="7"/>
  <c r="H16" i="7"/>
  <c r="G16" i="7"/>
  <c r="F16" i="7"/>
  <c r="E16" i="7"/>
  <c r="D16" i="7"/>
  <c r="C16" i="7"/>
  <c r="H15" i="7"/>
  <c r="G15" i="7"/>
  <c r="F15" i="7"/>
  <c r="E15" i="7"/>
  <c r="D15" i="7"/>
  <c r="C15" i="7"/>
  <c r="J15" i="7" s="1"/>
  <c r="I14" i="7"/>
  <c r="J13" i="7"/>
  <c r="I13" i="7"/>
  <c r="K57" i="7" s="1"/>
  <c r="J11" i="7"/>
  <c r="I11" i="7"/>
  <c r="I31" i="7" s="1"/>
  <c r="I9" i="7"/>
  <c r="K64" i="6"/>
  <c r="J64" i="6"/>
  <c r="K63" i="6"/>
  <c r="J63" i="6"/>
  <c r="I60" i="6"/>
  <c r="H60" i="6"/>
  <c r="G60" i="6"/>
  <c r="F60" i="6"/>
  <c r="K60" i="6" s="1"/>
  <c r="E60" i="6"/>
  <c r="D60" i="6"/>
  <c r="C60" i="6"/>
  <c r="K59" i="6"/>
  <c r="J59" i="6"/>
  <c r="K58" i="6"/>
  <c r="J58" i="6"/>
  <c r="K57" i="6"/>
  <c r="J57" i="6"/>
  <c r="L56" i="6"/>
  <c r="K56" i="6"/>
  <c r="J56" i="6"/>
  <c r="K55" i="6"/>
  <c r="J55" i="6"/>
  <c r="L55" i="6" s="1"/>
  <c r="K54" i="6"/>
  <c r="J54" i="6"/>
  <c r="I53" i="6"/>
  <c r="H53" i="6"/>
  <c r="G53" i="6"/>
  <c r="F53" i="6"/>
  <c r="E53" i="6"/>
  <c r="D53" i="6"/>
  <c r="C53" i="6"/>
  <c r="K52" i="6"/>
  <c r="J52" i="6"/>
  <c r="K51" i="6"/>
  <c r="J51" i="6"/>
  <c r="K50" i="6"/>
  <c r="J50" i="6"/>
  <c r="L50" i="6" s="1"/>
  <c r="K49" i="6"/>
  <c r="J49" i="6"/>
  <c r="K48" i="6"/>
  <c r="J48" i="6"/>
  <c r="L48" i="6" s="1"/>
  <c r="I47" i="6"/>
  <c r="H47" i="6"/>
  <c r="G47" i="6"/>
  <c r="F47" i="6"/>
  <c r="E47" i="6"/>
  <c r="D47" i="6"/>
  <c r="C47" i="6"/>
  <c r="K47" i="6"/>
  <c r="K46" i="6"/>
  <c r="J46" i="6"/>
  <c r="K45" i="6"/>
  <c r="J45" i="6"/>
  <c r="L45" i="6" s="1"/>
  <c r="K44" i="6"/>
  <c r="J44" i="6"/>
  <c r="K43" i="6"/>
  <c r="J43" i="6"/>
  <c r="I42" i="6"/>
  <c r="H42" i="6"/>
  <c r="G42" i="6"/>
  <c r="F42" i="6"/>
  <c r="E42" i="6"/>
  <c r="D42" i="6"/>
  <c r="C42" i="6"/>
  <c r="J42" i="6" s="1"/>
  <c r="L42" i="6" s="1"/>
  <c r="K41" i="6"/>
  <c r="J41" i="6"/>
  <c r="L41" i="6" s="1"/>
  <c r="K40" i="6"/>
  <c r="J40" i="6"/>
  <c r="K39" i="6"/>
  <c r="J39" i="6"/>
  <c r="K38" i="6"/>
  <c r="J38" i="6"/>
  <c r="K37" i="6"/>
  <c r="J37" i="6"/>
  <c r="K36" i="6"/>
  <c r="J36" i="6"/>
  <c r="I35" i="6"/>
  <c r="H35" i="6"/>
  <c r="G35" i="6"/>
  <c r="F35" i="6"/>
  <c r="E35" i="6"/>
  <c r="D35" i="6"/>
  <c r="C35" i="6"/>
  <c r="K35" i="6" s="1"/>
  <c r="K34" i="6"/>
  <c r="J34" i="6"/>
  <c r="K33" i="6"/>
  <c r="J33" i="6"/>
  <c r="L32" i="6"/>
  <c r="K32" i="6"/>
  <c r="J32" i="6"/>
  <c r="I31" i="6"/>
  <c r="H31" i="6"/>
  <c r="G31" i="6"/>
  <c r="F31" i="6"/>
  <c r="E31" i="6"/>
  <c r="D31" i="6"/>
  <c r="K31" i="6" s="1"/>
  <c r="C31" i="6"/>
  <c r="K30" i="6"/>
  <c r="J30" i="6"/>
  <c r="L30" i="6" s="1"/>
  <c r="G29" i="6"/>
  <c r="L28" i="6"/>
  <c r="K28" i="6"/>
  <c r="J28" i="6"/>
  <c r="K27" i="6"/>
  <c r="J27" i="6"/>
  <c r="L27" i="6" s="1"/>
  <c r="I26" i="6"/>
  <c r="I29" i="6" s="1"/>
  <c r="H26" i="6"/>
  <c r="H29" i="6" s="1"/>
  <c r="G26" i="6"/>
  <c r="F26" i="6"/>
  <c r="F29" i="6" s="1"/>
  <c r="E26" i="6"/>
  <c r="E29" i="6" s="1"/>
  <c r="D26" i="6"/>
  <c r="D29" i="6" s="1"/>
  <c r="C26" i="6"/>
  <c r="C29" i="6" s="1"/>
  <c r="K25" i="6"/>
  <c r="J25" i="6"/>
  <c r="K24" i="6"/>
  <c r="J24" i="6"/>
  <c r="I23" i="6"/>
  <c r="H23" i="6"/>
  <c r="G23" i="6"/>
  <c r="F23" i="6"/>
  <c r="E23" i="6"/>
  <c r="D23" i="6"/>
  <c r="C23" i="6"/>
  <c r="K23" i="6" s="1"/>
  <c r="K22" i="6"/>
  <c r="J22" i="6"/>
  <c r="K21" i="6"/>
  <c r="J21" i="6"/>
  <c r="L20" i="6"/>
  <c r="K20" i="6"/>
  <c r="J20" i="6"/>
  <c r="K19" i="6"/>
  <c r="J19" i="6"/>
  <c r="L19" i="6" s="1"/>
  <c r="K18" i="6"/>
  <c r="J18" i="6"/>
  <c r="K17" i="6"/>
  <c r="J17" i="6"/>
  <c r="I16" i="6"/>
  <c r="H16" i="6"/>
  <c r="G16" i="6"/>
  <c r="F16" i="6"/>
  <c r="E16" i="6"/>
  <c r="D16" i="6"/>
  <c r="C16" i="6"/>
  <c r="I15" i="6"/>
  <c r="H15" i="6"/>
  <c r="G15" i="6"/>
  <c r="F15" i="6"/>
  <c r="E15" i="6"/>
  <c r="D15" i="6"/>
  <c r="C15" i="6"/>
  <c r="K15" i="6" s="1"/>
  <c r="J14" i="6"/>
  <c r="K13" i="6"/>
  <c r="J13" i="6"/>
  <c r="K11" i="6"/>
  <c r="J11" i="6"/>
  <c r="J31" i="6" s="1"/>
  <c r="L31" i="6" s="1"/>
  <c r="J9" i="6"/>
  <c r="W64" i="5"/>
  <c r="V64" i="5"/>
  <c r="W63" i="5"/>
  <c r="V63" i="5"/>
  <c r="X63" i="5" s="1"/>
  <c r="U60" i="5"/>
  <c r="T60" i="5"/>
  <c r="S60" i="5"/>
  <c r="R60" i="5"/>
  <c r="Q60" i="5"/>
  <c r="P60" i="5"/>
  <c r="O60" i="5"/>
  <c r="N60" i="5"/>
  <c r="M60" i="5"/>
  <c r="L60" i="5"/>
  <c r="K60" i="5"/>
  <c r="J60" i="5"/>
  <c r="I60" i="5"/>
  <c r="H60" i="5"/>
  <c r="G60" i="5"/>
  <c r="F60" i="5"/>
  <c r="E60" i="5"/>
  <c r="D60" i="5"/>
  <c r="C60" i="5"/>
  <c r="W59" i="5"/>
  <c r="V59" i="5"/>
  <c r="X59" i="5" s="1"/>
  <c r="W58" i="5"/>
  <c r="V58" i="5"/>
  <c r="W57" i="5"/>
  <c r="V57" i="5"/>
  <c r="W56" i="5"/>
  <c r="V56" i="5"/>
  <c r="W55" i="5"/>
  <c r="V55" i="5"/>
  <c r="W54" i="5"/>
  <c r="V54" i="5"/>
  <c r="U53" i="5"/>
  <c r="T53" i="5"/>
  <c r="S53" i="5"/>
  <c r="R53" i="5"/>
  <c r="Q53" i="5"/>
  <c r="P53" i="5"/>
  <c r="O53" i="5"/>
  <c r="N53" i="5"/>
  <c r="M53" i="5"/>
  <c r="L53" i="5"/>
  <c r="K53" i="5"/>
  <c r="J53" i="5"/>
  <c r="I53" i="5"/>
  <c r="H53" i="5"/>
  <c r="G53" i="5"/>
  <c r="F53" i="5"/>
  <c r="E53" i="5"/>
  <c r="D53" i="5"/>
  <c r="C53" i="5"/>
  <c r="W52" i="5"/>
  <c r="V52" i="5"/>
  <c r="W51" i="5"/>
  <c r="V51" i="5"/>
  <c r="W50" i="5"/>
  <c r="V50" i="5"/>
  <c r="W49" i="5"/>
  <c r="V49" i="5"/>
  <c r="X49" i="5" s="1"/>
  <c r="W48" i="5"/>
  <c r="V48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W47" i="5" s="1"/>
  <c r="W46" i="5"/>
  <c r="V46" i="5"/>
  <c r="W45" i="5"/>
  <c r="V45" i="5"/>
  <c r="X45" i="5" s="1"/>
  <c r="W44" i="5"/>
  <c r="V44" i="5"/>
  <c r="X44" i="5" s="1"/>
  <c r="X43" i="5"/>
  <c r="W43" i="5"/>
  <c r="V43" i="5"/>
  <c r="U42" i="5"/>
  <c r="T42" i="5"/>
  <c r="S42" i="5"/>
  <c r="R42" i="5"/>
  <c r="Q42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W41" i="5"/>
  <c r="V41" i="5"/>
  <c r="X41" i="5" s="1"/>
  <c r="W40" i="5"/>
  <c r="V40" i="5"/>
  <c r="W39" i="5"/>
  <c r="V39" i="5"/>
  <c r="X39" i="5" s="1"/>
  <c r="W38" i="5"/>
  <c r="V38" i="5"/>
  <c r="X38" i="5" s="1"/>
  <c r="X37" i="5"/>
  <c r="W37" i="5"/>
  <c r="V37" i="5"/>
  <c r="W36" i="5"/>
  <c r="V36" i="5"/>
  <c r="X36" i="5" s="1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C35" i="5"/>
  <c r="W34" i="5"/>
  <c r="V34" i="5"/>
  <c r="W33" i="5"/>
  <c r="V33" i="5"/>
  <c r="X32" i="5"/>
  <c r="W32" i="5"/>
  <c r="V32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C31" i="5"/>
  <c r="W30" i="5"/>
  <c r="V30" i="5"/>
  <c r="X30" i="5" s="1"/>
  <c r="R29" i="5"/>
  <c r="N29" i="5"/>
  <c r="J29" i="5"/>
  <c r="F29" i="5"/>
  <c r="W28" i="5"/>
  <c r="V28" i="5"/>
  <c r="X28" i="5" s="1"/>
  <c r="W27" i="5"/>
  <c r="V27" i="5"/>
  <c r="X27" i="5" s="1"/>
  <c r="U26" i="5"/>
  <c r="U29" i="5" s="1"/>
  <c r="T26" i="5"/>
  <c r="T29" i="5" s="1"/>
  <c r="S26" i="5"/>
  <c r="S29" i="5" s="1"/>
  <c r="R26" i="5"/>
  <c r="Q26" i="5"/>
  <c r="Q29" i="5" s="1"/>
  <c r="P26" i="5"/>
  <c r="P29" i="5" s="1"/>
  <c r="O26" i="5"/>
  <c r="O29" i="5" s="1"/>
  <c r="N26" i="5"/>
  <c r="M26" i="5"/>
  <c r="M29" i="5" s="1"/>
  <c r="L26" i="5"/>
  <c r="L29" i="5" s="1"/>
  <c r="K26" i="5"/>
  <c r="K29" i="5" s="1"/>
  <c r="J26" i="5"/>
  <c r="I26" i="5"/>
  <c r="I29" i="5" s="1"/>
  <c r="H26" i="5"/>
  <c r="H29" i="5" s="1"/>
  <c r="G26" i="5"/>
  <c r="G29" i="5" s="1"/>
  <c r="F26" i="5"/>
  <c r="E26" i="5"/>
  <c r="E29" i="5" s="1"/>
  <c r="D26" i="5"/>
  <c r="D29" i="5" s="1"/>
  <c r="C26" i="5"/>
  <c r="C29" i="5" s="1"/>
  <c r="V29" i="5" s="1"/>
  <c r="X29" i="5" s="1"/>
  <c r="W25" i="5"/>
  <c r="V25" i="5"/>
  <c r="W24" i="5"/>
  <c r="V24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23" i="5"/>
  <c r="C23" i="5"/>
  <c r="W22" i="5"/>
  <c r="V22" i="5"/>
  <c r="X22" i="5" s="1"/>
  <c r="W21" i="5"/>
  <c r="V21" i="5"/>
  <c r="W20" i="5"/>
  <c r="V20" i="5"/>
  <c r="W19" i="5"/>
  <c r="V19" i="5"/>
  <c r="X19" i="5" s="1"/>
  <c r="W18" i="5"/>
  <c r="V18" i="5"/>
  <c r="W17" i="5"/>
  <c r="V17" i="5"/>
  <c r="X17" i="5" s="1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V14" i="5"/>
  <c r="X13" i="5"/>
  <c r="W13" i="5"/>
  <c r="V13" i="5"/>
  <c r="X56" i="5" s="1"/>
  <c r="W11" i="5"/>
  <c r="V11" i="5"/>
  <c r="V31" i="5" s="1"/>
  <c r="X31" i="5" s="1"/>
  <c r="V9" i="5"/>
  <c r="J64" i="4"/>
  <c r="I64" i="4"/>
  <c r="J63" i="4"/>
  <c r="I63" i="4"/>
  <c r="H60" i="4"/>
  <c r="G60" i="4"/>
  <c r="F60" i="4"/>
  <c r="E60" i="4"/>
  <c r="D60" i="4"/>
  <c r="J60" i="4" s="1"/>
  <c r="C60" i="4"/>
  <c r="J59" i="4"/>
  <c r="I59" i="4"/>
  <c r="J58" i="4"/>
  <c r="I58" i="4"/>
  <c r="J57" i="4"/>
  <c r="I57" i="4"/>
  <c r="J56" i="4"/>
  <c r="I56" i="4"/>
  <c r="J55" i="4"/>
  <c r="I55" i="4"/>
  <c r="J54" i="4"/>
  <c r="I54" i="4"/>
  <c r="H53" i="4"/>
  <c r="G53" i="4"/>
  <c r="F53" i="4"/>
  <c r="E53" i="4"/>
  <c r="D53" i="4"/>
  <c r="C53" i="4"/>
  <c r="J53" i="4" s="1"/>
  <c r="J52" i="4"/>
  <c r="I52" i="4"/>
  <c r="K52" i="4" s="1"/>
  <c r="J51" i="4"/>
  <c r="I51" i="4"/>
  <c r="J50" i="4"/>
  <c r="I50" i="4"/>
  <c r="K50" i="4" s="1"/>
  <c r="J49" i="4"/>
  <c r="I49" i="4"/>
  <c r="J48" i="4"/>
  <c r="I48" i="4"/>
  <c r="K48" i="4" s="1"/>
  <c r="H47" i="4"/>
  <c r="G47" i="4"/>
  <c r="F47" i="4"/>
  <c r="E47" i="4"/>
  <c r="D47" i="4"/>
  <c r="C47" i="4"/>
  <c r="K46" i="4"/>
  <c r="J46" i="4"/>
  <c r="I46" i="4"/>
  <c r="J45" i="4"/>
  <c r="I45" i="4"/>
  <c r="K45" i="4" s="1"/>
  <c r="J44" i="4"/>
  <c r="I44" i="4"/>
  <c r="J43" i="4"/>
  <c r="I43" i="4"/>
  <c r="I47" i="4" s="1"/>
  <c r="K47" i="4" s="1"/>
  <c r="H42" i="4"/>
  <c r="G42" i="4"/>
  <c r="F42" i="4"/>
  <c r="E42" i="4"/>
  <c r="D42" i="4"/>
  <c r="C42" i="4"/>
  <c r="J42" i="4" s="1"/>
  <c r="J41" i="4"/>
  <c r="I41" i="4"/>
  <c r="J40" i="4"/>
  <c r="I40" i="4"/>
  <c r="K40" i="4" s="1"/>
  <c r="J39" i="4"/>
  <c r="I39" i="4"/>
  <c r="J38" i="4"/>
  <c r="I38" i="4"/>
  <c r="K38" i="4" s="1"/>
  <c r="J37" i="4"/>
  <c r="I37" i="4"/>
  <c r="J36" i="4"/>
  <c r="I36" i="4"/>
  <c r="K36" i="4" s="1"/>
  <c r="H35" i="4"/>
  <c r="G35" i="4"/>
  <c r="F35" i="4"/>
  <c r="E35" i="4"/>
  <c r="D35" i="4"/>
  <c r="C35" i="4"/>
  <c r="J35" i="4" s="1"/>
  <c r="J34" i="4"/>
  <c r="I34" i="4"/>
  <c r="J33" i="4"/>
  <c r="I33" i="4"/>
  <c r="J32" i="4"/>
  <c r="I32" i="4"/>
  <c r="H31" i="4"/>
  <c r="G31" i="4"/>
  <c r="F31" i="4"/>
  <c r="E31" i="4"/>
  <c r="D31" i="4"/>
  <c r="C31" i="4"/>
  <c r="J30" i="4"/>
  <c r="I30" i="4"/>
  <c r="J28" i="4"/>
  <c r="I28" i="4"/>
  <c r="J27" i="4"/>
  <c r="I27" i="4"/>
  <c r="H26" i="4"/>
  <c r="H29" i="4" s="1"/>
  <c r="G26" i="4"/>
  <c r="G29" i="4" s="1"/>
  <c r="F26" i="4"/>
  <c r="F29" i="4" s="1"/>
  <c r="E26" i="4"/>
  <c r="E29" i="4" s="1"/>
  <c r="D26" i="4"/>
  <c r="D29" i="4" s="1"/>
  <c r="C26" i="4"/>
  <c r="C29" i="4" s="1"/>
  <c r="J25" i="4"/>
  <c r="I25" i="4"/>
  <c r="J24" i="4"/>
  <c r="I24" i="4"/>
  <c r="H23" i="4"/>
  <c r="G23" i="4"/>
  <c r="F23" i="4"/>
  <c r="E23" i="4"/>
  <c r="D23" i="4"/>
  <c r="C23" i="4"/>
  <c r="J22" i="4"/>
  <c r="I22" i="4"/>
  <c r="K22" i="4" s="1"/>
  <c r="J21" i="4"/>
  <c r="I21" i="4"/>
  <c r="J20" i="4"/>
  <c r="I20" i="4"/>
  <c r="J19" i="4"/>
  <c r="I19" i="4"/>
  <c r="J18" i="4"/>
  <c r="I18" i="4"/>
  <c r="K18" i="4" s="1"/>
  <c r="J17" i="4"/>
  <c r="I17" i="4"/>
  <c r="H16" i="4"/>
  <c r="G16" i="4"/>
  <c r="F16" i="4"/>
  <c r="E16" i="4"/>
  <c r="D16" i="4"/>
  <c r="C16" i="4"/>
  <c r="H15" i="4"/>
  <c r="G15" i="4"/>
  <c r="F15" i="4"/>
  <c r="E15" i="4"/>
  <c r="D15" i="4"/>
  <c r="C15" i="4"/>
  <c r="I14" i="4"/>
  <c r="J13" i="4"/>
  <c r="I13" i="4"/>
  <c r="K64" i="4" s="1"/>
  <c r="J11" i="4"/>
  <c r="I11" i="4"/>
  <c r="I31" i="4" s="1"/>
  <c r="K31" i="4" s="1"/>
  <c r="I9" i="4"/>
  <c r="AD64" i="3"/>
  <c r="AC64" i="3"/>
  <c r="AE64" i="3" s="1"/>
  <c r="AD63" i="3"/>
  <c r="AC63" i="3"/>
  <c r="AB60" i="3"/>
  <c r="AA60" i="3"/>
  <c r="Z60" i="3"/>
  <c r="Y60" i="3"/>
  <c r="X60" i="3"/>
  <c r="W60" i="3"/>
  <c r="V60" i="3"/>
  <c r="U60" i="3"/>
  <c r="T60" i="3"/>
  <c r="S60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AD60" i="3" s="1"/>
  <c r="AD59" i="3"/>
  <c r="AC59" i="3"/>
  <c r="AD58" i="3"/>
  <c r="AC58" i="3"/>
  <c r="AE58" i="3" s="1"/>
  <c r="AD57" i="3"/>
  <c r="AC57" i="3"/>
  <c r="AD56" i="3"/>
  <c r="AC56" i="3"/>
  <c r="AE56" i="3" s="1"/>
  <c r="AD55" i="3"/>
  <c r="AC55" i="3"/>
  <c r="AD54" i="3"/>
  <c r="AC54" i="3"/>
  <c r="AE54" i="3" s="1"/>
  <c r="AB53" i="3"/>
  <c r="AA53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AC53" i="3" s="1"/>
  <c r="AE53" i="3" s="1"/>
  <c r="AD52" i="3"/>
  <c r="AC52" i="3"/>
  <c r="AD51" i="3"/>
  <c r="AC51" i="3"/>
  <c r="AD50" i="3"/>
  <c r="AC50" i="3"/>
  <c r="AD49" i="3"/>
  <c r="AC49" i="3"/>
  <c r="AD48" i="3"/>
  <c r="AC48" i="3"/>
  <c r="AB47" i="3"/>
  <c r="AA47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AE46" i="3"/>
  <c r="AD46" i="3"/>
  <c r="AC46" i="3"/>
  <c r="AD45" i="3"/>
  <c r="AC45" i="3"/>
  <c r="AE45" i="3" s="1"/>
  <c r="AD44" i="3"/>
  <c r="AC44" i="3"/>
  <c r="AD43" i="3"/>
  <c r="AC43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AC42" i="3" s="1"/>
  <c r="AE42" i="3" s="1"/>
  <c r="D42" i="3"/>
  <c r="C42" i="3"/>
  <c r="AD41" i="3"/>
  <c r="AC41" i="3"/>
  <c r="AD40" i="3"/>
  <c r="AC40" i="3"/>
  <c r="AD39" i="3"/>
  <c r="AC39" i="3"/>
  <c r="AD38" i="3"/>
  <c r="AC38" i="3"/>
  <c r="AD37" i="3"/>
  <c r="AC37" i="3"/>
  <c r="AD36" i="3"/>
  <c r="AC36" i="3"/>
  <c r="AE36" i="3" s="1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AD34" i="3"/>
  <c r="AC34" i="3"/>
  <c r="AE34" i="3" s="1"/>
  <c r="AD33" i="3"/>
  <c r="AC33" i="3"/>
  <c r="AD32" i="3"/>
  <c r="AC32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AD31" i="3" s="1"/>
  <c r="D31" i="3"/>
  <c r="C31" i="3"/>
  <c r="AD30" i="3"/>
  <c r="AC30" i="3"/>
  <c r="AD28" i="3"/>
  <c r="AC28" i="3"/>
  <c r="AD27" i="3"/>
  <c r="AC27" i="3"/>
  <c r="AB26" i="3"/>
  <c r="AB29" i="3" s="1"/>
  <c r="AA26" i="3"/>
  <c r="AA29" i="3" s="1"/>
  <c r="Z26" i="3"/>
  <c r="Z29" i="3" s="1"/>
  <c r="Y26" i="3"/>
  <c r="Y29" i="3" s="1"/>
  <c r="X26" i="3"/>
  <c r="X29" i="3" s="1"/>
  <c r="W26" i="3"/>
  <c r="W29" i="3" s="1"/>
  <c r="V26" i="3"/>
  <c r="V29" i="3" s="1"/>
  <c r="U26" i="3"/>
  <c r="U29" i="3" s="1"/>
  <c r="T26" i="3"/>
  <c r="T29" i="3" s="1"/>
  <c r="S26" i="3"/>
  <c r="S29" i="3" s="1"/>
  <c r="R26" i="3"/>
  <c r="R29" i="3" s="1"/>
  <c r="Q26" i="3"/>
  <c r="Q29" i="3" s="1"/>
  <c r="P26" i="3"/>
  <c r="P29" i="3" s="1"/>
  <c r="O26" i="3"/>
  <c r="O29" i="3" s="1"/>
  <c r="N26" i="3"/>
  <c r="N29" i="3" s="1"/>
  <c r="M26" i="3"/>
  <c r="M29" i="3" s="1"/>
  <c r="L26" i="3"/>
  <c r="L29" i="3" s="1"/>
  <c r="K26" i="3"/>
  <c r="K29" i="3" s="1"/>
  <c r="J26" i="3"/>
  <c r="J29" i="3" s="1"/>
  <c r="I26" i="3"/>
  <c r="I29" i="3" s="1"/>
  <c r="H26" i="3"/>
  <c r="H29" i="3" s="1"/>
  <c r="G26" i="3"/>
  <c r="G29" i="3" s="1"/>
  <c r="F26" i="3"/>
  <c r="F29" i="3" s="1"/>
  <c r="E26" i="3"/>
  <c r="E29" i="3" s="1"/>
  <c r="D26" i="3"/>
  <c r="D29" i="3" s="1"/>
  <c r="C26" i="3"/>
  <c r="C29" i="3" s="1"/>
  <c r="AD25" i="3"/>
  <c r="AC25" i="3"/>
  <c r="AD24" i="3"/>
  <c r="AC24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AC23" i="3"/>
  <c r="AE23" i="3" s="1"/>
  <c r="AD22" i="3"/>
  <c r="AC22" i="3"/>
  <c r="AD21" i="3"/>
  <c r="AC21" i="3"/>
  <c r="AD20" i="3"/>
  <c r="AC20" i="3"/>
  <c r="AD19" i="3"/>
  <c r="AC19" i="3"/>
  <c r="AD18" i="3"/>
  <c r="AC18" i="3"/>
  <c r="AD17" i="3"/>
  <c r="AC17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C14" i="3"/>
  <c r="AD13" i="3"/>
  <c r="AC13" i="3"/>
  <c r="AE59" i="3" s="1"/>
  <c r="AD11" i="3"/>
  <c r="AC11" i="3"/>
  <c r="AC9" i="3"/>
  <c r="E105" i="2"/>
  <c r="D105" i="2"/>
  <c r="C105" i="2"/>
  <c r="E100" i="2"/>
  <c r="D100" i="2"/>
  <c r="C100" i="2"/>
  <c r="E95" i="2"/>
  <c r="D95" i="2"/>
  <c r="C95" i="2"/>
  <c r="E90" i="2"/>
  <c r="D90" i="2"/>
  <c r="C90" i="2"/>
  <c r="E85" i="2"/>
  <c r="D85" i="2"/>
  <c r="C85" i="2"/>
  <c r="E80" i="2"/>
  <c r="D80" i="2"/>
  <c r="C80" i="2"/>
  <c r="E75" i="2"/>
  <c r="D75" i="2"/>
  <c r="C75" i="2"/>
  <c r="G70" i="2"/>
  <c r="F70" i="2"/>
  <c r="E70" i="2"/>
  <c r="D70" i="2"/>
  <c r="C70" i="2"/>
  <c r="L64" i="2"/>
  <c r="K64" i="2"/>
  <c r="L63" i="2"/>
  <c r="K63" i="2"/>
  <c r="J60" i="2"/>
  <c r="I60" i="2"/>
  <c r="H60" i="2"/>
  <c r="G60" i="2"/>
  <c r="F60" i="2"/>
  <c r="E60" i="2"/>
  <c r="D60" i="2"/>
  <c r="L60" i="2" s="1"/>
  <c r="C60" i="2"/>
  <c r="L59" i="2"/>
  <c r="K59" i="2"/>
  <c r="M58" i="2"/>
  <c r="L58" i="2"/>
  <c r="K58" i="2"/>
  <c r="L57" i="2"/>
  <c r="K57" i="2"/>
  <c r="L56" i="2"/>
  <c r="K56" i="2"/>
  <c r="L55" i="2"/>
  <c r="K55" i="2"/>
  <c r="M55" i="2" s="1"/>
  <c r="L54" i="2"/>
  <c r="K54" i="2"/>
  <c r="J53" i="2"/>
  <c r="I53" i="2"/>
  <c r="H53" i="2"/>
  <c r="G53" i="2"/>
  <c r="F53" i="2"/>
  <c r="E53" i="2"/>
  <c r="D53" i="2"/>
  <c r="C53" i="2"/>
  <c r="M52" i="2"/>
  <c r="L52" i="2"/>
  <c r="K52" i="2"/>
  <c r="L51" i="2"/>
  <c r="K51" i="2"/>
  <c r="L50" i="2"/>
  <c r="K50" i="2"/>
  <c r="L49" i="2"/>
  <c r="K49" i="2"/>
  <c r="M49" i="2" s="1"/>
  <c r="L48" i="2"/>
  <c r="K48" i="2"/>
  <c r="J47" i="2"/>
  <c r="I47" i="2"/>
  <c r="H47" i="2"/>
  <c r="G47" i="2"/>
  <c r="F47" i="2"/>
  <c r="L47" i="2" s="1"/>
  <c r="E47" i="2"/>
  <c r="D47" i="2"/>
  <c r="C47" i="2"/>
  <c r="M46" i="2"/>
  <c r="L46" i="2"/>
  <c r="K46" i="2"/>
  <c r="L45" i="2"/>
  <c r="K45" i="2"/>
  <c r="L44" i="2"/>
  <c r="K44" i="2"/>
  <c r="L43" i="2"/>
  <c r="K43" i="2"/>
  <c r="K47" i="2" s="1"/>
  <c r="M47" i="2" s="1"/>
  <c r="J42" i="2"/>
  <c r="I42" i="2"/>
  <c r="H42" i="2"/>
  <c r="G42" i="2"/>
  <c r="F42" i="2"/>
  <c r="E42" i="2"/>
  <c r="D42" i="2"/>
  <c r="C42" i="2"/>
  <c r="K42" i="2" s="1"/>
  <c r="M42" i="2" s="1"/>
  <c r="L41" i="2"/>
  <c r="K41" i="2"/>
  <c r="L40" i="2"/>
  <c r="K40" i="2"/>
  <c r="M40" i="2" s="1"/>
  <c r="L39" i="2"/>
  <c r="K39" i="2"/>
  <c r="L38" i="2"/>
  <c r="K38" i="2"/>
  <c r="L37" i="2"/>
  <c r="K37" i="2"/>
  <c r="M36" i="2"/>
  <c r="L36" i="2"/>
  <c r="K36" i="2"/>
  <c r="J35" i="2"/>
  <c r="I35" i="2"/>
  <c r="H35" i="2"/>
  <c r="G35" i="2"/>
  <c r="F35" i="2"/>
  <c r="E35" i="2"/>
  <c r="D35" i="2"/>
  <c r="C35" i="2"/>
  <c r="L34" i="2"/>
  <c r="K34" i="2"/>
  <c r="M34" i="2" s="1"/>
  <c r="L33" i="2"/>
  <c r="K33" i="2"/>
  <c r="M33" i="2" s="1"/>
  <c r="L32" i="2"/>
  <c r="K32" i="2"/>
  <c r="M32" i="2" s="1"/>
  <c r="J31" i="2"/>
  <c r="I31" i="2"/>
  <c r="H31" i="2"/>
  <c r="G31" i="2"/>
  <c r="F31" i="2"/>
  <c r="E31" i="2"/>
  <c r="D31" i="2"/>
  <c r="L31" i="2" s="1"/>
  <c r="C31" i="2"/>
  <c r="L30" i="2"/>
  <c r="K30" i="2"/>
  <c r="M30" i="2" s="1"/>
  <c r="J29" i="2"/>
  <c r="F29" i="2"/>
  <c r="L28" i="2"/>
  <c r="K28" i="2"/>
  <c r="M28" i="2" s="1"/>
  <c r="L27" i="2"/>
  <c r="K27" i="2"/>
  <c r="M27" i="2" s="1"/>
  <c r="J26" i="2"/>
  <c r="I26" i="2"/>
  <c r="I29" i="2" s="1"/>
  <c r="H26" i="2"/>
  <c r="H29" i="2" s="1"/>
  <c r="G26" i="2"/>
  <c r="G29" i="2" s="1"/>
  <c r="F26" i="2"/>
  <c r="E26" i="2"/>
  <c r="E29" i="2" s="1"/>
  <c r="D26" i="2"/>
  <c r="D29" i="2" s="1"/>
  <c r="L29" i="2" s="1"/>
  <c r="C26" i="2"/>
  <c r="C29" i="2" s="1"/>
  <c r="L25" i="2"/>
  <c r="K25" i="2"/>
  <c r="M25" i="2" s="1"/>
  <c r="M24" i="2"/>
  <c r="L24" i="2"/>
  <c r="K24" i="2"/>
  <c r="J23" i="2"/>
  <c r="I23" i="2"/>
  <c r="H23" i="2"/>
  <c r="G23" i="2"/>
  <c r="F23" i="2"/>
  <c r="L23" i="2" s="1"/>
  <c r="E23" i="2"/>
  <c r="D23" i="2"/>
  <c r="C23" i="2"/>
  <c r="M22" i="2"/>
  <c r="L22" i="2"/>
  <c r="K22" i="2"/>
  <c r="L21" i="2"/>
  <c r="K21" i="2"/>
  <c r="M21" i="2" s="1"/>
  <c r="L20" i="2"/>
  <c r="K20" i="2"/>
  <c r="L19" i="2"/>
  <c r="K19" i="2"/>
  <c r="M19" i="2" s="1"/>
  <c r="L18" i="2"/>
  <c r="K18" i="2"/>
  <c r="M18" i="2" s="1"/>
  <c r="M17" i="2"/>
  <c r="L17" i="2"/>
  <c r="K17" i="2"/>
  <c r="J16" i="2"/>
  <c r="I16" i="2"/>
  <c r="H16" i="2"/>
  <c r="G16" i="2"/>
  <c r="F16" i="2"/>
  <c r="E16" i="2"/>
  <c r="C16" i="2"/>
  <c r="J15" i="2"/>
  <c r="I15" i="2"/>
  <c r="H15" i="2"/>
  <c r="G15" i="2"/>
  <c r="F15" i="2"/>
  <c r="E15" i="2"/>
  <c r="D15" i="2"/>
  <c r="L15" i="2" s="1"/>
  <c r="C15" i="2"/>
  <c r="K14" i="2"/>
  <c r="M13" i="2"/>
  <c r="L13" i="2"/>
  <c r="K13" i="2"/>
  <c r="M63" i="2" s="1"/>
  <c r="L11" i="2"/>
  <c r="K11" i="2"/>
  <c r="K9" i="2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G62" i="1"/>
  <c r="F62" i="1"/>
  <c r="E62" i="1"/>
  <c r="D62" i="1"/>
  <c r="C62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C16" i="1"/>
  <c r="AW14" i="1"/>
  <c r="AW46" i="1"/>
  <c r="AV31" i="1"/>
  <c r="E105" i="1"/>
  <c r="D105" i="1"/>
  <c r="C105" i="1"/>
  <c r="E100" i="1"/>
  <c r="D100" i="1"/>
  <c r="C100" i="1"/>
  <c r="E95" i="1"/>
  <c r="D95" i="1"/>
  <c r="C95" i="1"/>
  <c r="E90" i="1"/>
  <c r="D90" i="1"/>
  <c r="C90" i="1"/>
  <c r="E85" i="1"/>
  <c r="D85" i="1"/>
  <c r="C85" i="1"/>
  <c r="E80" i="1"/>
  <c r="D80" i="1"/>
  <c r="C80" i="1"/>
  <c r="E75" i="1"/>
  <c r="D75" i="1"/>
  <c r="C75" i="1"/>
  <c r="G70" i="1"/>
  <c r="F70" i="1"/>
  <c r="E70" i="1"/>
  <c r="D70" i="1"/>
  <c r="C70" i="1"/>
  <c r="AX59" i="1"/>
  <c r="AW59" i="1"/>
  <c r="AX58" i="1"/>
  <c r="AW58" i="1"/>
  <c r="AX57" i="1"/>
  <c r="AW57" i="1"/>
  <c r="AX56" i="1"/>
  <c r="AW56" i="1"/>
  <c r="AX55" i="1"/>
  <c r="AW55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G60" i="1"/>
  <c r="F60" i="1"/>
  <c r="E60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D53" i="1"/>
  <c r="C53" i="1"/>
  <c r="AX52" i="1"/>
  <c r="AW52" i="1"/>
  <c r="AX51" i="1"/>
  <c r="AW51" i="1"/>
  <c r="AX50" i="1"/>
  <c r="AW50" i="1"/>
  <c r="AX49" i="1"/>
  <c r="AW49" i="1"/>
  <c r="AX48" i="1"/>
  <c r="AW48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AX45" i="1"/>
  <c r="AW45" i="1"/>
  <c r="AX44" i="1"/>
  <c r="AW44" i="1"/>
  <c r="AX43" i="1"/>
  <c r="AW43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C42" i="1"/>
  <c r="AX41" i="1"/>
  <c r="AW41" i="1"/>
  <c r="AX40" i="1"/>
  <c r="AW40" i="1"/>
  <c r="AX39" i="1"/>
  <c r="AW39" i="1"/>
  <c r="AX38" i="1"/>
  <c r="AW38" i="1"/>
  <c r="AX37" i="1"/>
  <c r="AW37" i="1"/>
  <c r="AX36" i="1"/>
  <c r="AW36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AX35" i="1" s="1"/>
  <c r="C35" i="1"/>
  <c r="AX34" i="1"/>
  <c r="AW34" i="1"/>
  <c r="AX33" i="1"/>
  <c r="AW33" i="1"/>
  <c r="AX32" i="1"/>
  <c r="AW32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AX31" i="1" s="1"/>
  <c r="C31" i="1"/>
  <c r="AX30" i="1"/>
  <c r="AW30" i="1"/>
  <c r="AX28" i="1"/>
  <c r="AW28" i="1"/>
  <c r="AX27" i="1"/>
  <c r="AW27" i="1"/>
  <c r="AV26" i="1"/>
  <c r="AV29" i="1" s="1"/>
  <c r="AU26" i="1"/>
  <c r="AU29" i="1" s="1"/>
  <c r="AT26" i="1"/>
  <c r="AT29" i="1" s="1"/>
  <c r="AS26" i="1"/>
  <c r="AS29" i="1" s="1"/>
  <c r="AR26" i="1"/>
  <c r="AR29" i="1" s="1"/>
  <c r="AQ26" i="1"/>
  <c r="AQ29" i="1" s="1"/>
  <c r="AP26" i="1"/>
  <c r="AP29" i="1" s="1"/>
  <c r="AO26" i="1"/>
  <c r="AO29" i="1" s="1"/>
  <c r="AN26" i="1"/>
  <c r="AN29" i="1" s="1"/>
  <c r="AM26" i="1"/>
  <c r="AM29" i="1" s="1"/>
  <c r="AL26" i="1"/>
  <c r="AL29" i="1" s="1"/>
  <c r="AK26" i="1"/>
  <c r="AK29" i="1" s="1"/>
  <c r="AJ26" i="1"/>
  <c r="AJ29" i="1" s="1"/>
  <c r="AI26" i="1"/>
  <c r="AI29" i="1" s="1"/>
  <c r="AH26" i="1"/>
  <c r="AH29" i="1" s="1"/>
  <c r="AG26" i="1"/>
  <c r="AG29" i="1" s="1"/>
  <c r="AF26" i="1"/>
  <c r="AF29" i="1" s="1"/>
  <c r="AE26" i="1"/>
  <c r="AE29" i="1" s="1"/>
  <c r="AD26" i="1"/>
  <c r="AD29" i="1" s="1"/>
  <c r="AC26" i="1"/>
  <c r="AC29" i="1" s="1"/>
  <c r="AB26" i="1"/>
  <c r="AB29" i="1" s="1"/>
  <c r="AA26" i="1"/>
  <c r="AA29" i="1" s="1"/>
  <c r="Z26" i="1"/>
  <c r="Z29" i="1" s="1"/>
  <c r="Y26" i="1"/>
  <c r="Y29" i="1" s="1"/>
  <c r="X26" i="1"/>
  <c r="X29" i="1" s="1"/>
  <c r="W26" i="1"/>
  <c r="W29" i="1" s="1"/>
  <c r="V26" i="1"/>
  <c r="V29" i="1" s="1"/>
  <c r="U26" i="1"/>
  <c r="U29" i="1" s="1"/>
  <c r="T26" i="1"/>
  <c r="T29" i="1" s="1"/>
  <c r="S26" i="1"/>
  <c r="S29" i="1" s="1"/>
  <c r="R26" i="1"/>
  <c r="R29" i="1" s="1"/>
  <c r="Q26" i="1"/>
  <c r="Q29" i="1" s="1"/>
  <c r="P26" i="1"/>
  <c r="P29" i="1" s="1"/>
  <c r="O26" i="1"/>
  <c r="O29" i="1" s="1"/>
  <c r="N26" i="1"/>
  <c r="N29" i="1" s="1"/>
  <c r="M26" i="1"/>
  <c r="M29" i="1" s="1"/>
  <c r="L26" i="1"/>
  <c r="L29" i="1" s="1"/>
  <c r="K26" i="1"/>
  <c r="K29" i="1" s="1"/>
  <c r="J26" i="1"/>
  <c r="J29" i="1" s="1"/>
  <c r="I26" i="1"/>
  <c r="I29" i="1" s="1"/>
  <c r="H26" i="1"/>
  <c r="H29" i="1" s="1"/>
  <c r="G26" i="1"/>
  <c r="G29" i="1" s="1"/>
  <c r="F26" i="1"/>
  <c r="F29" i="1" s="1"/>
  <c r="E26" i="1"/>
  <c r="E29" i="1" s="1"/>
  <c r="D26" i="1"/>
  <c r="C26" i="1"/>
  <c r="AX25" i="1"/>
  <c r="AW25" i="1"/>
  <c r="AX24" i="1"/>
  <c r="AW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AX22" i="1"/>
  <c r="AW22" i="1"/>
  <c r="AX21" i="1"/>
  <c r="AW21" i="1"/>
  <c r="AX20" i="1"/>
  <c r="AW20" i="1"/>
  <c r="AX19" i="1"/>
  <c r="AW19" i="1"/>
  <c r="AX18" i="1"/>
  <c r="AW18" i="1"/>
  <c r="AX17" i="1"/>
  <c r="AW17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AX15" i="1" s="1"/>
  <c r="C15" i="1"/>
  <c r="AX13" i="1"/>
  <c r="AW13" i="1"/>
  <c r="AX11" i="1"/>
  <c r="AW11" i="1"/>
  <c r="AW31" i="1" s="1"/>
  <c r="AY31" i="1" s="1"/>
  <c r="AW9" i="1"/>
  <c r="K20" i="7" l="1"/>
  <c r="K34" i="7"/>
  <c r="K36" i="7"/>
  <c r="K42" i="7"/>
  <c r="K50" i="7"/>
  <c r="G61" i="7"/>
  <c r="G62" i="7" s="1"/>
  <c r="G65" i="7" s="1"/>
  <c r="I23" i="7"/>
  <c r="K23" i="7" s="1"/>
  <c r="K27" i="7"/>
  <c r="K39" i="7"/>
  <c r="K48" i="7"/>
  <c r="D61" i="7"/>
  <c r="D62" i="7" s="1"/>
  <c r="D65" i="7" s="1"/>
  <c r="H61" i="7"/>
  <c r="H62" i="7" s="1"/>
  <c r="H65" i="7" s="1"/>
  <c r="K59" i="7"/>
  <c r="K19" i="7"/>
  <c r="C61" i="7"/>
  <c r="C62" i="7" s="1"/>
  <c r="C65" i="7" s="1"/>
  <c r="K55" i="7"/>
  <c r="K56" i="7"/>
  <c r="K31" i="7"/>
  <c r="K18" i="7"/>
  <c r="I26" i="7"/>
  <c r="K26" i="7" s="1"/>
  <c r="K30" i="7"/>
  <c r="I35" i="7"/>
  <c r="K35" i="7" s="1"/>
  <c r="K46" i="7"/>
  <c r="K51" i="7"/>
  <c r="K54" i="7"/>
  <c r="K22" i="7"/>
  <c r="K24" i="7"/>
  <c r="K38" i="7"/>
  <c r="I47" i="7"/>
  <c r="K47" i="7" s="1"/>
  <c r="J53" i="7"/>
  <c r="K58" i="7"/>
  <c r="K63" i="7"/>
  <c r="J15" i="4"/>
  <c r="K17" i="4"/>
  <c r="K24" i="4"/>
  <c r="K28" i="4"/>
  <c r="J31" i="4"/>
  <c r="K33" i="4"/>
  <c r="K54" i="4"/>
  <c r="K21" i="4"/>
  <c r="I35" i="4"/>
  <c r="K35" i="4" s="1"/>
  <c r="K39" i="4"/>
  <c r="I42" i="4"/>
  <c r="K42" i="4" s="1"/>
  <c r="J47" i="4"/>
  <c r="K51" i="4"/>
  <c r="K13" i="4"/>
  <c r="J23" i="4"/>
  <c r="K30" i="4"/>
  <c r="K32" i="4"/>
  <c r="K34" i="4"/>
  <c r="I53" i="4"/>
  <c r="K53" i="4" s="1"/>
  <c r="K57" i="4"/>
  <c r="K58" i="4"/>
  <c r="I60" i="4"/>
  <c r="K60" i="4" s="1"/>
  <c r="E61" i="7"/>
  <c r="E62" i="7" s="1"/>
  <c r="E65" i="7" s="1"/>
  <c r="F61" i="7"/>
  <c r="F62" i="7" s="1"/>
  <c r="F65" i="7" s="1"/>
  <c r="K13" i="7"/>
  <c r="J26" i="7"/>
  <c r="J42" i="7"/>
  <c r="K43" i="7"/>
  <c r="I53" i="7"/>
  <c r="K53" i="7" s="1"/>
  <c r="I15" i="7"/>
  <c r="K17" i="7"/>
  <c r="K21" i="7"/>
  <c r="K25" i="7"/>
  <c r="K33" i="7"/>
  <c r="K37" i="7"/>
  <c r="K41" i="7"/>
  <c r="K45" i="7"/>
  <c r="K49" i="7"/>
  <c r="J26" i="4"/>
  <c r="K63" i="4"/>
  <c r="F61" i="4"/>
  <c r="F62" i="4" s="1"/>
  <c r="F65" i="4" s="1"/>
  <c r="I23" i="4"/>
  <c r="K23" i="4" s="1"/>
  <c r="K56" i="4"/>
  <c r="K59" i="4"/>
  <c r="K20" i="4"/>
  <c r="K44" i="4"/>
  <c r="L24" i="6"/>
  <c r="L33" i="6"/>
  <c r="L36" i="6"/>
  <c r="L52" i="6"/>
  <c r="L59" i="6"/>
  <c r="J60" i="6"/>
  <c r="L60" i="6" s="1"/>
  <c r="L63" i="6"/>
  <c r="L18" i="6"/>
  <c r="L40" i="6"/>
  <c r="K42" i="6"/>
  <c r="L46" i="6"/>
  <c r="L49" i="6"/>
  <c r="L54" i="6"/>
  <c r="L64" i="6"/>
  <c r="L22" i="6"/>
  <c r="L25" i="6"/>
  <c r="L34" i="6"/>
  <c r="L37" i="6"/>
  <c r="L38" i="6"/>
  <c r="J47" i="6"/>
  <c r="L47" i="6" s="1"/>
  <c r="L44" i="6"/>
  <c r="L51" i="6"/>
  <c r="C61" i="6"/>
  <c r="C62" i="6" s="1"/>
  <c r="C65" i="6" s="1"/>
  <c r="G61" i="6"/>
  <c r="G62" i="6" s="1"/>
  <c r="G65" i="6" s="1"/>
  <c r="L58" i="6"/>
  <c r="W15" i="5"/>
  <c r="X18" i="5"/>
  <c r="X21" i="5"/>
  <c r="W23" i="5"/>
  <c r="W31" i="5"/>
  <c r="V35" i="5"/>
  <c r="X35" i="5" s="1"/>
  <c r="X40" i="5"/>
  <c r="X46" i="5"/>
  <c r="X50" i="5"/>
  <c r="F61" i="5"/>
  <c r="F62" i="5" s="1"/>
  <c r="F65" i="5" s="1"/>
  <c r="J61" i="5"/>
  <c r="J62" i="5" s="1"/>
  <c r="J65" i="5" s="1"/>
  <c r="N61" i="5"/>
  <c r="N62" i="5" s="1"/>
  <c r="N65" i="5" s="1"/>
  <c r="R61" i="5"/>
  <c r="R62" i="5" s="1"/>
  <c r="R65" i="5" s="1"/>
  <c r="X54" i="5"/>
  <c r="X55" i="5"/>
  <c r="X57" i="5"/>
  <c r="X64" i="5"/>
  <c r="V23" i="5"/>
  <c r="X23" i="5" s="1"/>
  <c r="X34" i="5"/>
  <c r="X48" i="5"/>
  <c r="X51" i="5"/>
  <c r="C61" i="5"/>
  <c r="G61" i="5"/>
  <c r="G62" i="5" s="1"/>
  <c r="G65" i="5" s="1"/>
  <c r="K61" i="5"/>
  <c r="K62" i="5" s="1"/>
  <c r="K65" i="5" s="1"/>
  <c r="O61" i="5"/>
  <c r="O62" i="5" s="1"/>
  <c r="O65" i="5" s="1"/>
  <c r="S61" i="5"/>
  <c r="S62" i="5" s="1"/>
  <c r="S65" i="5" s="1"/>
  <c r="V60" i="5"/>
  <c r="X60" i="5" s="1"/>
  <c r="V53" i="5"/>
  <c r="X53" i="5" s="1"/>
  <c r="X58" i="5"/>
  <c r="X20" i="5"/>
  <c r="X24" i="5"/>
  <c r="X25" i="5"/>
  <c r="X33" i="5"/>
  <c r="W35" i="5"/>
  <c r="W42" i="5"/>
  <c r="X52" i="5"/>
  <c r="E61" i="6"/>
  <c r="E62" i="6" s="1"/>
  <c r="E65" i="6" s="1"/>
  <c r="I61" i="6"/>
  <c r="I62" i="6" s="1"/>
  <c r="I65" i="6" s="1"/>
  <c r="F61" i="6"/>
  <c r="F62" i="6" s="1"/>
  <c r="F65" i="6" s="1"/>
  <c r="J29" i="6"/>
  <c r="L29" i="6" s="1"/>
  <c r="K29" i="6"/>
  <c r="D61" i="6"/>
  <c r="D62" i="6" s="1"/>
  <c r="D65" i="6" s="1"/>
  <c r="H61" i="6"/>
  <c r="H62" i="6" s="1"/>
  <c r="H65" i="6" s="1"/>
  <c r="J26" i="6"/>
  <c r="L26" i="6" s="1"/>
  <c r="L13" i="6"/>
  <c r="J15" i="6"/>
  <c r="J23" i="6"/>
  <c r="L23" i="6" s="1"/>
  <c r="K26" i="6"/>
  <c r="J35" i="6"/>
  <c r="L35" i="6" s="1"/>
  <c r="L43" i="6"/>
  <c r="J53" i="6"/>
  <c r="L53" i="6" s="1"/>
  <c r="K53" i="6"/>
  <c r="L17" i="6"/>
  <c r="L21" i="6"/>
  <c r="L39" i="6"/>
  <c r="L57" i="6"/>
  <c r="W29" i="5"/>
  <c r="H61" i="5"/>
  <c r="H62" i="5" s="1"/>
  <c r="H65" i="5" s="1"/>
  <c r="L61" i="5"/>
  <c r="L62" i="5" s="1"/>
  <c r="L65" i="5" s="1"/>
  <c r="P61" i="5"/>
  <c r="P62" i="5" s="1"/>
  <c r="P65" i="5" s="1"/>
  <c r="T61" i="5"/>
  <c r="T62" i="5" s="1"/>
  <c r="T65" i="5" s="1"/>
  <c r="C62" i="5"/>
  <c r="E61" i="5"/>
  <c r="E62" i="5" s="1"/>
  <c r="E65" i="5" s="1"/>
  <c r="I61" i="5"/>
  <c r="I62" i="5" s="1"/>
  <c r="I65" i="5" s="1"/>
  <c r="M61" i="5"/>
  <c r="M62" i="5" s="1"/>
  <c r="M65" i="5" s="1"/>
  <c r="Q61" i="5"/>
  <c r="Q62" i="5" s="1"/>
  <c r="Q65" i="5" s="1"/>
  <c r="U61" i="5"/>
  <c r="U62" i="5" s="1"/>
  <c r="U65" i="5" s="1"/>
  <c r="D61" i="5"/>
  <c r="D62" i="5" s="1"/>
  <c r="D65" i="5" s="1"/>
  <c r="V15" i="5"/>
  <c r="V47" i="5"/>
  <c r="X47" i="5" s="1"/>
  <c r="W60" i="5"/>
  <c r="W53" i="5"/>
  <c r="V26" i="5"/>
  <c r="X26" i="5" s="1"/>
  <c r="V42" i="5"/>
  <c r="X42" i="5" s="1"/>
  <c r="W26" i="5"/>
  <c r="AE40" i="3"/>
  <c r="AD15" i="3"/>
  <c r="AE18" i="3"/>
  <c r="AE22" i="3"/>
  <c r="AD35" i="3"/>
  <c r="AD47" i="3"/>
  <c r="AD23" i="3"/>
  <c r="AE24" i="3"/>
  <c r="AD42" i="3"/>
  <c r="AE48" i="3"/>
  <c r="AE20" i="3"/>
  <c r="AD26" i="3"/>
  <c r="AE33" i="3"/>
  <c r="AE39" i="3"/>
  <c r="AE50" i="3"/>
  <c r="C61" i="3"/>
  <c r="C62" i="3" s="1"/>
  <c r="C65" i="3" s="1"/>
  <c r="G61" i="3"/>
  <c r="G62" i="3" s="1"/>
  <c r="G65" i="3" s="1"/>
  <c r="K61" i="3"/>
  <c r="K62" i="3" s="1"/>
  <c r="K65" i="3" s="1"/>
  <c r="O61" i="3"/>
  <c r="O62" i="3" s="1"/>
  <c r="O65" i="3" s="1"/>
  <c r="S61" i="3"/>
  <c r="S62" i="3" s="1"/>
  <c r="S65" i="3" s="1"/>
  <c r="W61" i="3"/>
  <c r="W62" i="3" s="1"/>
  <c r="W65" i="3" s="1"/>
  <c r="AA61" i="3"/>
  <c r="AA62" i="3" s="1"/>
  <c r="AA65" i="3" s="1"/>
  <c r="AC60" i="3"/>
  <c r="AE60" i="3" s="1"/>
  <c r="AE63" i="3"/>
  <c r="AE17" i="3"/>
  <c r="AE28" i="3"/>
  <c r="AE30" i="3"/>
  <c r="AC35" i="3"/>
  <c r="AE35" i="3" s="1"/>
  <c r="AC47" i="3"/>
  <c r="AE47" i="3" s="1"/>
  <c r="D61" i="3"/>
  <c r="D62" i="3" s="1"/>
  <c r="D65" i="3" s="1"/>
  <c r="H61" i="3"/>
  <c r="H62" i="3" s="1"/>
  <c r="H65" i="3" s="1"/>
  <c r="L61" i="3"/>
  <c r="L62" i="3" s="1"/>
  <c r="L65" i="3" s="1"/>
  <c r="P61" i="3"/>
  <c r="P62" i="3" s="1"/>
  <c r="P65" i="3" s="1"/>
  <c r="T61" i="3"/>
  <c r="T62" i="3" s="1"/>
  <c r="T65" i="3" s="1"/>
  <c r="X61" i="3"/>
  <c r="X62" i="3" s="1"/>
  <c r="X65" i="3" s="1"/>
  <c r="AB61" i="3"/>
  <c r="AB62" i="3" s="1"/>
  <c r="AB65" i="3" s="1"/>
  <c r="AE57" i="3"/>
  <c r="AC15" i="3"/>
  <c r="AE13" i="3"/>
  <c r="AE21" i="3"/>
  <c r="AE32" i="3"/>
  <c r="AE38" i="3"/>
  <c r="AE51" i="3"/>
  <c r="AE52" i="3"/>
  <c r="I29" i="4"/>
  <c r="K29" i="4" s="1"/>
  <c r="C61" i="4"/>
  <c r="C62" i="4" s="1"/>
  <c r="C65" i="4" s="1"/>
  <c r="G61" i="4"/>
  <c r="G62" i="4" s="1"/>
  <c r="G65" i="4" s="1"/>
  <c r="D61" i="4"/>
  <c r="D62" i="4" s="1"/>
  <c r="D65" i="4" s="1"/>
  <c r="H61" i="4"/>
  <c r="H62" i="4" s="1"/>
  <c r="H65" i="4" s="1"/>
  <c r="J29" i="4"/>
  <c r="E61" i="4"/>
  <c r="E62" i="4" s="1"/>
  <c r="E65" i="4" s="1"/>
  <c r="I15" i="4"/>
  <c r="I26" i="4"/>
  <c r="K26" i="4" s="1"/>
  <c r="K19" i="4"/>
  <c r="K25" i="4"/>
  <c r="K27" i="4"/>
  <c r="K37" i="4"/>
  <c r="K41" i="4"/>
  <c r="K43" i="4"/>
  <c r="K49" i="4"/>
  <c r="K55" i="4"/>
  <c r="F61" i="2"/>
  <c r="F62" i="2" s="1"/>
  <c r="F65" i="2" s="1"/>
  <c r="M20" i="2"/>
  <c r="K23" i="2"/>
  <c r="M23" i="2" s="1"/>
  <c r="L35" i="2"/>
  <c r="M37" i="2"/>
  <c r="L42" i="2"/>
  <c r="K53" i="2"/>
  <c r="M53" i="2" s="1"/>
  <c r="M59" i="2"/>
  <c r="J61" i="2"/>
  <c r="J62" i="2" s="1"/>
  <c r="J65" i="2" s="1"/>
  <c r="K29" i="2"/>
  <c r="M29" i="2" s="1"/>
  <c r="K35" i="2"/>
  <c r="M35" i="2" s="1"/>
  <c r="M41" i="2"/>
  <c r="M44" i="2"/>
  <c r="M50" i="2"/>
  <c r="D61" i="2"/>
  <c r="H61" i="2"/>
  <c r="H62" i="2" s="1"/>
  <c r="H65" i="2" s="1"/>
  <c r="M56" i="2"/>
  <c r="K31" i="2"/>
  <c r="M31" i="2" s="1"/>
  <c r="L26" i="2"/>
  <c r="M38" i="2"/>
  <c r="M48" i="2"/>
  <c r="E61" i="2"/>
  <c r="E62" i="2" s="1"/>
  <c r="E65" i="2" s="1"/>
  <c r="I61" i="2"/>
  <c r="I62" i="2" s="1"/>
  <c r="I65" i="2" s="1"/>
  <c r="M54" i="2"/>
  <c r="K60" i="2"/>
  <c r="M60" i="2" s="1"/>
  <c r="M64" i="2"/>
  <c r="E61" i="3"/>
  <c r="E62" i="3" s="1"/>
  <c r="E65" i="3" s="1"/>
  <c r="I61" i="3"/>
  <c r="I62" i="3" s="1"/>
  <c r="I65" i="3" s="1"/>
  <c r="M61" i="3"/>
  <c r="M62" i="3" s="1"/>
  <c r="M65" i="3" s="1"/>
  <c r="Q61" i="3"/>
  <c r="Q62" i="3" s="1"/>
  <c r="Q65" i="3" s="1"/>
  <c r="U61" i="3"/>
  <c r="U62" i="3" s="1"/>
  <c r="U65" i="3" s="1"/>
  <c r="Y61" i="3"/>
  <c r="Y62" i="3" s="1"/>
  <c r="Y65" i="3" s="1"/>
  <c r="F61" i="3"/>
  <c r="F62" i="3" s="1"/>
  <c r="F65" i="3" s="1"/>
  <c r="J61" i="3"/>
  <c r="J62" i="3" s="1"/>
  <c r="J65" i="3" s="1"/>
  <c r="N61" i="3"/>
  <c r="N62" i="3" s="1"/>
  <c r="N65" i="3" s="1"/>
  <c r="R61" i="3"/>
  <c r="R62" i="3" s="1"/>
  <c r="R65" i="3" s="1"/>
  <c r="V61" i="3"/>
  <c r="V62" i="3" s="1"/>
  <c r="V65" i="3" s="1"/>
  <c r="Z61" i="3"/>
  <c r="Z62" i="3" s="1"/>
  <c r="Z65" i="3" s="1"/>
  <c r="AD29" i="3"/>
  <c r="AC29" i="3"/>
  <c r="AE29" i="3" s="1"/>
  <c r="AC31" i="3"/>
  <c r="AE31" i="3" s="1"/>
  <c r="AD53" i="3"/>
  <c r="AC26" i="3"/>
  <c r="AE26" i="3" s="1"/>
  <c r="AE44" i="3"/>
  <c r="AE19" i="3"/>
  <c r="AE25" i="3"/>
  <c r="AE27" i="3"/>
  <c r="AE37" i="3"/>
  <c r="AE41" i="3"/>
  <c r="AE43" i="3"/>
  <c r="AE49" i="3"/>
  <c r="AE55" i="3"/>
  <c r="D62" i="2"/>
  <c r="G61" i="2"/>
  <c r="G62" i="2" s="1"/>
  <c r="G65" i="2" s="1"/>
  <c r="K15" i="2"/>
  <c r="L53" i="2"/>
  <c r="M39" i="2"/>
  <c r="M45" i="2"/>
  <c r="M51" i="2"/>
  <c r="M57" i="2"/>
  <c r="C61" i="2"/>
  <c r="K26" i="2"/>
  <c r="M26" i="2" s="1"/>
  <c r="M43" i="2"/>
  <c r="AX23" i="1"/>
  <c r="AW42" i="1"/>
  <c r="AW23" i="1"/>
  <c r="AX42" i="1"/>
  <c r="AW35" i="1"/>
  <c r="AY35" i="1" s="1"/>
  <c r="AW15" i="1"/>
  <c r="AY13" i="1"/>
  <c r="AY17" i="1"/>
  <c r="AY18" i="1"/>
  <c r="AY19" i="1"/>
  <c r="AY20" i="1"/>
  <c r="AY21" i="1"/>
  <c r="AY22" i="1"/>
  <c r="AY23" i="1"/>
  <c r="AY24" i="1"/>
  <c r="AY25" i="1"/>
  <c r="C29" i="1"/>
  <c r="AW26" i="1"/>
  <c r="AY26" i="1" s="1"/>
  <c r="D29" i="1"/>
  <c r="AX29" i="1" s="1"/>
  <c r="AX26" i="1"/>
  <c r="AY27" i="1"/>
  <c r="AY28" i="1"/>
  <c r="AY30" i="1"/>
  <c r="AY32" i="1"/>
  <c r="AY33" i="1"/>
  <c r="AY34" i="1"/>
  <c r="AY36" i="1"/>
  <c r="AY37" i="1"/>
  <c r="AY38" i="1"/>
  <c r="AY39" i="1"/>
  <c r="AY40" i="1"/>
  <c r="AY41" i="1"/>
  <c r="AY42" i="1"/>
  <c r="AY43" i="1"/>
  <c r="AY44" i="1"/>
  <c r="AY45" i="1"/>
  <c r="C47" i="1"/>
  <c r="AX47" i="1" s="1"/>
  <c r="AX46" i="1"/>
  <c r="AY48" i="1"/>
  <c r="AY49" i="1"/>
  <c r="AY50" i="1"/>
  <c r="AY51" i="1"/>
  <c r="AY52" i="1"/>
  <c r="AW53" i="1"/>
  <c r="AY53" i="1" s="1"/>
  <c r="AX53" i="1"/>
  <c r="E61" i="1"/>
  <c r="F61" i="1"/>
  <c r="G61" i="1"/>
  <c r="H61" i="1"/>
  <c r="H65" i="1" s="1"/>
  <c r="I61" i="1"/>
  <c r="I65" i="1" s="1"/>
  <c r="J61" i="1"/>
  <c r="J65" i="1" s="1"/>
  <c r="K61" i="1"/>
  <c r="K65" i="1" s="1"/>
  <c r="L61" i="1"/>
  <c r="M61" i="1"/>
  <c r="M65" i="1" s="1"/>
  <c r="N61" i="1"/>
  <c r="O61" i="1"/>
  <c r="P61" i="1"/>
  <c r="P65" i="1" s="1"/>
  <c r="Q61" i="1"/>
  <c r="Q65" i="1" s="1"/>
  <c r="R61" i="1"/>
  <c r="R65" i="1" s="1"/>
  <c r="S61" i="1"/>
  <c r="S65" i="1" s="1"/>
  <c r="T61" i="1"/>
  <c r="T65" i="1" s="1"/>
  <c r="U61" i="1"/>
  <c r="U65" i="1" s="1"/>
  <c r="V61" i="1"/>
  <c r="W61" i="1"/>
  <c r="X61" i="1"/>
  <c r="X65" i="1" s="1"/>
  <c r="Y61" i="1"/>
  <c r="Z61" i="1"/>
  <c r="AA61" i="1"/>
  <c r="AB61" i="1"/>
  <c r="AC61" i="1"/>
  <c r="AC65" i="1" s="1"/>
  <c r="AD61" i="1"/>
  <c r="AE61" i="1"/>
  <c r="AE65" i="1" s="1"/>
  <c r="AF61" i="1"/>
  <c r="AG61" i="1"/>
  <c r="AG65" i="1" s="1"/>
  <c r="AH61" i="1"/>
  <c r="AH65" i="1" s="1"/>
  <c r="AI61" i="1"/>
  <c r="AI65" i="1" s="1"/>
  <c r="AJ61" i="1"/>
  <c r="AJ65" i="1" s="1"/>
  <c r="AK61" i="1"/>
  <c r="AL61" i="1"/>
  <c r="AL65" i="1" s="1"/>
  <c r="AM61" i="1"/>
  <c r="AN61" i="1"/>
  <c r="AO61" i="1"/>
  <c r="AO65" i="1" s="1"/>
  <c r="AP61" i="1"/>
  <c r="AP65" i="1" s="1"/>
  <c r="AQ61" i="1"/>
  <c r="AR61" i="1"/>
  <c r="AR65" i="1" s="1"/>
  <c r="AS61" i="1"/>
  <c r="AT61" i="1"/>
  <c r="AT65" i="1" s="1"/>
  <c r="AU61" i="1"/>
  <c r="AU65" i="1" s="1"/>
  <c r="AV61" i="1"/>
  <c r="AV65" i="1" s="1"/>
  <c r="C60" i="1"/>
  <c r="AW54" i="1"/>
  <c r="AY54" i="1" s="1"/>
  <c r="D60" i="1"/>
  <c r="AX54" i="1"/>
  <c r="AY55" i="1"/>
  <c r="AY56" i="1"/>
  <c r="AY57" i="1"/>
  <c r="AY58" i="1"/>
  <c r="AY59" i="1"/>
  <c r="AB62" i="1" l="1"/>
  <c r="AB65" i="1" s="1"/>
  <c r="AA62" i="1"/>
  <c r="AA65" i="1" s="1"/>
  <c r="J29" i="7"/>
  <c r="I29" i="7"/>
  <c r="K29" i="7" s="1"/>
  <c r="J61" i="7"/>
  <c r="I61" i="7"/>
  <c r="K61" i="7" s="1"/>
  <c r="K61" i="6"/>
  <c r="J61" i="6"/>
  <c r="L61" i="6" s="1"/>
  <c r="V61" i="5"/>
  <c r="X61" i="5" s="1"/>
  <c r="W61" i="5"/>
  <c r="C65" i="5"/>
  <c r="W62" i="5"/>
  <c r="V62" i="5"/>
  <c r="X62" i="5" s="1"/>
  <c r="I61" i="4"/>
  <c r="K61" i="4" s="1"/>
  <c r="J61" i="4"/>
  <c r="J65" i="4"/>
  <c r="J62" i="4"/>
  <c r="L61" i="2"/>
  <c r="D65" i="2"/>
  <c r="L65" i="2" s="1"/>
  <c r="L62" i="2"/>
  <c r="K61" i="2"/>
  <c r="M61" i="2" s="1"/>
  <c r="C62" i="2"/>
  <c r="N65" i="1"/>
  <c r="AX64" i="1"/>
  <c r="AQ65" i="1"/>
  <c r="Z65" i="1"/>
  <c r="AW64" i="1"/>
  <c r="AY64" i="1" s="1"/>
  <c r="L65" i="1"/>
  <c r="AD65" i="1"/>
  <c r="Y65" i="1"/>
  <c r="AX63" i="1"/>
  <c r="AN65" i="1"/>
  <c r="AM65" i="1"/>
  <c r="W65" i="1"/>
  <c r="V65" i="1"/>
  <c r="F65" i="1"/>
  <c r="E65" i="1"/>
  <c r="AW63" i="1"/>
  <c r="AY63" i="1" s="1"/>
  <c r="O65" i="1"/>
  <c r="G65" i="1"/>
  <c r="AF65" i="1"/>
  <c r="AS65" i="1"/>
  <c r="AK65" i="1"/>
  <c r="AX60" i="1"/>
  <c r="D61" i="1"/>
  <c r="AW60" i="1"/>
  <c r="AY60" i="1" s="1"/>
  <c r="C61" i="1"/>
  <c r="AY46" i="1"/>
  <c r="AW47" i="1"/>
  <c r="AY47" i="1" s="1"/>
  <c r="AW29" i="1"/>
  <c r="AY29" i="1" s="1"/>
  <c r="J62" i="7" l="1"/>
  <c r="I62" i="7"/>
  <c r="K62" i="7" s="1"/>
  <c r="K62" i="6"/>
  <c r="J62" i="6"/>
  <c r="L62" i="6" s="1"/>
  <c r="V65" i="5"/>
  <c r="X65" i="5" s="1"/>
  <c r="W65" i="5"/>
  <c r="I62" i="4"/>
  <c r="K62" i="4" s="1"/>
  <c r="I65" i="4"/>
  <c r="K65" i="4" s="1"/>
  <c r="AC65" i="3"/>
  <c r="AE65" i="3" s="1"/>
  <c r="AD65" i="3"/>
  <c r="AD62" i="3"/>
  <c r="AC62" i="3"/>
  <c r="AE62" i="3" s="1"/>
  <c r="AC61" i="3"/>
  <c r="AE61" i="3" s="1"/>
  <c r="AD61" i="3"/>
  <c r="K62" i="2"/>
  <c r="M62" i="2" s="1"/>
  <c r="C65" i="2"/>
  <c r="K65" i="2" s="1"/>
  <c r="M65" i="2" s="1"/>
  <c r="AW61" i="1"/>
  <c r="AY61" i="1" s="1"/>
  <c r="AX61" i="1"/>
  <c r="J65" i="7" l="1"/>
  <c r="I65" i="7"/>
  <c r="K65" i="7" s="1"/>
  <c r="K65" i="6"/>
  <c r="J65" i="6"/>
  <c r="L65" i="6" s="1"/>
  <c r="D65" i="1"/>
  <c r="AX65" i="1" s="1"/>
  <c r="AX62" i="1"/>
  <c r="C65" i="1"/>
  <c r="AW62" i="1"/>
  <c r="AY62" i="1" s="1"/>
  <c r="AW65" i="1" l="1"/>
  <c r="AY65" i="1" s="1"/>
</calcChain>
</file>

<file path=xl/sharedStrings.xml><?xml version="1.0" encoding="utf-8"?>
<sst xmlns="http://schemas.openxmlformats.org/spreadsheetml/2006/main" count="1334" uniqueCount="251">
  <si>
    <t>車番</t>
  </si>
  <si>
    <t>100</t>
  </si>
  <si>
    <t>1104</t>
  </si>
  <si>
    <t>1703</t>
  </si>
  <si>
    <t>3427</t>
  </si>
  <si>
    <t>2363</t>
  </si>
  <si>
    <t>3219</t>
  </si>
  <si>
    <t>3247</t>
  </si>
  <si>
    <t>3320</t>
  </si>
  <si>
    <t>1447</t>
  </si>
  <si>
    <t>1170</t>
  </si>
  <si>
    <t>00154</t>
  </si>
  <si>
    <t>01693</t>
  </si>
  <si>
    <t>11360</t>
  </si>
  <si>
    <t>19</t>
  </si>
  <si>
    <t>643</t>
  </si>
  <si>
    <t>A3640</t>
  </si>
  <si>
    <t>A700</t>
  </si>
  <si>
    <t>18</t>
  </si>
  <si>
    <t>A1116</t>
  </si>
  <si>
    <t>A1589</t>
  </si>
  <si>
    <t>A299</t>
  </si>
  <si>
    <t>530</t>
  </si>
  <si>
    <t>885</t>
  </si>
  <si>
    <t>88888</t>
  </si>
  <si>
    <t>99999</t>
  </si>
  <si>
    <t>5486</t>
  </si>
  <si>
    <t>C895</t>
  </si>
  <si>
    <t>6340</t>
  </si>
  <si>
    <t>A1246</t>
  </si>
  <si>
    <t>4055</t>
  </si>
  <si>
    <t>560</t>
  </si>
  <si>
    <t>827</t>
  </si>
  <si>
    <t>2919</t>
  </si>
  <si>
    <t>3148</t>
  </si>
  <si>
    <t>3677</t>
  </si>
  <si>
    <t>77777</t>
  </si>
  <si>
    <t>2602</t>
  </si>
  <si>
    <t>2637</t>
  </si>
  <si>
    <t>2648</t>
  </si>
  <si>
    <t>2763</t>
  </si>
  <si>
    <t>合計</t>
  </si>
  <si>
    <t>平均</t>
  </si>
  <si>
    <t>対売上比率</t>
  </si>
  <si>
    <t>部門コード</t>
  </si>
  <si>
    <t>部門名</t>
  </si>
  <si>
    <t>東京営業所</t>
  </si>
  <si>
    <t>小名浜営業所</t>
  </si>
  <si>
    <t>仙台営業所</t>
  </si>
  <si>
    <t>川崎営業所</t>
  </si>
  <si>
    <t>九州営業所</t>
  </si>
  <si>
    <t>ドライバー名</t>
  </si>
  <si>
    <t>年式</t>
  </si>
  <si>
    <t>タイヤ本数</t>
  </si>
  <si>
    <t>車種名</t>
  </si>
  <si>
    <t>ａ　吉田化学</t>
    <phoneticPr fontId="3"/>
  </si>
  <si>
    <t>Ｍ　メタノール</t>
    <phoneticPr fontId="3"/>
  </si>
  <si>
    <t>Ａプロセス</t>
    <phoneticPr fontId="3"/>
  </si>
  <si>
    <t>Ｆ　A重油</t>
    <phoneticPr fontId="3"/>
  </si>
  <si>
    <t>Ｎ　苛性</t>
    <phoneticPr fontId="3"/>
  </si>
  <si>
    <t>Ｏ　塩酸</t>
    <phoneticPr fontId="3"/>
  </si>
  <si>
    <t>Ｓ　硫酸ﾊﾞﾝﾄﾞ</t>
    <phoneticPr fontId="3"/>
  </si>
  <si>
    <t>その他</t>
    <phoneticPr fontId="3"/>
  </si>
  <si>
    <t>その他</t>
  </si>
  <si>
    <t>トレーラー</t>
    <phoneticPr fontId="3"/>
  </si>
  <si>
    <t>走行Ｋｍ</t>
  </si>
  <si>
    <t>輸送収入</t>
  </si>
  <si>
    <t>km単価</t>
  </si>
  <si>
    <t>車両費</t>
  </si>
  <si>
    <t>減価償却費</t>
  </si>
  <si>
    <t>割賦支払利息</t>
  </si>
  <si>
    <t>自動車税</t>
  </si>
  <si>
    <t>自動車取得税</t>
  </si>
  <si>
    <t>自動車重量税</t>
  </si>
  <si>
    <t>車検</t>
  </si>
  <si>
    <t>車両費計</t>
  </si>
  <si>
    <t>修繕費</t>
  </si>
  <si>
    <t>一般修理費</t>
  </si>
  <si>
    <t>部品費</t>
  </si>
  <si>
    <t>タイヤ・チューブ費</t>
  </si>
  <si>
    <t>事故（自車）</t>
  </si>
  <si>
    <t>事故（相手）</t>
  </si>
  <si>
    <t>修繕費計</t>
  </si>
  <si>
    <t>燃料費</t>
  </si>
  <si>
    <t>使用リットル</t>
  </si>
  <si>
    <t>ｋｍ／ｌ</t>
  </si>
  <si>
    <t>軽油費</t>
  </si>
  <si>
    <t>油脂費</t>
  </si>
  <si>
    <t>その他燃料費</t>
  </si>
  <si>
    <t>燃料費計</t>
  </si>
  <si>
    <t>保険料</t>
  </si>
  <si>
    <t>自賠責保険</t>
  </si>
  <si>
    <t>車両保険</t>
  </si>
  <si>
    <t>対人保険</t>
  </si>
  <si>
    <t>対物保険</t>
  </si>
  <si>
    <t xml:space="preserve">その他保険          </t>
    <phoneticPr fontId="3"/>
  </si>
  <si>
    <t>任意保険合計</t>
  </si>
  <si>
    <t>保険料計</t>
  </si>
  <si>
    <t>高速代</t>
  </si>
  <si>
    <t>プレート代</t>
  </si>
  <si>
    <t>有料代</t>
  </si>
  <si>
    <t>フェリー代他</t>
  </si>
  <si>
    <t>還付金</t>
  </si>
  <si>
    <t>高速代計</t>
  </si>
  <si>
    <t>人件費</t>
  </si>
  <si>
    <t>給与</t>
  </si>
  <si>
    <t>賞与</t>
  </si>
  <si>
    <t>無事故</t>
  </si>
  <si>
    <t>法定福利</t>
  </si>
  <si>
    <t>退職金</t>
  </si>
  <si>
    <t>人件費計</t>
  </si>
  <si>
    <t>諸経費</t>
  </si>
  <si>
    <t>地代・家賃</t>
  </si>
  <si>
    <t>携帯通信費</t>
  </si>
  <si>
    <t>外注費</t>
  </si>
  <si>
    <t>事故費</t>
  </si>
  <si>
    <t>営業所人件費</t>
  </si>
  <si>
    <t>営業所管理費</t>
  </si>
  <si>
    <t>諸経費計</t>
  </si>
  <si>
    <t>輸送原価計</t>
  </si>
  <si>
    <t>営業所損益</t>
    <phoneticPr fontId="3"/>
  </si>
  <si>
    <t>本社人件費</t>
    <phoneticPr fontId="3"/>
  </si>
  <si>
    <t>本社管理費</t>
    <phoneticPr fontId="3"/>
  </si>
  <si>
    <t>損益</t>
    <phoneticPr fontId="3"/>
  </si>
  <si>
    <t>本社</t>
  </si>
  <si>
    <t>地代・家賃1</t>
  </si>
  <si>
    <t>営業所人件費1</t>
  </si>
  <si>
    <t>営業所管理費1</t>
  </si>
  <si>
    <t>本社人件費</t>
  </si>
  <si>
    <t>本社管理費</t>
  </si>
  <si>
    <t>金額</t>
  </si>
  <si>
    <t>台数</t>
  </si>
  <si>
    <t>地代・家賃2</t>
    <phoneticPr fontId="3"/>
  </si>
  <si>
    <t>営業所人件費2</t>
    <phoneticPr fontId="3"/>
  </si>
  <si>
    <t>営業所管理費2</t>
    <phoneticPr fontId="3"/>
  </si>
  <si>
    <t>古殿営業所</t>
  </si>
  <si>
    <t>地代・家賃3</t>
    <phoneticPr fontId="3"/>
  </si>
  <si>
    <t>営業所人件費3</t>
    <phoneticPr fontId="3"/>
  </si>
  <si>
    <t>営業所管理費3</t>
    <phoneticPr fontId="3"/>
  </si>
  <si>
    <t>会津営業所</t>
  </si>
  <si>
    <t>地代・家賃4</t>
    <phoneticPr fontId="3"/>
  </si>
  <si>
    <t>営業所人件費4</t>
    <phoneticPr fontId="3"/>
  </si>
  <si>
    <t>営業所管理費4</t>
    <phoneticPr fontId="3"/>
  </si>
  <si>
    <t>原町営業所</t>
  </si>
  <si>
    <t>地代・家賃5</t>
    <phoneticPr fontId="3"/>
  </si>
  <si>
    <t>営業所人件費5</t>
    <phoneticPr fontId="3"/>
  </si>
  <si>
    <t>営業所管理費5</t>
    <phoneticPr fontId="3"/>
  </si>
  <si>
    <t>地代・家賃6</t>
    <phoneticPr fontId="3"/>
  </si>
  <si>
    <t>営業所人件費6</t>
    <phoneticPr fontId="3"/>
  </si>
  <si>
    <t>営業所管理費6</t>
    <phoneticPr fontId="3"/>
  </si>
  <si>
    <t>地代・家賃7</t>
    <phoneticPr fontId="3"/>
  </si>
  <si>
    <t>営業所人件費7</t>
    <phoneticPr fontId="3"/>
  </si>
  <si>
    <t>営業所管理費7</t>
    <phoneticPr fontId="3"/>
  </si>
  <si>
    <t>地代・家賃8</t>
    <phoneticPr fontId="3"/>
  </si>
  <si>
    <t>営業所人件費8</t>
    <phoneticPr fontId="3"/>
  </si>
  <si>
    <t>営業所管理費8</t>
    <phoneticPr fontId="3"/>
  </si>
  <si>
    <t>還付金％</t>
  </si>
  <si>
    <t>米山</t>
    <rPh sb="0" eb="2">
      <t>ヨネヤマ</t>
    </rPh>
    <phoneticPr fontId="3"/>
  </si>
  <si>
    <t>本間</t>
    <rPh sb="0" eb="2">
      <t>ホンマ</t>
    </rPh>
    <phoneticPr fontId="3"/>
  </si>
  <si>
    <t>土屋</t>
    <rPh sb="0" eb="2">
      <t>ツチヤ</t>
    </rPh>
    <phoneticPr fontId="3"/>
  </si>
  <si>
    <t>金子</t>
    <rPh sb="0" eb="2">
      <t>カネコ</t>
    </rPh>
    <phoneticPr fontId="3"/>
  </si>
  <si>
    <t>銅谷</t>
    <rPh sb="0" eb="1">
      <t>ドウ</t>
    </rPh>
    <rPh sb="1" eb="2">
      <t>タニ</t>
    </rPh>
    <phoneticPr fontId="3"/>
  </si>
  <si>
    <t>宮腰</t>
    <rPh sb="0" eb="2">
      <t>ミヤコシ</t>
    </rPh>
    <phoneticPr fontId="3"/>
  </si>
  <si>
    <t>雲藤・松本</t>
    <rPh sb="0" eb="1">
      <t>クモ</t>
    </rPh>
    <rPh sb="1" eb="2">
      <t>フジ</t>
    </rPh>
    <rPh sb="3" eb="5">
      <t>マツモト</t>
    </rPh>
    <phoneticPr fontId="3"/>
  </si>
  <si>
    <t>齋藤(健)・雲藤</t>
    <rPh sb="0" eb="2">
      <t>サイトウ</t>
    </rPh>
    <rPh sb="3" eb="4">
      <t>ケン</t>
    </rPh>
    <rPh sb="6" eb="7">
      <t>クモ</t>
    </rPh>
    <rPh sb="7" eb="8">
      <t>フジ</t>
    </rPh>
    <phoneticPr fontId="3"/>
  </si>
  <si>
    <t>味戸・渡邊(晃)</t>
    <rPh sb="0" eb="2">
      <t>アジト</t>
    </rPh>
    <rPh sb="3" eb="5">
      <t>ワタナベ</t>
    </rPh>
    <rPh sb="6" eb="7">
      <t>アキラ</t>
    </rPh>
    <phoneticPr fontId="3"/>
  </si>
  <si>
    <t>鈴木(富)・小沼</t>
    <rPh sb="0" eb="2">
      <t>スズキ</t>
    </rPh>
    <rPh sb="3" eb="4">
      <t>トミ</t>
    </rPh>
    <rPh sb="6" eb="8">
      <t>コヌマ</t>
    </rPh>
    <phoneticPr fontId="3"/>
  </si>
  <si>
    <t>山口・小林</t>
    <rPh sb="0" eb="2">
      <t>ヤマグチ</t>
    </rPh>
    <rPh sb="3" eb="5">
      <t>コバヤシ</t>
    </rPh>
    <phoneticPr fontId="3"/>
  </si>
  <si>
    <t>荒木</t>
    <rPh sb="0" eb="2">
      <t>アラキ</t>
    </rPh>
    <phoneticPr fontId="3"/>
  </si>
  <si>
    <t>菊地</t>
    <rPh sb="0" eb="2">
      <t>キクチ</t>
    </rPh>
    <phoneticPr fontId="3"/>
  </si>
  <si>
    <t>吉田・松本</t>
    <rPh sb="0" eb="2">
      <t>ヨシダ</t>
    </rPh>
    <rPh sb="3" eb="5">
      <t>マツモト</t>
    </rPh>
    <phoneticPr fontId="3"/>
  </si>
  <si>
    <t>大平・菊地</t>
    <rPh sb="0" eb="2">
      <t>オオヒラ</t>
    </rPh>
    <rPh sb="3" eb="5">
      <t>キクチ</t>
    </rPh>
    <phoneticPr fontId="3"/>
  </si>
  <si>
    <t>小林他3名</t>
    <rPh sb="0" eb="2">
      <t>コバヤシ</t>
    </rPh>
    <rPh sb="2" eb="3">
      <t>タ</t>
    </rPh>
    <rPh sb="4" eb="5">
      <t>メイ</t>
    </rPh>
    <phoneticPr fontId="3"/>
  </si>
  <si>
    <t>鵜沼他3名</t>
    <rPh sb="0" eb="2">
      <t>ウヌマ</t>
    </rPh>
    <rPh sb="2" eb="3">
      <t>タ</t>
    </rPh>
    <rPh sb="4" eb="5">
      <t>メイ</t>
    </rPh>
    <phoneticPr fontId="3"/>
  </si>
  <si>
    <t>渡邉(新)他4名</t>
    <rPh sb="0" eb="2">
      <t>ワタナベ</t>
    </rPh>
    <rPh sb="3" eb="4">
      <t>シン</t>
    </rPh>
    <rPh sb="5" eb="6">
      <t>タ</t>
    </rPh>
    <rPh sb="7" eb="8">
      <t>メイ</t>
    </rPh>
    <phoneticPr fontId="3"/>
  </si>
  <si>
    <t>渡邊(浩)他4名</t>
    <rPh sb="0" eb="2">
      <t>ワタナベ</t>
    </rPh>
    <rPh sb="3" eb="4">
      <t>ヒロシ</t>
    </rPh>
    <rPh sb="5" eb="6">
      <t>タ</t>
    </rPh>
    <rPh sb="7" eb="8">
      <t>メイ</t>
    </rPh>
    <phoneticPr fontId="3"/>
  </si>
  <si>
    <t>鈴木(浩)他5名</t>
    <rPh sb="0" eb="2">
      <t>スズキ</t>
    </rPh>
    <rPh sb="3" eb="4">
      <t>ヒロシ</t>
    </rPh>
    <rPh sb="5" eb="6">
      <t>タ</t>
    </rPh>
    <rPh sb="7" eb="8">
      <t>メイ</t>
    </rPh>
    <phoneticPr fontId="3"/>
  </si>
  <si>
    <t>齋藤(秀)</t>
    <rPh sb="0" eb="2">
      <t>サイトウ</t>
    </rPh>
    <rPh sb="3" eb="4">
      <t>ヒデ</t>
    </rPh>
    <phoneticPr fontId="3"/>
  </si>
  <si>
    <t>小沼他2名</t>
    <rPh sb="0" eb="2">
      <t>コヌマ</t>
    </rPh>
    <rPh sb="2" eb="3">
      <t>タ</t>
    </rPh>
    <rPh sb="4" eb="5">
      <t>メイ</t>
    </rPh>
    <phoneticPr fontId="3"/>
  </si>
  <si>
    <t>高橋(英)・井上</t>
    <rPh sb="0" eb="2">
      <t>タカハシ</t>
    </rPh>
    <rPh sb="3" eb="4">
      <t>エイ</t>
    </rPh>
    <rPh sb="6" eb="8">
      <t>イノウエ</t>
    </rPh>
    <phoneticPr fontId="3"/>
  </si>
  <si>
    <t>高橋(徹)・井上</t>
    <rPh sb="0" eb="2">
      <t>タカハシ</t>
    </rPh>
    <rPh sb="3" eb="4">
      <t>テツ</t>
    </rPh>
    <rPh sb="6" eb="8">
      <t>イノウエ</t>
    </rPh>
    <phoneticPr fontId="3"/>
  </si>
  <si>
    <t>井上・土谷</t>
    <rPh sb="0" eb="2">
      <t>イノウエ</t>
    </rPh>
    <rPh sb="3" eb="5">
      <t>ツチヤ</t>
    </rPh>
    <phoneticPr fontId="3"/>
  </si>
  <si>
    <t>小田島・佐藤(守)</t>
    <rPh sb="0" eb="3">
      <t>オダジマ</t>
    </rPh>
    <rPh sb="4" eb="6">
      <t>サトウ</t>
    </rPh>
    <rPh sb="7" eb="8">
      <t>マモ</t>
    </rPh>
    <phoneticPr fontId="3"/>
  </si>
  <si>
    <t>高橋（徹）他6名</t>
    <rPh sb="0" eb="2">
      <t>タカハシ</t>
    </rPh>
    <rPh sb="3" eb="4">
      <t>テツ</t>
    </rPh>
    <rPh sb="5" eb="6">
      <t>タ</t>
    </rPh>
    <rPh sb="7" eb="8">
      <t>メイ</t>
    </rPh>
    <phoneticPr fontId="3"/>
  </si>
  <si>
    <t>土谷他5名</t>
    <rPh sb="0" eb="2">
      <t>ツチヤ</t>
    </rPh>
    <rPh sb="2" eb="3">
      <t>タ</t>
    </rPh>
    <rPh sb="4" eb="5">
      <t>メイ</t>
    </rPh>
    <phoneticPr fontId="3"/>
  </si>
  <si>
    <t>佐藤(守)他4名</t>
    <rPh sb="0" eb="2">
      <t>サトウ</t>
    </rPh>
    <rPh sb="3" eb="4">
      <t>マモル</t>
    </rPh>
    <rPh sb="5" eb="6">
      <t>タ</t>
    </rPh>
    <rPh sb="7" eb="8">
      <t>メイ</t>
    </rPh>
    <phoneticPr fontId="3"/>
  </si>
  <si>
    <t>吉田・伊藤(正)</t>
    <rPh sb="0" eb="2">
      <t>ヨシダ</t>
    </rPh>
    <rPh sb="3" eb="5">
      <t>イトウ</t>
    </rPh>
    <rPh sb="6" eb="7">
      <t>マサ</t>
    </rPh>
    <phoneticPr fontId="3"/>
  </si>
  <si>
    <t>伊藤(正)・吉田</t>
    <rPh sb="0" eb="2">
      <t>イトウ</t>
    </rPh>
    <rPh sb="3" eb="4">
      <t>マサ</t>
    </rPh>
    <rPh sb="6" eb="8">
      <t>ヨシダ</t>
    </rPh>
    <phoneticPr fontId="3"/>
  </si>
  <si>
    <t>伊藤(憲)他2名</t>
    <rPh sb="0" eb="2">
      <t>イトウ</t>
    </rPh>
    <rPh sb="3" eb="4">
      <t>ノリ</t>
    </rPh>
    <rPh sb="5" eb="6">
      <t>タ</t>
    </rPh>
    <rPh sb="7" eb="8">
      <t>メイ</t>
    </rPh>
    <phoneticPr fontId="3"/>
  </si>
  <si>
    <t>菅原他2名</t>
    <rPh sb="0" eb="2">
      <t>スガワラ</t>
    </rPh>
    <rPh sb="2" eb="3">
      <t>タ</t>
    </rPh>
    <rPh sb="4" eb="5">
      <t>メイ</t>
    </rPh>
    <phoneticPr fontId="3"/>
  </si>
  <si>
    <t>伊藤(憲)他3名</t>
    <rPh sb="0" eb="2">
      <t>イトウ</t>
    </rPh>
    <rPh sb="3" eb="4">
      <t>ノリ</t>
    </rPh>
    <rPh sb="5" eb="6">
      <t>タ</t>
    </rPh>
    <rPh sb="7" eb="8">
      <t>メイ</t>
    </rPh>
    <phoneticPr fontId="3"/>
  </si>
  <si>
    <t>松井</t>
    <rPh sb="0" eb="2">
      <t>マツイ</t>
    </rPh>
    <phoneticPr fontId="3"/>
  </si>
  <si>
    <t>櫻木他2他</t>
    <rPh sb="0" eb="2">
      <t>サクラギ</t>
    </rPh>
    <rPh sb="2" eb="3">
      <t>タ</t>
    </rPh>
    <rPh sb="4" eb="5">
      <t>タ</t>
    </rPh>
    <phoneticPr fontId="3"/>
  </si>
  <si>
    <t>櫻木他2名</t>
    <rPh sb="0" eb="2">
      <t>サクラギ</t>
    </rPh>
    <rPh sb="2" eb="3">
      <t>タ</t>
    </rPh>
    <rPh sb="4" eb="5">
      <t>メイ</t>
    </rPh>
    <phoneticPr fontId="3"/>
  </si>
  <si>
    <t>河村他2名</t>
    <rPh sb="0" eb="2">
      <t>カワムラ</t>
    </rPh>
    <rPh sb="2" eb="3">
      <t>タ</t>
    </rPh>
    <rPh sb="4" eb="5">
      <t>メイ</t>
    </rPh>
    <phoneticPr fontId="3"/>
  </si>
  <si>
    <t>米澤・松井</t>
    <rPh sb="0" eb="2">
      <t>ヨネザワ</t>
    </rPh>
    <rPh sb="3" eb="5">
      <t>マツイ</t>
    </rPh>
    <phoneticPr fontId="3"/>
  </si>
  <si>
    <t>米澤他2名</t>
    <rPh sb="0" eb="2">
      <t>ヨネザワ</t>
    </rPh>
    <rPh sb="2" eb="3">
      <t>タ</t>
    </rPh>
    <rPh sb="4" eb="5">
      <t>メイ</t>
    </rPh>
    <phoneticPr fontId="3"/>
  </si>
  <si>
    <t>平成24年8月</t>
    <rPh sb="0" eb="2">
      <t>ヘイセイ</t>
    </rPh>
    <rPh sb="4" eb="5">
      <t>ネン</t>
    </rPh>
    <rPh sb="6" eb="7">
      <t>ガツ</t>
    </rPh>
    <phoneticPr fontId="3"/>
  </si>
  <si>
    <t>平成24年11月</t>
    <rPh sb="0" eb="2">
      <t>ヘイセイ</t>
    </rPh>
    <rPh sb="4" eb="5">
      <t>ネン</t>
    </rPh>
    <rPh sb="7" eb="8">
      <t>ガツ</t>
    </rPh>
    <phoneticPr fontId="3"/>
  </si>
  <si>
    <t>令和元年7月</t>
    <rPh sb="0" eb="2">
      <t>レイワ</t>
    </rPh>
    <rPh sb="2" eb="4">
      <t>ガンネン</t>
    </rPh>
    <rPh sb="5" eb="6">
      <t>ガツ</t>
    </rPh>
    <phoneticPr fontId="3"/>
  </si>
  <si>
    <t>令和4年4月</t>
    <rPh sb="0" eb="2">
      <t>レイワ</t>
    </rPh>
    <rPh sb="3" eb="4">
      <t>ネン</t>
    </rPh>
    <rPh sb="5" eb="6">
      <t>ガツ</t>
    </rPh>
    <phoneticPr fontId="3"/>
  </si>
  <si>
    <t>平成28年8月</t>
    <rPh sb="0" eb="2">
      <t>ヘイセイ</t>
    </rPh>
    <rPh sb="4" eb="5">
      <t>ネン</t>
    </rPh>
    <rPh sb="6" eb="7">
      <t>ガツ</t>
    </rPh>
    <phoneticPr fontId="3"/>
  </si>
  <si>
    <t>平成25年1月</t>
    <rPh sb="0" eb="2">
      <t>ヘイセイ</t>
    </rPh>
    <rPh sb="4" eb="5">
      <t>ネン</t>
    </rPh>
    <rPh sb="6" eb="7">
      <t>ガツ</t>
    </rPh>
    <phoneticPr fontId="3"/>
  </si>
  <si>
    <t>平成30年8月</t>
    <rPh sb="0" eb="2">
      <t>ヘイセイ</t>
    </rPh>
    <rPh sb="4" eb="5">
      <t>ネン</t>
    </rPh>
    <rPh sb="6" eb="7">
      <t>ガツ</t>
    </rPh>
    <phoneticPr fontId="3"/>
  </si>
  <si>
    <t>平成18年3月</t>
    <rPh sb="0" eb="2">
      <t>ヘイセイ</t>
    </rPh>
    <rPh sb="4" eb="5">
      <t>ネン</t>
    </rPh>
    <rPh sb="6" eb="7">
      <t>ガツ</t>
    </rPh>
    <phoneticPr fontId="3"/>
  </si>
  <si>
    <t>平成20年2月</t>
    <rPh sb="0" eb="2">
      <t>ヘイセイ</t>
    </rPh>
    <rPh sb="4" eb="5">
      <t>ネン</t>
    </rPh>
    <rPh sb="6" eb="7">
      <t>ガツ</t>
    </rPh>
    <phoneticPr fontId="3"/>
  </si>
  <si>
    <t>平成14年11月</t>
    <rPh sb="0" eb="2">
      <t>ヘイセイ</t>
    </rPh>
    <rPh sb="4" eb="5">
      <t>ネン</t>
    </rPh>
    <rPh sb="7" eb="8">
      <t>ガツ</t>
    </rPh>
    <phoneticPr fontId="3"/>
  </si>
  <si>
    <t>平成22年8月</t>
    <rPh sb="0" eb="2">
      <t>ヘイセイ</t>
    </rPh>
    <rPh sb="4" eb="5">
      <t>ネン</t>
    </rPh>
    <rPh sb="6" eb="7">
      <t>ガツ</t>
    </rPh>
    <phoneticPr fontId="3"/>
  </si>
  <si>
    <t>平成31年10月</t>
    <rPh sb="0" eb="2">
      <t>ヘイセイ</t>
    </rPh>
    <rPh sb="4" eb="5">
      <t>ネン</t>
    </rPh>
    <rPh sb="7" eb="8">
      <t>ガツ</t>
    </rPh>
    <phoneticPr fontId="3"/>
  </si>
  <si>
    <t>平成13年6月</t>
    <rPh sb="0" eb="2">
      <t>ヘイセイ</t>
    </rPh>
    <rPh sb="4" eb="5">
      <t>ネン</t>
    </rPh>
    <rPh sb="6" eb="7">
      <t>ガツ</t>
    </rPh>
    <phoneticPr fontId="3"/>
  </si>
  <si>
    <t>平成20年6月</t>
    <rPh sb="0" eb="2">
      <t>ヘイセイ</t>
    </rPh>
    <rPh sb="4" eb="5">
      <t>ネン</t>
    </rPh>
    <rPh sb="6" eb="7">
      <t>ガツ</t>
    </rPh>
    <phoneticPr fontId="3"/>
  </si>
  <si>
    <t>平成28年9月</t>
    <rPh sb="0" eb="2">
      <t>ヘイセイ</t>
    </rPh>
    <rPh sb="4" eb="5">
      <t>ネン</t>
    </rPh>
    <rPh sb="6" eb="7">
      <t>ガツ</t>
    </rPh>
    <phoneticPr fontId="3"/>
  </si>
  <si>
    <t>平成30年6月</t>
    <rPh sb="0" eb="2">
      <t>ヘイセイ</t>
    </rPh>
    <rPh sb="4" eb="5">
      <t>ネン</t>
    </rPh>
    <rPh sb="6" eb="7">
      <t>ガツ</t>
    </rPh>
    <phoneticPr fontId="3"/>
  </si>
  <si>
    <t>平成25年6月</t>
    <rPh sb="0" eb="2">
      <t>ヘイセイ</t>
    </rPh>
    <rPh sb="4" eb="5">
      <t>ネン</t>
    </rPh>
    <rPh sb="6" eb="7">
      <t>ガツ</t>
    </rPh>
    <phoneticPr fontId="3"/>
  </si>
  <si>
    <t>令和3年6月</t>
    <rPh sb="0" eb="2">
      <t>レイワ</t>
    </rPh>
    <rPh sb="3" eb="4">
      <t>ネン</t>
    </rPh>
    <rPh sb="5" eb="6">
      <t>ガツ</t>
    </rPh>
    <phoneticPr fontId="3"/>
  </si>
  <si>
    <t>平成30年10月</t>
    <rPh sb="0" eb="2">
      <t>ヘイセイ</t>
    </rPh>
    <rPh sb="4" eb="5">
      <t>ネン</t>
    </rPh>
    <rPh sb="7" eb="8">
      <t>ガツ</t>
    </rPh>
    <phoneticPr fontId="3"/>
  </si>
  <si>
    <t>令和元年5月</t>
    <rPh sb="0" eb="2">
      <t>レイワ</t>
    </rPh>
    <rPh sb="2" eb="4">
      <t>ガンネン</t>
    </rPh>
    <rPh sb="5" eb="6">
      <t>ガツ</t>
    </rPh>
    <phoneticPr fontId="3"/>
  </si>
  <si>
    <t>平成31年3月</t>
    <rPh sb="0" eb="2">
      <t>ヘイセイ</t>
    </rPh>
    <rPh sb="4" eb="5">
      <t>ネン</t>
    </rPh>
    <rPh sb="6" eb="7">
      <t>ガツ</t>
    </rPh>
    <phoneticPr fontId="3"/>
  </si>
  <si>
    <t>平成24年7月</t>
    <rPh sb="0" eb="2">
      <t>ヘイセイ</t>
    </rPh>
    <rPh sb="4" eb="5">
      <t>ネン</t>
    </rPh>
    <rPh sb="6" eb="7">
      <t>ガツ</t>
    </rPh>
    <phoneticPr fontId="3"/>
  </si>
  <si>
    <t>平成30年3月</t>
    <rPh sb="0" eb="2">
      <t>ヘイセイ</t>
    </rPh>
    <rPh sb="4" eb="5">
      <t>ネン</t>
    </rPh>
    <rPh sb="6" eb="7">
      <t>ガツ</t>
    </rPh>
    <phoneticPr fontId="3"/>
  </si>
  <si>
    <t>平成29年9月</t>
    <rPh sb="0" eb="2">
      <t>ヘイセイ</t>
    </rPh>
    <rPh sb="4" eb="5">
      <t>ネン</t>
    </rPh>
    <rPh sb="6" eb="7">
      <t>ガツ</t>
    </rPh>
    <phoneticPr fontId="3"/>
  </si>
  <si>
    <t>令和5年8月</t>
    <rPh sb="0" eb="2">
      <t>レイワ</t>
    </rPh>
    <rPh sb="3" eb="4">
      <t>ネン</t>
    </rPh>
    <rPh sb="5" eb="6">
      <t>ガツ</t>
    </rPh>
    <phoneticPr fontId="3"/>
  </si>
  <si>
    <t>平成28年3月</t>
    <rPh sb="0" eb="2">
      <t>ヘイセイ</t>
    </rPh>
    <rPh sb="4" eb="5">
      <t>ネン</t>
    </rPh>
    <rPh sb="6" eb="7">
      <t>ガツ</t>
    </rPh>
    <phoneticPr fontId="3"/>
  </si>
  <si>
    <t>平成27年6月</t>
    <rPh sb="0" eb="2">
      <t>ヘイセイ</t>
    </rPh>
    <rPh sb="4" eb="5">
      <t>ネン</t>
    </rPh>
    <rPh sb="6" eb="7">
      <t>ガツ</t>
    </rPh>
    <phoneticPr fontId="3"/>
  </si>
  <si>
    <t>平成24年2月</t>
    <rPh sb="0" eb="2">
      <t>ヘイセイ</t>
    </rPh>
    <rPh sb="4" eb="5">
      <t>ネン</t>
    </rPh>
    <rPh sb="6" eb="7">
      <t>ガツ</t>
    </rPh>
    <phoneticPr fontId="3"/>
  </si>
  <si>
    <t>平成24年12月</t>
    <rPh sb="0" eb="2">
      <t>ヘイセイ</t>
    </rPh>
    <rPh sb="4" eb="5">
      <t>ネン</t>
    </rPh>
    <rPh sb="7" eb="8">
      <t>ガツ</t>
    </rPh>
    <phoneticPr fontId="3"/>
  </si>
  <si>
    <t>平成17年7月</t>
    <rPh sb="0" eb="2">
      <t>ヘイセイ</t>
    </rPh>
    <rPh sb="4" eb="5">
      <t>ネン</t>
    </rPh>
    <rPh sb="6" eb="7">
      <t>ガツ</t>
    </rPh>
    <phoneticPr fontId="3"/>
  </si>
  <si>
    <t>平成29年11月</t>
    <rPh sb="0" eb="2">
      <t>ヘイセイ</t>
    </rPh>
    <rPh sb="4" eb="5">
      <t>ネン</t>
    </rPh>
    <rPh sb="7" eb="8">
      <t>ガツ</t>
    </rPh>
    <phoneticPr fontId="3"/>
  </si>
  <si>
    <t>平成20年5月</t>
    <rPh sb="0" eb="2">
      <t>ヘイセイ</t>
    </rPh>
    <rPh sb="4" eb="5">
      <t>ネン</t>
    </rPh>
    <rPh sb="6" eb="7">
      <t>ガツ</t>
    </rPh>
    <phoneticPr fontId="3"/>
  </si>
  <si>
    <t>平成26年12月</t>
    <rPh sb="0" eb="2">
      <t>ヘイセイ</t>
    </rPh>
    <rPh sb="4" eb="5">
      <t>ネン</t>
    </rPh>
    <rPh sb="7" eb="8">
      <t>ガツ</t>
    </rPh>
    <phoneticPr fontId="3"/>
  </si>
  <si>
    <t>平成30年9月</t>
    <rPh sb="0" eb="2">
      <t>ヘイセイ</t>
    </rPh>
    <rPh sb="4" eb="5">
      <t>ネン</t>
    </rPh>
    <rPh sb="6" eb="7">
      <t>ガツ</t>
    </rPh>
    <phoneticPr fontId="3"/>
  </si>
  <si>
    <t>平成20年9月</t>
    <rPh sb="0" eb="2">
      <t>ヘイセイ</t>
    </rPh>
    <rPh sb="4" eb="5">
      <t>ネン</t>
    </rPh>
    <rPh sb="6" eb="7">
      <t>ガツ</t>
    </rPh>
    <phoneticPr fontId="3"/>
  </si>
  <si>
    <t>令和3年1月</t>
    <rPh sb="0" eb="2">
      <t>レイワ</t>
    </rPh>
    <rPh sb="3" eb="4">
      <t>ネン</t>
    </rPh>
    <rPh sb="5" eb="6">
      <t>ツキ</t>
    </rPh>
    <phoneticPr fontId="3"/>
  </si>
  <si>
    <t>令和3年6月</t>
    <rPh sb="0" eb="2">
      <t>レイワ</t>
    </rPh>
    <rPh sb="3" eb="4">
      <t>ネン</t>
    </rPh>
    <rPh sb="5" eb="6">
      <t>ツキ</t>
    </rPh>
    <phoneticPr fontId="3"/>
  </si>
  <si>
    <t>令和3年9月</t>
    <rPh sb="0" eb="2">
      <t>レイワ</t>
    </rPh>
    <rPh sb="3" eb="4">
      <t>ネン</t>
    </rPh>
    <rPh sb="5" eb="6">
      <t>ツキ</t>
    </rPh>
    <phoneticPr fontId="3"/>
  </si>
  <si>
    <t>令和5年2月</t>
    <rPh sb="0" eb="2">
      <t>レイワ</t>
    </rPh>
    <rPh sb="3" eb="4">
      <t>ネン</t>
    </rPh>
    <rPh sb="5" eb="6">
      <t>ツキ</t>
    </rPh>
    <phoneticPr fontId="3"/>
  </si>
  <si>
    <t>384-4247</t>
    <phoneticPr fontId="3"/>
  </si>
  <si>
    <t>1137-7394</t>
    <phoneticPr fontId="3"/>
  </si>
  <si>
    <t>1825-6070</t>
    <phoneticPr fontId="3"/>
  </si>
  <si>
    <t>1862-5846</t>
    <phoneticPr fontId="3"/>
  </si>
  <si>
    <t>282-2223</t>
    <phoneticPr fontId="3"/>
  </si>
  <si>
    <t>4108-845</t>
    <phoneticPr fontId="3"/>
  </si>
  <si>
    <t>保障額</t>
    <rPh sb="0" eb="2">
      <t>ホショウ</t>
    </rPh>
    <rPh sb="2" eb="3">
      <t>ガク</t>
    </rPh>
    <phoneticPr fontId="3"/>
  </si>
  <si>
    <t>時間単価</t>
    <rPh sb="0" eb="2">
      <t>ジカン</t>
    </rPh>
    <rPh sb="2" eb="4">
      <t>タンカ</t>
    </rPh>
    <phoneticPr fontId="3"/>
  </si>
  <si>
    <t>稼働時間</t>
    <rPh sb="0" eb="2">
      <t>カドウ</t>
    </rPh>
    <rPh sb="2" eb="4">
      <t>ジカン</t>
    </rPh>
    <phoneticPr fontId="3"/>
  </si>
  <si>
    <t>東京営業所</t>
    <phoneticPr fontId="3"/>
  </si>
  <si>
    <t>東北部門</t>
    <rPh sb="0" eb="4">
      <t>トウホクブモン</t>
    </rPh>
    <phoneticPr fontId="3"/>
  </si>
  <si>
    <t>小名浜営業所</t>
    <phoneticPr fontId="3"/>
  </si>
  <si>
    <t>仙台営業所</t>
    <phoneticPr fontId="3"/>
  </si>
  <si>
    <t>川崎営業所</t>
    <phoneticPr fontId="3"/>
  </si>
  <si>
    <t>九州営業所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</si>
</sst>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 ;[Red]\-#,##0\ "/>
    <numFmt numFmtId="177" formatCode="#,##0.00_ ;[Red]\-#,##0.00\ "/>
  </numFmts>
  <fonts count="6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b/>
      <sz val="11"/>
      <name val="ＭＳ Ｐ明朝"/>
      <family val="1"/>
      <charset val="128"/>
    </font>
    <font>
      <sz val="14"/>
      <name val="ＭＳ Ｐ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55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9" fontId="2" fillId="0" borderId="1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9" fontId="2" fillId="2" borderId="1" xfId="0" applyNumberFormat="1" applyFont="1" applyFill="1" applyBorder="1"/>
    <xf numFmtId="0" fontId="2" fillId="0" borderId="1" xfId="0" applyFont="1" applyBorder="1"/>
    <xf numFmtId="0" fontId="2" fillId="0" borderId="2" xfId="0" applyFont="1" applyBorder="1"/>
    <xf numFmtId="9" fontId="2" fillId="0" borderId="1" xfId="0" applyNumberFormat="1" applyFont="1" applyBorder="1"/>
    <xf numFmtId="176" fontId="2" fillId="0" borderId="1" xfId="1" applyNumberFormat="1" applyFont="1" applyBorder="1"/>
    <xf numFmtId="176" fontId="2" fillId="0" borderId="2" xfId="1" applyNumberFormat="1" applyFont="1" applyBorder="1"/>
    <xf numFmtId="176" fontId="2" fillId="0" borderId="2" xfId="0" applyNumberFormat="1" applyFont="1" applyBorder="1"/>
    <xf numFmtId="0" fontId="4" fillId="3" borderId="1" xfId="0" applyFont="1" applyFill="1" applyBorder="1"/>
    <xf numFmtId="176" fontId="4" fillId="3" borderId="1" xfId="1" applyNumberFormat="1" applyFont="1" applyFill="1" applyBorder="1"/>
    <xf numFmtId="176" fontId="4" fillId="3" borderId="2" xfId="1" applyNumberFormat="1" applyFont="1" applyFill="1" applyBorder="1"/>
    <xf numFmtId="176" fontId="4" fillId="3" borderId="2" xfId="0" applyNumberFormat="1" applyFont="1" applyFill="1" applyBorder="1"/>
    <xf numFmtId="9" fontId="4" fillId="3" borderId="1" xfId="0" applyNumberFormat="1" applyFont="1" applyFill="1" applyBorder="1"/>
    <xf numFmtId="176" fontId="2" fillId="2" borderId="1" xfId="1" applyNumberFormat="1" applyFont="1" applyFill="1" applyBorder="1"/>
    <xf numFmtId="176" fontId="2" fillId="2" borderId="2" xfId="1" applyNumberFormat="1" applyFont="1" applyFill="1" applyBorder="1"/>
    <xf numFmtId="176" fontId="2" fillId="2" borderId="2" xfId="0" applyNumberFormat="1" applyFont="1" applyFill="1" applyBorder="1"/>
    <xf numFmtId="177" fontId="2" fillId="0" borderId="1" xfId="0" applyNumberFormat="1" applyFont="1" applyBorder="1"/>
    <xf numFmtId="177" fontId="2" fillId="0" borderId="1" xfId="1" applyNumberFormat="1" applyFont="1" applyBorder="1"/>
    <xf numFmtId="177" fontId="2" fillId="0" borderId="2" xfId="1" applyNumberFormat="1" applyFont="1" applyBorder="1"/>
    <xf numFmtId="177" fontId="2" fillId="0" borderId="2" xfId="0" applyNumberFormat="1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3" xfId="0" applyFont="1" applyBorder="1" applyAlignment="1">
      <alignment horizontal="center"/>
    </xf>
    <xf numFmtId="0" fontId="2" fillId="0" borderId="3" xfId="0" applyFont="1" applyBorder="1"/>
    <xf numFmtId="0" fontId="2" fillId="0" borderId="6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6" xfId="0" applyFont="1" applyBorder="1"/>
    <xf numFmtId="0" fontId="2" fillId="2" borderId="1" xfId="0" applyFont="1" applyFill="1" applyBorder="1" applyAlignment="1">
      <alignment horizontal="center"/>
    </xf>
    <xf numFmtId="55" fontId="2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1" xfId="0" applyFont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2" borderId="1" xfId="0" applyFont="1" applyFill="1" applyBorder="1" applyAlignment="1">
      <alignment horizontal="center" shrinkToFit="1"/>
    </xf>
    <xf numFmtId="0" fontId="2" fillId="2" borderId="2" xfId="0" applyFont="1" applyFill="1" applyBorder="1" applyAlignment="1">
      <alignment horizontal="center" shrinkToFit="1"/>
    </xf>
    <xf numFmtId="0" fontId="2" fillId="2" borderId="1" xfId="0" applyFont="1" applyFill="1" applyBorder="1" applyAlignment="1">
      <alignment shrinkToFit="1"/>
    </xf>
    <xf numFmtId="0" fontId="2" fillId="2" borderId="2" xfId="0" applyFont="1" applyFill="1" applyBorder="1" applyAlignment="1">
      <alignment shrinkToFit="1"/>
    </xf>
    <xf numFmtId="0" fontId="2" fillId="0" borderId="1" xfId="0" applyFont="1" applyBorder="1" applyAlignment="1">
      <alignment horizontal="center" shrinkToFit="1"/>
    </xf>
    <xf numFmtId="0" fontId="2" fillId="0" borderId="1" xfId="0" applyFont="1" applyBorder="1" applyAlignment="1">
      <alignment shrinkToFit="1"/>
    </xf>
    <xf numFmtId="0" fontId="2" fillId="0" borderId="2" xfId="0" applyFont="1" applyBorder="1" applyAlignment="1">
      <alignment shrinkToFit="1"/>
    </xf>
    <xf numFmtId="0" fontId="2" fillId="0" borderId="3" xfId="0" applyFont="1" applyBorder="1" applyAlignment="1">
      <alignment horizontal="center"/>
    </xf>
    <xf numFmtId="46" fontId="2" fillId="0" borderId="1" xfId="1" applyNumberFormat="1" applyFont="1" applyBorder="1"/>
    <xf numFmtId="46" fontId="2" fillId="0" borderId="2" xfId="1" applyNumberFormat="1" applyFont="1" applyBorder="1"/>
    <xf numFmtId="0" fontId="5" fillId="0" borderId="0" xfId="0" applyFont="1"/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2</xdr:row>
          <xdr:rowOff>28575</xdr:rowOff>
        </xdr:from>
        <xdr:to>
          <xdr:col>1</xdr:col>
          <xdr:colOff>485775</xdr:colOff>
          <xdr:row>6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2</xdr:row>
          <xdr:rowOff>28575</xdr:rowOff>
        </xdr:from>
        <xdr:to>
          <xdr:col>1</xdr:col>
          <xdr:colOff>485775</xdr:colOff>
          <xdr:row>3</xdr:row>
          <xdr:rowOff>142875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6775518-C9C4-4852-962B-EAB238A6A4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2</xdr:row>
          <xdr:rowOff>28575</xdr:rowOff>
        </xdr:from>
        <xdr:to>
          <xdr:col>1</xdr:col>
          <xdr:colOff>485775</xdr:colOff>
          <xdr:row>3</xdr:row>
          <xdr:rowOff>142875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57C2E985-0F46-4FBD-9CE5-B964B6C88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2</xdr:row>
          <xdr:rowOff>28575</xdr:rowOff>
        </xdr:from>
        <xdr:to>
          <xdr:col>1</xdr:col>
          <xdr:colOff>485775</xdr:colOff>
          <xdr:row>3</xdr:row>
          <xdr:rowOff>142875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A11FF2DB-4D3A-4667-B2ED-994EE9E7DC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2</xdr:row>
          <xdr:rowOff>28575</xdr:rowOff>
        </xdr:from>
        <xdr:to>
          <xdr:col>1</xdr:col>
          <xdr:colOff>485775</xdr:colOff>
          <xdr:row>3</xdr:row>
          <xdr:rowOff>142875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842B0E5B-A70D-42CC-A601-CBAE2A440D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2</xdr:row>
          <xdr:rowOff>28575</xdr:rowOff>
        </xdr:from>
        <xdr:to>
          <xdr:col>1</xdr:col>
          <xdr:colOff>485775</xdr:colOff>
          <xdr:row>3</xdr:row>
          <xdr:rowOff>142875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FB87A24F-95EB-4541-AE9A-282EEF6D86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2</xdr:row>
          <xdr:rowOff>28575</xdr:rowOff>
        </xdr:from>
        <xdr:to>
          <xdr:col>1</xdr:col>
          <xdr:colOff>485775</xdr:colOff>
          <xdr:row>3</xdr:row>
          <xdr:rowOff>142875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17F0CF5E-B7A0-411E-A8E3-C00D1AF0D4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2ECCC-6E56-436B-900A-D37EA7A311DF}">
  <sheetPr codeName="Sheet1"/>
  <dimension ref="A1:AY107"/>
  <sheetViews>
    <sheetView tabSelected="1" topLeftCell="A3" workbookViewId="0">
      <selection activeCell="AB55" sqref="AB55"/>
    </sheetView>
  </sheetViews>
  <sheetFormatPr defaultRowHeight="13.5" x14ac:dyDescent="0.15"/>
  <cols>
    <col min="1" max="1" width="2.875" style="1" bestFit="1" customWidth="1"/>
    <col min="2" max="2" width="17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10" width="12.5" style="1" bestFit="1" customWidth="1"/>
    <col min="11" max="29" width="13" style="1" bestFit="1" customWidth="1"/>
    <col min="30" max="33" width="11" style="1" bestFit="1" customWidth="1"/>
    <col min="34" max="36" width="12.25" style="1" bestFit="1" customWidth="1"/>
    <col min="37" max="48" width="11" style="1" bestFit="1" customWidth="1"/>
    <col min="49" max="49" width="13.25" style="1" bestFit="1" customWidth="1"/>
    <col min="50" max="50" width="10.375" style="1" bestFit="1" customWidth="1"/>
    <col min="51" max="51" width="11" style="1" bestFit="1" customWidth="1"/>
    <col min="52" max="256" width="9" style="1"/>
    <col min="257" max="257" width="2.875" style="1" bestFit="1" customWidth="1"/>
    <col min="258" max="258" width="17.625" style="1" bestFit="1" customWidth="1"/>
    <col min="259" max="259" width="11.375" style="1" bestFit="1" customWidth="1"/>
    <col min="260" max="261" width="14.125" style="1" bestFit="1" customWidth="1"/>
    <col min="262" max="262" width="11.375" style="1" bestFit="1" customWidth="1"/>
    <col min="263" max="266" width="12.5" style="1" bestFit="1" customWidth="1"/>
    <col min="267" max="285" width="13" style="1" bestFit="1" customWidth="1"/>
    <col min="286" max="289" width="11" style="1" bestFit="1" customWidth="1"/>
    <col min="290" max="292" width="12.25" style="1" bestFit="1" customWidth="1"/>
    <col min="293" max="304" width="11" style="1" bestFit="1" customWidth="1"/>
    <col min="305" max="305" width="13.25" style="1" bestFit="1" customWidth="1"/>
    <col min="306" max="306" width="10.375" style="1" bestFit="1" customWidth="1"/>
    <col min="307" max="307" width="11" style="1" bestFit="1" customWidth="1"/>
    <col min="308" max="512" width="9" style="1"/>
    <col min="513" max="513" width="2.875" style="1" bestFit="1" customWidth="1"/>
    <col min="514" max="514" width="17.625" style="1" bestFit="1" customWidth="1"/>
    <col min="515" max="515" width="11.375" style="1" bestFit="1" customWidth="1"/>
    <col min="516" max="517" width="14.125" style="1" bestFit="1" customWidth="1"/>
    <col min="518" max="518" width="11.375" style="1" bestFit="1" customWidth="1"/>
    <col min="519" max="522" width="12.5" style="1" bestFit="1" customWidth="1"/>
    <col min="523" max="541" width="13" style="1" bestFit="1" customWidth="1"/>
    <col min="542" max="545" width="11" style="1" bestFit="1" customWidth="1"/>
    <col min="546" max="548" width="12.25" style="1" bestFit="1" customWidth="1"/>
    <col min="549" max="560" width="11" style="1" bestFit="1" customWidth="1"/>
    <col min="561" max="561" width="13.25" style="1" bestFit="1" customWidth="1"/>
    <col min="562" max="562" width="10.375" style="1" bestFit="1" customWidth="1"/>
    <col min="563" max="563" width="11" style="1" bestFit="1" customWidth="1"/>
    <col min="564" max="768" width="9" style="1"/>
    <col min="769" max="769" width="2.875" style="1" bestFit="1" customWidth="1"/>
    <col min="770" max="770" width="17.625" style="1" bestFit="1" customWidth="1"/>
    <col min="771" max="771" width="11.375" style="1" bestFit="1" customWidth="1"/>
    <col min="772" max="773" width="14.125" style="1" bestFit="1" customWidth="1"/>
    <col min="774" max="774" width="11.375" style="1" bestFit="1" customWidth="1"/>
    <col min="775" max="778" width="12.5" style="1" bestFit="1" customWidth="1"/>
    <col min="779" max="797" width="13" style="1" bestFit="1" customWidth="1"/>
    <col min="798" max="801" width="11" style="1" bestFit="1" customWidth="1"/>
    <col min="802" max="804" width="12.25" style="1" bestFit="1" customWidth="1"/>
    <col min="805" max="816" width="11" style="1" bestFit="1" customWidth="1"/>
    <col min="817" max="817" width="13.25" style="1" bestFit="1" customWidth="1"/>
    <col min="818" max="818" width="10.375" style="1" bestFit="1" customWidth="1"/>
    <col min="819" max="819" width="11" style="1" bestFit="1" customWidth="1"/>
    <col min="820" max="1024" width="9" style="1"/>
    <col min="1025" max="1025" width="2.875" style="1" bestFit="1" customWidth="1"/>
    <col min="1026" max="1026" width="17.625" style="1" bestFit="1" customWidth="1"/>
    <col min="1027" max="1027" width="11.375" style="1" bestFit="1" customWidth="1"/>
    <col min="1028" max="1029" width="14.125" style="1" bestFit="1" customWidth="1"/>
    <col min="1030" max="1030" width="11.375" style="1" bestFit="1" customWidth="1"/>
    <col min="1031" max="1034" width="12.5" style="1" bestFit="1" customWidth="1"/>
    <col min="1035" max="1053" width="13" style="1" bestFit="1" customWidth="1"/>
    <col min="1054" max="1057" width="11" style="1" bestFit="1" customWidth="1"/>
    <col min="1058" max="1060" width="12.25" style="1" bestFit="1" customWidth="1"/>
    <col min="1061" max="1072" width="11" style="1" bestFit="1" customWidth="1"/>
    <col min="1073" max="1073" width="13.25" style="1" bestFit="1" customWidth="1"/>
    <col min="1074" max="1074" width="10.375" style="1" bestFit="1" customWidth="1"/>
    <col min="1075" max="1075" width="11" style="1" bestFit="1" customWidth="1"/>
    <col min="1076" max="1280" width="9" style="1"/>
    <col min="1281" max="1281" width="2.875" style="1" bestFit="1" customWidth="1"/>
    <col min="1282" max="1282" width="17.625" style="1" bestFit="1" customWidth="1"/>
    <col min="1283" max="1283" width="11.375" style="1" bestFit="1" customWidth="1"/>
    <col min="1284" max="1285" width="14.125" style="1" bestFit="1" customWidth="1"/>
    <col min="1286" max="1286" width="11.375" style="1" bestFit="1" customWidth="1"/>
    <col min="1287" max="1290" width="12.5" style="1" bestFit="1" customWidth="1"/>
    <col min="1291" max="1309" width="13" style="1" bestFit="1" customWidth="1"/>
    <col min="1310" max="1313" width="11" style="1" bestFit="1" customWidth="1"/>
    <col min="1314" max="1316" width="12.25" style="1" bestFit="1" customWidth="1"/>
    <col min="1317" max="1328" width="11" style="1" bestFit="1" customWidth="1"/>
    <col min="1329" max="1329" width="13.25" style="1" bestFit="1" customWidth="1"/>
    <col min="1330" max="1330" width="10.375" style="1" bestFit="1" customWidth="1"/>
    <col min="1331" max="1331" width="11" style="1" bestFit="1" customWidth="1"/>
    <col min="1332" max="1536" width="9" style="1"/>
    <col min="1537" max="1537" width="2.875" style="1" bestFit="1" customWidth="1"/>
    <col min="1538" max="1538" width="17.625" style="1" bestFit="1" customWidth="1"/>
    <col min="1539" max="1539" width="11.375" style="1" bestFit="1" customWidth="1"/>
    <col min="1540" max="1541" width="14.125" style="1" bestFit="1" customWidth="1"/>
    <col min="1542" max="1542" width="11.375" style="1" bestFit="1" customWidth="1"/>
    <col min="1543" max="1546" width="12.5" style="1" bestFit="1" customWidth="1"/>
    <col min="1547" max="1565" width="13" style="1" bestFit="1" customWidth="1"/>
    <col min="1566" max="1569" width="11" style="1" bestFit="1" customWidth="1"/>
    <col min="1570" max="1572" width="12.25" style="1" bestFit="1" customWidth="1"/>
    <col min="1573" max="1584" width="11" style="1" bestFit="1" customWidth="1"/>
    <col min="1585" max="1585" width="13.25" style="1" bestFit="1" customWidth="1"/>
    <col min="1586" max="1586" width="10.375" style="1" bestFit="1" customWidth="1"/>
    <col min="1587" max="1587" width="11" style="1" bestFit="1" customWidth="1"/>
    <col min="1588" max="1792" width="9" style="1"/>
    <col min="1793" max="1793" width="2.875" style="1" bestFit="1" customWidth="1"/>
    <col min="1794" max="1794" width="17.625" style="1" bestFit="1" customWidth="1"/>
    <col min="1795" max="1795" width="11.375" style="1" bestFit="1" customWidth="1"/>
    <col min="1796" max="1797" width="14.125" style="1" bestFit="1" customWidth="1"/>
    <col min="1798" max="1798" width="11.375" style="1" bestFit="1" customWidth="1"/>
    <col min="1799" max="1802" width="12.5" style="1" bestFit="1" customWidth="1"/>
    <col min="1803" max="1821" width="13" style="1" bestFit="1" customWidth="1"/>
    <col min="1822" max="1825" width="11" style="1" bestFit="1" customWidth="1"/>
    <col min="1826" max="1828" width="12.25" style="1" bestFit="1" customWidth="1"/>
    <col min="1829" max="1840" width="11" style="1" bestFit="1" customWidth="1"/>
    <col min="1841" max="1841" width="13.25" style="1" bestFit="1" customWidth="1"/>
    <col min="1842" max="1842" width="10.375" style="1" bestFit="1" customWidth="1"/>
    <col min="1843" max="1843" width="11" style="1" bestFit="1" customWidth="1"/>
    <col min="1844" max="2048" width="9" style="1"/>
    <col min="2049" max="2049" width="2.875" style="1" bestFit="1" customWidth="1"/>
    <col min="2050" max="2050" width="17.625" style="1" bestFit="1" customWidth="1"/>
    <col min="2051" max="2051" width="11.375" style="1" bestFit="1" customWidth="1"/>
    <col min="2052" max="2053" width="14.125" style="1" bestFit="1" customWidth="1"/>
    <col min="2054" max="2054" width="11.375" style="1" bestFit="1" customWidth="1"/>
    <col min="2055" max="2058" width="12.5" style="1" bestFit="1" customWidth="1"/>
    <col min="2059" max="2077" width="13" style="1" bestFit="1" customWidth="1"/>
    <col min="2078" max="2081" width="11" style="1" bestFit="1" customWidth="1"/>
    <col min="2082" max="2084" width="12.25" style="1" bestFit="1" customWidth="1"/>
    <col min="2085" max="2096" width="11" style="1" bestFit="1" customWidth="1"/>
    <col min="2097" max="2097" width="13.25" style="1" bestFit="1" customWidth="1"/>
    <col min="2098" max="2098" width="10.375" style="1" bestFit="1" customWidth="1"/>
    <col min="2099" max="2099" width="11" style="1" bestFit="1" customWidth="1"/>
    <col min="2100" max="2304" width="9" style="1"/>
    <col min="2305" max="2305" width="2.875" style="1" bestFit="1" customWidth="1"/>
    <col min="2306" max="2306" width="17.625" style="1" bestFit="1" customWidth="1"/>
    <col min="2307" max="2307" width="11.375" style="1" bestFit="1" customWidth="1"/>
    <col min="2308" max="2309" width="14.125" style="1" bestFit="1" customWidth="1"/>
    <col min="2310" max="2310" width="11.375" style="1" bestFit="1" customWidth="1"/>
    <col min="2311" max="2314" width="12.5" style="1" bestFit="1" customWidth="1"/>
    <col min="2315" max="2333" width="13" style="1" bestFit="1" customWidth="1"/>
    <col min="2334" max="2337" width="11" style="1" bestFit="1" customWidth="1"/>
    <col min="2338" max="2340" width="12.25" style="1" bestFit="1" customWidth="1"/>
    <col min="2341" max="2352" width="11" style="1" bestFit="1" customWidth="1"/>
    <col min="2353" max="2353" width="13.25" style="1" bestFit="1" customWidth="1"/>
    <col min="2354" max="2354" width="10.375" style="1" bestFit="1" customWidth="1"/>
    <col min="2355" max="2355" width="11" style="1" bestFit="1" customWidth="1"/>
    <col min="2356" max="2560" width="9" style="1"/>
    <col min="2561" max="2561" width="2.875" style="1" bestFit="1" customWidth="1"/>
    <col min="2562" max="2562" width="17.625" style="1" bestFit="1" customWidth="1"/>
    <col min="2563" max="2563" width="11.375" style="1" bestFit="1" customWidth="1"/>
    <col min="2564" max="2565" width="14.125" style="1" bestFit="1" customWidth="1"/>
    <col min="2566" max="2566" width="11.375" style="1" bestFit="1" customWidth="1"/>
    <col min="2567" max="2570" width="12.5" style="1" bestFit="1" customWidth="1"/>
    <col min="2571" max="2589" width="13" style="1" bestFit="1" customWidth="1"/>
    <col min="2590" max="2593" width="11" style="1" bestFit="1" customWidth="1"/>
    <col min="2594" max="2596" width="12.25" style="1" bestFit="1" customWidth="1"/>
    <col min="2597" max="2608" width="11" style="1" bestFit="1" customWidth="1"/>
    <col min="2609" max="2609" width="13.25" style="1" bestFit="1" customWidth="1"/>
    <col min="2610" max="2610" width="10.375" style="1" bestFit="1" customWidth="1"/>
    <col min="2611" max="2611" width="11" style="1" bestFit="1" customWidth="1"/>
    <col min="2612" max="2816" width="9" style="1"/>
    <col min="2817" max="2817" width="2.875" style="1" bestFit="1" customWidth="1"/>
    <col min="2818" max="2818" width="17.625" style="1" bestFit="1" customWidth="1"/>
    <col min="2819" max="2819" width="11.375" style="1" bestFit="1" customWidth="1"/>
    <col min="2820" max="2821" width="14.125" style="1" bestFit="1" customWidth="1"/>
    <col min="2822" max="2822" width="11.375" style="1" bestFit="1" customWidth="1"/>
    <col min="2823" max="2826" width="12.5" style="1" bestFit="1" customWidth="1"/>
    <col min="2827" max="2845" width="13" style="1" bestFit="1" customWidth="1"/>
    <col min="2846" max="2849" width="11" style="1" bestFit="1" customWidth="1"/>
    <col min="2850" max="2852" width="12.25" style="1" bestFit="1" customWidth="1"/>
    <col min="2853" max="2864" width="11" style="1" bestFit="1" customWidth="1"/>
    <col min="2865" max="2865" width="13.25" style="1" bestFit="1" customWidth="1"/>
    <col min="2866" max="2866" width="10.375" style="1" bestFit="1" customWidth="1"/>
    <col min="2867" max="2867" width="11" style="1" bestFit="1" customWidth="1"/>
    <col min="2868" max="3072" width="9" style="1"/>
    <col min="3073" max="3073" width="2.875" style="1" bestFit="1" customWidth="1"/>
    <col min="3074" max="3074" width="17.625" style="1" bestFit="1" customWidth="1"/>
    <col min="3075" max="3075" width="11.375" style="1" bestFit="1" customWidth="1"/>
    <col min="3076" max="3077" width="14.125" style="1" bestFit="1" customWidth="1"/>
    <col min="3078" max="3078" width="11.375" style="1" bestFit="1" customWidth="1"/>
    <col min="3079" max="3082" width="12.5" style="1" bestFit="1" customWidth="1"/>
    <col min="3083" max="3101" width="13" style="1" bestFit="1" customWidth="1"/>
    <col min="3102" max="3105" width="11" style="1" bestFit="1" customWidth="1"/>
    <col min="3106" max="3108" width="12.25" style="1" bestFit="1" customWidth="1"/>
    <col min="3109" max="3120" width="11" style="1" bestFit="1" customWidth="1"/>
    <col min="3121" max="3121" width="13.25" style="1" bestFit="1" customWidth="1"/>
    <col min="3122" max="3122" width="10.375" style="1" bestFit="1" customWidth="1"/>
    <col min="3123" max="3123" width="11" style="1" bestFit="1" customWidth="1"/>
    <col min="3124" max="3328" width="9" style="1"/>
    <col min="3329" max="3329" width="2.875" style="1" bestFit="1" customWidth="1"/>
    <col min="3330" max="3330" width="17.625" style="1" bestFit="1" customWidth="1"/>
    <col min="3331" max="3331" width="11.375" style="1" bestFit="1" customWidth="1"/>
    <col min="3332" max="3333" width="14.125" style="1" bestFit="1" customWidth="1"/>
    <col min="3334" max="3334" width="11.375" style="1" bestFit="1" customWidth="1"/>
    <col min="3335" max="3338" width="12.5" style="1" bestFit="1" customWidth="1"/>
    <col min="3339" max="3357" width="13" style="1" bestFit="1" customWidth="1"/>
    <col min="3358" max="3361" width="11" style="1" bestFit="1" customWidth="1"/>
    <col min="3362" max="3364" width="12.25" style="1" bestFit="1" customWidth="1"/>
    <col min="3365" max="3376" width="11" style="1" bestFit="1" customWidth="1"/>
    <col min="3377" max="3377" width="13.25" style="1" bestFit="1" customWidth="1"/>
    <col min="3378" max="3378" width="10.375" style="1" bestFit="1" customWidth="1"/>
    <col min="3379" max="3379" width="11" style="1" bestFit="1" customWidth="1"/>
    <col min="3380" max="3584" width="9" style="1"/>
    <col min="3585" max="3585" width="2.875" style="1" bestFit="1" customWidth="1"/>
    <col min="3586" max="3586" width="17.625" style="1" bestFit="1" customWidth="1"/>
    <col min="3587" max="3587" width="11.375" style="1" bestFit="1" customWidth="1"/>
    <col min="3588" max="3589" width="14.125" style="1" bestFit="1" customWidth="1"/>
    <col min="3590" max="3590" width="11.375" style="1" bestFit="1" customWidth="1"/>
    <col min="3591" max="3594" width="12.5" style="1" bestFit="1" customWidth="1"/>
    <col min="3595" max="3613" width="13" style="1" bestFit="1" customWidth="1"/>
    <col min="3614" max="3617" width="11" style="1" bestFit="1" customWidth="1"/>
    <col min="3618" max="3620" width="12.25" style="1" bestFit="1" customWidth="1"/>
    <col min="3621" max="3632" width="11" style="1" bestFit="1" customWidth="1"/>
    <col min="3633" max="3633" width="13.25" style="1" bestFit="1" customWidth="1"/>
    <col min="3634" max="3634" width="10.375" style="1" bestFit="1" customWidth="1"/>
    <col min="3635" max="3635" width="11" style="1" bestFit="1" customWidth="1"/>
    <col min="3636" max="3840" width="9" style="1"/>
    <col min="3841" max="3841" width="2.875" style="1" bestFit="1" customWidth="1"/>
    <col min="3842" max="3842" width="17.625" style="1" bestFit="1" customWidth="1"/>
    <col min="3843" max="3843" width="11.375" style="1" bestFit="1" customWidth="1"/>
    <col min="3844" max="3845" width="14.125" style="1" bestFit="1" customWidth="1"/>
    <col min="3846" max="3846" width="11.375" style="1" bestFit="1" customWidth="1"/>
    <col min="3847" max="3850" width="12.5" style="1" bestFit="1" customWidth="1"/>
    <col min="3851" max="3869" width="13" style="1" bestFit="1" customWidth="1"/>
    <col min="3870" max="3873" width="11" style="1" bestFit="1" customWidth="1"/>
    <col min="3874" max="3876" width="12.25" style="1" bestFit="1" customWidth="1"/>
    <col min="3877" max="3888" width="11" style="1" bestFit="1" customWidth="1"/>
    <col min="3889" max="3889" width="13.25" style="1" bestFit="1" customWidth="1"/>
    <col min="3890" max="3890" width="10.375" style="1" bestFit="1" customWidth="1"/>
    <col min="3891" max="3891" width="11" style="1" bestFit="1" customWidth="1"/>
    <col min="3892" max="4096" width="9" style="1"/>
    <col min="4097" max="4097" width="2.875" style="1" bestFit="1" customWidth="1"/>
    <col min="4098" max="4098" width="17.625" style="1" bestFit="1" customWidth="1"/>
    <col min="4099" max="4099" width="11.375" style="1" bestFit="1" customWidth="1"/>
    <col min="4100" max="4101" width="14.125" style="1" bestFit="1" customWidth="1"/>
    <col min="4102" max="4102" width="11.375" style="1" bestFit="1" customWidth="1"/>
    <col min="4103" max="4106" width="12.5" style="1" bestFit="1" customWidth="1"/>
    <col min="4107" max="4125" width="13" style="1" bestFit="1" customWidth="1"/>
    <col min="4126" max="4129" width="11" style="1" bestFit="1" customWidth="1"/>
    <col min="4130" max="4132" width="12.25" style="1" bestFit="1" customWidth="1"/>
    <col min="4133" max="4144" width="11" style="1" bestFit="1" customWidth="1"/>
    <col min="4145" max="4145" width="13.25" style="1" bestFit="1" customWidth="1"/>
    <col min="4146" max="4146" width="10.375" style="1" bestFit="1" customWidth="1"/>
    <col min="4147" max="4147" width="11" style="1" bestFit="1" customWidth="1"/>
    <col min="4148" max="4352" width="9" style="1"/>
    <col min="4353" max="4353" width="2.875" style="1" bestFit="1" customWidth="1"/>
    <col min="4354" max="4354" width="17.625" style="1" bestFit="1" customWidth="1"/>
    <col min="4355" max="4355" width="11.375" style="1" bestFit="1" customWidth="1"/>
    <col min="4356" max="4357" width="14.125" style="1" bestFit="1" customWidth="1"/>
    <col min="4358" max="4358" width="11.375" style="1" bestFit="1" customWidth="1"/>
    <col min="4359" max="4362" width="12.5" style="1" bestFit="1" customWidth="1"/>
    <col min="4363" max="4381" width="13" style="1" bestFit="1" customWidth="1"/>
    <col min="4382" max="4385" width="11" style="1" bestFit="1" customWidth="1"/>
    <col min="4386" max="4388" width="12.25" style="1" bestFit="1" customWidth="1"/>
    <col min="4389" max="4400" width="11" style="1" bestFit="1" customWidth="1"/>
    <col min="4401" max="4401" width="13.25" style="1" bestFit="1" customWidth="1"/>
    <col min="4402" max="4402" width="10.375" style="1" bestFit="1" customWidth="1"/>
    <col min="4403" max="4403" width="11" style="1" bestFit="1" customWidth="1"/>
    <col min="4404" max="4608" width="9" style="1"/>
    <col min="4609" max="4609" width="2.875" style="1" bestFit="1" customWidth="1"/>
    <col min="4610" max="4610" width="17.625" style="1" bestFit="1" customWidth="1"/>
    <col min="4611" max="4611" width="11.375" style="1" bestFit="1" customWidth="1"/>
    <col min="4612" max="4613" width="14.125" style="1" bestFit="1" customWidth="1"/>
    <col min="4614" max="4614" width="11.375" style="1" bestFit="1" customWidth="1"/>
    <col min="4615" max="4618" width="12.5" style="1" bestFit="1" customWidth="1"/>
    <col min="4619" max="4637" width="13" style="1" bestFit="1" customWidth="1"/>
    <col min="4638" max="4641" width="11" style="1" bestFit="1" customWidth="1"/>
    <col min="4642" max="4644" width="12.25" style="1" bestFit="1" customWidth="1"/>
    <col min="4645" max="4656" width="11" style="1" bestFit="1" customWidth="1"/>
    <col min="4657" max="4657" width="13.25" style="1" bestFit="1" customWidth="1"/>
    <col min="4658" max="4658" width="10.375" style="1" bestFit="1" customWidth="1"/>
    <col min="4659" max="4659" width="11" style="1" bestFit="1" customWidth="1"/>
    <col min="4660" max="4864" width="9" style="1"/>
    <col min="4865" max="4865" width="2.875" style="1" bestFit="1" customWidth="1"/>
    <col min="4866" max="4866" width="17.625" style="1" bestFit="1" customWidth="1"/>
    <col min="4867" max="4867" width="11.375" style="1" bestFit="1" customWidth="1"/>
    <col min="4868" max="4869" width="14.125" style="1" bestFit="1" customWidth="1"/>
    <col min="4870" max="4870" width="11.375" style="1" bestFit="1" customWidth="1"/>
    <col min="4871" max="4874" width="12.5" style="1" bestFit="1" customWidth="1"/>
    <col min="4875" max="4893" width="13" style="1" bestFit="1" customWidth="1"/>
    <col min="4894" max="4897" width="11" style="1" bestFit="1" customWidth="1"/>
    <col min="4898" max="4900" width="12.25" style="1" bestFit="1" customWidth="1"/>
    <col min="4901" max="4912" width="11" style="1" bestFit="1" customWidth="1"/>
    <col min="4913" max="4913" width="13.25" style="1" bestFit="1" customWidth="1"/>
    <col min="4914" max="4914" width="10.375" style="1" bestFit="1" customWidth="1"/>
    <col min="4915" max="4915" width="11" style="1" bestFit="1" customWidth="1"/>
    <col min="4916" max="5120" width="9" style="1"/>
    <col min="5121" max="5121" width="2.875" style="1" bestFit="1" customWidth="1"/>
    <col min="5122" max="5122" width="17.625" style="1" bestFit="1" customWidth="1"/>
    <col min="5123" max="5123" width="11.375" style="1" bestFit="1" customWidth="1"/>
    <col min="5124" max="5125" width="14.125" style="1" bestFit="1" customWidth="1"/>
    <col min="5126" max="5126" width="11.375" style="1" bestFit="1" customWidth="1"/>
    <col min="5127" max="5130" width="12.5" style="1" bestFit="1" customWidth="1"/>
    <col min="5131" max="5149" width="13" style="1" bestFit="1" customWidth="1"/>
    <col min="5150" max="5153" width="11" style="1" bestFit="1" customWidth="1"/>
    <col min="5154" max="5156" width="12.25" style="1" bestFit="1" customWidth="1"/>
    <col min="5157" max="5168" width="11" style="1" bestFit="1" customWidth="1"/>
    <col min="5169" max="5169" width="13.25" style="1" bestFit="1" customWidth="1"/>
    <col min="5170" max="5170" width="10.375" style="1" bestFit="1" customWidth="1"/>
    <col min="5171" max="5171" width="11" style="1" bestFit="1" customWidth="1"/>
    <col min="5172" max="5376" width="9" style="1"/>
    <col min="5377" max="5377" width="2.875" style="1" bestFit="1" customWidth="1"/>
    <col min="5378" max="5378" width="17.625" style="1" bestFit="1" customWidth="1"/>
    <col min="5379" max="5379" width="11.375" style="1" bestFit="1" customWidth="1"/>
    <col min="5380" max="5381" width="14.125" style="1" bestFit="1" customWidth="1"/>
    <col min="5382" max="5382" width="11.375" style="1" bestFit="1" customWidth="1"/>
    <col min="5383" max="5386" width="12.5" style="1" bestFit="1" customWidth="1"/>
    <col min="5387" max="5405" width="13" style="1" bestFit="1" customWidth="1"/>
    <col min="5406" max="5409" width="11" style="1" bestFit="1" customWidth="1"/>
    <col min="5410" max="5412" width="12.25" style="1" bestFit="1" customWidth="1"/>
    <col min="5413" max="5424" width="11" style="1" bestFit="1" customWidth="1"/>
    <col min="5425" max="5425" width="13.25" style="1" bestFit="1" customWidth="1"/>
    <col min="5426" max="5426" width="10.375" style="1" bestFit="1" customWidth="1"/>
    <col min="5427" max="5427" width="11" style="1" bestFit="1" customWidth="1"/>
    <col min="5428" max="5632" width="9" style="1"/>
    <col min="5633" max="5633" width="2.875" style="1" bestFit="1" customWidth="1"/>
    <col min="5634" max="5634" width="17.625" style="1" bestFit="1" customWidth="1"/>
    <col min="5635" max="5635" width="11.375" style="1" bestFit="1" customWidth="1"/>
    <col min="5636" max="5637" width="14.125" style="1" bestFit="1" customWidth="1"/>
    <col min="5638" max="5638" width="11.375" style="1" bestFit="1" customWidth="1"/>
    <col min="5639" max="5642" width="12.5" style="1" bestFit="1" customWidth="1"/>
    <col min="5643" max="5661" width="13" style="1" bestFit="1" customWidth="1"/>
    <col min="5662" max="5665" width="11" style="1" bestFit="1" customWidth="1"/>
    <col min="5666" max="5668" width="12.25" style="1" bestFit="1" customWidth="1"/>
    <col min="5669" max="5680" width="11" style="1" bestFit="1" customWidth="1"/>
    <col min="5681" max="5681" width="13.25" style="1" bestFit="1" customWidth="1"/>
    <col min="5682" max="5682" width="10.375" style="1" bestFit="1" customWidth="1"/>
    <col min="5683" max="5683" width="11" style="1" bestFit="1" customWidth="1"/>
    <col min="5684" max="5888" width="9" style="1"/>
    <col min="5889" max="5889" width="2.875" style="1" bestFit="1" customWidth="1"/>
    <col min="5890" max="5890" width="17.625" style="1" bestFit="1" customWidth="1"/>
    <col min="5891" max="5891" width="11.375" style="1" bestFit="1" customWidth="1"/>
    <col min="5892" max="5893" width="14.125" style="1" bestFit="1" customWidth="1"/>
    <col min="5894" max="5894" width="11.375" style="1" bestFit="1" customWidth="1"/>
    <col min="5895" max="5898" width="12.5" style="1" bestFit="1" customWidth="1"/>
    <col min="5899" max="5917" width="13" style="1" bestFit="1" customWidth="1"/>
    <col min="5918" max="5921" width="11" style="1" bestFit="1" customWidth="1"/>
    <col min="5922" max="5924" width="12.25" style="1" bestFit="1" customWidth="1"/>
    <col min="5925" max="5936" width="11" style="1" bestFit="1" customWidth="1"/>
    <col min="5937" max="5937" width="13.25" style="1" bestFit="1" customWidth="1"/>
    <col min="5938" max="5938" width="10.375" style="1" bestFit="1" customWidth="1"/>
    <col min="5939" max="5939" width="11" style="1" bestFit="1" customWidth="1"/>
    <col min="5940" max="6144" width="9" style="1"/>
    <col min="6145" max="6145" width="2.875" style="1" bestFit="1" customWidth="1"/>
    <col min="6146" max="6146" width="17.625" style="1" bestFit="1" customWidth="1"/>
    <col min="6147" max="6147" width="11.375" style="1" bestFit="1" customWidth="1"/>
    <col min="6148" max="6149" width="14.125" style="1" bestFit="1" customWidth="1"/>
    <col min="6150" max="6150" width="11.375" style="1" bestFit="1" customWidth="1"/>
    <col min="6151" max="6154" width="12.5" style="1" bestFit="1" customWidth="1"/>
    <col min="6155" max="6173" width="13" style="1" bestFit="1" customWidth="1"/>
    <col min="6174" max="6177" width="11" style="1" bestFit="1" customWidth="1"/>
    <col min="6178" max="6180" width="12.25" style="1" bestFit="1" customWidth="1"/>
    <col min="6181" max="6192" width="11" style="1" bestFit="1" customWidth="1"/>
    <col min="6193" max="6193" width="13.25" style="1" bestFit="1" customWidth="1"/>
    <col min="6194" max="6194" width="10.375" style="1" bestFit="1" customWidth="1"/>
    <col min="6195" max="6195" width="11" style="1" bestFit="1" customWidth="1"/>
    <col min="6196" max="6400" width="9" style="1"/>
    <col min="6401" max="6401" width="2.875" style="1" bestFit="1" customWidth="1"/>
    <col min="6402" max="6402" width="17.625" style="1" bestFit="1" customWidth="1"/>
    <col min="6403" max="6403" width="11.375" style="1" bestFit="1" customWidth="1"/>
    <col min="6404" max="6405" width="14.125" style="1" bestFit="1" customWidth="1"/>
    <col min="6406" max="6406" width="11.375" style="1" bestFit="1" customWidth="1"/>
    <col min="6407" max="6410" width="12.5" style="1" bestFit="1" customWidth="1"/>
    <col min="6411" max="6429" width="13" style="1" bestFit="1" customWidth="1"/>
    <col min="6430" max="6433" width="11" style="1" bestFit="1" customWidth="1"/>
    <col min="6434" max="6436" width="12.25" style="1" bestFit="1" customWidth="1"/>
    <col min="6437" max="6448" width="11" style="1" bestFit="1" customWidth="1"/>
    <col min="6449" max="6449" width="13.25" style="1" bestFit="1" customWidth="1"/>
    <col min="6450" max="6450" width="10.375" style="1" bestFit="1" customWidth="1"/>
    <col min="6451" max="6451" width="11" style="1" bestFit="1" customWidth="1"/>
    <col min="6452" max="6656" width="9" style="1"/>
    <col min="6657" max="6657" width="2.875" style="1" bestFit="1" customWidth="1"/>
    <col min="6658" max="6658" width="17.625" style="1" bestFit="1" customWidth="1"/>
    <col min="6659" max="6659" width="11.375" style="1" bestFit="1" customWidth="1"/>
    <col min="6660" max="6661" width="14.125" style="1" bestFit="1" customWidth="1"/>
    <col min="6662" max="6662" width="11.375" style="1" bestFit="1" customWidth="1"/>
    <col min="6663" max="6666" width="12.5" style="1" bestFit="1" customWidth="1"/>
    <col min="6667" max="6685" width="13" style="1" bestFit="1" customWidth="1"/>
    <col min="6686" max="6689" width="11" style="1" bestFit="1" customWidth="1"/>
    <col min="6690" max="6692" width="12.25" style="1" bestFit="1" customWidth="1"/>
    <col min="6693" max="6704" width="11" style="1" bestFit="1" customWidth="1"/>
    <col min="6705" max="6705" width="13.25" style="1" bestFit="1" customWidth="1"/>
    <col min="6706" max="6706" width="10.375" style="1" bestFit="1" customWidth="1"/>
    <col min="6707" max="6707" width="11" style="1" bestFit="1" customWidth="1"/>
    <col min="6708" max="6912" width="9" style="1"/>
    <col min="6913" max="6913" width="2.875" style="1" bestFit="1" customWidth="1"/>
    <col min="6914" max="6914" width="17.625" style="1" bestFit="1" customWidth="1"/>
    <col min="6915" max="6915" width="11.375" style="1" bestFit="1" customWidth="1"/>
    <col min="6916" max="6917" width="14.125" style="1" bestFit="1" customWidth="1"/>
    <col min="6918" max="6918" width="11.375" style="1" bestFit="1" customWidth="1"/>
    <col min="6919" max="6922" width="12.5" style="1" bestFit="1" customWidth="1"/>
    <col min="6923" max="6941" width="13" style="1" bestFit="1" customWidth="1"/>
    <col min="6942" max="6945" width="11" style="1" bestFit="1" customWidth="1"/>
    <col min="6946" max="6948" width="12.25" style="1" bestFit="1" customWidth="1"/>
    <col min="6949" max="6960" width="11" style="1" bestFit="1" customWidth="1"/>
    <col min="6961" max="6961" width="13.25" style="1" bestFit="1" customWidth="1"/>
    <col min="6962" max="6962" width="10.375" style="1" bestFit="1" customWidth="1"/>
    <col min="6963" max="6963" width="11" style="1" bestFit="1" customWidth="1"/>
    <col min="6964" max="7168" width="9" style="1"/>
    <col min="7169" max="7169" width="2.875" style="1" bestFit="1" customWidth="1"/>
    <col min="7170" max="7170" width="17.625" style="1" bestFit="1" customWidth="1"/>
    <col min="7171" max="7171" width="11.375" style="1" bestFit="1" customWidth="1"/>
    <col min="7172" max="7173" width="14.125" style="1" bestFit="1" customWidth="1"/>
    <col min="7174" max="7174" width="11.375" style="1" bestFit="1" customWidth="1"/>
    <col min="7175" max="7178" width="12.5" style="1" bestFit="1" customWidth="1"/>
    <col min="7179" max="7197" width="13" style="1" bestFit="1" customWidth="1"/>
    <col min="7198" max="7201" width="11" style="1" bestFit="1" customWidth="1"/>
    <col min="7202" max="7204" width="12.25" style="1" bestFit="1" customWidth="1"/>
    <col min="7205" max="7216" width="11" style="1" bestFit="1" customWidth="1"/>
    <col min="7217" max="7217" width="13.25" style="1" bestFit="1" customWidth="1"/>
    <col min="7218" max="7218" width="10.375" style="1" bestFit="1" customWidth="1"/>
    <col min="7219" max="7219" width="11" style="1" bestFit="1" customWidth="1"/>
    <col min="7220" max="7424" width="9" style="1"/>
    <col min="7425" max="7425" width="2.875" style="1" bestFit="1" customWidth="1"/>
    <col min="7426" max="7426" width="17.625" style="1" bestFit="1" customWidth="1"/>
    <col min="7427" max="7427" width="11.375" style="1" bestFit="1" customWidth="1"/>
    <col min="7428" max="7429" width="14.125" style="1" bestFit="1" customWidth="1"/>
    <col min="7430" max="7430" width="11.375" style="1" bestFit="1" customWidth="1"/>
    <col min="7431" max="7434" width="12.5" style="1" bestFit="1" customWidth="1"/>
    <col min="7435" max="7453" width="13" style="1" bestFit="1" customWidth="1"/>
    <col min="7454" max="7457" width="11" style="1" bestFit="1" customWidth="1"/>
    <col min="7458" max="7460" width="12.25" style="1" bestFit="1" customWidth="1"/>
    <col min="7461" max="7472" width="11" style="1" bestFit="1" customWidth="1"/>
    <col min="7473" max="7473" width="13.25" style="1" bestFit="1" customWidth="1"/>
    <col min="7474" max="7474" width="10.375" style="1" bestFit="1" customWidth="1"/>
    <col min="7475" max="7475" width="11" style="1" bestFit="1" customWidth="1"/>
    <col min="7476" max="7680" width="9" style="1"/>
    <col min="7681" max="7681" width="2.875" style="1" bestFit="1" customWidth="1"/>
    <col min="7682" max="7682" width="17.625" style="1" bestFit="1" customWidth="1"/>
    <col min="7683" max="7683" width="11.375" style="1" bestFit="1" customWidth="1"/>
    <col min="7684" max="7685" width="14.125" style="1" bestFit="1" customWidth="1"/>
    <col min="7686" max="7686" width="11.375" style="1" bestFit="1" customWidth="1"/>
    <col min="7687" max="7690" width="12.5" style="1" bestFit="1" customWidth="1"/>
    <col min="7691" max="7709" width="13" style="1" bestFit="1" customWidth="1"/>
    <col min="7710" max="7713" width="11" style="1" bestFit="1" customWidth="1"/>
    <col min="7714" max="7716" width="12.25" style="1" bestFit="1" customWidth="1"/>
    <col min="7717" max="7728" width="11" style="1" bestFit="1" customWidth="1"/>
    <col min="7729" max="7729" width="13.25" style="1" bestFit="1" customWidth="1"/>
    <col min="7730" max="7730" width="10.375" style="1" bestFit="1" customWidth="1"/>
    <col min="7731" max="7731" width="11" style="1" bestFit="1" customWidth="1"/>
    <col min="7732" max="7936" width="9" style="1"/>
    <col min="7937" max="7937" width="2.875" style="1" bestFit="1" customWidth="1"/>
    <col min="7938" max="7938" width="17.625" style="1" bestFit="1" customWidth="1"/>
    <col min="7939" max="7939" width="11.375" style="1" bestFit="1" customWidth="1"/>
    <col min="7940" max="7941" width="14.125" style="1" bestFit="1" customWidth="1"/>
    <col min="7942" max="7942" width="11.375" style="1" bestFit="1" customWidth="1"/>
    <col min="7943" max="7946" width="12.5" style="1" bestFit="1" customWidth="1"/>
    <col min="7947" max="7965" width="13" style="1" bestFit="1" customWidth="1"/>
    <col min="7966" max="7969" width="11" style="1" bestFit="1" customWidth="1"/>
    <col min="7970" max="7972" width="12.25" style="1" bestFit="1" customWidth="1"/>
    <col min="7973" max="7984" width="11" style="1" bestFit="1" customWidth="1"/>
    <col min="7985" max="7985" width="13.25" style="1" bestFit="1" customWidth="1"/>
    <col min="7986" max="7986" width="10.375" style="1" bestFit="1" customWidth="1"/>
    <col min="7987" max="7987" width="11" style="1" bestFit="1" customWidth="1"/>
    <col min="7988" max="8192" width="9" style="1"/>
    <col min="8193" max="8193" width="2.875" style="1" bestFit="1" customWidth="1"/>
    <col min="8194" max="8194" width="17.625" style="1" bestFit="1" customWidth="1"/>
    <col min="8195" max="8195" width="11.375" style="1" bestFit="1" customWidth="1"/>
    <col min="8196" max="8197" width="14.125" style="1" bestFit="1" customWidth="1"/>
    <col min="8198" max="8198" width="11.375" style="1" bestFit="1" customWidth="1"/>
    <col min="8199" max="8202" width="12.5" style="1" bestFit="1" customWidth="1"/>
    <col min="8203" max="8221" width="13" style="1" bestFit="1" customWidth="1"/>
    <col min="8222" max="8225" width="11" style="1" bestFit="1" customWidth="1"/>
    <col min="8226" max="8228" width="12.25" style="1" bestFit="1" customWidth="1"/>
    <col min="8229" max="8240" width="11" style="1" bestFit="1" customWidth="1"/>
    <col min="8241" max="8241" width="13.25" style="1" bestFit="1" customWidth="1"/>
    <col min="8242" max="8242" width="10.375" style="1" bestFit="1" customWidth="1"/>
    <col min="8243" max="8243" width="11" style="1" bestFit="1" customWidth="1"/>
    <col min="8244" max="8448" width="9" style="1"/>
    <col min="8449" max="8449" width="2.875" style="1" bestFit="1" customWidth="1"/>
    <col min="8450" max="8450" width="17.625" style="1" bestFit="1" customWidth="1"/>
    <col min="8451" max="8451" width="11.375" style="1" bestFit="1" customWidth="1"/>
    <col min="8452" max="8453" width="14.125" style="1" bestFit="1" customWidth="1"/>
    <col min="8454" max="8454" width="11.375" style="1" bestFit="1" customWidth="1"/>
    <col min="8455" max="8458" width="12.5" style="1" bestFit="1" customWidth="1"/>
    <col min="8459" max="8477" width="13" style="1" bestFit="1" customWidth="1"/>
    <col min="8478" max="8481" width="11" style="1" bestFit="1" customWidth="1"/>
    <col min="8482" max="8484" width="12.25" style="1" bestFit="1" customWidth="1"/>
    <col min="8485" max="8496" width="11" style="1" bestFit="1" customWidth="1"/>
    <col min="8497" max="8497" width="13.25" style="1" bestFit="1" customWidth="1"/>
    <col min="8498" max="8498" width="10.375" style="1" bestFit="1" customWidth="1"/>
    <col min="8499" max="8499" width="11" style="1" bestFit="1" customWidth="1"/>
    <col min="8500" max="8704" width="9" style="1"/>
    <col min="8705" max="8705" width="2.875" style="1" bestFit="1" customWidth="1"/>
    <col min="8706" max="8706" width="17.625" style="1" bestFit="1" customWidth="1"/>
    <col min="8707" max="8707" width="11.375" style="1" bestFit="1" customWidth="1"/>
    <col min="8708" max="8709" width="14.125" style="1" bestFit="1" customWidth="1"/>
    <col min="8710" max="8710" width="11.375" style="1" bestFit="1" customWidth="1"/>
    <col min="8711" max="8714" width="12.5" style="1" bestFit="1" customWidth="1"/>
    <col min="8715" max="8733" width="13" style="1" bestFit="1" customWidth="1"/>
    <col min="8734" max="8737" width="11" style="1" bestFit="1" customWidth="1"/>
    <col min="8738" max="8740" width="12.25" style="1" bestFit="1" customWidth="1"/>
    <col min="8741" max="8752" width="11" style="1" bestFit="1" customWidth="1"/>
    <col min="8753" max="8753" width="13.25" style="1" bestFit="1" customWidth="1"/>
    <col min="8754" max="8754" width="10.375" style="1" bestFit="1" customWidth="1"/>
    <col min="8755" max="8755" width="11" style="1" bestFit="1" customWidth="1"/>
    <col min="8756" max="8960" width="9" style="1"/>
    <col min="8961" max="8961" width="2.875" style="1" bestFit="1" customWidth="1"/>
    <col min="8962" max="8962" width="17.625" style="1" bestFit="1" customWidth="1"/>
    <col min="8963" max="8963" width="11.375" style="1" bestFit="1" customWidth="1"/>
    <col min="8964" max="8965" width="14.125" style="1" bestFit="1" customWidth="1"/>
    <col min="8966" max="8966" width="11.375" style="1" bestFit="1" customWidth="1"/>
    <col min="8967" max="8970" width="12.5" style="1" bestFit="1" customWidth="1"/>
    <col min="8971" max="8989" width="13" style="1" bestFit="1" customWidth="1"/>
    <col min="8990" max="8993" width="11" style="1" bestFit="1" customWidth="1"/>
    <col min="8994" max="8996" width="12.25" style="1" bestFit="1" customWidth="1"/>
    <col min="8997" max="9008" width="11" style="1" bestFit="1" customWidth="1"/>
    <col min="9009" max="9009" width="13.25" style="1" bestFit="1" customWidth="1"/>
    <col min="9010" max="9010" width="10.375" style="1" bestFit="1" customWidth="1"/>
    <col min="9011" max="9011" width="11" style="1" bestFit="1" customWidth="1"/>
    <col min="9012" max="9216" width="9" style="1"/>
    <col min="9217" max="9217" width="2.875" style="1" bestFit="1" customWidth="1"/>
    <col min="9218" max="9218" width="17.625" style="1" bestFit="1" customWidth="1"/>
    <col min="9219" max="9219" width="11.375" style="1" bestFit="1" customWidth="1"/>
    <col min="9220" max="9221" width="14.125" style="1" bestFit="1" customWidth="1"/>
    <col min="9222" max="9222" width="11.375" style="1" bestFit="1" customWidth="1"/>
    <col min="9223" max="9226" width="12.5" style="1" bestFit="1" customWidth="1"/>
    <col min="9227" max="9245" width="13" style="1" bestFit="1" customWidth="1"/>
    <col min="9246" max="9249" width="11" style="1" bestFit="1" customWidth="1"/>
    <col min="9250" max="9252" width="12.25" style="1" bestFit="1" customWidth="1"/>
    <col min="9253" max="9264" width="11" style="1" bestFit="1" customWidth="1"/>
    <col min="9265" max="9265" width="13.25" style="1" bestFit="1" customWidth="1"/>
    <col min="9266" max="9266" width="10.375" style="1" bestFit="1" customWidth="1"/>
    <col min="9267" max="9267" width="11" style="1" bestFit="1" customWidth="1"/>
    <col min="9268" max="9472" width="9" style="1"/>
    <col min="9473" max="9473" width="2.875" style="1" bestFit="1" customWidth="1"/>
    <col min="9474" max="9474" width="17.625" style="1" bestFit="1" customWidth="1"/>
    <col min="9475" max="9475" width="11.375" style="1" bestFit="1" customWidth="1"/>
    <col min="9476" max="9477" width="14.125" style="1" bestFit="1" customWidth="1"/>
    <col min="9478" max="9478" width="11.375" style="1" bestFit="1" customWidth="1"/>
    <col min="9479" max="9482" width="12.5" style="1" bestFit="1" customWidth="1"/>
    <col min="9483" max="9501" width="13" style="1" bestFit="1" customWidth="1"/>
    <col min="9502" max="9505" width="11" style="1" bestFit="1" customWidth="1"/>
    <col min="9506" max="9508" width="12.25" style="1" bestFit="1" customWidth="1"/>
    <col min="9509" max="9520" width="11" style="1" bestFit="1" customWidth="1"/>
    <col min="9521" max="9521" width="13.25" style="1" bestFit="1" customWidth="1"/>
    <col min="9522" max="9522" width="10.375" style="1" bestFit="1" customWidth="1"/>
    <col min="9523" max="9523" width="11" style="1" bestFit="1" customWidth="1"/>
    <col min="9524" max="9728" width="9" style="1"/>
    <col min="9729" max="9729" width="2.875" style="1" bestFit="1" customWidth="1"/>
    <col min="9730" max="9730" width="17.625" style="1" bestFit="1" customWidth="1"/>
    <col min="9731" max="9731" width="11.375" style="1" bestFit="1" customWidth="1"/>
    <col min="9732" max="9733" width="14.125" style="1" bestFit="1" customWidth="1"/>
    <col min="9734" max="9734" width="11.375" style="1" bestFit="1" customWidth="1"/>
    <col min="9735" max="9738" width="12.5" style="1" bestFit="1" customWidth="1"/>
    <col min="9739" max="9757" width="13" style="1" bestFit="1" customWidth="1"/>
    <col min="9758" max="9761" width="11" style="1" bestFit="1" customWidth="1"/>
    <col min="9762" max="9764" width="12.25" style="1" bestFit="1" customWidth="1"/>
    <col min="9765" max="9776" width="11" style="1" bestFit="1" customWidth="1"/>
    <col min="9777" max="9777" width="13.25" style="1" bestFit="1" customWidth="1"/>
    <col min="9778" max="9778" width="10.375" style="1" bestFit="1" customWidth="1"/>
    <col min="9779" max="9779" width="11" style="1" bestFit="1" customWidth="1"/>
    <col min="9780" max="9984" width="9" style="1"/>
    <col min="9985" max="9985" width="2.875" style="1" bestFit="1" customWidth="1"/>
    <col min="9986" max="9986" width="17.625" style="1" bestFit="1" customWidth="1"/>
    <col min="9987" max="9987" width="11.375" style="1" bestFit="1" customWidth="1"/>
    <col min="9988" max="9989" width="14.125" style="1" bestFit="1" customWidth="1"/>
    <col min="9990" max="9990" width="11.375" style="1" bestFit="1" customWidth="1"/>
    <col min="9991" max="9994" width="12.5" style="1" bestFit="1" customWidth="1"/>
    <col min="9995" max="10013" width="13" style="1" bestFit="1" customWidth="1"/>
    <col min="10014" max="10017" width="11" style="1" bestFit="1" customWidth="1"/>
    <col min="10018" max="10020" width="12.25" style="1" bestFit="1" customWidth="1"/>
    <col min="10021" max="10032" width="11" style="1" bestFit="1" customWidth="1"/>
    <col min="10033" max="10033" width="13.25" style="1" bestFit="1" customWidth="1"/>
    <col min="10034" max="10034" width="10.375" style="1" bestFit="1" customWidth="1"/>
    <col min="10035" max="10035" width="11" style="1" bestFit="1" customWidth="1"/>
    <col min="10036" max="10240" width="9" style="1"/>
    <col min="10241" max="10241" width="2.875" style="1" bestFit="1" customWidth="1"/>
    <col min="10242" max="10242" width="17.625" style="1" bestFit="1" customWidth="1"/>
    <col min="10243" max="10243" width="11.375" style="1" bestFit="1" customWidth="1"/>
    <col min="10244" max="10245" width="14.125" style="1" bestFit="1" customWidth="1"/>
    <col min="10246" max="10246" width="11.375" style="1" bestFit="1" customWidth="1"/>
    <col min="10247" max="10250" width="12.5" style="1" bestFit="1" customWidth="1"/>
    <col min="10251" max="10269" width="13" style="1" bestFit="1" customWidth="1"/>
    <col min="10270" max="10273" width="11" style="1" bestFit="1" customWidth="1"/>
    <col min="10274" max="10276" width="12.25" style="1" bestFit="1" customWidth="1"/>
    <col min="10277" max="10288" width="11" style="1" bestFit="1" customWidth="1"/>
    <col min="10289" max="10289" width="13.25" style="1" bestFit="1" customWidth="1"/>
    <col min="10290" max="10290" width="10.375" style="1" bestFit="1" customWidth="1"/>
    <col min="10291" max="10291" width="11" style="1" bestFit="1" customWidth="1"/>
    <col min="10292" max="10496" width="9" style="1"/>
    <col min="10497" max="10497" width="2.875" style="1" bestFit="1" customWidth="1"/>
    <col min="10498" max="10498" width="17.625" style="1" bestFit="1" customWidth="1"/>
    <col min="10499" max="10499" width="11.375" style="1" bestFit="1" customWidth="1"/>
    <col min="10500" max="10501" width="14.125" style="1" bestFit="1" customWidth="1"/>
    <col min="10502" max="10502" width="11.375" style="1" bestFit="1" customWidth="1"/>
    <col min="10503" max="10506" width="12.5" style="1" bestFit="1" customWidth="1"/>
    <col min="10507" max="10525" width="13" style="1" bestFit="1" customWidth="1"/>
    <col min="10526" max="10529" width="11" style="1" bestFit="1" customWidth="1"/>
    <col min="10530" max="10532" width="12.25" style="1" bestFit="1" customWidth="1"/>
    <col min="10533" max="10544" width="11" style="1" bestFit="1" customWidth="1"/>
    <col min="10545" max="10545" width="13.25" style="1" bestFit="1" customWidth="1"/>
    <col min="10546" max="10546" width="10.375" style="1" bestFit="1" customWidth="1"/>
    <col min="10547" max="10547" width="11" style="1" bestFit="1" customWidth="1"/>
    <col min="10548" max="10752" width="9" style="1"/>
    <col min="10753" max="10753" width="2.875" style="1" bestFit="1" customWidth="1"/>
    <col min="10754" max="10754" width="17.625" style="1" bestFit="1" customWidth="1"/>
    <col min="10755" max="10755" width="11.375" style="1" bestFit="1" customWidth="1"/>
    <col min="10756" max="10757" width="14.125" style="1" bestFit="1" customWidth="1"/>
    <col min="10758" max="10758" width="11.375" style="1" bestFit="1" customWidth="1"/>
    <col min="10759" max="10762" width="12.5" style="1" bestFit="1" customWidth="1"/>
    <col min="10763" max="10781" width="13" style="1" bestFit="1" customWidth="1"/>
    <col min="10782" max="10785" width="11" style="1" bestFit="1" customWidth="1"/>
    <col min="10786" max="10788" width="12.25" style="1" bestFit="1" customWidth="1"/>
    <col min="10789" max="10800" width="11" style="1" bestFit="1" customWidth="1"/>
    <col min="10801" max="10801" width="13.25" style="1" bestFit="1" customWidth="1"/>
    <col min="10802" max="10802" width="10.375" style="1" bestFit="1" customWidth="1"/>
    <col min="10803" max="10803" width="11" style="1" bestFit="1" customWidth="1"/>
    <col min="10804" max="11008" width="9" style="1"/>
    <col min="11009" max="11009" width="2.875" style="1" bestFit="1" customWidth="1"/>
    <col min="11010" max="11010" width="17.625" style="1" bestFit="1" customWidth="1"/>
    <col min="11011" max="11011" width="11.375" style="1" bestFit="1" customWidth="1"/>
    <col min="11012" max="11013" width="14.125" style="1" bestFit="1" customWidth="1"/>
    <col min="11014" max="11014" width="11.375" style="1" bestFit="1" customWidth="1"/>
    <col min="11015" max="11018" width="12.5" style="1" bestFit="1" customWidth="1"/>
    <col min="11019" max="11037" width="13" style="1" bestFit="1" customWidth="1"/>
    <col min="11038" max="11041" width="11" style="1" bestFit="1" customWidth="1"/>
    <col min="11042" max="11044" width="12.25" style="1" bestFit="1" customWidth="1"/>
    <col min="11045" max="11056" width="11" style="1" bestFit="1" customWidth="1"/>
    <col min="11057" max="11057" width="13.25" style="1" bestFit="1" customWidth="1"/>
    <col min="11058" max="11058" width="10.375" style="1" bestFit="1" customWidth="1"/>
    <col min="11059" max="11059" width="11" style="1" bestFit="1" customWidth="1"/>
    <col min="11060" max="11264" width="9" style="1"/>
    <col min="11265" max="11265" width="2.875" style="1" bestFit="1" customWidth="1"/>
    <col min="11266" max="11266" width="17.625" style="1" bestFit="1" customWidth="1"/>
    <col min="11267" max="11267" width="11.375" style="1" bestFit="1" customWidth="1"/>
    <col min="11268" max="11269" width="14.125" style="1" bestFit="1" customWidth="1"/>
    <col min="11270" max="11270" width="11.375" style="1" bestFit="1" customWidth="1"/>
    <col min="11271" max="11274" width="12.5" style="1" bestFit="1" customWidth="1"/>
    <col min="11275" max="11293" width="13" style="1" bestFit="1" customWidth="1"/>
    <col min="11294" max="11297" width="11" style="1" bestFit="1" customWidth="1"/>
    <col min="11298" max="11300" width="12.25" style="1" bestFit="1" customWidth="1"/>
    <col min="11301" max="11312" width="11" style="1" bestFit="1" customWidth="1"/>
    <col min="11313" max="11313" width="13.25" style="1" bestFit="1" customWidth="1"/>
    <col min="11314" max="11314" width="10.375" style="1" bestFit="1" customWidth="1"/>
    <col min="11315" max="11315" width="11" style="1" bestFit="1" customWidth="1"/>
    <col min="11316" max="11520" width="9" style="1"/>
    <col min="11521" max="11521" width="2.875" style="1" bestFit="1" customWidth="1"/>
    <col min="11522" max="11522" width="17.625" style="1" bestFit="1" customWidth="1"/>
    <col min="11523" max="11523" width="11.375" style="1" bestFit="1" customWidth="1"/>
    <col min="11524" max="11525" width="14.125" style="1" bestFit="1" customWidth="1"/>
    <col min="11526" max="11526" width="11.375" style="1" bestFit="1" customWidth="1"/>
    <col min="11527" max="11530" width="12.5" style="1" bestFit="1" customWidth="1"/>
    <col min="11531" max="11549" width="13" style="1" bestFit="1" customWidth="1"/>
    <col min="11550" max="11553" width="11" style="1" bestFit="1" customWidth="1"/>
    <col min="11554" max="11556" width="12.25" style="1" bestFit="1" customWidth="1"/>
    <col min="11557" max="11568" width="11" style="1" bestFit="1" customWidth="1"/>
    <col min="11569" max="11569" width="13.25" style="1" bestFit="1" customWidth="1"/>
    <col min="11570" max="11570" width="10.375" style="1" bestFit="1" customWidth="1"/>
    <col min="11571" max="11571" width="11" style="1" bestFit="1" customWidth="1"/>
    <col min="11572" max="11776" width="9" style="1"/>
    <col min="11777" max="11777" width="2.875" style="1" bestFit="1" customWidth="1"/>
    <col min="11778" max="11778" width="17.625" style="1" bestFit="1" customWidth="1"/>
    <col min="11779" max="11779" width="11.375" style="1" bestFit="1" customWidth="1"/>
    <col min="11780" max="11781" width="14.125" style="1" bestFit="1" customWidth="1"/>
    <col min="11782" max="11782" width="11.375" style="1" bestFit="1" customWidth="1"/>
    <col min="11783" max="11786" width="12.5" style="1" bestFit="1" customWidth="1"/>
    <col min="11787" max="11805" width="13" style="1" bestFit="1" customWidth="1"/>
    <col min="11806" max="11809" width="11" style="1" bestFit="1" customWidth="1"/>
    <col min="11810" max="11812" width="12.25" style="1" bestFit="1" customWidth="1"/>
    <col min="11813" max="11824" width="11" style="1" bestFit="1" customWidth="1"/>
    <col min="11825" max="11825" width="13.25" style="1" bestFit="1" customWidth="1"/>
    <col min="11826" max="11826" width="10.375" style="1" bestFit="1" customWidth="1"/>
    <col min="11827" max="11827" width="11" style="1" bestFit="1" customWidth="1"/>
    <col min="11828" max="12032" width="9" style="1"/>
    <col min="12033" max="12033" width="2.875" style="1" bestFit="1" customWidth="1"/>
    <col min="12034" max="12034" width="17.625" style="1" bestFit="1" customWidth="1"/>
    <col min="12035" max="12035" width="11.375" style="1" bestFit="1" customWidth="1"/>
    <col min="12036" max="12037" width="14.125" style="1" bestFit="1" customWidth="1"/>
    <col min="12038" max="12038" width="11.375" style="1" bestFit="1" customWidth="1"/>
    <col min="12039" max="12042" width="12.5" style="1" bestFit="1" customWidth="1"/>
    <col min="12043" max="12061" width="13" style="1" bestFit="1" customWidth="1"/>
    <col min="12062" max="12065" width="11" style="1" bestFit="1" customWidth="1"/>
    <col min="12066" max="12068" width="12.25" style="1" bestFit="1" customWidth="1"/>
    <col min="12069" max="12080" width="11" style="1" bestFit="1" customWidth="1"/>
    <col min="12081" max="12081" width="13.25" style="1" bestFit="1" customWidth="1"/>
    <col min="12082" max="12082" width="10.375" style="1" bestFit="1" customWidth="1"/>
    <col min="12083" max="12083" width="11" style="1" bestFit="1" customWidth="1"/>
    <col min="12084" max="12288" width="9" style="1"/>
    <col min="12289" max="12289" width="2.875" style="1" bestFit="1" customWidth="1"/>
    <col min="12290" max="12290" width="17.625" style="1" bestFit="1" customWidth="1"/>
    <col min="12291" max="12291" width="11.375" style="1" bestFit="1" customWidth="1"/>
    <col min="12292" max="12293" width="14.125" style="1" bestFit="1" customWidth="1"/>
    <col min="12294" max="12294" width="11.375" style="1" bestFit="1" customWidth="1"/>
    <col min="12295" max="12298" width="12.5" style="1" bestFit="1" customWidth="1"/>
    <col min="12299" max="12317" width="13" style="1" bestFit="1" customWidth="1"/>
    <col min="12318" max="12321" width="11" style="1" bestFit="1" customWidth="1"/>
    <col min="12322" max="12324" width="12.25" style="1" bestFit="1" customWidth="1"/>
    <col min="12325" max="12336" width="11" style="1" bestFit="1" customWidth="1"/>
    <col min="12337" max="12337" width="13.25" style="1" bestFit="1" customWidth="1"/>
    <col min="12338" max="12338" width="10.375" style="1" bestFit="1" customWidth="1"/>
    <col min="12339" max="12339" width="11" style="1" bestFit="1" customWidth="1"/>
    <col min="12340" max="12544" width="9" style="1"/>
    <col min="12545" max="12545" width="2.875" style="1" bestFit="1" customWidth="1"/>
    <col min="12546" max="12546" width="17.625" style="1" bestFit="1" customWidth="1"/>
    <col min="12547" max="12547" width="11.375" style="1" bestFit="1" customWidth="1"/>
    <col min="12548" max="12549" width="14.125" style="1" bestFit="1" customWidth="1"/>
    <col min="12550" max="12550" width="11.375" style="1" bestFit="1" customWidth="1"/>
    <col min="12551" max="12554" width="12.5" style="1" bestFit="1" customWidth="1"/>
    <col min="12555" max="12573" width="13" style="1" bestFit="1" customWidth="1"/>
    <col min="12574" max="12577" width="11" style="1" bestFit="1" customWidth="1"/>
    <col min="12578" max="12580" width="12.25" style="1" bestFit="1" customWidth="1"/>
    <col min="12581" max="12592" width="11" style="1" bestFit="1" customWidth="1"/>
    <col min="12593" max="12593" width="13.25" style="1" bestFit="1" customWidth="1"/>
    <col min="12594" max="12594" width="10.375" style="1" bestFit="1" customWidth="1"/>
    <col min="12595" max="12595" width="11" style="1" bestFit="1" customWidth="1"/>
    <col min="12596" max="12800" width="9" style="1"/>
    <col min="12801" max="12801" width="2.875" style="1" bestFit="1" customWidth="1"/>
    <col min="12802" max="12802" width="17.625" style="1" bestFit="1" customWidth="1"/>
    <col min="12803" max="12803" width="11.375" style="1" bestFit="1" customWidth="1"/>
    <col min="12804" max="12805" width="14.125" style="1" bestFit="1" customWidth="1"/>
    <col min="12806" max="12806" width="11.375" style="1" bestFit="1" customWidth="1"/>
    <col min="12807" max="12810" width="12.5" style="1" bestFit="1" customWidth="1"/>
    <col min="12811" max="12829" width="13" style="1" bestFit="1" customWidth="1"/>
    <col min="12830" max="12833" width="11" style="1" bestFit="1" customWidth="1"/>
    <col min="12834" max="12836" width="12.25" style="1" bestFit="1" customWidth="1"/>
    <col min="12837" max="12848" width="11" style="1" bestFit="1" customWidth="1"/>
    <col min="12849" max="12849" width="13.25" style="1" bestFit="1" customWidth="1"/>
    <col min="12850" max="12850" width="10.375" style="1" bestFit="1" customWidth="1"/>
    <col min="12851" max="12851" width="11" style="1" bestFit="1" customWidth="1"/>
    <col min="12852" max="13056" width="9" style="1"/>
    <col min="13057" max="13057" width="2.875" style="1" bestFit="1" customWidth="1"/>
    <col min="13058" max="13058" width="17.625" style="1" bestFit="1" customWidth="1"/>
    <col min="13059" max="13059" width="11.375" style="1" bestFit="1" customWidth="1"/>
    <col min="13060" max="13061" width="14.125" style="1" bestFit="1" customWidth="1"/>
    <col min="13062" max="13062" width="11.375" style="1" bestFit="1" customWidth="1"/>
    <col min="13063" max="13066" width="12.5" style="1" bestFit="1" customWidth="1"/>
    <col min="13067" max="13085" width="13" style="1" bestFit="1" customWidth="1"/>
    <col min="13086" max="13089" width="11" style="1" bestFit="1" customWidth="1"/>
    <col min="13090" max="13092" width="12.25" style="1" bestFit="1" customWidth="1"/>
    <col min="13093" max="13104" width="11" style="1" bestFit="1" customWidth="1"/>
    <col min="13105" max="13105" width="13.25" style="1" bestFit="1" customWidth="1"/>
    <col min="13106" max="13106" width="10.375" style="1" bestFit="1" customWidth="1"/>
    <col min="13107" max="13107" width="11" style="1" bestFit="1" customWidth="1"/>
    <col min="13108" max="13312" width="9" style="1"/>
    <col min="13313" max="13313" width="2.875" style="1" bestFit="1" customWidth="1"/>
    <col min="13314" max="13314" width="17.625" style="1" bestFit="1" customWidth="1"/>
    <col min="13315" max="13315" width="11.375" style="1" bestFit="1" customWidth="1"/>
    <col min="13316" max="13317" width="14.125" style="1" bestFit="1" customWidth="1"/>
    <col min="13318" max="13318" width="11.375" style="1" bestFit="1" customWidth="1"/>
    <col min="13319" max="13322" width="12.5" style="1" bestFit="1" customWidth="1"/>
    <col min="13323" max="13341" width="13" style="1" bestFit="1" customWidth="1"/>
    <col min="13342" max="13345" width="11" style="1" bestFit="1" customWidth="1"/>
    <col min="13346" max="13348" width="12.25" style="1" bestFit="1" customWidth="1"/>
    <col min="13349" max="13360" width="11" style="1" bestFit="1" customWidth="1"/>
    <col min="13361" max="13361" width="13.25" style="1" bestFit="1" customWidth="1"/>
    <col min="13362" max="13362" width="10.375" style="1" bestFit="1" customWidth="1"/>
    <col min="13363" max="13363" width="11" style="1" bestFit="1" customWidth="1"/>
    <col min="13364" max="13568" width="9" style="1"/>
    <col min="13569" max="13569" width="2.875" style="1" bestFit="1" customWidth="1"/>
    <col min="13570" max="13570" width="17.625" style="1" bestFit="1" customWidth="1"/>
    <col min="13571" max="13571" width="11.375" style="1" bestFit="1" customWidth="1"/>
    <col min="13572" max="13573" width="14.125" style="1" bestFit="1" customWidth="1"/>
    <col min="13574" max="13574" width="11.375" style="1" bestFit="1" customWidth="1"/>
    <col min="13575" max="13578" width="12.5" style="1" bestFit="1" customWidth="1"/>
    <col min="13579" max="13597" width="13" style="1" bestFit="1" customWidth="1"/>
    <col min="13598" max="13601" width="11" style="1" bestFit="1" customWidth="1"/>
    <col min="13602" max="13604" width="12.25" style="1" bestFit="1" customWidth="1"/>
    <col min="13605" max="13616" width="11" style="1" bestFit="1" customWidth="1"/>
    <col min="13617" max="13617" width="13.25" style="1" bestFit="1" customWidth="1"/>
    <col min="13618" max="13618" width="10.375" style="1" bestFit="1" customWidth="1"/>
    <col min="13619" max="13619" width="11" style="1" bestFit="1" customWidth="1"/>
    <col min="13620" max="13824" width="9" style="1"/>
    <col min="13825" max="13825" width="2.875" style="1" bestFit="1" customWidth="1"/>
    <col min="13826" max="13826" width="17.625" style="1" bestFit="1" customWidth="1"/>
    <col min="13827" max="13827" width="11.375" style="1" bestFit="1" customWidth="1"/>
    <col min="13828" max="13829" width="14.125" style="1" bestFit="1" customWidth="1"/>
    <col min="13830" max="13830" width="11.375" style="1" bestFit="1" customWidth="1"/>
    <col min="13831" max="13834" width="12.5" style="1" bestFit="1" customWidth="1"/>
    <col min="13835" max="13853" width="13" style="1" bestFit="1" customWidth="1"/>
    <col min="13854" max="13857" width="11" style="1" bestFit="1" customWidth="1"/>
    <col min="13858" max="13860" width="12.25" style="1" bestFit="1" customWidth="1"/>
    <col min="13861" max="13872" width="11" style="1" bestFit="1" customWidth="1"/>
    <col min="13873" max="13873" width="13.25" style="1" bestFit="1" customWidth="1"/>
    <col min="13874" max="13874" width="10.375" style="1" bestFit="1" customWidth="1"/>
    <col min="13875" max="13875" width="11" style="1" bestFit="1" customWidth="1"/>
    <col min="13876" max="14080" width="9" style="1"/>
    <col min="14081" max="14081" width="2.875" style="1" bestFit="1" customWidth="1"/>
    <col min="14082" max="14082" width="17.625" style="1" bestFit="1" customWidth="1"/>
    <col min="14083" max="14083" width="11.375" style="1" bestFit="1" customWidth="1"/>
    <col min="14084" max="14085" width="14.125" style="1" bestFit="1" customWidth="1"/>
    <col min="14086" max="14086" width="11.375" style="1" bestFit="1" customWidth="1"/>
    <col min="14087" max="14090" width="12.5" style="1" bestFit="1" customWidth="1"/>
    <col min="14091" max="14109" width="13" style="1" bestFit="1" customWidth="1"/>
    <col min="14110" max="14113" width="11" style="1" bestFit="1" customWidth="1"/>
    <col min="14114" max="14116" width="12.25" style="1" bestFit="1" customWidth="1"/>
    <col min="14117" max="14128" width="11" style="1" bestFit="1" customWidth="1"/>
    <col min="14129" max="14129" width="13.25" style="1" bestFit="1" customWidth="1"/>
    <col min="14130" max="14130" width="10.375" style="1" bestFit="1" customWidth="1"/>
    <col min="14131" max="14131" width="11" style="1" bestFit="1" customWidth="1"/>
    <col min="14132" max="14336" width="9" style="1"/>
    <col min="14337" max="14337" width="2.875" style="1" bestFit="1" customWidth="1"/>
    <col min="14338" max="14338" width="17.625" style="1" bestFit="1" customWidth="1"/>
    <col min="14339" max="14339" width="11.375" style="1" bestFit="1" customWidth="1"/>
    <col min="14340" max="14341" width="14.125" style="1" bestFit="1" customWidth="1"/>
    <col min="14342" max="14342" width="11.375" style="1" bestFit="1" customWidth="1"/>
    <col min="14343" max="14346" width="12.5" style="1" bestFit="1" customWidth="1"/>
    <col min="14347" max="14365" width="13" style="1" bestFit="1" customWidth="1"/>
    <col min="14366" max="14369" width="11" style="1" bestFit="1" customWidth="1"/>
    <col min="14370" max="14372" width="12.25" style="1" bestFit="1" customWidth="1"/>
    <col min="14373" max="14384" width="11" style="1" bestFit="1" customWidth="1"/>
    <col min="14385" max="14385" width="13.25" style="1" bestFit="1" customWidth="1"/>
    <col min="14386" max="14386" width="10.375" style="1" bestFit="1" customWidth="1"/>
    <col min="14387" max="14387" width="11" style="1" bestFit="1" customWidth="1"/>
    <col min="14388" max="14592" width="9" style="1"/>
    <col min="14593" max="14593" width="2.875" style="1" bestFit="1" customWidth="1"/>
    <col min="14594" max="14594" width="17.625" style="1" bestFit="1" customWidth="1"/>
    <col min="14595" max="14595" width="11.375" style="1" bestFit="1" customWidth="1"/>
    <col min="14596" max="14597" width="14.125" style="1" bestFit="1" customWidth="1"/>
    <col min="14598" max="14598" width="11.375" style="1" bestFit="1" customWidth="1"/>
    <col min="14599" max="14602" width="12.5" style="1" bestFit="1" customWidth="1"/>
    <col min="14603" max="14621" width="13" style="1" bestFit="1" customWidth="1"/>
    <col min="14622" max="14625" width="11" style="1" bestFit="1" customWidth="1"/>
    <col min="14626" max="14628" width="12.25" style="1" bestFit="1" customWidth="1"/>
    <col min="14629" max="14640" width="11" style="1" bestFit="1" customWidth="1"/>
    <col min="14641" max="14641" width="13.25" style="1" bestFit="1" customWidth="1"/>
    <col min="14642" max="14642" width="10.375" style="1" bestFit="1" customWidth="1"/>
    <col min="14643" max="14643" width="11" style="1" bestFit="1" customWidth="1"/>
    <col min="14644" max="14848" width="9" style="1"/>
    <col min="14849" max="14849" width="2.875" style="1" bestFit="1" customWidth="1"/>
    <col min="14850" max="14850" width="17.625" style="1" bestFit="1" customWidth="1"/>
    <col min="14851" max="14851" width="11.375" style="1" bestFit="1" customWidth="1"/>
    <col min="14852" max="14853" width="14.125" style="1" bestFit="1" customWidth="1"/>
    <col min="14854" max="14854" width="11.375" style="1" bestFit="1" customWidth="1"/>
    <col min="14855" max="14858" width="12.5" style="1" bestFit="1" customWidth="1"/>
    <col min="14859" max="14877" width="13" style="1" bestFit="1" customWidth="1"/>
    <col min="14878" max="14881" width="11" style="1" bestFit="1" customWidth="1"/>
    <col min="14882" max="14884" width="12.25" style="1" bestFit="1" customWidth="1"/>
    <col min="14885" max="14896" width="11" style="1" bestFit="1" customWidth="1"/>
    <col min="14897" max="14897" width="13.25" style="1" bestFit="1" customWidth="1"/>
    <col min="14898" max="14898" width="10.375" style="1" bestFit="1" customWidth="1"/>
    <col min="14899" max="14899" width="11" style="1" bestFit="1" customWidth="1"/>
    <col min="14900" max="15104" width="9" style="1"/>
    <col min="15105" max="15105" width="2.875" style="1" bestFit="1" customWidth="1"/>
    <col min="15106" max="15106" width="17.625" style="1" bestFit="1" customWidth="1"/>
    <col min="15107" max="15107" width="11.375" style="1" bestFit="1" customWidth="1"/>
    <col min="15108" max="15109" width="14.125" style="1" bestFit="1" customWidth="1"/>
    <col min="15110" max="15110" width="11.375" style="1" bestFit="1" customWidth="1"/>
    <col min="15111" max="15114" width="12.5" style="1" bestFit="1" customWidth="1"/>
    <col min="15115" max="15133" width="13" style="1" bestFit="1" customWidth="1"/>
    <col min="15134" max="15137" width="11" style="1" bestFit="1" customWidth="1"/>
    <col min="15138" max="15140" width="12.25" style="1" bestFit="1" customWidth="1"/>
    <col min="15141" max="15152" width="11" style="1" bestFit="1" customWidth="1"/>
    <col min="15153" max="15153" width="13.25" style="1" bestFit="1" customWidth="1"/>
    <col min="15154" max="15154" width="10.375" style="1" bestFit="1" customWidth="1"/>
    <col min="15155" max="15155" width="11" style="1" bestFit="1" customWidth="1"/>
    <col min="15156" max="15360" width="9" style="1"/>
    <col min="15361" max="15361" width="2.875" style="1" bestFit="1" customWidth="1"/>
    <col min="15362" max="15362" width="17.625" style="1" bestFit="1" customWidth="1"/>
    <col min="15363" max="15363" width="11.375" style="1" bestFit="1" customWidth="1"/>
    <col min="15364" max="15365" width="14.125" style="1" bestFit="1" customWidth="1"/>
    <col min="15366" max="15366" width="11.375" style="1" bestFit="1" customWidth="1"/>
    <col min="15367" max="15370" width="12.5" style="1" bestFit="1" customWidth="1"/>
    <col min="15371" max="15389" width="13" style="1" bestFit="1" customWidth="1"/>
    <col min="15390" max="15393" width="11" style="1" bestFit="1" customWidth="1"/>
    <col min="15394" max="15396" width="12.25" style="1" bestFit="1" customWidth="1"/>
    <col min="15397" max="15408" width="11" style="1" bestFit="1" customWidth="1"/>
    <col min="15409" max="15409" width="13.25" style="1" bestFit="1" customWidth="1"/>
    <col min="15410" max="15410" width="10.375" style="1" bestFit="1" customWidth="1"/>
    <col min="15411" max="15411" width="11" style="1" bestFit="1" customWidth="1"/>
    <col min="15412" max="15616" width="9" style="1"/>
    <col min="15617" max="15617" width="2.875" style="1" bestFit="1" customWidth="1"/>
    <col min="15618" max="15618" width="17.625" style="1" bestFit="1" customWidth="1"/>
    <col min="15619" max="15619" width="11.375" style="1" bestFit="1" customWidth="1"/>
    <col min="15620" max="15621" width="14.125" style="1" bestFit="1" customWidth="1"/>
    <col min="15622" max="15622" width="11.375" style="1" bestFit="1" customWidth="1"/>
    <col min="15623" max="15626" width="12.5" style="1" bestFit="1" customWidth="1"/>
    <col min="15627" max="15645" width="13" style="1" bestFit="1" customWidth="1"/>
    <col min="15646" max="15649" width="11" style="1" bestFit="1" customWidth="1"/>
    <col min="15650" max="15652" width="12.25" style="1" bestFit="1" customWidth="1"/>
    <col min="15653" max="15664" width="11" style="1" bestFit="1" customWidth="1"/>
    <col min="15665" max="15665" width="13.25" style="1" bestFit="1" customWidth="1"/>
    <col min="15666" max="15666" width="10.375" style="1" bestFit="1" customWidth="1"/>
    <col min="15667" max="15667" width="11" style="1" bestFit="1" customWidth="1"/>
    <col min="15668" max="15872" width="9" style="1"/>
    <col min="15873" max="15873" width="2.875" style="1" bestFit="1" customWidth="1"/>
    <col min="15874" max="15874" width="17.625" style="1" bestFit="1" customWidth="1"/>
    <col min="15875" max="15875" width="11.375" style="1" bestFit="1" customWidth="1"/>
    <col min="15876" max="15877" width="14.125" style="1" bestFit="1" customWidth="1"/>
    <col min="15878" max="15878" width="11.375" style="1" bestFit="1" customWidth="1"/>
    <col min="15879" max="15882" width="12.5" style="1" bestFit="1" customWidth="1"/>
    <col min="15883" max="15901" width="13" style="1" bestFit="1" customWidth="1"/>
    <col min="15902" max="15905" width="11" style="1" bestFit="1" customWidth="1"/>
    <col min="15906" max="15908" width="12.25" style="1" bestFit="1" customWidth="1"/>
    <col min="15909" max="15920" width="11" style="1" bestFit="1" customWidth="1"/>
    <col min="15921" max="15921" width="13.25" style="1" bestFit="1" customWidth="1"/>
    <col min="15922" max="15922" width="10.375" style="1" bestFit="1" customWidth="1"/>
    <col min="15923" max="15923" width="11" style="1" bestFit="1" customWidth="1"/>
    <col min="15924" max="16128" width="9" style="1"/>
    <col min="16129" max="16129" width="2.875" style="1" bestFit="1" customWidth="1"/>
    <col min="16130" max="16130" width="17.625" style="1" bestFit="1" customWidth="1"/>
    <col min="16131" max="16131" width="11.375" style="1" bestFit="1" customWidth="1"/>
    <col min="16132" max="16133" width="14.125" style="1" bestFit="1" customWidth="1"/>
    <col min="16134" max="16134" width="11.375" style="1" bestFit="1" customWidth="1"/>
    <col min="16135" max="16138" width="12.5" style="1" bestFit="1" customWidth="1"/>
    <col min="16139" max="16157" width="13" style="1" bestFit="1" customWidth="1"/>
    <col min="16158" max="16161" width="11" style="1" bestFit="1" customWidth="1"/>
    <col min="16162" max="16164" width="12.25" style="1" bestFit="1" customWidth="1"/>
    <col min="16165" max="16176" width="11" style="1" bestFit="1" customWidth="1"/>
    <col min="16177" max="16177" width="13.25" style="1" bestFit="1" customWidth="1"/>
    <col min="16178" max="16178" width="10.375" style="1" bestFit="1" customWidth="1"/>
    <col min="16179" max="16179" width="11" style="1" bestFit="1" customWidth="1"/>
    <col min="16180" max="16384" width="9" style="1"/>
  </cols>
  <sheetData>
    <row r="1" spans="1:51" hidden="1" x14ac:dyDescent="0.15"/>
    <row r="2" spans="1:51" ht="30.75" hidden="1" customHeight="1" x14ac:dyDescent="0.15"/>
    <row r="3" spans="1:51" x14ac:dyDescent="0.15">
      <c r="A3" s="37">
        <v>45474</v>
      </c>
      <c r="B3" s="37"/>
    </row>
    <row r="4" spans="1:51" s="5" customFormat="1" ht="12" customHeight="1" x14ac:dyDescent="0.15">
      <c r="A4" s="38" t="s">
        <v>0</v>
      </c>
      <c r="B4" s="38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2" t="s">
        <v>10</v>
      </c>
      <c r="M4" s="2" t="s">
        <v>11</v>
      </c>
      <c r="N4" s="2" t="s">
        <v>12</v>
      </c>
      <c r="O4" s="2" t="s">
        <v>13</v>
      </c>
      <c r="P4" s="2" t="s">
        <v>14</v>
      </c>
      <c r="Q4" s="2" t="s">
        <v>236</v>
      </c>
      <c r="R4" s="2" t="s">
        <v>15</v>
      </c>
      <c r="S4" s="2" t="s">
        <v>16</v>
      </c>
      <c r="T4" s="2" t="s">
        <v>17</v>
      </c>
      <c r="U4" s="2" t="s">
        <v>18</v>
      </c>
      <c r="V4" s="2" t="s">
        <v>19</v>
      </c>
      <c r="W4" s="2" t="s">
        <v>20</v>
      </c>
      <c r="X4" s="2" t="s">
        <v>21</v>
      </c>
      <c r="Y4" s="2" t="s">
        <v>22</v>
      </c>
      <c r="Z4" s="2" t="s">
        <v>23</v>
      </c>
      <c r="AA4" s="2" t="s">
        <v>24</v>
      </c>
      <c r="AB4" s="2" t="s">
        <v>25</v>
      </c>
      <c r="AC4" s="2" t="s">
        <v>237</v>
      </c>
      <c r="AD4" s="2" t="s">
        <v>26</v>
      </c>
      <c r="AE4" s="2" t="s">
        <v>27</v>
      </c>
      <c r="AF4" s="2" t="s">
        <v>28</v>
      </c>
      <c r="AG4" s="2" t="s">
        <v>29</v>
      </c>
      <c r="AH4" s="2" t="s">
        <v>30</v>
      </c>
      <c r="AI4" s="2" t="s">
        <v>31</v>
      </c>
      <c r="AJ4" s="2" t="s">
        <v>32</v>
      </c>
      <c r="AK4" s="2" t="s">
        <v>238</v>
      </c>
      <c r="AL4" s="2" t="s">
        <v>239</v>
      </c>
      <c r="AM4" s="2" t="s">
        <v>33</v>
      </c>
      <c r="AN4" s="2" t="s">
        <v>34</v>
      </c>
      <c r="AO4" s="2" t="s">
        <v>35</v>
      </c>
      <c r="AP4" s="2" t="s">
        <v>36</v>
      </c>
      <c r="AQ4" s="2" t="s">
        <v>240</v>
      </c>
      <c r="AR4" s="2" t="s">
        <v>241</v>
      </c>
      <c r="AS4" s="2" t="s">
        <v>37</v>
      </c>
      <c r="AT4" s="2" t="s">
        <v>38</v>
      </c>
      <c r="AU4" s="2" t="s">
        <v>39</v>
      </c>
      <c r="AV4" s="3" t="s">
        <v>40</v>
      </c>
      <c r="AW4" s="3" t="s">
        <v>41</v>
      </c>
      <c r="AX4" s="3" t="s">
        <v>42</v>
      </c>
      <c r="AY4" s="4" t="s">
        <v>43</v>
      </c>
    </row>
    <row r="5" spans="1:51" s="5" customFormat="1" hidden="1" x14ac:dyDescent="0.15">
      <c r="A5" s="39" t="s">
        <v>44</v>
      </c>
      <c r="B5" s="40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2">
        <v>2</v>
      </c>
      <c r="X5" s="2">
        <v>2</v>
      </c>
      <c r="Y5" s="2">
        <v>2</v>
      </c>
      <c r="Z5" s="2">
        <v>2</v>
      </c>
      <c r="AA5" s="2">
        <v>2</v>
      </c>
      <c r="AB5" s="2">
        <v>2</v>
      </c>
      <c r="AC5" s="2">
        <v>2</v>
      </c>
      <c r="AD5" s="2">
        <v>6</v>
      </c>
      <c r="AE5" s="2">
        <v>6</v>
      </c>
      <c r="AF5" s="2">
        <v>6</v>
      </c>
      <c r="AG5" s="2">
        <v>6</v>
      </c>
      <c r="AH5" s="2">
        <v>6</v>
      </c>
      <c r="AI5" s="2">
        <v>6</v>
      </c>
      <c r="AJ5" s="2">
        <v>6</v>
      </c>
      <c r="AK5" s="2">
        <v>7</v>
      </c>
      <c r="AL5" s="2">
        <v>7</v>
      </c>
      <c r="AM5" s="2">
        <v>7</v>
      </c>
      <c r="AN5" s="2">
        <v>7</v>
      </c>
      <c r="AO5" s="2">
        <v>7</v>
      </c>
      <c r="AP5" s="2">
        <v>7</v>
      </c>
      <c r="AQ5" s="2">
        <v>8</v>
      </c>
      <c r="AR5" s="2">
        <v>8</v>
      </c>
      <c r="AS5" s="2">
        <v>8</v>
      </c>
      <c r="AT5" s="2">
        <v>8</v>
      </c>
      <c r="AU5" s="2">
        <v>8</v>
      </c>
      <c r="AV5" s="3">
        <v>8</v>
      </c>
      <c r="AW5" s="3"/>
      <c r="AX5" s="3"/>
      <c r="AY5" s="4"/>
    </row>
    <row r="6" spans="1:51" s="5" customFormat="1" hidden="1" x14ac:dyDescent="0.15">
      <c r="A6" s="39" t="s">
        <v>45</v>
      </c>
      <c r="B6" s="40"/>
      <c r="C6" s="2" t="s">
        <v>46</v>
      </c>
      <c r="D6" s="2" t="s">
        <v>46</v>
      </c>
      <c r="E6" s="2" t="s">
        <v>46</v>
      </c>
      <c r="F6" s="2" t="s">
        <v>46</v>
      </c>
      <c r="G6" s="2" t="s">
        <v>46</v>
      </c>
      <c r="H6" s="2" t="s">
        <v>46</v>
      </c>
      <c r="I6" s="2" t="s">
        <v>46</v>
      </c>
      <c r="J6" s="2" t="s">
        <v>46</v>
      </c>
      <c r="K6" s="2" t="s">
        <v>47</v>
      </c>
      <c r="L6" s="2" t="s">
        <v>47</v>
      </c>
      <c r="M6" s="2" t="s">
        <v>47</v>
      </c>
      <c r="N6" s="2" t="s">
        <v>47</v>
      </c>
      <c r="O6" s="2" t="s">
        <v>47</v>
      </c>
      <c r="P6" s="2" t="s">
        <v>47</v>
      </c>
      <c r="Q6" s="2" t="s">
        <v>47</v>
      </c>
      <c r="R6" s="2" t="s">
        <v>47</v>
      </c>
      <c r="S6" s="2" t="s">
        <v>47</v>
      </c>
      <c r="T6" s="2" t="s">
        <v>47</v>
      </c>
      <c r="U6" s="2" t="s">
        <v>47</v>
      </c>
      <c r="V6" s="2" t="s">
        <v>47</v>
      </c>
      <c r="W6" s="2" t="s">
        <v>47</v>
      </c>
      <c r="X6" s="2" t="s">
        <v>47</v>
      </c>
      <c r="Y6" s="2" t="s">
        <v>47</v>
      </c>
      <c r="Z6" s="2" t="s">
        <v>47</v>
      </c>
      <c r="AA6" s="2" t="s">
        <v>47</v>
      </c>
      <c r="AB6" s="2" t="s">
        <v>47</v>
      </c>
      <c r="AC6" s="2" t="s">
        <v>47</v>
      </c>
      <c r="AD6" s="2" t="s">
        <v>48</v>
      </c>
      <c r="AE6" s="2" t="s">
        <v>48</v>
      </c>
      <c r="AF6" s="2" t="s">
        <v>48</v>
      </c>
      <c r="AG6" s="2" t="s">
        <v>48</v>
      </c>
      <c r="AH6" s="2" t="s">
        <v>48</v>
      </c>
      <c r="AI6" s="2" t="s">
        <v>48</v>
      </c>
      <c r="AJ6" s="2" t="s">
        <v>48</v>
      </c>
      <c r="AK6" s="2" t="s">
        <v>49</v>
      </c>
      <c r="AL6" s="2" t="s">
        <v>49</v>
      </c>
      <c r="AM6" s="2" t="s">
        <v>49</v>
      </c>
      <c r="AN6" s="2" t="s">
        <v>49</v>
      </c>
      <c r="AO6" s="2" t="s">
        <v>49</v>
      </c>
      <c r="AP6" s="2" t="s">
        <v>49</v>
      </c>
      <c r="AQ6" s="2" t="s">
        <v>50</v>
      </c>
      <c r="AR6" s="2" t="s">
        <v>50</v>
      </c>
      <c r="AS6" s="2" t="s">
        <v>50</v>
      </c>
      <c r="AT6" s="2" t="s">
        <v>50</v>
      </c>
      <c r="AU6" s="2" t="s">
        <v>50</v>
      </c>
      <c r="AV6" s="3" t="s">
        <v>50</v>
      </c>
      <c r="AW6" s="3"/>
      <c r="AX6" s="3"/>
      <c r="AY6" s="4"/>
    </row>
    <row r="7" spans="1:51" s="5" customFormat="1" ht="12" customHeight="1" x14ac:dyDescent="0.15">
      <c r="A7" s="36" t="s">
        <v>51</v>
      </c>
      <c r="B7" s="36"/>
      <c r="C7" s="44" t="s">
        <v>157</v>
      </c>
      <c r="D7" s="44"/>
      <c r="E7" s="44" t="s">
        <v>158</v>
      </c>
      <c r="F7" s="44" t="s">
        <v>159</v>
      </c>
      <c r="G7" s="44"/>
      <c r="H7" s="44" t="s">
        <v>160</v>
      </c>
      <c r="I7" s="44" t="s">
        <v>161</v>
      </c>
      <c r="J7" s="44" t="s">
        <v>162</v>
      </c>
      <c r="K7" s="44" t="s">
        <v>163</v>
      </c>
      <c r="L7" s="44" t="s">
        <v>164</v>
      </c>
      <c r="M7" s="44" t="s">
        <v>165</v>
      </c>
      <c r="N7" s="44" t="s">
        <v>166</v>
      </c>
      <c r="O7" s="44" t="s">
        <v>167</v>
      </c>
      <c r="P7" s="44" t="s">
        <v>168</v>
      </c>
      <c r="Q7" s="44" t="s">
        <v>169</v>
      </c>
      <c r="R7" s="44" t="s">
        <v>170</v>
      </c>
      <c r="S7" s="44" t="s">
        <v>171</v>
      </c>
      <c r="T7" s="44" t="s">
        <v>172</v>
      </c>
      <c r="U7" s="44" t="s">
        <v>173</v>
      </c>
      <c r="V7" s="44" t="s">
        <v>174</v>
      </c>
      <c r="W7" s="44" t="s">
        <v>175</v>
      </c>
      <c r="X7" s="44" t="s">
        <v>176</v>
      </c>
      <c r="Y7" s="44" t="s">
        <v>177</v>
      </c>
      <c r="Z7" s="44" t="s">
        <v>178</v>
      </c>
      <c r="AA7" s="44"/>
      <c r="AB7" s="44"/>
      <c r="AC7" s="44"/>
      <c r="AD7" s="44" t="s">
        <v>179</v>
      </c>
      <c r="AE7" s="44" t="s">
        <v>180</v>
      </c>
      <c r="AF7" s="44" t="s">
        <v>181</v>
      </c>
      <c r="AG7" s="44" t="s">
        <v>182</v>
      </c>
      <c r="AH7" s="44" t="s">
        <v>183</v>
      </c>
      <c r="AI7" s="44" t="s">
        <v>184</v>
      </c>
      <c r="AJ7" s="44" t="s">
        <v>185</v>
      </c>
      <c r="AK7" s="44" t="s">
        <v>186</v>
      </c>
      <c r="AL7" s="44" t="s">
        <v>187</v>
      </c>
      <c r="AM7" s="44" t="s">
        <v>188</v>
      </c>
      <c r="AN7" s="44" t="s">
        <v>189</v>
      </c>
      <c r="AO7" s="44" t="s">
        <v>190</v>
      </c>
      <c r="AP7" s="44"/>
      <c r="AQ7" s="44" t="s">
        <v>191</v>
      </c>
      <c r="AR7" s="44" t="s">
        <v>192</v>
      </c>
      <c r="AS7" s="44" t="s">
        <v>193</v>
      </c>
      <c r="AT7" s="44" t="s">
        <v>194</v>
      </c>
      <c r="AU7" s="44" t="s">
        <v>195</v>
      </c>
      <c r="AV7" s="45" t="s">
        <v>196</v>
      </c>
      <c r="AW7" s="6"/>
      <c r="AX7" s="6"/>
      <c r="AY7" s="7"/>
    </row>
    <row r="8" spans="1:51" s="5" customFormat="1" ht="12" customHeight="1" x14ac:dyDescent="0.15">
      <c r="A8" s="36" t="s">
        <v>52</v>
      </c>
      <c r="B8" s="36"/>
      <c r="C8" s="44" t="s">
        <v>197</v>
      </c>
      <c r="D8" s="44"/>
      <c r="E8" s="44" t="s">
        <v>198</v>
      </c>
      <c r="F8" s="44" t="s">
        <v>199</v>
      </c>
      <c r="G8" s="44" t="s">
        <v>200</v>
      </c>
      <c r="H8" s="44" t="s">
        <v>201</v>
      </c>
      <c r="I8" s="44" t="s">
        <v>202</v>
      </c>
      <c r="J8" s="44" t="s">
        <v>203</v>
      </c>
      <c r="K8" s="44" t="s">
        <v>204</v>
      </c>
      <c r="L8" s="44" t="s">
        <v>205</v>
      </c>
      <c r="M8" s="44" t="s">
        <v>206</v>
      </c>
      <c r="N8" s="44" t="s">
        <v>207</v>
      </c>
      <c r="O8" s="44" t="s">
        <v>198</v>
      </c>
      <c r="P8" s="44" t="s">
        <v>208</v>
      </c>
      <c r="Q8" s="44" t="s">
        <v>209</v>
      </c>
      <c r="R8" s="44" t="s">
        <v>210</v>
      </c>
      <c r="S8" s="44" t="s">
        <v>211</v>
      </c>
      <c r="T8" s="44" t="s">
        <v>212</v>
      </c>
      <c r="U8" s="44" t="s">
        <v>213</v>
      </c>
      <c r="V8" s="44" t="s">
        <v>214</v>
      </c>
      <c r="W8" s="44" t="s">
        <v>215</v>
      </c>
      <c r="X8" s="44" t="s">
        <v>216</v>
      </c>
      <c r="Y8" s="44" t="s">
        <v>217</v>
      </c>
      <c r="Z8" s="44" t="s">
        <v>218</v>
      </c>
      <c r="AA8" s="44"/>
      <c r="AB8" s="44"/>
      <c r="AC8" s="44" t="s">
        <v>219</v>
      </c>
      <c r="AD8" s="44" t="s">
        <v>220</v>
      </c>
      <c r="AE8" s="44" t="s">
        <v>221</v>
      </c>
      <c r="AF8" s="44" t="s">
        <v>222</v>
      </c>
      <c r="AG8" s="44" t="s">
        <v>223</v>
      </c>
      <c r="AH8" s="44" t="s">
        <v>224</v>
      </c>
      <c r="AI8" s="44" t="s">
        <v>225</v>
      </c>
      <c r="AJ8" s="44" t="s">
        <v>226</v>
      </c>
      <c r="AK8" s="44" t="s">
        <v>227</v>
      </c>
      <c r="AL8" s="44" t="s">
        <v>228</v>
      </c>
      <c r="AM8" s="44" t="s">
        <v>229</v>
      </c>
      <c r="AN8" s="44" t="s">
        <v>201</v>
      </c>
      <c r="AO8" s="44" t="s">
        <v>230</v>
      </c>
      <c r="AP8" s="44"/>
      <c r="AQ8" s="44" t="s">
        <v>231</v>
      </c>
      <c r="AR8" s="44" t="s">
        <v>222</v>
      </c>
      <c r="AS8" s="44" t="s">
        <v>232</v>
      </c>
      <c r="AT8" s="44" t="s">
        <v>233</v>
      </c>
      <c r="AU8" s="44" t="s">
        <v>234</v>
      </c>
      <c r="AV8" s="45" t="s">
        <v>235</v>
      </c>
      <c r="AW8" s="6"/>
      <c r="AX8" s="6"/>
      <c r="AY8" s="7"/>
    </row>
    <row r="9" spans="1:51" ht="12" customHeight="1" x14ac:dyDescent="0.15">
      <c r="A9" s="42" t="s">
        <v>53</v>
      </c>
      <c r="B9" s="43"/>
      <c r="C9" s="46">
        <v>10</v>
      </c>
      <c r="D9" s="46"/>
      <c r="E9" s="46">
        <v>10</v>
      </c>
      <c r="F9" s="46">
        <v>10</v>
      </c>
      <c r="G9" s="46">
        <v>8</v>
      </c>
      <c r="H9" s="46">
        <v>8</v>
      </c>
      <c r="I9" s="46">
        <v>8</v>
      </c>
      <c r="J9" s="46">
        <v>8</v>
      </c>
      <c r="K9" s="46">
        <v>8</v>
      </c>
      <c r="L9" s="46">
        <v>8</v>
      </c>
      <c r="M9" s="46">
        <v>10</v>
      </c>
      <c r="N9" s="46">
        <v>10</v>
      </c>
      <c r="O9" s="46">
        <v>10</v>
      </c>
      <c r="P9" s="46">
        <v>10</v>
      </c>
      <c r="Q9" s="46">
        <v>14</v>
      </c>
      <c r="R9" s="46">
        <v>10</v>
      </c>
      <c r="S9" s="46">
        <v>10</v>
      </c>
      <c r="T9" s="46">
        <v>10</v>
      </c>
      <c r="U9" s="46">
        <v>10</v>
      </c>
      <c r="V9" s="46">
        <v>10</v>
      </c>
      <c r="W9" s="46">
        <v>10</v>
      </c>
      <c r="X9" s="46">
        <v>10</v>
      </c>
      <c r="Y9" s="46">
        <v>10</v>
      </c>
      <c r="Z9" s="46">
        <v>10</v>
      </c>
      <c r="AA9" s="46"/>
      <c r="AB9" s="46"/>
      <c r="AC9" s="46">
        <v>14</v>
      </c>
      <c r="AD9" s="46">
        <v>8</v>
      </c>
      <c r="AE9" s="46">
        <v>8</v>
      </c>
      <c r="AF9" s="46">
        <v>8</v>
      </c>
      <c r="AG9" s="46">
        <v>10</v>
      </c>
      <c r="AH9" s="46">
        <v>10</v>
      </c>
      <c r="AI9" s="46">
        <v>10</v>
      </c>
      <c r="AJ9" s="46">
        <v>10</v>
      </c>
      <c r="AK9" s="46">
        <v>14</v>
      </c>
      <c r="AL9" s="46">
        <v>14</v>
      </c>
      <c r="AM9" s="46">
        <v>8</v>
      </c>
      <c r="AN9" s="46">
        <v>8</v>
      </c>
      <c r="AO9" s="46">
        <v>8</v>
      </c>
      <c r="AP9" s="46"/>
      <c r="AQ9" s="46">
        <v>14</v>
      </c>
      <c r="AR9" s="46">
        <v>18</v>
      </c>
      <c r="AS9" s="46">
        <v>8</v>
      </c>
      <c r="AT9" s="46">
        <v>8</v>
      </c>
      <c r="AU9" s="46">
        <v>8</v>
      </c>
      <c r="AV9" s="47">
        <v>8</v>
      </c>
      <c r="AW9" s="9">
        <f>SUM(C9:AV9)</f>
        <v>416</v>
      </c>
      <c r="AX9" s="9"/>
      <c r="AY9" s="10"/>
    </row>
    <row r="10" spans="1:51" ht="12.75" customHeight="1" x14ac:dyDescent="0.15">
      <c r="A10" s="38" t="s">
        <v>54</v>
      </c>
      <c r="B10" s="38"/>
      <c r="C10" s="48" t="s">
        <v>55</v>
      </c>
      <c r="D10" s="48" t="s">
        <v>55</v>
      </c>
      <c r="E10" s="48" t="s">
        <v>55</v>
      </c>
      <c r="F10" s="48" t="s">
        <v>55</v>
      </c>
      <c r="G10" s="48" t="s">
        <v>56</v>
      </c>
      <c r="H10" s="48" t="s">
        <v>56</v>
      </c>
      <c r="I10" s="48" t="s">
        <v>56</v>
      </c>
      <c r="J10" s="48" t="s">
        <v>56</v>
      </c>
      <c r="K10" s="48" t="s">
        <v>57</v>
      </c>
      <c r="L10" s="48" t="s">
        <v>58</v>
      </c>
      <c r="M10" s="48" t="s">
        <v>59</v>
      </c>
      <c r="N10" s="48" t="s">
        <v>59</v>
      </c>
      <c r="O10" s="48" t="s">
        <v>59</v>
      </c>
      <c r="P10" s="48" t="s">
        <v>59</v>
      </c>
      <c r="Q10" s="48" t="s">
        <v>59</v>
      </c>
      <c r="R10" s="48" t="s">
        <v>59</v>
      </c>
      <c r="S10" s="48" t="s">
        <v>59</v>
      </c>
      <c r="T10" s="48" t="s">
        <v>59</v>
      </c>
      <c r="U10" s="48" t="s">
        <v>60</v>
      </c>
      <c r="V10" s="48" t="s">
        <v>60</v>
      </c>
      <c r="W10" s="48" t="s">
        <v>60</v>
      </c>
      <c r="X10" s="48" t="s">
        <v>60</v>
      </c>
      <c r="Y10" s="48" t="s">
        <v>61</v>
      </c>
      <c r="Z10" s="48" t="s">
        <v>61</v>
      </c>
      <c r="AA10" s="48" t="s">
        <v>62</v>
      </c>
      <c r="AB10" s="48" t="s">
        <v>63</v>
      </c>
      <c r="AC10" s="49"/>
      <c r="AD10" s="49" t="s">
        <v>57</v>
      </c>
      <c r="AE10" s="49" t="s">
        <v>57</v>
      </c>
      <c r="AF10" s="49" t="s">
        <v>58</v>
      </c>
      <c r="AG10" s="49" t="s">
        <v>59</v>
      </c>
      <c r="AH10" s="49" t="s">
        <v>61</v>
      </c>
      <c r="AI10" s="49" t="s">
        <v>61</v>
      </c>
      <c r="AJ10" s="49" t="s">
        <v>61</v>
      </c>
      <c r="AK10" s="49" t="s">
        <v>64</v>
      </c>
      <c r="AL10" s="49" t="s">
        <v>64</v>
      </c>
      <c r="AM10" s="49" t="s">
        <v>62</v>
      </c>
      <c r="AN10" s="49" t="s">
        <v>62</v>
      </c>
      <c r="AO10" s="49" t="s">
        <v>62</v>
      </c>
      <c r="AP10" s="49"/>
      <c r="AQ10" s="49" t="s">
        <v>64</v>
      </c>
      <c r="AR10" s="49" t="s">
        <v>64</v>
      </c>
      <c r="AS10" s="49" t="s">
        <v>62</v>
      </c>
      <c r="AT10" s="49" t="s">
        <v>62</v>
      </c>
      <c r="AU10" s="49" t="s">
        <v>62</v>
      </c>
      <c r="AV10" s="50" t="s">
        <v>62</v>
      </c>
      <c r="AW10" s="12"/>
      <c r="AX10" s="12"/>
      <c r="AY10" s="13"/>
    </row>
    <row r="11" spans="1:51" ht="12.75" customHeight="1" x14ac:dyDescent="0.15">
      <c r="A11" s="38" t="s">
        <v>65</v>
      </c>
      <c r="B11" s="38"/>
      <c r="C11" s="14">
        <v>5981.4</v>
      </c>
      <c r="D11" s="14">
        <v>0</v>
      </c>
      <c r="E11" s="14">
        <v>6436.8</v>
      </c>
      <c r="F11" s="14">
        <v>5336.4000000000005</v>
      </c>
      <c r="G11" s="14">
        <v>174.1</v>
      </c>
      <c r="H11" s="14">
        <v>5776</v>
      </c>
      <c r="I11" s="14">
        <v>5535.8</v>
      </c>
      <c r="J11" s="14">
        <v>6819.8</v>
      </c>
      <c r="K11" s="14">
        <v>1829</v>
      </c>
      <c r="L11" s="14">
        <v>3439</v>
      </c>
      <c r="M11" s="14">
        <v>4900.5999999999995</v>
      </c>
      <c r="N11" s="14">
        <v>4670.8</v>
      </c>
      <c r="O11" s="14">
        <v>5086.8999999999996</v>
      </c>
      <c r="P11" s="14">
        <v>5163.8</v>
      </c>
      <c r="Q11" s="14">
        <v>6495.8</v>
      </c>
      <c r="R11" s="14">
        <v>4727.2</v>
      </c>
      <c r="S11" s="14">
        <v>4987.3999999999996</v>
      </c>
      <c r="T11" s="14">
        <v>5559.2</v>
      </c>
      <c r="U11" s="14">
        <v>7258.9000000000005</v>
      </c>
      <c r="V11" s="14">
        <v>8196.9</v>
      </c>
      <c r="W11" s="14">
        <v>7078.3</v>
      </c>
      <c r="X11" s="14">
        <v>7505.3</v>
      </c>
      <c r="Y11" s="14">
        <v>5073.3999999999996</v>
      </c>
      <c r="Z11" s="14">
        <v>5250.2</v>
      </c>
      <c r="AA11" s="14">
        <v>0</v>
      </c>
      <c r="AB11" s="14">
        <v>0</v>
      </c>
      <c r="AC11" s="14">
        <v>0</v>
      </c>
      <c r="AD11" s="14">
        <v>7406</v>
      </c>
      <c r="AE11" s="14">
        <v>8351</v>
      </c>
      <c r="AF11" s="14">
        <v>8570</v>
      </c>
      <c r="AG11" s="14">
        <v>8367</v>
      </c>
      <c r="AH11" s="14">
        <v>4261</v>
      </c>
      <c r="AI11" s="14">
        <v>3856</v>
      </c>
      <c r="AJ11" s="14">
        <v>4117</v>
      </c>
      <c r="AK11" s="14">
        <v>4784.2999999999993</v>
      </c>
      <c r="AL11" s="14">
        <v>1757.1999999999998</v>
      </c>
      <c r="AM11" s="14">
        <v>5177.3</v>
      </c>
      <c r="AN11" s="14">
        <v>4531</v>
      </c>
      <c r="AO11" s="14">
        <v>4864.8999999999996</v>
      </c>
      <c r="AP11" s="14">
        <v>0</v>
      </c>
      <c r="AQ11" s="14">
        <v>41.800000000000004</v>
      </c>
      <c r="AR11" s="14">
        <v>6508.4</v>
      </c>
      <c r="AS11" s="14">
        <v>2036.5</v>
      </c>
      <c r="AT11" s="14">
        <v>3377.9</v>
      </c>
      <c r="AU11" s="14">
        <v>2688.9</v>
      </c>
      <c r="AV11" s="15">
        <v>2253.6</v>
      </c>
      <c r="AW11" s="16">
        <f>SUM(C11:AV11)</f>
        <v>206232.79999999996</v>
      </c>
      <c r="AX11" s="16">
        <f t="shared" ref="AX11:AX45" si="0">AVERAGE(D11:AV11)</f>
        <v>4450.0311111111096</v>
      </c>
      <c r="AY11" s="13"/>
    </row>
    <row r="12" spans="1:51" ht="12.75" customHeight="1" x14ac:dyDescent="0.15">
      <c r="A12" s="39" t="s">
        <v>244</v>
      </c>
      <c r="B12" s="51"/>
      <c r="C12" s="52">
        <v>8.9625000000000004</v>
      </c>
      <c r="D12" s="52"/>
      <c r="E12" s="52">
        <v>9.6791666666666671</v>
      </c>
      <c r="F12" s="52">
        <v>10.063194444444445</v>
      </c>
      <c r="G12" s="52">
        <v>0.46111111111111114</v>
      </c>
      <c r="H12" s="52">
        <v>7.447222222222222</v>
      </c>
      <c r="I12" s="52">
        <v>7.9826388888888893</v>
      </c>
      <c r="J12" s="52">
        <v>9.1979166666666661</v>
      </c>
      <c r="K12" s="52">
        <v>2.3923611111111112</v>
      </c>
      <c r="L12" s="52"/>
      <c r="M12" s="52">
        <v>9.9951388888888886</v>
      </c>
      <c r="N12" s="52">
        <v>9.4048611111111118</v>
      </c>
      <c r="O12" s="52">
        <v>10.090277777777779</v>
      </c>
      <c r="P12" s="52">
        <v>10.161111111111111</v>
      </c>
      <c r="Q12" s="52">
        <v>10.471527777777778</v>
      </c>
      <c r="R12" s="52">
        <v>10.170833333333333</v>
      </c>
      <c r="S12" s="52">
        <v>9.3826388888888896</v>
      </c>
      <c r="T12" s="52">
        <v>9.9923611111111104</v>
      </c>
      <c r="U12" s="52">
        <v>11.715277777777779</v>
      </c>
      <c r="V12" s="52">
        <v>11.368055555555555</v>
      </c>
      <c r="W12" s="52">
        <v>12.208333333333334</v>
      </c>
      <c r="X12" s="52">
        <v>10.344444444444445</v>
      </c>
      <c r="Y12" s="52">
        <v>6.9340277777777777</v>
      </c>
      <c r="Z12" s="52">
        <v>7.2569444444444446</v>
      </c>
      <c r="AA12" s="52"/>
      <c r="AB12" s="52"/>
      <c r="AC12" s="52"/>
      <c r="AD12" s="52">
        <v>9.8145833333333332</v>
      </c>
      <c r="AE12" s="52">
        <v>10.4125</v>
      </c>
      <c r="AF12" s="52">
        <v>11.747916666666667</v>
      </c>
      <c r="AG12" s="52">
        <v>11.698611111111111</v>
      </c>
      <c r="AH12" s="52">
        <v>7.6541666666666668</v>
      </c>
      <c r="AI12" s="52">
        <v>7.4951388888888886</v>
      </c>
      <c r="AJ12" s="52">
        <v>6.5305555555555559</v>
      </c>
      <c r="AK12" s="52">
        <v>7.9638888888888886</v>
      </c>
      <c r="AL12" s="52">
        <v>3.2097222222222221</v>
      </c>
      <c r="AM12" s="52">
        <v>9.219444444444445</v>
      </c>
      <c r="AN12" s="52">
        <v>8.0472222222222225</v>
      </c>
      <c r="AO12" s="52">
        <v>6.9597222222222221</v>
      </c>
      <c r="AP12" s="52"/>
      <c r="AQ12" s="52">
        <v>0.19375000000000001</v>
      </c>
      <c r="AR12" s="52">
        <v>8.1062499999999993</v>
      </c>
      <c r="AS12" s="52">
        <v>3.0833333333333335</v>
      </c>
      <c r="AT12" s="52">
        <v>3.9840277777777779</v>
      </c>
      <c r="AU12" s="52">
        <v>3.2111111111111112</v>
      </c>
      <c r="AV12" s="53">
        <v>6.6722222222222225</v>
      </c>
      <c r="AW12" s="16"/>
      <c r="AX12" s="16"/>
      <c r="AY12" s="13"/>
    </row>
    <row r="13" spans="1:51" ht="12.75" customHeight="1" x14ac:dyDescent="0.15">
      <c r="A13" s="38" t="s">
        <v>66</v>
      </c>
      <c r="B13" s="38"/>
      <c r="C13" s="14">
        <v>1288224</v>
      </c>
      <c r="D13" s="14">
        <v>1436527</v>
      </c>
      <c r="E13" s="14">
        <v>1459660</v>
      </c>
      <c r="F13" s="14">
        <v>1237086</v>
      </c>
      <c r="G13" s="14">
        <v>66000</v>
      </c>
      <c r="H13" s="14">
        <v>1085200</v>
      </c>
      <c r="I13" s="14">
        <v>1148661</v>
      </c>
      <c r="J13" s="14">
        <v>1317629</v>
      </c>
      <c r="K13" s="14">
        <v>405027</v>
      </c>
      <c r="L13" s="14">
        <v>902191</v>
      </c>
      <c r="M13" s="14">
        <v>1141070</v>
      </c>
      <c r="N13" s="14">
        <v>1070960</v>
      </c>
      <c r="O13" s="14">
        <v>1104950</v>
      </c>
      <c r="P13" s="14">
        <v>1102350</v>
      </c>
      <c r="Q13" s="14">
        <v>1738850</v>
      </c>
      <c r="R13" s="14">
        <v>1138390</v>
      </c>
      <c r="S13" s="14">
        <v>1093840</v>
      </c>
      <c r="T13" s="14">
        <v>1266210</v>
      </c>
      <c r="U13" s="14">
        <v>1391360</v>
      </c>
      <c r="V13" s="14">
        <v>1340220</v>
      </c>
      <c r="W13" s="14">
        <v>1362270</v>
      </c>
      <c r="X13" s="14">
        <v>1310900</v>
      </c>
      <c r="Y13" s="14">
        <v>1220941</v>
      </c>
      <c r="Z13" s="14">
        <v>1133111</v>
      </c>
      <c r="AA13" s="14">
        <v>11000</v>
      </c>
      <c r="AB13" s="14">
        <v>627047</v>
      </c>
      <c r="AC13" s="14">
        <v>0</v>
      </c>
      <c r="AD13" s="14">
        <v>1757682</v>
      </c>
      <c r="AE13" s="14">
        <v>2095643</v>
      </c>
      <c r="AF13" s="14">
        <v>1593993</v>
      </c>
      <c r="AG13" s="14">
        <v>1333570</v>
      </c>
      <c r="AH13" s="14">
        <v>967368</v>
      </c>
      <c r="AI13" s="14">
        <v>971087</v>
      </c>
      <c r="AJ13" s="14">
        <v>939395</v>
      </c>
      <c r="AK13" s="14">
        <v>1759400</v>
      </c>
      <c r="AL13" s="14">
        <v>585000</v>
      </c>
      <c r="AM13" s="14">
        <v>1223800</v>
      </c>
      <c r="AN13" s="14">
        <v>1033231</v>
      </c>
      <c r="AO13" s="14">
        <v>994100</v>
      </c>
      <c r="AP13" s="14">
        <v>367008</v>
      </c>
      <c r="AQ13" s="14">
        <v>0</v>
      </c>
      <c r="AR13" s="14">
        <v>1394200</v>
      </c>
      <c r="AS13" s="14">
        <v>406200</v>
      </c>
      <c r="AT13" s="14">
        <v>605000</v>
      </c>
      <c r="AU13" s="14">
        <v>468000</v>
      </c>
      <c r="AV13" s="15">
        <v>689220</v>
      </c>
      <c r="AW13" s="16">
        <f>SUM(C13:AV13)</f>
        <v>47583571</v>
      </c>
      <c r="AX13" s="16">
        <f t="shared" si="0"/>
        <v>1028785.4888888889</v>
      </c>
      <c r="AY13" s="13">
        <f>AW13/AW13</f>
        <v>1</v>
      </c>
    </row>
    <row r="14" spans="1:51" ht="12.75" customHeight="1" x14ac:dyDescent="0.15">
      <c r="A14" s="39" t="s">
        <v>242</v>
      </c>
      <c r="B14" s="51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>
        <v>63550</v>
      </c>
      <c r="N14" s="14">
        <v>133660</v>
      </c>
      <c r="O14" s="14">
        <v>99670</v>
      </c>
      <c r="P14" s="14">
        <v>102270</v>
      </c>
      <c r="Q14" s="14"/>
      <c r="R14" s="14">
        <v>70850</v>
      </c>
      <c r="S14" s="14">
        <v>116780</v>
      </c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5"/>
      <c r="AW14" s="16">
        <f>SUM(C14:AV14)</f>
        <v>586780</v>
      </c>
      <c r="AX14" s="16"/>
      <c r="AY14" s="13"/>
    </row>
    <row r="15" spans="1:51" ht="12.75" customHeight="1" x14ac:dyDescent="0.15">
      <c r="A15" s="38" t="s">
        <v>67</v>
      </c>
      <c r="B15" s="38"/>
      <c r="C15" s="14">
        <f>SUM(C13/C11)</f>
        <v>215.37165212157691</v>
      </c>
      <c r="D15" s="14" t="e">
        <f t="shared" ref="D15:AV15" si="1">SUM(D13/D11)</f>
        <v>#DIV/0!</v>
      </c>
      <c r="E15" s="14">
        <f t="shared" si="1"/>
        <v>226.76795923440218</v>
      </c>
      <c r="F15" s="14">
        <f t="shared" si="1"/>
        <v>231.82032831122103</v>
      </c>
      <c r="G15" s="14">
        <f t="shared" si="1"/>
        <v>379.0924755887421</v>
      </c>
      <c r="H15" s="14">
        <f t="shared" si="1"/>
        <v>187.88088642659281</v>
      </c>
      <c r="I15" s="14">
        <f t="shared" si="1"/>
        <v>207.49683875862567</v>
      </c>
      <c r="J15" s="14">
        <f t="shared" si="1"/>
        <v>193.20639901463386</v>
      </c>
      <c r="K15" s="14">
        <f t="shared" si="1"/>
        <v>221.44723892837615</v>
      </c>
      <c r="L15" s="14">
        <f t="shared" si="1"/>
        <v>262.34108752544347</v>
      </c>
      <c r="M15" s="14">
        <f t="shared" si="1"/>
        <v>232.84291719381304</v>
      </c>
      <c r="N15" s="14">
        <f t="shared" si="1"/>
        <v>229.28834460906054</v>
      </c>
      <c r="O15" s="14">
        <f t="shared" si="1"/>
        <v>217.21480666024496</v>
      </c>
      <c r="P15" s="14">
        <f t="shared" si="1"/>
        <v>213.47650954723264</v>
      </c>
      <c r="Q15" s="14">
        <f t="shared" si="1"/>
        <v>267.68835247390621</v>
      </c>
      <c r="R15" s="14">
        <f t="shared" si="1"/>
        <v>240.81697410729396</v>
      </c>
      <c r="S15" s="14">
        <f t="shared" si="1"/>
        <v>219.32068813409794</v>
      </c>
      <c r="T15" s="14">
        <f t="shared" si="1"/>
        <v>227.76838394013527</v>
      </c>
      <c r="U15" s="14">
        <f t="shared" si="1"/>
        <v>191.67642480265604</v>
      </c>
      <c r="V15" s="14">
        <f t="shared" si="1"/>
        <v>163.5032756285913</v>
      </c>
      <c r="W15" s="14">
        <f t="shared" si="1"/>
        <v>192.45722843055535</v>
      </c>
      <c r="X15" s="14">
        <f t="shared" si="1"/>
        <v>174.6632379784952</v>
      </c>
      <c r="Y15" s="14">
        <f t="shared" si="1"/>
        <v>240.65537903575515</v>
      </c>
      <c r="Z15" s="14">
        <f t="shared" si="1"/>
        <v>215.82244485924346</v>
      </c>
      <c r="AA15" s="14" t="e">
        <f t="shared" si="1"/>
        <v>#DIV/0!</v>
      </c>
      <c r="AB15" s="14" t="e">
        <f t="shared" si="1"/>
        <v>#DIV/0!</v>
      </c>
      <c r="AC15" s="14" t="e">
        <f t="shared" si="1"/>
        <v>#DIV/0!</v>
      </c>
      <c r="AD15" s="14">
        <f t="shared" si="1"/>
        <v>237.33216311099108</v>
      </c>
      <c r="AE15" s="14">
        <f t="shared" si="1"/>
        <v>250.94515626871032</v>
      </c>
      <c r="AF15" s="14">
        <f t="shared" si="1"/>
        <v>185.99684947491249</v>
      </c>
      <c r="AG15" s="14">
        <f t="shared" si="1"/>
        <v>159.3844866738377</v>
      </c>
      <c r="AH15" s="14">
        <f t="shared" si="1"/>
        <v>227.028397089885</v>
      </c>
      <c r="AI15" s="14">
        <f t="shared" si="1"/>
        <v>251.83791493775934</v>
      </c>
      <c r="AJ15" s="14">
        <f t="shared" si="1"/>
        <v>228.17464172941462</v>
      </c>
      <c r="AK15" s="14">
        <f t="shared" si="1"/>
        <v>367.74449762765721</v>
      </c>
      <c r="AL15" s="14">
        <f t="shared" si="1"/>
        <v>332.91600273161851</v>
      </c>
      <c r="AM15" s="14">
        <f t="shared" si="1"/>
        <v>236.37803488304715</v>
      </c>
      <c r="AN15" s="14">
        <f t="shared" si="1"/>
        <v>228.03597439858751</v>
      </c>
      <c r="AO15" s="14">
        <f t="shared" si="1"/>
        <v>204.34130197948571</v>
      </c>
      <c r="AP15" s="14" t="e">
        <f t="shared" si="1"/>
        <v>#DIV/0!</v>
      </c>
      <c r="AQ15" s="14">
        <f t="shared" si="1"/>
        <v>0</v>
      </c>
      <c r="AR15" s="14">
        <f t="shared" si="1"/>
        <v>214.21547538565548</v>
      </c>
      <c r="AS15" s="14">
        <f t="shared" si="1"/>
        <v>199.45985759882151</v>
      </c>
      <c r="AT15" s="14">
        <f t="shared" si="1"/>
        <v>179.1053613191628</v>
      </c>
      <c r="AU15" s="14">
        <f t="shared" si="1"/>
        <v>174.04886756666295</v>
      </c>
      <c r="AV15" s="15">
        <f t="shared" si="1"/>
        <v>305.8306709265176</v>
      </c>
      <c r="AW15" s="12">
        <f>SUM(AW13/AW11)</f>
        <v>230.72746430247764</v>
      </c>
      <c r="AX15" s="16" t="e">
        <f t="shared" si="0"/>
        <v>#DIV/0!</v>
      </c>
      <c r="AY15" s="13"/>
    </row>
    <row r="16" spans="1:51" ht="12.75" customHeight="1" x14ac:dyDescent="0.15">
      <c r="A16" s="39" t="s">
        <v>243</v>
      </c>
      <c r="B16" s="51"/>
      <c r="C16" s="14">
        <f>C13/(C12*24)</f>
        <v>5988.9539748953966</v>
      </c>
      <c r="D16" s="14"/>
      <c r="E16" s="14">
        <f t="shared" ref="E16:AV16" si="2">E13/(E12*24)</f>
        <v>6283.5126990959961</v>
      </c>
      <c r="F16" s="14">
        <f t="shared" si="2"/>
        <v>5122.1558208543229</v>
      </c>
      <c r="G16" s="14">
        <f t="shared" si="2"/>
        <v>5963.8554216867469</v>
      </c>
      <c r="H16" s="14">
        <f t="shared" si="2"/>
        <v>6071.6150690041031</v>
      </c>
      <c r="I16" s="14">
        <f t="shared" si="2"/>
        <v>5995.6207046541967</v>
      </c>
      <c r="J16" s="14">
        <f t="shared" si="2"/>
        <v>5968.8742921857302</v>
      </c>
      <c r="K16" s="14">
        <f t="shared" si="2"/>
        <v>7054.1712626995641</v>
      </c>
      <c r="L16" s="14" t="e">
        <f t="shared" si="2"/>
        <v>#DIV/0!</v>
      </c>
      <c r="M16" s="14">
        <f t="shared" si="2"/>
        <v>4756.7706524004725</v>
      </c>
      <c r="N16" s="14">
        <f t="shared" si="2"/>
        <v>4744.7094439932062</v>
      </c>
      <c r="O16" s="14">
        <f t="shared" si="2"/>
        <v>4562.766689607708</v>
      </c>
      <c r="P16" s="14">
        <f t="shared" si="2"/>
        <v>4520.2979770366319</v>
      </c>
      <c r="Q16" s="14">
        <f t="shared" si="2"/>
        <v>6918.9601432455738</v>
      </c>
      <c r="R16" s="14">
        <f t="shared" si="2"/>
        <v>4663.621466612045</v>
      </c>
      <c r="S16" s="14">
        <f t="shared" si="2"/>
        <v>4857.5531048775074</v>
      </c>
      <c r="T16" s="14">
        <f t="shared" si="2"/>
        <v>5279.9082632566542</v>
      </c>
      <c r="U16" s="14">
        <f t="shared" si="2"/>
        <v>4948.5240071132184</v>
      </c>
      <c r="V16" s="14">
        <f t="shared" si="2"/>
        <v>4912.2296884544903</v>
      </c>
      <c r="W16" s="14">
        <f t="shared" si="2"/>
        <v>4649.3856655290101</v>
      </c>
      <c r="X16" s="14">
        <f t="shared" si="2"/>
        <v>5280.2094522019333</v>
      </c>
      <c r="Y16" s="14">
        <f t="shared" si="2"/>
        <v>7336.6509764646971</v>
      </c>
      <c r="Z16" s="14">
        <f t="shared" si="2"/>
        <v>6505.9004784688987</v>
      </c>
      <c r="AA16" s="14" t="e">
        <f t="shared" si="2"/>
        <v>#DIV/0!</v>
      </c>
      <c r="AB16" s="14" t="e">
        <f t="shared" si="2"/>
        <v>#DIV/0!</v>
      </c>
      <c r="AC16" s="14" t="e">
        <f t="shared" si="2"/>
        <v>#DIV/0!</v>
      </c>
      <c r="AD16" s="14">
        <f t="shared" si="2"/>
        <v>7462.0335385268518</v>
      </c>
      <c r="AE16" s="14">
        <f t="shared" si="2"/>
        <v>8385.9263705482208</v>
      </c>
      <c r="AF16" s="14">
        <f t="shared" si="2"/>
        <v>5653.4598333037775</v>
      </c>
      <c r="AG16" s="14">
        <f t="shared" si="2"/>
        <v>4749.7447465273654</v>
      </c>
      <c r="AH16" s="14">
        <f t="shared" si="2"/>
        <v>5266.0206859009259</v>
      </c>
      <c r="AI16" s="14">
        <f t="shared" si="2"/>
        <v>5398.4267580839432</v>
      </c>
      <c r="AJ16" s="14">
        <f t="shared" si="2"/>
        <v>5993.5878349638442</v>
      </c>
      <c r="AK16" s="14">
        <f t="shared" si="2"/>
        <v>9205.0924311126619</v>
      </c>
      <c r="AL16" s="14">
        <f t="shared" si="2"/>
        <v>7594.115101687581</v>
      </c>
      <c r="AM16" s="14">
        <f t="shared" si="2"/>
        <v>5530.8827960228982</v>
      </c>
      <c r="AN16" s="14">
        <f t="shared" si="2"/>
        <v>5349.832585433207</v>
      </c>
      <c r="AO16" s="14">
        <f t="shared" si="2"/>
        <v>5951.5066852923565</v>
      </c>
      <c r="AP16" s="14" t="e">
        <f t="shared" si="2"/>
        <v>#DIV/0!</v>
      </c>
      <c r="AQ16" s="14">
        <f t="shared" si="2"/>
        <v>0</v>
      </c>
      <c r="AR16" s="14">
        <f t="shared" si="2"/>
        <v>7166.2811616551026</v>
      </c>
      <c r="AS16" s="14">
        <f t="shared" si="2"/>
        <v>5489.1891891891892</v>
      </c>
      <c r="AT16" s="14">
        <f t="shared" si="2"/>
        <v>6327.3487885654522</v>
      </c>
      <c r="AU16" s="14">
        <f t="shared" si="2"/>
        <v>6072.6643598615919</v>
      </c>
      <c r="AV16" s="15">
        <f t="shared" si="2"/>
        <v>4304.0383014154877</v>
      </c>
      <c r="AW16" s="12"/>
      <c r="AX16" s="16"/>
      <c r="AY16" s="13"/>
    </row>
    <row r="17" spans="1:51" ht="12.75" customHeight="1" x14ac:dyDescent="0.15">
      <c r="A17" s="41" t="s">
        <v>68</v>
      </c>
      <c r="B17" s="11" t="s">
        <v>69</v>
      </c>
      <c r="C17" s="14">
        <v>0</v>
      </c>
      <c r="D17" s="14">
        <v>0</v>
      </c>
      <c r="E17" s="14">
        <v>0</v>
      </c>
      <c r="F17" s="14">
        <v>56250</v>
      </c>
      <c r="G17" s="14">
        <v>300174</v>
      </c>
      <c r="H17" s="14">
        <v>0</v>
      </c>
      <c r="I17" s="14">
        <v>0</v>
      </c>
      <c r="J17" s="14">
        <v>47898</v>
      </c>
      <c r="K17" s="14">
        <v>44688</v>
      </c>
      <c r="L17" s="14">
        <v>0</v>
      </c>
      <c r="M17" s="14">
        <v>0</v>
      </c>
      <c r="N17" s="14">
        <v>0</v>
      </c>
      <c r="O17" s="14">
        <v>0</v>
      </c>
      <c r="P17" s="14">
        <v>0</v>
      </c>
      <c r="Q17" s="14">
        <v>58860</v>
      </c>
      <c r="R17" s="14">
        <v>0</v>
      </c>
      <c r="S17" s="14">
        <v>0</v>
      </c>
      <c r="T17" s="14">
        <v>0</v>
      </c>
      <c r="U17" s="14">
        <v>0</v>
      </c>
      <c r="V17" s="14">
        <v>213500</v>
      </c>
      <c r="W17" s="14">
        <v>51245</v>
      </c>
      <c r="X17" s="14">
        <v>56375</v>
      </c>
      <c r="Y17" s="14">
        <v>56708</v>
      </c>
      <c r="Z17" s="14">
        <v>0</v>
      </c>
      <c r="AA17" s="14">
        <v>0</v>
      </c>
      <c r="AB17" s="14">
        <v>0</v>
      </c>
      <c r="AC17" s="14">
        <v>0</v>
      </c>
      <c r="AD17" s="14">
        <v>82500</v>
      </c>
      <c r="AE17" s="14">
        <v>215200</v>
      </c>
      <c r="AF17" s="14">
        <v>0</v>
      </c>
      <c r="AG17" s="14">
        <v>0</v>
      </c>
      <c r="AH17" s="14">
        <v>0</v>
      </c>
      <c r="AI17" s="14">
        <v>0</v>
      </c>
      <c r="AJ17" s="14">
        <v>0</v>
      </c>
      <c r="AK17" s="14">
        <v>0</v>
      </c>
      <c r="AL17" s="14">
        <v>0</v>
      </c>
      <c r="AM17" s="14">
        <v>0</v>
      </c>
      <c r="AN17" s="14">
        <v>0</v>
      </c>
      <c r="AO17" s="14">
        <v>261500</v>
      </c>
      <c r="AP17" s="14">
        <v>0</v>
      </c>
      <c r="AQ17" s="14">
        <v>0</v>
      </c>
      <c r="AR17" s="14">
        <v>82900</v>
      </c>
      <c r="AS17" s="14">
        <v>271700</v>
      </c>
      <c r="AT17" s="14">
        <v>189600</v>
      </c>
      <c r="AU17" s="14">
        <v>245000</v>
      </c>
      <c r="AV17" s="15">
        <v>349400</v>
      </c>
      <c r="AW17" s="16">
        <f t="shared" ref="AW17:AW30" si="3">SUM(C17:AV17)</f>
        <v>2583498</v>
      </c>
      <c r="AX17" s="16">
        <f t="shared" si="0"/>
        <v>57411.066666666666</v>
      </c>
      <c r="AY17" s="13">
        <f>AW17/AW13</f>
        <v>5.4293907449695193E-2</v>
      </c>
    </row>
    <row r="18" spans="1:51" ht="12.75" customHeight="1" x14ac:dyDescent="0.15">
      <c r="A18" s="41"/>
      <c r="B18" s="11" t="s">
        <v>70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  <c r="S18" s="14">
        <v>0</v>
      </c>
      <c r="T18" s="14">
        <v>0</v>
      </c>
      <c r="U18" s="14">
        <v>0</v>
      </c>
      <c r="V18" s="14">
        <v>0</v>
      </c>
      <c r="W18" s="14">
        <v>0</v>
      </c>
      <c r="X18" s="14">
        <v>0</v>
      </c>
      <c r="Y18" s="14">
        <v>0</v>
      </c>
      <c r="Z18" s="14">
        <v>0</v>
      </c>
      <c r="AA18" s="14">
        <v>0</v>
      </c>
      <c r="AB18" s="14">
        <v>0</v>
      </c>
      <c r="AC18" s="14">
        <v>0</v>
      </c>
      <c r="AD18" s="14">
        <v>0</v>
      </c>
      <c r="AE18" s="14">
        <v>0</v>
      </c>
      <c r="AF18" s="14">
        <v>0</v>
      </c>
      <c r="AG18" s="14">
        <v>0</v>
      </c>
      <c r="AH18" s="14">
        <v>0</v>
      </c>
      <c r="AI18" s="14">
        <v>0</v>
      </c>
      <c r="AJ18" s="14">
        <v>0</v>
      </c>
      <c r="AK18" s="14">
        <v>0</v>
      </c>
      <c r="AL18" s="14">
        <v>0</v>
      </c>
      <c r="AM18" s="14">
        <v>0</v>
      </c>
      <c r="AN18" s="14">
        <v>0</v>
      </c>
      <c r="AO18" s="14">
        <v>0</v>
      </c>
      <c r="AP18" s="14">
        <v>0</v>
      </c>
      <c r="AQ18" s="14">
        <v>0</v>
      </c>
      <c r="AR18" s="14">
        <v>0</v>
      </c>
      <c r="AS18" s="14">
        <v>0</v>
      </c>
      <c r="AT18" s="14">
        <v>0</v>
      </c>
      <c r="AU18" s="14">
        <v>0</v>
      </c>
      <c r="AV18" s="15">
        <v>0</v>
      </c>
      <c r="AW18" s="16">
        <f t="shared" si="3"/>
        <v>0</v>
      </c>
      <c r="AX18" s="16">
        <f t="shared" si="0"/>
        <v>0</v>
      </c>
      <c r="AY18" s="13">
        <f>AW18/AW13</f>
        <v>0</v>
      </c>
    </row>
    <row r="19" spans="1:51" ht="12.75" customHeight="1" x14ac:dyDescent="0.15">
      <c r="A19" s="41"/>
      <c r="B19" s="11" t="s">
        <v>71</v>
      </c>
      <c r="C19" s="14">
        <v>5150</v>
      </c>
      <c r="D19" s="14">
        <v>0</v>
      </c>
      <c r="E19" s="14">
        <v>6133</v>
      </c>
      <c r="F19" s="14">
        <v>17710</v>
      </c>
      <c r="G19" s="14">
        <v>4808</v>
      </c>
      <c r="H19" s="14">
        <v>4025</v>
      </c>
      <c r="I19" s="14">
        <v>5150</v>
      </c>
      <c r="J19" s="14">
        <v>6925</v>
      </c>
      <c r="K19" s="14">
        <v>4400</v>
      </c>
      <c r="L19" s="14">
        <v>4825</v>
      </c>
      <c r="M19" s="14">
        <v>5150</v>
      </c>
      <c r="N19" s="14">
        <v>4400</v>
      </c>
      <c r="O19" s="14">
        <v>5150</v>
      </c>
      <c r="P19" s="14">
        <v>5250</v>
      </c>
      <c r="Q19" s="14">
        <v>6950</v>
      </c>
      <c r="R19" s="14">
        <v>4400</v>
      </c>
      <c r="S19" s="14">
        <v>4025</v>
      </c>
      <c r="T19" s="14">
        <v>0</v>
      </c>
      <c r="U19" s="14">
        <v>4808</v>
      </c>
      <c r="V19" s="14">
        <v>0</v>
      </c>
      <c r="W19" s="14">
        <v>12911</v>
      </c>
      <c r="X19" s="14">
        <v>13200</v>
      </c>
      <c r="Y19" s="14">
        <v>11540</v>
      </c>
      <c r="Z19" s="14">
        <v>5642</v>
      </c>
      <c r="AA19" s="14">
        <v>0</v>
      </c>
      <c r="AB19" s="14">
        <v>0</v>
      </c>
      <c r="AC19" s="14">
        <v>7075</v>
      </c>
      <c r="AD19" s="14">
        <v>3241</v>
      </c>
      <c r="AE19" s="14">
        <v>0</v>
      </c>
      <c r="AF19" s="14">
        <v>4417</v>
      </c>
      <c r="AG19" s="14">
        <v>4025</v>
      </c>
      <c r="AH19" s="14">
        <v>5642</v>
      </c>
      <c r="AI19" s="14">
        <v>5642</v>
      </c>
      <c r="AJ19" s="14">
        <v>4825</v>
      </c>
      <c r="AK19" s="14">
        <v>6950</v>
      </c>
      <c r="AL19" s="14">
        <v>7075</v>
      </c>
      <c r="AM19" s="14">
        <v>4025</v>
      </c>
      <c r="AN19" s="14">
        <v>4825</v>
      </c>
      <c r="AO19" s="14">
        <v>0</v>
      </c>
      <c r="AP19" s="14">
        <v>0</v>
      </c>
      <c r="AQ19" s="14">
        <v>6000</v>
      </c>
      <c r="AR19" s="14">
        <v>6950</v>
      </c>
      <c r="AS19" s="14">
        <v>0</v>
      </c>
      <c r="AT19" s="14">
        <v>0</v>
      </c>
      <c r="AU19" s="14">
        <v>0</v>
      </c>
      <c r="AV19" s="15">
        <v>0</v>
      </c>
      <c r="AW19" s="16">
        <f t="shared" si="3"/>
        <v>213244</v>
      </c>
      <c r="AX19" s="16">
        <f t="shared" si="0"/>
        <v>4624.3111111111111</v>
      </c>
      <c r="AY19" s="13">
        <f>AW19/AW13</f>
        <v>4.4814627300670644E-3</v>
      </c>
    </row>
    <row r="20" spans="1:51" ht="12.75" customHeight="1" x14ac:dyDescent="0.15">
      <c r="A20" s="41"/>
      <c r="B20" s="11" t="s">
        <v>72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4">
        <v>0</v>
      </c>
      <c r="S20" s="14">
        <v>0</v>
      </c>
      <c r="T20" s="14">
        <v>0</v>
      </c>
      <c r="U20" s="14">
        <v>0</v>
      </c>
      <c r="V20" s="14"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14">
        <v>0</v>
      </c>
      <c r="AC20" s="14">
        <v>0</v>
      </c>
      <c r="AD20" s="14">
        <v>0</v>
      </c>
      <c r="AE20" s="14">
        <v>0</v>
      </c>
      <c r="AF20" s="14">
        <v>0</v>
      </c>
      <c r="AG20" s="14">
        <v>0</v>
      </c>
      <c r="AH20" s="14">
        <v>0</v>
      </c>
      <c r="AI20" s="14">
        <v>0</v>
      </c>
      <c r="AJ20" s="14">
        <v>0</v>
      </c>
      <c r="AK20" s="14">
        <v>0</v>
      </c>
      <c r="AL20" s="14">
        <v>0</v>
      </c>
      <c r="AM20" s="14">
        <v>0</v>
      </c>
      <c r="AN20" s="14">
        <v>0</v>
      </c>
      <c r="AO20" s="14">
        <v>0</v>
      </c>
      <c r="AP20" s="14">
        <v>0</v>
      </c>
      <c r="AQ20" s="14">
        <v>0</v>
      </c>
      <c r="AR20" s="14">
        <v>0</v>
      </c>
      <c r="AS20" s="14">
        <v>0</v>
      </c>
      <c r="AT20" s="14">
        <v>0</v>
      </c>
      <c r="AU20" s="14">
        <v>0</v>
      </c>
      <c r="AV20" s="15">
        <v>0</v>
      </c>
      <c r="AW20" s="16">
        <f t="shared" si="3"/>
        <v>0</v>
      </c>
      <c r="AX20" s="16">
        <f t="shared" si="0"/>
        <v>0</v>
      </c>
      <c r="AY20" s="13">
        <f>AW20/AW13</f>
        <v>0</v>
      </c>
    </row>
    <row r="21" spans="1:51" ht="12.75" customHeight="1" x14ac:dyDescent="0.15">
      <c r="A21" s="41"/>
      <c r="B21" s="11" t="s">
        <v>73</v>
      </c>
      <c r="C21" s="14">
        <v>4767</v>
      </c>
      <c r="D21" s="14">
        <v>0</v>
      </c>
      <c r="E21" s="14">
        <v>4766</v>
      </c>
      <c r="F21" s="14">
        <v>4583</v>
      </c>
      <c r="G21" s="14">
        <v>4766</v>
      </c>
      <c r="H21" s="14">
        <v>4583</v>
      </c>
      <c r="I21" s="14">
        <v>4766</v>
      </c>
      <c r="J21" s="14">
        <v>4766</v>
      </c>
      <c r="K21" s="14">
        <v>4950</v>
      </c>
      <c r="L21" s="14">
        <v>4950</v>
      </c>
      <c r="M21" s="14">
        <v>4766</v>
      </c>
      <c r="N21" s="14">
        <v>4950</v>
      </c>
      <c r="O21" s="14">
        <v>4766</v>
      </c>
      <c r="P21" s="14">
        <v>4950</v>
      </c>
      <c r="Q21" s="14">
        <v>8333</v>
      </c>
      <c r="R21" s="14">
        <v>4950</v>
      </c>
      <c r="S21" s="14">
        <v>4583</v>
      </c>
      <c r="T21" s="14">
        <v>4766</v>
      </c>
      <c r="U21" s="14">
        <v>4766</v>
      </c>
      <c r="V21" s="14">
        <v>5208</v>
      </c>
      <c r="W21" s="14">
        <v>4766</v>
      </c>
      <c r="X21" s="14">
        <v>5208</v>
      </c>
      <c r="Y21" s="14">
        <v>5208</v>
      </c>
      <c r="Z21" s="14">
        <v>4767</v>
      </c>
      <c r="AA21" s="14">
        <v>0</v>
      </c>
      <c r="AB21" s="14">
        <v>0</v>
      </c>
      <c r="AC21" s="14">
        <v>0</v>
      </c>
      <c r="AD21" s="14">
        <v>4550</v>
      </c>
      <c r="AE21" s="14">
        <v>0</v>
      </c>
      <c r="AF21" s="14">
        <v>4766</v>
      </c>
      <c r="AG21" s="14">
        <v>4583</v>
      </c>
      <c r="AH21" s="14">
        <v>4766</v>
      </c>
      <c r="AI21" s="14">
        <v>4766</v>
      </c>
      <c r="AJ21" s="14">
        <v>4950</v>
      </c>
      <c r="AK21" s="14">
        <v>8333</v>
      </c>
      <c r="AL21" s="14">
        <v>9000</v>
      </c>
      <c r="AM21" s="14">
        <v>4583</v>
      </c>
      <c r="AN21" s="14">
        <v>4950</v>
      </c>
      <c r="AO21" s="14">
        <v>4766</v>
      </c>
      <c r="AP21" s="14">
        <v>0</v>
      </c>
      <c r="AQ21" s="14">
        <v>8666</v>
      </c>
      <c r="AR21" s="14">
        <v>8333</v>
      </c>
      <c r="AS21" s="14">
        <v>4766</v>
      </c>
      <c r="AT21" s="14">
        <v>4774</v>
      </c>
      <c r="AU21" s="14">
        <v>4766</v>
      </c>
      <c r="AV21" s="15">
        <v>4583</v>
      </c>
      <c r="AW21" s="16">
        <f t="shared" si="3"/>
        <v>210785</v>
      </c>
      <c r="AX21" s="16">
        <f t="shared" si="0"/>
        <v>4578.1777777777779</v>
      </c>
      <c r="AY21" s="13">
        <f>AW21/AW13</f>
        <v>4.4297852298643163E-3</v>
      </c>
    </row>
    <row r="22" spans="1:51" ht="12.75" customHeight="1" x14ac:dyDescent="0.15">
      <c r="A22" s="41"/>
      <c r="B22" s="11" t="s">
        <v>74</v>
      </c>
      <c r="C22" s="14">
        <v>24964</v>
      </c>
      <c r="D22" s="14">
        <v>0</v>
      </c>
      <c r="E22" s="14">
        <v>28679</v>
      </c>
      <c r="F22" s="14">
        <v>9166</v>
      </c>
      <c r="G22" s="14">
        <v>18658</v>
      </c>
      <c r="H22" s="14">
        <v>45058</v>
      </c>
      <c r="I22" s="14">
        <v>25082</v>
      </c>
      <c r="J22" s="14">
        <v>24144</v>
      </c>
      <c r="K22" s="14">
        <v>26896</v>
      </c>
      <c r="L22" s="14">
        <v>33622</v>
      </c>
      <c r="M22" s="14">
        <v>35854</v>
      </c>
      <c r="N22" s="14">
        <v>32622</v>
      </c>
      <c r="O22" s="14">
        <v>25904</v>
      </c>
      <c r="P22" s="14">
        <v>35324</v>
      </c>
      <c r="Q22" s="14">
        <v>45820</v>
      </c>
      <c r="R22" s="14">
        <v>81250</v>
      </c>
      <c r="S22" s="14">
        <v>24854</v>
      </c>
      <c r="T22" s="14">
        <v>30531</v>
      </c>
      <c r="U22" s="14">
        <v>45794</v>
      </c>
      <c r="V22" s="14">
        <v>38383</v>
      </c>
      <c r="W22" s="14">
        <v>53355</v>
      </c>
      <c r="X22" s="14">
        <v>63356</v>
      </c>
      <c r="Y22" s="14">
        <v>17372</v>
      </c>
      <c r="Z22" s="14">
        <v>35968</v>
      </c>
      <c r="AA22" s="14">
        <v>0</v>
      </c>
      <c r="AB22" s="14">
        <v>0</v>
      </c>
      <c r="AC22" s="14">
        <v>0</v>
      </c>
      <c r="AD22" s="14">
        <v>40668</v>
      </c>
      <c r="AE22" s="14">
        <v>0</v>
      </c>
      <c r="AF22" s="14">
        <v>68895</v>
      </c>
      <c r="AG22" s="14">
        <v>46168</v>
      </c>
      <c r="AH22" s="14">
        <v>47355</v>
      </c>
      <c r="AI22" s="14">
        <v>30980</v>
      </c>
      <c r="AJ22" s="14">
        <v>33307</v>
      </c>
      <c r="AK22" s="14">
        <v>90423</v>
      </c>
      <c r="AL22" s="14">
        <v>29549</v>
      </c>
      <c r="AM22" s="14">
        <v>31072</v>
      </c>
      <c r="AN22" s="14">
        <v>28902</v>
      </c>
      <c r="AO22" s="14">
        <v>27305</v>
      </c>
      <c r="AP22" s="14">
        <v>0</v>
      </c>
      <c r="AQ22" s="14">
        <v>42121</v>
      </c>
      <c r="AR22" s="14">
        <v>42468</v>
      </c>
      <c r="AS22" s="14">
        <v>25080</v>
      </c>
      <c r="AT22" s="14">
        <v>46616</v>
      </c>
      <c r="AU22" s="14">
        <v>29025</v>
      </c>
      <c r="AV22" s="15">
        <v>19614</v>
      </c>
      <c r="AW22" s="16">
        <f t="shared" si="3"/>
        <v>1482204</v>
      </c>
      <c r="AX22" s="16">
        <f t="shared" si="0"/>
        <v>32383.111111111109</v>
      </c>
      <c r="AY22" s="13">
        <f>AW22/AW13</f>
        <v>3.114949065088032E-2</v>
      </c>
    </row>
    <row r="23" spans="1:51" ht="12.75" customHeight="1" x14ac:dyDescent="0.15">
      <c r="A23" s="41"/>
      <c r="B23" s="17" t="s">
        <v>75</v>
      </c>
      <c r="C23" s="18">
        <f>SUM(C17:C22)</f>
        <v>34881</v>
      </c>
      <c r="D23" s="18">
        <f t="shared" ref="D23:AV23" si="4">SUM(D17:D22)</f>
        <v>0</v>
      </c>
      <c r="E23" s="18">
        <f t="shared" si="4"/>
        <v>39578</v>
      </c>
      <c r="F23" s="18">
        <f t="shared" si="4"/>
        <v>87709</v>
      </c>
      <c r="G23" s="18">
        <f t="shared" si="4"/>
        <v>328406</v>
      </c>
      <c r="H23" s="18">
        <f t="shared" si="4"/>
        <v>53666</v>
      </c>
      <c r="I23" s="18">
        <f t="shared" si="4"/>
        <v>34998</v>
      </c>
      <c r="J23" s="18">
        <f t="shared" si="4"/>
        <v>83733</v>
      </c>
      <c r="K23" s="18">
        <f t="shared" si="4"/>
        <v>80934</v>
      </c>
      <c r="L23" s="18">
        <f t="shared" si="4"/>
        <v>43397</v>
      </c>
      <c r="M23" s="18">
        <f t="shared" si="4"/>
        <v>45770</v>
      </c>
      <c r="N23" s="18">
        <f t="shared" si="4"/>
        <v>41972</v>
      </c>
      <c r="O23" s="18">
        <f t="shared" si="4"/>
        <v>35820</v>
      </c>
      <c r="P23" s="18">
        <f t="shared" si="4"/>
        <v>45524</v>
      </c>
      <c r="Q23" s="18">
        <f t="shared" si="4"/>
        <v>119963</v>
      </c>
      <c r="R23" s="18">
        <f t="shared" si="4"/>
        <v>90600</v>
      </c>
      <c r="S23" s="18">
        <f t="shared" si="4"/>
        <v>33462</v>
      </c>
      <c r="T23" s="18">
        <f t="shared" si="4"/>
        <v>35297</v>
      </c>
      <c r="U23" s="18">
        <f t="shared" si="4"/>
        <v>55368</v>
      </c>
      <c r="V23" s="18">
        <f t="shared" si="4"/>
        <v>257091</v>
      </c>
      <c r="W23" s="18">
        <f t="shared" si="4"/>
        <v>122277</v>
      </c>
      <c r="X23" s="18">
        <f t="shared" si="4"/>
        <v>138139</v>
      </c>
      <c r="Y23" s="18">
        <f t="shared" si="4"/>
        <v>90828</v>
      </c>
      <c r="Z23" s="18">
        <f t="shared" si="4"/>
        <v>46377</v>
      </c>
      <c r="AA23" s="18">
        <f t="shared" si="4"/>
        <v>0</v>
      </c>
      <c r="AB23" s="18">
        <f t="shared" si="4"/>
        <v>0</v>
      </c>
      <c r="AC23" s="18">
        <f t="shared" si="4"/>
        <v>7075</v>
      </c>
      <c r="AD23" s="18">
        <f t="shared" si="4"/>
        <v>130959</v>
      </c>
      <c r="AE23" s="18">
        <f t="shared" si="4"/>
        <v>215200</v>
      </c>
      <c r="AF23" s="18">
        <f t="shared" si="4"/>
        <v>78078</v>
      </c>
      <c r="AG23" s="18">
        <f t="shared" si="4"/>
        <v>54776</v>
      </c>
      <c r="AH23" s="18">
        <f t="shared" si="4"/>
        <v>57763</v>
      </c>
      <c r="AI23" s="18">
        <f t="shared" si="4"/>
        <v>41388</v>
      </c>
      <c r="AJ23" s="18">
        <f t="shared" si="4"/>
        <v>43082</v>
      </c>
      <c r="AK23" s="18">
        <f t="shared" si="4"/>
        <v>105706</v>
      </c>
      <c r="AL23" s="18">
        <f t="shared" si="4"/>
        <v>45624</v>
      </c>
      <c r="AM23" s="18">
        <f t="shared" si="4"/>
        <v>39680</v>
      </c>
      <c r="AN23" s="18">
        <f t="shared" si="4"/>
        <v>38677</v>
      </c>
      <c r="AO23" s="18">
        <f t="shared" si="4"/>
        <v>293571</v>
      </c>
      <c r="AP23" s="18">
        <f t="shared" si="4"/>
        <v>0</v>
      </c>
      <c r="AQ23" s="18">
        <f t="shared" si="4"/>
        <v>56787</v>
      </c>
      <c r="AR23" s="18">
        <f t="shared" si="4"/>
        <v>140651</v>
      </c>
      <c r="AS23" s="18">
        <f t="shared" si="4"/>
        <v>301546</v>
      </c>
      <c r="AT23" s="18">
        <f t="shared" si="4"/>
        <v>240990</v>
      </c>
      <c r="AU23" s="18">
        <f t="shared" si="4"/>
        <v>278791</v>
      </c>
      <c r="AV23" s="19">
        <f t="shared" si="4"/>
        <v>373597</v>
      </c>
      <c r="AW23" s="20">
        <f t="shared" si="3"/>
        <v>4489731</v>
      </c>
      <c r="AX23" s="20">
        <f t="shared" si="0"/>
        <v>98996.666666666672</v>
      </c>
      <c r="AY23" s="21">
        <f>AW23/AW13</f>
        <v>9.4354646060506892E-2</v>
      </c>
    </row>
    <row r="24" spans="1:51" ht="12.75" customHeight="1" x14ac:dyDescent="0.15">
      <c r="A24" s="41" t="s">
        <v>76</v>
      </c>
      <c r="B24" s="11" t="s">
        <v>77</v>
      </c>
      <c r="C24" s="14">
        <v>28000</v>
      </c>
      <c r="D24" s="14">
        <v>0</v>
      </c>
      <c r="E24" s="14">
        <v>28700</v>
      </c>
      <c r="F24" s="14">
        <v>0</v>
      </c>
      <c r="G24" s="14">
        <v>29000</v>
      </c>
      <c r="H24" s="14">
        <v>549000</v>
      </c>
      <c r="I24" s="14">
        <v>187440</v>
      </c>
      <c r="J24" s="14">
        <v>35700</v>
      </c>
      <c r="K24" s="14">
        <v>0</v>
      </c>
      <c r="L24" s="14">
        <v>3200</v>
      </c>
      <c r="M24" s="14">
        <v>48474</v>
      </c>
      <c r="N24" s="14">
        <v>199230</v>
      </c>
      <c r="O24" s="14">
        <v>427384</v>
      </c>
      <c r="P24" s="14">
        <v>0</v>
      </c>
      <c r="Q24" s="14">
        <v>0</v>
      </c>
      <c r="R24" s="14">
        <v>74346</v>
      </c>
      <c r="S24" s="14">
        <v>1890</v>
      </c>
      <c r="T24" s="14">
        <v>0</v>
      </c>
      <c r="U24" s="14">
        <v>10975</v>
      </c>
      <c r="V24" s="14">
        <v>39360</v>
      </c>
      <c r="W24" s="14">
        <v>0</v>
      </c>
      <c r="X24" s="14">
        <v>291435</v>
      </c>
      <c r="Y24" s="14">
        <v>0</v>
      </c>
      <c r="Z24" s="14">
        <v>0</v>
      </c>
      <c r="AA24" s="14">
        <v>0</v>
      </c>
      <c r="AB24" s="14">
        <v>0</v>
      </c>
      <c r="AC24" s="14">
        <v>0</v>
      </c>
      <c r="AD24" s="14">
        <v>49100</v>
      </c>
      <c r="AE24" s="14">
        <v>0</v>
      </c>
      <c r="AF24" s="14">
        <v>84500</v>
      </c>
      <c r="AG24" s="14">
        <v>13300</v>
      </c>
      <c r="AH24" s="14">
        <v>0</v>
      </c>
      <c r="AI24" s="14">
        <v>431340</v>
      </c>
      <c r="AJ24" s="14">
        <v>0</v>
      </c>
      <c r="AK24" s="14">
        <v>19400</v>
      </c>
      <c r="AL24" s="14">
        <v>39218</v>
      </c>
      <c r="AM24" s="14">
        <v>0</v>
      </c>
      <c r="AN24" s="14">
        <v>0</v>
      </c>
      <c r="AO24" s="14">
        <v>0</v>
      </c>
      <c r="AP24" s="14">
        <v>0</v>
      </c>
      <c r="AQ24" s="14">
        <v>29188</v>
      </c>
      <c r="AR24" s="14">
        <v>0</v>
      </c>
      <c r="AS24" s="14">
        <v>29400</v>
      </c>
      <c r="AT24" s="14">
        <v>0</v>
      </c>
      <c r="AU24" s="14">
        <v>0</v>
      </c>
      <c r="AV24" s="15">
        <v>0</v>
      </c>
      <c r="AW24" s="16">
        <f t="shared" si="3"/>
        <v>2649580</v>
      </c>
      <c r="AX24" s="16">
        <f t="shared" si="0"/>
        <v>58257.333333333336</v>
      </c>
      <c r="AY24" s="13">
        <f>AW24/AW13</f>
        <v>5.5682664085887963E-2</v>
      </c>
    </row>
    <row r="25" spans="1:51" ht="12.75" customHeight="1" x14ac:dyDescent="0.15">
      <c r="A25" s="41"/>
      <c r="B25" s="11" t="s">
        <v>78</v>
      </c>
      <c r="C25" s="14">
        <v>0</v>
      </c>
      <c r="D25" s="14">
        <v>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  <c r="AB25" s="14">
        <v>0</v>
      </c>
      <c r="AC25" s="14">
        <v>0</v>
      </c>
      <c r="AD25" s="14">
        <v>0</v>
      </c>
      <c r="AE25" s="14">
        <v>0</v>
      </c>
      <c r="AF25" s="14">
        <v>0</v>
      </c>
      <c r="AG25" s="14">
        <v>0</v>
      </c>
      <c r="AH25" s="14">
        <v>0</v>
      </c>
      <c r="AI25" s="14">
        <v>0</v>
      </c>
      <c r="AJ25" s="14">
        <v>0</v>
      </c>
      <c r="AK25" s="14">
        <v>0</v>
      </c>
      <c r="AL25" s="14">
        <v>0</v>
      </c>
      <c r="AM25" s="14">
        <v>0</v>
      </c>
      <c r="AN25" s="14">
        <v>0</v>
      </c>
      <c r="AO25" s="14">
        <v>0</v>
      </c>
      <c r="AP25" s="14">
        <v>0</v>
      </c>
      <c r="AQ25" s="14">
        <v>0</v>
      </c>
      <c r="AR25" s="14">
        <v>0</v>
      </c>
      <c r="AS25" s="14">
        <v>0</v>
      </c>
      <c r="AT25" s="14">
        <v>0</v>
      </c>
      <c r="AU25" s="14">
        <v>0</v>
      </c>
      <c r="AV25" s="15">
        <v>0</v>
      </c>
      <c r="AW25" s="16">
        <f t="shared" si="3"/>
        <v>0</v>
      </c>
      <c r="AX25" s="16">
        <f t="shared" si="0"/>
        <v>0</v>
      </c>
      <c r="AY25" s="13">
        <f>AW25/AW13</f>
        <v>0</v>
      </c>
    </row>
    <row r="26" spans="1:51" ht="12.75" customHeight="1" x14ac:dyDescent="0.15">
      <c r="A26" s="41"/>
      <c r="B26" s="11" t="s">
        <v>79</v>
      </c>
      <c r="C26" s="14">
        <f t="shared" ref="C26:AV26" si="5">30000*C9/70000*C11</f>
        <v>25634.571428571428</v>
      </c>
      <c r="D26" s="14">
        <f t="shared" si="5"/>
        <v>0</v>
      </c>
      <c r="E26" s="14">
        <f t="shared" si="5"/>
        <v>27586.285714285714</v>
      </c>
      <c r="F26" s="14">
        <f t="shared" si="5"/>
        <v>22870.285714285717</v>
      </c>
      <c r="G26" s="14">
        <f t="shared" si="5"/>
        <v>596.91428571428571</v>
      </c>
      <c r="H26" s="14">
        <f t="shared" si="5"/>
        <v>19803.428571428569</v>
      </c>
      <c r="I26" s="14">
        <f t="shared" si="5"/>
        <v>18979.885714285712</v>
      </c>
      <c r="J26" s="14">
        <f t="shared" si="5"/>
        <v>23382.17142857143</v>
      </c>
      <c r="K26" s="14">
        <f t="shared" si="5"/>
        <v>6270.8571428571422</v>
      </c>
      <c r="L26" s="14">
        <f t="shared" si="5"/>
        <v>11790.857142857141</v>
      </c>
      <c r="M26" s="14">
        <f t="shared" si="5"/>
        <v>21002.571428571424</v>
      </c>
      <c r="N26" s="14">
        <f t="shared" si="5"/>
        <v>20017.714285714286</v>
      </c>
      <c r="O26" s="14">
        <f t="shared" si="5"/>
        <v>21800.999999999996</v>
      </c>
      <c r="P26" s="14">
        <f t="shared" si="5"/>
        <v>22130.571428571428</v>
      </c>
      <c r="Q26" s="14">
        <f t="shared" si="5"/>
        <v>38974.800000000003</v>
      </c>
      <c r="R26" s="14">
        <f t="shared" si="5"/>
        <v>20259.428571428569</v>
      </c>
      <c r="S26" s="14">
        <f t="shared" si="5"/>
        <v>21374.571428571428</v>
      </c>
      <c r="T26" s="14">
        <f t="shared" si="5"/>
        <v>23825.142857142855</v>
      </c>
      <c r="U26" s="14">
        <f t="shared" si="5"/>
        <v>31109.571428571431</v>
      </c>
      <c r="V26" s="14">
        <f t="shared" si="5"/>
        <v>35129.571428571428</v>
      </c>
      <c r="W26" s="14">
        <f t="shared" si="5"/>
        <v>30335.571428571428</v>
      </c>
      <c r="X26" s="14">
        <f t="shared" si="5"/>
        <v>32165.571428571428</v>
      </c>
      <c r="Y26" s="14">
        <f t="shared" si="5"/>
        <v>21743.142857142855</v>
      </c>
      <c r="Z26" s="14">
        <f t="shared" si="5"/>
        <v>22500.857142857141</v>
      </c>
      <c r="AA26" s="14">
        <f t="shared" si="5"/>
        <v>0</v>
      </c>
      <c r="AB26" s="14">
        <f t="shared" si="5"/>
        <v>0</v>
      </c>
      <c r="AC26" s="14">
        <f t="shared" si="5"/>
        <v>0</v>
      </c>
      <c r="AD26" s="14">
        <f t="shared" si="5"/>
        <v>25392</v>
      </c>
      <c r="AE26" s="14">
        <f t="shared" si="5"/>
        <v>28632</v>
      </c>
      <c r="AF26" s="14">
        <f t="shared" si="5"/>
        <v>29382.857142857141</v>
      </c>
      <c r="AG26" s="14">
        <f t="shared" si="5"/>
        <v>35858.571428571428</v>
      </c>
      <c r="AH26" s="14">
        <f t="shared" si="5"/>
        <v>18261.428571428572</v>
      </c>
      <c r="AI26" s="14">
        <f t="shared" si="5"/>
        <v>16525.714285714286</v>
      </c>
      <c r="AJ26" s="14">
        <f t="shared" si="5"/>
        <v>17644.285714285714</v>
      </c>
      <c r="AK26" s="14">
        <f t="shared" si="5"/>
        <v>28705.799999999996</v>
      </c>
      <c r="AL26" s="14">
        <f t="shared" si="5"/>
        <v>10543.199999999999</v>
      </c>
      <c r="AM26" s="14">
        <f t="shared" si="5"/>
        <v>17750.742857142857</v>
      </c>
      <c r="AN26" s="14">
        <f t="shared" si="5"/>
        <v>15534.857142857141</v>
      </c>
      <c r="AO26" s="14">
        <f t="shared" si="5"/>
        <v>16679.657142857141</v>
      </c>
      <c r="AP26" s="14">
        <f t="shared" si="5"/>
        <v>0</v>
      </c>
      <c r="AQ26" s="14">
        <f t="shared" si="5"/>
        <v>250.8</v>
      </c>
      <c r="AR26" s="14">
        <f t="shared" si="5"/>
        <v>50207.657142857141</v>
      </c>
      <c r="AS26" s="14">
        <f t="shared" si="5"/>
        <v>6982.2857142857138</v>
      </c>
      <c r="AT26" s="14">
        <f t="shared" si="5"/>
        <v>11581.371428571429</v>
      </c>
      <c r="AU26" s="14">
        <f t="shared" si="5"/>
        <v>9219.0857142857149</v>
      </c>
      <c r="AV26" s="15">
        <f t="shared" si="5"/>
        <v>7726.6285714285705</v>
      </c>
      <c r="AW26" s="16">
        <f t="shared" si="3"/>
        <v>866164.28571428556</v>
      </c>
      <c r="AX26" s="16">
        <f t="shared" si="0"/>
        <v>18678.438095238093</v>
      </c>
      <c r="AY26" s="13">
        <f>AW26/AW13</f>
        <v>1.8203011407325557E-2</v>
      </c>
    </row>
    <row r="27" spans="1:51" ht="12.75" customHeight="1" x14ac:dyDescent="0.15">
      <c r="A27" s="41"/>
      <c r="B27" s="11" t="s">
        <v>80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0</v>
      </c>
      <c r="R27" s="14">
        <v>0</v>
      </c>
      <c r="S27" s="14">
        <v>0</v>
      </c>
      <c r="T27" s="14">
        <v>0</v>
      </c>
      <c r="U27" s="14"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14">
        <v>0</v>
      </c>
      <c r="AB27" s="14">
        <v>0</v>
      </c>
      <c r="AC27" s="14">
        <v>0</v>
      </c>
      <c r="AD27" s="14">
        <v>0</v>
      </c>
      <c r="AE27" s="14">
        <v>0</v>
      </c>
      <c r="AF27" s="14">
        <v>0</v>
      </c>
      <c r="AG27" s="14">
        <v>0</v>
      </c>
      <c r="AH27" s="14">
        <v>0</v>
      </c>
      <c r="AI27" s="14">
        <v>0</v>
      </c>
      <c r="AJ27" s="14">
        <v>0</v>
      </c>
      <c r="AK27" s="14">
        <v>0</v>
      </c>
      <c r="AL27" s="14">
        <v>0</v>
      </c>
      <c r="AM27" s="14">
        <v>0</v>
      </c>
      <c r="AN27" s="14">
        <v>0</v>
      </c>
      <c r="AO27" s="14">
        <v>0</v>
      </c>
      <c r="AP27" s="14">
        <v>0</v>
      </c>
      <c r="AQ27" s="14">
        <v>0</v>
      </c>
      <c r="AR27" s="14">
        <v>0</v>
      </c>
      <c r="AS27" s="14">
        <v>0</v>
      </c>
      <c r="AT27" s="14">
        <v>0</v>
      </c>
      <c r="AU27" s="14">
        <v>0</v>
      </c>
      <c r="AV27" s="15">
        <v>0</v>
      </c>
      <c r="AW27" s="16">
        <f t="shared" si="3"/>
        <v>0</v>
      </c>
      <c r="AX27" s="16">
        <f t="shared" si="0"/>
        <v>0</v>
      </c>
      <c r="AY27" s="13">
        <f>AW27/AW13</f>
        <v>0</v>
      </c>
    </row>
    <row r="28" spans="1:51" ht="12.75" customHeight="1" x14ac:dyDescent="0.15">
      <c r="A28" s="41"/>
      <c r="B28" s="11" t="s">
        <v>81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>
        <v>0</v>
      </c>
      <c r="AC28" s="14">
        <v>0</v>
      </c>
      <c r="AD28" s="14">
        <v>0</v>
      </c>
      <c r="AE28" s="14">
        <v>0</v>
      </c>
      <c r="AF28" s="14">
        <v>0</v>
      </c>
      <c r="AG28" s="14">
        <v>0</v>
      </c>
      <c r="AH28" s="14">
        <v>0</v>
      </c>
      <c r="AI28" s="14">
        <v>0</v>
      </c>
      <c r="AJ28" s="14">
        <v>0</v>
      </c>
      <c r="AK28" s="14">
        <v>0</v>
      </c>
      <c r="AL28" s="14">
        <v>0</v>
      </c>
      <c r="AM28" s="14">
        <v>0</v>
      </c>
      <c r="AN28" s="14">
        <v>0</v>
      </c>
      <c r="AO28" s="14">
        <v>0</v>
      </c>
      <c r="AP28" s="14">
        <v>0</v>
      </c>
      <c r="AQ28" s="14">
        <v>0</v>
      </c>
      <c r="AR28" s="14">
        <v>0</v>
      </c>
      <c r="AS28" s="14">
        <v>0</v>
      </c>
      <c r="AT28" s="14">
        <v>0</v>
      </c>
      <c r="AU28" s="14">
        <v>0</v>
      </c>
      <c r="AV28" s="15">
        <v>0</v>
      </c>
      <c r="AW28" s="16">
        <f t="shared" si="3"/>
        <v>0</v>
      </c>
      <c r="AX28" s="16">
        <f t="shared" si="0"/>
        <v>0</v>
      </c>
      <c r="AY28" s="13">
        <f>AW28/AW13</f>
        <v>0</v>
      </c>
    </row>
    <row r="29" spans="1:51" ht="12.75" customHeight="1" x14ac:dyDescent="0.15">
      <c r="A29" s="41"/>
      <c r="B29" s="17" t="s">
        <v>82</v>
      </c>
      <c r="C29" s="18">
        <f>SUM(C24:C28)</f>
        <v>53634.571428571428</v>
      </c>
      <c r="D29" s="18">
        <f t="shared" ref="D29:AV29" si="6">SUM(D24:D28)</f>
        <v>0</v>
      </c>
      <c r="E29" s="18">
        <f t="shared" si="6"/>
        <v>56286.28571428571</v>
      </c>
      <c r="F29" s="18">
        <f t="shared" si="6"/>
        <v>22870.285714285717</v>
      </c>
      <c r="G29" s="18">
        <f t="shared" si="6"/>
        <v>29596.914285714287</v>
      </c>
      <c r="H29" s="18">
        <f t="shared" si="6"/>
        <v>568803.42857142852</v>
      </c>
      <c r="I29" s="18">
        <f t="shared" si="6"/>
        <v>206419.88571428572</v>
      </c>
      <c r="J29" s="18">
        <f t="shared" si="6"/>
        <v>59082.171428571426</v>
      </c>
      <c r="K29" s="18">
        <f t="shared" si="6"/>
        <v>6270.8571428571422</v>
      </c>
      <c r="L29" s="18">
        <f t="shared" si="6"/>
        <v>14990.857142857141</v>
      </c>
      <c r="M29" s="18">
        <f t="shared" si="6"/>
        <v>69476.57142857142</v>
      </c>
      <c r="N29" s="18">
        <f t="shared" si="6"/>
        <v>219247.71428571429</v>
      </c>
      <c r="O29" s="18">
        <f t="shared" si="6"/>
        <v>449185</v>
      </c>
      <c r="P29" s="18">
        <f t="shared" si="6"/>
        <v>22130.571428571428</v>
      </c>
      <c r="Q29" s="18">
        <f t="shared" si="6"/>
        <v>38974.800000000003</v>
      </c>
      <c r="R29" s="18">
        <f t="shared" si="6"/>
        <v>94605.428571428565</v>
      </c>
      <c r="S29" s="18">
        <f t="shared" si="6"/>
        <v>23264.571428571428</v>
      </c>
      <c r="T29" s="18">
        <f t="shared" si="6"/>
        <v>23825.142857142855</v>
      </c>
      <c r="U29" s="18">
        <f t="shared" si="6"/>
        <v>42084.571428571435</v>
      </c>
      <c r="V29" s="18">
        <f t="shared" si="6"/>
        <v>74489.57142857142</v>
      </c>
      <c r="W29" s="18">
        <f t="shared" si="6"/>
        <v>30335.571428571428</v>
      </c>
      <c r="X29" s="18">
        <f t="shared" si="6"/>
        <v>323600.57142857142</v>
      </c>
      <c r="Y29" s="18">
        <f t="shared" si="6"/>
        <v>21743.142857142855</v>
      </c>
      <c r="Z29" s="18">
        <f t="shared" si="6"/>
        <v>22500.857142857141</v>
      </c>
      <c r="AA29" s="18">
        <f t="shared" si="6"/>
        <v>0</v>
      </c>
      <c r="AB29" s="18">
        <f t="shared" si="6"/>
        <v>0</v>
      </c>
      <c r="AC29" s="18">
        <f t="shared" si="6"/>
        <v>0</v>
      </c>
      <c r="AD29" s="18">
        <f t="shared" si="6"/>
        <v>74492</v>
      </c>
      <c r="AE29" s="18">
        <f t="shared" si="6"/>
        <v>28632</v>
      </c>
      <c r="AF29" s="18">
        <f t="shared" si="6"/>
        <v>113882.85714285714</v>
      </c>
      <c r="AG29" s="18">
        <f t="shared" si="6"/>
        <v>49158.571428571428</v>
      </c>
      <c r="AH29" s="18">
        <f t="shared" si="6"/>
        <v>18261.428571428572</v>
      </c>
      <c r="AI29" s="18">
        <f t="shared" si="6"/>
        <v>447865.71428571426</v>
      </c>
      <c r="AJ29" s="18">
        <f t="shared" si="6"/>
        <v>17644.285714285714</v>
      </c>
      <c r="AK29" s="18">
        <f t="shared" si="6"/>
        <v>48105.799999999996</v>
      </c>
      <c r="AL29" s="18">
        <f t="shared" si="6"/>
        <v>49761.2</v>
      </c>
      <c r="AM29" s="18">
        <f t="shared" si="6"/>
        <v>17750.742857142857</v>
      </c>
      <c r="AN29" s="18">
        <f t="shared" si="6"/>
        <v>15534.857142857141</v>
      </c>
      <c r="AO29" s="18">
        <f t="shared" si="6"/>
        <v>16679.657142857141</v>
      </c>
      <c r="AP29" s="18">
        <f t="shared" si="6"/>
        <v>0</v>
      </c>
      <c r="AQ29" s="18">
        <f t="shared" si="6"/>
        <v>29438.799999999999</v>
      </c>
      <c r="AR29" s="18">
        <f t="shared" si="6"/>
        <v>50207.657142857141</v>
      </c>
      <c r="AS29" s="18">
        <f t="shared" si="6"/>
        <v>36382.28571428571</v>
      </c>
      <c r="AT29" s="18">
        <f t="shared" si="6"/>
        <v>11581.371428571429</v>
      </c>
      <c r="AU29" s="18">
        <f t="shared" si="6"/>
        <v>9219.0857142857149</v>
      </c>
      <c r="AV29" s="19">
        <f t="shared" si="6"/>
        <v>7726.6285714285705</v>
      </c>
      <c r="AW29" s="20">
        <f t="shared" si="3"/>
        <v>3515744.2857142859</v>
      </c>
      <c r="AX29" s="20">
        <f t="shared" si="0"/>
        <v>76935.771428571432</v>
      </c>
      <c r="AY29" s="21">
        <f>AW29/AW13</f>
        <v>7.3885675493213523E-2</v>
      </c>
    </row>
    <row r="30" spans="1:51" ht="12.75" customHeight="1" x14ac:dyDescent="0.15">
      <c r="A30" s="41" t="s">
        <v>83</v>
      </c>
      <c r="B30" s="8" t="s">
        <v>84</v>
      </c>
      <c r="C30" s="22">
        <v>1418</v>
      </c>
      <c r="D30" s="22">
        <v>0</v>
      </c>
      <c r="E30" s="22">
        <v>1474</v>
      </c>
      <c r="F30" s="22">
        <v>1581</v>
      </c>
      <c r="G30" s="22">
        <v>0</v>
      </c>
      <c r="H30" s="22">
        <v>1320</v>
      </c>
      <c r="I30" s="22">
        <v>1318</v>
      </c>
      <c r="J30" s="22">
        <v>1482</v>
      </c>
      <c r="K30" s="22">
        <v>456</v>
      </c>
      <c r="L30" s="22">
        <v>1060</v>
      </c>
      <c r="M30" s="22">
        <v>1426</v>
      </c>
      <c r="N30" s="22">
        <v>1045</v>
      </c>
      <c r="O30" s="22">
        <v>1330</v>
      </c>
      <c r="P30" s="22">
        <v>1410</v>
      </c>
      <c r="Q30" s="22">
        <v>2494</v>
      </c>
      <c r="R30" s="22">
        <v>1275</v>
      </c>
      <c r="S30" s="22">
        <v>1346</v>
      </c>
      <c r="T30" s="22">
        <v>1393</v>
      </c>
      <c r="U30" s="22">
        <v>1868</v>
      </c>
      <c r="V30" s="22">
        <v>1999</v>
      </c>
      <c r="W30" s="22">
        <v>1810</v>
      </c>
      <c r="X30" s="22">
        <v>2011</v>
      </c>
      <c r="Y30" s="22">
        <v>1265</v>
      </c>
      <c r="Z30" s="22">
        <v>1315</v>
      </c>
      <c r="AA30" s="22">
        <v>0</v>
      </c>
      <c r="AB30" s="22">
        <v>0</v>
      </c>
      <c r="AC30" s="22">
        <v>0</v>
      </c>
      <c r="AD30" s="22">
        <v>1708</v>
      </c>
      <c r="AE30" s="22">
        <v>1850</v>
      </c>
      <c r="AF30" s="22">
        <v>2105</v>
      </c>
      <c r="AG30" s="22">
        <v>1874</v>
      </c>
      <c r="AH30" s="22">
        <v>1120</v>
      </c>
      <c r="AI30" s="22">
        <v>1026</v>
      </c>
      <c r="AJ30" s="22">
        <v>858</v>
      </c>
      <c r="AK30" s="22">
        <v>1757</v>
      </c>
      <c r="AL30" s="22">
        <v>755</v>
      </c>
      <c r="AM30" s="22">
        <v>1262</v>
      </c>
      <c r="AN30" s="22">
        <v>887</v>
      </c>
      <c r="AO30" s="22">
        <v>1158</v>
      </c>
      <c r="AP30" s="22">
        <v>0</v>
      </c>
      <c r="AQ30" s="22">
        <v>95</v>
      </c>
      <c r="AR30" s="22">
        <v>2355</v>
      </c>
      <c r="AS30" s="22">
        <v>541</v>
      </c>
      <c r="AT30" s="22">
        <v>1017</v>
      </c>
      <c r="AU30" s="22">
        <v>656</v>
      </c>
      <c r="AV30" s="23">
        <v>770</v>
      </c>
      <c r="AW30" s="24">
        <f t="shared" si="3"/>
        <v>53890</v>
      </c>
      <c r="AX30" s="24">
        <f t="shared" si="0"/>
        <v>1166.0444444444445</v>
      </c>
      <c r="AY30" s="10">
        <f>AW30/AW13</f>
        <v>1.1325337478349407E-3</v>
      </c>
    </row>
    <row r="31" spans="1:51" ht="12.75" customHeight="1" x14ac:dyDescent="0.15">
      <c r="A31" s="41"/>
      <c r="B31" s="25" t="s">
        <v>85</v>
      </c>
      <c r="C31" s="26">
        <f>SUM(C11/C30)</f>
        <v>4.2181946403385044</v>
      </c>
      <c r="D31" s="26" t="e">
        <f>SUM(D11/D30)</f>
        <v>#DIV/0!</v>
      </c>
      <c r="E31" s="26">
        <f>SUM(E11/E30)</f>
        <v>4.3668928086838532</v>
      </c>
      <c r="F31" s="26">
        <f>SUM(F11/F30)</f>
        <v>3.3753320683111956</v>
      </c>
      <c r="G31" s="26" t="e">
        <f>SUM(G11/G30)</f>
        <v>#DIV/0!</v>
      </c>
      <c r="H31" s="26">
        <f>SUM(H11/H30)</f>
        <v>4.375757575757576</v>
      </c>
      <c r="I31" s="26">
        <f>SUM(I11/I30)</f>
        <v>4.2001517450682853</v>
      </c>
      <c r="J31" s="26">
        <f>SUM(J11/J30)</f>
        <v>4.6017543859649122</v>
      </c>
      <c r="K31" s="26">
        <f>SUM(K11/K30)</f>
        <v>4.0109649122807021</v>
      </c>
      <c r="L31" s="26">
        <f>SUM(L11/L30)</f>
        <v>3.2443396226415095</v>
      </c>
      <c r="M31" s="26">
        <f>SUM(M11/M30)</f>
        <v>3.4366058906030852</v>
      </c>
      <c r="N31" s="26">
        <f>SUM(N11/N30)</f>
        <v>4.4696650717703355</v>
      </c>
      <c r="O31" s="26">
        <f>SUM(O11/O30)</f>
        <v>3.824736842105263</v>
      </c>
      <c r="P31" s="26">
        <f>SUM(P11/P30)</f>
        <v>3.6622695035460993</v>
      </c>
      <c r="Q31" s="26">
        <f>SUM(Q11/Q30)</f>
        <v>2.6045709703287891</v>
      </c>
      <c r="R31" s="26">
        <f>SUM(R11/R30)</f>
        <v>3.7076078431372546</v>
      </c>
      <c r="S31" s="26">
        <f>SUM(S11/S30)</f>
        <v>3.7053491827637441</v>
      </c>
      <c r="T31" s="26">
        <f>SUM(T11/T30)</f>
        <v>3.9908111988513997</v>
      </c>
      <c r="U31" s="26">
        <f>SUM(U11/U30)</f>
        <v>3.8859207708779446</v>
      </c>
      <c r="V31" s="26">
        <f>SUM(V11/V30)</f>
        <v>4.1005002501250623</v>
      </c>
      <c r="W31" s="26">
        <f>SUM(W11/W30)</f>
        <v>3.9106629834254143</v>
      </c>
      <c r="X31" s="26">
        <f>SUM(X11/X30)</f>
        <v>3.7321233217304823</v>
      </c>
      <c r="Y31" s="26">
        <f>SUM(Y11/Y30)</f>
        <v>4.0105928853754937</v>
      </c>
      <c r="Z31" s="26">
        <f>SUM(Z11/Z30)</f>
        <v>3.9925475285171101</v>
      </c>
      <c r="AA31" s="26" t="e">
        <f>SUM(AA11/AA30)</f>
        <v>#DIV/0!</v>
      </c>
      <c r="AB31" s="26" t="e">
        <f>SUM(AB11/AB30)</f>
        <v>#DIV/0!</v>
      </c>
      <c r="AC31" s="26" t="e">
        <f>SUM(AC11/AC30)</f>
        <v>#DIV/0!</v>
      </c>
      <c r="AD31" s="26">
        <f>SUM(AD11/AD30)</f>
        <v>4.3360655737704921</v>
      </c>
      <c r="AE31" s="26">
        <f>SUM(AE11/AE30)</f>
        <v>4.5140540540540544</v>
      </c>
      <c r="AF31" s="26">
        <f>SUM(AF11/AF30)</f>
        <v>4.0712589073634202</v>
      </c>
      <c r="AG31" s="26">
        <f>SUM(AG11/AG30)</f>
        <v>4.4647812166488796</v>
      </c>
      <c r="AH31" s="26">
        <f>SUM(AH11/AH30)</f>
        <v>3.8044642857142859</v>
      </c>
      <c r="AI31" s="26">
        <f>SUM(AI11/AI30)</f>
        <v>3.7582846003898633</v>
      </c>
      <c r="AJ31" s="26">
        <f>SUM(AJ11/AJ30)</f>
        <v>4.798368298368298</v>
      </c>
      <c r="AK31" s="26">
        <f>SUM(AK11/AK30)</f>
        <v>2.7229937393284001</v>
      </c>
      <c r="AL31" s="26">
        <f>SUM(AL11/AL30)</f>
        <v>2.327417218543046</v>
      </c>
      <c r="AM31" s="26">
        <f>SUM(AM11/AM30)</f>
        <v>4.1024564183835182</v>
      </c>
      <c r="AN31" s="26">
        <f>SUM(AN11/AN30)</f>
        <v>5.1082299887260429</v>
      </c>
      <c r="AO31" s="26">
        <f>SUM(AO11/AO30)</f>
        <v>4.2011226252158895</v>
      </c>
      <c r="AP31" s="26" t="e">
        <f>SUM(AP11/AP30)</f>
        <v>#DIV/0!</v>
      </c>
      <c r="AQ31" s="26">
        <f>SUM(AQ11/AQ30)</f>
        <v>0.44000000000000006</v>
      </c>
      <c r="AR31" s="26">
        <f>SUM(AR11/AR30)</f>
        <v>2.7636518046709129</v>
      </c>
      <c r="AS31" s="26">
        <f>SUM(AS11/AS30)</f>
        <v>3.7643253234750462</v>
      </c>
      <c r="AT31" s="26">
        <f>SUM(AT11/AT30)</f>
        <v>3.3214355948869225</v>
      </c>
      <c r="AU31" s="26">
        <f>SUM(AU11/AU30)</f>
        <v>4.098932926829268</v>
      </c>
      <c r="AV31" s="27">
        <f>SUM(AV11/AV30)</f>
        <v>2.9267532467532464</v>
      </c>
      <c r="AW31" s="28">
        <f>SUM(AW11/AW30)</f>
        <v>3.8269215067730555</v>
      </c>
      <c r="AX31" s="28" t="e">
        <f t="shared" si="0"/>
        <v>#DIV/0!</v>
      </c>
      <c r="AY31" s="25">
        <f>AW31/AW13</f>
        <v>8.0425269191609338E-8</v>
      </c>
    </row>
    <row r="32" spans="1:51" ht="12.75" customHeight="1" x14ac:dyDescent="0.15">
      <c r="A32" s="41"/>
      <c r="B32" s="11" t="s">
        <v>86</v>
      </c>
      <c r="C32" s="14">
        <v>169735</v>
      </c>
      <c r="D32" s="14">
        <v>0</v>
      </c>
      <c r="E32" s="14">
        <v>176438</v>
      </c>
      <c r="F32" s="14">
        <v>189246</v>
      </c>
      <c r="G32" s="14">
        <v>0</v>
      </c>
      <c r="H32" s="14">
        <v>158004</v>
      </c>
      <c r="I32" s="14">
        <v>157765</v>
      </c>
      <c r="J32" s="14">
        <v>177395</v>
      </c>
      <c r="K32" s="14">
        <v>52622</v>
      </c>
      <c r="L32" s="14">
        <v>122324</v>
      </c>
      <c r="M32" s="14">
        <v>164560</v>
      </c>
      <c r="N32" s="14">
        <v>120593</v>
      </c>
      <c r="O32" s="14">
        <v>153482</v>
      </c>
      <c r="P32" s="14">
        <v>162714</v>
      </c>
      <c r="Q32" s="14">
        <v>287808</v>
      </c>
      <c r="R32" s="14">
        <v>147135</v>
      </c>
      <c r="S32" s="14">
        <v>155328</v>
      </c>
      <c r="T32" s="14">
        <v>160752</v>
      </c>
      <c r="U32" s="14">
        <v>215567</v>
      </c>
      <c r="V32" s="14">
        <v>230685</v>
      </c>
      <c r="W32" s="14">
        <v>208874</v>
      </c>
      <c r="X32" s="14">
        <v>232069</v>
      </c>
      <c r="Y32" s="14">
        <v>145981</v>
      </c>
      <c r="Z32" s="14">
        <v>151751</v>
      </c>
      <c r="AA32" s="14">
        <v>0</v>
      </c>
      <c r="AB32" s="14">
        <v>0</v>
      </c>
      <c r="AC32" s="14">
        <v>0</v>
      </c>
      <c r="AD32" s="14">
        <v>197103</v>
      </c>
      <c r="AE32" s="14">
        <v>213490</v>
      </c>
      <c r="AF32" s="14">
        <v>242917</v>
      </c>
      <c r="AG32" s="14">
        <v>216260</v>
      </c>
      <c r="AH32" s="14">
        <v>129248</v>
      </c>
      <c r="AI32" s="14">
        <v>118400</v>
      </c>
      <c r="AJ32" s="14">
        <v>99013</v>
      </c>
      <c r="AK32" s="14">
        <v>210781</v>
      </c>
      <c r="AL32" s="14">
        <v>90373</v>
      </c>
      <c r="AM32" s="14">
        <v>151058</v>
      </c>
      <c r="AN32" s="14">
        <v>106931</v>
      </c>
      <c r="AO32" s="14">
        <v>138509</v>
      </c>
      <c r="AP32" s="14">
        <v>0</v>
      </c>
      <c r="AQ32" s="14">
        <v>11371</v>
      </c>
      <c r="AR32" s="14">
        <v>282532</v>
      </c>
      <c r="AS32" s="14">
        <v>64756</v>
      </c>
      <c r="AT32" s="14">
        <v>121898</v>
      </c>
      <c r="AU32" s="14">
        <v>78523</v>
      </c>
      <c r="AV32" s="15">
        <v>92166</v>
      </c>
      <c r="AW32" s="16">
        <f t="shared" ref="AW32:AW46" si="7">SUM(C32:AV32)</f>
        <v>6306157</v>
      </c>
      <c r="AX32" s="16">
        <f t="shared" si="0"/>
        <v>136364.93333333332</v>
      </c>
      <c r="AY32" s="13">
        <f>AW32/AW13</f>
        <v>0.1325280315762766</v>
      </c>
    </row>
    <row r="33" spans="1:51" ht="12.75" customHeight="1" x14ac:dyDescent="0.15">
      <c r="A33" s="41"/>
      <c r="B33" s="11" t="s">
        <v>87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>
        <v>0</v>
      </c>
      <c r="AC33" s="14">
        <v>0</v>
      </c>
      <c r="AD33" s="14">
        <v>0</v>
      </c>
      <c r="AE33" s="14">
        <v>0</v>
      </c>
      <c r="AF33" s="14">
        <v>0</v>
      </c>
      <c r="AG33" s="14">
        <v>0</v>
      </c>
      <c r="AH33" s="14">
        <v>0</v>
      </c>
      <c r="AI33" s="14">
        <v>0</v>
      </c>
      <c r="AJ33" s="14">
        <v>0</v>
      </c>
      <c r="AK33" s="14">
        <v>0</v>
      </c>
      <c r="AL33" s="14">
        <v>0</v>
      </c>
      <c r="AM33" s="14">
        <v>0</v>
      </c>
      <c r="AN33" s="14">
        <v>0</v>
      </c>
      <c r="AO33" s="14">
        <v>0</v>
      </c>
      <c r="AP33" s="14">
        <v>0</v>
      </c>
      <c r="AQ33" s="14">
        <v>0</v>
      </c>
      <c r="AR33" s="14">
        <v>0</v>
      </c>
      <c r="AS33" s="14">
        <v>0</v>
      </c>
      <c r="AT33" s="14">
        <v>0</v>
      </c>
      <c r="AU33" s="14">
        <v>0</v>
      </c>
      <c r="AV33" s="15">
        <v>0</v>
      </c>
      <c r="AW33" s="16">
        <f t="shared" si="7"/>
        <v>0</v>
      </c>
      <c r="AX33" s="16">
        <f t="shared" si="0"/>
        <v>0</v>
      </c>
      <c r="AY33" s="13">
        <f>AW33/AW13</f>
        <v>0</v>
      </c>
    </row>
    <row r="34" spans="1:51" ht="12.75" customHeight="1" x14ac:dyDescent="0.15">
      <c r="A34" s="41"/>
      <c r="B34" s="11" t="s">
        <v>88</v>
      </c>
      <c r="C34" s="14">
        <v>0</v>
      </c>
      <c r="D34" s="14">
        <v>0</v>
      </c>
      <c r="E34" s="14">
        <v>0</v>
      </c>
      <c r="F34" s="14">
        <v>0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>
        <v>0</v>
      </c>
      <c r="AC34" s="14">
        <v>0</v>
      </c>
      <c r="AD34" s="14">
        <v>0</v>
      </c>
      <c r="AE34" s="14">
        <v>0</v>
      </c>
      <c r="AF34" s="14">
        <v>0</v>
      </c>
      <c r="AG34" s="14">
        <v>0</v>
      </c>
      <c r="AH34" s="14">
        <v>0</v>
      </c>
      <c r="AI34" s="14">
        <v>0</v>
      </c>
      <c r="AJ34" s="14">
        <v>0</v>
      </c>
      <c r="AK34" s="14">
        <v>4714</v>
      </c>
      <c r="AL34" s="14">
        <v>3612</v>
      </c>
      <c r="AM34" s="14">
        <v>4547</v>
      </c>
      <c r="AN34" s="14">
        <v>5087</v>
      </c>
      <c r="AO34" s="14">
        <v>6379</v>
      </c>
      <c r="AP34" s="14">
        <v>0</v>
      </c>
      <c r="AQ34" s="14">
        <v>0</v>
      </c>
      <c r="AR34" s="14">
        <v>0</v>
      </c>
      <c r="AS34" s="14">
        <v>0</v>
      </c>
      <c r="AT34" s="14">
        <v>0</v>
      </c>
      <c r="AU34" s="14">
        <v>0</v>
      </c>
      <c r="AV34" s="15">
        <v>0</v>
      </c>
      <c r="AW34" s="16">
        <f t="shared" si="7"/>
        <v>24339</v>
      </c>
      <c r="AX34" s="16">
        <f t="shared" si="0"/>
        <v>540.86666666666667</v>
      </c>
      <c r="AY34" s="13">
        <f>AW34/AW13</f>
        <v>5.1150007215725784E-4</v>
      </c>
    </row>
    <row r="35" spans="1:51" ht="12.75" customHeight="1" x14ac:dyDescent="0.15">
      <c r="A35" s="41"/>
      <c r="B35" s="17" t="s">
        <v>89</v>
      </c>
      <c r="C35" s="18">
        <f>SUM(C32:C34)</f>
        <v>169735</v>
      </c>
      <c r="D35" s="18">
        <f t="shared" ref="D35:AV35" si="8">SUM(D32:D34)</f>
        <v>0</v>
      </c>
      <c r="E35" s="18">
        <f t="shared" si="8"/>
        <v>176438</v>
      </c>
      <c r="F35" s="18">
        <f t="shared" si="8"/>
        <v>189246</v>
      </c>
      <c r="G35" s="18">
        <f t="shared" si="8"/>
        <v>0</v>
      </c>
      <c r="H35" s="18">
        <f t="shared" si="8"/>
        <v>158004</v>
      </c>
      <c r="I35" s="18">
        <f t="shared" si="8"/>
        <v>157765</v>
      </c>
      <c r="J35" s="18">
        <f t="shared" si="8"/>
        <v>177395</v>
      </c>
      <c r="K35" s="18">
        <f t="shared" si="8"/>
        <v>52622</v>
      </c>
      <c r="L35" s="18">
        <f t="shared" si="8"/>
        <v>122324</v>
      </c>
      <c r="M35" s="18">
        <f t="shared" si="8"/>
        <v>164560</v>
      </c>
      <c r="N35" s="18">
        <f t="shared" si="8"/>
        <v>120593</v>
      </c>
      <c r="O35" s="18">
        <f t="shared" si="8"/>
        <v>153482</v>
      </c>
      <c r="P35" s="18">
        <f t="shared" si="8"/>
        <v>162714</v>
      </c>
      <c r="Q35" s="18">
        <f t="shared" si="8"/>
        <v>287808</v>
      </c>
      <c r="R35" s="18">
        <f t="shared" si="8"/>
        <v>147135</v>
      </c>
      <c r="S35" s="18">
        <f t="shared" si="8"/>
        <v>155328</v>
      </c>
      <c r="T35" s="18">
        <f t="shared" si="8"/>
        <v>160752</v>
      </c>
      <c r="U35" s="18">
        <f t="shared" si="8"/>
        <v>215567</v>
      </c>
      <c r="V35" s="18">
        <f t="shared" si="8"/>
        <v>230685</v>
      </c>
      <c r="W35" s="18">
        <f t="shared" si="8"/>
        <v>208874</v>
      </c>
      <c r="X35" s="18">
        <f t="shared" si="8"/>
        <v>232069</v>
      </c>
      <c r="Y35" s="18">
        <f t="shared" si="8"/>
        <v>145981</v>
      </c>
      <c r="Z35" s="18">
        <f t="shared" si="8"/>
        <v>151751</v>
      </c>
      <c r="AA35" s="18">
        <f t="shared" si="8"/>
        <v>0</v>
      </c>
      <c r="AB35" s="18">
        <f t="shared" si="8"/>
        <v>0</v>
      </c>
      <c r="AC35" s="18">
        <f t="shared" si="8"/>
        <v>0</v>
      </c>
      <c r="AD35" s="18">
        <f t="shared" si="8"/>
        <v>197103</v>
      </c>
      <c r="AE35" s="18">
        <f t="shared" si="8"/>
        <v>213490</v>
      </c>
      <c r="AF35" s="18">
        <f t="shared" si="8"/>
        <v>242917</v>
      </c>
      <c r="AG35" s="18">
        <f t="shared" si="8"/>
        <v>216260</v>
      </c>
      <c r="AH35" s="18">
        <f t="shared" si="8"/>
        <v>129248</v>
      </c>
      <c r="AI35" s="18">
        <f t="shared" si="8"/>
        <v>118400</v>
      </c>
      <c r="AJ35" s="18">
        <f t="shared" si="8"/>
        <v>99013</v>
      </c>
      <c r="AK35" s="18">
        <f t="shared" si="8"/>
        <v>215495</v>
      </c>
      <c r="AL35" s="18">
        <f t="shared" si="8"/>
        <v>93985</v>
      </c>
      <c r="AM35" s="18">
        <f t="shared" si="8"/>
        <v>155605</v>
      </c>
      <c r="AN35" s="18">
        <f t="shared" si="8"/>
        <v>112018</v>
      </c>
      <c r="AO35" s="18">
        <f t="shared" si="8"/>
        <v>144888</v>
      </c>
      <c r="AP35" s="18">
        <f t="shared" si="8"/>
        <v>0</v>
      </c>
      <c r="AQ35" s="18">
        <f t="shared" si="8"/>
        <v>11371</v>
      </c>
      <c r="AR35" s="18">
        <f t="shared" si="8"/>
        <v>282532</v>
      </c>
      <c r="AS35" s="18">
        <f t="shared" si="8"/>
        <v>64756</v>
      </c>
      <c r="AT35" s="18">
        <f t="shared" si="8"/>
        <v>121898</v>
      </c>
      <c r="AU35" s="18">
        <f t="shared" si="8"/>
        <v>78523</v>
      </c>
      <c r="AV35" s="19">
        <f t="shared" si="8"/>
        <v>92166</v>
      </c>
      <c r="AW35" s="20">
        <f t="shared" si="7"/>
        <v>6330496</v>
      </c>
      <c r="AX35" s="20">
        <f t="shared" si="0"/>
        <v>136905.79999999999</v>
      </c>
      <c r="AY35" s="21">
        <f>AW35/AW13</f>
        <v>0.13303953164843388</v>
      </c>
    </row>
    <row r="36" spans="1:51" ht="12.75" customHeight="1" x14ac:dyDescent="0.15">
      <c r="A36" s="41" t="s">
        <v>90</v>
      </c>
      <c r="B36" s="11" t="s">
        <v>91</v>
      </c>
      <c r="C36" s="14">
        <v>2008</v>
      </c>
      <c r="D36" s="14">
        <v>0</v>
      </c>
      <c r="E36" s="14">
        <v>2008</v>
      </c>
      <c r="F36" s="14">
        <v>2008</v>
      </c>
      <c r="G36" s="14">
        <v>2008</v>
      </c>
      <c r="H36" s="14">
        <v>2008</v>
      </c>
      <c r="I36" s="14">
        <v>2008</v>
      </c>
      <c r="J36" s="14">
        <v>2012</v>
      </c>
      <c r="K36" s="14">
        <v>2008</v>
      </c>
      <c r="L36" s="14">
        <v>2008</v>
      </c>
      <c r="M36" s="14">
        <v>2008</v>
      </c>
      <c r="N36" s="14">
        <v>2012</v>
      </c>
      <c r="O36" s="14">
        <v>2008</v>
      </c>
      <c r="P36" s="14">
        <v>2008</v>
      </c>
      <c r="Q36" s="14">
        <v>2451</v>
      </c>
      <c r="R36" s="14">
        <v>2008</v>
      </c>
      <c r="S36" s="14">
        <v>2008</v>
      </c>
      <c r="T36" s="14">
        <v>2008</v>
      </c>
      <c r="U36" s="14">
        <v>2008</v>
      </c>
      <c r="V36" s="14">
        <v>2008</v>
      </c>
      <c r="W36" s="14">
        <v>2008</v>
      </c>
      <c r="X36" s="14">
        <v>2008</v>
      </c>
      <c r="Y36" s="14">
        <v>2008</v>
      </c>
      <c r="Z36" s="14">
        <v>2008</v>
      </c>
      <c r="AA36" s="14">
        <v>0</v>
      </c>
      <c r="AB36" s="14">
        <v>0</v>
      </c>
      <c r="AC36" s="14">
        <v>0</v>
      </c>
      <c r="AD36" s="14">
        <v>2008</v>
      </c>
      <c r="AE36" s="14">
        <v>0</v>
      </c>
      <c r="AF36" s="14">
        <v>2008</v>
      </c>
      <c r="AG36" s="14">
        <v>2008</v>
      </c>
      <c r="AH36" s="14">
        <v>2008</v>
      </c>
      <c r="AI36" s="14">
        <v>2008</v>
      </c>
      <c r="AJ36" s="14">
        <v>2008</v>
      </c>
      <c r="AK36" s="14">
        <v>2451</v>
      </c>
      <c r="AL36" s="14">
        <v>2451</v>
      </c>
      <c r="AM36" s="14">
        <v>2008</v>
      </c>
      <c r="AN36" s="14">
        <v>2008</v>
      </c>
      <c r="AO36" s="14">
        <v>2008</v>
      </c>
      <c r="AP36" s="14">
        <v>0</v>
      </c>
      <c r="AQ36" s="14">
        <v>2451</v>
      </c>
      <c r="AR36" s="14">
        <v>2451</v>
      </c>
      <c r="AS36" s="14">
        <v>2008</v>
      </c>
      <c r="AT36" s="14">
        <v>2008</v>
      </c>
      <c r="AU36" s="14">
        <v>2008</v>
      </c>
      <c r="AV36" s="15">
        <v>2008</v>
      </c>
      <c r="AW36" s="16">
        <f t="shared" si="7"/>
        <v>82543</v>
      </c>
      <c r="AX36" s="16">
        <f t="shared" si="0"/>
        <v>1789.6666666666667</v>
      </c>
      <c r="AY36" s="13">
        <f>AW36/AW13</f>
        <v>1.7346953636581837E-3</v>
      </c>
    </row>
    <row r="37" spans="1:51" ht="12.75" customHeight="1" x14ac:dyDescent="0.15">
      <c r="A37" s="41"/>
      <c r="B37" s="11" t="s">
        <v>92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4">
        <v>0</v>
      </c>
      <c r="Z37" s="14">
        <v>0</v>
      </c>
      <c r="AA37" s="14">
        <v>0</v>
      </c>
      <c r="AB37" s="14">
        <v>0</v>
      </c>
      <c r="AC37" s="14">
        <v>0</v>
      </c>
      <c r="AD37" s="14">
        <v>0</v>
      </c>
      <c r="AE37" s="14">
        <v>0</v>
      </c>
      <c r="AF37" s="14">
        <v>0</v>
      </c>
      <c r="AG37" s="14">
        <v>0</v>
      </c>
      <c r="AH37" s="14">
        <v>0</v>
      </c>
      <c r="AI37" s="14">
        <v>0</v>
      </c>
      <c r="AJ37" s="14">
        <v>0</v>
      </c>
      <c r="AK37" s="14">
        <v>0</v>
      </c>
      <c r="AL37" s="14">
        <v>0</v>
      </c>
      <c r="AM37" s="14">
        <v>0</v>
      </c>
      <c r="AN37" s="14">
        <v>0</v>
      </c>
      <c r="AO37" s="14">
        <v>0</v>
      </c>
      <c r="AP37" s="14">
        <v>0</v>
      </c>
      <c r="AQ37" s="14">
        <v>0</v>
      </c>
      <c r="AR37" s="14">
        <v>0</v>
      </c>
      <c r="AS37" s="14">
        <v>0</v>
      </c>
      <c r="AT37" s="14">
        <v>0</v>
      </c>
      <c r="AU37" s="14">
        <v>0</v>
      </c>
      <c r="AV37" s="15">
        <v>0</v>
      </c>
      <c r="AW37" s="16">
        <f t="shared" si="7"/>
        <v>0</v>
      </c>
      <c r="AX37" s="16">
        <f t="shared" si="0"/>
        <v>0</v>
      </c>
      <c r="AY37" s="13">
        <f>AW37/AW13</f>
        <v>0</v>
      </c>
    </row>
    <row r="38" spans="1:51" ht="12.75" customHeight="1" x14ac:dyDescent="0.15">
      <c r="A38" s="41"/>
      <c r="B38" s="11" t="s">
        <v>93</v>
      </c>
      <c r="C38" s="14">
        <v>0</v>
      </c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4">
        <v>0</v>
      </c>
      <c r="S38" s="14">
        <v>0</v>
      </c>
      <c r="T38" s="14">
        <v>0</v>
      </c>
      <c r="U38" s="14">
        <v>0</v>
      </c>
      <c r="V38" s="14">
        <v>0</v>
      </c>
      <c r="W38" s="14">
        <v>0</v>
      </c>
      <c r="X38" s="14">
        <v>0</v>
      </c>
      <c r="Y38" s="14">
        <v>0</v>
      </c>
      <c r="Z38" s="14">
        <v>0</v>
      </c>
      <c r="AA38" s="14">
        <v>0</v>
      </c>
      <c r="AB38" s="14">
        <v>0</v>
      </c>
      <c r="AC38" s="14">
        <v>0</v>
      </c>
      <c r="AD38" s="14">
        <v>0</v>
      </c>
      <c r="AE38" s="14">
        <v>0</v>
      </c>
      <c r="AF38" s="14">
        <v>0</v>
      </c>
      <c r="AG38" s="14">
        <v>0</v>
      </c>
      <c r="AH38" s="14">
        <v>0</v>
      </c>
      <c r="AI38" s="14">
        <v>0</v>
      </c>
      <c r="AJ38" s="14">
        <v>0</v>
      </c>
      <c r="AK38" s="14">
        <v>0</v>
      </c>
      <c r="AL38" s="14">
        <v>0</v>
      </c>
      <c r="AM38" s="14">
        <v>0</v>
      </c>
      <c r="AN38" s="14">
        <v>0</v>
      </c>
      <c r="AO38" s="14">
        <v>0</v>
      </c>
      <c r="AP38" s="14">
        <v>0</v>
      </c>
      <c r="AQ38" s="14">
        <v>0</v>
      </c>
      <c r="AR38" s="14">
        <v>0</v>
      </c>
      <c r="AS38" s="14">
        <v>0</v>
      </c>
      <c r="AT38" s="14">
        <v>0</v>
      </c>
      <c r="AU38" s="14">
        <v>0</v>
      </c>
      <c r="AV38" s="15">
        <v>0</v>
      </c>
      <c r="AW38" s="16">
        <f t="shared" si="7"/>
        <v>0</v>
      </c>
      <c r="AX38" s="16">
        <f t="shared" si="0"/>
        <v>0</v>
      </c>
      <c r="AY38" s="13">
        <f>AW38/AW13</f>
        <v>0</v>
      </c>
    </row>
    <row r="39" spans="1:51" ht="12.75" customHeight="1" x14ac:dyDescent="0.15">
      <c r="A39" s="41"/>
      <c r="B39" s="11" t="s">
        <v>94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>
        <v>0</v>
      </c>
      <c r="U39" s="14">
        <v>0</v>
      </c>
      <c r="V39" s="14">
        <v>0</v>
      </c>
      <c r="W39" s="14">
        <v>0</v>
      </c>
      <c r="X39" s="14">
        <v>0</v>
      </c>
      <c r="Y39" s="14">
        <v>0</v>
      </c>
      <c r="Z39" s="14">
        <v>0</v>
      </c>
      <c r="AA39" s="14">
        <v>0</v>
      </c>
      <c r="AB39" s="14">
        <v>0</v>
      </c>
      <c r="AC39" s="14">
        <v>0</v>
      </c>
      <c r="AD39" s="14">
        <v>0</v>
      </c>
      <c r="AE39" s="14">
        <v>0</v>
      </c>
      <c r="AF39" s="14">
        <v>0</v>
      </c>
      <c r="AG39" s="14">
        <v>0</v>
      </c>
      <c r="AH39" s="14">
        <v>0</v>
      </c>
      <c r="AI39" s="14">
        <v>0</v>
      </c>
      <c r="AJ39" s="14">
        <v>0</v>
      </c>
      <c r="AK39" s="14">
        <v>0</v>
      </c>
      <c r="AL39" s="14">
        <v>0</v>
      </c>
      <c r="AM39" s="14">
        <v>0</v>
      </c>
      <c r="AN39" s="14">
        <v>0</v>
      </c>
      <c r="AO39" s="14">
        <v>0</v>
      </c>
      <c r="AP39" s="14">
        <v>0</v>
      </c>
      <c r="AQ39" s="14">
        <v>0</v>
      </c>
      <c r="AR39" s="14">
        <v>0</v>
      </c>
      <c r="AS39" s="14">
        <v>0</v>
      </c>
      <c r="AT39" s="14">
        <v>0</v>
      </c>
      <c r="AU39" s="14">
        <v>0</v>
      </c>
      <c r="AV39" s="15">
        <v>0</v>
      </c>
      <c r="AW39" s="16">
        <f t="shared" si="7"/>
        <v>0</v>
      </c>
      <c r="AX39" s="16">
        <f t="shared" si="0"/>
        <v>0</v>
      </c>
      <c r="AY39" s="13">
        <f>AW39/AW13</f>
        <v>0</v>
      </c>
    </row>
    <row r="40" spans="1:51" ht="12.75" customHeight="1" x14ac:dyDescent="0.15">
      <c r="A40" s="41"/>
      <c r="B40" s="11" t="s">
        <v>95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>
        <v>0</v>
      </c>
      <c r="U40" s="14">
        <v>0</v>
      </c>
      <c r="V40" s="14">
        <v>0</v>
      </c>
      <c r="W40" s="14">
        <v>0</v>
      </c>
      <c r="X40" s="14">
        <v>0</v>
      </c>
      <c r="Y40" s="14">
        <v>0</v>
      </c>
      <c r="Z40" s="14">
        <v>0</v>
      </c>
      <c r="AA40" s="14">
        <v>0</v>
      </c>
      <c r="AB40" s="14">
        <v>0</v>
      </c>
      <c r="AC40" s="14">
        <v>0</v>
      </c>
      <c r="AD40" s="14">
        <v>0</v>
      </c>
      <c r="AE40" s="14">
        <v>0</v>
      </c>
      <c r="AF40" s="14">
        <v>0</v>
      </c>
      <c r="AG40" s="14">
        <v>0</v>
      </c>
      <c r="AH40" s="14">
        <v>0</v>
      </c>
      <c r="AI40" s="14">
        <v>0</v>
      </c>
      <c r="AJ40" s="14">
        <v>0</v>
      </c>
      <c r="AK40" s="14">
        <v>0</v>
      </c>
      <c r="AL40" s="14">
        <v>0</v>
      </c>
      <c r="AM40" s="14">
        <v>0</v>
      </c>
      <c r="AN40" s="14">
        <v>0</v>
      </c>
      <c r="AO40" s="14">
        <v>0</v>
      </c>
      <c r="AP40" s="14">
        <v>0</v>
      </c>
      <c r="AQ40" s="14">
        <v>0</v>
      </c>
      <c r="AR40" s="14">
        <v>0</v>
      </c>
      <c r="AS40" s="14">
        <v>0</v>
      </c>
      <c r="AT40" s="14">
        <v>0</v>
      </c>
      <c r="AU40" s="14">
        <v>0</v>
      </c>
      <c r="AV40" s="15">
        <v>0</v>
      </c>
      <c r="AW40" s="16">
        <f t="shared" si="7"/>
        <v>0</v>
      </c>
      <c r="AX40" s="16">
        <f t="shared" si="0"/>
        <v>0</v>
      </c>
      <c r="AY40" s="13">
        <f>AW40/AW13</f>
        <v>0</v>
      </c>
    </row>
    <row r="41" spans="1:51" ht="12.75" customHeight="1" x14ac:dyDescent="0.15">
      <c r="A41" s="41"/>
      <c r="B41" s="11" t="s">
        <v>96</v>
      </c>
      <c r="C41" s="14">
        <v>4430</v>
      </c>
      <c r="D41" s="14">
        <v>0</v>
      </c>
      <c r="E41" s="14">
        <v>4430</v>
      </c>
      <c r="F41" s="14">
        <v>7050</v>
      </c>
      <c r="G41" s="14">
        <v>9067</v>
      </c>
      <c r="H41" s="14">
        <v>5140</v>
      </c>
      <c r="I41" s="14">
        <v>5140</v>
      </c>
      <c r="J41" s="14">
        <v>5140</v>
      </c>
      <c r="K41" s="14">
        <v>5140</v>
      </c>
      <c r="L41" s="14">
        <v>5140</v>
      </c>
      <c r="M41" s="14">
        <v>5140</v>
      </c>
      <c r="N41" s="14">
        <v>5140</v>
      </c>
      <c r="O41" s="14">
        <v>5140</v>
      </c>
      <c r="P41" s="14">
        <v>5140</v>
      </c>
      <c r="Q41" s="14">
        <v>10241</v>
      </c>
      <c r="R41" s="14">
        <v>5140</v>
      </c>
      <c r="S41" s="14">
        <v>5140</v>
      </c>
      <c r="T41" s="14">
        <v>7734</v>
      </c>
      <c r="U41" s="14">
        <v>5140</v>
      </c>
      <c r="V41" s="14">
        <v>8770</v>
      </c>
      <c r="W41" s="14">
        <v>5140</v>
      </c>
      <c r="X41" s="14">
        <v>7598</v>
      </c>
      <c r="Y41" s="14">
        <v>6828</v>
      </c>
      <c r="Z41" s="14">
        <v>4430</v>
      </c>
      <c r="AA41" s="14">
        <v>0</v>
      </c>
      <c r="AB41" s="14">
        <v>0</v>
      </c>
      <c r="AC41" s="14">
        <v>0</v>
      </c>
      <c r="AD41" s="14">
        <v>5140</v>
      </c>
      <c r="AE41" s="14">
        <v>9600</v>
      </c>
      <c r="AF41" s="14">
        <v>5140</v>
      </c>
      <c r="AG41" s="14">
        <v>5140</v>
      </c>
      <c r="AH41" s="14">
        <v>4430</v>
      </c>
      <c r="AI41" s="14">
        <v>4430</v>
      </c>
      <c r="AJ41" s="14">
        <v>4430</v>
      </c>
      <c r="AK41" s="14">
        <v>10241</v>
      </c>
      <c r="AL41" s="14">
        <v>10241</v>
      </c>
      <c r="AM41" s="14">
        <v>5140</v>
      </c>
      <c r="AN41" s="14">
        <v>5140</v>
      </c>
      <c r="AO41" s="14">
        <v>7990</v>
      </c>
      <c r="AP41" s="14">
        <v>0</v>
      </c>
      <c r="AQ41" s="14">
        <v>10241</v>
      </c>
      <c r="AR41" s="14">
        <v>10241</v>
      </c>
      <c r="AS41" s="14">
        <v>9995</v>
      </c>
      <c r="AT41" s="14">
        <v>8515</v>
      </c>
      <c r="AU41" s="14">
        <v>10157</v>
      </c>
      <c r="AV41" s="15">
        <v>11534</v>
      </c>
      <c r="AW41" s="16">
        <f t="shared" si="7"/>
        <v>275143</v>
      </c>
      <c r="AX41" s="16">
        <f t="shared" si="0"/>
        <v>6015.8444444444449</v>
      </c>
      <c r="AY41" s="13">
        <f>AW41/AW13</f>
        <v>5.7823108736416613E-3</v>
      </c>
    </row>
    <row r="42" spans="1:51" ht="12.75" customHeight="1" x14ac:dyDescent="0.15">
      <c r="A42" s="41"/>
      <c r="B42" s="17" t="s">
        <v>97</v>
      </c>
      <c r="C42" s="18">
        <f>SUM(C36:C41)</f>
        <v>6438</v>
      </c>
      <c r="D42" s="18">
        <f t="shared" ref="D42:AV42" si="9">SUM(D36:D41)</f>
        <v>0</v>
      </c>
      <c r="E42" s="18">
        <f t="shared" si="9"/>
        <v>6438</v>
      </c>
      <c r="F42" s="18">
        <f t="shared" si="9"/>
        <v>9058</v>
      </c>
      <c r="G42" s="18">
        <f t="shared" si="9"/>
        <v>11075</v>
      </c>
      <c r="H42" s="18">
        <f t="shared" si="9"/>
        <v>7148</v>
      </c>
      <c r="I42" s="18">
        <f t="shared" si="9"/>
        <v>7148</v>
      </c>
      <c r="J42" s="18">
        <f t="shared" si="9"/>
        <v>7152</v>
      </c>
      <c r="K42" s="18">
        <f t="shared" si="9"/>
        <v>7148</v>
      </c>
      <c r="L42" s="18">
        <f t="shared" si="9"/>
        <v>7148</v>
      </c>
      <c r="M42" s="18">
        <f t="shared" si="9"/>
        <v>7148</v>
      </c>
      <c r="N42" s="18">
        <f t="shared" si="9"/>
        <v>7152</v>
      </c>
      <c r="O42" s="18">
        <f t="shared" si="9"/>
        <v>7148</v>
      </c>
      <c r="P42" s="18">
        <f t="shared" si="9"/>
        <v>7148</v>
      </c>
      <c r="Q42" s="18">
        <f t="shared" si="9"/>
        <v>12692</v>
      </c>
      <c r="R42" s="18">
        <f t="shared" si="9"/>
        <v>7148</v>
      </c>
      <c r="S42" s="18">
        <f t="shared" si="9"/>
        <v>7148</v>
      </c>
      <c r="T42" s="18">
        <f t="shared" si="9"/>
        <v>9742</v>
      </c>
      <c r="U42" s="18">
        <f t="shared" si="9"/>
        <v>7148</v>
      </c>
      <c r="V42" s="18">
        <f t="shared" si="9"/>
        <v>10778</v>
      </c>
      <c r="W42" s="18">
        <f t="shared" si="9"/>
        <v>7148</v>
      </c>
      <c r="X42" s="18">
        <f t="shared" si="9"/>
        <v>9606</v>
      </c>
      <c r="Y42" s="18">
        <f t="shared" si="9"/>
        <v>8836</v>
      </c>
      <c r="Z42" s="18">
        <f t="shared" si="9"/>
        <v>6438</v>
      </c>
      <c r="AA42" s="18">
        <f t="shared" si="9"/>
        <v>0</v>
      </c>
      <c r="AB42" s="18">
        <f t="shared" si="9"/>
        <v>0</v>
      </c>
      <c r="AC42" s="18">
        <f t="shared" si="9"/>
        <v>0</v>
      </c>
      <c r="AD42" s="18">
        <f t="shared" si="9"/>
        <v>7148</v>
      </c>
      <c r="AE42" s="18">
        <f t="shared" si="9"/>
        <v>9600</v>
      </c>
      <c r="AF42" s="18">
        <f t="shared" si="9"/>
        <v>7148</v>
      </c>
      <c r="AG42" s="18">
        <f t="shared" si="9"/>
        <v>7148</v>
      </c>
      <c r="AH42" s="18">
        <f t="shared" si="9"/>
        <v>6438</v>
      </c>
      <c r="AI42" s="18">
        <f t="shared" si="9"/>
        <v>6438</v>
      </c>
      <c r="AJ42" s="18">
        <f t="shared" si="9"/>
        <v>6438</v>
      </c>
      <c r="AK42" s="18">
        <f t="shared" si="9"/>
        <v>12692</v>
      </c>
      <c r="AL42" s="18">
        <f t="shared" si="9"/>
        <v>12692</v>
      </c>
      <c r="AM42" s="18">
        <f t="shared" si="9"/>
        <v>7148</v>
      </c>
      <c r="AN42" s="18">
        <f t="shared" si="9"/>
        <v>7148</v>
      </c>
      <c r="AO42" s="18">
        <f t="shared" si="9"/>
        <v>9998</v>
      </c>
      <c r="AP42" s="18">
        <f t="shared" si="9"/>
        <v>0</v>
      </c>
      <c r="AQ42" s="18">
        <f t="shared" si="9"/>
        <v>12692</v>
      </c>
      <c r="AR42" s="18">
        <f t="shared" si="9"/>
        <v>12692</v>
      </c>
      <c r="AS42" s="18">
        <f t="shared" si="9"/>
        <v>12003</v>
      </c>
      <c r="AT42" s="18">
        <f t="shared" si="9"/>
        <v>10523</v>
      </c>
      <c r="AU42" s="18">
        <f t="shared" si="9"/>
        <v>12165</v>
      </c>
      <c r="AV42" s="19">
        <f t="shared" si="9"/>
        <v>13542</v>
      </c>
      <c r="AW42" s="20">
        <f t="shared" si="7"/>
        <v>357686</v>
      </c>
      <c r="AX42" s="20">
        <f t="shared" si="0"/>
        <v>7805.5111111111109</v>
      </c>
      <c r="AY42" s="21">
        <f>AW42/AW13</f>
        <v>7.5170062372998444E-3</v>
      </c>
    </row>
    <row r="43" spans="1:51" ht="12.75" customHeight="1" x14ac:dyDescent="0.15">
      <c r="A43" s="41" t="s">
        <v>98</v>
      </c>
      <c r="B43" s="11" t="s">
        <v>99</v>
      </c>
      <c r="C43" s="14">
        <v>171990</v>
      </c>
      <c r="D43" s="14">
        <v>145900</v>
      </c>
      <c r="E43" s="14">
        <v>172410</v>
      </c>
      <c r="F43" s="14">
        <v>135330</v>
      </c>
      <c r="G43" s="14">
        <v>3300</v>
      </c>
      <c r="H43" s="14">
        <v>207980</v>
      </c>
      <c r="I43" s="14">
        <v>217500</v>
      </c>
      <c r="J43" s="14">
        <v>251390</v>
      </c>
      <c r="K43" s="14">
        <v>33180</v>
      </c>
      <c r="L43" s="14">
        <v>3020</v>
      </c>
      <c r="M43" s="14">
        <v>64590</v>
      </c>
      <c r="N43" s="14">
        <v>55390</v>
      </c>
      <c r="O43" s="14">
        <v>61580</v>
      </c>
      <c r="P43" s="14">
        <v>75000</v>
      </c>
      <c r="Q43" s="14">
        <v>234330</v>
      </c>
      <c r="R43" s="14">
        <v>54280</v>
      </c>
      <c r="S43" s="14">
        <v>71180</v>
      </c>
      <c r="T43" s="14">
        <v>89010</v>
      </c>
      <c r="U43" s="14">
        <v>133070</v>
      </c>
      <c r="V43" s="14">
        <v>177510</v>
      </c>
      <c r="W43" s="14">
        <v>79320</v>
      </c>
      <c r="X43" s="14">
        <v>179110</v>
      </c>
      <c r="Y43" s="14">
        <v>124730</v>
      </c>
      <c r="Z43" s="14">
        <v>104480</v>
      </c>
      <c r="AA43" s="14">
        <v>0</v>
      </c>
      <c r="AB43" s="14">
        <v>0</v>
      </c>
      <c r="AC43" s="14">
        <v>0</v>
      </c>
      <c r="AD43" s="14">
        <v>133660</v>
      </c>
      <c r="AE43" s="14">
        <v>155250</v>
      </c>
      <c r="AF43" s="14">
        <v>252630</v>
      </c>
      <c r="AG43" s="14">
        <v>173060</v>
      </c>
      <c r="AH43" s="14">
        <v>57840</v>
      </c>
      <c r="AI43" s="14">
        <v>22490</v>
      </c>
      <c r="AJ43" s="14">
        <v>48030</v>
      </c>
      <c r="AK43" s="14">
        <v>158930</v>
      </c>
      <c r="AL43" s="14">
        <v>90350</v>
      </c>
      <c r="AM43" s="14">
        <v>198460</v>
      </c>
      <c r="AN43" s="14">
        <v>183550</v>
      </c>
      <c r="AO43" s="14">
        <v>184820</v>
      </c>
      <c r="AP43" s="14">
        <v>0</v>
      </c>
      <c r="AQ43" s="14">
        <v>0</v>
      </c>
      <c r="AR43" s="14">
        <v>151060</v>
      </c>
      <c r="AS43" s="14">
        <v>38420</v>
      </c>
      <c r="AT43" s="14">
        <v>59250</v>
      </c>
      <c r="AU43" s="14">
        <v>46980</v>
      </c>
      <c r="AV43" s="15">
        <v>18900</v>
      </c>
      <c r="AW43" s="16">
        <f t="shared" si="7"/>
        <v>4819260</v>
      </c>
      <c r="AX43" s="16">
        <f t="shared" si="0"/>
        <v>103272.66666666667</v>
      </c>
      <c r="AY43" s="13">
        <f>AW43/AW13</f>
        <v>0.10127991444778282</v>
      </c>
    </row>
    <row r="44" spans="1:51" ht="12.75" customHeight="1" x14ac:dyDescent="0.15">
      <c r="A44" s="41"/>
      <c r="B44" s="11" t="s">
        <v>100</v>
      </c>
      <c r="C44" s="14">
        <v>-115213</v>
      </c>
      <c r="D44" s="14">
        <v>-145900</v>
      </c>
      <c r="E44" s="14">
        <v>-126358</v>
      </c>
      <c r="F44" s="14">
        <v>-90986</v>
      </c>
      <c r="G44" s="14">
        <v>-300</v>
      </c>
      <c r="H44" s="14">
        <v>-73489</v>
      </c>
      <c r="I44" s="14">
        <v>-104155</v>
      </c>
      <c r="J44" s="14">
        <v>-111108</v>
      </c>
      <c r="K44" s="14">
        <v>-33180</v>
      </c>
      <c r="L44" s="14">
        <v>0</v>
      </c>
      <c r="M44" s="14">
        <v>-29927</v>
      </c>
      <c r="N44" s="14">
        <v>-25123</v>
      </c>
      <c r="O44" s="14">
        <v>-34280</v>
      </c>
      <c r="P44" s="14">
        <v>-34615</v>
      </c>
      <c r="Q44" s="14">
        <v>-96712</v>
      </c>
      <c r="R44" s="14">
        <v>-20992</v>
      </c>
      <c r="S44" s="14">
        <v>-27839</v>
      </c>
      <c r="T44" s="14">
        <v>-36067</v>
      </c>
      <c r="U44" s="14">
        <v>-52690</v>
      </c>
      <c r="V44" s="14">
        <v>-67653</v>
      </c>
      <c r="W44" s="14">
        <v>-40109</v>
      </c>
      <c r="X44" s="14">
        <v>-60099</v>
      </c>
      <c r="Y44" s="14">
        <v>-102090</v>
      </c>
      <c r="Z44" s="14">
        <v>-102090</v>
      </c>
      <c r="AA44" s="14">
        <v>0</v>
      </c>
      <c r="AB44" s="14">
        <v>0</v>
      </c>
      <c r="AC44" s="14">
        <v>0</v>
      </c>
      <c r="AD44" s="14">
        <v>-133660</v>
      </c>
      <c r="AE44" s="14">
        <v>-155250</v>
      </c>
      <c r="AF44" s="14">
        <v>-130608</v>
      </c>
      <c r="AG44" s="14">
        <v>-4147</v>
      </c>
      <c r="AH44" s="14">
        <v>0</v>
      </c>
      <c r="AI44" s="14">
        <v>0</v>
      </c>
      <c r="AJ44" s="14">
        <v>0</v>
      </c>
      <c r="AK44" s="14">
        <v>-126903</v>
      </c>
      <c r="AL44" s="14">
        <v>-55368</v>
      </c>
      <c r="AM44" s="14">
        <v>-108815</v>
      </c>
      <c r="AN44" s="14">
        <v>-79768</v>
      </c>
      <c r="AO44" s="14">
        <v>-89502</v>
      </c>
      <c r="AP44" s="14">
        <v>0</v>
      </c>
      <c r="AQ44" s="14">
        <v>0</v>
      </c>
      <c r="AR44" s="14">
        <v>-13733</v>
      </c>
      <c r="AS44" s="14">
        <v>-3493</v>
      </c>
      <c r="AT44" s="14">
        <v>-5386</v>
      </c>
      <c r="AU44" s="14">
        <v>-4271</v>
      </c>
      <c r="AV44" s="15">
        <v>-1718</v>
      </c>
      <c r="AW44" s="16">
        <f t="shared" si="7"/>
        <v>-2443597</v>
      </c>
      <c r="AX44" s="16">
        <f t="shared" si="0"/>
        <v>-51741.866666666669</v>
      </c>
      <c r="AY44" s="13">
        <f>AW44/AW13</f>
        <v>-5.1353796040234136E-2</v>
      </c>
    </row>
    <row r="45" spans="1:51" ht="12.75" customHeight="1" x14ac:dyDescent="0.15">
      <c r="A45" s="41"/>
      <c r="B45" s="11" t="s">
        <v>101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  <c r="U45" s="14">
        <v>0</v>
      </c>
      <c r="V45" s="14">
        <v>0</v>
      </c>
      <c r="W45" s="14">
        <v>0</v>
      </c>
      <c r="X45" s="14">
        <v>0</v>
      </c>
      <c r="Y45" s="14">
        <v>0</v>
      </c>
      <c r="Z45" s="14">
        <v>0</v>
      </c>
      <c r="AA45" s="14">
        <v>0</v>
      </c>
      <c r="AB45" s="14">
        <v>0</v>
      </c>
      <c r="AC45" s="14">
        <v>0</v>
      </c>
      <c r="AD45" s="14">
        <v>0</v>
      </c>
      <c r="AE45" s="14">
        <v>0</v>
      </c>
      <c r="AF45" s="14">
        <v>0</v>
      </c>
      <c r="AG45" s="14">
        <v>0</v>
      </c>
      <c r="AH45" s="14">
        <v>0</v>
      </c>
      <c r="AI45" s="14">
        <v>0</v>
      </c>
      <c r="AJ45" s="14">
        <v>0</v>
      </c>
      <c r="AK45" s="14">
        <v>0</v>
      </c>
      <c r="AL45" s="14">
        <v>0</v>
      </c>
      <c r="AM45" s="14">
        <v>0</v>
      </c>
      <c r="AN45" s="14">
        <v>0</v>
      </c>
      <c r="AO45" s="14">
        <v>0</v>
      </c>
      <c r="AP45" s="14">
        <v>0</v>
      </c>
      <c r="AQ45" s="14">
        <v>0</v>
      </c>
      <c r="AR45" s="14">
        <v>0</v>
      </c>
      <c r="AS45" s="14">
        <v>0</v>
      </c>
      <c r="AT45" s="14">
        <v>0</v>
      </c>
      <c r="AU45" s="14">
        <v>0</v>
      </c>
      <c r="AV45" s="15">
        <v>0</v>
      </c>
      <c r="AW45" s="16">
        <f t="shared" si="7"/>
        <v>0</v>
      </c>
      <c r="AX45" s="16">
        <f t="shared" si="0"/>
        <v>0</v>
      </c>
      <c r="AY45" s="13">
        <f>AW45/AW13</f>
        <v>0</v>
      </c>
    </row>
    <row r="46" spans="1:51" ht="12.75" customHeight="1" x14ac:dyDescent="0.15">
      <c r="A46" s="41"/>
      <c r="B46" s="11" t="s">
        <v>102</v>
      </c>
      <c r="C46" s="14">
        <v>-55036.800000000003</v>
      </c>
      <c r="D46" s="14">
        <v>0</v>
      </c>
      <c r="E46" s="14">
        <v>-55171.199999999997</v>
      </c>
      <c r="F46" s="14">
        <v>-43305.599999999999</v>
      </c>
      <c r="G46" s="14">
        <v>-1056</v>
      </c>
      <c r="H46" s="14">
        <v>-66553.600000000006</v>
      </c>
      <c r="I46" s="14">
        <v>-69600</v>
      </c>
      <c r="J46" s="14">
        <v>-80444.800000000003</v>
      </c>
      <c r="K46" s="14">
        <v>-10617.6</v>
      </c>
      <c r="L46" s="14">
        <v>-966.4</v>
      </c>
      <c r="M46" s="14">
        <v>-20668.8</v>
      </c>
      <c r="N46" s="14">
        <v>-17724.8</v>
      </c>
      <c r="O46" s="14">
        <v>-19705.599999999999</v>
      </c>
      <c r="P46" s="14">
        <v>-24000</v>
      </c>
      <c r="Q46" s="14">
        <v>-74985.600000000006</v>
      </c>
      <c r="R46" s="14">
        <v>-17369.599999999999</v>
      </c>
      <c r="S46" s="14">
        <v>-22777.599999999999</v>
      </c>
      <c r="T46" s="14">
        <v>-28483.200000000001</v>
      </c>
      <c r="U46" s="14">
        <v>-42582.400000000001</v>
      </c>
      <c r="V46" s="14">
        <v>-56803.199999999997</v>
      </c>
      <c r="W46" s="14">
        <v>-25382.400000000001</v>
      </c>
      <c r="X46" s="14">
        <v>-57315.199999999997</v>
      </c>
      <c r="Y46" s="14">
        <v>-39913.599999999999</v>
      </c>
      <c r="Z46" s="14">
        <v>-33433.599999999999</v>
      </c>
      <c r="AA46" s="14">
        <v>0</v>
      </c>
      <c r="AB46" s="14">
        <v>0</v>
      </c>
      <c r="AC46" s="14">
        <v>0</v>
      </c>
      <c r="AD46" s="14">
        <v>-42771.199999999997</v>
      </c>
      <c r="AE46" s="14">
        <v>-49680</v>
      </c>
      <c r="AF46" s="14">
        <v>-80841.600000000006</v>
      </c>
      <c r="AG46" s="14">
        <v>-55379.199999999997</v>
      </c>
      <c r="AH46" s="14">
        <v>-18508.8</v>
      </c>
      <c r="AI46" s="14">
        <v>-7196.8</v>
      </c>
      <c r="AJ46" s="14">
        <v>-15369.6</v>
      </c>
      <c r="AK46" s="14">
        <v>-50857.599999999999</v>
      </c>
      <c r="AL46" s="14">
        <v>-28912</v>
      </c>
      <c r="AM46" s="14">
        <v>-63507.199999999997</v>
      </c>
      <c r="AN46" s="14">
        <v>-58736</v>
      </c>
      <c r="AO46" s="14">
        <v>-59142.400000000001</v>
      </c>
      <c r="AP46" s="14">
        <v>0</v>
      </c>
      <c r="AQ46" s="14">
        <v>0</v>
      </c>
      <c r="AR46" s="14">
        <v>-48339.199999999997</v>
      </c>
      <c r="AS46" s="14">
        <v>-12294.4</v>
      </c>
      <c r="AT46" s="14">
        <v>-18960</v>
      </c>
      <c r="AU46" s="14">
        <v>-15033.6</v>
      </c>
      <c r="AV46" s="15">
        <v>-6048</v>
      </c>
      <c r="AW46" s="16">
        <f t="shared" si="7"/>
        <v>-1495475.1999999997</v>
      </c>
      <c r="AX46" s="16">
        <f>AVERAGE(B46:AV46)</f>
        <v>-32510.330434782602</v>
      </c>
      <c r="AY46" s="13">
        <f>AW46/AW13</f>
        <v>-3.1428393636114445E-2</v>
      </c>
    </row>
    <row r="47" spans="1:51" ht="12.75" customHeight="1" x14ac:dyDescent="0.15">
      <c r="A47" s="41"/>
      <c r="B47" s="17" t="s">
        <v>103</v>
      </c>
      <c r="C47" s="18">
        <f t="shared" ref="C47:AW47" si="10">SUM(C43:C46)</f>
        <v>1740.1999999999971</v>
      </c>
      <c r="D47" s="18">
        <f t="shared" si="10"/>
        <v>0</v>
      </c>
      <c r="E47" s="18">
        <f t="shared" si="10"/>
        <v>-9119.1999999999971</v>
      </c>
      <c r="F47" s="18">
        <f t="shared" si="10"/>
        <v>1038.4000000000015</v>
      </c>
      <c r="G47" s="18">
        <f t="shared" si="10"/>
        <v>1944</v>
      </c>
      <c r="H47" s="18">
        <f t="shared" si="10"/>
        <v>67937.399999999994</v>
      </c>
      <c r="I47" s="18">
        <f t="shared" si="10"/>
        <v>43745</v>
      </c>
      <c r="J47" s="18">
        <f t="shared" si="10"/>
        <v>59837.2</v>
      </c>
      <c r="K47" s="18">
        <f t="shared" si="10"/>
        <v>-10617.6</v>
      </c>
      <c r="L47" s="18">
        <f t="shared" si="10"/>
        <v>2053.6</v>
      </c>
      <c r="M47" s="18">
        <f t="shared" si="10"/>
        <v>13994.2</v>
      </c>
      <c r="N47" s="18">
        <f t="shared" si="10"/>
        <v>12542.2</v>
      </c>
      <c r="O47" s="18">
        <f t="shared" si="10"/>
        <v>7594.4000000000015</v>
      </c>
      <c r="P47" s="18">
        <f t="shared" si="10"/>
        <v>16385</v>
      </c>
      <c r="Q47" s="18">
        <f t="shared" si="10"/>
        <v>62632.399999999994</v>
      </c>
      <c r="R47" s="18">
        <f t="shared" si="10"/>
        <v>15918.400000000001</v>
      </c>
      <c r="S47" s="18">
        <f t="shared" si="10"/>
        <v>20563.400000000001</v>
      </c>
      <c r="T47" s="18">
        <f t="shared" si="10"/>
        <v>24459.8</v>
      </c>
      <c r="U47" s="18">
        <f t="shared" si="10"/>
        <v>37797.599999999999</v>
      </c>
      <c r="V47" s="18">
        <f t="shared" si="10"/>
        <v>53053.8</v>
      </c>
      <c r="W47" s="18">
        <f t="shared" si="10"/>
        <v>13828.599999999999</v>
      </c>
      <c r="X47" s="18">
        <f t="shared" si="10"/>
        <v>61695.8</v>
      </c>
      <c r="Y47" s="18">
        <f t="shared" si="10"/>
        <v>-17273.599999999999</v>
      </c>
      <c r="Z47" s="18">
        <f t="shared" si="10"/>
        <v>-31043.599999999999</v>
      </c>
      <c r="AA47" s="18">
        <f t="shared" si="10"/>
        <v>0</v>
      </c>
      <c r="AB47" s="18">
        <f t="shared" si="10"/>
        <v>0</v>
      </c>
      <c r="AC47" s="18">
        <f t="shared" si="10"/>
        <v>0</v>
      </c>
      <c r="AD47" s="18">
        <f t="shared" si="10"/>
        <v>-42771.199999999997</v>
      </c>
      <c r="AE47" s="18">
        <f t="shared" si="10"/>
        <v>-49680</v>
      </c>
      <c r="AF47" s="18">
        <f t="shared" si="10"/>
        <v>41180.399999999994</v>
      </c>
      <c r="AG47" s="18">
        <f t="shared" si="10"/>
        <v>113533.8</v>
      </c>
      <c r="AH47" s="18">
        <f t="shared" si="10"/>
        <v>39331.199999999997</v>
      </c>
      <c r="AI47" s="18">
        <f t="shared" si="10"/>
        <v>15293.2</v>
      </c>
      <c r="AJ47" s="18">
        <f t="shared" si="10"/>
        <v>32660.400000000001</v>
      </c>
      <c r="AK47" s="18">
        <f t="shared" si="10"/>
        <v>-18830.599999999999</v>
      </c>
      <c r="AL47" s="18">
        <f t="shared" si="10"/>
        <v>6070</v>
      </c>
      <c r="AM47" s="18">
        <f t="shared" si="10"/>
        <v>26137.800000000003</v>
      </c>
      <c r="AN47" s="18">
        <f t="shared" si="10"/>
        <v>45046</v>
      </c>
      <c r="AO47" s="18">
        <f t="shared" si="10"/>
        <v>36175.599999999999</v>
      </c>
      <c r="AP47" s="18">
        <f t="shared" si="10"/>
        <v>0</v>
      </c>
      <c r="AQ47" s="18">
        <f t="shared" si="10"/>
        <v>0</v>
      </c>
      <c r="AR47" s="18">
        <f t="shared" si="10"/>
        <v>88987.8</v>
      </c>
      <c r="AS47" s="18">
        <f t="shared" si="10"/>
        <v>22632.6</v>
      </c>
      <c r="AT47" s="18">
        <f t="shared" si="10"/>
        <v>34904</v>
      </c>
      <c r="AU47" s="18">
        <f t="shared" si="10"/>
        <v>27675.4</v>
      </c>
      <c r="AV47" s="19">
        <f t="shared" si="10"/>
        <v>11134</v>
      </c>
      <c r="AW47" s="20">
        <f t="shared" si="10"/>
        <v>880187.80000000028</v>
      </c>
      <c r="AX47" s="20">
        <f>AVERAGE(B47:AV47)</f>
        <v>19134.517391304347</v>
      </c>
      <c r="AY47" s="21">
        <f>AW47/AW13</f>
        <v>1.8497724771434246E-2</v>
      </c>
    </row>
    <row r="48" spans="1:51" ht="12.75" customHeight="1" x14ac:dyDescent="0.15">
      <c r="A48" s="41" t="s">
        <v>104</v>
      </c>
      <c r="B48" s="11" t="s">
        <v>105</v>
      </c>
      <c r="C48" s="14">
        <v>387834</v>
      </c>
      <c r="D48" s="14">
        <v>0</v>
      </c>
      <c r="E48" s="14">
        <v>374512</v>
      </c>
      <c r="F48" s="14">
        <v>359265</v>
      </c>
      <c r="G48" s="14">
        <v>0</v>
      </c>
      <c r="H48" s="14">
        <v>351049</v>
      </c>
      <c r="I48" s="14">
        <v>319136</v>
      </c>
      <c r="J48" s="14">
        <v>368777</v>
      </c>
      <c r="K48" s="14">
        <v>76338</v>
      </c>
      <c r="L48" s="14">
        <v>496200</v>
      </c>
      <c r="M48" s="14">
        <v>534370</v>
      </c>
      <c r="N48" s="14">
        <v>318077</v>
      </c>
      <c r="O48" s="14">
        <v>330800</v>
      </c>
      <c r="P48" s="14">
        <v>330800</v>
      </c>
      <c r="Q48" s="14">
        <v>343523</v>
      </c>
      <c r="R48" s="14">
        <v>623431</v>
      </c>
      <c r="S48" s="14">
        <v>318077</v>
      </c>
      <c r="T48" s="14">
        <v>356246</v>
      </c>
      <c r="U48" s="14">
        <v>343523</v>
      </c>
      <c r="V48" s="14">
        <v>318077</v>
      </c>
      <c r="W48" s="14">
        <v>394415</v>
      </c>
      <c r="X48" s="14">
        <v>305353</v>
      </c>
      <c r="Y48" s="14">
        <v>190846</v>
      </c>
      <c r="Z48" s="14">
        <v>178124</v>
      </c>
      <c r="AA48" s="14">
        <v>0</v>
      </c>
      <c r="AB48" s="14">
        <v>0</v>
      </c>
      <c r="AC48" s="14">
        <v>0</v>
      </c>
      <c r="AD48" s="14">
        <v>305354</v>
      </c>
      <c r="AE48" s="14">
        <v>343524</v>
      </c>
      <c r="AF48" s="14">
        <v>318077</v>
      </c>
      <c r="AG48" s="14">
        <v>318077</v>
      </c>
      <c r="AH48" s="14">
        <v>356248</v>
      </c>
      <c r="AI48" s="14">
        <v>330800</v>
      </c>
      <c r="AJ48" s="14">
        <v>279908</v>
      </c>
      <c r="AK48" s="14">
        <v>297672</v>
      </c>
      <c r="AL48" s="14">
        <v>105060</v>
      </c>
      <c r="AM48" s="14">
        <v>402733</v>
      </c>
      <c r="AN48" s="14">
        <v>350203</v>
      </c>
      <c r="AO48" s="14">
        <v>245141</v>
      </c>
      <c r="AP48" s="14">
        <v>0</v>
      </c>
      <c r="AQ48" s="14">
        <v>37174</v>
      </c>
      <c r="AR48" s="14">
        <v>334569</v>
      </c>
      <c r="AS48" s="14">
        <v>148698</v>
      </c>
      <c r="AT48" s="14">
        <v>185872</v>
      </c>
      <c r="AU48" s="14">
        <v>148697</v>
      </c>
      <c r="AV48" s="15">
        <v>408918</v>
      </c>
      <c r="AW48" s="16">
        <f t="shared" ref="AW48:AW65" si="11">SUM(C48:AV48)</f>
        <v>12535498</v>
      </c>
      <c r="AX48" s="16">
        <f t="shared" ref="AX48:AX65" si="12">AVERAGE(D48:AV48)</f>
        <v>269948.08888888889</v>
      </c>
      <c r="AY48" s="13">
        <f>AW48/AW13</f>
        <v>0.26344172445569503</v>
      </c>
    </row>
    <row r="49" spans="1:51" ht="12.75" customHeight="1" x14ac:dyDescent="0.15">
      <c r="A49" s="41"/>
      <c r="B49" s="11" t="s">
        <v>106</v>
      </c>
      <c r="C49" s="14">
        <v>14000</v>
      </c>
      <c r="D49" s="14">
        <v>0</v>
      </c>
      <c r="E49" s="14">
        <v>11333</v>
      </c>
      <c r="F49" s="14">
        <v>12333</v>
      </c>
      <c r="G49" s="14">
        <v>0</v>
      </c>
      <c r="H49" s="14">
        <v>18833</v>
      </c>
      <c r="I49" s="14">
        <v>12333</v>
      </c>
      <c r="J49" s="14">
        <v>13333</v>
      </c>
      <c r="K49" s="14">
        <v>4805</v>
      </c>
      <c r="L49" s="14">
        <v>31231</v>
      </c>
      <c r="M49" s="14">
        <v>33634</v>
      </c>
      <c r="N49" s="14">
        <v>20020</v>
      </c>
      <c r="O49" s="14">
        <v>20821</v>
      </c>
      <c r="P49" s="14">
        <v>20821</v>
      </c>
      <c r="Q49" s="14">
        <v>21622</v>
      </c>
      <c r="R49" s="14">
        <v>39240</v>
      </c>
      <c r="S49" s="14">
        <v>20020</v>
      </c>
      <c r="T49" s="14">
        <v>22423</v>
      </c>
      <c r="U49" s="14">
        <v>21622</v>
      </c>
      <c r="V49" s="14">
        <v>20021</v>
      </c>
      <c r="W49" s="14">
        <v>24825</v>
      </c>
      <c r="X49" s="14">
        <v>19220</v>
      </c>
      <c r="Y49" s="14">
        <v>12012</v>
      </c>
      <c r="Z49" s="14">
        <v>11212</v>
      </c>
      <c r="AA49" s="14">
        <v>0</v>
      </c>
      <c r="AB49" s="14">
        <v>0</v>
      </c>
      <c r="AC49" s="14">
        <v>0</v>
      </c>
      <c r="AD49" s="14">
        <v>19219</v>
      </c>
      <c r="AE49" s="14">
        <v>21622</v>
      </c>
      <c r="AF49" s="14">
        <v>20020</v>
      </c>
      <c r="AG49" s="14">
        <v>20020</v>
      </c>
      <c r="AH49" s="14">
        <v>22419</v>
      </c>
      <c r="AI49" s="14">
        <v>20821</v>
      </c>
      <c r="AJ49" s="14">
        <v>17619</v>
      </c>
      <c r="AK49" s="14">
        <v>7974</v>
      </c>
      <c r="AL49" s="14">
        <v>2814</v>
      </c>
      <c r="AM49" s="14">
        <v>10789</v>
      </c>
      <c r="AN49" s="14">
        <v>9384</v>
      </c>
      <c r="AO49" s="14">
        <v>6567</v>
      </c>
      <c r="AP49" s="14">
        <v>0</v>
      </c>
      <c r="AQ49" s="14">
        <v>2409</v>
      </c>
      <c r="AR49" s="14">
        <v>21678</v>
      </c>
      <c r="AS49" s="14">
        <v>9634</v>
      </c>
      <c r="AT49" s="14">
        <v>12043</v>
      </c>
      <c r="AU49" s="14">
        <v>9635</v>
      </c>
      <c r="AV49" s="15">
        <v>26494</v>
      </c>
      <c r="AW49" s="16">
        <f t="shared" si="11"/>
        <v>686875</v>
      </c>
      <c r="AX49" s="16">
        <f t="shared" si="12"/>
        <v>14952.777777777777</v>
      </c>
      <c r="AY49" s="13">
        <f>AW49/AW13</f>
        <v>1.4435129301245592E-2</v>
      </c>
    </row>
    <row r="50" spans="1:51" ht="12.75" customHeight="1" x14ac:dyDescent="0.15">
      <c r="A50" s="41"/>
      <c r="B50" s="11" t="s">
        <v>107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4">
        <v>0</v>
      </c>
      <c r="R50" s="14">
        <v>0</v>
      </c>
      <c r="S50" s="14">
        <v>0</v>
      </c>
      <c r="T50" s="14">
        <v>0</v>
      </c>
      <c r="U50" s="14">
        <v>0</v>
      </c>
      <c r="V50" s="14">
        <v>0</v>
      </c>
      <c r="W50" s="14">
        <v>0</v>
      </c>
      <c r="X50" s="14">
        <v>0</v>
      </c>
      <c r="Y50" s="14">
        <v>0</v>
      </c>
      <c r="Z50" s="14">
        <v>0</v>
      </c>
      <c r="AA50" s="14">
        <v>0</v>
      </c>
      <c r="AB50" s="14">
        <v>0</v>
      </c>
      <c r="AC50" s="14">
        <v>0</v>
      </c>
      <c r="AD50" s="14">
        <v>0</v>
      </c>
      <c r="AE50" s="14">
        <v>0</v>
      </c>
      <c r="AF50" s="14">
        <v>0</v>
      </c>
      <c r="AG50" s="14">
        <v>0</v>
      </c>
      <c r="AH50" s="14">
        <v>0</v>
      </c>
      <c r="AI50" s="14">
        <v>0</v>
      </c>
      <c r="AJ50" s="14">
        <v>0</v>
      </c>
      <c r="AK50" s="14">
        <v>0</v>
      </c>
      <c r="AL50" s="14">
        <v>0</v>
      </c>
      <c r="AM50" s="14">
        <v>0</v>
      </c>
      <c r="AN50" s="14">
        <v>0</v>
      </c>
      <c r="AO50" s="14">
        <v>0</v>
      </c>
      <c r="AP50" s="14">
        <v>0</v>
      </c>
      <c r="AQ50" s="14">
        <v>0</v>
      </c>
      <c r="AR50" s="14">
        <v>0</v>
      </c>
      <c r="AS50" s="14">
        <v>0</v>
      </c>
      <c r="AT50" s="14">
        <v>0</v>
      </c>
      <c r="AU50" s="14">
        <v>0</v>
      </c>
      <c r="AV50" s="15">
        <v>0</v>
      </c>
      <c r="AW50" s="16">
        <f t="shared" si="11"/>
        <v>0</v>
      </c>
      <c r="AX50" s="16">
        <f t="shared" si="12"/>
        <v>0</v>
      </c>
      <c r="AY50" s="13">
        <f>AW50/AW13</f>
        <v>0</v>
      </c>
    </row>
    <row r="51" spans="1:51" ht="12.75" customHeight="1" x14ac:dyDescent="0.15">
      <c r="A51" s="41"/>
      <c r="B51" s="11" t="s">
        <v>108</v>
      </c>
      <c r="C51" s="14">
        <v>61411</v>
      </c>
      <c r="D51" s="14">
        <v>0</v>
      </c>
      <c r="E51" s="14">
        <v>57977</v>
      </c>
      <c r="F51" s="14">
        <v>64188</v>
      </c>
      <c r="G51" s="14">
        <v>0</v>
      </c>
      <c r="H51" s="14">
        <v>65173</v>
      </c>
      <c r="I51" s="14">
        <v>52068</v>
      </c>
      <c r="J51" s="14">
        <v>64340</v>
      </c>
      <c r="K51" s="14">
        <v>13920</v>
      </c>
      <c r="L51" s="14">
        <v>90479</v>
      </c>
      <c r="M51" s="14">
        <v>97439</v>
      </c>
      <c r="N51" s="14">
        <v>57999</v>
      </c>
      <c r="O51" s="14">
        <v>60319</v>
      </c>
      <c r="P51" s="14">
        <v>60319</v>
      </c>
      <c r="Q51" s="14">
        <v>62639</v>
      </c>
      <c r="R51" s="14">
        <v>113678</v>
      </c>
      <c r="S51" s="14">
        <v>57999</v>
      </c>
      <c r="T51" s="14">
        <v>64959</v>
      </c>
      <c r="U51" s="14">
        <v>62639</v>
      </c>
      <c r="V51" s="14">
        <v>58000</v>
      </c>
      <c r="W51" s="14">
        <v>71919</v>
      </c>
      <c r="X51" s="14">
        <v>55680</v>
      </c>
      <c r="Y51" s="14">
        <v>34800</v>
      </c>
      <c r="Z51" s="14">
        <v>32479</v>
      </c>
      <c r="AA51" s="14">
        <v>0</v>
      </c>
      <c r="AB51" s="14">
        <v>0</v>
      </c>
      <c r="AC51" s="14">
        <v>0</v>
      </c>
      <c r="AD51" s="14">
        <v>55680</v>
      </c>
      <c r="AE51" s="14">
        <v>62640</v>
      </c>
      <c r="AF51" s="14">
        <v>58000</v>
      </c>
      <c r="AG51" s="14">
        <v>58000</v>
      </c>
      <c r="AH51" s="14">
        <v>64953</v>
      </c>
      <c r="AI51" s="14">
        <v>60320</v>
      </c>
      <c r="AJ51" s="14">
        <v>51040</v>
      </c>
      <c r="AK51" s="14">
        <v>51198</v>
      </c>
      <c r="AL51" s="14">
        <v>18070</v>
      </c>
      <c r="AM51" s="14">
        <v>69268</v>
      </c>
      <c r="AN51" s="14">
        <v>60236</v>
      </c>
      <c r="AO51" s="14">
        <v>42163</v>
      </c>
      <c r="AP51" s="14">
        <v>0</v>
      </c>
      <c r="AQ51" s="14">
        <v>6478</v>
      </c>
      <c r="AR51" s="14">
        <v>58301</v>
      </c>
      <c r="AS51" s="14">
        <v>25912</v>
      </c>
      <c r="AT51" s="14">
        <v>32390</v>
      </c>
      <c r="AU51" s="14">
        <v>25912</v>
      </c>
      <c r="AV51" s="15">
        <v>71254</v>
      </c>
      <c r="AW51" s="16">
        <f t="shared" si="11"/>
        <v>2232239</v>
      </c>
      <c r="AX51" s="16">
        <f t="shared" si="12"/>
        <v>48240.62222222222</v>
      </c>
      <c r="AY51" s="13">
        <f>AW51/AW13</f>
        <v>4.6911968838992769E-2</v>
      </c>
    </row>
    <row r="52" spans="1:51" ht="12.75" customHeight="1" x14ac:dyDescent="0.15">
      <c r="A52" s="41"/>
      <c r="B52" s="11" t="s">
        <v>109</v>
      </c>
      <c r="C52" s="14">
        <v>6000</v>
      </c>
      <c r="D52" s="14">
        <v>0</v>
      </c>
      <c r="E52" s="14">
        <v>6000</v>
      </c>
      <c r="F52" s="14">
        <v>6000</v>
      </c>
      <c r="G52" s="14">
        <v>0</v>
      </c>
      <c r="H52" s="14">
        <v>6000</v>
      </c>
      <c r="I52" s="14">
        <v>6000</v>
      </c>
      <c r="J52" s="14">
        <v>6000</v>
      </c>
      <c r="K52" s="14">
        <v>842</v>
      </c>
      <c r="L52" s="14">
        <v>5474</v>
      </c>
      <c r="M52" s="14">
        <v>5895</v>
      </c>
      <c r="N52" s="14">
        <v>3508</v>
      </c>
      <c r="O52" s="14">
        <v>3649</v>
      </c>
      <c r="P52" s="14">
        <v>3649</v>
      </c>
      <c r="Q52" s="14">
        <v>3789</v>
      </c>
      <c r="R52" s="14">
        <v>6877</v>
      </c>
      <c r="S52" s="14">
        <v>3508</v>
      </c>
      <c r="T52" s="14">
        <v>3929</v>
      </c>
      <c r="U52" s="14">
        <v>3788</v>
      </c>
      <c r="V52" s="14">
        <v>3509</v>
      </c>
      <c r="W52" s="14">
        <v>4350</v>
      </c>
      <c r="X52" s="14">
        <v>3368</v>
      </c>
      <c r="Y52" s="14">
        <v>2105</v>
      </c>
      <c r="Z52" s="14">
        <v>1965</v>
      </c>
      <c r="AA52" s="14">
        <v>0</v>
      </c>
      <c r="AB52" s="14">
        <v>0</v>
      </c>
      <c r="AC52" s="14">
        <v>0</v>
      </c>
      <c r="AD52" s="14">
        <v>3368</v>
      </c>
      <c r="AE52" s="14">
        <v>3789</v>
      </c>
      <c r="AF52" s="14">
        <v>3509</v>
      </c>
      <c r="AG52" s="14">
        <v>3509</v>
      </c>
      <c r="AH52" s="14">
        <v>3934</v>
      </c>
      <c r="AI52" s="14">
        <v>3649</v>
      </c>
      <c r="AJ52" s="14">
        <v>3088</v>
      </c>
      <c r="AK52" s="14">
        <v>1275</v>
      </c>
      <c r="AL52" s="14">
        <v>450</v>
      </c>
      <c r="AM52" s="14">
        <v>1725</v>
      </c>
      <c r="AN52" s="14">
        <v>1500</v>
      </c>
      <c r="AO52" s="14">
        <v>1050</v>
      </c>
      <c r="AP52" s="14">
        <v>0</v>
      </c>
      <c r="AQ52" s="14">
        <v>533</v>
      </c>
      <c r="AR52" s="14">
        <v>4800</v>
      </c>
      <c r="AS52" s="14">
        <v>2134</v>
      </c>
      <c r="AT52" s="14">
        <v>2667</v>
      </c>
      <c r="AU52" s="14">
        <v>2133</v>
      </c>
      <c r="AV52" s="15">
        <v>5866</v>
      </c>
      <c r="AW52" s="16">
        <f t="shared" si="11"/>
        <v>145184</v>
      </c>
      <c r="AX52" s="16">
        <f t="shared" si="12"/>
        <v>3092.9777777777776</v>
      </c>
      <c r="AY52" s="13">
        <f>AW52/AW13</f>
        <v>3.0511371246180747E-3</v>
      </c>
    </row>
    <row r="53" spans="1:51" ht="12.75" customHeight="1" x14ac:dyDescent="0.15">
      <c r="A53" s="41"/>
      <c r="B53" s="17" t="s">
        <v>110</v>
      </c>
      <c r="C53" s="18">
        <f>SUM(C48:C52)</f>
        <v>469245</v>
      </c>
      <c r="D53" s="18">
        <f t="shared" ref="D53:AV53" si="13">SUM(D48:D52)</f>
        <v>0</v>
      </c>
      <c r="E53" s="18">
        <f t="shared" si="13"/>
        <v>449822</v>
      </c>
      <c r="F53" s="18">
        <f t="shared" si="13"/>
        <v>441786</v>
      </c>
      <c r="G53" s="18">
        <f t="shared" si="13"/>
        <v>0</v>
      </c>
      <c r="H53" s="18">
        <f t="shared" si="13"/>
        <v>441055</v>
      </c>
      <c r="I53" s="18">
        <f t="shared" si="13"/>
        <v>389537</v>
      </c>
      <c r="J53" s="18">
        <f t="shared" si="13"/>
        <v>452450</v>
      </c>
      <c r="K53" s="18">
        <f t="shared" si="13"/>
        <v>95905</v>
      </c>
      <c r="L53" s="18">
        <f t="shared" si="13"/>
        <v>623384</v>
      </c>
      <c r="M53" s="18">
        <f t="shared" si="13"/>
        <v>671338</v>
      </c>
      <c r="N53" s="18">
        <f t="shared" si="13"/>
        <v>399604</v>
      </c>
      <c r="O53" s="18">
        <f t="shared" si="13"/>
        <v>415589</v>
      </c>
      <c r="P53" s="18">
        <f t="shared" si="13"/>
        <v>415589</v>
      </c>
      <c r="Q53" s="18">
        <f t="shared" si="13"/>
        <v>431573</v>
      </c>
      <c r="R53" s="18">
        <f t="shared" si="13"/>
        <v>783226</v>
      </c>
      <c r="S53" s="18">
        <f t="shared" si="13"/>
        <v>399604</v>
      </c>
      <c r="T53" s="18">
        <f t="shared" si="13"/>
        <v>447557</v>
      </c>
      <c r="U53" s="18">
        <f t="shared" si="13"/>
        <v>431572</v>
      </c>
      <c r="V53" s="18">
        <f t="shared" si="13"/>
        <v>399607</v>
      </c>
      <c r="W53" s="18">
        <f t="shared" si="13"/>
        <v>495509</v>
      </c>
      <c r="X53" s="18">
        <f t="shared" si="13"/>
        <v>383621</v>
      </c>
      <c r="Y53" s="18">
        <f t="shared" si="13"/>
        <v>239763</v>
      </c>
      <c r="Z53" s="18">
        <f t="shared" si="13"/>
        <v>223780</v>
      </c>
      <c r="AA53" s="18">
        <f t="shared" si="13"/>
        <v>0</v>
      </c>
      <c r="AB53" s="18">
        <f t="shared" si="13"/>
        <v>0</v>
      </c>
      <c r="AC53" s="18">
        <f t="shared" si="13"/>
        <v>0</v>
      </c>
      <c r="AD53" s="18">
        <f t="shared" si="13"/>
        <v>383621</v>
      </c>
      <c r="AE53" s="18">
        <f t="shared" si="13"/>
        <v>431575</v>
      </c>
      <c r="AF53" s="18">
        <f t="shared" si="13"/>
        <v>399606</v>
      </c>
      <c r="AG53" s="18">
        <f t="shared" si="13"/>
        <v>399606</v>
      </c>
      <c r="AH53" s="18">
        <f t="shared" si="13"/>
        <v>447554</v>
      </c>
      <c r="AI53" s="18">
        <f t="shared" si="13"/>
        <v>415590</v>
      </c>
      <c r="AJ53" s="18">
        <f t="shared" si="13"/>
        <v>351655</v>
      </c>
      <c r="AK53" s="18">
        <f t="shared" si="13"/>
        <v>358119</v>
      </c>
      <c r="AL53" s="18">
        <f t="shared" si="13"/>
        <v>126394</v>
      </c>
      <c r="AM53" s="18">
        <f t="shared" si="13"/>
        <v>484515</v>
      </c>
      <c r="AN53" s="18">
        <f t="shared" si="13"/>
        <v>421323</v>
      </c>
      <c r="AO53" s="18">
        <f t="shared" si="13"/>
        <v>294921</v>
      </c>
      <c r="AP53" s="18">
        <f t="shared" si="13"/>
        <v>0</v>
      </c>
      <c r="AQ53" s="18">
        <f t="shared" si="13"/>
        <v>46594</v>
      </c>
      <c r="AR53" s="18">
        <f t="shared" si="13"/>
        <v>419348</v>
      </c>
      <c r="AS53" s="18">
        <f t="shared" si="13"/>
        <v>186378</v>
      </c>
      <c r="AT53" s="18">
        <f t="shared" si="13"/>
        <v>232972</v>
      </c>
      <c r="AU53" s="18">
        <f t="shared" si="13"/>
        <v>186377</v>
      </c>
      <c r="AV53" s="19">
        <f t="shared" si="13"/>
        <v>512532</v>
      </c>
      <c r="AW53" s="20">
        <f t="shared" si="11"/>
        <v>15599796</v>
      </c>
      <c r="AX53" s="20">
        <f t="shared" si="12"/>
        <v>336234.46666666667</v>
      </c>
      <c r="AY53" s="21">
        <f>AW53/AW13</f>
        <v>0.32783995972055147</v>
      </c>
    </row>
    <row r="54" spans="1:51" ht="12.75" customHeight="1" x14ac:dyDescent="0.15">
      <c r="A54" s="41" t="s">
        <v>111</v>
      </c>
      <c r="B54" s="11" t="s">
        <v>112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K54" s="14">
        <v>6882.3529411764703</v>
      </c>
      <c r="L54" s="14">
        <v>6882.3529411764703</v>
      </c>
      <c r="M54" s="14">
        <v>6882.3529411764703</v>
      </c>
      <c r="N54" s="14">
        <v>6882.3529411764703</v>
      </c>
      <c r="O54" s="14">
        <v>6882.3529411764703</v>
      </c>
      <c r="P54" s="14">
        <v>6882.3529411764703</v>
      </c>
      <c r="Q54" s="14">
        <v>6882.3529411764703</v>
      </c>
      <c r="R54" s="14">
        <v>6882.3529411764703</v>
      </c>
      <c r="S54" s="14">
        <v>6882.3529411764703</v>
      </c>
      <c r="T54" s="14">
        <v>6882.3529411764703</v>
      </c>
      <c r="U54" s="14">
        <v>6882.3529411764703</v>
      </c>
      <c r="V54" s="14">
        <v>6882.3529411764703</v>
      </c>
      <c r="W54" s="14">
        <v>6882.3529411764703</v>
      </c>
      <c r="X54" s="14">
        <v>6882.3529411764703</v>
      </c>
      <c r="Y54" s="14">
        <v>6882.3529411764703</v>
      </c>
      <c r="Z54" s="14">
        <v>6882.3529411764703</v>
      </c>
      <c r="AA54" s="14">
        <v>0</v>
      </c>
      <c r="AB54" s="14">
        <v>0</v>
      </c>
      <c r="AC54" s="14">
        <v>6882.3529411764703</v>
      </c>
      <c r="AD54" s="14">
        <v>21428.571428571428</v>
      </c>
      <c r="AE54" s="14">
        <v>21428.571428571428</v>
      </c>
      <c r="AF54" s="14">
        <v>21428.571428571428</v>
      </c>
      <c r="AG54" s="14">
        <v>21428.571428571428</v>
      </c>
      <c r="AH54" s="14">
        <v>21428.571428571428</v>
      </c>
      <c r="AI54" s="14">
        <v>21428.571428571428</v>
      </c>
      <c r="AJ54" s="14">
        <v>21428.571428571428</v>
      </c>
      <c r="AK54" s="14">
        <v>59400</v>
      </c>
      <c r="AL54" s="14">
        <v>59400</v>
      </c>
      <c r="AM54" s="14">
        <v>59400</v>
      </c>
      <c r="AN54" s="14">
        <v>59400</v>
      </c>
      <c r="AO54" s="14">
        <v>59400</v>
      </c>
      <c r="AP54" s="14">
        <v>0</v>
      </c>
      <c r="AQ54" s="14">
        <v>28333.333333333332</v>
      </c>
      <c r="AR54" s="14">
        <v>28333.333333333332</v>
      </c>
      <c r="AS54" s="14">
        <v>28333.333333333332</v>
      </c>
      <c r="AT54" s="14">
        <v>28333.333333333332</v>
      </c>
      <c r="AU54" s="14">
        <v>28333.333333333332</v>
      </c>
      <c r="AV54" s="15">
        <v>28333.333333333332</v>
      </c>
      <c r="AW54" s="16">
        <f t="shared" si="11"/>
        <v>734000.00000000023</v>
      </c>
      <c r="AX54" s="16">
        <f t="shared" si="12"/>
        <v>16311.111111111117</v>
      </c>
      <c r="AY54" s="13">
        <f>AW54/AW13</f>
        <v>1.5425492130466631E-2</v>
      </c>
    </row>
    <row r="55" spans="1:51" ht="12.75" customHeight="1" x14ac:dyDescent="0.15">
      <c r="A55" s="41"/>
      <c r="B55" s="11" t="s">
        <v>113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  <c r="K55" s="14">
        <v>0</v>
      </c>
      <c r="L55" s="14">
        <v>0</v>
      </c>
      <c r="M55" s="14">
        <v>0</v>
      </c>
      <c r="N55" s="14">
        <v>0</v>
      </c>
      <c r="O55" s="14">
        <v>0</v>
      </c>
      <c r="P55" s="14">
        <v>0</v>
      </c>
      <c r="Q55" s="14">
        <v>0</v>
      </c>
      <c r="R55" s="14">
        <v>0</v>
      </c>
      <c r="S55" s="14">
        <v>0</v>
      </c>
      <c r="T55" s="14">
        <v>0</v>
      </c>
      <c r="U55" s="14">
        <v>0</v>
      </c>
      <c r="V55" s="14">
        <v>0</v>
      </c>
      <c r="W55" s="14">
        <v>0</v>
      </c>
      <c r="X55" s="14">
        <v>0</v>
      </c>
      <c r="Y55" s="14">
        <v>0</v>
      </c>
      <c r="Z55" s="14">
        <v>0</v>
      </c>
      <c r="AA55" s="14">
        <v>0</v>
      </c>
      <c r="AB55" s="14">
        <v>0</v>
      </c>
      <c r="AC55" s="14">
        <v>0</v>
      </c>
      <c r="AD55" s="14">
        <v>0</v>
      </c>
      <c r="AE55" s="14">
        <v>0</v>
      </c>
      <c r="AF55" s="14">
        <v>0</v>
      </c>
      <c r="AG55" s="14">
        <v>0</v>
      </c>
      <c r="AH55" s="14">
        <v>0</v>
      </c>
      <c r="AI55" s="14">
        <v>0</v>
      </c>
      <c r="AJ55" s="14">
        <v>0</v>
      </c>
      <c r="AK55" s="14">
        <v>0</v>
      </c>
      <c r="AL55" s="14">
        <v>0</v>
      </c>
      <c r="AM55" s="14">
        <v>0</v>
      </c>
      <c r="AN55" s="14">
        <v>0</v>
      </c>
      <c r="AO55" s="14">
        <v>0</v>
      </c>
      <c r="AP55" s="14">
        <v>0</v>
      </c>
      <c r="AQ55" s="14">
        <v>0</v>
      </c>
      <c r="AR55" s="14">
        <v>0</v>
      </c>
      <c r="AS55" s="14">
        <v>0</v>
      </c>
      <c r="AT55" s="14">
        <v>0</v>
      </c>
      <c r="AU55" s="14">
        <v>0</v>
      </c>
      <c r="AV55" s="15">
        <v>0</v>
      </c>
      <c r="AW55" s="16">
        <f t="shared" si="11"/>
        <v>0</v>
      </c>
      <c r="AX55" s="16">
        <f t="shared" si="12"/>
        <v>0</v>
      </c>
      <c r="AY55" s="13">
        <f>AW55/AW13</f>
        <v>0</v>
      </c>
    </row>
    <row r="56" spans="1:51" ht="12.75" customHeight="1" x14ac:dyDescent="0.15">
      <c r="A56" s="41"/>
      <c r="B56" s="11" t="s">
        <v>114</v>
      </c>
      <c r="C56" s="14">
        <v>0</v>
      </c>
      <c r="D56" s="14">
        <v>1221048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4">
        <v>0</v>
      </c>
      <c r="S56" s="14">
        <v>0</v>
      </c>
      <c r="T56" s="14">
        <v>0</v>
      </c>
      <c r="U56" s="14">
        <v>0</v>
      </c>
      <c r="V56" s="14">
        <v>0</v>
      </c>
      <c r="W56" s="14">
        <v>0</v>
      </c>
      <c r="X56" s="14">
        <v>0</v>
      </c>
      <c r="Y56" s="14">
        <v>0</v>
      </c>
      <c r="Z56" s="14">
        <v>0</v>
      </c>
      <c r="AA56" s="14">
        <v>0</v>
      </c>
      <c r="AB56" s="14">
        <v>0</v>
      </c>
      <c r="AC56" s="14">
        <v>0</v>
      </c>
      <c r="AD56" s="14">
        <v>0</v>
      </c>
      <c r="AE56" s="14">
        <v>0</v>
      </c>
      <c r="AF56" s="14">
        <v>0</v>
      </c>
      <c r="AG56" s="14">
        <v>0</v>
      </c>
      <c r="AH56" s="14">
        <v>0</v>
      </c>
      <c r="AI56" s="14">
        <v>0</v>
      </c>
      <c r="AJ56" s="14">
        <v>0</v>
      </c>
      <c r="AK56" s="14">
        <v>0</v>
      </c>
      <c r="AL56" s="14">
        <v>0</v>
      </c>
      <c r="AM56" s="14">
        <v>0</v>
      </c>
      <c r="AN56" s="14">
        <v>0</v>
      </c>
      <c r="AO56" s="14">
        <v>0</v>
      </c>
      <c r="AP56" s="14">
        <v>0</v>
      </c>
      <c r="AQ56" s="14">
        <v>0</v>
      </c>
      <c r="AR56" s="14">
        <v>0</v>
      </c>
      <c r="AS56" s="14">
        <v>0</v>
      </c>
      <c r="AT56" s="14">
        <v>0</v>
      </c>
      <c r="AU56" s="14">
        <v>0</v>
      </c>
      <c r="AV56" s="15">
        <v>0</v>
      </c>
      <c r="AW56" s="16">
        <f t="shared" si="11"/>
        <v>1221048</v>
      </c>
      <c r="AX56" s="16">
        <f t="shared" si="12"/>
        <v>27134.400000000001</v>
      </c>
      <c r="AY56" s="13">
        <f>AW56/AW13</f>
        <v>2.5661125769648518E-2</v>
      </c>
    </row>
    <row r="57" spans="1:51" ht="12.75" customHeight="1" x14ac:dyDescent="0.15">
      <c r="A57" s="41"/>
      <c r="B57" s="11" t="s">
        <v>115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14">
        <v>0</v>
      </c>
      <c r="L57" s="14">
        <v>0</v>
      </c>
      <c r="M57" s="14">
        <v>0</v>
      </c>
      <c r="N57" s="14">
        <v>0</v>
      </c>
      <c r="O57" s="14">
        <v>0</v>
      </c>
      <c r="P57" s="14">
        <v>0</v>
      </c>
      <c r="Q57" s="14">
        <v>0</v>
      </c>
      <c r="R57" s="14">
        <v>0</v>
      </c>
      <c r="S57" s="14">
        <v>0</v>
      </c>
      <c r="T57" s="14">
        <v>0</v>
      </c>
      <c r="U57" s="14">
        <v>0</v>
      </c>
      <c r="V57" s="14">
        <v>0</v>
      </c>
      <c r="W57" s="14">
        <v>0</v>
      </c>
      <c r="X57" s="14">
        <v>0</v>
      </c>
      <c r="Y57" s="14">
        <v>0</v>
      </c>
      <c r="Z57" s="14">
        <v>0</v>
      </c>
      <c r="AA57" s="14">
        <v>0</v>
      </c>
      <c r="AB57" s="14">
        <v>0</v>
      </c>
      <c r="AC57" s="14">
        <v>0</v>
      </c>
      <c r="AD57" s="14">
        <v>0</v>
      </c>
      <c r="AE57" s="14">
        <v>0</v>
      </c>
      <c r="AF57" s="14">
        <v>0</v>
      </c>
      <c r="AG57" s="14">
        <v>0</v>
      </c>
      <c r="AH57" s="14">
        <v>0</v>
      </c>
      <c r="AI57" s="14">
        <v>0</v>
      </c>
      <c r="AJ57" s="14">
        <v>0</v>
      </c>
      <c r="AK57" s="14">
        <v>0</v>
      </c>
      <c r="AL57" s="14">
        <v>0</v>
      </c>
      <c r="AM57" s="14">
        <v>0</v>
      </c>
      <c r="AN57" s="14">
        <v>0</v>
      </c>
      <c r="AO57" s="14">
        <v>0</v>
      </c>
      <c r="AP57" s="14">
        <v>0</v>
      </c>
      <c r="AQ57" s="14">
        <v>0</v>
      </c>
      <c r="AR57" s="14">
        <v>0</v>
      </c>
      <c r="AS57" s="14">
        <v>0</v>
      </c>
      <c r="AT57" s="14">
        <v>0</v>
      </c>
      <c r="AU57" s="14">
        <v>0</v>
      </c>
      <c r="AV57" s="15">
        <v>0</v>
      </c>
      <c r="AW57" s="16">
        <f t="shared" si="11"/>
        <v>0</v>
      </c>
      <c r="AX57" s="16">
        <f t="shared" si="12"/>
        <v>0</v>
      </c>
      <c r="AY57" s="13">
        <f>AW57/AW13</f>
        <v>0</v>
      </c>
    </row>
    <row r="58" spans="1:51" ht="12.75" customHeight="1" x14ac:dyDescent="0.15">
      <c r="A58" s="41"/>
      <c r="B58" s="11" t="s">
        <v>116</v>
      </c>
      <c r="C58" s="14">
        <v>96968.71428571429</v>
      </c>
      <c r="D58" s="14">
        <v>0</v>
      </c>
      <c r="E58" s="14">
        <v>96968.71428571429</v>
      </c>
      <c r="F58" s="14">
        <v>96968.71428571429</v>
      </c>
      <c r="G58" s="14">
        <v>96968.71428571429</v>
      </c>
      <c r="H58" s="14">
        <v>96968.71428571429</v>
      </c>
      <c r="I58" s="14">
        <v>96968.71428571429</v>
      </c>
      <c r="J58" s="14">
        <v>96968.71428571429</v>
      </c>
      <c r="K58" s="14">
        <v>93576.411764705888</v>
      </c>
      <c r="L58" s="14">
        <v>93576.411764705888</v>
      </c>
      <c r="M58" s="14">
        <v>93576.411764705888</v>
      </c>
      <c r="N58" s="14">
        <v>93576.411764705888</v>
      </c>
      <c r="O58" s="14">
        <v>93576.411764705888</v>
      </c>
      <c r="P58" s="14">
        <v>93576.411764705888</v>
      </c>
      <c r="Q58" s="14">
        <v>93576.411764705888</v>
      </c>
      <c r="R58" s="14">
        <v>93576.411764705888</v>
      </c>
      <c r="S58" s="14">
        <v>93576.411764705888</v>
      </c>
      <c r="T58" s="14">
        <v>93576.411764705888</v>
      </c>
      <c r="U58" s="14">
        <v>93576.411764705888</v>
      </c>
      <c r="V58" s="14">
        <v>93576.411764705888</v>
      </c>
      <c r="W58" s="14">
        <v>93576.411764705888</v>
      </c>
      <c r="X58" s="14">
        <v>93576.411764705888</v>
      </c>
      <c r="Y58" s="14">
        <v>93576.411764705888</v>
      </c>
      <c r="Z58" s="14">
        <v>93576.411764705888</v>
      </c>
      <c r="AA58" s="14">
        <v>0</v>
      </c>
      <c r="AB58" s="14">
        <v>0</v>
      </c>
      <c r="AC58" s="14">
        <v>93576.411764705888</v>
      </c>
      <c r="AD58" s="14">
        <v>94832.142857142855</v>
      </c>
      <c r="AE58" s="14">
        <v>94832.142857142855</v>
      </c>
      <c r="AF58" s="14">
        <v>94832.142857142855</v>
      </c>
      <c r="AG58" s="14">
        <v>94832.142857142855</v>
      </c>
      <c r="AH58" s="14">
        <v>94832.142857142855</v>
      </c>
      <c r="AI58" s="14">
        <v>94832.142857142855</v>
      </c>
      <c r="AJ58" s="14">
        <v>94832.142857142855</v>
      </c>
      <c r="AK58" s="14">
        <v>124746</v>
      </c>
      <c r="AL58" s="14">
        <v>124746</v>
      </c>
      <c r="AM58" s="14">
        <v>124746</v>
      </c>
      <c r="AN58" s="14">
        <v>124746</v>
      </c>
      <c r="AO58" s="14">
        <v>124746</v>
      </c>
      <c r="AP58" s="14">
        <v>0</v>
      </c>
      <c r="AQ58" s="14">
        <v>102189.33333333333</v>
      </c>
      <c r="AR58" s="14">
        <v>102189.33333333333</v>
      </c>
      <c r="AS58" s="14">
        <v>102189.33333333333</v>
      </c>
      <c r="AT58" s="14">
        <v>102189.33333333333</v>
      </c>
      <c r="AU58" s="14">
        <v>102189.33333333333</v>
      </c>
      <c r="AV58" s="15">
        <v>102189.33333333333</v>
      </c>
      <c r="AW58" s="16">
        <f t="shared" si="11"/>
        <v>4170270.9999999991</v>
      </c>
      <c r="AX58" s="16">
        <f t="shared" si="12"/>
        <v>90517.828571428559</v>
      </c>
      <c r="AY58" s="13">
        <f>AW58/AW13</f>
        <v>8.7640984322088791E-2</v>
      </c>
    </row>
    <row r="59" spans="1:51" ht="12.75" customHeight="1" x14ac:dyDescent="0.15">
      <c r="A59" s="41"/>
      <c r="B59" s="11" t="s">
        <v>117</v>
      </c>
      <c r="C59" s="14">
        <v>71420.428571428565</v>
      </c>
      <c r="D59" s="14">
        <v>0</v>
      </c>
      <c r="E59" s="14">
        <v>71420.428571428565</v>
      </c>
      <c r="F59" s="14">
        <v>71420.428571428565</v>
      </c>
      <c r="G59" s="14">
        <v>71420.428571428565</v>
      </c>
      <c r="H59" s="14">
        <v>71420.428571428565</v>
      </c>
      <c r="I59" s="14">
        <v>71420.428571428565</v>
      </c>
      <c r="J59" s="14">
        <v>71420.428571428565</v>
      </c>
      <c r="K59" s="14">
        <v>96852.647058823524</v>
      </c>
      <c r="L59" s="14">
        <v>96852.647058823524</v>
      </c>
      <c r="M59" s="14">
        <v>96852.647058823524</v>
      </c>
      <c r="N59" s="14">
        <v>96852.647058823524</v>
      </c>
      <c r="O59" s="14">
        <v>96852.647058823524</v>
      </c>
      <c r="P59" s="14">
        <v>96852.647058823524</v>
      </c>
      <c r="Q59" s="14">
        <v>96852.647058823524</v>
      </c>
      <c r="R59" s="14">
        <v>96852.647058823524</v>
      </c>
      <c r="S59" s="14">
        <v>96852.647058823524</v>
      </c>
      <c r="T59" s="14">
        <v>96852.647058823524</v>
      </c>
      <c r="U59" s="14">
        <v>96852.647058823524</v>
      </c>
      <c r="V59" s="14">
        <v>96852.647058823524</v>
      </c>
      <c r="W59" s="14">
        <v>96852.647058823524</v>
      </c>
      <c r="X59" s="14">
        <v>96852.647058823524</v>
      </c>
      <c r="Y59" s="14">
        <v>96852.647058823524</v>
      </c>
      <c r="Z59" s="14">
        <v>96852.647058823524</v>
      </c>
      <c r="AA59" s="14">
        <v>0</v>
      </c>
      <c r="AB59" s="14">
        <v>0</v>
      </c>
      <c r="AC59" s="14">
        <v>96852.647058823524</v>
      </c>
      <c r="AD59" s="14">
        <v>96852.71428571429</v>
      </c>
      <c r="AE59" s="14">
        <v>96852.71428571429</v>
      </c>
      <c r="AF59" s="14">
        <v>96852.71428571429</v>
      </c>
      <c r="AG59" s="14">
        <v>96852.71428571429</v>
      </c>
      <c r="AH59" s="14">
        <v>96852.71428571429</v>
      </c>
      <c r="AI59" s="14">
        <v>96852.71428571429</v>
      </c>
      <c r="AJ59" s="14">
        <v>96852.71428571429</v>
      </c>
      <c r="AK59" s="14">
        <v>78839</v>
      </c>
      <c r="AL59" s="14">
        <v>78839</v>
      </c>
      <c r="AM59" s="14">
        <v>78839</v>
      </c>
      <c r="AN59" s="14">
        <v>78839</v>
      </c>
      <c r="AO59" s="14">
        <v>78839</v>
      </c>
      <c r="AP59" s="14">
        <v>0</v>
      </c>
      <c r="AQ59" s="14">
        <v>96634</v>
      </c>
      <c r="AR59" s="14">
        <v>96634</v>
      </c>
      <c r="AS59" s="14">
        <v>96634</v>
      </c>
      <c r="AT59" s="14">
        <v>96634</v>
      </c>
      <c r="AU59" s="14">
        <v>96634</v>
      </c>
      <c r="AV59" s="15">
        <v>96634</v>
      </c>
      <c r="AW59" s="16">
        <f t="shared" si="11"/>
        <v>3798405.9999999991</v>
      </c>
      <c r="AX59" s="16">
        <f t="shared" si="12"/>
        <v>82821.901587301574</v>
      </c>
      <c r="AY59" s="13">
        <f>AW59/AW13</f>
        <v>7.9825997086263215E-2</v>
      </c>
    </row>
    <row r="60" spans="1:51" ht="12.75" customHeight="1" x14ac:dyDescent="0.15">
      <c r="A60" s="41"/>
      <c r="B60" s="17" t="s">
        <v>118</v>
      </c>
      <c r="C60" s="18">
        <f>SUM(C54:C59)</f>
        <v>168389.14285714284</v>
      </c>
      <c r="D60" s="18">
        <f t="shared" ref="D60:AV60" si="14">SUM(D54:D59)</f>
        <v>1221048</v>
      </c>
      <c r="E60" s="18">
        <f t="shared" si="14"/>
        <v>168389.14285714284</v>
      </c>
      <c r="F60" s="18">
        <f t="shared" si="14"/>
        <v>168389.14285714284</v>
      </c>
      <c r="G60" s="18">
        <f t="shared" si="14"/>
        <v>168389.14285714284</v>
      </c>
      <c r="H60" s="18">
        <f t="shared" si="14"/>
        <v>168389.14285714284</v>
      </c>
      <c r="I60" s="18">
        <f t="shared" si="14"/>
        <v>168389.14285714284</v>
      </c>
      <c r="J60" s="18">
        <f t="shared" si="14"/>
        <v>168389.14285714284</v>
      </c>
      <c r="K60" s="18">
        <f t="shared" si="14"/>
        <v>197311.4117647059</v>
      </c>
      <c r="L60" s="18">
        <f t="shared" si="14"/>
        <v>197311.4117647059</v>
      </c>
      <c r="M60" s="18">
        <f t="shared" si="14"/>
        <v>197311.4117647059</v>
      </c>
      <c r="N60" s="18">
        <f t="shared" si="14"/>
        <v>197311.4117647059</v>
      </c>
      <c r="O60" s="18">
        <f t="shared" si="14"/>
        <v>197311.4117647059</v>
      </c>
      <c r="P60" s="18">
        <f t="shared" si="14"/>
        <v>197311.4117647059</v>
      </c>
      <c r="Q60" s="18">
        <f t="shared" si="14"/>
        <v>197311.4117647059</v>
      </c>
      <c r="R60" s="18">
        <f t="shared" si="14"/>
        <v>197311.4117647059</v>
      </c>
      <c r="S60" s="18">
        <f t="shared" si="14"/>
        <v>197311.4117647059</v>
      </c>
      <c r="T60" s="18">
        <f t="shared" si="14"/>
        <v>197311.4117647059</v>
      </c>
      <c r="U60" s="18">
        <f t="shared" si="14"/>
        <v>197311.4117647059</v>
      </c>
      <c r="V60" s="18">
        <f t="shared" si="14"/>
        <v>197311.4117647059</v>
      </c>
      <c r="W60" s="18">
        <f t="shared" si="14"/>
        <v>197311.4117647059</v>
      </c>
      <c r="X60" s="18">
        <f t="shared" si="14"/>
        <v>197311.4117647059</v>
      </c>
      <c r="Y60" s="18">
        <f t="shared" si="14"/>
        <v>197311.4117647059</v>
      </c>
      <c r="Z60" s="18">
        <f t="shared" si="14"/>
        <v>197311.4117647059</v>
      </c>
      <c r="AA60" s="18">
        <f t="shared" si="14"/>
        <v>0</v>
      </c>
      <c r="AB60" s="18">
        <f t="shared" si="14"/>
        <v>0</v>
      </c>
      <c r="AC60" s="18">
        <f t="shared" si="14"/>
        <v>197311.4117647059</v>
      </c>
      <c r="AD60" s="18">
        <f t="shared" si="14"/>
        <v>213113.42857142858</v>
      </c>
      <c r="AE60" s="18">
        <f t="shared" si="14"/>
        <v>213113.42857142858</v>
      </c>
      <c r="AF60" s="18">
        <f t="shared" si="14"/>
        <v>213113.42857142858</v>
      </c>
      <c r="AG60" s="18">
        <f t="shared" si="14"/>
        <v>213113.42857142858</v>
      </c>
      <c r="AH60" s="18">
        <f t="shared" si="14"/>
        <v>213113.42857142858</v>
      </c>
      <c r="AI60" s="18">
        <f t="shared" si="14"/>
        <v>213113.42857142858</v>
      </c>
      <c r="AJ60" s="18">
        <f t="shared" si="14"/>
        <v>213113.42857142858</v>
      </c>
      <c r="AK60" s="18">
        <f t="shared" si="14"/>
        <v>262985</v>
      </c>
      <c r="AL60" s="18">
        <f t="shared" si="14"/>
        <v>262985</v>
      </c>
      <c r="AM60" s="18">
        <f t="shared" si="14"/>
        <v>262985</v>
      </c>
      <c r="AN60" s="18">
        <f t="shared" si="14"/>
        <v>262985</v>
      </c>
      <c r="AO60" s="18">
        <f t="shared" si="14"/>
        <v>262985</v>
      </c>
      <c r="AP60" s="18">
        <f t="shared" si="14"/>
        <v>0</v>
      </c>
      <c r="AQ60" s="18">
        <f t="shared" si="14"/>
        <v>227156.66666666666</v>
      </c>
      <c r="AR60" s="18">
        <f t="shared" si="14"/>
        <v>227156.66666666666</v>
      </c>
      <c r="AS60" s="18">
        <f t="shared" si="14"/>
        <v>227156.66666666666</v>
      </c>
      <c r="AT60" s="18">
        <f t="shared" si="14"/>
        <v>227156.66666666666</v>
      </c>
      <c r="AU60" s="18">
        <f t="shared" si="14"/>
        <v>227156.66666666666</v>
      </c>
      <c r="AV60" s="19">
        <f t="shared" si="14"/>
        <v>227156.66666666666</v>
      </c>
      <c r="AW60" s="20">
        <f t="shared" si="11"/>
        <v>9923724.9999999925</v>
      </c>
      <c r="AX60" s="20">
        <f t="shared" si="12"/>
        <v>216785.24126984109</v>
      </c>
      <c r="AY60" s="21">
        <f>AW60/AW13</f>
        <v>0.20855359930846704</v>
      </c>
    </row>
    <row r="61" spans="1:51" ht="12.75" customHeight="1" x14ac:dyDescent="0.15">
      <c r="A61" s="38" t="s">
        <v>119</v>
      </c>
      <c r="B61" s="38"/>
      <c r="C61" s="14">
        <f t="shared" ref="C61:AV61" si="15">SUM(C53+C23+C29+C35+C42+C47+C60)</f>
        <v>904062.91428571427</v>
      </c>
      <c r="D61" s="14">
        <f t="shared" si="15"/>
        <v>1221048</v>
      </c>
      <c r="E61" s="14">
        <f t="shared" si="15"/>
        <v>887832.22857142857</v>
      </c>
      <c r="F61" s="14">
        <f t="shared" si="15"/>
        <v>920096.82857142854</v>
      </c>
      <c r="G61" s="14">
        <f t="shared" si="15"/>
        <v>539411.05714285711</v>
      </c>
      <c r="H61" s="14">
        <f t="shared" si="15"/>
        <v>1465002.9714285713</v>
      </c>
      <c r="I61" s="14">
        <f t="shared" si="15"/>
        <v>1008002.0285714286</v>
      </c>
      <c r="J61" s="14">
        <f t="shared" si="15"/>
        <v>1008038.5142857142</v>
      </c>
      <c r="K61" s="14">
        <f t="shared" si="15"/>
        <v>429573.66890756303</v>
      </c>
      <c r="L61" s="14">
        <f t="shared" si="15"/>
        <v>1010608.868907563</v>
      </c>
      <c r="M61" s="14">
        <f t="shared" si="15"/>
        <v>1169598.1831932771</v>
      </c>
      <c r="N61" s="14">
        <f t="shared" si="15"/>
        <v>998422.32605042018</v>
      </c>
      <c r="O61" s="14">
        <f t="shared" si="15"/>
        <v>1266129.8117647059</v>
      </c>
      <c r="P61" s="14">
        <f t="shared" si="15"/>
        <v>866801.98319327726</v>
      </c>
      <c r="Q61" s="14">
        <f t="shared" si="15"/>
        <v>1150954.611764706</v>
      </c>
      <c r="R61" s="14">
        <f t="shared" si="15"/>
        <v>1335944.2403361346</v>
      </c>
      <c r="S61" s="14">
        <f t="shared" si="15"/>
        <v>836681.38319327729</v>
      </c>
      <c r="T61" s="14">
        <f t="shared" si="15"/>
        <v>898944.35462184879</v>
      </c>
      <c r="U61" s="14">
        <f t="shared" si="15"/>
        <v>986848.58319327736</v>
      </c>
      <c r="V61" s="14">
        <f t="shared" si="15"/>
        <v>1223015.7831932772</v>
      </c>
      <c r="W61" s="14">
        <f t="shared" si="15"/>
        <v>1075283.5831932775</v>
      </c>
      <c r="X61" s="14">
        <f t="shared" si="15"/>
        <v>1346042.7831932772</v>
      </c>
      <c r="Y61" s="14">
        <f t="shared" si="15"/>
        <v>687188.95462184877</v>
      </c>
      <c r="Z61" s="14">
        <f t="shared" si="15"/>
        <v>617114.66890756309</v>
      </c>
      <c r="AA61" s="14">
        <f t="shared" si="15"/>
        <v>0</v>
      </c>
      <c r="AB61" s="14">
        <f t="shared" si="15"/>
        <v>0</v>
      </c>
      <c r="AC61" s="14">
        <f t="shared" si="15"/>
        <v>204386.4117647059</v>
      </c>
      <c r="AD61" s="14">
        <f t="shared" si="15"/>
        <v>963665.22857142868</v>
      </c>
      <c r="AE61" s="14">
        <f t="shared" si="15"/>
        <v>1061930.4285714286</v>
      </c>
      <c r="AF61" s="14">
        <f t="shared" si="15"/>
        <v>1095925.6857142858</v>
      </c>
      <c r="AG61" s="14">
        <f t="shared" si="15"/>
        <v>1053595.8</v>
      </c>
      <c r="AH61" s="14">
        <f t="shared" si="15"/>
        <v>911709.05714285723</v>
      </c>
      <c r="AI61" s="14">
        <f t="shared" si="15"/>
        <v>1258088.3428571429</v>
      </c>
      <c r="AJ61" s="14">
        <f t="shared" si="15"/>
        <v>763606.11428571423</v>
      </c>
      <c r="AK61" s="14">
        <f t="shared" si="15"/>
        <v>984272.20000000007</v>
      </c>
      <c r="AL61" s="14">
        <f t="shared" si="15"/>
        <v>597511.19999999995</v>
      </c>
      <c r="AM61" s="14">
        <f t="shared" si="15"/>
        <v>993821.54285714286</v>
      </c>
      <c r="AN61" s="14">
        <f t="shared" si="15"/>
        <v>902731.85714285716</v>
      </c>
      <c r="AO61" s="14">
        <f t="shared" si="15"/>
        <v>1059218.2571428572</v>
      </c>
      <c r="AP61" s="14">
        <f t="shared" si="15"/>
        <v>0</v>
      </c>
      <c r="AQ61" s="14">
        <f t="shared" si="15"/>
        <v>384039.46666666667</v>
      </c>
      <c r="AR61" s="14">
        <f t="shared" si="15"/>
        <v>1221575.1238095239</v>
      </c>
      <c r="AS61" s="14">
        <f t="shared" si="15"/>
        <v>850854.55238095229</v>
      </c>
      <c r="AT61" s="14">
        <f t="shared" si="15"/>
        <v>880025.03809523804</v>
      </c>
      <c r="AU61" s="14">
        <f t="shared" si="15"/>
        <v>819907.15238095238</v>
      </c>
      <c r="AV61" s="15">
        <f t="shared" si="15"/>
        <v>1237854.2952380953</v>
      </c>
      <c r="AW61" s="16">
        <f t="shared" si="11"/>
        <v>41097366.085714281</v>
      </c>
      <c r="AX61" s="16">
        <f t="shared" si="12"/>
        <v>893184.51492063468</v>
      </c>
      <c r="AY61" s="13">
        <f>AW61/AW13</f>
        <v>0.86368814323990695</v>
      </c>
    </row>
    <row r="62" spans="1:51" ht="12.75" customHeight="1" x14ac:dyDescent="0.15">
      <c r="A62" s="38" t="s">
        <v>120</v>
      </c>
      <c r="B62" s="38"/>
      <c r="C62" s="14">
        <f>SUM(C13+C14-C61)</f>
        <v>384161.08571428573</v>
      </c>
      <c r="D62" s="14">
        <f t="shared" ref="D62:AV62" si="16">SUM(D13+D14-D61)</f>
        <v>215479</v>
      </c>
      <c r="E62" s="14">
        <f t="shared" si="16"/>
        <v>571827.77142857143</v>
      </c>
      <c r="F62" s="14">
        <f t="shared" si="16"/>
        <v>316989.17142857146</v>
      </c>
      <c r="G62" s="14">
        <f t="shared" si="16"/>
        <v>-473411.05714285711</v>
      </c>
      <c r="H62" s="14">
        <f t="shared" si="16"/>
        <v>-379802.97142857127</v>
      </c>
      <c r="I62" s="14">
        <f t="shared" si="16"/>
        <v>140658.97142857139</v>
      </c>
      <c r="J62" s="14">
        <f t="shared" si="16"/>
        <v>309590.48571428575</v>
      </c>
      <c r="K62" s="14">
        <f t="shared" si="16"/>
        <v>-24546.668907563027</v>
      </c>
      <c r="L62" s="14">
        <f t="shared" si="16"/>
        <v>-108417.86890756304</v>
      </c>
      <c r="M62" s="14">
        <f t="shared" si="16"/>
        <v>35021.816806722898</v>
      </c>
      <c r="N62" s="14">
        <f t="shared" si="16"/>
        <v>206197.67394957982</v>
      </c>
      <c r="O62" s="14">
        <f t="shared" si="16"/>
        <v>-61509.811764705926</v>
      </c>
      <c r="P62" s="14">
        <f t="shared" si="16"/>
        <v>337818.01680672274</v>
      </c>
      <c r="Q62" s="14">
        <f t="shared" si="16"/>
        <v>587895.38823529403</v>
      </c>
      <c r="R62" s="14">
        <f t="shared" si="16"/>
        <v>-126704.24033613456</v>
      </c>
      <c r="S62" s="14">
        <f t="shared" si="16"/>
        <v>373938.61680672271</v>
      </c>
      <c r="T62" s="14">
        <f t="shared" si="16"/>
        <v>367265.64537815121</v>
      </c>
      <c r="U62" s="14">
        <f t="shared" si="16"/>
        <v>404511.41680672264</v>
      </c>
      <c r="V62" s="14">
        <f t="shared" si="16"/>
        <v>117204.2168067228</v>
      </c>
      <c r="W62" s="14">
        <f t="shared" si="16"/>
        <v>286986.41680672253</v>
      </c>
      <c r="X62" s="14">
        <f t="shared" si="16"/>
        <v>-35142.783193277195</v>
      </c>
      <c r="Y62" s="14">
        <f t="shared" si="16"/>
        <v>533752.04537815123</v>
      </c>
      <c r="Z62" s="14">
        <f t="shared" si="16"/>
        <v>515996.33109243691</v>
      </c>
      <c r="AA62" s="14">
        <f t="shared" si="16"/>
        <v>11000</v>
      </c>
      <c r="AB62" s="14">
        <f t="shared" si="16"/>
        <v>627047</v>
      </c>
      <c r="AC62" s="14">
        <f t="shared" si="16"/>
        <v>-204386.4117647059</v>
      </c>
      <c r="AD62" s="14">
        <f t="shared" si="16"/>
        <v>794016.77142857132</v>
      </c>
      <c r="AE62" s="14">
        <f t="shared" si="16"/>
        <v>1033712.5714285714</v>
      </c>
      <c r="AF62" s="14">
        <f t="shared" si="16"/>
        <v>498067.31428571418</v>
      </c>
      <c r="AG62" s="14">
        <f t="shared" si="16"/>
        <v>279974.19999999995</v>
      </c>
      <c r="AH62" s="14">
        <f t="shared" si="16"/>
        <v>55658.942857142771</v>
      </c>
      <c r="AI62" s="14">
        <f t="shared" si="16"/>
        <v>-287001.34285714291</v>
      </c>
      <c r="AJ62" s="14">
        <f t="shared" si="16"/>
        <v>175788.88571428577</v>
      </c>
      <c r="AK62" s="14">
        <f t="shared" si="16"/>
        <v>775127.79999999993</v>
      </c>
      <c r="AL62" s="14">
        <f t="shared" si="16"/>
        <v>-12511.199999999953</v>
      </c>
      <c r="AM62" s="14">
        <f t="shared" si="16"/>
        <v>229978.45714285714</v>
      </c>
      <c r="AN62" s="14">
        <f t="shared" si="16"/>
        <v>130499.14285714284</v>
      </c>
      <c r="AO62" s="14">
        <f t="shared" si="16"/>
        <v>-65118.257142857183</v>
      </c>
      <c r="AP62" s="14">
        <f t="shared" si="16"/>
        <v>367008</v>
      </c>
      <c r="AQ62" s="14">
        <f t="shared" si="16"/>
        <v>-384039.46666666667</v>
      </c>
      <c r="AR62" s="14">
        <f t="shared" si="16"/>
        <v>172624.87619047612</v>
      </c>
      <c r="AS62" s="14">
        <f t="shared" si="16"/>
        <v>-444654.55238095229</v>
      </c>
      <c r="AT62" s="14">
        <f t="shared" si="16"/>
        <v>-275025.03809523804</v>
      </c>
      <c r="AU62" s="14">
        <f t="shared" si="16"/>
        <v>-351907.15238095238</v>
      </c>
      <c r="AV62" s="15">
        <f t="shared" si="16"/>
        <v>-548634.29523809534</v>
      </c>
      <c r="AW62" s="16">
        <f t="shared" si="11"/>
        <v>7072984.9142857157</v>
      </c>
      <c r="AX62" s="16">
        <f t="shared" si="12"/>
        <v>148640.52952380956</v>
      </c>
      <c r="AY62" s="13">
        <f>AW62/AW13</f>
        <v>0.14864342388858784</v>
      </c>
    </row>
    <row r="63" spans="1:51" ht="12.75" customHeight="1" x14ac:dyDescent="0.15">
      <c r="A63" s="38" t="s">
        <v>121</v>
      </c>
      <c r="B63" s="38"/>
      <c r="C63" s="14">
        <v>104263.38095238095</v>
      </c>
      <c r="D63" s="14">
        <v>0</v>
      </c>
      <c r="E63" s="14">
        <v>104263.38095238095</v>
      </c>
      <c r="F63" s="14">
        <v>104263.38095238095</v>
      </c>
      <c r="G63" s="14">
        <v>104263.38095238095</v>
      </c>
      <c r="H63" s="14">
        <v>104263.38095238095</v>
      </c>
      <c r="I63" s="14">
        <v>104263.38095238095</v>
      </c>
      <c r="J63" s="14">
        <v>104263.38095238095</v>
      </c>
      <c r="K63" s="14">
        <v>104263.38095238095</v>
      </c>
      <c r="L63" s="14">
        <v>104263.38095238095</v>
      </c>
      <c r="M63" s="14">
        <v>104263.38095238095</v>
      </c>
      <c r="N63" s="14">
        <v>104263.38095238095</v>
      </c>
      <c r="O63" s="14">
        <v>104263.38095238095</v>
      </c>
      <c r="P63" s="14">
        <v>104263.38095238095</v>
      </c>
      <c r="Q63" s="14">
        <v>104263.38095238095</v>
      </c>
      <c r="R63" s="14">
        <v>104263.38095238095</v>
      </c>
      <c r="S63" s="14">
        <v>104263.38095238095</v>
      </c>
      <c r="T63" s="14">
        <v>104263.38095238095</v>
      </c>
      <c r="U63" s="14">
        <v>104263.38095238095</v>
      </c>
      <c r="V63" s="14">
        <v>104263.38095238095</v>
      </c>
      <c r="W63" s="14">
        <v>104263.38095238095</v>
      </c>
      <c r="X63" s="14">
        <v>104263.38095238095</v>
      </c>
      <c r="Y63" s="14">
        <v>104263.38095238095</v>
      </c>
      <c r="Z63" s="14">
        <v>104263.38095238095</v>
      </c>
      <c r="AA63" s="14">
        <v>0</v>
      </c>
      <c r="AB63" s="14">
        <v>0</v>
      </c>
      <c r="AC63" s="14">
        <v>104263.38095238095</v>
      </c>
      <c r="AD63" s="14">
        <v>104263.38095238095</v>
      </c>
      <c r="AE63" s="14">
        <v>104263.38095238095</v>
      </c>
      <c r="AF63" s="14">
        <v>104263.38095238095</v>
      </c>
      <c r="AG63" s="14">
        <v>104263.38095238095</v>
      </c>
      <c r="AH63" s="14">
        <v>104263.38095238095</v>
      </c>
      <c r="AI63" s="14">
        <v>104263.38095238095</v>
      </c>
      <c r="AJ63" s="14">
        <v>104263.38095238095</v>
      </c>
      <c r="AK63" s="14">
        <v>104263.38095238095</v>
      </c>
      <c r="AL63" s="14">
        <v>104263.38095238095</v>
      </c>
      <c r="AM63" s="14">
        <v>104263.38095238095</v>
      </c>
      <c r="AN63" s="14">
        <v>104263.38095238095</v>
      </c>
      <c r="AO63" s="14">
        <v>104263.38095238095</v>
      </c>
      <c r="AP63" s="14">
        <v>0</v>
      </c>
      <c r="AQ63" s="14">
        <v>104263.38095238095</v>
      </c>
      <c r="AR63" s="14">
        <v>104263.38095238095</v>
      </c>
      <c r="AS63" s="14">
        <v>104263.38095238095</v>
      </c>
      <c r="AT63" s="14">
        <v>104263.38095238095</v>
      </c>
      <c r="AU63" s="14">
        <v>104263.38095238095</v>
      </c>
      <c r="AV63" s="15">
        <v>104263.38095238095</v>
      </c>
      <c r="AW63" s="16">
        <f t="shared" si="11"/>
        <v>4379062.0000000028</v>
      </c>
      <c r="AX63" s="16">
        <f t="shared" si="12"/>
        <v>94995.524867724933</v>
      </c>
      <c r="AY63" s="13">
        <f>AW63/AW13</f>
        <v>9.2028864332187321E-2</v>
      </c>
    </row>
    <row r="64" spans="1:51" ht="12.75" customHeight="1" x14ac:dyDescent="0.15">
      <c r="A64" s="38" t="s">
        <v>122</v>
      </c>
      <c r="B64" s="38"/>
      <c r="C64" s="14">
        <v>29722.833333333332</v>
      </c>
      <c r="D64" s="14">
        <v>0</v>
      </c>
      <c r="E64" s="14">
        <v>29722.833333333332</v>
      </c>
      <c r="F64" s="14">
        <v>29722.833333333332</v>
      </c>
      <c r="G64" s="14">
        <v>29722.833333333332</v>
      </c>
      <c r="H64" s="14">
        <v>29722.833333333332</v>
      </c>
      <c r="I64" s="14">
        <v>29722.833333333332</v>
      </c>
      <c r="J64" s="14">
        <v>29722.833333333332</v>
      </c>
      <c r="K64" s="14">
        <v>29722.833333333332</v>
      </c>
      <c r="L64" s="14">
        <v>29722.833333333332</v>
      </c>
      <c r="M64" s="14">
        <v>29722.833333333332</v>
      </c>
      <c r="N64" s="14">
        <v>29722.833333333332</v>
      </c>
      <c r="O64" s="14">
        <v>29722.833333333332</v>
      </c>
      <c r="P64" s="14">
        <v>29722.833333333332</v>
      </c>
      <c r="Q64" s="14">
        <v>29722.833333333332</v>
      </c>
      <c r="R64" s="14">
        <v>29722.833333333332</v>
      </c>
      <c r="S64" s="14">
        <v>29722.833333333332</v>
      </c>
      <c r="T64" s="14">
        <v>29722.833333333332</v>
      </c>
      <c r="U64" s="14">
        <v>29722.833333333332</v>
      </c>
      <c r="V64" s="14">
        <v>29722.833333333332</v>
      </c>
      <c r="W64" s="14">
        <v>29722.833333333332</v>
      </c>
      <c r="X64" s="14">
        <v>29722.833333333332</v>
      </c>
      <c r="Y64" s="14">
        <v>29722.833333333332</v>
      </c>
      <c r="Z64" s="14">
        <v>29722.833333333332</v>
      </c>
      <c r="AA64" s="14">
        <v>0</v>
      </c>
      <c r="AB64" s="14">
        <v>0</v>
      </c>
      <c r="AC64" s="14">
        <v>29722.833333333332</v>
      </c>
      <c r="AD64" s="14">
        <v>29722.833333333332</v>
      </c>
      <c r="AE64" s="14">
        <v>29722.833333333332</v>
      </c>
      <c r="AF64" s="14">
        <v>29722.833333333332</v>
      </c>
      <c r="AG64" s="14">
        <v>29722.833333333332</v>
      </c>
      <c r="AH64" s="14">
        <v>29722.833333333332</v>
      </c>
      <c r="AI64" s="14">
        <v>29722.833333333332</v>
      </c>
      <c r="AJ64" s="14">
        <v>29722.833333333332</v>
      </c>
      <c r="AK64" s="14">
        <v>29722.833333333332</v>
      </c>
      <c r="AL64" s="14">
        <v>29722.833333333332</v>
      </c>
      <c r="AM64" s="14">
        <v>29722.833333333332</v>
      </c>
      <c r="AN64" s="14">
        <v>29722.833333333332</v>
      </c>
      <c r="AO64" s="14">
        <v>29722.833333333332</v>
      </c>
      <c r="AP64" s="14">
        <v>0</v>
      </c>
      <c r="AQ64" s="14">
        <v>29722.833333333332</v>
      </c>
      <c r="AR64" s="14">
        <v>29722.833333333332</v>
      </c>
      <c r="AS64" s="14">
        <v>29722.833333333332</v>
      </c>
      <c r="AT64" s="14">
        <v>29722.833333333332</v>
      </c>
      <c r="AU64" s="14">
        <v>29722.833333333332</v>
      </c>
      <c r="AV64" s="15">
        <v>29722.833333333332</v>
      </c>
      <c r="AW64" s="16">
        <f t="shared" si="11"/>
        <v>1248359</v>
      </c>
      <c r="AX64" s="16">
        <f t="shared" si="12"/>
        <v>27080.803703703707</v>
      </c>
      <c r="AY64" s="13">
        <f>AW64/AW13</f>
        <v>2.6235084373974371E-2</v>
      </c>
    </row>
    <row r="65" spans="1:51" ht="12.75" customHeight="1" x14ac:dyDescent="0.15">
      <c r="A65" s="38" t="s">
        <v>123</v>
      </c>
      <c r="B65" s="38"/>
      <c r="C65" s="14">
        <f>SUM(C62-(C63+C64))</f>
        <v>250174.87142857144</v>
      </c>
      <c r="D65" s="14">
        <f t="shared" ref="D65:AV65" si="17">SUM(D62-(D63+D64))</f>
        <v>215479</v>
      </c>
      <c r="E65" s="14">
        <f t="shared" si="17"/>
        <v>437841.55714285711</v>
      </c>
      <c r="F65" s="14">
        <f t="shared" si="17"/>
        <v>183002.95714285717</v>
      </c>
      <c r="G65" s="14">
        <f t="shared" si="17"/>
        <v>-607397.27142857143</v>
      </c>
      <c r="H65" s="14">
        <f t="shared" si="17"/>
        <v>-513789.18571428559</v>
      </c>
      <c r="I65" s="14">
        <f t="shared" si="17"/>
        <v>6672.7571428570955</v>
      </c>
      <c r="J65" s="14">
        <f t="shared" si="17"/>
        <v>175604.27142857146</v>
      </c>
      <c r="K65" s="14">
        <f t="shared" si="17"/>
        <v>-158532.88319327732</v>
      </c>
      <c r="L65" s="14">
        <f t="shared" si="17"/>
        <v>-242404.08319327733</v>
      </c>
      <c r="M65" s="14">
        <f t="shared" si="17"/>
        <v>-98964.397478991392</v>
      </c>
      <c r="N65" s="14">
        <f t="shared" si="17"/>
        <v>72211.459663865535</v>
      </c>
      <c r="O65" s="14">
        <f t="shared" si="17"/>
        <v>-195496.02605042022</v>
      </c>
      <c r="P65" s="14">
        <f t="shared" si="17"/>
        <v>203831.80252100845</v>
      </c>
      <c r="Q65" s="14">
        <f t="shared" si="17"/>
        <v>453909.17394957971</v>
      </c>
      <c r="R65" s="14">
        <f t="shared" si="17"/>
        <v>-260690.45462184885</v>
      </c>
      <c r="S65" s="14">
        <f t="shared" si="17"/>
        <v>239952.40252100842</v>
      </c>
      <c r="T65" s="14">
        <f t="shared" si="17"/>
        <v>233279.43109243692</v>
      </c>
      <c r="U65" s="14">
        <f t="shared" si="17"/>
        <v>270525.20252100832</v>
      </c>
      <c r="V65" s="14">
        <f t="shared" si="17"/>
        <v>-16781.997478991485</v>
      </c>
      <c r="W65" s="14">
        <f t="shared" si="17"/>
        <v>153000.20252100824</v>
      </c>
      <c r="X65" s="14">
        <f t="shared" si="17"/>
        <v>-169128.99747899148</v>
      </c>
      <c r="Y65" s="14">
        <f t="shared" si="17"/>
        <v>399765.83109243691</v>
      </c>
      <c r="Z65" s="14">
        <f t="shared" si="17"/>
        <v>382010.1168067226</v>
      </c>
      <c r="AA65" s="14">
        <f t="shared" si="17"/>
        <v>11000</v>
      </c>
      <c r="AB65" s="14">
        <f t="shared" si="17"/>
        <v>627047</v>
      </c>
      <c r="AC65" s="14">
        <f t="shared" si="17"/>
        <v>-338372.62605042022</v>
      </c>
      <c r="AD65" s="14">
        <f t="shared" si="17"/>
        <v>660030.557142857</v>
      </c>
      <c r="AE65" s="14">
        <f t="shared" si="17"/>
        <v>899726.35714285704</v>
      </c>
      <c r="AF65" s="14">
        <f t="shared" si="17"/>
        <v>364081.09999999986</v>
      </c>
      <c r="AG65" s="14">
        <f t="shared" si="17"/>
        <v>145987.98571428566</v>
      </c>
      <c r="AH65" s="14">
        <f t="shared" si="17"/>
        <v>-78327.271428571519</v>
      </c>
      <c r="AI65" s="14">
        <f t="shared" si="17"/>
        <v>-420987.55714285723</v>
      </c>
      <c r="AJ65" s="14">
        <f t="shared" si="17"/>
        <v>41802.671428571484</v>
      </c>
      <c r="AK65" s="14">
        <f t="shared" si="17"/>
        <v>641141.58571428561</v>
      </c>
      <c r="AL65" s="14">
        <f t="shared" si="17"/>
        <v>-146497.41428571424</v>
      </c>
      <c r="AM65" s="14">
        <f t="shared" si="17"/>
        <v>95992.242857142846</v>
      </c>
      <c r="AN65" s="14">
        <f t="shared" si="17"/>
        <v>-3487.0714285714494</v>
      </c>
      <c r="AO65" s="14">
        <f t="shared" si="17"/>
        <v>-199104.47142857147</v>
      </c>
      <c r="AP65" s="14">
        <f t="shared" si="17"/>
        <v>367008</v>
      </c>
      <c r="AQ65" s="14">
        <f t="shared" si="17"/>
        <v>-518025.68095238099</v>
      </c>
      <c r="AR65" s="14">
        <f t="shared" si="17"/>
        <v>38638.66190476183</v>
      </c>
      <c r="AS65" s="14">
        <f t="shared" si="17"/>
        <v>-578640.7666666666</v>
      </c>
      <c r="AT65" s="14">
        <f t="shared" si="17"/>
        <v>-409011.25238095236</v>
      </c>
      <c r="AU65" s="14">
        <f t="shared" si="17"/>
        <v>-485893.3666666667</v>
      </c>
      <c r="AV65" s="15">
        <f t="shared" si="17"/>
        <v>-682620.50952380965</v>
      </c>
      <c r="AW65" s="16">
        <f t="shared" si="11"/>
        <v>1445563.9142857136</v>
      </c>
      <c r="AX65" s="16">
        <f t="shared" si="12"/>
        <v>26564.200952380932</v>
      </c>
      <c r="AY65" s="13">
        <f>AW65/AW13</f>
        <v>3.0379475182426167E-2</v>
      </c>
    </row>
    <row r="66" spans="1:51" x14ac:dyDescent="0.15">
      <c r="A66" s="11"/>
      <c r="B66" s="29" t="s">
        <v>46</v>
      </c>
      <c r="C66" s="29"/>
      <c r="D66" s="29"/>
      <c r="E66" s="29"/>
      <c r="F66" s="29" t="s">
        <v>124</v>
      </c>
      <c r="G66" s="29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</row>
    <row r="67" spans="1:51" x14ac:dyDescent="0.15">
      <c r="A67" s="12"/>
      <c r="B67" s="30"/>
      <c r="C67" s="31" t="s">
        <v>125</v>
      </c>
      <c r="D67" s="2" t="s">
        <v>126</v>
      </c>
      <c r="E67" s="2" t="s">
        <v>127</v>
      </c>
      <c r="F67" s="2" t="s">
        <v>128</v>
      </c>
      <c r="G67" s="2" t="s">
        <v>129</v>
      </c>
      <c r="H67" s="32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</row>
    <row r="68" spans="1:51" x14ac:dyDescent="0.15">
      <c r="A68" s="12"/>
      <c r="B68" s="33" t="s">
        <v>130</v>
      </c>
      <c r="C68" s="22">
        <v>0</v>
      </c>
      <c r="D68" s="22">
        <v>678781</v>
      </c>
      <c r="E68" s="22">
        <v>499943</v>
      </c>
      <c r="F68" s="22">
        <v>4379062</v>
      </c>
      <c r="G68" s="22">
        <v>1248359</v>
      </c>
      <c r="H68" s="32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</row>
    <row r="69" spans="1:51" x14ac:dyDescent="0.15">
      <c r="A69" s="12"/>
      <c r="B69" s="34" t="s">
        <v>131</v>
      </c>
      <c r="C69" s="22">
        <v>7</v>
      </c>
      <c r="D69" s="22">
        <v>7</v>
      </c>
      <c r="E69" s="22">
        <v>7</v>
      </c>
      <c r="F69" s="22">
        <v>42</v>
      </c>
      <c r="G69" s="22">
        <v>42</v>
      </c>
      <c r="H69" s="32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</row>
    <row r="70" spans="1:51" x14ac:dyDescent="0.15">
      <c r="A70" s="12"/>
      <c r="B70" s="34" t="s">
        <v>41</v>
      </c>
      <c r="C70" s="14">
        <f>SUM(C68/C69)</f>
        <v>0</v>
      </c>
      <c r="D70" s="14">
        <f t="shared" ref="D70:G70" si="18">SUM(D68/D69)</f>
        <v>96968.71428571429</v>
      </c>
      <c r="E70" s="14">
        <f t="shared" si="18"/>
        <v>71420.428571428565</v>
      </c>
      <c r="F70" s="14">
        <f t="shared" si="18"/>
        <v>104263.38095238095</v>
      </c>
      <c r="G70" s="14">
        <f t="shared" si="18"/>
        <v>29722.833333333332</v>
      </c>
      <c r="H70" s="32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</row>
    <row r="71" spans="1:51" x14ac:dyDescent="0.15">
      <c r="A71" s="11"/>
      <c r="B71" s="35" t="s">
        <v>47</v>
      </c>
      <c r="C71" s="35"/>
      <c r="D71" s="35"/>
      <c r="E71" s="35"/>
      <c r="F71" s="35"/>
      <c r="G71" s="35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</row>
    <row r="72" spans="1:51" x14ac:dyDescent="0.15">
      <c r="A72" s="11"/>
      <c r="B72" s="30"/>
      <c r="C72" s="31" t="s">
        <v>132</v>
      </c>
      <c r="D72" s="2" t="s">
        <v>133</v>
      </c>
      <c r="E72" s="2" t="s">
        <v>134</v>
      </c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</row>
    <row r="73" spans="1:51" x14ac:dyDescent="0.15">
      <c r="A73" s="11"/>
      <c r="B73" s="33" t="s">
        <v>130</v>
      </c>
      <c r="C73" s="22">
        <v>117000</v>
      </c>
      <c r="D73" s="22">
        <v>1590799</v>
      </c>
      <c r="E73" s="22">
        <v>1646495</v>
      </c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</row>
    <row r="74" spans="1:51" x14ac:dyDescent="0.15">
      <c r="A74" s="11"/>
      <c r="B74" s="34" t="s">
        <v>131</v>
      </c>
      <c r="C74" s="22">
        <v>17</v>
      </c>
      <c r="D74" s="22">
        <v>17</v>
      </c>
      <c r="E74" s="22">
        <v>17</v>
      </c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</row>
    <row r="75" spans="1:51" x14ac:dyDescent="0.15">
      <c r="A75" s="11"/>
      <c r="B75" s="34" t="s">
        <v>41</v>
      </c>
      <c r="C75" s="14">
        <f>SUM(C73/C74)</f>
        <v>6882.3529411764703</v>
      </c>
      <c r="D75" s="14">
        <f t="shared" ref="D75:E75" si="19">SUM(D73/D74)</f>
        <v>93576.411764705888</v>
      </c>
      <c r="E75" s="14">
        <f t="shared" si="19"/>
        <v>96852.647058823524</v>
      </c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</row>
    <row r="76" spans="1:51" x14ac:dyDescent="0.15">
      <c r="A76" s="11"/>
      <c r="B76" s="11" t="s">
        <v>135</v>
      </c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</row>
    <row r="77" spans="1:51" x14ac:dyDescent="0.15">
      <c r="A77" s="11"/>
      <c r="B77" s="30"/>
      <c r="C77" s="31" t="s">
        <v>136</v>
      </c>
      <c r="D77" s="2" t="s">
        <v>137</v>
      </c>
      <c r="E77" s="2" t="s">
        <v>138</v>
      </c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</row>
    <row r="78" spans="1:51" x14ac:dyDescent="0.15">
      <c r="A78" s="11"/>
      <c r="B78" s="33" t="s">
        <v>130</v>
      </c>
      <c r="C78" s="22"/>
      <c r="D78" s="22"/>
      <c r="E78" s="22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</row>
    <row r="79" spans="1:51" x14ac:dyDescent="0.15">
      <c r="A79" s="11"/>
      <c r="B79" s="34" t="s">
        <v>131</v>
      </c>
      <c r="C79" s="22"/>
      <c r="D79" s="22"/>
      <c r="E79" s="22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</row>
    <row r="80" spans="1:51" x14ac:dyDescent="0.15">
      <c r="A80" s="11"/>
      <c r="B80" s="34" t="s">
        <v>41</v>
      </c>
      <c r="C80" s="14" t="e">
        <f>SUM(C78/C79)</f>
        <v>#DIV/0!</v>
      </c>
      <c r="D80" s="14" t="e">
        <f t="shared" ref="D80:E80" si="20">SUM(D78/D79)</f>
        <v>#DIV/0!</v>
      </c>
      <c r="E80" s="14" t="e">
        <f t="shared" si="20"/>
        <v>#DIV/0!</v>
      </c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</row>
    <row r="81" spans="1:48" x14ac:dyDescent="0.15">
      <c r="A81" s="11"/>
      <c r="B81" s="11" t="s">
        <v>139</v>
      </c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</row>
    <row r="82" spans="1:48" x14ac:dyDescent="0.15">
      <c r="A82" s="11"/>
      <c r="B82" s="30"/>
      <c r="C82" s="31" t="s">
        <v>140</v>
      </c>
      <c r="D82" s="2" t="s">
        <v>141</v>
      </c>
      <c r="E82" s="2" t="s">
        <v>142</v>
      </c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</row>
    <row r="83" spans="1:48" x14ac:dyDescent="0.15">
      <c r="A83" s="11"/>
      <c r="B83" s="33" t="s">
        <v>130</v>
      </c>
      <c r="C83" s="22"/>
      <c r="D83" s="22"/>
      <c r="E83" s="22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</row>
    <row r="84" spans="1:48" x14ac:dyDescent="0.15">
      <c r="A84" s="11"/>
      <c r="B84" s="34" t="s">
        <v>131</v>
      </c>
      <c r="C84" s="22"/>
      <c r="D84" s="22"/>
      <c r="E84" s="22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</row>
    <row r="85" spans="1:48" x14ac:dyDescent="0.15">
      <c r="A85" s="11"/>
      <c r="B85" s="34" t="s">
        <v>41</v>
      </c>
      <c r="C85" s="14" t="e">
        <f>SUM(C83/C84)</f>
        <v>#DIV/0!</v>
      </c>
      <c r="D85" s="14" t="e">
        <f t="shared" ref="D85:E85" si="21">SUM(D83/D84)</f>
        <v>#DIV/0!</v>
      </c>
      <c r="E85" s="14" t="e">
        <f t="shared" si="21"/>
        <v>#DIV/0!</v>
      </c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</row>
    <row r="86" spans="1:48" x14ac:dyDescent="0.15">
      <c r="A86" s="11"/>
      <c r="B86" s="11" t="s">
        <v>143</v>
      </c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</row>
    <row r="87" spans="1:48" x14ac:dyDescent="0.15">
      <c r="A87" s="11"/>
      <c r="B87" s="30"/>
      <c r="C87" s="31" t="s">
        <v>144</v>
      </c>
      <c r="D87" s="2" t="s">
        <v>145</v>
      </c>
      <c r="E87" s="2" t="s">
        <v>146</v>
      </c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</row>
    <row r="88" spans="1:48" x14ac:dyDescent="0.15">
      <c r="A88" s="11"/>
      <c r="B88" s="33" t="s">
        <v>130</v>
      </c>
      <c r="C88" s="22"/>
      <c r="D88" s="22"/>
      <c r="E88" s="22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</row>
    <row r="89" spans="1:48" x14ac:dyDescent="0.15">
      <c r="A89" s="11"/>
      <c r="B89" s="34" t="s">
        <v>131</v>
      </c>
      <c r="C89" s="22"/>
      <c r="D89" s="22"/>
      <c r="E89" s="22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</row>
    <row r="90" spans="1:48" x14ac:dyDescent="0.15">
      <c r="A90" s="11"/>
      <c r="B90" s="34" t="s">
        <v>41</v>
      </c>
      <c r="C90" s="14" t="e">
        <f>SUM(C88/C89)</f>
        <v>#DIV/0!</v>
      </c>
      <c r="D90" s="14" t="e">
        <f t="shared" ref="D90:E90" si="22">SUM(D88/D89)</f>
        <v>#DIV/0!</v>
      </c>
      <c r="E90" s="14" t="e">
        <f t="shared" si="22"/>
        <v>#DIV/0!</v>
      </c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</row>
    <row r="91" spans="1:48" x14ac:dyDescent="0.1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</row>
    <row r="92" spans="1:48" x14ac:dyDescent="0.15">
      <c r="A92" s="11"/>
      <c r="B92" s="30"/>
      <c r="C92" s="31" t="s">
        <v>147</v>
      </c>
      <c r="D92" s="2" t="s">
        <v>148</v>
      </c>
      <c r="E92" s="2" t="s">
        <v>149</v>
      </c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</row>
    <row r="93" spans="1:48" x14ac:dyDescent="0.15">
      <c r="A93" s="11"/>
      <c r="B93" s="33" t="s">
        <v>130</v>
      </c>
      <c r="C93" s="22">
        <v>150000</v>
      </c>
      <c r="D93" s="22">
        <v>663825</v>
      </c>
      <c r="E93" s="22">
        <v>677969</v>
      </c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</row>
    <row r="94" spans="1:48" x14ac:dyDescent="0.15">
      <c r="B94" s="34" t="s">
        <v>131</v>
      </c>
      <c r="C94" s="22">
        <v>7</v>
      </c>
      <c r="D94" s="22">
        <v>7</v>
      </c>
      <c r="E94" s="22">
        <v>7</v>
      </c>
    </row>
    <row r="95" spans="1:48" x14ac:dyDescent="0.15">
      <c r="B95" s="34" t="s">
        <v>41</v>
      </c>
      <c r="C95" s="14">
        <f>SUM(C93/C94)</f>
        <v>21428.571428571428</v>
      </c>
      <c r="D95" s="14">
        <f t="shared" ref="D95:E95" si="23">SUM(D93/D94)</f>
        <v>94832.142857142855</v>
      </c>
      <c r="E95" s="14">
        <f t="shared" si="23"/>
        <v>96852.71428571429</v>
      </c>
    </row>
    <row r="97" spans="2:5" x14ac:dyDescent="0.15">
      <c r="B97" s="30"/>
      <c r="C97" s="31" t="s">
        <v>150</v>
      </c>
      <c r="D97" s="2" t="s">
        <v>151</v>
      </c>
      <c r="E97" s="2" t="s">
        <v>152</v>
      </c>
    </row>
    <row r="98" spans="2:5" x14ac:dyDescent="0.15">
      <c r="B98" s="33" t="s">
        <v>130</v>
      </c>
      <c r="C98" s="22">
        <v>297000</v>
      </c>
      <c r="D98" s="22">
        <v>623730</v>
      </c>
      <c r="E98" s="22">
        <v>394195</v>
      </c>
    </row>
    <row r="99" spans="2:5" x14ac:dyDescent="0.15">
      <c r="B99" s="34" t="s">
        <v>131</v>
      </c>
      <c r="C99" s="22">
        <v>5</v>
      </c>
      <c r="D99" s="22">
        <v>5</v>
      </c>
      <c r="E99" s="22">
        <v>5</v>
      </c>
    </row>
    <row r="100" spans="2:5" x14ac:dyDescent="0.15">
      <c r="B100" s="34" t="s">
        <v>41</v>
      </c>
      <c r="C100" s="14">
        <f>SUM(C98/C99)</f>
        <v>59400</v>
      </c>
      <c r="D100" s="14">
        <f t="shared" ref="D100:E100" si="24">SUM(D98/D99)</f>
        <v>124746</v>
      </c>
      <c r="E100" s="14">
        <f t="shared" si="24"/>
        <v>78839</v>
      </c>
    </row>
    <row r="102" spans="2:5" x14ac:dyDescent="0.15">
      <c r="B102" s="30"/>
      <c r="C102" s="31" t="s">
        <v>153</v>
      </c>
      <c r="D102" s="2" t="s">
        <v>154</v>
      </c>
      <c r="E102" s="2" t="s">
        <v>155</v>
      </c>
    </row>
    <row r="103" spans="2:5" x14ac:dyDescent="0.15">
      <c r="B103" s="33" t="s">
        <v>130</v>
      </c>
      <c r="C103" s="22">
        <v>170000</v>
      </c>
      <c r="D103" s="22">
        <v>613136</v>
      </c>
      <c r="E103" s="22">
        <v>579804</v>
      </c>
    </row>
    <row r="104" spans="2:5" x14ac:dyDescent="0.15">
      <c r="B104" s="34" t="s">
        <v>131</v>
      </c>
      <c r="C104" s="22">
        <v>6</v>
      </c>
      <c r="D104" s="22">
        <v>6</v>
      </c>
      <c r="E104" s="22">
        <v>6</v>
      </c>
    </row>
    <row r="105" spans="2:5" x14ac:dyDescent="0.15">
      <c r="B105" s="34" t="s">
        <v>41</v>
      </c>
      <c r="C105" s="14">
        <f>SUM(C103/C104)</f>
        <v>28333.333333333332</v>
      </c>
      <c r="D105" s="14">
        <f t="shared" ref="D105:E105" si="25">SUM(D103/D104)</f>
        <v>102189.33333333333</v>
      </c>
      <c r="E105" s="14">
        <f t="shared" si="25"/>
        <v>96634</v>
      </c>
    </row>
    <row r="107" spans="2:5" x14ac:dyDescent="0.15">
      <c r="B107" s="11" t="s">
        <v>156</v>
      </c>
      <c r="C107" s="8">
        <v>32</v>
      </c>
    </row>
  </sheetData>
  <mergeCells count="26">
    <mergeCell ref="A61:B61"/>
    <mergeCell ref="A62:B62"/>
    <mergeCell ref="A63:B63"/>
    <mergeCell ref="A64:B64"/>
    <mergeCell ref="A65:B65"/>
    <mergeCell ref="A54:A60"/>
    <mergeCell ref="A9:B9"/>
    <mergeCell ref="A10:B10"/>
    <mergeCell ref="A11:B11"/>
    <mergeCell ref="A13:B13"/>
    <mergeCell ref="A15:B15"/>
    <mergeCell ref="A17:A23"/>
    <mergeCell ref="A24:A29"/>
    <mergeCell ref="A30:A35"/>
    <mergeCell ref="A36:A42"/>
    <mergeCell ref="A43:A47"/>
    <mergeCell ref="A48:A53"/>
    <mergeCell ref="A14:B14"/>
    <mergeCell ref="A16:B16"/>
    <mergeCell ref="A12:B12"/>
    <mergeCell ref="A8:B8"/>
    <mergeCell ref="A3:B3"/>
    <mergeCell ref="A4:B4"/>
    <mergeCell ref="A5:B5"/>
    <mergeCell ref="A6:B6"/>
    <mergeCell ref="A7:B7"/>
  </mergeCells>
  <phoneticPr fontId="3"/>
  <pageMargins left="0.6692913385826772" right="0.19685039370078741" top="0.31496062992125984" bottom="0.35433070866141736" header="0.19685039370078741" footer="0.19685039370078741"/>
  <pageSetup paperSize="12" scale="90" orientation="landscape" r:id="rId1"/>
  <headerFooter alignWithMargins="0"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>
              <from>
                <xdr:col>0</xdr:col>
                <xdr:colOff>19050</xdr:colOff>
                <xdr:row>2</xdr:row>
                <xdr:rowOff>28575</xdr:rowOff>
              </from>
              <to>
                <xdr:col>1</xdr:col>
                <xdr:colOff>485775</xdr:colOff>
                <xdr:row>6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BDEEF-9668-456F-853B-47F4740D72F5}">
  <sheetPr codeName="Sheet2"/>
  <dimension ref="A1:M107"/>
  <sheetViews>
    <sheetView topLeftCell="A3" workbookViewId="0">
      <selection activeCell="K63" sqref="K63:K64"/>
    </sheetView>
  </sheetViews>
  <sheetFormatPr defaultRowHeight="13.5" x14ac:dyDescent="0.15"/>
  <cols>
    <col min="1" max="1" width="2.875" style="1" bestFit="1" customWidth="1"/>
    <col min="2" max="2" width="17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10" width="12.5" style="1" bestFit="1" customWidth="1"/>
    <col min="11" max="11" width="13.25" style="1" bestFit="1" customWidth="1"/>
    <col min="12" max="12" width="10.375" style="1" bestFit="1" customWidth="1"/>
    <col min="13" max="13" width="11" style="1" bestFit="1" customWidth="1"/>
    <col min="14" max="218" width="9" style="1"/>
    <col min="219" max="219" width="2.875" style="1" bestFit="1" customWidth="1"/>
    <col min="220" max="220" width="17.625" style="1" bestFit="1" customWidth="1"/>
    <col min="221" max="221" width="11.375" style="1" bestFit="1" customWidth="1"/>
    <col min="222" max="223" width="14.125" style="1" bestFit="1" customWidth="1"/>
    <col min="224" max="224" width="11.375" style="1" bestFit="1" customWidth="1"/>
    <col min="225" max="228" width="12.5" style="1" bestFit="1" customWidth="1"/>
    <col min="229" max="247" width="13" style="1" bestFit="1" customWidth="1"/>
    <col min="248" max="251" width="11" style="1" bestFit="1" customWidth="1"/>
    <col min="252" max="254" width="12.25" style="1" bestFit="1" customWidth="1"/>
    <col min="255" max="266" width="11" style="1" bestFit="1" customWidth="1"/>
    <col min="267" max="267" width="13.25" style="1" bestFit="1" customWidth="1"/>
    <col min="268" max="268" width="10.375" style="1" bestFit="1" customWidth="1"/>
    <col min="269" max="269" width="11" style="1" bestFit="1" customWidth="1"/>
    <col min="270" max="474" width="9" style="1"/>
    <col min="475" max="475" width="2.875" style="1" bestFit="1" customWidth="1"/>
    <col min="476" max="476" width="17.625" style="1" bestFit="1" customWidth="1"/>
    <col min="477" max="477" width="11.375" style="1" bestFit="1" customWidth="1"/>
    <col min="478" max="479" width="14.125" style="1" bestFit="1" customWidth="1"/>
    <col min="480" max="480" width="11.375" style="1" bestFit="1" customWidth="1"/>
    <col min="481" max="484" width="12.5" style="1" bestFit="1" customWidth="1"/>
    <col min="485" max="503" width="13" style="1" bestFit="1" customWidth="1"/>
    <col min="504" max="507" width="11" style="1" bestFit="1" customWidth="1"/>
    <col min="508" max="510" width="12.25" style="1" bestFit="1" customWidth="1"/>
    <col min="511" max="522" width="11" style="1" bestFit="1" customWidth="1"/>
    <col min="523" max="523" width="13.25" style="1" bestFit="1" customWidth="1"/>
    <col min="524" max="524" width="10.375" style="1" bestFit="1" customWidth="1"/>
    <col min="525" max="525" width="11" style="1" bestFit="1" customWidth="1"/>
    <col min="526" max="730" width="9" style="1"/>
    <col min="731" max="731" width="2.875" style="1" bestFit="1" customWidth="1"/>
    <col min="732" max="732" width="17.625" style="1" bestFit="1" customWidth="1"/>
    <col min="733" max="733" width="11.375" style="1" bestFit="1" customWidth="1"/>
    <col min="734" max="735" width="14.125" style="1" bestFit="1" customWidth="1"/>
    <col min="736" max="736" width="11.375" style="1" bestFit="1" customWidth="1"/>
    <col min="737" max="740" width="12.5" style="1" bestFit="1" customWidth="1"/>
    <col min="741" max="759" width="13" style="1" bestFit="1" customWidth="1"/>
    <col min="760" max="763" width="11" style="1" bestFit="1" customWidth="1"/>
    <col min="764" max="766" width="12.25" style="1" bestFit="1" customWidth="1"/>
    <col min="767" max="778" width="11" style="1" bestFit="1" customWidth="1"/>
    <col min="779" max="779" width="13.25" style="1" bestFit="1" customWidth="1"/>
    <col min="780" max="780" width="10.375" style="1" bestFit="1" customWidth="1"/>
    <col min="781" max="781" width="11" style="1" bestFit="1" customWidth="1"/>
    <col min="782" max="986" width="9" style="1"/>
    <col min="987" max="987" width="2.875" style="1" bestFit="1" customWidth="1"/>
    <col min="988" max="988" width="17.625" style="1" bestFit="1" customWidth="1"/>
    <col min="989" max="989" width="11.375" style="1" bestFit="1" customWidth="1"/>
    <col min="990" max="991" width="14.125" style="1" bestFit="1" customWidth="1"/>
    <col min="992" max="992" width="11.375" style="1" bestFit="1" customWidth="1"/>
    <col min="993" max="996" width="12.5" style="1" bestFit="1" customWidth="1"/>
    <col min="997" max="1015" width="13" style="1" bestFit="1" customWidth="1"/>
    <col min="1016" max="1019" width="11" style="1" bestFit="1" customWidth="1"/>
    <col min="1020" max="1022" width="12.25" style="1" bestFit="1" customWidth="1"/>
    <col min="1023" max="1034" width="11" style="1" bestFit="1" customWidth="1"/>
    <col min="1035" max="1035" width="13.25" style="1" bestFit="1" customWidth="1"/>
    <col min="1036" max="1036" width="10.375" style="1" bestFit="1" customWidth="1"/>
    <col min="1037" max="1037" width="11" style="1" bestFit="1" customWidth="1"/>
    <col min="1038" max="1242" width="9" style="1"/>
    <col min="1243" max="1243" width="2.875" style="1" bestFit="1" customWidth="1"/>
    <col min="1244" max="1244" width="17.625" style="1" bestFit="1" customWidth="1"/>
    <col min="1245" max="1245" width="11.375" style="1" bestFit="1" customWidth="1"/>
    <col min="1246" max="1247" width="14.125" style="1" bestFit="1" customWidth="1"/>
    <col min="1248" max="1248" width="11.375" style="1" bestFit="1" customWidth="1"/>
    <col min="1249" max="1252" width="12.5" style="1" bestFit="1" customWidth="1"/>
    <col min="1253" max="1271" width="13" style="1" bestFit="1" customWidth="1"/>
    <col min="1272" max="1275" width="11" style="1" bestFit="1" customWidth="1"/>
    <col min="1276" max="1278" width="12.25" style="1" bestFit="1" customWidth="1"/>
    <col min="1279" max="1290" width="11" style="1" bestFit="1" customWidth="1"/>
    <col min="1291" max="1291" width="13.25" style="1" bestFit="1" customWidth="1"/>
    <col min="1292" max="1292" width="10.375" style="1" bestFit="1" customWidth="1"/>
    <col min="1293" max="1293" width="11" style="1" bestFit="1" customWidth="1"/>
    <col min="1294" max="1498" width="9" style="1"/>
    <col min="1499" max="1499" width="2.875" style="1" bestFit="1" customWidth="1"/>
    <col min="1500" max="1500" width="17.625" style="1" bestFit="1" customWidth="1"/>
    <col min="1501" max="1501" width="11.375" style="1" bestFit="1" customWidth="1"/>
    <col min="1502" max="1503" width="14.125" style="1" bestFit="1" customWidth="1"/>
    <col min="1504" max="1504" width="11.375" style="1" bestFit="1" customWidth="1"/>
    <col min="1505" max="1508" width="12.5" style="1" bestFit="1" customWidth="1"/>
    <col min="1509" max="1527" width="13" style="1" bestFit="1" customWidth="1"/>
    <col min="1528" max="1531" width="11" style="1" bestFit="1" customWidth="1"/>
    <col min="1532" max="1534" width="12.25" style="1" bestFit="1" customWidth="1"/>
    <col min="1535" max="1546" width="11" style="1" bestFit="1" customWidth="1"/>
    <col min="1547" max="1547" width="13.25" style="1" bestFit="1" customWidth="1"/>
    <col min="1548" max="1548" width="10.375" style="1" bestFit="1" customWidth="1"/>
    <col min="1549" max="1549" width="11" style="1" bestFit="1" customWidth="1"/>
    <col min="1550" max="1754" width="9" style="1"/>
    <col min="1755" max="1755" width="2.875" style="1" bestFit="1" customWidth="1"/>
    <col min="1756" max="1756" width="17.625" style="1" bestFit="1" customWidth="1"/>
    <col min="1757" max="1757" width="11.375" style="1" bestFit="1" customWidth="1"/>
    <col min="1758" max="1759" width="14.125" style="1" bestFit="1" customWidth="1"/>
    <col min="1760" max="1760" width="11.375" style="1" bestFit="1" customWidth="1"/>
    <col min="1761" max="1764" width="12.5" style="1" bestFit="1" customWidth="1"/>
    <col min="1765" max="1783" width="13" style="1" bestFit="1" customWidth="1"/>
    <col min="1784" max="1787" width="11" style="1" bestFit="1" customWidth="1"/>
    <col min="1788" max="1790" width="12.25" style="1" bestFit="1" customWidth="1"/>
    <col min="1791" max="1802" width="11" style="1" bestFit="1" customWidth="1"/>
    <col min="1803" max="1803" width="13.25" style="1" bestFit="1" customWidth="1"/>
    <col min="1804" max="1804" width="10.375" style="1" bestFit="1" customWidth="1"/>
    <col min="1805" max="1805" width="11" style="1" bestFit="1" customWidth="1"/>
    <col min="1806" max="2010" width="9" style="1"/>
    <col min="2011" max="2011" width="2.875" style="1" bestFit="1" customWidth="1"/>
    <col min="2012" max="2012" width="17.625" style="1" bestFit="1" customWidth="1"/>
    <col min="2013" max="2013" width="11.375" style="1" bestFit="1" customWidth="1"/>
    <col min="2014" max="2015" width="14.125" style="1" bestFit="1" customWidth="1"/>
    <col min="2016" max="2016" width="11.375" style="1" bestFit="1" customWidth="1"/>
    <col min="2017" max="2020" width="12.5" style="1" bestFit="1" customWidth="1"/>
    <col min="2021" max="2039" width="13" style="1" bestFit="1" customWidth="1"/>
    <col min="2040" max="2043" width="11" style="1" bestFit="1" customWidth="1"/>
    <col min="2044" max="2046" width="12.25" style="1" bestFit="1" customWidth="1"/>
    <col min="2047" max="2058" width="11" style="1" bestFit="1" customWidth="1"/>
    <col min="2059" max="2059" width="13.25" style="1" bestFit="1" customWidth="1"/>
    <col min="2060" max="2060" width="10.375" style="1" bestFit="1" customWidth="1"/>
    <col min="2061" max="2061" width="11" style="1" bestFit="1" customWidth="1"/>
    <col min="2062" max="2266" width="9" style="1"/>
    <col min="2267" max="2267" width="2.875" style="1" bestFit="1" customWidth="1"/>
    <col min="2268" max="2268" width="17.625" style="1" bestFit="1" customWidth="1"/>
    <col min="2269" max="2269" width="11.375" style="1" bestFit="1" customWidth="1"/>
    <col min="2270" max="2271" width="14.125" style="1" bestFit="1" customWidth="1"/>
    <col min="2272" max="2272" width="11.375" style="1" bestFit="1" customWidth="1"/>
    <col min="2273" max="2276" width="12.5" style="1" bestFit="1" customWidth="1"/>
    <col min="2277" max="2295" width="13" style="1" bestFit="1" customWidth="1"/>
    <col min="2296" max="2299" width="11" style="1" bestFit="1" customWidth="1"/>
    <col min="2300" max="2302" width="12.25" style="1" bestFit="1" customWidth="1"/>
    <col min="2303" max="2314" width="11" style="1" bestFit="1" customWidth="1"/>
    <col min="2315" max="2315" width="13.25" style="1" bestFit="1" customWidth="1"/>
    <col min="2316" max="2316" width="10.375" style="1" bestFit="1" customWidth="1"/>
    <col min="2317" max="2317" width="11" style="1" bestFit="1" customWidth="1"/>
    <col min="2318" max="2522" width="9" style="1"/>
    <col min="2523" max="2523" width="2.875" style="1" bestFit="1" customWidth="1"/>
    <col min="2524" max="2524" width="17.625" style="1" bestFit="1" customWidth="1"/>
    <col min="2525" max="2525" width="11.375" style="1" bestFit="1" customWidth="1"/>
    <col min="2526" max="2527" width="14.125" style="1" bestFit="1" customWidth="1"/>
    <col min="2528" max="2528" width="11.375" style="1" bestFit="1" customWidth="1"/>
    <col min="2529" max="2532" width="12.5" style="1" bestFit="1" customWidth="1"/>
    <col min="2533" max="2551" width="13" style="1" bestFit="1" customWidth="1"/>
    <col min="2552" max="2555" width="11" style="1" bestFit="1" customWidth="1"/>
    <col min="2556" max="2558" width="12.25" style="1" bestFit="1" customWidth="1"/>
    <col min="2559" max="2570" width="11" style="1" bestFit="1" customWidth="1"/>
    <col min="2571" max="2571" width="13.25" style="1" bestFit="1" customWidth="1"/>
    <col min="2572" max="2572" width="10.375" style="1" bestFit="1" customWidth="1"/>
    <col min="2573" max="2573" width="11" style="1" bestFit="1" customWidth="1"/>
    <col min="2574" max="2778" width="9" style="1"/>
    <col min="2779" max="2779" width="2.875" style="1" bestFit="1" customWidth="1"/>
    <col min="2780" max="2780" width="17.625" style="1" bestFit="1" customWidth="1"/>
    <col min="2781" max="2781" width="11.375" style="1" bestFit="1" customWidth="1"/>
    <col min="2782" max="2783" width="14.125" style="1" bestFit="1" customWidth="1"/>
    <col min="2784" max="2784" width="11.375" style="1" bestFit="1" customWidth="1"/>
    <col min="2785" max="2788" width="12.5" style="1" bestFit="1" customWidth="1"/>
    <col min="2789" max="2807" width="13" style="1" bestFit="1" customWidth="1"/>
    <col min="2808" max="2811" width="11" style="1" bestFit="1" customWidth="1"/>
    <col min="2812" max="2814" width="12.25" style="1" bestFit="1" customWidth="1"/>
    <col min="2815" max="2826" width="11" style="1" bestFit="1" customWidth="1"/>
    <col min="2827" max="2827" width="13.25" style="1" bestFit="1" customWidth="1"/>
    <col min="2828" max="2828" width="10.375" style="1" bestFit="1" customWidth="1"/>
    <col min="2829" max="2829" width="11" style="1" bestFit="1" customWidth="1"/>
    <col min="2830" max="3034" width="9" style="1"/>
    <col min="3035" max="3035" width="2.875" style="1" bestFit="1" customWidth="1"/>
    <col min="3036" max="3036" width="17.625" style="1" bestFit="1" customWidth="1"/>
    <col min="3037" max="3037" width="11.375" style="1" bestFit="1" customWidth="1"/>
    <col min="3038" max="3039" width="14.125" style="1" bestFit="1" customWidth="1"/>
    <col min="3040" max="3040" width="11.375" style="1" bestFit="1" customWidth="1"/>
    <col min="3041" max="3044" width="12.5" style="1" bestFit="1" customWidth="1"/>
    <col min="3045" max="3063" width="13" style="1" bestFit="1" customWidth="1"/>
    <col min="3064" max="3067" width="11" style="1" bestFit="1" customWidth="1"/>
    <col min="3068" max="3070" width="12.25" style="1" bestFit="1" customWidth="1"/>
    <col min="3071" max="3082" width="11" style="1" bestFit="1" customWidth="1"/>
    <col min="3083" max="3083" width="13.25" style="1" bestFit="1" customWidth="1"/>
    <col min="3084" max="3084" width="10.375" style="1" bestFit="1" customWidth="1"/>
    <col min="3085" max="3085" width="11" style="1" bestFit="1" customWidth="1"/>
    <col min="3086" max="3290" width="9" style="1"/>
    <col min="3291" max="3291" width="2.875" style="1" bestFit="1" customWidth="1"/>
    <col min="3292" max="3292" width="17.625" style="1" bestFit="1" customWidth="1"/>
    <col min="3293" max="3293" width="11.375" style="1" bestFit="1" customWidth="1"/>
    <col min="3294" max="3295" width="14.125" style="1" bestFit="1" customWidth="1"/>
    <col min="3296" max="3296" width="11.375" style="1" bestFit="1" customWidth="1"/>
    <col min="3297" max="3300" width="12.5" style="1" bestFit="1" customWidth="1"/>
    <col min="3301" max="3319" width="13" style="1" bestFit="1" customWidth="1"/>
    <col min="3320" max="3323" width="11" style="1" bestFit="1" customWidth="1"/>
    <col min="3324" max="3326" width="12.25" style="1" bestFit="1" customWidth="1"/>
    <col min="3327" max="3338" width="11" style="1" bestFit="1" customWidth="1"/>
    <col min="3339" max="3339" width="13.25" style="1" bestFit="1" customWidth="1"/>
    <col min="3340" max="3340" width="10.375" style="1" bestFit="1" customWidth="1"/>
    <col min="3341" max="3341" width="11" style="1" bestFit="1" customWidth="1"/>
    <col min="3342" max="3546" width="9" style="1"/>
    <col min="3547" max="3547" width="2.875" style="1" bestFit="1" customWidth="1"/>
    <col min="3548" max="3548" width="17.625" style="1" bestFit="1" customWidth="1"/>
    <col min="3549" max="3549" width="11.375" style="1" bestFit="1" customWidth="1"/>
    <col min="3550" max="3551" width="14.125" style="1" bestFit="1" customWidth="1"/>
    <col min="3552" max="3552" width="11.375" style="1" bestFit="1" customWidth="1"/>
    <col min="3553" max="3556" width="12.5" style="1" bestFit="1" customWidth="1"/>
    <col min="3557" max="3575" width="13" style="1" bestFit="1" customWidth="1"/>
    <col min="3576" max="3579" width="11" style="1" bestFit="1" customWidth="1"/>
    <col min="3580" max="3582" width="12.25" style="1" bestFit="1" customWidth="1"/>
    <col min="3583" max="3594" width="11" style="1" bestFit="1" customWidth="1"/>
    <col min="3595" max="3595" width="13.25" style="1" bestFit="1" customWidth="1"/>
    <col min="3596" max="3596" width="10.375" style="1" bestFit="1" customWidth="1"/>
    <col min="3597" max="3597" width="11" style="1" bestFit="1" customWidth="1"/>
    <col min="3598" max="3802" width="9" style="1"/>
    <col min="3803" max="3803" width="2.875" style="1" bestFit="1" customWidth="1"/>
    <col min="3804" max="3804" width="17.625" style="1" bestFit="1" customWidth="1"/>
    <col min="3805" max="3805" width="11.375" style="1" bestFit="1" customWidth="1"/>
    <col min="3806" max="3807" width="14.125" style="1" bestFit="1" customWidth="1"/>
    <col min="3808" max="3808" width="11.375" style="1" bestFit="1" customWidth="1"/>
    <col min="3809" max="3812" width="12.5" style="1" bestFit="1" customWidth="1"/>
    <col min="3813" max="3831" width="13" style="1" bestFit="1" customWidth="1"/>
    <col min="3832" max="3835" width="11" style="1" bestFit="1" customWidth="1"/>
    <col min="3836" max="3838" width="12.25" style="1" bestFit="1" customWidth="1"/>
    <col min="3839" max="3850" width="11" style="1" bestFit="1" customWidth="1"/>
    <col min="3851" max="3851" width="13.25" style="1" bestFit="1" customWidth="1"/>
    <col min="3852" max="3852" width="10.375" style="1" bestFit="1" customWidth="1"/>
    <col min="3853" max="3853" width="11" style="1" bestFit="1" customWidth="1"/>
    <col min="3854" max="4058" width="9" style="1"/>
    <col min="4059" max="4059" width="2.875" style="1" bestFit="1" customWidth="1"/>
    <col min="4060" max="4060" width="17.625" style="1" bestFit="1" customWidth="1"/>
    <col min="4061" max="4061" width="11.375" style="1" bestFit="1" customWidth="1"/>
    <col min="4062" max="4063" width="14.125" style="1" bestFit="1" customWidth="1"/>
    <col min="4064" max="4064" width="11.375" style="1" bestFit="1" customWidth="1"/>
    <col min="4065" max="4068" width="12.5" style="1" bestFit="1" customWidth="1"/>
    <col min="4069" max="4087" width="13" style="1" bestFit="1" customWidth="1"/>
    <col min="4088" max="4091" width="11" style="1" bestFit="1" customWidth="1"/>
    <col min="4092" max="4094" width="12.25" style="1" bestFit="1" customWidth="1"/>
    <col min="4095" max="4106" width="11" style="1" bestFit="1" customWidth="1"/>
    <col min="4107" max="4107" width="13.25" style="1" bestFit="1" customWidth="1"/>
    <col min="4108" max="4108" width="10.375" style="1" bestFit="1" customWidth="1"/>
    <col min="4109" max="4109" width="11" style="1" bestFit="1" customWidth="1"/>
    <col min="4110" max="4314" width="9" style="1"/>
    <col min="4315" max="4315" width="2.875" style="1" bestFit="1" customWidth="1"/>
    <col min="4316" max="4316" width="17.625" style="1" bestFit="1" customWidth="1"/>
    <col min="4317" max="4317" width="11.375" style="1" bestFit="1" customWidth="1"/>
    <col min="4318" max="4319" width="14.125" style="1" bestFit="1" customWidth="1"/>
    <col min="4320" max="4320" width="11.375" style="1" bestFit="1" customWidth="1"/>
    <col min="4321" max="4324" width="12.5" style="1" bestFit="1" customWidth="1"/>
    <col min="4325" max="4343" width="13" style="1" bestFit="1" customWidth="1"/>
    <col min="4344" max="4347" width="11" style="1" bestFit="1" customWidth="1"/>
    <col min="4348" max="4350" width="12.25" style="1" bestFit="1" customWidth="1"/>
    <col min="4351" max="4362" width="11" style="1" bestFit="1" customWidth="1"/>
    <col min="4363" max="4363" width="13.25" style="1" bestFit="1" customWidth="1"/>
    <col min="4364" max="4364" width="10.375" style="1" bestFit="1" customWidth="1"/>
    <col min="4365" max="4365" width="11" style="1" bestFit="1" customWidth="1"/>
    <col min="4366" max="4570" width="9" style="1"/>
    <col min="4571" max="4571" width="2.875" style="1" bestFit="1" customWidth="1"/>
    <col min="4572" max="4572" width="17.625" style="1" bestFit="1" customWidth="1"/>
    <col min="4573" max="4573" width="11.375" style="1" bestFit="1" customWidth="1"/>
    <col min="4574" max="4575" width="14.125" style="1" bestFit="1" customWidth="1"/>
    <col min="4576" max="4576" width="11.375" style="1" bestFit="1" customWidth="1"/>
    <col min="4577" max="4580" width="12.5" style="1" bestFit="1" customWidth="1"/>
    <col min="4581" max="4599" width="13" style="1" bestFit="1" customWidth="1"/>
    <col min="4600" max="4603" width="11" style="1" bestFit="1" customWidth="1"/>
    <col min="4604" max="4606" width="12.25" style="1" bestFit="1" customWidth="1"/>
    <col min="4607" max="4618" width="11" style="1" bestFit="1" customWidth="1"/>
    <col min="4619" max="4619" width="13.25" style="1" bestFit="1" customWidth="1"/>
    <col min="4620" max="4620" width="10.375" style="1" bestFit="1" customWidth="1"/>
    <col min="4621" max="4621" width="11" style="1" bestFit="1" customWidth="1"/>
    <col min="4622" max="4826" width="9" style="1"/>
    <col min="4827" max="4827" width="2.875" style="1" bestFit="1" customWidth="1"/>
    <col min="4828" max="4828" width="17.625" style="1" bestFit="1" customWidth="1"/>
    <col min="4829" max="4829" width="11.375" style="1" bestFit="1" customWidth="1"/>
    <col min="4830" max="4831" width="14.125" style="1" bestFit="1" customWidth="1"/>
    <col min="4832" max="4832" width="11.375" style="1" bestFit="1" customWidth="1"/>
    <col min="4833" max="4836" width="12.5" style="1" bestFit="1" customWidth="1"/>
    <col min="4837" max="4855" width="13" style="1" bestFit="1" customWidth="1"/>
    <col min="4856" max="4859" width="11" style="1" bestFit="1" customWidth="1"/>
    <col min="4860" max="4862" width="12.25" style="1" bestFit="1" customWidth="1"/>
    <col min="4863" max="4874" width="11" style="1" bestFit="1" customWidth="1"/>
    <col min="4875" max="4875" width="13.25" style="1" bestFit="1" customWidth="1"/>
    <col min="4876" max="4876" width="10.375" style="1" bestFit="1" customWidth="1"/>
    <col min="4877" max="4877" width="11" style="1" bestFit="1" customWidth="1"/>
    <col min="4878" max="5082" width="9" style="1"/>
    <col min="5083" max="5083" width="2.875" style="1" bestFit="1" customWidth="1"/>
    <col min="5084" max="5084" width="17.625" style="1" bestFit="1" customWidth="1"/>
    <col min="5085" max="5085" width="11.375" style="1" bestFit="1" customWidth="1"/>
    <col min="5086" max="5087" width="14.125" style="1" bestFit="1" customWidth="1"/>
    <col min="5088" max="5088" width="11.375" style="1" bestFit="1" customWidth="1"/>
    <col min="5089" max="5092" width="12.5" style="1" bestFit="1" customWidth="1"/>
    <col min="5093" max="5111" width="13" style="1" bestFit="1" customWidth="1"/>
    <col min="5112" max="5115" width="11" style="1" bestFit="1" customWidth="1"/>
    <col min="5116" max="5118" width="12.25" style="1" bestFit="1" customWidth="1"/>
    <col min="5119" max="5130" width="11" style="1" bestFit="1" customWidth="1"/>
    <col min="5131" max="5131" width="13.25" style="1" bestFit="1" customWidth="1"/>
    <col min="5132" max="5132" width="10.375" style="1" bestFit="1" customWidth="1"/>
    <col min="5133" max="5133" width="11" style="1" bestFit="1" customWidth="1"/>
    <col min="5134" max="5338" width="9" style="1"/>
    <col min="5339" max="5339" width="2.875" style="1" bestFit="1" customWidth="1"/>
    <col min="5340" max="5340" width="17.625" style="1" bestFit="1" customWidth="1"/>
    <col min="5341" max="5341" width="11.375" style="1" bestFit="1" customWidth="1"/>
    <col min="5342" max="5343" width="14.125" style="1" bestFit="1" customWidth="1"/>
    <col min="5344" max="5344" width="11.375" style="1" bestFit="1" customWidth="1"/>
    <col min="5345" max="5348" width="12.5" style="1" bestFit="1" customWidth="1"/>
    <col min="5349" max="5367" width="13" style="1" bestFit="1" customWidth="1"/>
    <col min="5368" max="5371" width="11" style="1" bestFit="1" customWidth="1"/>
    <col min="5372" max="5374" width="12.25" style="1" bestFit="1" customWidth="1"/>
    <col min="5375" max="5386" width="11" style="1" bestFit="1" customWidth="1"/>
    <col min="5387" max="5387" width="13.25" style="1" bestFit="1" customWidth="1"/>
    <col min="5388" max="5388" width="10.375" style="1" bestFit="1" customWidth="1"/>
    <col min="5389" max="5389" width="11" style="1" bestFit="1" customWidth="1"/>
    <col min="5390" max="5594" width="9" style="1"/>
    <col min="5595" max="5595" width="2.875" style="1" bestFit="1" customWidth="1"/>
    <col min="5596" max="5596" width="17.625" style="1" bestFit="1" customWidth="1"/>
    <col min="5597" max="5597" width="11.375" style="1" bestFit="1" customWidth="1"/>
    <col min="5598" max="5599" width="14.125" style="1" bestFit="1" customWidth="1"/>
    <col min="5600" max="5600" width="11.375" style="1" bestFit="1" customWidth="1"/>
    <col min="5601" max="5604" width="12.5" style="1" bestFit="1" customWidth="1"/>
    <col min="5605" max="5623" width="13" style="1" bestFit="1" customWidth="1"/>
    <col min="5624" max="5627" width="11" style="1" bestFit="1" customWidth="1"/>
    <col min="5628" max="5630" width="12.25" style="1" bestFit="1" customWidth="1"/>
    <col min="5631" max="5642" width="11" style="1" bestFit="1" customWidth="1"/>
    <col min="5643" max="5643" width="13.25" style="1" bestFit="1" customWidth="1"/>
    <col min="5644" max="5644" width="10.375" style="1" bestFit="1" customWidth="1"/>
    <col min="5645" max="5645" width="11" style="1" bestFit="1" customWidth="1"/>
    <col min="5646" max="5850" width="9" style="1"/>
    <col min="5851" max="5851" width="2.875" style="1" bestFit="1" customWidth="1"/>
    <col min="5852" max="5852" width="17.625" style="1" bestFit="1" customWidth="1"/>
    <col min="5853" max="5853" width="11.375" style="1" bestFit="1" customWidth="1"/>
    <col min="5854" max="5855" width="14.125" style="1" bestFit="1" customWidth="1"/>
    <col min="5856" max="5856" width="11.375" style="1" bestFit="1" customWidth="1"/>
    <col min="5857" max="5860" width="12.5" style="1" bestFit="1" customWidth="1"/>
    <col min="5861" max="5879" width="13" style="1" bestFit="1" customWidth="1"/>
    <col min="5880" max="5883" width="11" style="1" bestFit="1" customWidth="1"/>
    <col min="5884" max="5886" width="12.25" style="1" bestFit="1" customWidth="1"/>
    <col min="5887" max="5898" width="11" style="1" bestFit="1" customWidth="1"/>
    <col min="5899" max="5899" width="13.25" style="1" bestFit="1" customWidth="1"/>
    <col min="5900" max="5900" width="10.375" style="1" bestFit="1" customWidth="1"/>
    <col min="5901" max="5901" width="11" style="1" bestFit="1" customWidth="1"/>
    <col min="5902" max="6106" width="9" style="1"/>
    <col min="6107" max="6107" width="2.875" style="1" bestFit="1" customWidth="1"/>
    <col min="6108" max="6108" width="17.625" style="1" bestFit="1" customWidth="1"/>
    <col min="6109" max="6109" width="11.375" style="1" bestFit="1" customWidth="1"/>
    <col min="6110" max="6111" width="14.125" style="1" bestFit="1" customWidth="1"/>
    <col min="6112" max="6112" width="11.375" style="1" bestFit="1" customWidth="1"/>
    <col min="6113" max="6116" width="12.5" style="1" bestFit="1" customWidth="1"/>
    <col min="6117" max="6135" width="13" style="1" bestFit="1" customWidth="1"/>
    <col min="6136" max="6139" width="11" style="1" bestFit="1" customWidth="1"/>
    <col min="6140" max="6142" width="12.25" style="1" bestFit="1" customWidth="1"/>
    <col min="6143" max="6154" width="11" style="1" bestFit="1" customWidth="1"/>
    <col min="6155" max="6155" width="13.25" style="1" bestFit="1" customWidth="1"/>
    <col min="6156" max="6156" width="10.375" style="1" bestFit="1" customWidth="1"/>
    <col min="6157" max="6157" width="11" style="1" bestFit="1" customWidth="1"/>
    <col min="6158" max="6362" width="9" style="1"/>
    <col min="6363" max="6363" width="2.875" style="1" bestFit="1" customWidth="1"/>
    <col min="6364" max="6364" width="17.625" style="1" bestFit="1" customWidth="1"/>
    <col min="6365" max="6365" width="11.375" style="1" bestFit="1" customWidth="1"/>
    <col min="6366" max="6367" width="14.125" style="1" bestFit="1" customWidth="1"/>
    <col min="6368" max="6368" width="11.375" style="1" bestFit="1" customWidth="1"/>
    <col min="6369" max="6372" width="12.5" style="1" bestFit="1" customWidth="1"/>
    <col min="6373" max="6391" width="13" style="1" bestFit="1" customWidth="1"/>
    <col min="6392" max="6395" width="11" style="1" bestFit="1" customWidth="1"/>
    <col min="6396" max="6398" width="12.25" style="1" bestFit="1" customWidth="1"/>
    <col min="6399" max="6410" width="11" style="1" bestFit="1" customWidth="1"/>
    <col min="6411" max="6411" width="13.25" style="1" bestFit="1" customWidth="1"/>
    <col min="6412" max="6412" width="10.375" style="1" bestFit="1" customWidth="1"/>
    <col min="6413" max="6413" width="11" style="1" bestFit="1" customWidth="1"/>
    <col min="6414" max="6618" width="9" style="1"/>
    <col min="6619" max="6619" width="2.875" style="1" bestFit="1" customWidth="1"/>
    <col min="6620" max="6620" width="17.625" style="1" bestFit="1" customWidth="1"/>
    <col min="6621" max="6621" width="11.375" style="1" bestFit="1" customWidth="1"/>
    <col min="6622" max="6623" width="14.125" style="1" bestFit="1" customWidth="1"/>
    <col min="6624" max="6624" width="11.375" style="1" bestFit="1" customWidth="1"/>
    <col min="6625" max="6628" width="12.5" style="1" bestFit="1" customWidth="1"/>
    <col min="6629" max="6647" width="13" style="1" bestFit="1" customWidth="1"/>
    <col min="6648" max="6651" width="11" style="1" bestFit="1" customWidth="1"/>
    <col min="6652" max="6654" width="12.25" style="1" bestFit="1" customWidth="1"/>
    <col min="6655" max="6666" width="11" style="1" bestFit="1" customWidth="1"/>
    <col min="6667" max="6667" width="13.25" style="1" bestFit="1" customWidth="1"/>
    <col min="6668" max="6668" width="10.375" style="1" bestFit="1" customWidth="1"/>
    <col min="6669" max="6669" width="11" style="1" bestFit="1" customWidth="1"/>
    <col min="6670" max="6874" width="9" style="1"/>
    <col min="6875" max="6875" width="2.875" style="1" bestFit="1" customWidth="1"/>
    <col min="6876" max="6876" width="17.625" style="1" bestFit="1" customWidth="1"/>
    <col min="6877" max="6877" width="11.375" style="1" bestFit="1" customWidth="1"/>
    <col min="6878" max="6879" width="14.125" style="1" bestFit="1" customWidth="1"/>
    <col min="6880" max="6880" width="11.375" style="1" bestFit="1" customWidth="1"/>
    <col min="6881" max="6884" width="12.5" style="1" bestFit="1" customWidth="1"/>
    <col min="6885" max="6903" width="13" style="1" bestFit="1" customWidth="1"/>
    <col min="6904" max="6907" width="11" style="1" bestFit="1" customWidth="1"/>
    <col min="6908" max="6910" width="12.25" style="1" bestFit="1" customWidth="1"/>
    <col min="6911" max="6922" width="11" style="1" bestFit="1" customWidth="1"/>
    <col min="6923" max="6923" width="13.25" style="1" bestFit="1" customWidth="1"/>
    <col min="6924" max="6924" width="10.375" style="1" bestFit="1" customWidth="1"/>
    <col min="6925" max="6925" width="11" style="1" bestFit="1" customWidth="1"/>
    <col min="6926" max="7130" width="9" style="1"/>
    <col min="7131" max="7131" width="2.875" style="1" bestFit="1" customWidth="1"/>
    <col min="7132" max="7132" width="17.625" style="1" bestFit="1" customWidth="1"/>
    <col min="7133" max="7133" width="11.375" style="1" bestFit="1" customWidth="1"/>
    <col min="7134" max="7135" width="14.125" style="1" bestFit="1" customWidth="1"/>
    <col min="7136" max="7136" width="11.375" style="1" bestFit="1" customWidth="1"/>
    <col min="7137" max="7140" width="12.5" style="1" bestFit="1" customWidth="1"/>
    <col min="7141" max="7159" width="13" style="1" bestFit="1" customWidth="1"/>
    <col min="7160" max="7163" width="11" style="1" bestFit="1" customWidth="1"/>
    <col min="7164" max="7166" width="12.25" style="1" bestFit="1" customWidth="1"/>
    <col min="7167" max="7178" width="11" style="1" bestFit="1" customWidth="1"/>
    <col min="7179" max="7179" width="13.25" style="1" bestFit="1" customWidth="1"/>
    <col min="7180" max="7180" width="10.375" style="1" bestFit="1" customWidth="1"/>
    <col min="7181" max="7181" width="11" style="1" bestFit="1" customWidth="1"/>
    <col min="7182" max="7386" width="9" style="1"/>
    <col min="7387" max="7387" width="2.875" style="1" bestFit="1" customWidth="1"/>
    <col min="7388" max="7388" width="17.625" style="1" bestFit="1" customWidth="1"/>
    <col min="7389" max="7389" width="11.375" style="1" bestFit="1" customWidth="1"/>
    <col min="7390" max="7391" width="14.125" style="1" bestFit="1" customWidth="1"/>
    <col min="7392" max="7392" width="11.375" style="1" bestFit="1" customWidth="1"/>
    <col min="7393" max="7396" width="12.5" style="1" bestFit="1" customWidth="1"/>
    <col min="7397" max="7415" width="13" style="1" bestFit="1" customWidth="1"/>
    <col min="7416" max="7419" width="11" style="1" bestFit="1" customWidth="1"/>
    <col min="7420" max="7422" width="12.25" style="1" bestFit="1" customWidth="1"/>
    <col min="7423" max="7434" width="11" style="1" bestFit="1" customWidth="1"/>
    <col min="7435" max="7435" width="13.25" style="1" bestFit="1" customWidth="1"/>
    <col min="7436" max="7436" width="10.375" style="1" bestFit="1" customWidth="1"/>
    <col min="7437" max="7437" width="11" style="1" bestFit="1" customWidth="1"/>
    <col min="7438" max="7642" width="9" style="1"/>
    <col min="7643" max="7643" width="2.875" style="1" bestFit="1" customWidth="1"/>
    <col min="7644" max="7644" width="17.625" style="1" bestFit="1" customWidth="1"/>
    <col min="7645" max="7645" width="11.375" style="1" bestFit="1" customWidth="1"/>
    <col min="7646" max="7647" width="14.125" style="1" bestFit="1" customWidth="1"/>
    <col min="7648" max="7648" width="11.375" style="1" bestFit="1" customWidth="1"/>
    <col min="7649" max="7652" width="12.5" style="1" bestFit="1" customWidth="1"/>
    <col min="7653" max="7671" width="13" style="1" bestFit="1" customWidth="1"/>
    <col min="7672" max="7675" width="11" style="1" bestFit="1" customWidth="1"/>
    <col min="7676" max="7678" width="12.25" style="1" bestFit="1" customWidth="1"/>
    <col min="7679" max="7690" width="11" style="1" bestFit="1" customWidth="1"/>
    <col min="7691" max="7691" width="13.25" style="1" bestFit="1" customWidth="1"/>
    <col min="7692" max="7692" width="10.375" style="1" bestFit="1" customWidth="1"/>
    <col min="7693" max="7693" width="11" style="1" bestFit="1" customWidth="1"/>
    <col min="7694" max="7898" width="9" style="1"/>
    <col min="7899" max="7899" width="2.875" style="1" bestFit="1" customWidth="1"/>
    <col min="7900" max="7900" width="17.625" style="1" bestFit="1" customWidth="1"/>
    <col min="7901" max="7901" width="11.375" style="1" bestFit="1" customWidth="1"/>
    <col min="7902" max="7903" width="14.125" style="1" bestFit="1" customWidth="1"/>
    <col min="7904" max="7904" width="11.375" style="1" bestFit="1" customWidth="1"/>
    <col min="7905" max="7908" width="12.5" style="1" bestFit="1" customWidth="1"/>
    <col min="7909" max="7927" width="13" style="1" bestFit="1" customWidth="1"/>
    <col min="7928" max="7931" width="11" style="1" bestFit="1" customWidth="1"/>
    <col min="7932" max="7934" width="12.25" style="1" bestFit="1" customWidth="1"/>
    <col min="7935" max="7946" width="11" style="1" bestFit="1" customWidth="1"/>
    <col min="7947" max="7947" width="13.25" style="1" bestFit="1" customWidth="1"/>
    <col min="7948" max="7948" width="10.375" style="1" bestFit="1" customWidth="1"/>
    <col min="7949" max="7949" width="11" style="1" bestFit="1" customWidth="1"/>
    <col min="7950" max="8154" width="9" style="1"/>
    <col min="8155" max="8155" width="2.875" style="1" bestFit="1" customWidth="1"/>
    <col min="8156" max="8156" width="17.625" style="1" bestFit="1" customWidth="1"/>
    <col min="8157" max="8157" width="11.375" style="1" bestFit="1" customWidth="1"/>
    <col min="8158" max="8159" width="14.125" style="1" bestFit="1" customWidth="1"/>
    <col min="8160" max="8160" width="11.375" style="1" bestFit="1" customWidth="1"/>
    <col min="8161" max="8164" width="12.5" style="1" bestFit="1" customWidth="1"/>
    <col min="8165" max="8183" width="13" style="1" bestFit="1" customWidth="1"/>
    <col min="8184" max="8187" width="11" style="1" bestFit="1" customWidth="1"/>
    <col min="8188" max="8190" width="12.25" style="1" bestFit="1" customWidth="1"/>
    <col min="8191" max="8202" width="11" style="1" bestFit="1" customWidth="1"/>
    <col min="8203" max="8203" width="13.25" style="1" bestFit="1" customWidth="1"/>
    <col min="8204" max="8204" width="10.375" style="1" bestFit="1" customWidth="1"/>
    <col min="8205" max="8205" width="11" style="1" bestFit="1" customWidth="1"/>
    <col min="8206" max="8410" width="9" style="1"/>
    <col min="8411" max="8411" width="2.875" style="1" bestFit="1" customWidth="1"/>
    <col min="8412" max="8412" width="17.625" style="1" bestFit="1" customWidth="1"/>
    <col min="8413" max="8413" width="11.375" style="1" bestFit="1" customWidth="1"/>
    <col min="8414" max="8415" width="14.125" style="1" bestFit="1" customWidth="1"/>
    <col min="8416" max="8416" width="11.375" style="1" bestFit="1" customWidth="1"/>
    <col min="8417" max="8420" width="12.5" style="1" bestFit="1" customWidth="1"/>
    <col min="8421" max="8439" width="13" style="1" bestFit="1" customWidth="1"/>
    <col min="8440" max="8443" width="11" style="1" bestFit="1" customWidth="1"/>
    <col min="8444" max="8446" width="12.25" style="1" bestFit="1" customWidth="1"/>
    <col min="8447" max="8458" width="11" style="1" bestFit="1" customWidth="1"/>
    <col min="8459" max="8459" width="13.25" style="1" bestFit="1" customWidth="1"/>
    <col min="8460" max="8460" width="10.375" style="1" bestFit="1" customWidth="1"/>
    <col min="8461" max="8461" width="11" style="1" bestFit="1" customWidth="1"/>
    <col min="8462" max="8666" width="9" style="1"/>
    <col min="8667" max="8667" width="2.875" style="1" bestFit="1" customWidth="1"/>
    <col min="8668" max="8668" width="17.625" style="1" bestFit="1" customWidth="1"/>
    <col min="8669" max="8669" width="11.375" style="1" bestFit="1" customWidth="1"/>
    <col min="8670" max="8671" width="14.125" style="1" bestFit="1" customWidth="1"/>
    <col min="8672" max="8672" width="11.375" style="1" bestFit="1" customWidth="1"/>
    <col min="8673" max="8676" width="12.5" style="1" bestFit="1" customWidth="1"/>
    <col min="8677" max="8695" width="13" style="1" bestFit="1" customWidth="1"/>
    <col min="8696" max="8699" width="11" style="1" bestFit="1" customWidth="1"/>
    <col min="8700" max="8702" width="12.25" style="1" bestFit="1" customWidth="1"/>
    <col min="8703" max="8714" width="11" style="1" bestFit="1" customWidth="1"/>
    <col min="8715" max="8715" width="13.25" style="1" bestFit="1" customWidth="1"/>
    <col min="8716" max="8716" width="10.375" style="1" bestFit="1" customWidth="1"/>
    <col min="8717" max="8717" width="11" style="1" bestFit="1" customWidth="1"/>
    <col min="8718" max="8922" width="9" style="1"/>
    <col min="8923" max="8923" width="2.875" style="1" bestFit="1" customWidth="1"/>
    <col min="8924" max="8924" width="17.625" style="1" bestFit="1" customWidth="1"/>
    <col min="8925" max="8925" width="11.375" style="1" bestFit="1" customWidth="1"/>
    <col min="8926" max="8927" width="14.125" style="1" bestFit="1" customWidth="1"/>
    <col min="8928" max="8928" width="11.375" style="1" bestFit="1" customWidth="1"/>
    <col min="8929" max="8932" width="12.5" style="1" bestFit="1" customWidth="1"/>
    <col min="8933" max="8951" width="13" style="1" bestFit="1" customWidth="1"/>
    <col min="8952" max="8955" width="11" style="1" bestFit="1" customWidth="1"/>
    <col min="8956" max="8958" width="12.25" style="1" bestFit="1" customWidth="1"/>
    <col min="8959" max="8970" width="11" style="1" bestFit="1" customWidth="1"/>
    <col min="8971" max="8971" width="13.25" style="1" bestFit="1" customWidth="1"/>
    <col min="8972" max="8972" width="10.375" style="1" bestFit="1" customWidth="1"/>
    <col min="8973" max="8973" width="11" style="1" bestFit="1" customWidth="1"/>
    <col min="8974" max="9178" width="9" style="1"/>
    <col min="9179" max="9179" width="2.875" style="1" bestFit="1" customWidth="1"/>
    <col min="9180" max="9180" width="17.625" style="1" bestFit="1" customWidth="1"/>
    <col min="9181" max="9181" width="11.375" style="1" bestFit="1" customWidth="1"/>
    <col min="9182" max="9183" width="14.125" style="1" bestFit="1" customWidth="1"/>
    <col min="9184" max="9184" width="11.375" style="1" bestFit="1" customWidth="1"/>
    <col min="9185" max="9188" width="12.5" style="1" bestFit="1" customWidth="1"/>
    <col min="9189" max="9207" width="13" style="1" bestFit="1" customWidth="1"/>
    <col min="9208" max="9211" width="11" style="1" bestFit="1" customWidth="1"/>
    <col min="9212" max="9214" width="12.25" style="1" bestFit="1" customWidth="1"/>
    <col min="9215" max="9226" width="11" style="1" bestFit="1" customWidth="1"/>
    <col min="9227" max="9227" width="13.25" style="1" bestFit="1" customWidth="1"/>
    <col min="9228" max="9228" width="10.375" style="1" bestFit="1" customWidth="1"/>
    <col min="9229" max="9229" width="11" style="1" bestFit="1" customWidth="1"/>
    <col min="9230" max="9434" width="9" style="1"/>
    <col min="9435" max="9435" width="2.875" style="1" bestFit="1" customWidth="1"/>
    <col min="9436" max="9436" width="17.625" style="1" bestFit="1" customWidth="1"/>
    <col min="9437" max="9437" width="11.375" style="1" bestFit="1" customWidth="1"/>
    <col min="9438" max="9439" width="14.125" style="1" bestFit="1" customWidth="1"/>
    <col min="9440" max="9440" width="11.375" style="1" bestFit="1" customWidth="1"/>
    <col min="9441" max="9444" width="12.5" style="1" bestFit="1" customWidth="1"/>
    <col min="9445" max="9463" width="13" style="1" bestFit="1" customWidth="1"/>
    <col min="9464" max="9467" width="11" style="1" bestFit="1" customWidth="1"/>
    <col min="9468" max="9470" width="12.25" style="1" bestFit="1" customWidth="1"/>
    <col min="9471" max="9482" width="11" style="1" bestFit="1" customWidth="1"/>
    <col min="9483" max="9483" width="13.25" style="1" bestFit="1" customWidth="1"/>
    <col min="9484" max="9484" width="10.375" style="1" bestFit="1" customWidth="1"/>
    <col min="9485" max="9485" width="11" style="1" bestFit="1" customWidth="1"/>
    <col min="9486" max="9690" width="9" style="1"/>
    <col min="9691" max="9691" width="2.875" style="1" bestFit="1" customWidth="1"/>
    <col min="9692" max="9692" width="17.625" style="1" bestFit="1" customWidth="1"/>
    <col min="9693" max="9693" width="11.375" style="1" bestFit="1" customWidth="1"/>
    <col min="9694" max="9695" width="14.125" style="1" bestFit="1" customWidth="1"/>
    <col min="9696" max="9696" width="11.375" style="1" bestFit="1" customWidth="1"/>
    <col min="9697" max="9700" width="12.5" style="1" bestFit="1" customWidth="1"/>
    <col min="9701" max="9719" width="13" style="1" bestFit="1" customWidth="1"/>
    <col min="9720" max="9723" width="11" style="1" bestFit="1" customWidth="1"/>
    <col min="9724" max="9726" width="12.25" style="1" bestFit="1" customWidth="1"/>
    <col min="9727" max="9738" width="11" style="1" bestFit="1" customWidth="1"/>
    <col min="9739" max="9739" width="13.25" style="1" bestFit="1" customWidth="1"/>
    <col min="9740" max="9740" width="10.375" style="1" bestFit="1" customWidth="1"/>
    <col min="9741" max="9741" width="11" style="1" bestFit="1" customWidth="1"/>
    <col min="9742" max="9946" width="9" style="1"/>
    <col min="9947" max="9947" width="2.875" style="1" bestFit="1" customWidth="1"/>
    <col min="9948" max="9948" width="17.625" style="1" bestFit="1" customWidth="1"/>
    <col min="9949" max="9949" width="11.375" style="1" bestFit="1" customWidth="1"/>
    <col min="9950" max="9951" width="14.125" style="1" bestFit="1" customWidth="1"/>
    <col min="9952" max="9952" width="11.375" style="1" bestFit="1" customWidth="1"/>
    <col min="9953" max="9956" width="12.5" style="1" bestFit="1" customWidth="1"/>
    <col min="9957" max="9975" width="13" style="1" bestFit="1" customWidth="1"/>
    <col min="9976" max="9979" width="11" style="1" bestFit="1" customWidth="1"/>
    <col min="9980" max="9982" width="12.25" style="1" bestFit="1" customWidth="1"/>
    <col min="9983" max="9994" width="11" style="1" bestFit="1" customWidth="1"/>
    <col min="9995" max="9995" width="13.25" style="1" bestFit="1" customWidth="1"/>
    <col min="9996" max="9996" width="10.375" style="1" bestFit="1" customWidth="1"/>
    <col min="9997" max="9997" width="11" style="1" bestFit="1" customWidth="1"/>
    <col min="9998" max="10202" width="9" style="1"/>
    <col min="10203" max="10203" width="2.875" style="1" bestFit="1" customWidth="1"/>
    <col min="10204" max="10204" width="17.625" style="1" bestFit="1" customWidth="1"/>
    <col min="10205" max="10205" width="11.375" style="1" bestFit="1" customWidth="1"/>
    <col min="10206" max="10207" width="14.125" style="1" bestFit="1" customWidth="1"/>
    <col min="10208" max="10208" width="11.375" style="1" bestFit="1" customWidth="1"/>
    <col min="10209" max="10212" width="12.5" style="1" bestFit="1" customWidth="1"/>
    <col min="10213" max="10231" width="13" style="1" bestFit="1" customWidth="1"/>
    <col min="10232" max="10235" width="11" style="1" bestFit="1" customWidth="1"/>
    <col min="10236" max="10238" width="12.25" style="1" bestFit="1" customWidth="1"/>
    <col min="10239" max="10250" width="11" style="1" bestFit="1" customWidth="1"/>
    <col min="10251" max="10251" width="13.25" style="1" bestFit="1" customWidth="1"/>
    <col min="10252" max="10252" width="10.375" style="1" bestFit="1" customWidth="1"/>
    <col min="10253" max="10253" width="11" style="1" bestFit="1" customWidth="1"/>
    <col min="10254" max="10458" width="9" style="1"/>
    <col min="10459" max="10459" width="2.875" style="1" bestFit="1" customWidth="1"/>
    <col min="10460" max="10460" width="17.625" style="1" bestFit="1" customWidth="1"/>
    <col min="10461" max="10461" width="11.375" style="1" bestFit="1" customWidth="1"/>
    <col min="10462" max="10463" width="14.125" style="1" bestFit="1" customWidth="1"/>
    <col min="10464" max="10464" width="11.375" style="1" bestFit="1" customWidth="1"/>
    <col min="10465" max="10468" width="12.5" style="1" bestFit="1" customWidth="1"/>
    <col min="10469" max="10487" width="13" style="1" bestFit="1" customWidth="1"/>
    <col min="10488" max="10491" width="11" style="1" bestFit="1" customWidth="1"/>
    <col min="10492" max="10494" width="12.25" style="1" bestFit="1" customWidth="1"/>
    <col min="10495" max="10506" width="11" style="1" bestFit="1" customWidth="1"/>
    <col min="10507" max="10507" width="13.25" style="1" bestFit="1" customWidth="1"/>
    <col min="10508" max="10508" width="10.375" style="1" bestFit="1" customWidth="1"/>
    <col min="10509" max="10509" width="11" style="1" bestFit="1" customWidth="1"/>
    <col min="10510" max="10714" width="9" style="1"/>
    <col min="10715" max="10715" width="2.875" style="1" bestFit="1" customWidth="1"/>
    <col min="10716" max="10716" width="17.625" style="1" bestFit="1" customWidth="1"/>
    <col min="10717" max="10717" width="11.375" style="1" bestFit="1" customWidth="1"/>
    <col min="10718" max="10719" width="14.125" style="1" bestFit="1" customWidth="1"/>
    <col min="10720" max="10720" width="11.375" style="1" bestFit="1" customWidth="1"/>
    <col min="10721" max="10724" width="12.5" style="1" bestFit="1" customWidth="1"/>
    <col min="10725" max="10743" width="13" style="1" bestFit="1" customWidth="1"/>
    <col min="10744" max="10747" width="11" style="1" bestFit="1" customWidth="1"/>
    <col min="10748" max="10750" width="12.25" style="1" bestFit="1" customWidth="1"/>
    <col min="10751" max="10762" width="11" style="1" bestFit="1" customWidth="1"/>
    <col min="10763" max="10763" width="13.25" style="1" bestFit="1" customWidth="1"/>
    <col min="10764" max="10764" width="10.375" style="1" bestFit="1" customWidth="1"/>
    <col min="10765" max="10765" width="11" style="1" bestFit="1" customWidth="1"/>
    <col min="10766" max="10970" width="9" style="1"/>
    <col min="10971" max="10971" width="2.875" style="1" bestFit="1" customWidth="1"/>
    <col min="10972" max="10972" width="17.625" style="1" bestFit="1" customWidth="1"/>
    <col min="10973" max="10973" width="11.375" style="1" bestFit="1" customWidth="1"/>
    <col min="10974" max="10975" width="14.125" style="1" bestFit="1" customWidth="1"/>
    <col min="10976" max="10976" width="11.375" style="1" bestFit="1" customWidth="1"/>
    <col min="10977" max="10980" width="12.5" style="1" bestFit="1" customWidth="1"/>
    <col min="10981" max="10999" width="13" style="1" bestFit="1" customWidth="1"/>
    <col min="11000" max="11003" width="11" style="1" bestFit="1" customWidth="1"/>
    <col min="11004" max="11006" width="12.25" style="1" bestFit="1" customWidth="1"/>
    <col min="11007" max="11018" width="11" style="1" bestFit="1" customWidth="1"/>
    <col min="11019" max="11019" width="13.25" style="1" bestFit="1" customWidth="1"/>
    <col min="11020" max="11020" width="10.375" style="1" bestFit="1" customWidth="1"/>
    <col min="11021" max="11021" width="11" style="1" bestFit="1" customWidth="1"/>
    <col min="11022" max="11226" width="9" style="1"/>
    <col min="11227" max="11227" width="2.875" style="1" bestFit="1" customWidth="1"/>
    <col min="11228" max="11228" width="17.625" style="1" bestFit="1" customWidth="1"/>
    <col min="11229" max="11229" width="11.375" style="1" bestFit="1" customWidth="1"/>
    <col min="11230" max="11231" width="14.125" style="1" bestFit="1" customWidth="1"/>
    <col min="11232" max="11232" width="11.375" style="1" bestFit="1" customWidth="1"/>
    <col min="11233" max="11236" width="12.5" style="1" bestFit="1" customWidth="1"/>
    <col min="11237" max="11255" width="13" style="1" bestFit="1" customWidth="1"/>
    <col min="11256" max="11259" width="11" style="1" bestFit="1" customWidth="1"/>
    <col min="11260" max="11262" width="12.25" style="1" bestFit="1" customWidth="1"/>
    <col min="11263" max="11274" width="11" style="1" bestFit="1" customWidth="1"/>
    <col min="11275" max="11275" width="13.25" style="1" bestFit="1" customWidth="1"/>
    <col min="11276" max="11276" width="10.375" style="1" bestFit="1" customWidth="1"/>
    <col min="11277" max="11277" width="11" style="1" bestFit="1" customWidth="1"/>
    <col min="11278" max="11482" width="9" style="1"/>
    <col min="11483" max="11483" width="2.875" style="1" bestFit="1" customWidth="1"/>
    <col min="11484" max="11484" width="17.625" style="1" bestFit="1" customWidth="1"/>
    <col min="11485" max="11485" width="11.375" style="1" bestFit="1" customWidth="1"/>
    <col min="11486" max="11487" width="14.125" style="1" bestFit="1" customWidth="1"/>
    <col min="11488" max="11488" width="11.375" style="1" bestFit="1" customWidth="1"/>
    <col min="11489" max="11492" width="12.5" style="1" bestFit="1" customWidth="1"/>
    <col min="11493" max="11511" width="13" style="1" bestFit="1" customWidth="1"/>
    <col min="11512" max="11515" width="11" style="1" bestFit="1" customWidth="1"/>
    <col min="11516" max="11518" width="12.25" style="1" bestFit="1" customWidth="1"/>
    <col min="11519" max="11530" width="11" style="1" bestFit="1" customWidth="1"/>
    <col min="11531" max="11531" width="13.25" style="1" bestFit="1" customWidth="1"/>
    <col min="11532" max="11532" width="10.375" style="1" bestFit="1" customWidth="1"/>
    <col min="11533" max="11533" width="11" style="1" bestFit="1" customWidth="1"/>
    <col min="11534" max="11738" width="9" style="1"/>
    <col min="11739" max="11739" width="2.875" style="1" bestFit="1" customWidth="1"/>
    <col min="11740" max="11740" width="17.625" style="1" bestFit="1" customWidth="1"/>
    <col min="11741" max="11741" width="11.375" style="1" bestFit="1" customWidth="1"/>
    <col min="11742" max="11743" width="14.125" style="1" bestFit="1" customWidth="1"/>
    <col min="11744" max="11744" width="11.375" style="1" bestFit="1" customWidth="1"/>
    <col min="11745" max="11748" width="12.5" style="1" bestFit="1" customWidth="1"/>
    <col min="11749" max="11767" width="13" style="1" bestFit="1" customWidth="1"/>
    <col min="11768" max="11771" width="11" style="1" bestFit="1" customWidth="1"/>
    <col min="11772" max="11774" width="12.25" style="1" bestFit="1" customWidth="1"/>
    <col min="11775" max="11786" width="11" style="1" bestFit="1" customWidth="1"/>
    <col min="11787" max="11787" width="13.25" style="1" bestFit="1" customWidth="1"/>
    <col min="11788" max="11788" width="10.375" style="1" bestFit="1" customWidth="1"/>
    <col min="11789" max="11789" width="11" style="1" bestFit="1" customWidth="1"/>
    <col min="11790" max="11994" width="9" style="1"/>
    <col min="11995" max="11995" width="2.875" style="1" bestFit="1" customWidth="1"/>
    <col min="11996" max="11996" width="17.625" style="1" bestFit="1" customWidth="1"/>
    <col min="11997" max="11997" width="11.375" style="1" bestFit="1" customWidth="1"/>
    <col min="11998" max="11999" width="14.125" style="1" bestFit="1" customWidth="1"/>
    <col min="12000" max="12000" width="11.375" style="1" bestFit="1" customWidth="1"/>
    <col min="12001" max="12004" width="12.5" style="1" bestFit="1" customWidth="1"/>
    <col min="12005" max="12023" width="13" style="1" bestFit="1" customWidth="1"/>
    <col min="12024" max="12027" width="11" style="1" bestFit="1" customWidth="1"/>
    <col min="12028" max="12030" width="12.25" style="1" bestFit="1" customWidth="1"/>
    <col min="12031" max="12042" width="11" style="1" bestFit="1" customWidth="1"/>
    <col min="12043" max="12043" width="13.25" style="1" bestFit="1" customWidth="1"/>
    <col min="12044" max="12044" width="10.375" style="1" bestFit="1" customWidth="1"/>
    <col min="12045" max="12045" width="11" style="1" bestFit="1" customWidth="1"/>
    <col min="12046" max="12250" width="9" style="1"/>
    <col min="12251" max="12251" width="2.875" style="1" bestFit="1" customWidth="1"/>
    <col min="12252" max="12252" width="17.625" style="1" bestFit="1" customWidth="1"/>
    <col min="12253" max="12253" width="11.375" style="1" bestFit="1" customWidth="1"/>
    <col min="12254" max="12255" width="14.125" style="1" bestFit="1" customWidth="1"/>
    <col min="12256" max="12256" width="11.375" style="1" bestFit="1" customWidth="1"/>
    <col min="12257" max="12260" width="12.5" style="1" bestFit="1" customWidth="1"/>
    <col min="12261" max="12279" width="13" style="1" bestFit="1" customWidth="1"/>
    <col min="12280" max="12283" width="11" style="1" bestFit="1" customWidth="1"/>
    <col min="12284" max="12286" width="12.25" style="1" bestFit="1" customWidth="1"/>
    <col min="12287" max="12298" width="11" style="1" bestFit="1" customWidth="1"/>
    <col min="12299" max="12299" width="13.25" style="1" bestFit="1" customWidth="1"/>
    <col min="12300" max="12300" width="10.375" style="1" bestFit="1" customWidth="1"/>
    <col min="12301" max="12301" width="11" style="1" bestFit="1" customWidth="1"/>
    <col min="12302" max="12506" width="9" style="1"/>
    <col min="12507" max="12507" width="2.875" style="1" bestFit="1" customWidth="1"/>
    <col min="12508" max="12508" width="17.625" style="1" bestFit="1" customWidth="1"/>
    <col min="12509" max="12509" width="11.375" style="1" bestFit="1" customWidth="1"/>
    <col min="12510" max="12511" width="14.125" style="1" bestFit="1" customWidth="1"/>
    <col min="12512" max="12512" width="11.375" style="1" bestFit="1" customWidth="1"/>
    <col min="12513" max="12516" width="12.5" style="1" bestFit="1" customWidth="1"/>
    <col min="12517" max="12535" width="13" style="1" bestFit="1" customWidth="1"/>
    <col min="12536" max="12539" width="11" style="1" bestFit="1" customWidth="1"/>
    <col min="12540" max="12542" width="12.25" style="1" bestFit="1" customWidth="1"/>
    <col min="12543" max="12554" width="11" style="1" bestFit="1" customWidth="1"/>
    <col min="12555" max="12555" width="13.25" style="1" bestFit="1" customWidth="1"/>
    <col min="12556" max="12556" width="10.375" style="1" bestFit="1" customWidth="1"/>
    <col min="12557" max="12557" width="11" style="1" bestFit="1" customWidth="1"/>
    <col min="12558" max="12762" width="9" style="1"/>
    <col min="12763" max="12763" width="2.875" style="1" bestFit="1" customWidth="1"/>
    <col min="12764" max="12764" width="17.625" style="1" bestFit="1" customWidth="1"/>
    <col min="12765" max="12765" width="11.375" style="1" bestFit="1" customWidth="1"/>
    <col min="12766" max="12767" width="14.125" style="1" bestFit="1" customWidth="1"/>
    <col min="12768" max="12768" width="11.375" style="1" bestFit="1" customWidth="1"/>
    <col min="12769" max="12772" width="12.5" style="1" bestFit="1" customWidth="1"/>
    <col min="12773" max="12791" width="13" style="1" bestFit="1" customWidth="1"/>
    <col min="12792" max="12795" width="11" style="1" bestFit="1" customWidth="1"/>
    <col min="12796" max="12798" width="12.25" style="1" bestFit="1" customWidth="1"/>
    <col min="12799" max="12810" width="11" style="1" bestFit="1" customWidth="1"/>
    <col min="12811" max="12811" width="13.25" style="1" bestFit="1" customWidth="1"/>
    <col min="12812" max="12812" width="10.375" style="1" bestFit="1" customWidth="1"/>
    <col min="12813" max="12813" width="11" style="1" bestFit="1" customWidth="1"/>
    <col min="12814" max="13018" width="9" style="1"/>
    <col min="13019" max="13019" width="2.875" style="1" bestFit="1" customWidth="1"/>
    <col min="13020" max="13020" width="17.625" style="1" bestFit="1" customWidth="1"/>
    <col min="13021" max="13021" width="11.375" style="1" bestFit="1" customWidth="1"/>
    <col min="13022" max="13023" width="14.125" style="1" bestFit="1" customWidth="1"/>
    <col min="13024" max="13024" width="11.375" style="1" bestFit="1" customWidth="1"/>
    <col min="13025" max="13028" width="12.5" style="1" bestFit="1" customWidth="1"/>
    <col min="13029" max="13047" width="13" style="1" bestFit="1" customWidth="1"/>
    <col min="13048" max="13051" width="11" style="1" bestFit="1" customWidth="1"/>
    <col min="13052" max="13054" width="12.25" style="1" bestFit="1" customWidth="1"/>
    <col min="13055" max="13066" width="11" style="1" bestFit="1" customWidth="1"/>
    <col min="13067" max="13067" width="13.25" style="1" bestFit="1" customWidth="1"/>
    <col min="13068" max="13068" width="10.375" style="1" bestFit="1" customWidth="1"/>
    <col min="13069" max="13069" width="11" style="1" bestFit="1" customWidth="1"/>
    <col min="13070" max="13274" width="9" style="1"/>
    <col min="13275" max="13275" width="2.875" style="1" bestFit="1" customWidth="1"/>
    <col min="13276" max="13276" width="17.625" style="1" bestFit="1" customWidth="1"/>
    <col min="13277" max="13277" width="11.375" style="1" bestFit="1" customWidth="1"/>
    <col min="13278" max="13279" width="14.125" style="1" bestFit="1" customWidth="1"/>
    <col min="13280" max="13280" width="11.375" style="1" bestFit="1" customWidth="1"/>
    <col min="13281" max="13284" width="12.5" style="1" bestFit="1" customWidth="1"/>
    <col min="13285" max="13303" width="13" style="1" bestFit="1" customWidth="1"/>
    <col min="13304" max="13307" width="11" style="1" bestFit="1" customWidth="1"/>
    <col min="13308" max="13310" width="12.25" style="1" bestFit="1" customWidth="1"/>
    <col min="13311" max="13322" width="11" style="1" bestFit="1" customWidth="1"/>
    <col min="13323" max="13323" width="13.25" style="1" bestFit="1" customWidth="1"/>
    <col min="13324" max="13324" width="10.375" style="1" bestFit="1" customWidth="1"/>
    <col min="13325" max="13325" width="11" style="1" bestFit="1" customWidth="1"/>
    <col min="13326" max="13530" width="9" style="1"/>
    <col min="13531" max="13531" width="2.875" style="1" bestFit="1" customWidth="1"/>
    <col min="13532" max="13532" width="17.625" style="1" bestFit="1" customWidth="1"/>
    <col min="13533" max="13533" width="11.375" style="1" bestFit="1" customWidth="1"/>
    <col min="13534" max="13535" width="14.125" style="1" bestFit="1" customWidth="1"/>
    <col min="13536" max="13536" width="11.375" style="1" bestFit="1" customWidth="1"/>
    <col min="13537" max="13540" width="12.5" style="1" bestFit="1" customWidth="1"/>
    <col min="13541" max="13559" width="13" style="1" bestFit="1" customWidth="1"/>
    <col min="13560" max="13563" width="11" style="1" bestFit="1" customWidth="1"/>
    <col min="13564" max="13566" width="12.25" style="1" bestFit="1" customWidth="1"/>
    <col min="13567" max="13578" width="11" style="1" bestFit="1" customWidth="1"/>
    <col min="13579" max="13579" width="13.25" style="1" bestFit="1" customWidth="1"/>
    <col min="13580" max="13580" width="10.375" style="1" bestFit="1" customWidth="1"/>
    <col min="13581" max="13581" width="11" style="1" bestFit="1" customWidth="1"/>
    <col min="13582" max="13786" width="9" style="1"/>
    <col min="13787" max="13787" width="2.875" style="1" bestFit="1" customWidth="1"/>
    <col min="13788" max="13788" width="17.625" style="1" bestFit="1" customWidth="1"/>
    <col min="13789" max="13789" width="11.375" style="1" bestFit="1" customWidth="1"/>
    <col min="13790" max="13791" width="14.125" style="1" bestFit="1" customWidth="1"/>
    <col min="13792" max="13792" width="11.375" style="1" bestFit="1" customWidth="1"/>
    <col min="13793" max="13796" width="12.5" style="1" bestFit="1" customWidth="1"/>
    <col min="13797" max="13815" width="13" style="1" bestFit="1" customWidth="1"/>
    <col min="13816" max="13819" width="11" style="1" bestFit="1" customWidth="1"/>
    <col min="13820" max="13822" width="12.25" style="1" bestFit="1" customWidth="1"/>
    <col min="13823" max="13834" width="11" style="1" bestFit="1" customWidth="1"/>
    <col min="13835" max="13835" width="13.25" style="1" bestFit="1" customWidth="1"/>
    <col min="13836" max="13836" width="10.375" style="1" bestFit="1" customWidth="1"/>
    <col min="13837" max="13837" width="11" style="1" bestFit="1" customWidth="1"/>
    <col min="13838" max="14042" width="9" style="1"/>
    <col min="14043" max="14043" width="2.875" style="1" bestFit="1" customWidth="1"/>
    <col min="14044" max="14044" width="17.625" style="1" bestFit="1" customWidth="1"/>
    <col min="14045" max="14045" width="11.375" style="1" bestFit="1" customWidth="1"/>
    <col min="14046" max="14047" width="14.125" style="1" bestFit="1" customWidth="1"/>
    <col min="14048" max="14048" width="11.375" style="1" bestFit="1" customWidth="1"/>
    <col min="14049" max="14052" width="12.5" style="1" bestFit="1" customWidth="1"/>
    <col min="14053" max="14071" width="13" style="1" bestFit="1" customWidth="1"/>
    <col min="14072" max="14075" width="11" style="1" bestFit="1" customWidth="1"/>
    <col min="14076" max="14078" width="12.25" style="1" bestFit="1" customWidth="1"/>
    <col min="14079" max="14090" width="11" style="1" bestFit="1" customWidth="1"/>
    <col min="14091" max="14091" width="13.25" style="1" bestFit="1" customWidth="1"/>
    <col min="14092" max="14092" width="10.375" style="1" bestFit="1" customWidth="1"/>
    <col min="14093" max="14093" width="11" style="1" bestFit="1" customWidth="1"/>
    <col min="14094" max="14298" width="9" style="1"/>
    <col min="14299" max="14299" width="2.875" style="1" bestFit="1" customWidth="1"/>
    <col min="14300" max="14300" width="17.625" style="1" bestFit="1" customWidth="1"/>
    <col min="14301" max="14301" width="11.375" style="1" bestFit="1" customWidth="1"/>
    <col min="14302" max="14303" width="14.125" style="1" bestFit="1" customWidth="1"/>
    <col min="14304" max="14304" width="11.375" style="1" bestFit="1" customWidth="1"/>
    <col min="14305" max="14308" width="12.5" style="1" bestFit="1" customWidth="1"/>
    <col min="14309" max="14327" width="13" style="1" bestFit="1" customWidth="1"/>
    <col min="14328" max="14331" width="11" style="1" bestFit="1" customWidth="1"/>
    <col min="14332" max="14334" width="12.25" style="1" bestFit="1" customWidth="1"/>
    <col min="14335" max="14346" width="11" style="1" bestFit="1" customWidth="1"/>
    <col min="14347" max="14347" width="13.25" style="1" bestFit="1" customWidth="1"/>
    <col min="14348" max="14348" width="10.375" style="1" bestFit="1" customWidth="1"/>
    <col min="14349" max="14349" width="11" style="1" bestFit="1" customWidth="1"/>
    <col min="14350" max="14554" width="9" style="1"/>
    <col min="14555" max="14555" width="2.875" style="1" bestFit="1" customWidth="1"/>
    <col min="14556" max="14556" width="17.625" style="1" bestFit="1" customWidth="1"/>
    <col min="14557" max="14557" width="11.375" style="1" bestFit="1" customWidth="1"/>
    <col min="14558" max="14559" width="14.125" style="1" bestFit="1" customWidth="1"/>
    <col min="14560" max="14560" width="11.375" style="1" bestFit="1" customWidth="1"/>
    <col min="14561" max="14564" width="12.5" style="1" bestFit="1" customWidth="1"/>
    <col min="14565" max="14583" width="13" style="1" bestFit="1" customWidth="1"/>
    <col min="14584" max="14587" width="11" style="1" bestFit="1" customWidth="1"/>
    <col min="14588" max="14590" width="12.25" style="1" bestFit="1" customWidth="1"/>
    <col min="14591" max="14602" width="11" style="1" bestFit="1" customWidth="1"/>
    <col min="14603" max="14603" width="13.25" style="1" bestFit="1" customWidth="1"/>
    <col min="14604" max="14604" width="10.375" style="1" bestFit="1" customWidth="1"/>
    <col min="14605" max="14605" width="11" style="1" bestFit="1" customWidth="1"/>
    <col min="14606" max="14810" width="9" style="1"/>
    <col min="14811" max="14811" width="2.875" style="1" bestFit="1" customWidth="1"/>
    <col min="14812" max="14812" width="17.625" style="1" bestFit="1" customWidth="1"/>
    <col min="14813" max="14813" width="11.375" style="1" bestFit="1" customWidth="1"/>
    <col min="14814" max="14815" width="14.125" style="1" bestFit="1" customWidth="1"/>
    <col min="14816" max="14816" width="11.375" style="1" bestFit="1" customWidth="1"/>
    <col min="14817" max="14820" width="12.5" style="1" bestFit="1" customWidth="1"/>
    <col min="14821" max="14839" width="13" style="1" bestFit="1" customWidth="1"/>
    <col min="14840" max="14843" width="11" style="1" bestFit="1" customWidth="1"/>
    <col min="14844" max="14846" width="12.25" style="1" bestFit="1" customWidth="1"/>
    <col min="14847" max="14858" width="11" style="1" bestFit="1" customWidth="1"/>
    <col min="14859" max="14859" width="13.25" style="1" bestFit="1" customWidth="1"/>
    <col min="14860" max="14860" width="10.375" style="1" bestFit="1" customWidth="1"/>
    <col min="14861" max="14861" width="11" style="1" bestFit="1" customWidth="1"/>
    <col min="14862" max="15066" width="9" style="1"/>
    <col min="15067" max="15067" width="2.875" style="1" bestFit="1" customWidth="1"/>
    <col min="15068" max="15068" width="17.625" style="1" bestFit="1" customWidth="1"/>
    <col min="15069" max="15069" width="11.375" style="1" bestFit="1" customWidth="1"/>
    <col min="15070" max="15071" width="14.125" style="1" bestFit="1" customWidth="1"/>
    <col min="15072" max="15072" width="11.375" style="1" bestFit="1" customWidth="1"/>
    <col min="15073" max="15076" width="12.5" style="1" bestFit="1" customWidth="1"/>
    <col min="15077" max="15095" width="13" style="1" bestFit="1" customWidth="1"/>
    <col min="15096" max="15099" width="11" style="1" bestFit="1" customWidth="1"/>
    <col min="15100" max="15102" width="12.25" style="1" bestFit="1" customWidth="1"/>
    <col min="15103" max="15114" width="11" style="1" bestFit="1" customWidth="1"/>
    <col min="15115" max="15115" width="13.25" style="1" bestFit="1" customWidth="1"/>
    <col min="15116" max="15116" width="10.375" style="1" bestFit="1" customWidth="1"/>
    <col min="15117" max="15117" width="11" style="1" bestFit="1" customWidth="1"/>
    <col min="15118" max="15322" width="9" style="1"/>
    <col min="15323" max="15323" width="2.875" style="1" bestFit="1" customWidth="1"/>
    <col min="15324" max="15324" width="17.625" style="1" bestFit="1" customWidth="1"/>
    <col min="15325" max="15325" width="11.375" style="1" bestFit="1" customWidth="1"/>
    <col min="15326" max="15327" width="14.125" style="1" bestFit="1" customWidth="1"/>
    <col min="15328" max="15328" width="11.375" style="1" bestFit="1" customWidth="1"/>
    <col min="15329" max="15332" width="12.5" style="1" bestFit="1" customWidth="1"/>
    <col min="15333" max="15351" width="13" style="1" bestFit="1" customWidth="1"/>
    <col min="15352" max="15355" width="11" style="1" bestFit="1" customWidth="1"/>
    <col min="15356" max="15358" width="12.25" style="1" bestFit="1" customWidth="1"/>
    <col min="15359" max="15370" width="11" style="1" bestFit="1" customWidth="1"/>
    <col min="15371" max="15371" width="13.25" style="1" bestFit="1" customWidth="1"/>
    <col min="15372" max="15372" width="10.375" style="1" bestFit="1" customWidth="1"/>
    <col min="15373" max="15373" width="11" style="1" bestFit="1" customWidth="1"/>
    <col min="15374" max="15578" width="9" style="1"/>
    <col min="15579" max="15579" width="2.875" style="1" bestFit="1" customWidth="1"/>
    <col min="15580" max="15580" width="17.625" style="1" bestFit="1" customWidth="1"/>
    <col min="15581" max="15581" width="11.375" style="1" bestFit="1" customWidth="1"/>
    <col min="15582" max="15583" width="14.125" style="1" bestFit="1" customWidth="1"/>
    <col min="15584" max="15584" width="11.375" style="1" bestFit="1" customWidth="1"/>
    <col min="15585" max="15588" width="12.5" style="1" bestFit="1" customWidth="1"/>
    <col min="15589" max="15607" width="13" style="1" bestFit="1" customWidth="1"/>
    <col min="15608" max="15611" width="11" style="1" bestFit="1" customWidth="1"/>
    <col min="15612" max="15614" width="12.25" style="1" bestFit="1" customWidth="1"/>
    <col min="15615" max="15626" width="11" style="1" bestFit="1" customWidth="1"/>
    <col min="15627" max="15627" width="13.25" style="1" bestFit="1" customWidth="1"/>
    <col min="15628" max="15628" width="10.375" style="1" bestFit="1" customWidth="1"/>
    <col min="15629" max="15629" width="11" style="1" bestFit="1" customWidth="1"/>
    <col min="15630" max="15834" width="9" style="1"/>
    <col min="15835" max="15835" width="2.875" style="1" bestFit="1" customWidth="1"/>
    <col min="15836" max="15836" width="17.625" style="1" bestFit="1" customWidth="1"/>
    <col min="15837" max="15837" width="11.375" style="1" bestFit="1" customWidth="1"/>
    <col min="15838" max="15839" width="14.125" style="1" bestFit="1" customWidth="1"/>
    <col min="15840" max="15840" width="11.375" style="1" bestFit="1" customWidth="1"/>
    <col min="15841" max="15844" width="12.5" style="1" bestFit="1" customWidth="1"/>
    <col min="15845" max="15863" width="13" style="1" bestFit="1" customWidth="1"/>
    <col min="15864" max="15867" width="11" style="1" bestFit="1" customWidth="1"/>
    <col min="15868" max="15870" width="12.25" style="1" bestFit="1" customWidth="1"/>
    <col min="15871" max="15882" width="11" style="1" bestFit="1" customWidth="1"/>
    <col min="15883" max="15883" width="13.25" style="1" bestFit="1" customWidth="1"/>
    <col min="15884" max="15884" width="10.375" style="1" bestFit="1" customWidth="1"/>
    <col min="15885" max="15885" width="11" style="1" bestFit="1" customWidth="1"/>
    <col min="15886" max="16090" width="9" style="1"/>
    <col min="16091" max="16091" width="2.875" style="1" bestFit="1" customWidth="1"/>
    <col min="16092" max="16092" width="17.625" style="1" bestFit="1" customWidth="1"/>
    <col min="16093" max="16093" width="11.375" style="1" bestFit="1" customWidth="1"/>
    <col min="16094" max="16095" width="14.125" style="1" bestFit="1" customWidth="1"/>
    <col min="16096" max="16096" width="11.375" style="1" bestFit="1" customWidth="1"/>
    <col min="16097" max="16100" width="12.5" style="1" bestFit="1" customWidth="1"/>
    <col min="16101" max="16119" width="13" style="1" bestFit="1" customWidth="1"/>
    <col min="16120" max="16123" width="11" style="1" bestFit="1" customWidth="1"/>
    <col min="16124" max="16126" width="12.25" style="1" bestFit="1" customWidth="1"/>
    <col min="16127" max="16138" width="11" style="1" bestFit="1" customWidth="1"/>
    <col min="16139" max="16139" width="13.25" style="1" bestFit="1" customWidth="1"/>
    <col min="16140" max="16140" width="10.375" style="1" bestFit="1" customWidth="1"/>
    <col min="16141" max="16141" width="11" style="1" bestFit="1" customWidth="1"/>
    <col min="16142" max="16384" width="9" style="1"/>
  </cols>
  <sheetData>
    <row r="1" spans="1:13" hidden="1" x14ac:dyDescent="0.15"/>
    <row r="2" spans="1:13" ht="30.75" hidden="1" customHeight="1" x14ac:dyDescent="0.15"/>
    <row r="3" spans="1:13" ht="17.25" x14ac:dyDescent="0.2">
      <c r="A3" s="37">
        <v>45474</v>
      </c>
      <c r="B3" s="37"/>
      <c r="C3" s="54" t="s">
        <v>245</v>
      </c>
    </row>
    <row r="4" spans="1:13" s="5" customFormat="1" ht="12" customHeight="1" x14ac:dyDescent="0.15">
      <c r="A4" s="38" t="s">
        <v>0</v>
      </c>
      <c r="B4" s="38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3" t="s">
        <v>41</v>
      </c>
      <c r="L4" s="3" t="s">
        <v>42</v>
      </c>
      <c r="M4" s="4" t="s">
        <v>43</v>
      </c>
    </row>
    <row r="5" spans="1:13" s="5" customFormat="1" hidden="1" x14ac:dyDescent="0.15">
      <c r="A5" s="39" t="s">
        <v>44</v>
      </c>
      <c r="B5" s="40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3"/>
      <c r="L5" s="3"/>
      <c r="M5" s="4"/>
    </row>
    <row r="6" spans="1:13" s="5" customFormat="1" hidden="1" x14ac:dyDescent="0.15">
      <c r="A6" s="39" t="s">
        <v>45</v>
      </c>
      <c r="B6" s="40"/>
      <c r="C6" s="2" t="s">
        <v>46</v>
      </c>
      <c r="D6" s="2" t="s">
        <v>46</v>
      </c>
      <c r="E6" s="2" t="s">
        <v>46</v>
      </c>
      <c r="F6" s="2" t="s">
        <v>46</v>
      </c>
      <c r="G6" s="2" t="s">
        <v>46</v>
      </c>
      <c r="H6" s="2" t="s">
        <v>46</v>
      </c>
      <c r="I6" s="2" t="s">
        <v>46</v>
      </c>
      <c r="J6" s="2" t="s">
        <v>46</v>
      </c>
      <c r="K6" s="3"/>
      <c r="L6" s="3"/>
      <c r="M6" s="4"/>
    </row>
    <row r="7" spans="1:13" s="5" customFormat="1" ht="12" customHeight="1" x14ac:dyDescent="0.15">
      <c r="A7" s="36" t="s">
        <v>51</v>
      </c>
      <c r="B7" s="36"/>
      <c r="C7" s="44" t="s">
        <v>157</v>
      </c>
      <c r="D7" s="44"/>
      <c r="E7" s="44" t="s">
        <v>158</v>
      </c>
      <c r="F7" s="44" t="s">
        <v>159</v>
      </c>
      <c r="G7" s="44"/>
      <c r="H7" s="44" t="s">
        <v>160</v>
      </c>
      <c r="I7" s="44" t="s">
        <v>161</v>
      </c>
      <c r="J7" s="44" t="s">
        <v>162</v>
      </c>
      <c r="K7" s="6"/>
      <c r="L7" s="6"/>
      <c r="M7" s="7"/>
    </row>
    <row r="8" spans="1:13" s="5" customFormat="1" ht="12" customHeight="1" x14ac:dyDescent="0.15">
      <c r="A8" s="36" t="s">
        <v>52</v>
      </c>
      <c r="B8" s="36"/>
      <c r="C8" s="44" t="s">
        <v>197</v>
      </c>
      <c r="D8" s="44"/>
      <c r="E8" s="44" t="s">
        <v>198</v>
      </c>
      <c r="F8" s="44" t="s">
        <v>199</v>
      </c>
      <c r="G8" s="44" t="s">
        <v>200</v>
      </c>
      <c r="H8" s="44" t="s">
        <v>201</v>
      </c>
      <c r="I8" s="44" t="s">
        <v>202</v>
      </c>
      <c r="J8" s="44" t="s">
        <v>203</v>
      </c>
      <c r="K8" s="6"/>
      <c r="L8" s="6"/>
      <c r="M8" s="7"/>
    </row>
    <row r="9" spans="1:13" ht="12" customHeight="1" x14ac:dyDescent="0.15">
      <c r="A9" s="42" t="s">
        <v>53</v>
      </c>
      <c r="B9" s="43"/>
      <c r="C9" s="46">
        <v>10</v>
      </c>
      <c r="D9" s="46"/>
      <c r="E9" s="46">
        <v>10</v>
      </c>
      <c r="F9" s="46">
        <v>10</v>
      </c>
      <c r="G9" s="46">
        <v>8</v>
      </c>
      <c r="H9" s="46">
        <v>8</v>
      </c>
      <c r="I9" s="46">
        <v>8</v>
      </c>
      <c r="J9" s="46">
        <v>8</v>
      </c>
      <c r="K9" s="9">
        <f>SUM(C9:J9)</f>
        <v>62</v>
      </c>
      <c r="L9" s="9"/>
      <c r="M9" s="10"/>
    </row>
    <row r="10" spans="1:13" ht="12.75" customHeight="1" x14ac:dyDescent="0.15">
      <c r="A10" s="38" t="s">
        <v>54</v>
      </c>
      <c r="B10" s="38"/>
      <c r="C10" s="48" t="s">
        <v>55</v>
      </c>
      <c r="D10" s="48" t="s">
        <v>55</v>
      </c>
      <c r="E10" s="48" t="s">
        <v>55</v>
      </c>
      <c r="F10" s="48" t="s">
        <v>55</v>
      </c>
      <c r="G10" s="48" t="s">
        <v>56</v>
      </c>
      <c r="H10" s="48" t="s">
        <v>56</v>
      </c>
      <c r="I10" s="48" t="s">
        <v>56</v>
      </c>
      <c r="J10" s="48" t="s">
        <v>56</v>
      </c>
      <c r="K10" s="12"/>
      <c r="L10" s="12"/>
      <c r="M10" s="13"/>
    </row>
    <row r="11" spans="1:13" ht="12.75" customHeight="1" x14ac:dyDescent="0.15">
      <c r="A11" s="38" t="s">
        <v>65</v>
      </c>
      <c r="B11" s="38"/>
      <c r="C11" s="14">
        <v>5981.4</v>
      </c>
      <c r="D11" s="14">
        <v>0</v>
      </c>
      <c r="E11" s="14">
        <v>6436.8</v>
      </c>
      <c r="F11" s="14">
        <v>5336.4000000000005</v>
      </c>
      <c r="G11" s="14">
        <v>174.1</v>
      </c>
      <c r="H11" s="14">
        <v>5776</v>
      </c>
      <c r="I11" s="14">
        <v>5535.8</v>
      </c>
      <c r="J11" s="14">
        <v>6819.8</v>
      </c>
      <c r="K11" s="16">
        <f>SUM(C11:J11)</f>
        <v>36060.300000000003</v>
      </c>
      <c r="L11" s="16">
        <f>AVERAGE(D11:J11)</f>
        <v>4296.9857142857145</v>
      </c>
      <c r="M11" s="13"/>
    </row>
    <row r="12" spans="1:13" ht="12.75" customHeight="1" x14ac:dyDescent="0.15">
      <c r="A12" s="39" t="s">
        <v>244</v>
      </c>
      <c r="B12" s="51"/>
      <c r="C12" s="52">
        <v>8.9625000000000004</v>
      </c>
      <c r="D12" s="52"/>
      <c r="E12" s="52">
        <v>9.6791666666666671</v>
      </c>
      <c r="F12" s="52">
        <v>10.063194444444445</v>
      </c>
      <c r="G12" s="52">
        <v>0.46111111111111114</v>
      </c>
      <c r="H12" s="52">
        <v>7.447222222222222</v>
      </c>
      <c r="I12" s="52">
        <v>7.9826388888888893</v>
      </c>
      <c r="J12" s="52">
        <v>9.1979166666666661</v>
      </c>
      <c r="K12" s="16"/>
      <c r="L12" s="16"/>
      <c r="M12" s="13"/>
    </row>
    <row r="13" spans="1:13" ht="12.75" customHeight="1" x14ac:dyDescent="0.15">
      <c r="A13" s="38" t="s">
        <v>66</v>
      </c>
      <c r="B13" s="38"/>
      <c r="C13" s="14">
        <v>1288224</v>
      </c>
      <c r="D13" s="14">
        <v>1436527</v>
      </c>
      <c r="E13" s="14">
        <v>1459660</v>
      </c>
      <c r="F13" s="14">
        <v>1237086</v>
      </c>
      <c r="G13" s="14">
        <v>66000</v>
      </c>
      <c r="H13" s="14">
        <v>1085200</v>
      </c>
      <c r="I13" s="14">
        <v>1148661</v>
      </c>
      <c r="J13" s="14">
        <v>1317629</v>
      </c>
      <c r="K13" s="16">
        <f>SUM(C13:J13)</f>
        <v>9038987</v>
      </c>
      <c r="L13" s="16">
        <f>AVERAGE(D13:J13)</f>
        <v>1107251.857142857</v>
      </c>
      <c r="M13" s="13">
        <f>K13/K13</f>
        <v>1</v>
      </c>
    </row>
    <row r="14" spans="1:13" ht="12.75" customHeight="1" x14ac:dyDescent="0.15">
      <c r="A14" s="39" t="s">
        <v>242</v>
      </c>
      <c r="B14" s="51"/>
      <c r="C14" s="14"/>
      <c r="D14" s="14"/>
      <c r="E14" s="14"/>
      <c r="F14" s="14"/>
      <c r="G14" s="14"/>
      <c r="H14" s="14"/>
      <c r="I14" s="14"/>
      <c r="J14" s="14"/>
      <c r="K14" s="16">
        <f>SUM(C14:J14)</f>
        <v>0</v>
      </c>
      <c r="L14" s="16"/>
      <c r="M14" s="13"/>
    </row>
    <row r="15" spans="1:13" ht="12.75" customHeight="1" x14ac:dyDescent="0.15">
      <c r="A15" s="38" t="s">
        <v>67</v>
      </c>
      <c r="B15" s="38"/>
      <c r="C15" s="14">
        <f>SUM(C13/C11)</f>
        <v>215.37165212157691</v>
      </c>
      <c r="D15" s="14" t="e">
        <f t="shared" ref="D15:J15" si="0">SUM(D13/D11)</f>
        <v>#DIV/0!</v>
      </c>
      <c r="E15" s="14">
        <f t="shared" si="0"/>
        <v>226.76795923440218</v>
      </c>
      <c r="F15" s="14">
        <f t="shared" si="0"/>
        <v>231.82032831122103</v>
      </c>
      <c r="G15" s="14">
        <f t="shared" si="0"/>
        <v>379.0924755887421</v>
      </c>
      <c r="H15" s="14">
        <f t="shared" si="0"/>
        <v>187.88088642659281</v>
      </c>
      <c r="I15" s="14">
        <f t="shared" si="0"/>
        <v>207.49683875862567</v>
      </c>
      <c r="J15" s="14">
        <f t="shared" si="0"/>
        <v>193.20639901463386</v>
      </c>
      <c r="K15" s="12">
        <f>SUM(K13/K11)</f>
        <v>250.66311151044221</v>
      </c>
      <c r="L15" s="16" t="e">
        <f>AVERAGE(D15:J15)</f>
        <v>#DIV/0!</v>
      </c>
      <c r="M15" s="13"/>
    </row>
    <row r="16" spans="1:13" ht="12.75" customHeight="1" x14ac:dyDescent="0.15">
      <c r="A16" s="39" t="s">
        <v>243</v>
      </c>
      <c r="B16" s="51"/>
      <c r="C16" s="14">
        <f>C13/(C12*24)</f>
        <v>5988.9539748953966</v>
      </c>
      <c r="D16" s="14"/>
      <c r="E16" s="14">
        <f t="shared" ref="E16:J16" si="1">E13/(E12*24)</f>
        <v>6283.5126990959961</v>
      </c>
      <c r="F16" s="14">
        <f t="shared" si="1"/>
        <v>5122.1558208543229</v>
      </c>
      <c r="G16" s="14">
        <f t="shared" si="1"/>
        <v>5963.8554216867469</v>
      </c>
      <c r="H16" s="14">
        <f t="shared" si="1"/>
        <v>6071.6150690041031</v>
      </c>
      <c r="I16" s="14">
        <f t="shared" si="1"/>
        <v>5995.6207046541967</v>
      </c>
      <c r="J16" s="14">
        <f t="shared" si="1"/>
        <v>5968.8742921857302</v>
      </c>
      <c r="K16" s="12"/>
      <c r="L16" s="16"/>
      <c r="M16" s="13"/>
    </row>
    <row r="17" spans="1:13" ht="12.75" customHeight="1" x14ac:dyDescent="0.15">
      <c r="A17" s="41" t="s">
        <v>68</v>
      </c>
      <c r="B17" s="11" t="s">
        <v>69</v>
      </c>
      <c r="C17" s="14">
        <v>0</v>
      </c>
      <c r="D17" s="14">
        <v>0</v>
      </c>
      <c r="E17" s="14">
        <v>0</v>
      </c>
      <c r="F17" s="14">
        <v>56250</v>
      </c>
      <c r="G17" s="14">
        <v>300174</v>
      </c>
      <c r="H17" s="14">
        <v>0</v>
      </c>
      <c r="I17" s="14">
        <v>0</v>
      </c>
      <c r="J17" s="14">
        <v>47898</v>
      </c>
      <c r="K17" s="16">
        <f>SUM(C17:J17)</f>
        <v>404322</v>
      </c>
      <c r="L17" s="16">
        <f>AVERAGE(D17:J17)</f>
        <v>57760.285714285717</v>
      </c>
      <c r="M17" s="13">
        <f>K17/K13</f>
        <v>4.4730897389276034E-2</v>
      </c>
    </row>
    <row r="18" spans="1:13" ht="12.75" customHeight="1" x14ac:dyDescent="0.15">
      <c r="A18" s="41"/>
      <c r="B18" s="11" t="s">
        <v>70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6">
        <f>SUM(C18:J18)</f>
        <v>0</v>
      </c>
      <c r="L18" s="16">
        <f>AVERAGE(D18:J18)</f>
        <v>0</v>
      </c>
      <c r="M18" s="13">
        <f>K18/K13</f>
        <v>0</v>
      </c>
    </row>
    <row r="19" spans="1:13" ht="12.75" customHeight="1" x14ac:dyDescent="0.15">
      <c r="A19" s="41"/>
      <c r="B19" s="11" t="s">
        <v>71</v>
      </c>
      <c r="C19" s="14">
        <v>5150</v>
      </c>
      <c r="D19" s="14">
        <v>0</v>
      </c>
      <c r="E19" s="14">
        <v>6133</v>
      </c>
      <c r="F19" s="14">
        <v>17710</v>
      </c>
      <c r="G19" s="14">
        <v>4808</v>
      </c>
      <c r="H19" s="14">
        <v>4025</v>
      </c>
      <c r="I19" s="14">
        <v>5150</v>
      </c>
      <c r="J19" s="14">
        <v>6925</v>
      </c>
      <c r="K19" s="16">
        <f>SUM(C19:J19)</f>
        <v>49901</v>
      </c>
      <c r="L19" s="16">
        <f>AVERAGE(D19:J19)</f>
        <v>6393</v>
      </c>
      <c r="M19" s="13">
        <f>K19/K13</f>
        <v>5.5206407532171469E-3</v>
      </c>
    </row>
    <row r="20" spans="1:13" ht="12.75" customHeight="1" x14ac:dyDescent="0.15">
      <c r="A20" s="41"/>
      <c r="B20" s="11" t="s">
        <v>72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  <c r="K20" s="16">
        <f>SUM(C20:J20)</f>
        <v>0</v>
      </c>
      <c r="L20" s="16">
        <f>AVERAGE(D20:J20)</f>
        <v>0</v>
      </c>
      <c r="M20" s="13">
        <f>K20/K13</f>
        <v>0</v>
      </c>
    </row>
    <row r="21" spans="1:13" ht="12.75" customHeight="1" x14ac:dyDescent="0.15">
      <c r="A21" s="41"/>
      <c r="B21" s="11" t="s">
        <v>73</v>
      </c>
      <c r="C21" s="14">
        <v>4767</v>
      </c>
      <c r="D21" s="14">
        <v>0</v>
      </c>
      <c r="E21" s="14">
        <v>4766</v>
      </c>
      <c r="F21" s="14">
        <v>4583</v>
      </c>
      <c r="G21" s="14">
        <v>4766</v>
      </c>
      <c r="H21" s="14">
        <v>4583</v>
      </c>
      <c r="I21" s="14">
        <v>4766</v>
      </c>
      <c r="J21" s="14">
        <v>4766</v>
      </c>
      <c r="K21" s="16">
        <f>SUM(C21:J21)</f>
        <v>32997</v>
      </c>
      <c r="L21" s="16">
        <f>AVERAGE(D21:J21)</f>
        <v>4032.8571428571427</v>
      </c>
      <c r="M21" s="13">
        <f>K21/K13</f>
        <v>3.6505196876596901E-3</v>
      </c>
    </row>
    <row r="22" spans="1:13" ht="12.75" customHeight="1" x14ac:dyDescent="0.15">
      <c r="A22" s="41"/>
      <c r="B22" s="11" t="s">
        <v>74</v>
      </c>
      <c r="C22" s="14">
        <v>24964</v>
      </c>
      <c r="D22" s="14">
        <v>0</v>
      </c>
      <c r="E22" s="14">
        <v>28679</v>
      </c>
      <c r="F22" s="14">
        <v>9166</v>
      </c>
      <c r="G22" s="14">
        <v>18658</v>
      </c>
      <c r="H22" s="14">
        <v>45058</v>
      </c>
      <c r="I22" s="14">
        <v>25082</v>
      </c>
      <c r="J22" s="14">
        <v>24144</v>
      </c>
      <c r="K22" s="16">
        <f>SUM(C22:J22)</f>
        <v>175751</v>
      </c>
      <c r="L22" s="16">
        <f>AVERAGE(D22:J22)</f>
        <v>21541</v>
      </c>
      <c r="M22" s="13">
        <f>K22/K13</f>
        <v>1.9443661109369889E-2</v>
      </c>
    </row>
    <row r="23" spans="1:13" ht="12.75" customHeight="1" x14ac:dyDescent="0.15">
      <c r="A23" s="41"/>
      <c r="B23" s="17" t="s">
        <v>75</v>
      </c>
      <c r="C23" s="18">
        <f>SUM(C17:C22)</f>
        <v>34881</v>
      </c>
      <c r="D23" s="18">
        <f t="shared" ref="D23:J23" si="2">SUM(D17:D22)</f>
        <v>0</v>
      </c>
      <c r="E23" s="18">
        <f t="shared" si="2"/>
        <v>39578</v>
      </c>
      <c r="F23" s="18">
        <f t="shared" si="2"/>
        <v>87709</v>
      </c>
      <c r="G23" s="18">
        <f t="shared" si="2"/>
        <v>328406</v>
      </c>
      <c r="H23" s="18">
        <f t="shared" si="2"/>
        <v>53666</v>
      </c>
      <c r="I23" s="18">
        <f t="shared" si="2"/>
        <v>34998</v>
      </c>
      <c r="J23" s="18">
        <f t="shared" si="2"/>
        <v>83733</v>
      </c>
      <c r="K23" s="20">
        <f>SUM(C23:J23)</f>
        <v>662971</v>
      </c>
      <c r="L23" s="20">
        <f>AVERAGE(D23:J23)</f>
        <v>89727.142857142855</v>
      </c>
      <c r="M23" s="21">
        <f>K23/K13</f>
        <v>7.3345718939522755E-2</v>
      </c>
    </row>
    <row r="24" spans="1:13" ht="12.75" customHeight="1" x14ac:dyDescent="0.15">
      <c r="A24" s="41" t="s">
        <v>76</v>
      </c>
      <c r="B24" s="11" t="s">
        <v>77</v>
      </c>
      <c r="C24" s="14">
        <v>28000</v>
      </c>
      <c r="D24" s="14">
        <v>0</v>
      </c>
      <c r="E24" s="14">
        <v>28700</v>
      </c>
      <c r="F24" s="14">
        <v>0</v>
      </c>
      <c r="G24" s="14">
        <v>29000</v>
      </c>
      <c r="H24" s="14">
        <v>549000</v>
      </c>
      <c r="I24" s="14">
        <v>187440</v>
      </c>
      <c r="J24" s="14">
        <v>35700</v>
      </c>
      <c r="K24" s="16">
        <f>SUM(C24:J24)</f>
        <v>857840</v>
      </c>
      <c r="L24" s="16">
        <f>AVERAGE(D24:J24)</f>
        <v>118548.57142857143</v>
      </c>
      <c r="M24" s="13">
        <f>K24/K13</f>
        <v>9.4904440066126874E-2</v>
      </c>
    </row>
    <row r="25" spans="1:13" ht="12.75" customHeight="1" x14ac:dyDescent="0.15">
      <c r="A25" s="41"/>
      <c r="B25" s="11" t="s">
        <v>78</v>
      </c>
      <c r="C25" s="14">
        <v>0</v>
      </c>
      <c r="D25" s="14">
        <v>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6">
        <f>SUM(C25:J25)</f>
        <v>0</v>
      </c>
      <c r="L25" s="16">
        <f>AVERAGE(D25:J25)</f>
        <v>0</v>
      </c>
      <c r="M25" s="13">
        <f>K25/K13</f>
        <v>0</v>
      </c>
    </row>
    <row r="26" spans="1:13" ht="12.75" customHeight="1" x14ac:dyDescent="0.15">
      <c r="A26" s="41"/>
      <c r="B26" s="11" t="s">
        <v>79</v>
      </c>
      <c r="C26" s="14">
        <f t="shared" ref="C26:J26" si="3">30000*C9/70000*C11</f>
        <v>25634.571428571428</v>
      </c>
      <c r="D26" s="14">
        <f t="shared" si="3"/>
        <v>0</v>
      </c>
      <c r="E26" s="14">
        <f t="shared" si="3"/>
        <v>27586.285714285714</v>
      </c>
      <c r="F26" s="14">
        <f t="shared" si="3"/>
        <v>22870.285714285717</v>
      </c>
      <c r="G26" s="14">
        <f t="shared" si="3"/>
        <v>596.91428571428571</v>
      </c>
      <c r="H26" s="14">
        <f t="shared" si="3"/>
        <v>19803.428571428569</v>
      </c>
      <c r="I26" s="14">
        <f t="shared" si="3"/>
        <v>18979.885714285712</v>
      </c>
      <c r="J26" s="14">
        <f t="shared" si="3"/>
        <v>23382.17142857143</v>
      </c>
      <c r="K26" s="16">
        <f>SUM(C26:J26)</f>
        <v>138853.54285714286</v>
      </c>
      <c r="L26" s="16">
        <f>AVERAGE(D26:J26)</f>
        <v>16174.138775510204</v>
      </c>
      <c r="M26" s="13">
        <f>K26/K13</f>
        <v>1.5361626569121392E-2</v>
      </c>
    </row>
    <row r="27" spans="1:13" ht="12.75" customHeight="1" x14ac:dyDescent="0.15">
      <c r="A27" s="41"/>
      <c r="B27" s="11" t="s">
        <v>80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6">
        <f>SUM(C27:J27)</f>
        <v>0</v>
      </c>
      <c r="L27" s="16">
        <f>AVERAGE(D27:J27)</f>
        <v>0</v>
      </c>
      <c r="M27" s="13">
        <f>K27/K13</f>
        <v>0</v>
      </c>
    </row>
    <row r="28" spans="1:13" ht="12.75" customHeight="1" x14ac:dyDescent="0.15">
      <c r="A28" s="41"/>
      <c r="B28" s="11" t="s">
        <v>81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6">
        <f>SUM(C28:J28)</f>
        <v>0</v>
      </c>
      <c r="L28" s="16">
        <f>AVERAGE(D28:J28)</f>
        <v>0</v>
      </c>
      <c r="M28" s="13">
        <f>K28/K13</f>
        <v>0</v>
      </c>
    </row>
    <row r="29" spans="1:13" ht="12.75" customHeight="1" x14ac:dyDescent="0.15">
      <c r="A29" s="41"/>
      <c r="B29" s="17" t="s">
        <v>82</v>
      </c>
      <c r="C29" s="18">
        <f>SUM(C24:C28)</f>
        <v>53634.571428571428</v>
      </c>
      <c r="D29" s="18">
        <f t="shared" ref="D29:J29" si="4">SUM(D24:D28)</f>
        <v>0</v>
      </c>
      <c r="E29" s="18">
        <f t="shared" si="4"/>
        <v>56286.28571428571</v>
      </c>
      <c r="F29" s="18">
        <f t="shared" si="4"/>
        <v>22870.285714285717</v>
      </c>
      <c r="G29" s="18">
        <f t="shared" si="4"/>
        <v>29596.914285714287</v>
      </c>
      <c r="H29" s="18">
        <f t="shared" si="4"/>
        <v>568803.42857142852</v>
      </c>
      <c r="I29" s="18">
        <f t="shared" si="4"/>
        <v>206419.88571428572</v>
      </c>
      <c r="J29" s="18">
        <f t="shared" si="4"/>
        <v>59082.171428571426</v>
      </c>
      <c r="K29" s="20">
        <f>SUM(C29:J29)</f>
        <v>996693.54285714286</v>
      </c>
      <c r="L29" s="20">
        <f>AVERAGE(D29:J29)</f>
        <v>134722.71020408164</v>
      </c>
      <c r="M29" s="21">
        <f>K29/K13</f>
        <v>0.11026606663524827</v>
      </c>
    </row>
    <row r="30" spans="1:13" ht="12.75" customHeight="1" x14ac:dyDescent="0.15">
      <c r="A30" s="41" t="s">
        <v>83</v>
      </c>
      <c r="B30" s="8" t="s">
        <v>84</v>
      </c>
      <c r="C30" s="22">
        <v>1418</v>
      </c>
      <c r="D30" s="22">
        <v>0</v>
      </c>
      <c r="E30" s="22">
        <v>1474</v>
      </c>
      <c r="F30" s="22">
        <v>1581</v>
      </c>
      <c r="G30" s="22">
        <v>0</v>
      </c>
      <c r="H30" s="22">
        <v>1320</v>
      </c>
      <c r="I30" s="22">
        <v>1318</v>
      </c>
      <c r="J30" s="22">
        <v>1482</v>
      </c>
      <c r="K30" s="24">
        <f>SUM(C30:J30)</f>
        <v>8593</v>
      </c>
      <c r="L30" s="24">
        <f>AVERAGE(D30:J30)</f>
        <v>1025</v>
      </c>
      <c r="M30" s="10">
        <f>K30/K13</f>
        <v>9.5065962590719518E-4</v>
      </c>
    </row>
    <row r="31" spans="1:13" ht="12.75" customHeight="1" x14ac:dyDescent="0.15">
      <c r="A31" s="41"/>
      <c r="B31" s="25" t="s">
        <v>85</v>
      </c>
      <c r="C31" s="26">
        <f>SUM(C11/C30)</f>
        <v>4.2181946403385044</v>
      </c>
      <c r="D31" s="26" t="e">
        <f>SUM(D11/D30)</f>
        <v>#DIV/0!</v>
      </c>
      <c r="E31" s="26">
        <f>SUM(E11/E30)</f>
        <v>4.3668928086838532</v>
      </c>
      <c r="F31" s="26">
        <f>SUM(F11/F30)</f>
        <v>3.3753320683111956</v>
      </c>
      <c r="G31" s="26" t="e">
        <f>SUM(G11/G30)</f>
        <v>#DIV/0!</v>
      </c>
      <c r="H31" s="26">
        <f>SUM(H11/H30)</f>
        <v>4.375757575757576</v>
      </c>
      <c r="I31" s="26">
        <f>SUM(I11/I30)</f>
        <v>4.2001517450682853</v>
      </c>
      <c r="J31" s="26">
        <f>SUM(J11/J30)</f>
        <v>4.6017543859649122</v>
      </c>
      <c r="K31" s="28">
        <f>SUM(K11/K30)</f>
        <v>4.1964738740835568</v>
      </c>
      <c r="L31" s="28" t="e">
        <f>AVERAGE(D31:J31)</f>
        <v>#DIV/0!</v>
      </c>
      <c r="M31" s="25">
        <f>K31/K13</f>
        <v>4.6426373597877251E-7</v>
      </c>
    </row>
    <row r="32" spans="1:13" ht="12.75" customHeight="1" x14ac:dyDescent="0.15">
      <c r="A32" s="41"/>
      <c r="B32" s="11" t="s">
        <v>86</v>
      </c>
      <c r="C32" s="14">
        <v>169735</v>
      </c>
      <c r="D32" s="14">
        <v>0</v>
      </c>
      <c r="E32" s="14">
        <v>176438</v>
      </c>
      <c r="F32" s="14">
        <v>189246</v>
      </c>
      <c r="G32" s="14">
        <v>0</v>
      </c>
      <c r="H32" s="14">
        <v>158004</v>
      </c>
      <c r="I32" s="14">
        <v>157765</v>
      </c>
      <c r="J32" s="14">
        <v>177395</v>
      </c>
      <c r="K32" s="16">
        <f>SUM(C32:J32)</f>
        <v>1028583</v>
      </c>
      <c r="L32" s="16">
        <f>AVERAGE(D32:J32)</f>
        <v>122692.57142857143</v>
      </c>
      <c r="M32" s="13">
        <f>K32/K13</f>
        <v>0.11379405678977079</v>
      </c>
    </row>
    <row r="33" spans="1:13" ht="12.75" customHeight="1" x14ac:dyDescent="0.15">
      <c r="A33" s="41"/>
      <c r="B33" s="11" t="s">
        <v>87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  <c r="K33" s="16">
        <f>SUM(C33:J33)</f>
        <v>0</v>
      </c>
      <c r="L33" s="16">
        <f>AVERAGE(D33:J33)</f>
        <v>0</v>
      </c>
      <c r="M33" s="13">
        <f>K33/K13</f>
        <v>0</v>
      </c>
    </row>
    <row r="34" spans="1:13" ht="12.75" customHeight="1" x14ac:dyDescent="0.15">
      <c r="A34" s="41"/>
      <c r="B34" s="11" t="s">
        <v>88</v>
      </c>
      <c r="C34" s="14">
        <v>0</v>
      </c>
      <c r="D34" s="14">
        <v>0</v>
      </c>
      <c r="E34" s="14">
        <v>0</v>
      </c>
      <c r="F34" s="14">
        <v>0</v>
      </c>
      <c r="G34" s="14">
        <v>0</v>
      </c>
      <c r="H34" s="14">
        <v>0</v>
      </c>
      <c r="I34" s="14">
        <v>0</v>
      </c>
      <c r="J34" s="14">
        <v>0</v>
      </c>
      <c r="K34" s="16">
        <f>SUM(C34:J34)</f>
        <v>0</v>
      </c>
      <c r="L34" s="16">
        <f>AVERAGE(D34:J34)</f>
        <v>0</v>
      </c>
      <c r="M34" s="13">
        <f>K34/K13</f>
        <v>0</v>
      </c>
    </row>
    <row r="35" spans="1:13" ht="12.75" customHeight="1" x14ac:dyDescent="0.15">
      <c r="A35" s="41"/>
      <c r="B35" s="17" t="s">
        <v>89</v>
      </c>
      <c r="C35" s="18">
        <f>SUM(C32:C34)</f>
        <v>169735</v>
      </c>
      <c r="D35" s="18">
        <f t="shared" ref="D35:J35" si="5">SUM(D32:D34)</f>
        <v>0</v>
      </c>
      <c r="E35" s="18">
        <f t="shared" si="5"/>
        <v>176438</v>
      </c>
      <c r="F35" s="18">
        <f t="shared" si="5"/>
        <v>189246</v>
      </c>
      <c r="G35" s="18">
        <f t="shared" si="5"/>
        <v>0</v>
      </c>
      <c r="H35" s="18">
        <f t="shared" si="5"/>
        <v>158004</v>
      </c>
      <c r="I35" s="18">
        <f t="shared" si="5"/>
        <v>157765</v>
      </c>
      <c r="J35" s="18">
        <f t="shared" si="5"/>
        <v>177395</v>
      </c>
      <c r="K35" s="20">
        <f>SUM(C35:J35)</f>
        <v>1028583</v>
      </c>
      <c r="L35" s="20">
        <f>AVERAGE(D35:J35)</f>
        <v>122692.57142857143</v>
      </c>
      <c r="M35" s="21">
        <f>K35/K13</f>
        <v>0.11379405678977079</v>
      </c>
    </row>
    <row r="36" spans="1:13" ht="12.75" customHeight="1" x14ac:dyDescent="0.15">
      <c r="A36" s="41" t="s">
        <v>90</v>
      </c>
      <c r="B36" s="11" t="s">
        <v>91</v>
      </c>
      <c r="C36" s="14">
        <v>2008</v>
      </c>
      <c r="D36" s="14">
        <v>0</v>
      </c>
      <c r="E36" s="14">
        <v>2008</v>
      </c>
      <c r="F36" s="14">
        <v>2008</v>
      </c>
      <c r="G36" s="14">
        <v>2008</v>
      </c>
      <c r="H36" s="14">
        <v>2008</v>
      </c>
      <c r="I36" s="14">
        <v>2008</v>
      </c>
      <c r="J36" s="14">
        <v>2012</v>
      </c>
      <c r="K36" s="16">
        <f>SUM(C36:J36)</f>
        <v>14060</v>
      </c>
      <c r="L36" s="16">
        <f>AVERAGE(D36:J36)</f>
        <v>1721.7142857142858</v>
      </c>
      <c r="M36" s="13">
        <f>K36/K13</f>
        <v>1.5554840382002984E-3</v>
      </c>
    </row>
    <row r="37" spans="1:13" ht="12.75" customHeight="1" x14ac:dyDescent="0.15">
      <c r="A37" s="41"/>
      <c r="B37" s="11" t="s">
        <v>92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6">
        <f>SUM(C37:J37)</f>
        <v>0</v>
      </c>
      <c r="L37" s="16">
        <f>AVERAGE(D37:J37)</f>
        <v>0</v>
      </c>
      <c r="M37" s="13">
        <f>K37/K13</f>
        <v>0</v>
      </c>
    </row>
    <row r="38" spans="1:13" ht="12.75" customHeight="1" x14ac:dyDescent="0.15">
      <c r="A38" s="41"/>
      <c r="B38" s="11" t="s">
        <v>93</v>
      </c>
      <c r="C38" s="14">
        <v>0</v>
      </c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  <c r="J38" s="14">
        <v>0</v>
      </c>
      <c r="K38" s="16">
        <f>SUM(C38:J38)</f>
        <v>0</v>
      </c>
      <c r="L38" s="16">
        <f>AVERAGE(D38:J38)</f>
        <v>0</v>
      </c>
      <c r="M38" s="13">
        <f>K38/K13</f>
        <v>0</v>
      </c>
    </row>
    <row r="39" spans="1:13" ht="12.75" customHeight="1" x14ac:dyDescent="0.15">
      <c r="A39" s="41"/>
      <c r="B39" s="11" t="s">
        <v>94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6">
        <f>SUM(C39:J39)</f>
        <v>0</v>
      </c>
      <c r="L39" s="16">
        <f>AVERAGE(D39:J39)</f>
        <v>0</v>
      </c>
      <c r="M39" s="13">
        <f>K39/K13</f>
        <v>0</v>
      </c>
    </row>
    <row r="40" spans="1:13" ht="12.75" customHeight="1" x14ac:dyDescent="0.15">
      <c r="A40" s="41"/>
      <c r="B40" s="11" t="s">
        <v>95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6">
        <f>SUM(C40:J40)</f>
        <v>0</v>
      </c>
      <c r="L40" s="16">
        <f>AVERAGE(D40:J40)</f>
        <v>0</v>
      </c>
      <c r="M40" s="13">
        <f>K40/K13</f>
        <v>0</v>
      </c>
    </row>
    <row r="41" spans="1:13" ht="12.75" customHeight="1" x14ac:dyDescent="0.15">
      <c r="A41" s="41"/>
      <c r="B41" s="11" t="s">
        <v>96</v>
      </c>
      <c r="C41" s="14">
        <v>4430</v>
      </c>
      <c r="D41" s="14">
        <v>0</v>
      </c>
      <c r="E41" s="14">
        <v>4430</v>
      </c>
      <c r="F41" s="14">
        <v>7050</v>
      </c>
      <c r="G41" s="14">
        <v>9067</v>
      </c>
      <c r="H41" s="14">
        <v>5140</v>
      </c>
      <c r="I41" s="14">
        <v>5140</v>
      </c>
      <c r="J41" s="14">
        <v>5140</v>
      </c>
      <c r="K41" s="16">
        <f>SUM(C41:J41)</f>
        <v>40397</v>
      </c>
      <c r="L41" s="16">
        <f>AVERAGE(D41:J41)</f>
        <v>5138.1428571428569</v>
      </c>
      <c r="M41" s="13">
        <f>K41/K13</f>
        <v>4.4691954972387949E-3</v>
      </c>
    </row>
    <row r="42" spans="1:13" ht="12.75" customHeight="1" x14ac:dyDescent="0.15">
      <c r="A42" s="41"/>
      <c r="B42" s="17" t="s">
        <v>97</v>
      </c>
      <c r="C42" s="18">
        <f>SUM(C36:C41)</f>
        <v>6438</v>
      </c>
      <c r="D42" s="18">
        <f t="shared" ref="D42:J42" si="6">SUM(D36:D41)</f>
        <v>0</v>
      </c>
      <c r="E42" s="18">
        <f t="shared" si="6"/>
        <v>6438</v>
      </c>
      <c r="F42" s="18">
        <f t="shared" si="6"/>
        <v>9058</v>
      </c>
      <c r="G42" s="18">
        <f t="shared" si="6"/>
        <v>11075</v>
      </c>
      <c r="H42" s="18">
        <f t="shared" si="6"/>
        <v>7148</v>
      </c>
      <c r="I42" s="18">
        <f t="shared" si="6"/>
        <v>7148</v>
      </c>
      <c r="J42" s="18">
        <f t="shared" si="6"/>
        <v>7152</v>
      </c>
      <c r="K42" s="20">
        <f>SUM(C42:J42)</f>
        <v>54457</v>
      </c>
      <c r="L42" s="20">
        <f>AVERAGE(D42:J42)</f>
        <v>6859.8571428571431</v>
      </c>
      <c r="M42" s="21">
        <f>K42/K13</f>
        <v>6.024679535439093E-3</v>
      </c>
    </row>
    <row r="43" spans="1:13" ht="12.75" customHeight="1" x14ac:dyDescent="0.15">
      <c r="A43" s="41" t="s">
        <v>98</v>
      </c>
      <c r="B43" s="11" t="s">
        <v>99</v>
      </c>
      <c r="C43" s="14">
        <v>171990</v>
      </c>
      <c r="D43" s="14">
        <v>145900</v>
      </c>
      <c r="E43" s="14">
        <v>172410</v>
      </c>
      <c r="F43" s="14">
        <v>135330</v>
      </c>
      <c r="G43" s="14">
        <v>3300</v>
      </c>
      <c r="H43" s="14">
        <v>207980</v>
      </c>
      <c r="I43" s="14">
        <v>217500</v>
      </c>
      <c r="J43" s="14">
        <v>251390</v>
      </c>
      <c r="K43" s="16">
        <f>SUM(C43:J43)</f>
        <v>1305800</v>
      </c>
      <c r="L43" s="16">
        <f>AVERAGE(D43:J43)</f>
        <v>161972.85714285713</v>
      </c>
      <c r="M43" s="13">
        <f>K43/K13</f>
        <v>0.14446309083086412</v>
      </c>
    </row>
    <row r="44" spans="1:13" ht="12.75" customHeight="1" x14ac:dyDescent="0.15">
      <c r="A44" s="41"/>
      <c r="B44" s="11" t="s">
        <v>100</v>
      </c>
      <c r="C44" s="14">
        <v>-115213</v>
      </c>
      <c r="D44" s="14">
        <v>-145900</v>
      </c>
      <c r="E44" s="14">
        <v>-126358</v>
      </c>
      <c r="F44" s="14">
        <v>-90986</v>
      </c>
      <c r="G44" s="14">
        <v>-300</v>
      </c>
      <c r="H44" s="14">
        <v>-73489</v>
      </c>
      <c r="I44" s="14">
        <v>-104155</v>
      </c>
      <c r="J44" s="14">
        <v>-111108</v>
      </c>
      <c r="K44" s="16">
        <f>SUM(C44:J44)</f>
        <v>-767509</v>
      </c>
      <c r="L44" s="16">
        <f>AVERAGE(D44:J44)</f>
        <v>-93185.142857142855</v>
      </c>
      <c r="M44" s="13">
        <f>K44/K13</f>
        <v>-8.4910952964087683E-2</v>
      </c>
    </row>
    <row r="45" spans="1:13" ht="12.75" customHeight="1" x14ac:dyDescent="0.15">
      <c r="A45" s="41"/>
      <c r="B45" s="11" t="s">
        <v>101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6">
        <f>SUM(C45:J45)</f>
        <v>0</v>
      </c>
      <c r="L45" s="16">
        <f>AVERAGE(D45:J45)</f>
        <v>0</v>
      </c>
      <c r="M45" s="13">
        <f>K45/K13</f>
        <v>0</v>
      </c>
    </row>
    <row r="46" spans="1:13" ht="12.75" customHeight="1" x14ac:dyDescent="0.15">
      <c r="A46" s="41"/>
      <c r="B46" s="11" t="s">
        <v>102</v>
      </c>
      <c r="C46" s="14">
        <v>-55036.800000000003</v>
      </c>
      <c r="D46" s="14">
        <v>0</v>
      </c>
      <c r="E46" s="14">
        <v>-55171.199999999997</v>
      </c>
      <c r="F46" s="14">
        <v>-43305.599999999999</v>
      </c>
      <c r="G46" s="14">
        <v>-1056</v>
      </c>
      <c r="H46" s="14">
        <v>-66553.600000000006</v>
      </c>
      <c r="I46" s="14">
        <v>-69600</v>
      </c>
      <c r="J46" s="14">
        <v>-80444.800000000003</v>
      </c>
      <c r="K46" s="16">
        <f>SUM(C46:J46)</f>
        <v>-371168</v>
      </c>
      <c r="L46" s="16">
        <f>AVERAGE(B46:J46)</f>
        <v>-46396</v>
      </c>
      <c r="M46" s="13">
        <f>K46/K13</f>
        <v>-4.1063008498629323E-2</v>
      </c>
    </row>
    <row r="47" spans="1:13" ht="12.75" customHeight="1" x14ac:dyDescent="0.15">
      <c r="A47" s="41"/>
      <c r="B47" s="17" t="s">
        <v>103</v>
      </c>
      <c r="C47" s="18">
        <f t="shared" ref="C47:K47" si="7">SUM(C43:C46)</f>
        <v>1740.1999999999971</v>
      </c>
      <c r="D47" s="18">
        <f t="shared" si="7"/>
        <v>0</v>
      </c>
      <c r="E47" s="18">
        <f t="shared" si="7"/>
        <v>-9119.1999999999971</v>
      </c>
      <c r="F47" s="18">
        <f t="shared" si="7"/>
        <v>1038.4000000000015</v>
      </c>
      <c r="G47" s="18">
        <f t="shared" si="7"/>
        <v>1944</v>
      </c>
      <c r="H47" s="18">
        <f t="shared" si="7"/>
        <v>67937.399999999994</v>
      </c>
      <c r="I47" s="18">
        <f t="shared" si="7"/>
        <v>43745</v>
      </c>
      <c r="J47" s="18">
        <f t="shared" si="7"/>
        <v>59837.2</v>
      </c>
      <c r="K47" s="20">
        <f t="shared" si="7"/>
        <v>167123</v>
      </c>
      <c r="L47" s="20">
        <f>AVERAGE(B47:J47)</f>
        <v>20890.375</v>
      </c>
      <c r="M47" s="21">
        <f>K47/K13</f>
        <v>1.8489129368147117E-2</v>
      </c>
    </row>
    <row r="48" spans="1:13" ht="12.75" customHeight="1" x14ac:dyDescent="0.15">
      <c r="A48" s="41" t="s">
        <v>104</v>
      </c>
      <c r="B48" s="11" t="s">
        <v>105</v>
      </c>
      <c r="C48" s="14">
        <v>387834</v>
      </c>
      <c r="D48" s="14">
        <v>0</v>
      </c>
      <c r="E48" s="14">
        <v>374512</v>
      </c>
      <c r="F48" s="14">
        <v>359265</v>
      </c>
      <c r="G48" s="14">
        <v>0</v>
      </c>
      <c r="H48" s="14">
        <v>351049</v>
      </c>
      <c r="I48" s="14">
        <v>319136</v>
      </c>
      <c r="J48" s="14">
        <v>368777</v>
      </c>
      <c r="K48" s="16">
        <f>SUM(C48:J48)</f>
        <v>2160573</v>
      </c>
      <c r="L48" s="16">
        <f>AVERAGE(D48:J48)</f>
        <v>253248.42857142858</v>
      </c>
      <c r="M48" s="13">
        <f>K48/K13</f>
        <v>0.23902822296348031</v>
      </c>
    </row>
    <row r="49" spans="1:13" ht="12.75" customHeight="1" x14ac:dyDescent="0.15">
      <c r="A49" s="41"/>
      <c r="B49" s="11" t="s">
        <v>106</v>
      </c>
      <c r="C49" s="14">
        <v>14000</v>
      </c>
      <c r="D49" s="14">
        <v>0</v>
      </c>
      <c r="E49" s="14">
        <v>11333</v>
      </c>
      <c r="F49" s="14">
        <v>12333</v>
      </c>
      <c r="G49" s="14">
        <v>0</v>
      </c>
      <c r="H49" s="14">
        <v>18833</v>
      </c>
      <c r="I49" s="14">
        <v>12333</v>
      </c>
      <c r="J49" s="14">
        <v>13333</v>
      </c>
      <c r="K49" s="16">
        <f>SUM(C49:J49)</f>
        <v>82165</v>
      </c>
      <c r="L49" s="16">
        <f>AVERAGE(D49:J49)</f>
        <v>9737.8571428571431</v>
      </c>
      <c r="M49" s="13">
        <f>K49/K13</f>
        <v>9.0900672829820426E-3</v>
      </c>
    </row>
    <row r="50" spans="1:13" ht="12.75" customHeight="1" x14ac:dyDescent="0.15">
      <c r="A50" s="41"/>
      <c r="B50" s="11" t="s">
        <v>107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  <c r="K50" s="16">
        <f>SUM(C50:J50)</f>
        <v>0</v>
      </c>
      <c r="L50" s="16">
        <f>AVERAGE(D50:J50)</f>
        <v>0</v>
      </c>
      <c r="M50" s="13">
        <f>K50/K13</f>
        <v>0</v>
      </c>
    </row>
    <row r="51" spans="1:13" ht="12.75" customHeight="1" x14ac:dyDescent="0.15">
      <c r="A51" s="41"/>
      <c r="B51" s="11" t="s">
        <v>108</v>
      </c>
      <c r="C51" s="14">
        <v>61411</v>
      </c>
      <c r="D51" s="14">
        <v>0</v>
      </c>
      <c r="E51" s="14">
        <v>57977</v>
      </c>
      <c r="F51" s="14">
        <v>64188</v>
      </c>
      <c r="G51" s="14">
        <v>0</v>
      </c>
      <c r="H51" s="14">
        <v>65173</v>
      </c>
      <c r="I51" s="14">
        <v>52068</v>
      </c>
      <c r="J51" s="14">
        <v>64340</v>
      </c>
      <c r="K51" s="16">
        <f>SUM(C51:J51)</f>
        <v>365157</v>
      </c>
      <c r="L51" s="16">
        <f>AVERAGE(D51:J51)</f>
        <v>43392.285714285717</v>
      </c>
      <c r="M51" s="13">
        <f>K51/K13</f>
        <v>4.0398000351145547E-2</v>
      </c>
    </row>
    <row r="52" spans="1:13" ht="12.75" customHeight="1" x14ac:dyDescent="0.15">
      <c r="A52" s="41"/>
      <c r="B52" s="11" t="s">
        <v>109</v>
      </c>
      <c r="C52" s="14">
        <v>6000</v>
      </c>
      <c r="D52" s="14">
        <v>0</v>
      </c>
      <c r="E52" s="14">
        <v>6000</v>
      </c>
      <c r="F52" s="14">
        <v>6000</v>
      </c>
      <c r="G52" s="14">
        <v>0</v>
      </c>
      <c r="H52" s="14">
        <v>6000</v>
      </c>
      <c r="I52" s="14">
        <v>6000</v>
      </c>
      <c r="J52" s="14">
        <v>6000</v>
      </c>
      <c r="K52" s="16">
        <f>SUM(C52:J52)</f>
        <v>36000</v>
      </c>
      <c r="L52" s="16">
        <f>AVERAGE(D52:J52)</f>
        <v>4285.7142857142853</v>
      </c>
      <c r="M52" s="13">
        <f>K52/K13</f>
        <v>3.9827471817361834E-3</v>
      </c>
    </row>
    <row r="53" spans="1:13" ht="12.75" customHeight="1" x14ac:dyDescent="0.15">
      <c r="A53" s="41"/>
      <c r="B53" s="17" t="s">
        <v>110</v>
      </c>
      <c r="C53" s="18">
        <f>SUM(C48:C52)</f>
        <v>469245</v>
      </c>
      <c r="D53" s="18">
        <f t="shared" ref="D53:J53" si="8">SUM(D48:D52)</f>
        <v>0</v>
      </c>
      <c r="E53" s="18">
        <f t="shared" si="8"/>
        <v>449822</v>
      </c>
      <c r="F53" s="18">
        <f t="shared" si="8"/>
        <v>441786</v>
      </c>
      <c r="G53" s="18">
        <f t="shared" si="8"/>
        <v>0</v>
      </c>
      <c r="H53" s="18">
        <f t="shared" si="8"/>
        <v>441055</v>
      </c>
      <c r="I53" s="18">
        <f t="shared" si="8"/>
        <v>389537</v>
      </c>
      <c r="J53" s="18">
        <f t="shared" si="8"/>
        <v>452450</v>
      </c>
      <c r="K53" s="20">
        <f>SUM(C53:J53)</f>
        <v>2643895</v>
      </c>
      <c r="L53" s="20">
        <f>AVERAGE(D53:J53)</f>
        <v>310664.28571428574</v>
      </c>
      <c r="M53" s="21">
        <f>K53/K13</f>
        <v>0.29249903777934411</v>
      </c>
    </row>
    <row r="54" spans="1:13" ht="12.75" customHeight="1" x14ac:dyDescent="0.15">
      <c r="A54" s="41" t="s">
        <v>111</v>
      </c>
      <c r="B54" s="11" t="s">
        <v>112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K54" s="16">
        <f>SUM(C54:J54)</f>
        <v>0</v>
      </c>
      <c r="L54" s="16">
        <f>AVERAGE(D54:J54)</f>
        <v>0</v>
      </c>
      <c r="M54" s="13">
        <f>K54/K13</f>
        <v>0</v>
      </c>
    </row>
    <row r="55" spans="1:13" ht="12.75" customHeight="1" x14ac:dyDescent="0.15">
      <c r="A55" s="41"/>
      <c r="B55" s="11" t="s">
        <v>113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  <c r="K55" s="16">
        <f>SUM(C55:J55)</f>
        <v>0</v>
      </c>
      <c r="L55" s="16">
        <f>AVERAGE(D55:J55)</f>
        <v>0</v>
      </c>
      <c r="M55" s="13">
        <f>K55/K13</f>
        <v>0</v>
      </c>
    </row>
    <row r="56" spans="1:13" ht="12.75" customHeight="1" x14ac:dyDescent="0.15">
      <c r="A56" s="41"/>
      <c r="B56" s="11" t="s">
        <v>114</v>
      </c>
      <c r="C56" s="14">
        <v>0</v>
      </c>
      <c r="D56" s="14">
        <v>1221048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K56" s="16">
        <f>SUM(C56:J56)</f>
        <v>1221048</v>
      </c>
      <c r="L56" s="16">
        <f>AVERAGE(D56:J56)</f>
        <v>174435.42857142858</v>
      </c>
      <c r="M56" s="13">
        <f>K56/K13</f>
        <v>0.13508681891012786</v>
      </c>
    </row>
    <row r="57" spans="1:13" ht="12.75" customHeight="1" x14ac:dyDescent="0.15">
      <c r="A57" s="41"/>
      <c r="B57" s="11" t="s">
        <v>115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16">
        <f>SUM(C57:J57)</f>
        <v>0</v>
      </c>
      <c r="L57" s="16">
        <f>AVERAGE(D57:J57)</f>
        <v>0</v>
      </c>
      <c r="M57" s="13">
        <f>K57/K13</f>
        <v>0</v>
      </c>
    </row>
    <row r="58" spans="1:13" ht="12.75" customHeight="1" x14ac:dyDescent="0.15">
      <c r="A58" s="41"/>
      <c r="B58" s="11" t="s">
        <v>116</v>
      </c>
      <c r="C58" s="14">
        <v>96968.71428571429</v>
      </c>
      <c r="D58" s="14">
        <v>0</v>
      </c>
      <c r="E58" s="14">
        <v>96968.71428571429</v>
      </c>
      <c r="F58" s="14">
        <v>96968.71428571429</v>
      </c>
      <c r="G58" s="14">
        <v>96968.71428571429</v>
      </c>
      <c r="H58" s="14">
        <v>96968.71428571429</v>
      </c>
      <c r="I58" s="14">
        <v>96968.71428571429</v>
      </c>
      <c r="J58" s="14">
        <v>96968.71428571429</v>
      </c>
      <c r="K58" s="16">
        <f>SUM(C58:J58)</f>
        <v>678781.00000000012</v>
      </c>
      <c r="L58" s="16">
        <f>AVERAGE(D58:J58)</f>
        <v>83116.040816326538</v>
      </c>
      <c r="M58" s="13">
        <f>K58/K13</f>
        <v>7.5094808743501912E-2</v>
      </c>
    </row>
    <row r="59" spans="1:13" ht="12.75" customHeight="1" x14ac:dyDescent="0.15">
      <c r="A59" s="41"/>
      <c r="B59" s="11" t="s">
        <v>117</v>
      </c>
      <c r="C59" s="14">
        <v>71420.428571428565</v>
      </c>
      <c r="D59" s="14">
        <v>0</v>
      </c>
      <c r="E59" s="14">
        <v>71420.428571428565</v>
      </c>
      <c r="F59" s="14">
        <v>71420.428571428565</v>
      </c>
      <c r="G59" s="14">
        <v>71420.428571428565</v>
      </c>
      <c r="H59" s="14">
        <v>71420.428571428565</v>
      </c>
      <c r="I59" s="14">
        <v>71420.428571428565</v>
      </c>
      <c r="J59" s="14">
        <v>71420.428571428565</v>
      </c>
      <c r="K59" s="16">
        <f>SUM(C59:J59)</f>
        <v>499943</v>
      </c>
      <c r="L59" s="16">
        <f>AVERAGE(D59:J59)</f>
        <v>61217.510204081635</v>
      </c>
      <c r="M59" s="13">
        <f>K59/K13</f>
        <v>5.5309627063298131E-2</v>
      </c>
    </row>
    <row r="60" spans="1:13" ht="12.75" customHeight="1" x14ac:dyDescent="0.15">
      <c r="A60" s="41"/>
      <c r="B60" s="17" t="s">
        <v>118</v>
      </c>
      <c r="C60" s="18">
        <f>SUM(C54:C59)</f>
        <v>168389.14285714284</v>
      </c>
      <c r="D60" s="18">
        <f t="shared" ref="D60:J60" si="9">SUM(D54:D59)</f>
        <v>1221048</v>
      </c>
      <c r="E60" s="18">
        <f t="shared" si="9"/>
        <v>168389.14285714284</v>
      </c>
      <c r="F60" s="18">
        <f t="shared" si="9"/>
        <v>168389.14285714284</v>
      </c>
      <c r="G60" s="18">
        <f t="shared" si="9"/>
        <v>168389.14285714284</v>
      </c>
      <c r="H60" s="18">
        <f t="shared" si="9"/>
        <v>168389.14285714284</v>
      </c>
      <c r="I60" s="18">
        <f t="shared" si="9"/>
        <v>168389.14285714284</v>
      </c>
      <c r="J60" s="18">
        <f t="shared" si="9"/>
        <v>168389.14285714284</v>
      </c>
      <c r="K60" s="20">
        <f>SUM(C60:J60)</f>
        <v>2399771.9999999991</v>
      </c>
      <c r="L60" s="20">
        <f>AVERAGE(D60:J60)</f>
        <v>318768.97959183663</v>
      </c>
      <c r="M60" s="21">
        <f>K60/K13</f>
        <v>0.2654912547169278</v>
      </c>
    </row>
    <row r="61" spans="1:13" ht="12.75" customHeight="1" x14ac:dyDescent="0.15">
      <c r="A61" s="38" t="s">
        <v>119</v>
      </c>
      <c r="B61" s="38"/>
      <c r="C61" s="14">
        <f t="shared" ref="C61:J61" si="10">SUM(C53+C23+C29+C35+C42+C47+C60)</f>
        <v>904062.91428571427</v>
      </c>
      <c r="D61" s="14">
        <f t="shared" si="10"/>
        <v>1221048</v>
      </c>
      <c r="E61" s="14">
        <f t="shared" si="10"/>
        <v>887832.22857142857</v>
      </c>
      <c r="F61" s="14">
        <f t="shared" si="10"/>
        <v>920096.82857142854</v>
      </c>
      <c r="G61" s="14">
        <f t="shared" si="10"/>
        <v>539411.05714285711</v>
      </c>
      <c r="H61" s="14">
        <f t="shared" si="10"/>
        <v>1465002.9714285713</v>
      </c>
      <c r="I61" s="14">
        <f t="shared" si="10"/>
        <v>1008002.0285714286</v>
      </c>
      <c r="J61" s="14">
        <f t="shared" si="10"/>
        <v>1008038.5142857142</v>
      </c>
      <c r="K61" s="16">
        <f>SUM(C61:J61)</f>
        <v>7953494.5428571431</v>
      </c>
      <c r="L61" s="16">
        <f>AVERAGE(D61:J61)</f>
        <v>1007061.6612244898</v>
      </c>
      <c r="M61" s="13">
        <f>K61/K13</f>
        <v>0.87990994376440002</v>
      </c>
    </row>
    <row r="62" spans="1:13" ht="12.75" customHeight="1" x14ac:dyDescent="0.15">
      <c r="A62" s="38" t="s">
        <v>120</v>
      </c>
      <c r="B62" s="38"/>
      <c r="C62" s="14">
        <f>SUM(C13+C14-C61)</f>
        <v>384161.08571428573</v>
      </c>
      <c r="D62" s="14">
        <f t="shared" ref="D62:J62" si="11">SUM(D13+D14-D61)</f>
        <v>215479</v>
      </c>
      <c r="E62" s="14">
        <f t="shared" si="11"/>
        <v>571827.77142857143</v>
      </c>
      <c r="F62" s="14">
        <f t="shared" si="11"/>
        <v>316989.17142857146</v>
      </c>
      <c r="G62" s="14">
        <f t="shared" si="11"/>
        <v>-473411.05714285711</v>
      </c>
      <c r="H62" s="14">
        <f t="shared" si="11"/>
        <v>-379802.97142857127</v>
      </c>
      <c r="I62" s="14">
        <f t="shared" si="11"/>
        <v>140658.97142857139</v>
      </c>
      <c r="J62" s="14">
        <f t="shared" si="11"/>
        <v>309590.48571428575</v>
      </c>
      <c r="K62" s="16">
        <f>SUM(C62:J62)</f>
        <v>1085492.4571428574</v>
      </c>
      <c r="L62" s="16">
        <f>AVERAGE(D62:J62)</f>
        <v>100190.19591836739</v>
      </c>
      <c r="M62" s="13">
        <f>K62/K13</f>
        <v>0.1200900562356</v>
      </c>
    </row>
    <row r="63" spans="1:13" ht="12.75" customHeight="1" x14ac:dyDescent="0.15">
      <c r="A63" s="38" t="s">
        <v>121</v>
      </c>
      <c r="B63" s="38"/>
      <c r="C63" s="14">
        <v>104263.38095238095</v>
      </c>
      <c r="D63" s="14">
        <v>0</v>
      </c>
      <c r="E63" s="14">
        <v>104263.38095238095</v>
      </c>
      <c r="F63" s="14">
        <v>104263.38095238095</v>
      </c>
      <c r="G63" s="14">
        <v>104263.38095238095</v>
      </c>
      <c r="H63" s="14">
        <v>104263.38095238095</v>
      </c>
      <c r="I63" s="14">
        <v>104263.38095238095</v>
      </c>
      <c r="J63" s="14">
        <v>104263.38095238095</v>
      </c>
      <c r="K63" s="16">
        <f>SUM(C63:J63)</f>
        <v>729843.66666666663</v>
      </c>
      <c r="L63" s="16">
        <f>AVERAGE(D63:J63)</f>
        <v>89368.612244897959</v>
      </c>
      <c r="M63" s="13">
        <f>K63/K13</f>
        <v>8.0743966847907467E-2</v>
      </c>
    </row>
    <row r="64" spans="1:13" ht="12.75" customHeight="1" x14ac:dyDescent="0.15">
      <c r="A64" s="38" t="s">
        <v>122</v>
      </c>
      <c r="B64" s="38"/>
      <c r="C64" s="14">
        <v>29722.833333333332</v>
      </c>
      <c r="D64" s="14">
        <v>0</v>
      </c>
      <c r="E64" s="14">
        <v>29722.833333333332</v>
      </c>
      <c r="F64" s="14">
        <v>29722.833333333332</v>
      </c>
      <c r="G64" s="14">
        <v>29722.833333333332</v>
      </c>
      <c r="H64" s="14">
        <v>29722.833333333332</v>
      </c>
      <c r="I64" s="14">
        <v>29722.833333333332</v>
      </c>
      <c r="J64" s="14">
        <v>29722.833333333332</v>
      </c>
      <c r="K64" s="16">
        <f>SUM(C64:J64)</f>
        <v>208059.83333333334</v>
      </c>
      <c r="L64" s="16">
        <f>AVERAGE(D64:J64)</f>
        <v>25476.714285714286</v>
      </c>
      <c r="M64" s="13">
        <f>K64/K13</f>
        <v>2.3018047634467596E-2</v>
      </c>
    </row>
    <row r="65" spans="1:13" ht="12.75" customHeight="1" x14ac:dyDescent="0.15">
      <c r="A65" s="38" t="s">
        <v>123</v>
      </c>
      <c r="B65" s="38"/>
      <c r="C65" s="14">
        <f>SUM(C62-(C63+C64))</f>
        <v>250174.87142857144</v>
      </c>
      <c r="D65" s="14">
        <f t="shared" ref="D65:J65" si="12">SUM(D62-(D63+D64))</f>
        <v>215479</v>
      </c>
      <c r="E65" s="14">
        <f t="shared" si="12"/>
        <v>437841.55714285711</v>
      </c>
      <c r="F65" s="14">
        <f t="shared" si="12"/>
        <v>183002.95714285717</v>
      </c>
      <c r="G65" s="14">
        <f t="shared" si="12"/>
        <v>-607397.27142857143</v>
      </c>
      <c r="H65" s="14">
        <f t="shared" si="12"/>
        <v>-513789.18571428559</v>
      </c>
      <c r="I65" s="14">
        <f t="shared" si="12"/>
        <v>6672.7571428570955</v>
      </c>
      <c r="J65" s="14">
        <f t="shared" si="12"/>
        <v>175604.27142857146</v>
      </c>
      <c r="K65" s="16">
        <f>SUM(C65:J65)</f>
        <v>147588.95714285731</v>
      </c>
      <c r="L65" s="16">
        <f>AVERAGE(D65:J65)</f>
        <v>-14655.130612244891</v>
      </c>
      <c r="M65" s="13">
        <f>K65/K13</f>
        <v>1.6328041753224925E-2</v>
      </c>
    </row>
    <row r="66" spans="1:13" x14ac:dyDescent="0.15">
      <c r="A66" s="11"/>
      <c r="B66" s="29" t="s">
        <v>46</v>
      </c>
      <c r="C66" s="29"/>
      <c r="D66" s="29"/>
      <c r="E66" s="29"/>
      <c r="F66" s="29" t="s">
        <v>124</v>
      </c>
      <c r="G66" s="29"/>
      <c r="H66" s="11"/>
      <c r="I66" s="11"/>
      <c r="J66" s="11"/>
    </row>
    <row r="67" spans="1:13" x14ac:dyDescent="0.15">
      <c r="A67" s="12"/>
      <c r="B67" s="30"/>
      <c r="C67" s="31" t="s">
        <v>125</v>
      </c>
      <c r="D67" s="2" t="s">
        <v>126</v>
      </c>
      <c r="E67" s="2" t="s">
        <v>127</v>
      </c>
      <c r="F67" s="2" t="s">
        <v>128</v>
      </c>
      <c r="G67" s="2" t="s">
        <v>129</v>
      </c>
      <c r="H67" s="32"/>
      <c r="I67" s="11"/>
      <c r="J67" s="11"/>
    </row>
    <row r="68" spans="1:13" x14ac:dyDescent="0.15">
      <c r="A68" s="12"/>
      <c r="B68" s="33" t="s">
        <v>130</v>
      </c>
      <c r="C68" s="22">
        <v>0</v>
      </c>
      <c r="D68" s="22">
        <v>678781</v>
      </c>
      <c r="E68" s="22">
        <v>499943</v>
      </c>
      <c r="F68" s="22">
        <v>4379062</v>
      </c>
      <c r="G68" s="22">
        <v>1248359</v>
      </c>
      <c r="H68" s="32"/>
      <c r="I68" s="11"/>
      <c r="J68" s="11"/>
    </row>
    <row r="69" spans="1:13" x14ac:dyDescent="0.15">
      <c r="A69" s="12"/>
      <c r="B69" s="34" t="s">
        <v>131</v>
      </c>
      <c r="C69" s="22">
        <v>7</v>
      </c>
      <c r="D69" s="22">
        <v>7</v>
      </c>
      <c r="E69" s="22">
        <v>7</v>
      </c>
      <c r="F69" s="22">
        <v>42</v>
      </c>
      <c r="G69" s="22">
        <v>42</v>
      </c>
      <c r="H69" s="32"/>
      <c r="I69" s="11"/>
      <c r="J69" s="11"/>
    </row>
    <row r="70" spans="1:13" x14ac:dyDescent="0.15">
      <c r="A70" s="12"/>
      <c r="B70" s="34" t="s">
        <v>41</v>
      </c>
      <c r="C70" s="14">
        <f>SUM(C68/C69)</f>
        <v>0</v>
      </c>
      <c r="D70" s="14">
        <f t="shared" ref="D70:G70" si="13">SUM(D68/D69)</f>
        <v>96968.71428571429</v>
      </c>
      <c r="E70" s="14">
        <f t="shared" si="13"/>
        <v>71420.428571428565</v>
      </c>
      <c r="F70" s="14">
        <f t="shared" si="13"/>
        <v>104263.38095238095</v>
      </c>
      <c r="G70" s="14">
        <f t="shared" si="13"/>
        <v>29722.833333333332</v>
      </c>
      <c r="H70" s="32"/>
      <c r="I70" s="11"/>
      <c r="J70" s="11"/>
    </row>
    <row r="71" spans="1:13" x14ac:dyDescent="0.15">
      <c r="A71" s="11"/>
      <c r="B71" s="35" t="s">
        <v>47</v>
      </c>
      <c r="C71" s="35"/>
      <c r="D71" s="35"/>
      <c r="E71" s="35"/>
      <c r="F71" s="35"/>
      <c r="G71" s="35"/>
      <c r="H71" s="11"/>
      <c r="I71" s="11"/>
      <c r="J71" s="11"/>
    </row>
    <row r="72" spans="1:13" x14ac:dyDescent="0.15">
      <c r="A72" s="11"/>
      <c r="B72" s="30"/>
      <c r="C72" s="31" t="s">
        <v>132</v>
      </c>
      <c r="D72" s="2" t="s">
        <v>133</v>
      </c>
      <c r="E72" s="2" t="s">
        <v>134</v>
      </c>
      <c r="F72" s="11"/>
      <c r="G72" s="11"/>
      <c r="H72" s="11"/>
      <c r="I72" s="11"/>
      <c r="J72" s="11"/>
    </row>
    <row r="73" spans="1:13" x14ac:dyDescent="0.15">
      <c r="A73" s="11"/>
      <c r="B73" s="33" t="s">
        <v>130</v>
      </c>
      <c r="C73" s="22">
        <v>117000</v>
      </c>
      <c r="D73" s="22">
        <v>1590799</v>
      </c>
      <c r="E73" s="22">
        <v>1646495</v>
      </c>
      <c r="F73" s="11"/>
      <c r="G73" s="11"/>
      <c r="H73" s="11"/>
      <c r="I73" s="11"/>
      <c r="J73" s="11"/>
    </row>
    <row r="74" spans="1:13" x14ac:dyDescent="0.15">
      <c r="A74" s="11"/>
      <c r="B74" s="34" t="s">
        <v>131</v>
      </c>
      <c r="C74" s="22">
        <v>17</v>
      </c>
      <c r="D74" s="22">
        <v>17</v>
      </c>
      <c r="E74" s="22">
        <v>17</v>
      </c>
      <c r="F74" s="11"/>
      <c r="G74" s="11"/>
      <c r="H74" s="11"/>
      <c r="I74" s="11"/>
      <c r="J74" s="11"/>
    </row>
    <row r="75" spans="1:13" x14ac:dyDescent="0.15">
      <c r="A75" s="11"/>
      <c r="B75" s="34" t="s">
        <v>41</v>
      </c>
      <c r="C75" s="14">
        <f>SUM(C73/C74)</f>
        <v>6882.3529411764703</v>
      </c>
      <c r="D75" s="14">
        <f t="shared" ref="D75:E75" si="14">SUM(D73/D74)</f>
        <v>93576.411764705888</v>
      </c>
      <c r="E75" s="14">
        <f t="shared" si="14"/>
        <v>96852.647058823524</v>
      </c>
      <c r="F75" s="11"/>
      <c r="G75" s="11"/>
      <c r="H75" s="11"/>
      <c r="I75" s="11"/>
      <c r="J75" s="11"/>
    </row>
    <row r="76" spans="1:13" x14ac:dyDescent="0.15">
      <c r="A76" s="11"/>
      <c r="B76" s="11" t="s">
        <v>135</v>
      </c>
      <c r="C76" s="11"/>
      <c r="D76" s="11"/>
      <c r="E76" s="11"/>
      <c r="F76" s="11"/>
      <c r="G76" s="11"/>
      <c r="H76" s="11"/>
      <c r="I76" s="11"/>
      <c r="J76" s="11"/>
    </row>
    <row r="77" spans="1:13" x14ac:dyDescent="0.15">
      <c r="A77" s="11"/>
      <c r="B77" s="30"/>
      <c r="C77" s="31" t="s">
        <v>136</v>
      </c>
      <c r="D77" s="2" t="s">
        <v>137</v>
      </c>
      <c r="E77" s="2" t="s">
        <v>138</v>
      </c>
      <c r="F77" s="11"/>
      <c r="G77" s="11"/>
      <c r="H77" s="11"/>
      <c r="I77" s="11"/>
      <c r="J77" s="11"/>
    </row>
    <row r="78" spans="1:13" x14ac:dyDescent="0.15">
      <c r="A78" s="11"/>
      <c r="B78" s="33" t="s">
        <v>130</v>
      </c>
      <c r="C78" s="22"/>
      <c r="D78" s="22"/>
      <c r="E78" s="22"/>
      <c r="F78" s="11"/>
      <c r="G78" s="11"/>
      <c r="H78" s="11"/>
      <c r="I78" s="11"/>
      <c r="J78" s="11"/>
    </row>
    <row r="79" spans="1:13" x14ac:dyDescent="0.15">
      <c r="A79" s="11"/>
      <c r="B79" s="34" t="s">
        <v>131</v>
      </c>
      <c r="C79" s="22"/>
      <c r="D79" s="22"/>
      <c r="E79" s="22"/>
      <c r="F79" s="11"/>
      <c r="G79" s="11"/>
      <c r="H79" s="11"/>
      <c r="I79" s="11"/>
      <c r="J79" s="11"/>
    </row>
    <row r="80" spans="1:13" x14ac:dyDescent="0.15">
      <c r="A80" s="11"/>
      <c r="B80" s="34" t="s">
        <v>41</v>
      </c>
      <c r="C80" s="14" t="e">
        <f>SUM(C78/C79)</f>
        <v>#DIV/0!</v>
      </c>
      <c r="D80" s="14" t="e">
        <f t="shared" ref="D80:E80" si="15">SUM(D78/D79)</f>
        <v>#DIV/0!</v>
      </c>
      <c r="E80" s="14" t="e">
        <f t="shared" si="15"/>
        <v>#DIV/0!</v>
      </c>
      <c r="F80" s="11"/>
      <c r="G80" s="11"/>
      <c r="H80" s="11"/>
      <c r="I80" s="11"/>
      <c r="J80" s="11"/>
    </row>
    <row r="81" spans="1:10" x14ac:dyDescent="0.15">
      <c r="A81" s="11"/>
      <c r="B81" s="11" t="s">
        <v>139</v>
      </c>
      <c r="C81" s="11"/>
      <c r="D81" s="11"/>
      <c r="E81" s="11"/>
      <c r="F81" s="11"/>
      <c r="G81" s="11"/>
      <c r="H81" s="11"/>
      <c r="I81" s="11"/>
      <c r="J81" s="11"/>
    </row>
    <row r="82" spans="1:10" x14ac:dyDescent="0.15">
      <c r="A82" s="11"/>
      <c r="B82" s="30"/>
      <c r="C82" s="31" t="s">
        <v>140</v>
      </c>
      <c r="D82" s="2" t="s">
        <v>141</v>
      </c>
      <c r="E82" s="2" t="s">
        <v>142</v>
      </c>
      <c r="F82" s="11"/>
      <c r="G82" s="11"/>
      <c r="H82" s="11"/>
      <c r="I82" s="11"/>
      <c r="J82" s="11"/>
    </row>
    <row r="83" spans="1:10" x14ac:dyDescent="0.15">
      <c r="A83" s="11"/>
      <c r="B83" s="33" t="s">
        <v>130</v>
      </c>
      <c r="C83" s="22"/>
      <c r="D83" s="22"/>
      <c r="E83" s="22"/>
      <c r="F83" s="11"/>
      <c r="G83" s="11"/>
      <c r="H83" s="11"/>
      <c r="I83" s="11"/>
      <c r="J83" s="11"/>
    </row>
    <row r="84" spans="1:10" x14ac:dyDescent="0.15">
      <c r="A84" s="11"/>
      <c r="B84" s="34" t="s">
        <v>131</v>
      </c>
      <c r="C84" s="22"/>
      <c r="D84" s="22"/>
      <c r="E84" s="22"/>
      <c r="F84" s="11"/>
      <c r="G84" s="11"/>
      <c r="H84" s="11"/>
      <c r="I84" s="11"/>
      <c r="J84" s="11"/>
    </row>
    <row r="85" spans="1:10" x14ac:dyDescent="0.15">
      <c r="A85" s="11"/>
      <c r="B85" s="34" t="s">
        <v>41</v>
      </c>
      <c r="C85" s="14" t="e">
        <f>SUM(C83/C84)</f>
        <v>#DIV/0!</v>
      </c>
      <c r="D85" s="14" t="e">
        <f t="shared" ref="D85:E85" si="16">SUM(D83/D84)</f>
        <v>#DIV/0!</v>
      </c>
      <c r="E85" s="14" t="e">
        <f t="shared" si="16"/>
        <v>#DIV/0!</v>
      </c>
      <c r="F85" s="11"/>
      <c r="G85" s="11"/>
      <c r="H85" s="11"/>
      <c r="I85" s="11"/>
      <c r="J85" s="11"/>
    </row>
    <row r="86" spans="1:10" x14ac:dyDescent="0.15">
      <c r="A86" s="11"/>
      <c r="B86" s="11" t="s">
        <v>143</v>
      </c>
      <c r="C86" s="11"/>
      <c r="D86" s="11"/>
      <c r="E86" s="11"/>
      <c r="F86" s="11"/>
      <c r="G86" s="11"/>
      <c r="H86" s="11"/>
      <c r="I86" s="11"/>
      <c r="J86" s="11"/>
    </row>
    <row r="87" spans="1:10" x14ac:dyDescent="0.15">
      <c r="A87" s="11"/>
      <c r="B87" s="30"/>
      <c r="C87" s="31" t="s">
        <v>144</v>
      </c>
      <c r="D87" s="2" t="s">
        <v>145</v>
      </c>
      <c r="E87" s="2" t="s">
        <v>146</v>
      </c>
      <c r="F87" s="11"/>
      <c r="G87" s="11"/>
      <c r="H87" s="11"/>
      <c r="I87" s="11"/>
      <c r="J87" s="11"/>
    </row>
    <row r="88" spans="1:10" x14ac:dyDescent="0.15">
      <c r="A88" s="11"/>
      <c r="B88" s="33" t="s">
        <v>130</v>
      </c>
      <c r="C88" s="22"/>
      <c r="D88" s="22"/>
      <c r="E88" s="22"/>
      <c r="F88" s="11"/>
      <c r="G88" s="11"/>
      <c r="H88" s="11"/>
      <c r="I88" s="11"/>
      <c r="J88" s="11"/>
    </row>
    <row r="89" spans="1:10" x14ac:dyDescent="0.15">
      <c r="A89" s="11"/>
      <c r="B89" s="34" t="s">
        <v>131</v>
      </c>
      <c r="C89" s="22"/>
      <c r="D89" s="22"/>
      <c r="E89" s="22"/>
      <c r="F89" s="11"/>
      <c r="G89" s="11"/>
      <c r="H89" s="11"/>
      <c r="I89" s="11"/>
      <c r="J89" s="11"/>
    </row>
    <row r="90" spans="1:10" x14ac:dyDescent="0.15">
      <c r="A90" s="11"/>
      <c r="B90" s="34" t="s">
        <v>41</v>
      </c>
      <c r="C90" s="14" t="e">
        <f>SUM(C88/C89)</f>
        <v>#DIV/0!</v>
      </c>
      <c r="D90" s="14" t="e">
        <f t="shared" ref="D90:E90" si="17">SUM(D88/D89)</f>
        <v>#DIV/0!</v>
      </c>
      <c r="E90" s="14" t="e">
        <f t="shared" si="17"/>
        <v>#DIV/0!</v>
      </c>
      <c r="F90" s="11"/>
      <c r="G90" s="11"/>
      <c r="H90" s="11"/>
      <c r="I90" s="11"/>
      <c r="J90" s="11"/>
    </row>
    <row r="91" spans="1:10" x14ac:dyDescent="0.15">
      <c r="A91" s="11"/>
      <c r="B91" s="11"/>
      <c r="C91" s="11"/>
      <c r="D91" s="11"/>
      <c r="E91" s="11"/>
      <c r="F91" s="11"/>
      <c r="G91" s="11"/>
      <c r="H91" s="11"/>
      <c r="I91" s="11"/>
      <c r="J91" s="11"/>
    </row>
    <row r="92" spans="1:10" x14ac:dyDescent="0.15">
      <c r="A92" s="11"/>
      <c r="B92" s="30"/>
      <c r="C92" s="31" t="s">
        <v>147</v>
      </c>
      <c r="D92" s="2" t="s">
        <v>148</v>
      </c>
      <c r="E92" s="2" t="s">
        <v>149</v>
      </c>
      <c r="F92" s="11"/>
      <c r="G92" s="11"/>
      <c r="H92" s="11"/>
      <c r="I92" s="11"/>
      <c r="J92" s="11"/>
    </row>
    <row r="93" spans="1:10" x14ac:dyDescent="0.15">
      <c r="A93" s="11"/>
      <c r="B93" s="33" t="s">
        <v>130</v>
      </c>
      <c r="C93" s="22">
        <v>150000</v>
      </c>
      <c r="D93" s="22">
        <v>663825</v>
      </c>
      <c r="E93" s="22">
        <v>677969</v>
      </c>
      <c r="F93" s="11"/>
      <c r="G93" s="11"/>
      <c r="H93" s="11"/>
      <c r="I93" s="11"/>
      <c r="J93" s="11"/>
    </row>
    <row r="94" spans="1:10" x14ac:dyDescent="0.15">
      <c r="B94" s="34" t="s">
        <v>131</v>
      </c>
      <c r="C94" s="22">
        <v>7</v>
      </c>
      <c r="D94" s="22">
        <v>7</v>
      </c>
      <c r="E94" s="22">
        <v>7</v>
      </c>
    </row>
    <row r="95" spans="1:10" x14ac:dyDescent="0.15">
      <c r="B95" s="34" t="s">
        <v>41</v>
      </c>
      <c r="C95" s="14">
        <f>SUM(C93/C94)</f>
        <v>21428.571428571428</v>
      </c>
      <c r="D95" s="14">
        <f t="shared" ref="D95:E95" si="18">SUM(D93/D94)</f>
        <v>94832.142857142855</v>
      </c>
      <c r="E95" s="14">
        <f t="shared" si="18"/>
        <v>96852.71428571429</v>
      </c>
    </row>
    <row r="97" spans="2:5" x14ac:dyDescent="0.15">
      <c r="B97" s="30"/>
      <c r="C97" s="31" t="s">
        <v>150</v>
      </c>
      <c r="D97" s="2" t="s">
        <v>151</v>
      </c>
      <c r="E97" s="2" t="s">
        <v>152</v>
      </c>
    </row>
    <row r="98" spans="2:5" x14ac:dyDescent="0.15">
      <c r="B98" s="33" t="s">
        <v>130</v>
      </c>
      <c r="C98" s="22">
        <v>297000</v>
      </c>
      <c r="D98" s="22">
        <v>623730</v>
      </c>
      <c r="E98" s="22">
        <v>394195</v>
      </c>
    </row>
    <row r="99" spans="2:5" x14ac:dyDescent="0.15">
      <c r="B99" s="34" t="s">
        <v>131</v>
      </c>
      <c r="C99" s="22">
        <v>5</v>
      </c>
      <c r="D99" s="22">
        <v>5</v>
      </c>
      <c r="E99" s="22">
        <v>5</v>
      </c>
    </row>
    <row r="100" spans="2:5" x14ac:dyDescent="0.15">
      <c r="B100" s="34" t="s">
        <v>41</v>
      </c>
      <c r="C100" s="14">
        <f>SUM(C98/C99)</f>
        <v>59400</v>
      </c>
      <c r="D100" s="14">
        <f t="shared" ref="D100:E100" si="19">SUM(D98/D99)</f>
        <v>124746</v>
      </c>
      <c r="E100" s="14">
        <f t="shared" si="19"/>
        <v>78839</v>
      </c>
    </row>
    <row r="102" spans="2:5" x14ac:dyDescent="0.15">
      <c r="B102" s="30"/>
      <c r="C102" s="31" t="s">
        <v>153</v>
      </c>
      <c r="D102" s="2" t="s">
        <v>154</v>
      </c>
      <c r="E102" s="2" t="s">
        <v>155</v>
      </c>
    </row>
    <row r="103" spans="2:5" x14ac:dyDescent="0.15">
      <c r="B103" s="33" t="s">
        <v>130</v>
      </c>
      <c r="C103" s="22">
        <v>170000</v>
      </c>
      <c r="D103" s="22">
        <v>613136</v>
      </c>
      <c r="E103" s="22">
        <v>579804</v>
      </c>
    </row>
    <row r="104" spans="2:5" x14ac:dyDescent="0.15">
      <c r="B104" s="34" t="s">
        <v>131</v>
      </c>
      <c r="C104" s="22">
        <v>6</v>
      </c>
      <c r="D104" s="22">
        <v>6</v>
      </c>
      <c r="E104" s="22">
        <v>6</v>
      </c>
    </row>
    <row r="105" spans="2:5" x14ac:dyDescent="0.15">
      <c r="B105" s="34" t="s">
        <v>41</v>
      </c>
      <c r="C105" s="14">
        <f>SUM(C103/C104)</f>
        <v>28333.333333333332</v>
      </c>
      <c r="D105" s="14">
        <f t="shared" ref="D105:E105" si="20">SUM(D103/D104)</f>
        <v>102189.33333333333</v>
      </c>
      <c r="E105" s="14">
        <f t="shared" si="20"/>
        <v>96634</v>
      </c>
    </row>
    <row r="107" spans="2:5" x14ac:dyDescent="0.15">
      <c r="B107" s="11" t="s">
        <v>156</v>
      </c>
      <c r="C107" s="8">
        <v>32</v>
      </c>
    </row>
  </sheetData>
  <mergeCells count="26">
    <mergeCell ref="A64:B64"/>
    <mergeCell ref="A65:B65"/>
    <mergeCell ref="A43:A47"/>
    <mergeCell ref="A48:A53"/>
    <mergeCell ref="A54:A60"/>
    <mergeCell ref="A61:B61"/>
    <mergeCell ref="A62:B62"/>
    <mergeCell ref="A63:B63"/>
    <mergeCell ref="A15:B15"/>
    <mergeCell ref="A16:B16"/>
    <mergeCell ref="A17:A23"/>
    <mergeCell ref="A24:A29"/>
    <mergeCell ref="A30:A35"/>
    <mergeCell ref="A36:A42"/>
    <mergeCell ref="A9:B9"/>
    <mergeCell ref="A10:B10"/>
    <mergeCell ref="A11:B11"/>
    <mergeCell ref="A12:B12"/>
    <mergeCell ref="A13:B13"/>
    <mergeCell ref="A14:B14"/>
    <mergeCell ref="A3:B3"/>
    <mergeCell ref="A4:B4"/>
    <mergeCell ref="A5:B5"/>
    <mergeCell ref="A6:B6"/>
    <mergeCell ref="A7:B7"/>
    <mergeCell ref="A8:B8"/>
  </mergeCells>
  <phoneticPr fontId="3"/>
  <pageMargins left="0.6692913385826772" right="0.19685039370078741" top="0.31496062992125984" bottom="0.35433070866141736" header="0.19685039370078741" footer="0.19685039370078741"/>
  <pageSetup paperSize="12" scale="90" orientation="landscape" r:id="rId1"/>
  <headerFooter alignWithMargins="0"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>
              <from>
                <xdr:col>0</xdr:col>
                <xdr:colOff>19050</xdr:colOff>
                <xdr:row>2</xdr:row>
                <xdr:rowOff>28575</xdr:rowOff>
              </from>
              <to>
                <xdr:col>1</xdr:col>
                <xdr:colOff>485775</xdr:colOff>
                <xdr:row>3</xdr:row>
                <xdr:rowOff>142875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E673-3D0B-4046-82D1-D19F335F35D4}">
  <sheetPr codeName="Sheet3"/>
  <dimension ref="A1:AE107"/>
  <sheetViews>
    <sheetView topLeftCell="A3" workbookViewId="0">
      <selection activeCell="C4" sqref="C4"/>
    </sheetView>
  </sheetViews>
  <sheetFormatPr defaultRowHeight="13.5" x14ac:dyDescent="0.15"/>
  <cols>
    <col min="1" max="1" width="2.875" style="1" bestFit="1" customWidth="1"/>
    <col min="2" max="2" width="17.625" style="1" bestFit="1" customWidth="1"/>
    <col min="3" max="21" width="13" style="1" bestFit="1" customWidth="1"/>
    <col min="22" max="25" width="11" style="1" bestFit="1" customWidth="1"/>
    <col min="26" max="28" width="12.25" style="1" bestFit="1" customWidth="1"/>
    <col min="29" max="29" width="13.25" style="1" bestFit="1" customWidth="1"/>
    <col min="30" max="30" width="10.375" style="1" bestFit="1" customWidth="1"/>
    <col min="31" max="31" width="11" style="1" bestFit="1" customWidth="1"/>
    <col min="32" max="236" width="9" style="1"/>
    <col min="237" max="237" width="2.875" style="1" bestFit="1" customWidth="1"/>
    <col min="238" max="238" width="17.625" style="1" bestFit="1" customWidth="1"/>
    <col min="239" max="239" width="11.375" style="1" bestFit="1" customWidth="1"/>
    <col min="240" max="241" width="14.125" style="1" bestFit="1" customWidth="1"/>
    <col min="242" max="242" width="11.375" style="1" bestFit="1" customWidth="1"/>
    <col min="243" max="246" width="12.5" style="1" bestFit="1" customWidth="1"/>
    <col min="247" max="265" width="13" style="1" bestFit="1" customWidth="1"/>
    <col min="266" max="269" width="11" style="1" bestFit="1" customWidth="1"/>
    <col min="270" max="272" width="12.25" style="1" bestFit="1" customWidth="1"/>
    <col min="273" max="284" width="11" style="1" bestFit="1" customWidth="1"/>
    <col min="285" max="285" width="13.25" style="1" bestFit="1" customWidth="1"/>
    <col min="286" max="286" width="10.375" style="1" bestFit="1" customWidth="1"/>
    <col min="287" max="287" width="11" style="1" bestFit="1" customWidth="1"/>
    <col min="288" max="492" width="9" style="1"/>
    <col min="493" max="493" width="2.875" style="1" bestFit="1" customWidth="1"/>
    <col min="494" max="494" width="17.625" style="1" bestFit="1" customWidth="1"/>
    <col min="495" max="495" width="11.375" style="1" bestFit="1" customWidth="1"/>
    <col min="496" max="497" width="14.125" style="1" bestFit="1" customWidth="1"/>
    <col min="498" max="498" width="11.375" style="1" bestFit="1" customWidth="1"/>
    <col min="499" max="502" width="12.5" style="1" bestFit="1" customWidth="1"/>
    <col min="503" max="521" width="13" style="1" bestFit="1" customWidth="1"/>
    <col min="522" max="525" width="11" style="1" bestFit="1" customWidth="1"/>
    <col min="526" max="528" width="12.25" style="1" bestFit="1" customWidth="1"/>
    <col min="529" max="540" width="11" style="1" bestFit="1" customWidth="1"/>
    <col min="541" max="541" width="13.25" style="1" bestFit="1" customWidth="1"/>
    <col min="542" max="542" width="10.375" style="1" bestFit="1" customWidth="1"/>
    <col min="543" max="543" width="11" style="1" bestFit="1" customWidth="1"/>
    <col min="544" max="748" width="9" style="1"/>
    <col min="749" max="749" width="2.875" style="1" bestFit="1" customWidth="1"/>
    <col min="750" max="750" width="17.625" style="1" bestFit="1" customWidth="1"/>
    <col min="751" max="751" width="11.375" style="1" bestFit="1" customWidth="1"/>
    <col min="752" max="753" width="14.125" style="1" bestFit="1" customWidth="1"/>
    <col min="754" max="754" width="11.375" style="1" bestFit="1" customWidth="1"/>
    <col min="755" max="758" width="12.5" style="1" bestFit="1" customWidth="1"/>
    <col min="759" max="777" width="13" style="1" bestFit="1" customWidth="1"/>
    <col min="778" max="781" width="11" style="1" bestFit="1" customWidth="1"/>
    <col min="782" max="784" width="12.25" style="1" bestFit="1" customWidth="1"/>
    <col min="785" max="796" width="11" style="1" bestFit="1" customWidth="1"/>
    <col min="797" max="797" width="13.25" style="1" bestFit="1" customWidth="1"/>
    <col min="798" max="798" width="10.375" style="1" bestFit="1" customWidth="1"/>
    <col min="799" max="799" width="11" style="1" bestFit="1" customWidth="1"/>
    <col min="800" max="1004" width="9" style="1"/>
    <col min="1005" max="1005" width="2.875" style="1" bestFit="1" customWidth="1"/>
    <col min="1006" max="1006" width="17.625" style="1" bestFit="1" customWidth="1"/>
    <col min="1007" max="1007" width="11.375" style="1" bestFit="1" customWidth="1"/>
    <col min="1008" max="1009" width="14.125" style="1" bestFit="1" customWidth="1"/>
    <col min="1010" max="1010" width="11.375" style="1" bestFit="1" customWidth="1"/>
    <col min="1011" max="1014" width="12.5" style="1" bestFit="1" customWidth="1"/>
    <col min="1015" max="1033" width="13" style="1" bestFit="1" customWidth="1"/>
    <col min="1034" max="1037" width="11" style="1" bestFit="1" customWidth="1"/>
    <col min="1038" max="1040" width="12.25" style="1" bestFit="1" customWidth="1"/>
    <col min="1041" max="1052" width="11" style="1" bestFit="1" customWidth="1"/>
    <col min="1053" max="1053" width="13.25" style="1" bestFit="1" customWidth="1"/>
    <col min="1054" max="1054" width="10.375" style="1" bestFit="1" customWidth="1"/>
    <col min="1055" max="1055" width="11" style="1" bestFit="1" customWidth="1"/>
    <col min="1056" max="1260" width="9" style="1"/>
    <col min="1261" max="1261" width="2.875" style="1" bestFit="1" customWidth="1"/>
    <col min="1262" max="1262" width="17.625" style="1" bestFit="1" customWidth="1"/>
    <col min="1263" max="1263" width="11.375" style="1" bestFit="1" customWidth="1"/>
    <col min="1264" max="1265" width="14.125" style="1" bestFit="1" customWidth="1"/>
    <col min="1266" max="1266" width="11.375" style="1" bestFit="1" customWidth="1"/>
    <col min="1267" max="1270" width="12.5" style="1" bestFit="1" customWidth="1"/>
    <col min="1271" max="1289" width="13" style="1" bestFit="1" customWidth="1"/>
    <col min="1290" max="1293" width="11" style="1" bestFit="1" customWidth="1"/>
    <col min="1294" max="1296" width="12.25" style="1" bestFit="1" customWidth="1"/>
    <col min="1297" max="1308" width="11" style="1" bestFit="1" customWidth="1"/>
    <col min="1309" max="1309" width="13.25" style="1" bestFit="1" customWidth="1"/>
    <col min="1310" max="1310" width="10.375" style="1" bestFit="1" customWidth="1"/>
    <col min="1311" max="1311" width="11" style="1" bestFit="1" customWidth="1"/>
    <col min="1312" max="1516" width="9" style="1"/>
    <col min="1517" max="1517" width="2.875" style="1" bestFit="1" customWidth="1"/>
    <col min="1518" max="1518" width="17.625" style="1" bestFit="1" customWidth="1"/>
    <col min="1519" max="1519" width="11.375" style="1" bestFit="1" customWidth="1"/>
    <col min="1520" max="1521" width="14.125" style="1" bestFit="1" customWidth="1"/>
    <col min="1522" max="1522" width="11.375" style="1" bestFit="1" customWidth="1"/>
    <col min="1523" max="1526" width="12.5" style="1" bestFit="1" customWidth="1"/>
    <col min="1527" max="1545" width="13" style="1" bestFit="1" customWidth="1"/>
    <col min="1546" max="1549" width="11" style="1" bestFit="1" customWidth="1"/>
    <col min="1550" max="1552" width="12.25" style="1" bestFit="1" customWidth="1"/>
    <col min="1553" max="1564" width="11" style="1" bestFit="1" customWidth="1"/>
    <col min="1565" max="1565" width="13.25" style="1" bestFit="1" customWidth="1"/>
    <col min="1566" max="1566" width="10.375" style="1" bestFit="1" customWidth="1"/>
    <col min="1567" max="1567" width="11" style="1" bestFit="1" customWidth="1"/>
    <col min="1568" max="1772" width="9" style="1"/>
    <col min="1773" max="1773" width="2.875" style="1" bestFit="1" customWidth="1"/>
    <col min="1774" max="1774" width="17.625" style="1" bestFit="1" customWidth="1"/>
    <col min="1775" max="1775" width="11.375" style="1" bestFit="1" customWidth="1"/>
    <col min="1776" max="1777" width="14.125" style="1" bestFit="1" customWidth="1"/>
    <col min="1778" max="1778" width="11.375" style="1" bestFit="1" customWidth="1"/>
    <col min="1779" max="1782" width="12.5" style="1" bestFit="1" customWidth="1"/>
    <col min="1783" max="1801" width="13" style="1" bestFit="1" customWidth="1"/>
    <col min="1802" max="1805" width="11" style="1" bestFit="1" customWidth="1"/>
    <col min="1806" max="1808" width="12.25" style="1" bestFit="1" customWidth="1"/>
    <col min="1809" max="1820" width="11" style="1" bestFit="1" customWidth="1"/>
    <col min="1821" max="1821" width="13.25" style="1" bestFit="1" customWidth="1"/>
    <col min="1822" max="1822" width="10.375" style="1" bestFit="1" customWidth="1"/>
    <col min="1823" max="1823" width="11" style="1" bestFit="1" customWidth="1"/>
    <col min="1824" max="2028" width="9" style="1"/>
    <col min="2029" max="2029" width="2.875" style="1" bestFit="1" customWidth="1"/>
    <col min="2030" max="2030" width="17.625" style="1" bestFit="1" customWidth="1"/>
    <col min="2031" max="2031" width="11.375" style="1" bestFit="1" customWidth="1"/>
    <col min="2032" max="2033" width="14.125" style="1" bestFit="1" customWidth="1"/>
    <col min="2034" max="2034" width="11.375" style="1" bestFit="1" customWidth="1"/>
    <col min="2035" max="2038" width="12.5" style="1" bestFit="1" customWidth="1"/>
    <col min="2039" max="2057" width="13" style="1" bestFit="1" customWidth="1"/>
    <col min="2058" max="2061" width="11" style="1" bestFit="1" customWidth="1"/>
    <col min="2062" max="2064" width="12.25" style="1" bestFit="1" customWidth="1"/>
    <col min="2065" max="2076" width="11" style="1" bestFit="1" customWidth="1"/>
    <col min="2077" max="2077" width="13.25" style="1" bestFit="1" customWidth="1"/>
    <col min="2078" max="2078" width="10.375" style="1" bestFit="1" customWidth="1"/>
    <col min="2079" max="2079" width="11" style="1" bestFit="1" customWidth="1"/>
    <col min="2080" max="2284" width="9" style="1"/>
    <col min="2285" max="2285" width="2.875" style="1" bestFit="1" customWidth="1"/>
    <col min="2286" max="2286" width="17.625" style="1" bestFit="1" customWidth="1"/>
    <col min="2287" max="2287" width="11.375" style="1" bestFit="1" customWidth="1"/>
    <col min="2288" max="2289" width="14.125" style="1" bestFit="1" customWidth="1"/>
    <col min="2290" max="2290" width="11.375" style="1" bestFit="1" customWidth="1"/>
    <col min="2291" max="2294" width="12.5" style="1" bestFit="1" customWidth="1"/>
    <col min="2295" max="2313" width="13" style="1" bestFit="1" customWidth="1"/>
    <col min="2314" max="2317" width="11" style="1" bestFit="1" customWidth="1"/>
    <col min="2318" max="2320" width="12.25" style="1" bestFit="1" customWidth="1"/>
    <col min="2321" max="2332" width="11" style="1" bestFit="1" customWidth="1"/>
    <col min="2333" max="2333" width="13.25" style="1" bestFit="1" customWidth="1"/>
    <col min="2334" max="2334" width="10.375" style="1" bestFit="1" customWidth="1"/>
    <col min="2335" max="2335" width="11" style="1" bestFit="1" customWidth="1"/>
    <col min="2336" max="2540" width="9" style="1"/>
    <col min="2541" max="2541" width="2.875" style="1" bestFit="1" customWidth="1"/>
    <col min="2542" max="2542" width="17.625" style="1" bestFit="1" customWidth="1"/>
    <col min="2543" max="2543" width="11.375" style="1" bestFit="1" customWidth="1"/>
    <col min="2544" max="2545" width="14.125" style="1" bestFit="1" customWidth="1"/>
    <col min="2546" max="2546" width="11.375" style="1" bestFit="1" customWidth="1"/>
    <col min="2547" max="2550" width="12.5" style="1" bestFit="1" customWidth="1"/>
    <col min="2551" max="2569" width="13" style="1" bestFit="1" customWidth="1"/>
    <col min="2570" max="2573" width="11" style="1" bestFit="1" customWidth="1"/>
    <col min="2574" max="2576" width="12.25" style="1" bestFit="1" customWidth="1"/>
    <col min="2577" max="2588" width="11" style="1" bestFit="1" customWidth="1"/>
    <col min="2589" max="2589" width="13.25" style="1" bestFit="1" customWidth="1"/>
    <col min="2590" max="2590" width="10.375" style="1" bestFit="1" customWidth="1"/>
    <col min="2591" max="2591" width="11" style="1" bestFit="1" customWidth="1"/>
    <col min="2592" max="2796" width="9" style="1"/>
    <col min="2797" max="2797" width="2.875" style="1" bestFit="1" customWidth="1"/>
    <col min="2798" max="2798" width="17.625" style="1" bestFit="1" customWidth="1"/>
    <col min="2799" max="2799" width="11.375" style="1" bestFit="1" customWidth="1"/>
    <col min="2800" max="2801" width="14.125" style="1" bestFit="1" customWidth="1"/>
    <col min="2802" max="2802" width="11.375" style="1" bestFit="1" customWidth="1"/>
    <col min="2803" max="2806" width="12.5" style="1" bestFit="1" customWidth="1"/>
    <col min="2807" max="2825" width="13" style="1" bestFit="1" customWidth="1"/>
    <col min="2826" max="2829" width="11" style="1" bestFit="1" customWidth="1"/>
    <col min="2830" max="2832" width="12.25" style="1" bestFit="1" customWidth="1"/>
    <col min="2833" max="2844" width="11" style="1" bestFit="1" customWidth="1"/>
    <col min="2845" max="2845" width="13.25" style="1" bestFit="1" customWidth="1"/>
    <col min="2846" max="2846" width="10.375" style="1" bestFit="1" customWidth="1"/>
    <col min="2847" max="2847" width="11" style="1" bestFit="1" customWidth="1"/>
    <col min="2848" max="3052" width="9" style="1"/>
    <col min="3053" max="3053" width="2.875" style="1" bestFit="1" customWidth="1"/>
    <col min="3054" max="3054" width="17.625" style="1" bestFit="1" customWidth="1"/>
    <col min="3055" max="3055" width="11.375" style="1" bestFit="1" customWidth="1"/>
    <col min="3056" max="3057" width="14.125" style="1" bestFit="1" customWidth="1"/>
    <col min="3058" max="3058" width="11.375" style="1" bestFit="1" customWidth="1"/>
    <col min="3059" max="3062" width="12.5" style="1" bestFit="1" customWidth="1"/>
    <col min="3063" max="3081" width="13" style="1" bestFit="1" customWidth="1"/>
    <col min="3082" max="3085" width="11" style="1" bestFit="1" customWidth="1"/>
    <col min="3086" max="3088" width="12.25" style="1" bestFit="1" customWidth="1"/>
    <col min="3089" max="3100" width="11" style="1" bestFit="1" customWidth="1"/>
    <col min="3101" max="3101" width="13.25" style="1" bestFit="1" customWidth="1"/>
    <col min="3102" max="3102" width="10.375" style="1" bestFit="1" customWidth="1"/>
    <col min="3103" max="3103" width="11" style="1" bestFit="1" customWidth="1"/>
    <col min="3104" max="3308" width="9" style="1"/>
    <col min="3309" max="3309" width="2.875" style="1" bestFit="1" customWidth="1"/>
    <col min="3310" max="3310" width="17.625" style="1" bestFit="1" customWidth="1"/>
    <col min="3311" max="3311" width="11.375" style="1" bestFit="1" customWidth="1"/>
    <col min="3312" max="3313" width="14.125" style="1" bestFit="1" customWidth="1"/>
    <col min="3314" max="3314" width="11.375" style="1" bestFit="1" customWidth="1"/>
    <col min="3315" max="3318" width="12.5" style="1" bestFit="1" customWidth="1"/>
    <col min="3319" max="3337" width="13" style="1" bestFit="1" customWidth="1"/>
    <col min="3338" max="3341" width="11" style="1" bestFit="1" customWidth="1"/>
    <col min="3342" max="3344" width="12.25" style="1" bestFit="1" customWidth="1"/>
    <col min="3345" max="3356" width="11" style="1" bestFit="1" customWidth="1"/>
    <col min="3357" max="3357" width="13.25" style="1" bestFit="1" customWidth="1"/>
    <col min="3358" max="3358" width="10.375" style="1" bestFit="1" customWidth="1"/>
    <col min="3359" max="3359" width="11" style="1" bestFit="1" customWidth="1"/>
    <col min="3360" max="3564" width="9" style="1"/>
    <col min="3565" max="3565" width="2.875" style="1" bestFit="1" customWidth="1"/>
    <col min="3566" max="3566" width="17.625" style="1" bestFit="1" customWidth="1"/>
    <col min="3567" max="3567" width="11.375" style="1" bestFit="1" customWidth="1"/>
    <col min="3568" max="3569" width="14.125" style="1" bestFit="1" customWidth="1"/>
    <col min="3570" max="3570" width="11.375" style="1" bestFit="1" customWidth="1"/>
    <col min="3571" max="3574" width="12.5" style="1" bestFit="1" customWidth="1"/>
    <col min="3575" max="3593" width="13" style="1" bestFit="1" customWidth="1"/>
    <col min="3594" max="3597" width="11" style="1" bestFit="1" customWidth="1"/>
    <col min="3598" max="3600" width="12.25" style="1" bestFit="1" customWidth="1"/>
    <col min="3601" max="3612" width="11" style="1" bestFit="1" customWidth="1"/>
    <col min="3613" max="3613" width="13.25" style="1" bestFit="1" customWidth="1"/>
    <col min="3614" max="3614" width="10.375" style="1" bestFit="1" customWidth="1"/>
    <col min="3615" max="3615" width="11" style="1" bestFit="1" customWidth="1"/>
    <col min="3616" max="3820" width="9" style="1"/>
    <col min="3821" max="3821" width="2.875" style="1" bestFit="1" customWidth="1"/>
    <col min="3822" max="3822" width="17.625" style="1" bestFit="1" customWidth="1"/>
    <col min="3823" max="3823" width="11.375" style="1" bestFit="1" customWidth="1"/>
    <col min="3824" max="3825" width="14.125" style="1" bestFit="1" customWidth="1"/>
    <col min="3826" max="3826" width="11.375" style="1" bestFit="1" customWidth="1"/>
    <col min="3827" max="3830" width="12.5" style="1" bestFit="1" customWidth="1"/>
    <col min="3831" max="3849" width="13" style="1" bestFit="1" customWidth="1"/>
    <col min="3850" max="3853" width="11" style="1" bestFit="1" customWidth="1"/>
    <col min="3854" max="3856" width="12.25" style="1" bestFit="1" customWidth="1"/>
    <col min="3857" max="3868" width="11" style="1" bestFit="1" customWidth="1"/>
    <col min="3869" max="3869" width="13.25" style="1" bestFit="1" customWidth="1"/>
    <col min="3870" max="3870" width="10.375" style="1" bestFit="1" customWidth="1"/>
    <col min="3871" max="3871" width="11" style="1" bestFit="1" customWidth="1"/>
    <col min="3872" max="4076" width="9" style="1"/>
    <col min="4077" max="4077" width="2.875" style="1" bestFit="1" customWidth="1"/>
    <col min="4078" max="4078" width="17.625" style="1" bestFit="1" customWidth="1"/>
    <col min="4079" max="4079" width="11.375" style="1" bestFit="1" customWidth="1"/>
    <col min="4080" max="4081" width="14.125" style="1" bestFit="1" customWidth="1"/>
    <col min="4082" max="4082" width="11.375" style="1" bestFit="1" customWidth="1"/>
    <col min="4083" max="4086" width="12.5" style="1" bestFit="1" customWidth="1"/>
    <col min="4087" max="4105" width="13" style="1" bestFit="1" customWidth="1"/>
    <col min="4106" max="4109" width="11" style="1" bestFit="1" customWidth="1"/>
    <col min="4110" max="4112" width="12.25" style="1" bestFit="1" customWidth="1"/>
    <col min="4113" max="4124" width="11" style="1" bestFit="1" customWidth="1"/>
    <col min="4125" max="4125" width="13.25" style="1" bestFit="1" customWidth="1"/>
    <col min="4126" max="4126" width="10.375" style="1" bestFit="1" customWidth="1"/>
    <col min="4127" max="4127" width="11" style="1" bestFit="1" customWidth="1"/>
    <col min="4128" max="4332" width="9" style="1"/>
    <col min="4333" max="4333" width="2.875" style="1" bestFit="1" customWidth="1"/>
    <col min="4334" max="4334" width="17.625" style="1" bestFit="1" customWidth="1"/>
    <col min="4335" max="4335" width="11.375" style="1" bestFit="1" customWidth="1"/>
    <col min="4336" max="4337" width="14.125" style="1" bestFit="1" customWidth="1"/>
    <col min="4338" max="4338" width="11.375" style="1" bestFit="1" customWidth="1"/>
    <col min="4339" max="4342" width="12.5" style="1" bestFit="1" customWidth="1"/>
    <col min="4343" max="4361" width="13" style="1" bestFit="1" customWidth="1"/>
    <col min="4362" max="4365" width="11" style="1" bestFit="1" customWidth="1"/>
    <col min="4366" max="4368" width="12.25" style="1" bestFit="1" customWidth="1"/>
    <col min="4369" max="4380" width="11" style="1" bestFit="1" customWidth="1"/>
    <col min="4381" max="4381" width="13.25" style="1" bestFit="1" customWidth="1"/>
    <col min="4382" max="4382" width="10.375" style="1" bestFit="1" customWidth="1"/>
    <col min="4383" max="4383" width="11" style="1" bestFit="1" customWidth="1"/>
    <col min="4384" max="4588" width="9" style="1"/>
    <col min="4589" max="4589" width="2.875" style="1" bestFit="1" customWidth="1"/>
    <col min="4590" max="4590" width="17.625" style="1" bestFit="1" customWidth="1"/>
    <col min="4591" max="4591" width="11.375" style="1" bestFit="1" customWidth="1"/>
    <col min="4592" max="4593" width="14.125" style="1" bestFit="1" customWidth="1"/>
    <col min="4594" max="4594" width="11.375" style="1" bestFit="1" customWidth="1"/>
    <col min="4595" max="4598" width="12.5" style="1" bestFit="1" customWidth="1"/>
    <col min="4599" max="4617" width="13" style="1" bestFit="1" customWidth="1"/>
    <col min="4618" max="4621" width="11" style="1" bestFit="1" customWidth="1"/>
    <col min="4622" max="4624" width="12.25" style="1" bestFit="1" customWidth="1"/>
    <col min="4625" max="4636" width="11" style="1" bestFit="1" customWidth="1"/>
    <col min="4637" max="4637" width="13.25" style="1" bestFit="1" customWidth="1"/>
    <col min="4638" max="4638" width="10.375" style="1" bestFit="1" customWidth="1"/>
    <col min="4639" max="4639" width="11" style="1" bestFit="1" customWidth="1"/>
    <col min="4640" max="4844" width="9" style="1"/>
    <col min="4845" max="4845" width="2.875" style="1" bestFit="1" customWidth="1"/>
    <col min="4846" max="4846" width="17.625" style="1" bestFit="1" customWidth="1"/>
    <col min="4847" max="4847" width="11.375" style="1" bestFit="1" customWidth="1"/>
    <col min="4848" max="4849" width="14.125" style="1" bestFit="1" customWidth="1"/>
    <col min="4850" max="4850" width="11.375" style="1" bestFit="1" customWidth="1"/>
    <col min="4851" max="4854" width="12.5" style="1" bestFit="1" customWidth="1"/>
    <col min="4855" max="4873" width="13" style="1" bestFit="1" customWidth="1"/>
    <col min="4874" max="4877" width="11" style="1" bestFit="1" customWidth="1"/>
    <col min="4878" max="4880" width="12.25" style="1" bestFit="1" customWidth="1"/>
    <col min="4881" max="4892" width="11" style="1" bestFit="1" customWidth="1"/>
    <col min="4893" max="4893" width="13.25" style="1" bestFit="1" customWidth="1"/>
    <col min="4894" max="4894" width="10.375" style="1" bestFit="1" customWidth="1"/>
    <col min="4895" max="4895" width="11" style="1" bestFit="1" customWidth="1"/>
    <col min="4896" max="5100" width="9" style="1"/>
    <col min="5101" max="5101" width="2.875" style="1" bestFit="1" customWidth="1"/>
    <col min="5102" max="5102" width="17.625" style="1" bestFit="1" customWidth="1"/>
    <col min="5103" max="5103" width="11.375" style="1" bestFit="1" customWidth="1"/>
    <col min="5104" max="5105" width="14.125" style="1" bestFit="1" customWidth="1"/>
    <col min="5106" max="5106" width="11.375" style="1" bestFit="1" customWidth="1"/>
    <col min="5107" max="5110" width="12.5" style="1" bestFit="1" customWidth="1"/>
    <col min="5111" max="5129" width="13" style="1" bestFit="1" customWidth="1"/>
    <col min="5130" max="5133" width="11" style="1" bestFit="1" customWidth="1"/>
    <col min="5134" max="5136" width="12.25" style="1" bestFit="1" customWidth="1"/>
    <col min="5137" max="5148" width="11" style="1" bestFit="1" customWidth="1"/>
    <col min="5149" max="5149" width="13.25" style="1" bestFit="1" customWidth="1"/>
    <col min="5150" max="5150" width="10.375" style="1" bestFit="1" customWidth="1"/>
    <col min="5151" max="5151" width="11" style="1" bestFit="1" customWidth="1"/>
    <col min="5152" max="5356" width="9" style="1"/>
    <col min="5357" max="5357" width="2.875" style="1" bestFit="1" customWidth="1"/>
    <col min="5358" max="5358" width="17.625" style="1" bestFit="1" customWidth="1"/>
    <col min="5359" max="5359" width="11.375" style="1" bestFit="1" customWidth="1"/>
    <col min="5360" max="5361" width="14.125" style="1" bestFit="1" customWidth="1"/>
    <col min="5362" max="5362" width="11.375" style="1" bestFit="1" customWidth="1"/>
    <col min="5363" max="5366" width="12.5" style="1" bestFit="1" customWidth="1"/>
    <col min="5367" max="5385" width="13" style="1" bestFit="1" customWidth="1"/>
    <col min="5386" max="5389" width="11" style="1" bestFit="1" customWidth="1"/>
    <col min="5390" max="5392" width="12.25" style="1" bestFit="1" customWidth="1"/>
    <col min="5393" max="5404" width="11" style="1" bestFit="1" customWidth="1"/>
    <col min="5405" max="5405" width="13.25" style="1" bestFit="1" customWidth="1"/>
    <col min="5406" max="5406" width="10.375" style="1" bestFit="1" customWidth="1"/>
    <col min="5407" max="5407" width="11" style="1" bestFit="1" customWidth="1"/>
    <col min="5408" max="5612" width="9" style="1"/>
    <col min="5613" max="5613" width="2.875" style="1" bestFit="1" customWidth="1"/>
    <col min="5614" max="5614" width="17.625" style="1" bestFit="1" customWidth="1"/>
    <col min="5615" max="5615" width="11.375" style="1" bestFit="1" customWidth="1"/>
    <col min="5616" max="5617" width="14.125" style="1" bestFit="1" customWidth="1"/>
    <col min="5618" max="5618" width="11.375" style="1" bestFit="1" customWidth="1"/>
    <col min="5619" max="5622" width="12.5" style="1" bestFit="1" customWidth="1"/>
    <col min="5623" max="5641" width="13" style="1" bestFit="1" customWidth="1"/>
    <col min="5642" max="5645" width="11" style="1" bestFit="1" customWidth="1"/>
    <col min="5646" max="5648" width="12.25" style="1" bestFit="1" customWidth="1"/>
    <col min="5649" max="5660" width="11" style="1" bestFit="1" customWidth="1"/>
    <col min="5661" max="5661" width="13.25" style="1" bestFit="1" customWidth="1"/>
    <col min="5662" max="5662" width="10.375" style="1" bestFit="1" customWidth="1"/>
    <col min="5663" max="5663" width="11" style="1" bestFit="1" customWidth="1"/>
    <col min="5664" max="5868" width="9" style="1"/>
    <col min="5869" max="5869" width="2.875" style="1" bestFit="1" customWidth="1"/>
    <col min="5870" max="5870" width="17.625" style="1" bestFit="1" customWidth="1"/>
    <col min="5871" max="5871" width="11.375" style="1" bestFit="1" customWidth="1"/>
    <col min="5872" max="5873" width="14.125" style="1" bestFit="1" customWidth="1"/>
    <col min="5874" max="5874" width="11.375" style="1" bestFit="1" customWidth="1"/>
    <col min="5875" max="5878" width="12.5" style="1" bestFit="1" customWidth="1"/>
    <col min="5879" max="5897" width="13" style="1" bestFit="1" customWidth="1"/>
    <col min="5898" max="5901" width="11" style="1" bestFit="1" customWidth="1"/>
    <col min="5902" max="5904" width="12.25" style="1" bestFit="1" customWidth="1"/>
    <col min="5905" max="5916" width="11" style="1" bestFit="1" customWidth="1"/>
    <col min="5917" max="5917" width="13.25" style="1" bestFit="1" customWidth="1"/>
    <col min="5918" max="5918" width="10.375" style="1" bestFit="1" customWidth="1"/>
    <col min="5919" max="5919" width="11" style="1" bestFit="1" customWidth="1"/>
    <col min="5920" max="6124" width="9" style="1"/>
    <col min="6125" max="6125" width="2.875" style="1" bestFit="1" customWidth="1"/>
    <col min="6126" max="6126" width="17.625" style="1" bestFit="1" customWidth="1"/>
    <col min="6127" max="6127" width="11.375" style="1" bestFit="1" customWidth="1"/>
    <col min="6128" max="6129" width="14.125" style="1" bestFit="1" customWidth="1"/>
    <col min="6130" max="6130" width="11.375" style="1" bestFit="1" customWidth="1"/>
    <col min="6131" max="6134" width="12.5" style="1" bestFit="1" customWidth="1"/>
    <col min="6135" max="6153" width="13" style="1" bestFit="1" customWidth="1"/>
    <col min="6154" max="6157" width="11" style="1" bestFit="1" customWidth="1"/>
    <col min="6158" max="6160" width="12.25" style="1" bestFit="1" customWidth="1"/>
    <col min="6161" max="6172" width="11" style="1" bestFit="1" customWidth="1"/>
    <col min="6173" max="6173" width="13.25" style="1" bestFit="1" customWidth="1"/>
    <col min="6174" max="6174" width="10.375" style="1" bestFit="1" customWidth="1"/>
    <col min="6175" max="6175" width="11" style="1" bestFit="1" customWidth="1"/>
    <col min="6176" max="6380" width="9" style="1"/>
    <col min="6381" max="6381" width="2.875" style="1" bestFit="1" customWidth="1"/>
    <col min="6382" max="6382" width="17.625" style="1" bestFit="1" customWidth="1"/>
    <col min="6383" max="6383" width="11.375" style="1" bestFit="1" customWidth="1"/>
    <col min="6384" max="6385" width="14.125" style="1" bestFit="1" customWidth="1"/>
    <col min="6386" max="6386" width="11.375" style="1" bestFit="1" customWidth="1"/>
    <col min="6387" max="6390" width="12.5" style="1" bestFit="1" customWidth="1"/>
    <col min="6391" max="6409" width="13" style="1" bestFit="1" customWidth="1"/>
    <col min="6410" max="6413" width="11" style="1" bestFit="1" customWidth="1"/>
    <col min="6414" max="6416" width="12.25" style="1" bestFit="1" customWidth="1"/>
    <col min="6417" max="6428" width="11" style="1" bestFit="1" customWidth="1"/>
    <col min="6429" max="6429" width="13.25" style="1" bestFit="1" customWidth="1"/>
    <col min="6430" max="6430" width="10.375" style="1" bestFit="1" customWidth="1"/>
    <col min="6431" max="6431" width="11" style="1" bestFit="1" customWidth="1"/>
    <col min="6432" max="6636" width="9" style="1"/>
    <col min="6637" max="6637" width="2.875" style="1" bestFit="1" customWidth="1"/>
    <col min="6638" max="6638" width="17.625" style="1" bestFit="1" customWidth="1"/>
    <col min="6639" max="6639" width="11.375" style="1" bestFit="1" customWidth="1"/>
    <col min="6640" max="6641" width="14.125" style="1" bestFit="1" customWidth="1"/>
    <col min="6642" max="6642" width="11.375" style="1" bestFit="1" customWidth="1"/>
    <col min="6643" max="6646" width="12.5" style="1" bestFit="1" customWidth="1"/>
    <col min="6647" max="6665" width="13" style="1" bestFit="1" customWidth="1"/>
    <col min="6666" max="6669" width="11" style="1" bestFit="1" customWidth="1"/>
    <col min="6670" max="6672" width="12.25" style="1" bestFit="1" customWidth="1"/>
    <col min="6673" max="6684" width="11" style="1" bestFit="1" customWidth="1"/>
    <col min="6685" max="6685" width="13.25" style="1" bestFit="1" customWidth="1"/>
    <col min="6686" max="6686" width="10.375" style="1" bestFit="1" customWidth="1"/>
    <col min="6687" max="6687" width="11" style="1" bestFit="1" customWidth="1"/>
    <col min="6688" max="6892" width="9" style="1"/>
    <col min="6893" max="6893" width="2.875" style="1" bestFit="1" customWidth="1"/>
    <col min="6894" max="6894" width="17.625" style="1" bestFit="1" customWidth="1"/>
    <col min="6895" max="6895" width="11.375" style="1" bestFit="1" customWidth="1"/>
    <col min="6896" max="6897" width="14.125" style="1" bestFit="1" customWidth="1"/>
    <col min="6898" max="6898" width="11.375" style="1" bestFit="1" customWidth="1"/>
    <col min="6899" max="6902" width="12.5" style="1" bestFit="1" customWidth="1"/>
    <col min="6903" max="6921" width="13" style="1" bestFit="1" customWidth="1"/>
    <col min="6922" max="6925" width="11" style="1" bestFit="1" customWidth="1"/>
    <col min="6926" max="6928" width="12.25" style="1" bestFit="1" customWidth="1"/>
    <col min="6929" max="6940" width="11" style="1" bestFit="1" customWidth="1"/>
    <col min="6941" max="6941" width="13.25" style="1" bestFit="1" customWidth="1"/>
    <col min="6942" max="6942" width="10.375" style="1" bestFit="1" customWidth="1"/>
    <col min="6943" max="6943" width="11" style="1" bestFit="1" customWidth="1"/>
    <col min="6944" max="7148" width="9" style="1"/>
    <col min="7149" max="7149" width="2.875" style="1" bestFit="1" customWidth="1"/>
    <col min="7150" max="7150" width="17.625" style="1" bestFit="1" customWidth="1"/>
    <col min="7151" max="7151" width="11.375" style="1" bestFit="1" customWidth="1"/>
    <col min="7152" max="7153" width="14.125" style="1" bestFit="1" customWidth="1"/>
    <col min="7154" max="7154" width="11.375" style="1" bestFit="1" customWidth="1"/>
    <col min="7155" max="7158" width="12.5" style="1" bestFit="1" customWidth="1"/>
    <col min="7159" max="7177" width="13" style="1" bestFit="1" customWidth="1"/>
    <col min="7178" max="7181" width="11" style="1" bestFit="1" customWidth="1"/>
    <col min="7182" max="7184" width="12.25" style="1" bestFit="1" customWidth="1"/>
    <col min="7185" max="7196" width="11" style="1" bestFit="1" customWidth="1"/>
    <col min="7197" max="7197" width="13.25" style="1" bestFit="1" customWidth="1"/>
    <col min="7198" max="7198" width="10.375" style="1" bestFit="1" customWidth="1"/>
    <col min="7199" max="7199" width="11" style="1" bestFit="1" customWidth="1"/>
    <col min="7200" max="7404" width="9" style="1"/>
    <col min="7405" max="7405" width="2.875" style="1" bestFit="1" customWidth="1"/>
    <col min="7406" max="7406" width="17.625" style="1" bestFit="1" customWidth="1"/>
    <col min="7407" max="7407" width="11.375" style="1" bestFit="1" customWidth="1"/>
    <col min="7408" max="7409" width="14.125" style="1" bestFit="1" customWidth="1"/>
    <col min="7410" max="7410" width="11.375" style="1" bestFit="1" customWidth="1"/>
    <col min="7411" max="7414" width="12.5" style="1" bestFit="1" customWidth="1"/>
    <col min="7415" max="7433" width="13" style="1" bestFit="1" customWidth="1"/>
    <col min="7434" max="7437" width="11" style="1" bestFit="1" customWidth="1"/>
    <col min="7438" max="7440" width="12.25" style="1" bestFit="1" customWidth="1"/>
    <col min="7441" max="7452" width="11" style="1" bestFit="1" customWidth="1"/>
    <col min="7453" max="7453" width="13.25" style="1" bestFit="1" customWidth="1"/>
    <col min="7454" max="7454" width="10.375" style="1" bestFit="1" customWidth="1"/>
    <col min="7455" max="7455" width="11" style="1" bestFit="1" customWidth="1"/>
    <col min="7456" max="7660" width="9" style="1"/>
    <col min="7661" max="7661" width="2.875" style="1" bestFit="1" customWidth="1"/>
    <col min="7662" max="7662" width="17.625" style="1" bestFit="1" customWidth="1"/>
    <col min="7663" max="7663" width="11.375" style="1" bestFit="1" customWidth="1"/>
    <col min="7664" max="7665" width="14.125" style="1" bestFit="1" customWidth="1"/>
    <col min="7666" max="7666" width="11.375" style="1" bestFit="1" customWidth="1"/>
    <col min="7667" max="7670" width="12.5" style="1" bestFit="1" customWidth="1"/>
    <col min="7671" max="7689" width="13" style="1" bestFit="1" customWidth="1"/>
    <col min="7690" max="7693" width="11" style="1" bestFit="1" customWidth="1"/>
    <col min="7694" max="7696" width="12.25" style="1" bestFit="1" customWidth="1"/>
    <col min="7697" max="7708" width="11" style="1" bestFit="1" customWidth="1"/>
    <col min="7709" max="7709" width="13.25" style="1" bestFit="1" customWidth="1"/>
    <col min="7710" max="7710" width="10.375" style="1" bestFit="1" customWidth="1"/>
    <col min="7711" max="7711" width="11" style="1" bestFit="1" customWidth="1"/>
    <col min="7712" max="7916" width="9" style="1"/>
    <col min="7917" max="7917" width="2.875" style="1" bestFit="1" customWidth="1"/>
    <col min="7918" max="7918" width="17.625" style="1" bestFit="1" customWidth="1"/>
    <col min="7919" max="7919" width="11.375" style="1" bestFit="1" customWidth="1"/>
    <col min="7920" max="7921" width="14.125" style="1" bestFit="1" customWidth="1"/>
    <col min="7922" max="7922" width="11.375" style="1" bestFit="1" customWidth="1"/>
    <col min="7923" max="7926" width="12.5" style="1" bestFit="1" customWidth="1"/>
    <col min="7927" max="7945" width="13" style="1" bestFit="1" customWidth="1"/>
    <col min="7946" max="7949" width="11" style="1" bestFit="1" customWidth="1"/>
    <col min="7950" max="7952" width="12.25" style="1" bestFit="1" customWidth="1"/>
    <col min="7953" max="7964" width="11" style="1" bestFit="1" customWidth="1"/>
    <col min="7965" max="7965" width="13.25" style="1" bestFit="1" customWidth="1"/>
    <col min="7966" max="7966" width="10.375" style="1" bestFit="1" customWidth="1"/>
    <col min="7967" max="7967" width="11" style="1" bestFit="1" customWidth="1"/>
    <col min="7968" max="8172" width="9" style="1"/>
    <col min="8173" max="8173" width="2.875" style="1" bestFit="1" customWidth="1"/>
    <col min="8174" max="8174" width="17.625" style="1" bestFit="1" customWidth="1"/>
    <col min="8175" max="8175" width="11.375" style="1" bestFit="1" customWidth="1"/>
    <col min="8176" max="8177" width="14.125" style="1" bestFit="1" customWidth="1"/>
    <col min="8178" max="8178" width="11.375" style="1" bestFit="1" customWidth="1"/>
    <col min="8179" max="8182" width="12.5" style="1" bestFit="1" customWidth="1"/>
    <col min="8183" max="8201" width="13" style="1" bestFit="1" customWidth="1"/>
    <col min="8202" max="8205" width="11" style="1" bestFit="1" customWidth="1"/>
    <col min="8206" max="8208" width="12.25" style="1" bestFit="1" customWidth="1"/>
    <col min="8209" max="8220" width="11" style="1" bestFit="1" customWidth="1"/>
    <col min="8221" max="8221" width="13.25" style="1" bestFit="1" customWidth="1"/>
    <col min="8222" max="8222" width="10.375" style="1" bestFit="1" customWidth="1"/>
    <col min="8223" max="8223" width="11" style="1" bestFit="1" customWidth="1"/>
    <col min="8224" max="8428" width="9" style="1"/>
    <col min="8429" max="8429" width="2.875" style="1" bestFit="1" customWidth="1"/>
    <col min="8430" max="8430" width="17.625" style="1" bestFit="1" customWidth="1"/>
    <col min="8431" max="8431" width="11.375" style="1" bestFit="1" customWidth="1"/>
    <col min="8432" max="8433" width="14.125" style="1" bestFit="1" customWidth="1"/>
    <col min="8434" max="8434" width="11.375" style="1" bestFit="1" customWidth="1"/>
    <col min="8435" max="8438" width="12.5" style="1" bestFit="1" customWidth="1"/>
    <col min="8439" max="8457" width="13" style="1" bestFit="1" customWidth="1"/>
    <col min="8458" max="8461" width="11" style="1" bestFit="1" customWidth="1"/>
    <col min="8462" max="8464" width="12.25" style="1" bestFit="1" customWidth="1"/>
    <col min="8465" max="8476" width="11" style="1" bestFit="1" customWidth="1"/>
    <col min="8477" max="8477" width="13.25" style="1" bestFit="1" customWidth="1"/>
    <col min="8478" max="8478" width="10.375" style="1" bestFit="1" customWidth="1"/>
    <col min="8479" max="8479" width="11" style="1" bestFit="1" customWidth="1"/>
    <col min="8480" max="8684" width="9" style="1"/>
    <col min="8685" max="8685" width="2.875" style="1" bestFit="1" customWidth="1"/>
    <col min="8686" max="8686" width="17.625" style="1" bestFit="1" customWidth="1"/>
    <col min="8687" max="8687" width="11.375" style="1" bestFit="1" customWidth="1"/>
    <col min="8688" max="8689" width="14.125" style="1" bestFit="1" customWidth="1"/>
    <col min="8690" max="8690" width="11.375" style="1" bestFit="1" customWidth="1"/>
    <col min="8691" max="8694" width="12.5" style="1" bestFit="1" customWidth="1"/>
    <col min="8695" max="8713" width="13" style="1" bestFit="1" customWidth="1"/>
    <col min="8714" max="8717" width="11" style="1" bestFit="1" customWidth="1"/>
    <col min="8718" max="8720" width="12.25" style="1" bestFit="1" customWidth="1"/>
    <col min="8721" max="8732" width="11" style="1" bestFit="1" customWidth="1"/>
    <col min="8733" max="8733" width="13.25" style="1" bestFit="1" customWidth="1"/>
    <col min="8734" max="8734" width="10.375" style="1" bestFit="1" customWidth="1"/>
    <col min="8735" max="8735" width="11" style="1" bestFit="1" customWidth="1"/>
    <col min="8736" max="8940" width="9" style="1"/>
    <col min="8941" max="8941" width="2.875" style="1" bestFit="1" customWidth="1"/>
    <col min="8942" max="8942" width="17.625" style="1" bestFit="1" customWidth="1"/>
    <col min="8943" max="8943" width="11.375" style="1" bestFit="1" customWidth="1"/>
    <col min="8944" max="8945" width="14.125" style="1" bestFit="1" customWidth="1"/>
    <col min="8946" max="8946" width="11.375" style="1" bestFit="1" customWidth="1"/>
    <col min="8947" max="8950" width="12.5" style="1" bestFit="1" customWidth="1"/>
    <col min="8951" max="8969" width="13" style="1" bestFit="1" customWidth="1"/>
    <col min="8970" max="8973" width="11" style="1" bestFit="1" customWidth="1"/>
    <col min="8974" max="8976" width="12.25" style="1" bestFit="1" customWidth="1"/>
    <col min="8977" max="8988" width="11" style="1" bestFit="1" customWidth="1"/>
    <col min="8989" max="8989" width="13.25" style="1" bestFit="1" customWidth="1"/>
    <col min="8990" max="8990" width="10.375" style="1" bestFit="1" customWidth="1"/>
    <col min="8991" max="8991" width="11" style="1" bestFit="1" customWidth="1"/>
    <col min="8992" max="9196" width="9" style="1"/>
    <col min="9197" max="9197" width="2.875" style="1" bestFit="1" customWidth="1"/>
    <col min="9198" max="9198" width="17.625" style="1" bestFit="1" customWidth="1"/>
    <col min="9199" max="9199" width="11.375" style="1" bestFit="1" customWidth="1"/>
    <col min="9200" max="9201" width="14.125" style="1" bestFit="1" customWidth="1"/>
    <col min="9202" max="9202" width="11.375" style="1" bestFit="1" customWidth="1"/>
    <col min="9203" max="9206" width="12.5" style="1" bestFit="1" customWidth="1"/>
    <col min="9207" max="9225" width="13" style="1" bestFit="1" customWidth="1"/>
    <col min="9226" max="9229" width="11" style="1" bestFit="1" customWidth="1"/>
    <col min="9230" max="9232" width="12.25" style="1" bestFit="1" customWidth="1"/>
    <col min="9233" max="9244" width="11" style="1" bestFit="1" customWidth="1"/>
    <col min="9245" max="9245" width="13.25" style="1" bestFit="1" customWidth="1"/>
    <col min="9246" max="9246" width="10.375" style="1" bestFit="1" customWidth="1"/>
    <col min="9247" max="9247" width="11" style="1" bestFit="1" customWidth="1"/>
    <col min="9248" max="9452" width="9" style="1"/>
    <col min="9453" max="9453" width="2.875" style="1" bestFit="1" customWidth="1"/>
    <col min="9454" max="9454" width="17.625" style="1" bestFit="1" customWidth="1"/>
    <col min="9455" max="9455" width="11.375" style="1" bestFit="1" customWidth="1"/>
    <col min="9456" max="9457" width="14.125" style="1" bestFit="1" customWidth="1"/>
    <col min="9458" max="9458" width="11.375" style="1" bestFit="1" customWidth="1"/>
    <col min="9459" max="9462" width="12.5" style="1" bestFit="1" customWidth="1"/>
    <col min="9463" max="9481" width="13" style="1" bestFit="1" customWidth="1"/>
    <col min="9482" max="9485" width="11" style="1" bestFit="1" customWidth="1"/>
    <col min="9486" max="9488" width="12.25" style="1" bestFit="1" customWidth="1"/>
    <col min="9489" max="9500" width="11" style="1" bestFit="1" customWidth="1"/>
    <col min="9501" max="9501" width="13.25" style="1" bestFit="1" customWidth="1"/>
    <col min="9502" max="9502" width="10.375" style="1" bestFit="1" customWidth="1"/>
    <col min="9503" max="9503" width="11" style="1" bestFit="1" customWidth="1"/>
    <col min="9504" max="9708" width="9" style="1"/>
    <col min="9709" max="9709" width="2.875" style="1" bestFit="1" customWidth="1"/>
    <col min="9710" max="9710" width="17.625" style="1" bestFit="1" customWidth="1"/>
    <col min="9711" max="9711" width="11.375" style="1" bestFit="1" customWidth="1"/>
    <col min="9712" max="9713" width="14.125" style="1" bestFit="1" customWidth="1"/>
    <col min="9714" max="9714" width="11.375" style="1" bestFit="1" customWidth="1"/>
    <col min="9715" max="9718" width="12.5" style="1" bestFit="1" customWidth="1"/>
    <col min="9719" max="9737" width="13" style="1" bestFit="1" customWidth="1"/>
    <col min="9738" max="9741" width="11" style="1" bestFit="1" customWidth="1"/>
    <col min="9742" max="9744" width="12.25" style="1" bestFit="1" customWidth="1"/>
    <col min="9745" max="9756" width="11" style="1" bestFit="1" customWidth="1"/>
    <col min="9757" max="9757" width="13.25" style="1" bestFit="1" customWidth="1"/>
    <col min="9758" max="9758" width="10.375" style="1" bestFit="1" customWidth="1"/>
    <col min="9759" max="9759" width="11" style="1" bestFit="1" customWidth="1"/>
    <col min="9760" max="9964" width="9" style="1"/>
    <col min="9965" max="9965" width="2.875" style="1" bestFit="1" customWidth="1"/>
    <col min="9966" max="9966" width="17.625" style="1" bestFit="1" customWidth="1"/>
    <col min="9967" max="9967" width="11.375" style="1" bestFit="1" customWidth="1"/>
    <col min="9968" max="9969" width="14.125" style="1" bestFit="1" customWidth="1"/>
    <col min="9970" max="9970" width="11.375" style="1" bestFit="1" customWidth="1"/>
    <col min="9971" max="9974" width="12.5" style="1" bestFit="1" customWidth="1"/>
    <col min="9975" max="9993" width="13" style="1" bestFit="1" customWidth="1"/>
    <col min="9994" max="9997" width="11" style="1" bestFit="1" customWidth="1"/>
    <col min="9998" max="10000" width="12.25" style="1" bestFit="1" customWidth="1"/>
    <col min="10001" max="10012" width="11" style="1" bestFit="1" customWidth="1"/>
    <col min="10013" max="10013" width="13.25" style="1" bestFit="1" customWidth="1"/>
    <col min="10014" max="10014" width="10.375" style="1" bestFit="1" customWidth="1"/>
    <col min="10015" max="10015" width="11" style="1" bestFit="1" customWidth="1"/>
    <col min="10016" max="10220" width="9" style="1"/>
    <col min="10221" max="10221" width="2.875" style="1" bestFit="1" customWidth="1"/>
    <col min="10222" max="10222" width="17.625" style="1" bestFit="1" customWidth="1"/>
    <col min="10223" max="10223" width="11.375" style="1" bestFit="1" customWidth="1"/>
    <col min="10224" max="10225" width="14.125" style="1" bestFit="1" customWidth="1"/>
    <col min="10226" max="10226" width="11.375" style="1" bestFit="1" customWidth="1"/>
    <col min="10227" max="10230" width="12.5" style="1" bestFit="1" customWidth="1"/>
    <col min="10231" max="10249" width="13" style="1" bestFit="1" customWidth="1"/>
    <col min="10250" max="10253" width="11" style="1" bestFit="1" customWidth="1"/>
    <col min="10254" max="10256" width="12.25" style="1" bestFit="1" customWidth="1"/>
    <col min="10257" max="10268" width="11" style="1" bestFit="1" customWidth="1"/>
    <col min="10269" max="10269" width="13.25" style="1" bestFit="1" customWidth="1"/>
    <col min="10270" max="10270" width="10.375" style="1" bestFit="1" customWidth="1"/>
    <col min="10271" max="10271" width="11" style="1" bestFit="1" customWidth="1"/>
    <col min="10272" max="10476" width="9" style="1"/>
    <col min="10477" max="10477" width="2.875" style="1" bestFit="1" customWidth="1"/>
    <col min="10478" max="10478" width="17.625" style="1" bestFit="1" customWidth="1"/>
    <col min="10479" max="10479" width="11.375" style="1" bestFit="1" customWidth="1"/>
    <col min="10480" max="10481" width="14.125" style="1" bestFit="1" customWidth="1"/>
    <col min="10482" max="10482" width="11.375" style="1" bestFit="1" customWidth="1"/>
    <col min="10483" max="10486" width="12.5" style="1" bestFit="1" customWidth="1"/>
    <col min="10487" max="10505" width="13" style="1" bestFit="1" customWidth="1"/>
    <col min="10506" max="10509" width="11" style="1" bestFit="1" customWidth="1"/>
    <col min="10510" max="10512" width="12.25" style="1" bestFit="1" customWidth="1"/>
    <col min="10513" max="10524" width="11" style="1" bestFit="1" customWidth="1"/>
    <col min="10525" max="10525" width="13.25" style="1" bestFit="1" customWidth="1"/>
    <col min="10526" max="10526" width="10.375" style="1" bestFit="1" customWidth="1"/>
    <col min="10527" max="10527" width="11" style="1" bestFit="1" customWidth="1"/>
    <col min="10528" max="10732" width="9" style="1"/>
    <col min="10733" max="10733" width="2.875" style="1" bestFit="1" customWidth="1"/>
    <col min="10734" max="10734" width="17.625" style="1" bestFit="1" customWidth="1"/>
    <col min="10735" max="10735" width="11.375" style="1" bestFit="1" customWidth="1"/>
    <col min="10736" max="10737" width="14.125" style="1" bestFit="1" customWidth="1"/>
    <col min="10738" max="10738" width="11.375" style="1" bestFit="1" customWidth="1"/>
    <col min="10739" max="10742" width="12.5" style="1" bestFit="1" customWidth="1"/>
    <col min="10743" max="10761" width="13" style="1" bestFit="1" customWidth="1"/>
    <col min="10762" max="10765" width="11" style="1" bestFit="1" customWidth="1"/>
    <col min="10766" max="10768" width="12.25" style="1" bestFit="1" customWidth="1"/>
    <col min="10769" max="10780" width="11" style="1" bestFit="1" customWidth="1"/>
    <col min="10781" max="10781" width="13.25" style="1" bestFit="1" customWidth="1"/>
    <col min="10782" max="10782" width="10.375" style="1" bestFit="1" customWidth="1"/>
    <col min="10783" max="10783" width="11" style="1" bestFit="1" customWidth="1"/>
    <col min="10784" max="10988" width="9" style="1"/>
    <col min="10989" max="10989" width="2.875" style="1" bestFit="1" customWidth="1"/>
    <col min="10990" max="10990" width="17.625" style="1" bestFit="1" customWidth="1"/>
    <col min="10991" max="10991" width="11.375" style="1" bestFit="1" customWidth="1"/>
    <col min="10992" max="10993" width="14.125" style="1" bestFit="1" customWidth="1"/>
    <col min="10994" max="10994" width="11.375" style="1" bestFit="1" customWidth="1"/>
    <col min="10995" max="10998" width="12.5" style="1" bestFit="1" customWidth="1"/>
    <col min="10999" max="11017" width="13" style="1" bestFit="1" customWidth="1"/>
    <col min="11018" max="11021" width="11" style="1" bestFit="1" customWidth="1"/>
    <col min="11022" max="11024" width="12.25" style="1" bestFit="1" customWidth="1"/>
    <col min="11025" max="11036" width="11" style="1" bestFit="1" customWidth="1"/>
    <col min="11037" max="11037" width="13.25" style="1" bestFit="1" customWidth="1"/>
    <col min="11038" max="11038" width="10.375" style="1" bestFit="1" customWidth="1"/>
    <col min="11039" max="11039" width="11" style="1" bestFit="1" customWidth="1"/>
    <col min="11040" max="11244" width="9" style="1"/>
    <col min="11245" max="11245" width="2.875" style="1" bestFit="1" customWidth="1"/>
    <col min="11246" max="11246" width="17.625" style="1" bestFit="1" customWidth="1"/>
    <col min="11247" max="11247" width="11.375" style="1" bestFit="1" customWidth="1"/>
    <col min="11248" max="11249" width="14.125" style="1" bestFit="1" customWidth="1"/>
    <col min="11250" max="11250" width="11.375" style="1" bestFit="1" customWidth="1"/>
    <col min="11251" max="11254" width="12.5" style="1" bestFit="1" customWidth="1"/>
    <col min="11255" max="11273" width="13" style="1" bestFit="1" customWidth="1"/>
    <col min="11274" max="11277" width="11" style="1" bestFit="1" customWidth="1"/>
    <col min="11278" max="11280" width="12.25" style="1" bestFit="1" customWidth="1"/>
    <col min="11281" max="11292" width="11" style="1" bestFit="1" customWidth="1"/>
    <col min="11293" max="11293" width="13.25" style="1" bestFit="1" customWidth="1"/>
    <col min="11294" max="11294" width="10.375" style="1" bestFit="1" customWidth="1"/>
    <col min="11295" max="11295" width="11" style="1" bestFit="1" customWidth="1"/>
    <col min="11296" max="11500" width="9" style="1"/>
    <col min="11501" max="11501" width="2.875" style="1" bestFit="1" customWidth="1"/>
    <col min="11502" max="11502" width="17.625" style="1" bestFit="1" customWidth="1"/>
    <col min="11503" max="11503" width="11.375" style="1" bestFit="1" customWidth="1"/>
    <col min="11504" max="11505" width="14.125" style="1" bestFit="1" customWidth="1"/>
    <col min="11506" max="11506" width="11.375" style="1" bestFit="1" customWidth="1"/>
    <col min="11507" max="11510" width="12.5" style="1" bestFit="1" customWidth="1"/>
    <col min="11511" max="11529" width="13" style="1" bestFit="1" customWidth="1"/>
    <col min="11530" max="11533" width="11" style="1" bestFit="1" customWidth="1"/>
    <col min="11534" max="11536" width="12.25" style="1" bestFit="1" customWidth="1"/>
    <col min="11537" max="11548" width="11" style="1" bestFit="1" customWidth="1"/>
    <col min="11549" max="11549" width="13.25" style="1" bestFit="1" customWidth="1"/>
    <col min="11550" max="11550" width="10.375" style="1" bestFit="1" customWidth="1"/>
    <col min="11551" max="11551" width="11" style="1" bestFit="1" customWidth="1"/>
    <col min="11552" max="11756" width="9" style="1"/>
    <col min="11757" max="11757" width="2.875" style="1" bestFit="1" customWidth="1"/>
    <col min="11758" max="11758" width="17.625" style="1" bestFit="1" customWidth="1"/>
    <col min="11759" max="11759" width="11.375" style="1" bestFit="1" customWidth="1"/>
    <col min="11760" max="11761" width="14.125" style="1" bestFit="1" customWidth="1"/>
    <col min="11762" max="11762" width="11.375" style="1" bestFit="1" customWidth="1"/>
    <col min="11763" max="11766" width="12.5" style="1" bestFit="1" customWidth="1"/>
    <col min="11767" max="11785" width="13" style="1" bestFit="1" customWidth="1"/>
    <col min="11786" max="11789" width="11" style="1" bestFit="1" customWidth="1"/>
    <col min="11790" max="11792" width="12.25" style="1" bestFit="1" customWidth="1"/>
    <col min="11793" max="11804" width="11" style="1" bestFit="1" customWidth="1"/>
    <col min="11805" max="11805" width="13.25" style="1" bestFit="1" customWidth="1"/>
    <col min="11806" max="11806" width="10.375" style="1" bestFit="1" customWidth="1"/>
    <col min="11807" max="11807" width="11" style="1" bestFit="1" customWidth="1"/>
    <col min="11808" max="12012" width="9" style="1"/>
    <col min="12013" max="12013" width="2.875" style="1" bestFit="1" customWidth="1"/>
    <col min="12014" max="12014" width="17.625" style="1" bestFit="1" customWidth="1"/>
    <col min="12015" max="12015" width="11.375" style="1" bestFit="1" customWidth="1"/>
    <col min="12016" max="12017" width="14.125" style="1" bestFit="1" customWidth="1"/>
    <col min="12018" max="12018" width="11.375" style="1" bestFit="1" customWidth="1"/>
    <col min="12019" max="12022" width="12.5" style="1" bestFit="1" customWidth="1"/>
    <col min="12023" max="12041" width="13" style="1" bestFit="1" customWidth="1"/>
    <col min="12042" max="12045" width="11" style="1" bestFit="1" customWidth="1"/>
    <col min="12046" max="12048" width="12.25" style="1" bestFit="1" customWidth="1"/>
    <col min="12049" max="12060" width="11" style="1" bestFit="1" customWidth="1"/>
    <col min="12061" max="12061" width="13.25" style="1" bestFit="1" customWidth="1"/>
    <col min="12062" max="12062" width="10.375" style="1" bestFit="1" customWidth="1"/>
    <col min="12063" max="12063" width="11" style="1" bestFit="1" customWidth="1"/>
    <col min="12064" max="12268" width="9" style="1"/>
    <col min="12269" max="12269" width="2.875" style="1" bestFit="1" customWidth="1"/>
    <col min="12270" max="12270" width="17.625" style="1" bestFit="1" customWidth="1"/>
    <col min="12271" max="12271" width="11.375" style="1" bestFit="1" customWidth="1"/>
    <col min="12272" max="12273" width="14.125" style="1" bestFit="1" customWidth="1"/>
    <col min="12274" max="12274" width="11.375" style="1" bestFit="1" customWidth="1"/>
    <col min="12275" max="12278" width="12.5" style="1" bestFit="1" customWidth="1"/>
    <col min="12279" max="12297" width="13" style="1" bestFit="1" customWidth="1"/>
    <col min="12298" max="12301" width="11" style="1" bestFit="1" customWidth="1"/>
    <col min="12302" max="12304" width="12.25" style="1" bestFit="1" customWidth="1"/>
    <col min="12305" max="12316" width="11" style="1" bestFit="1" customWidth="1"/>
    <col min="12317" max="12317" width="13.25" style="1" bestFit="1" customWidth="1"/>
    <col min="12318" max="12318" width="10.375" style="1" bestFit="1" customWidth="1"/>
    <col min="12319" max="12319" width="11" style="1" bestFit="1" customWidth="1"/>
    <col min="12320" max="12524" width="9" style="1"/>
    <col min="12525" max="12525" width="2.875" style="1" bestFit="1" customWidth="1"/>
    <col min="12526" max="12526" width="17.625" style="1" bestFit="1" customWidth="1"/>
    <col min="12527" max="12527" width="11.375" style="1" bestFit="1" customWidth="1"/>
    <col min="12528" max="12529" width="14.125" style="1" bestFit="1" customWidth="1"/>
    <col min="12530" max="12530" width="11.375" style="1" bestFit="1" customWidth="1"/>
    <col min="12531" max="12534" width="12.5" style="1" bestFit="1" customWidth="1"/>
    <col min="12535" max="12553" width="13" style="1" bestFit="1" customWidth="1"/>
    <col min="12554" max="12557" width="11" style="1" bestFit="1" customWidth="1"/>
    <col min="12558" max="12560" width="12.25" style="1" bestFit="1" customWidth="1"/>
    <col min="12561" max="12572" width="11" style="1" bestFit="1" customWidth="1"/>
    <col min="12573" max="12573" width="13.25" style="1" bestFit="1" customWidth="1"/>
    <col min="12574" max="12574" width="10.375" style="1" bestFit="1" customWidth="1"/>
    <col min="12575" max="12575" width="11" style="1" bestFit="1" customWidth="1"/>
    <col min="12576" max="12780" width="9" style="1"/>
    <col min="12781" max="12781" width="2.875" style="1" bestFit="1" customWidth="1"/>
    <col min="12782" max="12782" width="17.625" style="1" bestFit="1" customWidth="1"/>
    <col min="12783" max="12783" width="11.375" style="1" bestFit="1" customWidth="1"/>
    <col min="12784" max="12785" width="14.125" style="1" bestFit="1" customWidth="1"/>
    <col min="12786" max="12786" width="11.375" style="1" bestFit="1" customWidth="1"/>
    <col min="12787" max="12790" width="12.5" style="1" bestFit="1" customWidth="1"/>
    <col min="12791" max="12809" width="13" style="1" bestFit="1" customWidth="1"/>
    <col min="12810" max="12813" width="11" style="1" bestFit="1" customWidth="1"/>
    <col min="12814" max="12816" width="12.25" style="1" bestFit="1" customWidth="1"/>
    <col min="12817" max="12828" width="11" style="1" bestFit="1" customWidth="1"/>
    <col min="12829" max="12829" width="13.25" style="1" bestFit="1" customWidth="1"/>
    <col min="12830" max="12830" width="10.375" style="1" bestFit="1" customWidth="1"/>
    <col min="12831" max="12831" width="11" style="1" bestFit="1" customWidth="1"/>
    <col min="12832" max="13036" width="9" style="1"/>
    <col min="13037" max="13037" width="2.875" style="1" bestFit="1" customWidth="1"/>
    <col min="13038" max="13038" width="17.625" style="1" bestFit="1" customWidth="1"/>
    <col min="13039" max="13039" width="11.375" style="1" bestFit="1" customWidth="1"/>
    <col min="13040" max="13041" width="14.125" style="1" bestFit="1" customWidth="1"/>
    <col min="13042" max="13042" width="11.375" style="1" bestFit="1" customWidth="1"/>
    <col min="13043" max="13046" width="12.5" style="1" bestFit="1" customWidth="1"/>
    <col min="13047" max="13065" width="13" style="1" bestFit="1" customWidth="1"/>
    <col min="13066" max="13069" width="11" style="1" bestFit="1" customWidth="1"/>
    <col min="13070" max="13072" width="12.25" style="1" bestFit="1" customWidth="1"/>
    <col min="13073" max="13084" width="11" style="1" bestFit="1" customWidth="1"/>
    <col min="13085" max="13085" width="13.25" style="1" bestFit="1" customWidth="1"/>
    <col min="13086" max="13086" width="10.375" style="1" bestFit="1" customWidth="1"/>
    <col min="13087" max="13087" width="11" style="1" bestFit="1" customWidth="1"/>
    <col min="13088" max="13292" width="9" style="1"/>
    <col min="13293" max="13293" width="2.875" style="1" bestFit="1" customWidth="1"/>
    <col min="13294" max="13294" width="17.625" style="1" bestFit="1" customWidth="1"/>
    <col min="13295" max="13295" width="11.375" style="1" bestFit="1" customWidth="1"/>
    <col min="13296" max="13297" width="14.125" style="1" bestFit="1" customWidth="1"/>
    <col min="13298" max="13298" width="11.375" style="1" bestFit="1" customWidth="1"/>
    <col min="13299" max="13302" width="12.5" style="1" bestFit="1" customWidth="1"/>
    <col min="13303" max="13321" width="13" style="1" bestFit="1" customWidth="1"/>
    <col min="13322" max="13325" width="11" style="1" bestFit="1" customWidth="1"/>
    <col min="13326" max="13328" width="12.25" style="1" bestFit="1" customWidth="1"/>
    <col min="13329" max="13340" width="11" style="1" bestFit="1" customWidth="1"/>
    <col min="13341" max="13341" width="13.25" style="1" bestFit="1" customWidth="1"/>
    <col min="13342" max="13342" width="10.375" style="1" bestFit="1" customWidth="1"/>
    <col min="13343" max="13343" width="11" style="1" bestFit="1" customWidth="1"/>
    <col min="13344" max="13548" width="9" style="1"/>
    <col min="13549" max="13549" width="2.875" style="1" bestFit="1" customWidth="1"/>
    <col min="13550" max="13550" width="17.625" style="1" bestFit="1" customWidth="1"/>
    <col min="13551" max="13551" width="11.375" style="1" bestFit="1" customWidth="1"/>
    <col min="13552" max="13553" width="14.125" style="1" bestFit="1" customWidth="1"/>
    <col min="13554" max="13554" width="11.375" style="1" bestFit="1" customWidth="1"/>
    <col min="13555" max="13558" width="12.5" style="1" bestFit="1" customWidth="1"/>
    <col min="13559" max="13577" width="13" style="1" bestFit="1" customWidth="1"/>
    <col min="13578" max="13581" width="11" style="1" bestFit="1" customWidth="1"/>
    <col min="13582" max="13584" width="12.25" style="1" bestFit="1" customWidth="1"/>
    <col min="13585" max="13596" width="11" style="1" bestFit="1" customWidth="1"/>
    <col min="13597" max="13597" width="13.25" style="1" bestFit="1" customWidth="1"/>
    <col min="13598" max="13598" width="10.375" style="1" bestFit="1" customWidth="1"/>
    <col min="13599" max="13599" width="11" style="1" bestFit="1" customWidth="1"/>
    <col min="13600" max="13804" width="9" style="1"/>
    <col min="13805" max="13805" width="2.875" style="1" bestFit="1" customWidth="1"/>
    <col min="13806" max="13806" width="17.625" style="1" bestFit="1" customWidth="1"/>
    <col min="13807" max="13807" width="11.375" style="1" bestFit="1" customWidth="1"/>
    <col min="13808" max="13809" width="14.125" style="1" bestFit="1" customWidth="1"/>
    <col min="13810" max="13810" width="11.375" style="1" bestFit="1" customWidth="1"/>
    <col min="13811" max="13814" width="12.5" style="1" bestFit="1" customWidth="1"/>
    <col min="13815" max="13833" width="13" style="1" bestFit="1" customWidth="1"/>
    <col min="13834" max="13837" width="11" style="1" bestFit="1" customWidth="1"/>
    <col min="13838" max="13840" width="12.25" style="1" bestFit="1" customWidth="1"/>
    <col min="13841" max="13852" width="11" style="1" bestFit="1" customWidth="1"/>
    <col min="13853" max="13853" width="13.25" style="1" bestFit="1" customWidth="1"/>
    <col min="13854" max="13854" width="10.375" style="1" bestFit="1" customWidth="1"/>
    <col min="13855" max="13855" width="11" style="1" bestFit="1" customWidth="1"/>
    <col min="13856" max="14060" width="9" style="1"/>
    <col min="14061" max="14061" width="2.875" style="1" bestFit="1" customWidth="1"/>
    <col min="14062" max="14062" width="17.625" style="1" bestFit="1" customWidth="1"/>
    <col min="14063" max="14063" width="11.375" style="1" bestFit="1" customWidth="1"/>
    <col min="14064" max="14065" width="14.125" style="1" bestFit="1" customWidth="1"/>
    <col min="14066" max="14066" width="11.375" style="1" bestFit="1" customWidth="1"/>
    <col min="14067" max="14070" width="12.5" style="1" bestFit="1" customWidth="1"/>
    <col min="14071" max="14089" width="13" style="1" bestFit="1" customWidth="1"/>
    <col min="14090" max="14093" width="11" style="1" bestFit="1" customWidth="1"/>
    <col min="14094" max="14096" width="12.25" style="1" bestFit="1" customWidth="1"/>
    <col min="14097" max="14108" width="11" style="1" bestFit="1" customWidth="1"/>
    <col min="14109" max="14109" width="13.25" style="1" bestFit="1" customWidth="1"/>
    <col min="14110" max="14110" width="10.375" style="1" bestFit="1" customWidth="1"/>
    <col min="14111" max="14111" width="11" style="1" bestFit="1" customWidth="1"/>
    <col min="14112" max="14316" width="9" style="1"/>
    <col min="14317" max="14317" width="2.875" style="1" bestFit="1" customWidth="1"/>
    <col min="14318" max="14318" width="17.625" style="1" bestFit="1" customWidth="1"/>
    <col min="14319" max="14319" width="11.375" style="1" bestFit="1" customWidth="1"/>
    <col min="14320" max="14321" width="14.125" style="1" bestFit="1" customWidth="1"/>
    <col min="14322" max="14322" width="11.375" style="1" bestFit="1" customWidth="1"/>
    <col min="14323" max="14326" width="12.5" style="1" bestFit="1" customWidth="1"/>
    <col min="14327" max="14345" width="13" style="1" bestFit="1" customWidth="1"/>
    <col min="14346" max="14349" width="11" style="1" bestFit="1" customWidth="1"/>
    <col min="14350" max="14352" width="12.25" style="1" bestFit="1" customWidth="1"/>
    <col min="14353" max="14364" width="11" style="1" bestFit="1" customWidth="1"/>
    <col min="14365" max="14365" width="13.25" style="1" bestFit="1" customWidth="1"/>
    <col min="14366" max="14366" width="10.375" style="1" bestFit="1" customWidth="1"/>
    <col min="14367" max="14367" width="11" style="1" bestFit="1" customWidth="1"/>
    <col min="14368" max="14572" width="9" style="1"/>
    <col min="14573" max="14573" width="2.875" style="1" bestFit="1" customWidth="1"/>
    <col min="14574" max="14574" width="17.625" style="1" bestFit="1" customWidth="1"/>
    <col min="14575" max="14575" width="11.375" style="1" bestFit="1" customWidth="1"/>
    <col min="14576" max="14577" width="14.125" style="1" bestFit="1" customWidth="1"/>
    <col min="14578" max="14578" width="11.375" style="1" bestFit="1" customWidth="1"/>
    <col min="14579" max="14582" width="12.5" style="1" bestFit="1" customWidth="1"/>
    <col min="14583" max="14601" width="13" style="1" bestFit="1" customWidth="1"/>
    <col min="14602" max="14605" width="11" style="1" bestFit="1" customWidth="1"/>
    <col min="14606" max="14608" width="12.25" style="1" bestFit="1" customWidth="1"/>
    <col min="14609" max="14620" width="11" style="1" bestFit="1" customWidth="1"/>
    <col min="14621" max="14621" width="13.25" style="1" bestFit="1" customWidth="1"/>
    <col min="14622" max="14622" width="10.375" style="1" bestFit="1" customWidth="1"/>
    <col min="14623" max="14623" width="11" style="1" bestFit="1" customWidth="1"/>
    <col min="14624" max="14828" width="9" style="1"/>
    <col min="14829" max="14829" width="2.875" style="1" bestFit="1" customWidth="1"/>
    <col min="14830" max="14830" width="17.625" style="1" bestFit="1" customWidth="1"/>
    <col min="14831" max="14831" width="11.375" style="1" bestFit="1" customWidth="1"/>
    <col min="14832" max="14833" width="14.125" style="1" bestFit="1" customWidth="1"/>
    <col min="14834" max="14834" width="11.375" style="1" bestFit="1" customWidth="1"/>
    <col min="14835" max="14838" width="12.5" style="1" bestFit="1" customWidth="1"/>
    <col min="14839" max="14857" width="13" style="1" bestFit="1" customWidth="1"/>
    <col min="14858" max="14861" width="11" style="1" bestFit="1" customWidth="1"/>
    <col min="14862" max="14864" width="12.25" style="1" bestFit="1" customWidth="1"/>
    <col min="14865" max="14876" width="11" style="1" bestFit="1" customWidth="1"/>
    <col min="14877" max="14877" width="13.25" style="1" bestFit="1" customWidth="1"/>
    <col min="14878" max="14878" width="10.375" style="1" bestFit="1" customWidth="1"/>
    <col min="14879" max="14879" width="11" style="1" bestFit="1" customWidth="1"/>
    <col min="14880" max="15084" width="9" style="1"/>
    <col min="15085" max="15085" width="2.875" style="1" bestFit="1" customWidth="1"/>
    <col min="15086" max="15086" width="17.625" style="1" bestFit="1" customWidth="1"/>
    <col min="15087" max="15087" width="11.375" style="1" bestFit="1" customWidth="1"/>
    <col min="15088" max="15089" width="14.125" style="1" bestFit="1" customWidth="1"/>
    <col min="15090" max="15090" width="11.375" style="1" bestFit="1" customWidth="1"/>
    <col min="15091" max="15094" width="12.5" style="1" bestFit="1" customWidth="1"/>
    <col min="15095" max="15113" width="13" style="1" bestFit="1" customWidth="1"/>
    <col min="15114" max="15117" width="11" style="1" bestFit="1" customWidth="1"/>
    <col min="15118" max="15120" width="12.25" style="1" bestFit="1" customWidth="1"/>
    <col min="15121" max="15132" width="11" style="1" bestFit="1" customWidth="1"/>
    <col min="15133" max="15133" width="13.25" style="1" bestFit="1" customWidth="1"/>
    <col min="15134" max="15134" width="10.375" style="1" bestFit="1" customWidth="1"/>
    <col min="15135" max="15135" width="11" style="1" bestFit="1" customWidth="1"/>
    <col min="15136" max="15340" width="9" style="1"/>
    <col min="15341" max="15341" width="2.875" style="1" bestFit="1" customWidth="1"/>
    <col min="15342" max="15342" width="17.625" style="1" bestFit="1" customWidth="1"/>
    <col min="15343" max="15343" width="11.375" style="1" bestFit="1" customWidth="1"/>
    <col min="15344" max="15345" width="14.125" style="1" bestFit="1" customWidth="1"/>
    <col min="15346" max="15346" width="11.375" style="1" bestFit="1" customWidth="1"/>
    <col min="15347" max="15350" width="12.5" style="1" bestFit="1" customWidth="1"/>
    <col min="15351" max="15369" width="13" style="1" bestFit="1" customWidth="1"/>
    <col min="15370" max="15373" width="11" style="1" bestFit="1" customWidth="1"/>
    <col min="15374" max="15376" width="12.25" style="1" bestFit="1" customWidth="1"/>
    <col min="15377" max="15388" width="11" style="1" bestFit="1" customWidth="1"/>
    <col min="15389" max="15389" width="13.25" style="1" bestFit="1" customWidth="1"/>
    <col min="15390" max="15390" width="10.375" style="1" bestFit="1" customWidth="1"/>
    <col min="15391" max="15391" width="11" style="1" bestFit="1" customWidth="1"/>
    <col min="15392" max="15596" width="9" style="1"/>
    <col min="15597" max="15597" width="2.875" style="1" bestFit="1" customWidth="1"/>
    <col min="15598" max="15598" width="17.625" style="1" bestFit="1" customWidth="1"/>
    <col min="15599" max="15599" width="11.375" style="1" bestFit="1" customWidth="1"/>
    <col min="15600" max="15601" width="14.125" style="1" bestFit="1" customWidth="1"/>
    <col min="15602" max="15602" width="11.375" style="1" bestFit="1" customWidth="1"/>
    <col min="15603" max="15606" width="12.5" style="1" bestFit="1" customWidth="1"/>
    <col min="15607" max="15625" width="13" style="1" bestFit="1" customWidth="1"/>
    <col min="15626" max="15629" width="11" style="1" bestFit="1" customWidth="1"/>
    <col min="15630" max="15632" width="12.25" style="1" bestFit="1" customWidth="1"/>
    <col min="15633" max="15644" width="11" style="1" bestFit="1" customWidth="1"/>
    <col min="15645" max="15645" width="13.25" style="1" bestFit="1" customWidth="1"/>
    <col min="15646" max="15646" width="10.375" style="1" bestFit="1" customWidth="1"/>
    <col min="15647" max="15647" width="11" style="1" bestFit="1" customWidth="1"/>
    <col min="15648" max="15852" width="9" style="1"/>
    <col min="15853" max="15853" width="2.875" style="1" bestFit="1" customWidth="1"/>
    <col min="15854" max="15854" width="17.625" style="1" bestFit="1" customWidth="1"/>
    <col min="15855" max="15855" width="11.375" style="1" bestFit="1" customWidth="1"/>
    <col min="15856" max="15857" width="14.125" style="1" bestFit="1" customWidth="1"/>
    <col min="15858" max="15858" width="11.375" style="1" bestFit="1" customWidth="1"/>
    <col min="15859" max="15862" width="12.5" style="1" bestFit="1" customWidth="1"/>
    <col min="15863" max="15881" width="13" style="1" bestFit="1" customWidth="1"/>
    <col min="15882" max="15885" width="11" style="1" bestFit="1" customWidth="1"/>
    <col min="15886" max="15888" width="12.25" style="1" bestFit="1" customWidth="1"/>
    <col min="15889" max="15900" width="11" style="1" bestFit="1" customWidth="1"/>
    <col min="15901" max="15901" width="13.25" style="1" bestFit="1" customWidth="1"/>
    <col min="15902" max="15902" width="10.375" style="1" bestFit="1" customWidth="1"/>
    <col min="15903" max="15903" width="11" style="1" bestFit="1" customWidth="1"/>
    <col min="15904" max="16108" width="9" style="1"/>
    <col min="16109" max="16109" width="2.875" style="1" bestFit="1" customWidth="1"/>
    <col min="16110" max="16110" width="17.625" style="1" bestFit="1" customWidth="1"/>
    <col min="16111" max="16111" width="11.375" style="1" bestFit="1" customWidth="1"/>
    <col min="16112" max="16113" width="14.125" style="1" bestFit="1" customWidth="1"/>
    <col min="16114" max="16114" width="11.375" style="1" bestFit="1" customWidth="1"/>
    <col min="16115" max="16118" width="12.5" style="1" bestFit="1" customWidth="1"/>
    <col min="16119" max="16137" width="13" style="1" bestFit="1" customWidth="1"/>
    <col min="16138" max="16141" width="11" style="1" bestFit="1" customWidth="1"/>
    <col min="16142" max="16144" width="12.25" style="1" bestFit="1" customWidth="1"/>
    <col min="16145" max="16156" width="11" style="1" bestFit="1" customWidth="1"/>
    <col min="16157" max="16157" width="13.25" style="1" bestFit="1" customWidth="1"/>
    <col min="16158" max="16158" width="10.375" style="1" bestFit="1" customWidth="1"/>
    <col min="16159" max="16159" width="11" style="1" bestFit="1" customWidth="1"/>
    <col min="16160" max="16384" width="9" style="1"/>
  </cols>
  <sheetData>
    <row r="1" spans="1:31" hidden="1" x14ac:dyDescent="0.15"/>
    <row r="2" spans="1:31" ht="30.75" hidden="1" customHeight="1" x14ac:dyDescent="0.15"/>
    <row r="3" spans="1:31" ht="17.25" x14ac:dyDescent="0.2">
      <c r="A3" s="37">
        <v>45474</v>
      </c>
      <c r="B3" s="37"/>
      <c r="C3" s="54" t="s">
        <v>246</v>
      </c>
    </row>
    <row r="4" spans="1:31" s="5" customFormat="1" ht="12" customHeight="1" x14ac:dyDescent="0.15">
      <c r="A4" s="38" t="s">
        <v>0</v>
      </c>
      <c r="B4" s="38"/>
      <c r="C4" s="2" t="s">
        <v>9</v>
      </c>
      <c r="D4" s="2" t="s">
        <v>10</v>
      </c>
      <c r="E4" s="2" t="s">
        <v>11</v>
      </c>
      <c r="F4" s="2" t="s">
        <v>12</v>
      </c>
      <c r="G4" s="2" t="s">
        <v>13</v>
      </c>
      <c r="H4" s="2" t="s">
        <v>14</v>
      </c>
      <c r="I4" s="2" t="s">
        <v>236</v>
      </c>
      <c r="J4" s="2" t="s">
        <v>15</v>
      </c>
      <c r="K4" s="2" t="s">
        <v>16</v>
      </c>
      <c r="L4" s="2" t="s">
        <v>17</v>
      </c>
      <c r="M4" s="2" t="s">
        <v>18</v>
      </c>
      <c r="N4" s="2" t="s">
        <v>19</v>
      </c>
      <c r="O4" s="2" t="s">
        <v>20</v>
      </c>
      <c r="P4" s="2" t="s">
        <v>21</v>
      </c>
      <c r="Q4" s="2" t="s">
        <v>22</v>
      </c>
      <c r="R4" s="2" t="s">
        <v>23</v>
      </c>
      <c r="S4" s="2" t="s">
        <v>24</v>
      </c>
      <c r="T4" s="2" t="s">
        <v>25</v>
      </c>
      <c r="U4" s="2" t="s">
        <v>237</v>
      </c>
      <c r="V4" s="2" t="s">
        <v>26</v>
      </c>
      <c r="W4" s="2" t="s">
        <v>27</v>
      </c>
      <c r="X4" s="2" t="s">
        <v>28</v>
      </c>
      <c r="Y4" s="2" t="s">
        <v>29</v>
      </c>
      <c r="Z4" s="2" t="s">
        <v>30</v>
      </c>
      <c r="AA4" s="2" t="s">
        <v>31</v>
      </c>
      <c r="AB4" s="2" t="s">
        <v>32</v>
      </c>
      <c r="AC4" s="3" t="s">
        <v>41</v>
      </c>
      <c r="AD4" s="3" t="s">
        <v>42</v>
      </c>
      <c r="AE4" s="4" t="s">
        <v>43</v>
      </c>
    </row>
    <row r="5" spans="1:31" s="5" customFormat="1" hidden="1" x14ac:dyDescent="0.15">
      <c r="A5" s="39" t="s">
        <v>44</v>
      </c>
      <c r="B5" s="40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6</v>
      </c>
      <c r="W5" s="2">
        <v>6</v>
      </c>
      <c r="X5" s="2">
        <v>6</v>
      </c>
      <c r="Y5" s="2">
        <v>6</v>
      </c>
      <c r="Z5" s="2">
        <v>6</v>
      </c>
      <c r="AA5" s="2">
        <v>6</v>
      </c>
      <c r="AB5" s="2">
        <v>6</v>
      </c>
      <c r="AC5" s="3"/>
      <c r="AD5" s="3"/>
      <c r="AE5" s="4"/>
    </row>
    <row r="6" spans="1:31" s="5" customFormat="1" hidden="1" x14ac:dyDescent="0.15">
      <c r="A6" s="39" t="s">
        <v>45</v>
      </c>
      <c r="B6" s="40"/>
      <c r="C6" s="2" t="s">
        <v>47</v>
      </c>
      <c r="D6" s="2" t="s">
        <v>47</v>
      </c>
      <c r="E6" s="2" t="s">
        <v>47</v>
      </c>
      <c r="F6" s="2" t="s">
        <v>47</v>
      </c>
      <c r="G6" s="2" t="s">
        <v>47</v>
      </c>
      <c r="H6" s="2" t="s">
        <v>47</v>
      </c>
      <c r="I6" s="2" t="s">
        <v>47</v>
      </c>
      <c r="J6" s="2" t="s">
        <v>47</v>
      </c>
      <c r="K6" s="2" t="s">
        <v>47</v>
      </c>
      <c r="L6" s="2" t="s">
        <v>47</v>
      </c>
      <c r="M6" s="2" t="s">
        <v>47</v>
      </c>
      <c r="N6" s="2" t="s">
        <v>47</v>
      </c>
      <c r="O6" s="2" t="s">
        <v>47</v>
      </c>
      <c r="P6" s="2" t="s">
        <v>47</v>
      </c>
      <c r="Q6" s="2" t="s">
        <v>47</v>
      </c>
      <c r="R6" s="2" t="s">
        <v>47</v>
      </c>
      <c r="S6" s="2" t="s">
        <v>47</v>
      </c>
      <c r="T6" s="2" t="s">
        <v>47</v>
      </c>
      <c r="U6" s="2" t="s">
        <v>47</v>
      </c>
      <c r="V6" s="2" t="s">
        <v>48</v>
      </c>
      <c r="W6" s="2" t="s">
        <v>48</v>
      </c>
      <c r="X6" s="2" t="s">
        <v>48</v>
      </c>
      <c r="Y6" s="2" t="s">
        <v>48</v>
      </c>
      <c r="Z6" s="2" t="s">
        <v>48</v>
      </c>
      <c r="AA6" s="2" t="s">
        <v>48</v>
      </c>
      <c r="AB6" s="2" t="s">
        <v>48</v>
      </c>
      <c r="AC6" s="3"/>
      <c r="AD6" s="3"/>
      <c r="AE6" s="4"/>
    </row>
    <row r="7" spans="1:31" s="5" customFormat="1" ht="12" customHeight="1" x14ac:dyDescent="0.15">
      <c r="A7" s="36" t="s">
        <v>51</v>
      </c>
      <c r="B7" s="36"/>
      <c r="C7" s="44" t="s">
        <v>163</v>
      </c>
      <c r="D7" s="44" t="s">
        <v>164</v>
      </c>
      <c r="E7" s="44" t="s">
        <v>165</v>
      </c>
      <c r="F7" s="44" t="s">
        <v>166</v>
      </c>
      <c r="G7" s="44" t="s">
        <v>167</v>
      </c>
      <c r="H7" s="44" t="s">
        <v>168</v>
      </c>
      <c r="I7" s="44" t="s">
        <v>169</v>
      </c>
      <c r="J7" s="44" t="s">
        <v>170</v>
      </c>
      <c r="K7" s="44" t="s">
        <v>171</v>
      </c>
      <c r="L7" s="44" t="s">
        <v>172</v>
      </c>
      <c r="M7" s="44" t="s">
        <v>173</v>
      </c>
      <c r="N7" s="44" t="s">
        <v>174</v>
      </c>
      <c r="O7" s="44" t="s">
        <v>175</v>
      </c>
      <c r="P7" s="44" t="s">
        <v>176</v>
      </c>
      <c r="Q7" s="44" t="s">
        <v>177</v>
      </c>
      <c r="R7" s="44" t="s">
        <v>178</v>
      </c>
      <c r="S7" s="44"/>
      <c r="T7" s="44"/>
      <c r="U7" s="44"/>
      <c r="V7" s="44" t="s">
        <v>179</v>
      </c>
      <c r="W7" s="44" t="s">
        <v>180</v>
      </c>
      <c r="X7" s="44" t="s">
        <v>181</v>
      </c>
      <c r="Y7" s="44" t="s">
        <v>182</v>
      </c>
      <c r="Z7" s="44" t="s">
        <v>183</v>
      </c>
      <c r="AA7" s="44" t="s">
        <v>184</v>
      </c>
      <c r="AB7" s="44" t="s">
        <v>185</v>
      </c>
      <c r="AC7" s="6"/>
      <c r="AD7" s="6"/>
      <c r="AE7" s="7"/>
    </row>
    <row r="8" spans="1:31" s="5" customFormat="1" ht="12" customHeight="1" x14ac:dyDescent="0.15">
      <c r="A8" s="36" t="s">
        <v>52</v>
      </c>
      <c r="B8" s="36"/>
      <c r="C8" s="44" t="s">
        <v>204</v>
      </c>
      <c r="D8" s="44" t="s">
        <v>205</v>
      </c>
      <c r="E8" s="44" t="s">
        <v>206</v>
      </c>
      <c r="F8" s="44" t="s">
        <v>207</v>
      </c>
      <c r="G8" s="44" t="s">
        <v>198</v>
      </c>
      <c r="H8" s="44" t="s">
        <v>208</v>
      </c>
      <c r="I8" s="44" t="s">
        <v>209</v>
      </c>
      <c r="J8" s="44" t="s">
        <v>210</v>
      </c>
      <c r="K8" s="44" t="s">
        <v>211</v>
      </c>
      <c r="L8" s="44" t="s">
        <v>212</v>
      </c>
      <c r="M8" s="44" t="s">
        <v>213</v>
      </c>
      <c r="N8" s="44" t="s">
        <v>214</v>
      </c>
      <c r="O8" s="44" t="s">
        <v>215</v>
      </c>
      <c r="P8" s="44" t="s">
        <v>216</v>
      </c>
      <c r="Q8" s="44" t="s">
        <v>217</v>
      </c>
      <c r="R8" s="44" t="s">
        <v>218</v>
      </c>
      <c r="S8" s="44"/>
      <c r="T8" s="44"/>
      <c r="U8" s="44" t="s">
        <v>219</v>
      </c>
      <c r="V8" s="44" t="s">
        <v>220</v>
      </c>
      <c r="W8" s="44" t="s">
        <v>221</v>
      </c>
      <c r="X8" s="44" t="s">
        <v>222</v>
      </c>
      <c r="Y8" s="44" t="s">
        <v>223</v>
      </c>
      <c r="Z8" s="44" t="s">
        <v>224</v>
      </c>
      <c r="AA8" s="44" t="s">
        <v>225</v>
      </c>
      <c r="AB8" s="44" t="s">
        <v>226</v>
      </c>
      <c r="AC8" s="6"/>
      <c r="AD8" s="6"/>
      <c r="AE8" s="7"/>
    </row>
    <row r="9" spans="1:31" ht="12" customHeight="1" x14ac:dyDescent="0.15">
      <c r="A9" s="42" t="s">
        <v>53</v>
      </c>
      <c r="B9" s="43"/>
      <c r="C9" s="46">
        <v>8</v>
      </c>
      <c r="D9" s="46">
        <v>8</v>
      </c>
      <c r="E9" s="46">
        <v>10</v>
      </c>
      <c r="F9" s="46">
        <v>10</v>
      </c>
      <c r="G9" s="46">
        <v>10</v>
      </c>
      <c r="H9" s="46">
        <v>10</v>
      </c>
      <c r="I9" s="46">
        <v>14</v>
      </c>
      <c r="J9" s="46">
        <v>10</v>
      </c>
      <c r="K9" s="46">
        <v>10</v>
      </c>
      <c r="L9" s="46">
        <v>10</v>
      </c>
      <c r="M9" s="46">
        <v>10</v>
      </c>
      <c r="N9" s="46">
        <v>10</v>
      </c>
      <c r="O9" s="46">
        <v>10</v>
      </c>
      <c r="P9" s="46">
        <v>10</v>
      </c>
      <c r="Q9" s="46">
        <v>10</v>
      </c>
      <c r="R9" s="46">
        <v>10</v>
      </c>
      <c r="S9" s="46"/>
      <c r="T9" s="46"/>
      <c r="U9" s="46">
        <v>14</v>
      </c>
      <c r="V9" s="46">
        <v>8</v>
      </c>
      <c r="W9" s="46">
        <v>8</v>
      </c>
      <c r="X9" s="46">
        <v>8</v>
      </c>
      <c r="Y9" s="46">
        <v>10</v>
      </c>
      <c r="Z9" s="46">
        <v>10</v>
      </c>
      <c r="AA9" s="46">
        <v>10</v>
      </c>
      <c r="AB9" s="46">
        <v>10</v>
      </c>
      <c r="AC9" s="9">
        <f>SUM(C9:AB9)</f>
        <v>238</v>
      </c>
      <c r="AD9" s="9"/>
      <c r="AE9" s="10"/>
    </row>
    <row r="10" spans="1:31" ht="12.75" customHeight="1" x14ac:dyDescent="0.15">
      <c r="A10" s="38" t="s">
        <v>54</v>
      </c>
      <c r="B10" s="38"/>
      <c r="C10" s="48" t="s">
        <v>57</v>
      </c>
      <c r="D10" s="48" t="s">
        <v>58</v>
      </c>
      <c r="E10" s="48" t="s">
        <v>59</v>
      </c>
      <c r="F10" s="48" t="s">
        <v>59</v>
      </c>
      <c r="G10" s="48" t="s">
        <v>59</v>
      </c>
      <c r="H10" s="48" t="s">
        <v>59</v>
      </c>
      <c r="I10" s="48" t="s">
        <v>59</v>
      </c>
      <c r="J10" s="48" t="s">
        <v>59</v>
      </c>
      <c r="K10" s="48" t="s">
        <v>59</v>
      </c>
      <c r="L10" s="48" t="s">
        <v>59</v>
      </c>
      <c r="M10" s="48" t="s">
        <v>60</v>
      </c>
      <c r="N10" s="48" t="s">
        <v>60</v>
      </c>
      <c r="O10" s="48" t="s">
        <v>60</v>
      </c>
      <c r="P10" s="48" t="s">
        <v>60</v>
      </c>
      <c r="Q10" s="48" t="s">
        <v>61</v>
      </c>
      <c r="R10" s="48" t="s">
        <v>61</v>
      </c>
      <c r="S10" s="48" t="s">
        <v>62</v>
      </c>
      <c r="T10" s="48" t="s">
        <v>63</v>
      </c>
      <c r="U10" s="49"/>
      <c r="V10" s="49" t="s">
        <v>57</v>
      </c>
      <c r="W10" s="49" t="s">
        <v>57</v>
      </c>
      <c r="X10" s="49" t="s">
        <v>58</v>
      </c>
      <c r="Y10" s="49" t="s">
        <v>59</v>
      </c>
      <c r="Z10" s="49" t="s">
        <v>61</v>
      </c>
      <c r="AA10" s="49" t="s">
        <v>61</v>
      </c>
      <c r="AB10" s="49" t="s">
        <v>61</v>
      </c>
      <c r="AC10" s="12"/>
      <c r="AD10" s="12"/>
      <c r="AE10" s="13"/>
    </row>
    <row r="11" spans="1:31" ht="12.75" customHeight="1" x14ac:dyDescent="0.15">
      <c r="A11" s="38" t="s">
        <v>65</v>
      </c>
      <c r="B11" s="38"/>
      <c r="C11" s="14">
        <v>1829</v>
      </c>
      <c r="D11" s="14">
        <v>3439</v>
      </c>
      <c r="E11" s="14">
        <v>4900.5999999999995</v>
      </c>
      <c r="F11" s="14">
        <v>4670.8</v>
      </c>
      <c r="G11" s="14">
        <v>5086.8999999999996</v>
      </c>
      <c r="H11" s="14">
        <v>5163.8</v>
      </c>
      <c r="I11" s="14">
        <v>6495.8</v>
      </c>
      <c r="J11" s="14">
        <v>4727.2</v>
      </c>
      <c r="K11" s="14">
        <v>4987.3999999999996</v>
      </c>
      <c r="L11" s="14">
        <v>5559.2</v>
      </c>
      <c r="M11" s="14">
        <v>7258.9000000000005</v>
      </c>
      <c r="N11" s="14">
        <v>8196.9</v>
      </c>
      <c r="O11" s="14">
        <v>7078.3</v>
      </c>
      <c r="P11" s="14">
        <v>7505.3</v>
      </c>
      <c r="Q11" s="14">
        <v>5073.3999999999996</v>
      </c>
      <c r="R11" s="14">
        <v>5250.2</v>
      </c>
      <c r="S11" s="14">
        <v>0</v>
      </c>
      <c r="T11" s="14">
        <v>0</v>
      </c>
      <c r="U11" s="14">
        <v>0</v>
      </c>
      <c r="V11" s="14">
        <v>7406</v>
      </c>
      <c r="W11" s="14">
        <v>8351</v>
      </c>
      <c r="X11" s="14">
        <v>8570</v>
      </c>
      <c r="Y11" s="14">
        <v>8367</v>
      </c>
      <c r="Z11" s="14">
        <v>4261</v>
      </c>
      <c r="AA11" s="14">
        <v>3856</v>
      </c>
      <c r="AB11" s="14">
        <v>4117</v>
      </c>
      <c r="AC11" s="16">
        <f>SUM(C11:AB11)</f>
        <v>132150.69999999998</v>
      </c>
      <c r="AD11" s="16">
        <f>AVERAGE(C11:AB11)</f>
        <v>5082.7192307692303</v>
      </c>
      <c r="AE11" s="13"/>
    </row>
    <row r="12" spans="1:31" ht="12.75" customHeight="1" x14ac:dyDescent="0.15">
      <c r="A12" s="39" t="s">
        <v>244</v>
      </c>
      <c r="B12" s="51"/>
      <c r="C12" s="52">
        <v>2.3923611111111112</v>
      </c>
      <c r="D12" s="52"/>
      <c r="E12" s="52">
        <v>9.9951388888888886</v>
      </c>
      <c r="F12" s="52">
        <v>9.4048611111111118</v>
      </c>
      <c r="G12" s="52">
        <v>10.090277777777779</v>
      </c>
      <c r="H12" s="52">
        <v>10.161111111111111</v>
      </c>
      <c r="I12" s="52">
        <v>10.471527777777778</v>
      </c>
      <c r="J12" s="52">
        <v>10.170833333333333</v>
      </c>
      <c r="K12" s="52">
        <v>9.3826388888888896</v>
      </c>
      <c r="L12" s="52">
        <v>9.9923611111111104</v>
      </c>
      <c r="M12" s="52">
        <v>11.715277777777779</v>
      </c>
      <c r="N12" s="52">
        <v>11.368055555555555</v>
      </c>
      <c r="O12" s="52">
        <v>12.208333333333334</v>
      </c>
      <c r="P12" s="52">
        <v>10.344444444444445</v>
      </c>
      <c r="Q12" s="52">
        <v>6.9340277777777777</v>
      </c>
      <c r="R12" s="52">
        <v>7.2569444444444446</v>
      </c>
      <c r="S12" s="52"/>
      <c r="T12" s="52"/>
      <c r="U12" s="52"/>
      <c r="V12" s="52">
        <v>9.8145833333333332</v>
      </c>
      <c r="W12" s="52">
        <v>10.4125</v>
      </c>
      <c r="X12" s="52">
        <v>11.747916666666667</v>
      </c>
      <c r="Y12" s="52">
        <v>11.698611111111111</v>
      </c>
      <c r="Z12" s="52">
        <v>7.6541666666666668</v>
      </c>
      <c r="AA12" s="52">
        <v>7.4951388888888886</v>
      </c>
      <c r="AB12" s="52">
        <v>6.5305555555555559</v>
      </c>
      <c r="AC12" s="16"/>
      <c r="AD12" s="16"/>
      <c r="AE12" s="13"/>
    </row>
    <row r="13" spans="1:31" ht="12.75" customHeight="1" x14ac:dyDescent="0.15">
      <c r="A13" s="38" t="s">
        <v>66</v>
      </c>
      <c r="B13" s="38"/>
      <c r="C13" s="14">
        <v>405027</v>
      </c>
      <c r="D13" s="14">
        <v>902191</v>
      </c>
      <c r="E13" s="14">
        <v>1141070</v>
      </c>
      <c r="F13" s="14">
        <v>1070960</v>
      </c>
      <c r="G13" s="14">
        <v>1104950</v>
      </c>
      <c r="H13" s="14">
        <v>1102350</v>
      </c>
      <c r="I13" s="14">
        <v>1738850</v>
      </c>
      <c r="J13" s="14">
        <v>1138390</v>
      </c>
      <c r="K13" s="14">
        <v>1093840</v>
      </c>
      <c r="L13" s="14">
        <v>1266210</v>
      </c>
      <c r="M13" s="14">
        <v>1391360</v>
      </c>
      <c r="N13" s="14">
        <v>1340220</v>
      </c>
      <c r="O13" s="14">
        <v>1362270</v>
      </c>
      <c r="P13" s="14">
        <v>1310900</v>
      </c>
      <c r="Q13" s="14">
        <v>1220941</v>
      </c>
      <c r="R13" s="14">
        <v>1133111</v>
      </c>
      <c r="S13" s="14">
        <v>11000</v>
      </c>
      <c r="T13" s="14">
        <v>627047</v>
      </c>
      <c r="U13" s="14">
        <v>0</v>
      </c>
      <c r="V13" s="14">
        <v>1757682</v>
      </c>
      <c r="W13" s="14">
        <v>2095643</v>
      </c>
      <c r="X13" s="14">
        <v>1593993</v>
      </c>
      <c r="Y13" s="14">
        <v>1333570</v>
      </c>
      <c r="Z13" s="14">
        <v>967368</v>
      </c>
      <c r="AA13" s="14">
        <v>971087</v>
      </c>
      <c r="AB13" s="14">
        <v>939395</v>
      </c>
      <c r="AC13" s="16">
        <f>SUM(C13:AB13)</f>
        <v>29019425</v>
      </c>
      <c r="AD13" s="16">
        <f>AVERAGE(C13:AB13)</f>
        <v>1116131.7307692308</v>
      </c>
      <c r="AE13" s="13">
        <f>AC13/AC13</f>
        <v>1</v>
      </c>
    </row>
    <row r="14" spans="1:31" ht="12.75" customHeight="1" x14ac:dyDescent="0.15">
      <c r="A14" s="39" t="s">
        <v>242</v>
      </c>
      <c r="B14" s="51"/>
      <c r="C14" s="14"/>
      <c r="D14" s="14"/>
      <c r="E14" s="14">
        <v>63550</v>
      </c>
      <c r="F14" s="14">
        <v>133660</v>
      </c>
      <c r="G14" s="14">
        <v>99670</v>
      </c>
      <c r="H14" s="14">
        <v>102270</v>
      </c>
      <c r="I14" s="14"/>
      <c r="J14" s="14">
        <v>70850</v>
      </c>
      <c r="K14" s="14">
        <v>116780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6">
        <f>SUM(C14:AB14)</f>
        <v>586780</v>
      </c>
      <c r="AD14" s="16"/>
      <c r="AE14" s="13"/>
    </row>
    <row r="15" spans="1:31" ht="12.75" customHeight="1" x14ac:dyDescent="0.15">
      <c r="A15" s="38" t="s">
        <v>67</v>
      </c>
      <c r="B15" s="38"/>
      <c r="C15" s="14">
        <f t="shared" ref="C15:AB15" si="0">SUM(C13/C11)</f>
        <v>221.44723892837615</v>
      </c>
      <c r="D15" s="14">
        <f t="shared" si="0"/>
        <v>262.34108752544347</v>
      </c>
      <c r="E15" s="14">
        <f t="shared" si="0"/>
        <v>232.84291719381304</v>
      </c>
      <c r="F15" s="14">
        <f t="shared" si="0"/>
        <v>229.28834460906054</v>
      </c>
      <c r="G15" s="14">
        <f t="shared" si="0"/>
        <v>217.21480666024496</v>
      </c>
      <c r="H15" s="14">
        <f t="shared" si="0"/>
        <v>213.47650954723264</v>
      </c>
      <c r="I15" s="14">
        <f t="shared" si="0"/>
        <v>267.68835247390621</v>
      </c>
      <c r="J15" s="14">
        <f t="shared" si="0"/>
        <v>240.81697410729396</v>
      </c>
      <c r="K15" s="14">
        <f t="shared" si="0"/>
        <v>219.32068813409794</v>
      </c>
      <c r="L15" s="14">
        <f t="shared" si="0"/>
        <v>227.76838394013527</v>
      </c>
      <c r="M15" s="14">
        <f t="shared" si="0"/>
        <v>191.67642480265604</v>
      </c>
      <c r="N15" s="14">
        <f t="shared" si="0"/>
        <v>163.5032756285913</v>
      </c>
      <c r="O15" s="14">
        <f t="shared" si="0"/>
        <v>192.45722843055535</v>
      </c>
      <c r="P15" s="14">
        <f t="shared" si="0"/>
        <v>174.6632379784952</v>
      </c>
      <c r="Q15" s="14">
        <f t="shared" si="0"/>
        <v>240.65537903575515</v>
      </c>
      <c r="R15" s="14">
        <f t="shared" si="0"/>
        <v>215.82244485924346</v>
      </c>
      <c r="S15" s="14" t="e">
        <f t="shared" si="0"/>
        <v>#DIV/0!</v>
      </c>
      <c r="T15" s="14" t="e">
        <f t="shared" si="0"/>
        <v>#DIV/0!</v>
      </c>
      <c r="U15" s="14" t="e">
        <f t="shared" si="0"/>
        <v>#DIV/0!</v>
      </c>
      <c r="V15" s="14">
        <f t="shared" si="0"/>
        <v>237.33216311099108</v>
      </c>
      <c r="W15" s="14">
        <f t="shared" si="0"/>
        <v>250.94515626871032</v>
      </c>
      <c r="X15" s="14">
        <f t="shared" si="0"/>
        <v>185.99684947491249</v>
      </c>
      <c r="Y15" s="14">
        <f t="shared" si="0"/>
        <v>159.3844866738377</v>
      </c>
      <c r="Z15" s="14">
        <f t="shared" si="0"/>
        <v>227.028397089885</v>
      </c>
      <c r="AA15" s="14">
        <f t="shared" si="0"/>
        <v>251.83791493775934</v>
      </c>
      <c r="AB15" s="14">
        <f t="shared" si="0"/>
        <v>228.17464172941462</v>
      </c>
      <c r="AC15" s="12">
        <f>SUM(AC13/AC11)</f>
        <v>219.59342629286112</v>
      </c>
      <c r="AD15" s="16" t="e">
        <f>AVERAGE(C15:AB15)</f>
        <v>#DIV/0!</v>
      </c>
      <c r="AE15" s="13"/>
    </row>
    <row r="16" spans="1:31" ht="12.75" customHeight="1" x14ac:dyDescent="0.15">
      <c r="A16" s="39" t="s">
        <v>243</v>
      </c>
      <c r="B16" s="51"/>
      <c r="C16" s="14">
        <f t="shared" ref="C16:AB16" si="1">C13/(C12*24)</f>
        <v>7054.1712626995641</v>
      </c>
      <c r="D16" s="14" t="e">
        <f t="shared" si="1"/>
        <v>#DIV/0!</v>
      </c>
      <c r="E16" s="14">
        <f t="shared" si="1"/>
        <v>4756.7706524004725</v>
      </c>
      <c r="F16" s="14">
        <f t="shared" si="1"/>
        <v>4744.7094439932062</v>
      </c>
      <c r="G16" s="14">
        <f t="shared" si="1"/>
        <v>4562.766689607708</v>
      </c>
      <c r="H16" s="14">
        <f t="shared" si="1"/>
        <v>4520.2979770366319</v>
      </c>
      <c r="I16" s="14">
        <f t="shared" si="1"/>
        <v>6918.9601432455738</v>
      </c>
      <c r="J16" s="14">
        <f t="shared" si="1"/>
        <v>4663.621466612045</v>
      </c>
      <c r="K16" s="14">
        <f t="shared" si="1"/>
        <v>4857.5531048775074</v>
      </c>
      <c r="L16" s="14">
        <f t="shared" si="1"/>
        <v>5279.9082632566542</v>
      </c>
      <c r="M16" s="14">
        <f t="shared" si="1"/>
        <v>4948.5240071132184</v>
      </c>
      <c r="N16" s="14">
        <f t="shared" si="1"/>
        <v>4912.2296884544903</v>
      </c>
      <c r="O16" s="14">
        <f t="shared" si="1"/>
        <v>4649.3856655290101</v>
      </c>
      <c r="P16" s="14">
        <f t="shared" si="1"/>
        <v>5280.2094522019333</v>
      </c>
      <c r="Q16" s="14">
        <f t="shared" si="1"/>
        <v>7336.6509764646971</v>
      </c>
      <c r="R16" s="14">
        <f t="shared" si="1"/>
        <v>6505.9004784688987</v>
      </c>
      <c r="S16" s="14" t="e">
        <f t="shared" si="1"/>
        <v>#DIV/0!</v>
      </c>
      <c r="T16" s="14" t="e">
        <f t="shared" si="1"/>
        <v>#DIV/0!</v>
      </c>
      <c r="U16" s="14" t="e">
        <f t="shared" si="1"/>
        <v>#DIV/0!</v>
      </c>
      <c r="V16" s="14">
        <f t="shared" si="1"/>
        <v>7462.0335385268518</v>
      </c>
      <c r="W16" s="14">
        <f t="shared" si="1"/>
        <v>8385.9263705482208</v>
      </c>
      <c r="X16" s="14">
        <f t="shared" si="1"/>
        <v>5653.4598333037775</v>
      </c>
      <c r="Y16" s="14">
        <f t="shared" si="1"/>
        <v>4749.7447465273654</v>
      </c>
      <c r="Z16" s="14">
        <f t="shared" si="1"/>
        <v>5266.0206859009259</v>
      </c>
      <c r="AA16" s="14">
        <f t="shared" si="1"/>
        <v>5398.4267580839432</v>
      </c>
      <c r="AB16" s="14">
        <f t="shared" si="1"/>
        <v>5993.5878349638442</v>
      </c>
      <c r="AC16" s="12"/>
      <c r="AD16" s="16"/>
      <c r="AE16" s="13"/>
    </row>
    <row r="17" spans="1:31" ht="12.75" customHeight="1" x14ac:dyDescent="0.15">
      <c r="A17" s="41" t="s">
        <v>68</v>
      </c>
      <c r="B17" s="11" t="s">
        <v>69</v>
      </c>
      <c r="C17" s="14">
        <v>44688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58860</v>
      </c>
      <c r="J17" s="14">
        <v>0</v>
      </c>
      <c r="K17" s="14">
        <v>0</v>
      </c>
      <c r="L17" s="14">
        <v>0</v>
      </c>
      <c r="M17" s="14">
        <v>0</v>
      </c>
      <c r="N17" s="14">
        <v>213500</v>
      </c>
      <c r="O17" s="14">
        <v>51245</v>
      </c>
      <c r="P17" s="14">
        <v>56375</v>
      </c>
      <c r="Q17" s="14">
        <v>56708</v>
      </c>
      <c r="R17" s="14">
        <v>0</v>
      </c>
      <c r="S17" s="14">
        <v>0</v>
      </c>
      <c r="T17" s="14">
        <v>0</v>
      </c>
      <c r="U17" s="14">
        <v>0</v>
      </c>
      <c r="V17" s="14">
        <v>82500</v>
      </c>
      <c r="W17" s="14">
        <v>215200</v>
      </c>
      <c r="X17" s="14">
        <v>0</v>
      </c>
      <c r="Y17" s="14">
        <v>0</v>
      </c>
      <c r="Z17" s="14">
        <v>0</v>
      </c>
      <c r="AA17" s="14">
        <v>0</v>
      </c>
      <c r="AB17" s="14">
        <v>0</v>
      </c>
      <c r="AC17" s="16">
        <f>SUM(C17:AB17)</f>
        <v>779076</v>
      </c>
      <c r="AD17" s="16">
        <f>AVERAGE(C17:AB17)</f>
        <v>29964.461538461539</v>
      </c>
      <c r="AE17" s="13">
        <f>AC17/AC13</f>
        <v>2.6846706990231544E-2</v>
      </c>
    </row>
    <row r="18" spans="1:31" ht="12.75" customHeight="1" x14ac:dyDescent="0.15">
      <c r="A18" s="41"/>
      <c r="B18" s="11" t="s">
        <v>70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  <c r="S18" s="14">
        <v>0</v>
      </c>
      <c r="T18" s="14">
        <v>0</v>
      </c>
      <c r="U18" s="14">
        <v>0</v>
      </c>
      <c r="V18" s="14">
        <v>0</v>
      </c>
      <c r="W18" s="14">
        <v>0</v>
      </c>
      <c r="X18" s="14">
        <v>0</v>
      </c>
      <c r="Y18" s="14">
        <v>0</v>
      </c>
      <c r="Z18" s="14">
        <v>0</v>
      </c>
      <c r="AA18" s="14">
        <v>0</v>
      </c>
      <c r="AB18" s="14">
        <v>0</v>
      </c>
      <c r="AC18" s="16">
        <f>SUM(C18:AB18)</f>
        <v>0</v>
      </c>
      <c r="AD18" s="16">
        <f>AVERAGE(C18:AB18)</f>
        <v>0</v>
      </c>
      <c r="AE18" s="13">
        <f>AC18/AC13</f>
        <v>0</v>
      </c>
    </row>
    <row r="19" spans="1:31" ht="12.75" customHeight="1" x14ac:dyDescent="0.15">
      <c r="A19" s="41"/>
      <c r="B19" s="11" t="s">
        <v>71</v>
      </c>
      <c r="C19" s="14">
        <v>4400</v>
      </c>
      <c r="D19" s="14">
        <v>4825</v>
      </c>
      <c r="E19" s="14">
        <v>5150</v>
      </c>
      <c r="F19" s="14">
        <v>4400</v>
      </c>
      <c r="G19" s="14">
        <v>5150</v>
      </c>
      <c r="H19" s="14">
        <v>5250</v>
      </c>
      <c r="I19" s="14">
        <v>6950</v>
      </c>
      <c r="J19" s="14">
        <v>4400</v>
      </c>
      <c r="K19" s="14">
        <v>4025</v>
      </c>
      <c r="L19" s="14">
        <v>0</v>
      </c>
      <c r="M19" s="14">
        <v>4808</v>
      </c>
      <c r="N19" s="14">
        <v>0</v>
      </c>
      <c r="O19" s="14">
        <v>12911</v>
      </c>
      <c r="P19" s="14">
        <v>13200</v>
      </c>
      <c r="Q19" s="14">
        <v>11540</v>
      </c>
      <c r="R19" s="14">
        <v>5642</v>
      </c>
      <c r="S19" s="14">
        <v>0</v>
      </c>
      <c r="T19" s="14">
        <v>0</v>
      </c>
      <c r="U19" s="14">
        <v>7075</v>
      </c>
      <c r="V19" s="14">
        <v>3241</v>
      </c>
      <c r="W19" s="14">
        <v>0</v>
      </c>
      <c r="X19" s="14">
        <v>4417</v>
      </c>
      <c r="Y19" s="14">
        <v>4025</v>
      </c>
      <c r="Z19" s="14">
        <v>5642</v>
      </c>
      <c r="AA19" s="14">
        <v>5642</v>
      </c>
      <c r="AB19" s="14">
        <v>4825</v>
      </c>
      <c r="AC19" s="16">
        <f>SUM(C19:AB19)</f>
        <v>127518</v>
      </c>
      <c r="AD19" s="16">
        <f>AVERAGE(C19:AB19)</f>
        <v>4904.5384615384619</v>
      </c>
      <c r="AE19" s="13">
        <f>AC19/AC13</f>
        <v>4.3942290379633646E-3</v>
      </c>
    </row>
    <row r="20" spans="1:31" ht="12.75" customHeight="1" x14ac:dyDescent="0.15">
      <c r="A20" s="41"/>
      <c r="B20" s="11" t="s">
        <v>72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4">
        <v>0</v>
      </c>
      <c r="S20" s="14">
        <v>0</v>
      </c>
      <c r="T20" s="14">
        <v>0</v>
      </c>
      <c r="U20" s="14">
        <v>0</v>
      </c>
      <c r="V20" s="14"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14">
        <v>0</v>
      </c>
      <c r="AC20" s="16">
        <f>SUM(C20:AB20)</f>
        <v>0</v>
      </c>
      <c r="AD20" s="16">
        <f>AVERAGE(C20:AB20)</f>
        <v>0</v>
      </c>
      <c r="AE20" s="13">
        <f>AC20/AC13</f>
        <v>0</v>
      </c>
    </row>
    <row r="21" spans="1:31" ht="12.75" customHeight="1" x14ac:dyDescent="0.15">
      <c r="A21" s="41"/>
      <c r="B21" s="11" t="s">
        <v>73</v>
      </c>
      <c r="C21" s="14">
        <v>4950</v>
      </c>
      <c r="D21" s="14">
        <v>4950</v>
      </c>
      <c r="E21" s="14">
        <v>4766</v>
      </c>
      <c r="F21" s="14">
        <v>4950</v>
      </c>
      <c r="G21" s="14">
        <v>4766</v>
      </c>
      <c r="H21" s="14">
        <v>4950</v>
      </c>
      <c r="I21" s="14">
        <v>8333</v>
      </c>
      <c r="J21" s="14">
        <v>4950</v>
      </c>
      <c r="K21" s="14">
        <v>4583</v>
      </c>
      <c r="L21" s="14">
        <v>4766</v>
      </c>
      <c r="M21" s="14">
        <v>4766</v>
      </c>
      <c r="N21" s="14">
        <v>5208</v>
      </c>
      <c r="O21" s="14">
        <v>4766</v>
      </c>
      <c r="P21" s="14">
        <v>5208</v>
      </c>
      <c r="Q21" s="14">
        <v>5208</v>
      </c>
      <c r="R21" s="14">
        <v>4767</v>
      </c>
      <c r="S21" s="14">
        <v>0</v>
      </c>
      <c r="T21" s="14">
        <v>0</v>
      </c>
      <c r="U21" s="14">
        <v>0</v>
      </c>
      <c r="V21" s="14">
        <v>4550</v>
      </c>
      <c r="W21" s="14">
        <v>0</v>
      </c>
      <c r="X21" s="14">
        <v>4766</v>
      </c>
      <c r="Y21" s="14">
        <v>4583</v>
      </c>
      <c r="Z21" s="14">
        <v>4766</v>
      </c>
      <c r="AA21" s="14">
        <v>4766</v>
      </c>
      <c r="AB21" s="14">
        <v>4950</v>
      </c>
      <c r="AC21" s="16">
        <f>SUM(C21:AB21)</f>
        <v>110268</v>
      </c>
      <c r="AD21" s="16">
        <f>AVERAGE(C21:AB21)</f>
        <v>4241.0769230769229</v>
      </c>
      <c r="AE21" s="13">
        <f>AC21/AC13</f>
        <v>3.7997996169806948E-3</v>
      </c>
    </row>
    <row r="22" spans="1:31" ht="12.75" customHeight="1" x14ac:dyDescent="0.15">
      <c r="A22" s="41"/>
      <c r="B22" s="11" t="s">
        <v>74</v>
      </c>
      <c r="C22" s="14">
        <v>26896</v>
      </c>
      <c r="D22" s="14">
        <v>33622</v>
      </c>
      <c r="E22" s="14">
        <v>35854</v>
      </c>
      <c r="F22" s="14">
        <v>32622</v>
      </c>
      <c r="G22" s="14">
        <v>25904</v>
      </c>
      <c r="H22" s="14">
        <v>35324</v>
      </c>
      <c r="I22" s="14">
        <v>45820</v>
      </c>
      <c r="J22" s="14">
        <v>81250</v>
      </c>
      <c r="K22" s="14">
        <v>24854</v>
      </c>
      <c r="L22" s="14">
        <v>30531</v>
      </c>
      <c r="M22" s="14">
        <v>45794</v>
      </c>
      <c r="N22" s="14">
        <v>38383</v>
      </c>
      <c r="O22" s="14">
        <v>53355</v>
      </c>
      <c r="P22" s="14">
        <v>63356</v>
      </c>
      <c r="Q22" s="14">
        <v>17372</v>
      </c>
      <c r="R22" s="14">
        <v>35968</v>
      </c>
      <c r="S22" s="14">
        <v>0</v>
      </c>
      <c r="T22" s="14">
        <v>0</v>
      </c>
      <c r="U22" s="14">
        <v>0</v>
      </c>
      <c r="V22" s="14">
        <v>40668</v>
      </c>
      <c r="W22" s="14">
        <v>0</v>
      </c>
      <c r="X22" s="14">
        <v>68895</v>
      </c>
      <c r="Y22" s="14">
        <v>46168</v>
      </c>
      <c r="Z22" s="14">
        <v>47355</v>
      </c>
      <c r="AA22" s="14">
        <v>30980</v>
      </c>
      <c r="AB22" s="14">
        <v>33307</v>
      </c>
      <c r="AC22" s="16">
        <f>SUM(C22:AB22)</f>
        <v>894278</v>
      </c>
      <c r="AD22" s="16">
        <f>AVERAGE(C22:AB22)</f>
        <v>34395.307692307695</v>
      </c>
      <c r="AE22" s="13">
        <f>AC22/AC13</f>
        <v>3.0816530651451571E-2</v>
      </c>
    </row>
    <row r="23" spans="1:31" ht="12.75" customHeight="1" x14ac:dyDescent="0.15">
      <c r="A23" s="41"/>
      <c r="B23" s="17" t="s">
        <v>75</v>
      </c>
      <c r="C23" s="18">
        <f t="shared" ref="C23:AB23" si="2">SUM(C17:C22)</f>
        <v>80934</v>
      </c>
      <c r="D23" s="18">
        <f t="shared" si="2"/>
        <v>43397</v>
      </c>
      <c r="E23" s="18">
        <f t="shared" si="2"/>
        <v>45770</v>
      </c>
      <c r="F23" s="18">
        <f t="shared" si="2"/>
        <v>41972</v>
      </c>
      <c r="G23" s="18">
        <f t="shared" si="2"/>
        <v>35820</v>
      </c>
      <c r="H23" s="18">
        <f t="shared" si="2"/>
        <v>45524</v>
      </c>
      <c r="I23" s="18">
        <f t="shared" si="2"/>
        <v>119963</v>
      </c>
      <c r="J23" s="18">
        <f t="shared" si="2"/>
        <v>90600</v>
      </c>
      <c r="K23" s="18">
        <f t="shared" si="2"/>
        <v>33462</v>
      </c>
      <c r="L23" s="18">
        <f t="shared" si="2"/>
        <v>35297</v>
      </c>
      <c r="M23" s="18">
        <f t="shared" si="2"/>
        <v>55368</v>
      </c>
      <c r="N23" s="18">
        <f t="shared" si="2"/>
        <v>257091</v>
      </c>
      <c r="O23" s="18">
        <f t="shared" si="2"/>
        <v>122277</v>
      </c>
      <c r="P23" s="18">
        <f t="shared" si="2"/>
        <v>138139</v>
      </c>
      <c r="Q23" s="18">
        <f t="shared" si="2"/>
        <v>90828</v>
      </c>
      <c r="R23" s="18">
        <f t="shared" si="2"/>
        <v>46377</v>
      </c>
      <c r="S23" s="18">
        <f t="shared" si="2"/>
        <v>0</v>
      </c>
      <c r="T23" s="18">
        <f t="shared" si="2"/>
        <v>0</v>
      </c>
      <c r="U23" s="18">
        <f t="shared" si="2"/>
        <v>7075</v>
      </c>
      <c r="V23" s="18">
        <f t="shared" si="2"/>
        <v>130959</v>
      </c>
      <c r="W23" s="18">
        <f t="shared" si="2"/>
        <v>215200</v>
      </c>
      <c r="X23" s="18">
        <f t="shared" si="2"/>
        <v>78078</v>
      </c>
      <c r="Y23" s="18">
        <f t="shared" si="2"/>
        <v>54776</v>
      </c>
      <c r="Z23" s="18">
        <f t="shared" si="2"/>
        <v>57763</v>
      </c>
      <c r="AA23" s="18">
        <f t="shared" si="2"/>
        <v>41388</v>
      </c>
      <c r="AB23" s="18">
        <f t="shared" si="2"/>
        <v>43082</v>
      </c>
      <c r="AC23" s="20">
        <f>SUM(C23:AB23)</f>
        <v>1911140</v>
      </c>
      <c r="AD23" s="20">
        <f>AVERAGE(C23:AB23)</f>
        <v>73505.38461538461</v>
      </c>
      <c r="AE23" s="21">
        <f>AC23/AC13</f>
        <v>6.5857266296627179E-2</v>
      </c>
    </row>
    <row r="24" spans="1:31" ht="12.75" customHeight="1" x14ac:dyDescent="0.15">
      <c r="A24" s="41" t="s">
        <v>76</v>
      </c>
      <c r="B24" s="11" t="s">
        <v>77</v>
      </c>
      <c r="C24" s="14">
        <v>0</v>
      </c>
      <c r="D24" s="14">
        <v>3200</v>
      </c>
      <c r="E24" s="14">
        <v>48474</v>
      </c>
      <c r="F24" s="14">
        <v>199230</v>
      </c>
      <c r="G24" s="14">
        <v>427384</v>
      </c>
      <c r="H24" s="14">
        <v>0</v>
      </c>
      <c r="I24" s="14">
        <v>0</v>
      </c>
      <c r="J24" s="14">
        <v>74346</v>
      </c>
      <c r="K24" s="14">
        <v>1890</v>
      </c>
      <c r="L24" s="14">
        <v>0</v>
      </c>
      <c r="M24" s="14">
        <v>10975</v>
      </c>
      <c r="N24" s="14">
        <v>39360</v>
      </c>
      <c r="O24" s="14">
        <v>0</v>
      </c>
      <c r="P24" s="14">
        <v>291435</v>
      </c>
      <c r="Q24" s="14">
        <v>0</v>
      </c>
      <c r="R24" s="14">
        <v>0</v>
      </c>
      <c r="S24" s="14">
        <v>0</v>
      </c>
      <c r="T24" s="14">
        <v>0</v>
      </c>
      <c r="U24" s="14">
        <v>0</v>
      </c>
      <c r="V24" s="14">
        <v>49100</v>
      </c>
      <c r="W24" s="14">
        <v>0</v>
      </c>
      <c r="X24" s="14">
        <v>84500</v>
      </c>
      <c r="Y24" s="14">
        <v>13300</v>
      </c>
      <c r="Z24" s="14">
        <v>0</v>
      </c>
      <c r="AA24" s="14">
        <v>431340</v>
      </c>
      <c r="AB24" s="14">
        <v>0</v>
      </c>
      <c r="AC24" s="16">
        <f>SUM(C24:AB24)</f>
        <v>1674534</v>
      </c>
      <c r="AD24" s="16">
        <f>AVERAGE(C24:AB24)</f>
        <v>64405.153846153844</v>
      </c>
      <c r="AE24" s="13">
        <f>AC24/AC13</f>
        <v>5.7703900060045984E-2</v>
      </c>
    </row>
    <row r="25" spans="1:31" ht="12.75" customHeight="1" x14ac:dyDescent="0.15">
      <c r="A25" s="41"/>
      <c r="B25" s="11" t="s">
        <v>78</v>
      </c>
      <c r="C25" s="14">
        <v>0</v>
      </c>
      <c r="D25" s="14">
        <v>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  <c r="AB25" s="14">
        <v>0</v>
      </c>
      <c r="AC25" s="16">
        <f>SUM(C25:AB25)</f>
        <v>0</v>
      </c>
      <c r="AD25" s="16">
        <f>AVERAGE(C25:AB25)</f>
        <v>0</v>
      </c>
      <c r="AE25" s="13">
        <f>AC25/AC13</f>
        <v>0</v>
      </c>
    </row>
    <row r="26" spans="1:31" ht="12.75" customHeight="1" x14ac:dyDescent="0.15">
      <c r="A26" s="41"/>
      <c r="B26" s="11" t="s">
        <v>79</v>
      </c>
      <c r="C26" s="14">
        <f t="shared" ref="C26:AB26" si="3">30000*C9/70000*C11</f>
        <v>6270.8571428571422</v>
      </c>
      <c r="D26" s="14">
        <f t="shared" si="3"/>
        <v>11790.857142857141</v>
      </c>
      <c r="E26" s="14">
        <f t="shared" si="3"/>
        <v>21002.571428571424</v>
      </c>
      <c r="F26" s="14">
        <f t="shared" si="3"/>
        <v>20017.714285714286</v>
      </c>
      <c r="G26" s="14">
        <f t="shared" si="3"/>
        <v>21800.999999999996</v>
      </c>
      <c r="H26" s="14">
        <f t="shared" si="3"/>
        <v>22130.571428571428</v>
      </c>
      <c r="I26" s="14">
        <f t="shared" si="3"/>
        <v>38974.800000000003</v>
      </c>
      <c r="J26" s="14">
        <f t="shared" si="3"/>
        <v>20259.428571428569</v>
      </c>
      <c r="K26" s="14">
        <f t="shared" si="3"/>
        <v>21374.571428571428</v>
      </c>
      <c r="L26" s="14">
        <f t="shared" si="3"/>
        <v>23825.142857142855</v>
      </c>
      <c r="M26" s="14">
        <f t="shared" si="3"/>
        <v>31109.571428571431</v>
      </c>
      <c r="N26" s="14">
        <f t="shared" si="3"/>
        <v>35129.571428571428</v>
      </c>
      <c r="O26" s="14">
        <f t="shared" si="3"/>
        <v>30335.571428571428</v>
      </c>
      <c r="P26" s="14">
        <f t="shared" si="3"/>
        <v>32165.571428571428</v>
      </c>
      <c r="Q26" s="14">
        <f t="shared" si="3"/>
        <v>21743.142857142855</v>
      </c>
      <c r="R26" s="14">
        <f t="shared" si="3"/>
        <v>22500.857142857141</v>
      </c>
      <c r="S26" s="14">
        <f t="shared" si="3"/>
        <v>0</v>
      </c>
      <c r="T26" s="14">
        <f t="shared" si="3"/>
        <v>0</v>
      </c>
      <c r="U26" s="14">
        <f t="shared" si="3"/>
        <v>0</v>
      </c>
      <c r="V26" s="14">
        <f t="shared" si="3"/>
        <v>25392</v>
      </c>
      <c r="W26" s="14">
        <f t="shared" si="3"/>
        <v>28632</v>
      </c>
      <c r="X26" s="14">
        <f t="shared" si="3"/>
        <v>29382.857142857141</v>
      </c>
      <c r="Y26" s="14">
        <f t="shared" si="3"/>
        <v>35858.571428571428</v>
      </c>
      <c r="Z26" s="14">
        <f t="shared" si="3"/>
        <v>18261.428571428572</v>
      </c>
      <c r="AA26" s="14">
        <f t="shared" si="3"/>
        <v>16525.714285714286</v>
      </c>
      <c r="AB26" s="14">
        <f t="shared" si="3"/>
        <v>17644.285714285714</v>
      </c>
      <c r="AC26" s="16">
        <f>SUM(C26:AB26)</f>
        <v>552128.65714285709</v>
      </c>
      <c r="AD26" s="16">
        <f>AVERAGE(C26:AB26)</f>
        <v>21235.717582417579</v>
      </c>
      <c r="AE26" s="13">
        <f>AC26/AC13</f>
        <v>1.9026174954977815E-2</v>
      </c>
    </row>
    <row r="27" spans="1:31" ht="12.75" customHeight="1" x14ac:dyDescent="0.15">
      <c r="A27" s="41"/>
      <c r="B27" s="11" t="s">
        <v>80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0</v>
      </c>
      <c r="R27" s="14">
        <v>0</v>
      </c>
      <c r="S27" s="14">
        <v>0</v>
      </c>
      <c r="T27" s="14">
        <v>0</v>
      </c>
      <c r="U27" s="14"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14">
        <v>0</v>
      </c>
      <c r="AB27" s="14">
        <v>0</v>
      </c>
      <c r="AC27" s="16">
        <f>SUM(C27:AB27)</f>
        <v>0</v>
      </c>
      <c r="AD27" s="16">
        <f>AVERAGE(C27:AB27)</f>
        <v>0</v>
      </c>
      <c r="AE27" s="13">
        <f>AC27/AC13</f>
        <v>0</v>
      </c>
    </row>
    <row r="28" spans="1:31" ht="12.75" customHeight="1" x14ac:dyDescent="0.15">
      <c r="A28" s="41"/>
      <c r="B28" s="11" t="s">
        <v>81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>
        <v>0</v>
      </c>
      <c r="AC28" s="16">
        <f>SUM(C28:AB28)</f>
        <v>0</v>
      </c>
      <c r="AD28" s="16">
        <f>AVERAGE(C28:AB28)</f>
        <v>0</v>
      </c>
      <c r="AE28" s="13">
        <f>AC28/AC13</f>
        <v>0</v>
      </c>
    </row>
    <row r="29" spans="1:31" ht="12.75" customHeight="1" x14ac:dyDescent="0.15">
      <c r="A29" s="41"/>
      <c r="B29" s="17" t="s">
        <v>82</v>
      </c>
      <c r="C29" s="18">
        <f t="shared" ref="C29:AB29" si="4">SUM(C24:C28)</f>
        <v>6270.8571428571422</v>
      </c>
      <c r="D29" s="18">
        <f t="shared" si="4"/>
        <v>14990.857142857141</v>
      </c>
      <c r="E29" s="18">
        <f t="shared" si="4"/>
        <v>69476.57142857142</v>
      </c>
      <c r="F29" s="18">
        <f t="shared" si="4"/>
        <v>219247.71428571429</v>
      </c>
      <c r="G29" s="18">
        <f t="shared" si="4"/>
        <v>449185</v>
      </c>
      <c r="H29" s="18">
        <f t="shared" si="4"/>
        <v>22130.571428571428</v>
      </c>
      <c r="I29" s="18">
        <f t="shared" si="4"/>
        <v>38974.800000000003</v>
      </c>
      <c r="J29" s="18">
        <f t="shared" si="4"/>
        <v>94605.428571428565</v>
      </c>
      <c r="K29" s="18">
        <f t="shared" si="4"/>
        <v>23264.571428571428</v>
      </c>
      <c r="L29" s="18">
        <f t="shared" si="4"/>
        <v>23825.142857142855</v>
      </c>
      <c r="M29" s="18">
        <f t="shared" si="4"/>
        <v>42084.571428571435</v>
      </c>
      <c r="N29" s="18">
        <f t="shared" si="4"/>
        <v>74489.57142857142</v>
      </c>
      <c r="O29" s="18">
        <f t="shared" si="4"/>
        <v>30335.571428571428</v>
      </c>
      <c r="P29" s="18">
        <f t="shared" si="4"/>
        <v>323600.57142857142</v>
      </c>
      <c r="Q29" s="18">
        <f t="shared" si="4"/>
        <v>21743.142857142855</v>
      </c>
      <c r="R29" s="18">
        <f t="shared" si="4"/>
        <v>22500.857142857141</v>
      </c>
      <c r="S29" s="18">
        <f t="shared" si="4"/>
        <v>0</v>
      </c>
      <c r="T29" s="18">
        <f t="shared" si="4"/>
        <v>0</v>
      </c>
      <c r="U29" s="18">
        <f t="shared" si="4"/>
        <v>0</v>
      </c>
      <c r="V29" s="18">
        <f t="shared" si="4"/>
        <v>74492</v>
      </c>
      <c r="W29" s="18">
        <f t="shared" si="4"/>
        <v>28632</v>
      </c>
      <c r="X29" s="18">
        <f t="shared" si="4"/>
        <v>113882.85714285714</v>
      </c>
      <c r="Y29" s="18">
        <f t="shared" si="4"/>
        <v>49158.571428571428</v>
      </c>
      <c r="Z29" s="18">
        <f t="shared" si="4"/>
        <v>18261.428571428572</v>
      </c>
      <c r="AA29" s="18">
        <f t="shared" si="4"/>
        <v>447865.71428571426</v>
      </c>
      <c r="AB29" s="18">
        <f t="shared" si="4"/>
        <v>17644.285714285714</v>
      </c>
      <c r="AC29" s="20">
        <f>SUM(C29:AB29)</f>
        <v>2226662.6571428571</v>
      </c>
      <c r="AD29" s="20">
        <f>AVERAGE(C29:AB29)</f>
        <v>85640.871428571423</v>
      </c>
      <c r="AE29" s="21">
        <f>AC29/AC13</f>
        <v>7.6730075015023796E-2</v>
      </c>
    </row>
    <row r="30" spans="1:31" ht="12.75" customHeight="1" x14ac:dyDescent="0.15">
      <c r="A30" s="41" t="s">
        <v>83</v>
      </c>
      <c r="B30" s="8" t="s">
        <v>84</v>
      </c>
      <c r="C30" s="22">
        <v>456</v>
      </c>
      <c r="D30" s="22">
        <v>1060</v>
      </c>
      <c r="E30" s="22">
        <v>1426</v>
      </c>
      <c r="F30" s="22">
        <v>1045</v>
      </c>
      <c r="G30" s="22">
        <v>1330</v>
      </c>
      <c r="H30" s="22">
        <v>1410</v>
      </c>
      <c r="I30" s="22">
        <v>2494</v>
      </c>
      <c r="J30" s="22">
        <v>1275</v>
      </c>
      <c r="K30" s="22">
        <v>1346</v>
      </c>
      <c r="L30" s="22">
        <v>1393</v>
      </c>
      <c r="M30" s="22">
        <v>1868</v>
      </c>
      <c r="N30" s="22">
        <v>1999</v>
      </c>
      <c r="O30" s="22">
        <v>1810</v>
      </c>
      <c r="P30" s="22">
        <v>2011</v>
      </c>
      <c r="Q30" s="22">
        <v>1265</v>
      </c>
      <c r="R30" s="22">
        <v>1315</v>
      </c>
      <c r="S30" s="22">
        <v>0</v>
      </c>
      <c r="T30" s="22">
        <v>0</v>
      </c>
      <c r="U30" s="22">
        <v>0</v>
      </c>
      <c r="V30" s="22">
        <v>1708</v>
      </c>
      <c r="W30" s="22">
        <v>1850</v>
      </c>
      <c r="X30" s="22">
        <v>2105</v>
      </c>
      <c r="Y30" s="22">
        <v>1874</v>
      </c>
      <c r="Z30" s="22">
        <v>1120</v>
      </c>
      <c r="AA30" s="22">
        <v>1026</v>
      </c>
      <c r="AB30" s="22">
        <v>858</v>
      </c>
      <c r="AC30" s="24">
        <f>SUM(C30:AB30)</f>
        <v>34044</v>
      </c>
      <c r="AD30" s="24">
        <f>AVERAGE(C30:AB30)</f>
        <v>1309.3846153846155</v>
      </c>
      <c r="AE30" s="10">
        <f>AC30/AC13</f>
        <v>1.173145229445449E-3</v>
      </c>
    </row>
    <row r="31" spans="1:31" ht="12.75" customHeight="1" x14ac:dyDescent="0.15">
      <c r="A31" s="41"/>
      <c r="B31" s="25" t="s">
        <v>85</v>
      </c>
      <c r="C31" s="26">
        <f>SUM(C11/C30)</f>
        <v>4.0109649122807021</v>
      </c>
      <c r="D31" s="26">
        <f>SUM(D11/D30)</f>
        <v>3.2443396226415095</v>
      </c>
      <c r="E31" s="26">
        <f>SUM(E11/E30)</f>
        <v>3.4366058906030852</v>
      </c>
      <c r="F31" s="26">
        <f>SUM(F11/F30)</f>
        <v>4.4696650717703355</v>
      </c>
      <c r="G31" s="26">
        <f>SUM(G11/G30)</f>
        <v>3.824736842105263</v>
      </c>
      <c r="H31" s="26">
        <f>SUM(H11/H30)</f>
        <v>3.6622695035460993</v>
      </c>
      <c r="I31" s="26">
        <f>SUM(I11/I30)</f>
        <v>2.6045709703287891</v>
      </c>
      <c r="J31" s="26">
        <f>SUM(J11/J30)</f>
        <v>3.7076078431372546</v>
      </c>
      <c r="K31" s="26">
        <f>SUM(K11/K30)</f>
        <v>3.7053491827637441</v>
      </c>
      <c r="L31" s="26">
        <f>SUM(L11/L30)</f>
        <v>3.9908111988513997</v>
      </c>
      <c r="M31" s="26">
        <f>SUM(M11/M30)</f>
        <v>3.8859207708779446</v>
      </c>
      <c r="N31" s="26">
        <f>SUM(N11/N30)</f>
        <v>4.1005002501250623</v>
      </c>
      <c r="O31" s="26">
        <f>SUM(O11/O30)</f>
        <v>3.9106629834254143</v>
      </c>
      <c r="P31" s="26">
        <f>SUM(P11/P30)</f>
        <v>3.7321233217304823</v>
      </c>
      <c r="Q31" s="26">
        <f>SUM(Q11/Q30)</f>
        <v>4.0105928853754937</v>
      </c>
      <c r="R31" s="26">
        <f>SUM(R11/R30)</f>
        <v>3.9925475285171101</v>
      </c>
      <c r="S31" s="26" t="e">
        <f>SUM(S11/S30)</f>
        <v>#DIV/0!</v>
      </c>
      <c r="T31" s="26" t="e">
        <f>SUM(T11/T30)</f>
        <v>#DIV/0!</v>
      </c>
      <c r="U31" s="26" t="e">
        <f>SUM(U11/U30)</f>
        <v>#DIV/0!</v>
      </c>
      <c r="V31" s="26">
        <f>SUM(V11/V30)</f>
        <v>4.3360655737704921</v>
      </c>
      <c r="W31" s="26">
        <f>SUM(W11/W30)</f>
        <v>4.5140540540540544</v>
      </c>
      <c r="X31" s="26">
        <f>SUM(X11/X30)</f>
        <v>4.0712589073634202</v>
      </c>
      <c r="Y31" s="26">
        <f>SUM(Y11/Y30)</f>
        <v>4.4647812166488796</v>
      </c>
      <c r="Z31" s="26">
        <f>SUM(Z11/Z30)</f>
        <v>3.8044642857142859</v>
      </c>
      <c r="AA31" s="26">
        <f>SUM(AA11/AA30)</f>
        <v>3.7582846003898633</v>
      </c>
      <c r="AB31" s="26">
        <f>SUM(AB11/AB30)</f>
        <v>4.798368298368298</v>
      </c>
      <c r="AC31" s="28">
        <f>SUM(AC11/AC30)</f>
        <v>3.8817618376219007</v>
      </c>
      <c r="AD31" s="28" t="e">
        <f>AVERAGE(C31:AB31)</f>
        <v>#DIV/0!</v>
      </c>
      <c r="AE31" s="25">
        <f>AC31/AC13</f>
        <v>1.3376425748001213E-7</v>
      </c>
    </row>
    <row r="32" spans="1:31" ht="12.75" customHeight="1" x14ac:dyDescent="0.15">
      <c r="A32" s="41"/>
      <c r="B32" s="11" t="s">
        <v>86</v>
      </c>
      <c r="C32" s="14">
        <v>52622</v>
      </c>
      <c r="D32" s="14">
        <v>122324</v>
      </c>
      <c r="E32" s="14">
        <v>164560</v>
      </c>
      <c r="F32" s="14">
        <v>120593</v>
      </c>
      <c r="G32" s="14">
        <v>153482</v>
      </c>
      <c r="H32" s="14">
        <v>162714</v>
      </c>
      <c r="I32" s="14">
        <v>287808</v>
      </c>
      <c r="J32" s="14">
        <v>147135</v>
      </c>
      <c r="K32" s="14">
        <v>155328</v>
      </c>
      <c r="L32" s="14">
        <v>160752</v>
      </c>
      <c r="M32" s="14">
        <v>215567</v>
      </c>
      <c r="N32" s="14">
        <v>230685</v>
      </c>
      <c r="O32" s="14">
        <v>208874</v>
      </c>
      <c r="P32" s="14">
        <v>232069</v>
      </c>
      <c r="Q32" s="14">
        <v>145981</v>
      </c>
      <c r="R32" s="14">
        <v>151751</v>
      </c>
      <c r="S32" s="14">
        <v>0</v>
      </c>
      <c r="T32" s="14">
        <v>0</v>
      </c>
      <c r="U32" s="14">
        <v>0</v>
      </c>
      <c r="V32" s="14">
        <v>197103</v>
      </c>
      <c r="W32" s="14">
        <v>213490</v>
      </c>
      <c r="X32" s="14">
        <v>242917</v>
      </c>
      <c r="Y32" s="14">
        <v>216260</v>
      </c>
      <c r="Z32" s="14">
        <v>129248</v>
      </c>
      <c r="AA32" s="14">
        <v>118400</v>
      </c>
      <c r="AB32" s="14">
        <v>99013</v>
      </c>
      <c r="AC32" s="16">
        <f>SUM(C32:AB32)</f>
        <v>3928676</v>
      </c>
      <c r="AD32" s="16">
        <f>AVERAGE(C32:AB32)</f>
        <v>151102.92307692306</v>
      </c>
      <c r="AE32" s="13">
        <f>AC32/AC13</f>
        <v>0.13538090434252228</v>
      </c>
    </row>
    <row r="33" spans="1:31" ht="12.75" customHeight="1" x14ac:dyDescent="0.15">
      <c r="A33" s="41"/>
      <c r="B33" s="11" t="s">
        <v>87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>
        <v>0</v>
      </c>
      <c r="AC33" s="16">
        <f>SUM(C33:AB33)</f>
        <v>0</v>
      </c>
      <c r="AD33" s="16">
        <f>AVERAGE(C33:AB33)</f>
        <v>0</v>
      </c>
      <c r="AE33" s="13">
        <f>AC33/AC13</f>
        <v>0</v>
      </c>
    </row>
    <row r="34" spans="1:31" ht="12.75" customHeight="1" x14ac:dyDescent="0.15">
      <c r="A34" s="41"/>
      <c r="B34" s="11" t="s">
        <v>88</v>
      </c>
      <c r="C34" s="14">
        <v>0</v>
      </c>
      <c r="D34" s="14">
        <v>0</v>
      </c>
      <c r="E34" s="14">
        <v>0</v>
      </c>
      <c r="F34" s="14">
        <v>0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>
        <v>0</v>
      </c>
      <c r="AC34" s="16">
        <f>SUM(C34:AB34)</f>
        <v>0</v>
      </c>
      <c r="AD34" s="16">
        <f>AVERAGE(C34:AB34)</f>
        <v>0</v>
      </c>
      <c r="AE34" s="13">
        <f>AC34/AC13</f>
        <v>0</v>
      </c>
    </row>
    <row r="35" spans="1:31" ht="12.75" customHeight="1" x14ac:dyDescent="0.15">
      <c r="A35" s="41"/>
      <c r="B35" s="17" t="s">
        <v>89</v>
      </c>
      <c r="C35" s="18">
        <f t="shared" ref="C35:AB35" si="5">SUM(C32:C34)</f>
        <v>52622</v>
      </c>
      <c r="D35" s="18">
        <f t="shared" si="5"/>
        <v>122324</v>
      </c>
      <c r="E35" s="18">
        <f t="shared" si="5"/>
        <v>164560</v>
      </c>
      <c r="F35" s="18">
        <f t="shared" si="5"/>
        <v>120593</v>
      </c>
      <c r="G35" s="18">
        <f t="shared" si="5"/>
        <v>153482</v>
      </c>
      <c r="H35" s="18">
        <f t="shared" si="5"/>
        <v>162714</v>
      </c>
      <c r="I35" s="18">
        <f t="shared" si="5"/>
        <v>287808</v>
      </c>
      <c r="J35" s="18">
        <f t="shared" si="5"/>
        <v>147135</v>
      </c>
      <c r="K35" s="18">
        <f t="shared" si="5"/>
        <v>155328</v>
      </c>
      <c r="L35" s="18">
        <f t="shared" si="5"/>
        <v>160752</v>
      </c>
      <c r="M35" s="18">
        <f t="shared" si="5"/>
        <v>215567</v>
      </c>
      <c r="N35" s="18">
        <f t="shared" si="5"/>
        <v>230685</v>
      </c>
      <c r="O35" s="18">
        <f t="shared" si="5"/>
        <v>208874</v>
      </c>
      <c r="P35" s="18">
        <f t="shared" si="5"/>
        <v>232069</v>
      </c>
      <c r="Q35" s="18">
        <f t="shared" si="5"/>
        <v>145981</v>
      </c>
      <c r="R35" s="18">
        <f t="shared" si="5"/>
        <v>151751</v>
      </c>
      <c r="S35" s="18">
        <f t="shared" si="5"/>
        <v>0</v>
      </c>
      <c r="T35" s="18">
        <f t="shared" si="5"/>
        <v>0</v>
      </c>
      <c r="U35" s="18">
        <f t="shared" si="5"/>
        <v>0</v>
      </c>
      <c r="V35" s="18">
        <f t="shared" si="5"/>
        <v>197103</v>
      </c>
      <c r="W35" s="18">
        <f t="shared" si="5"/>
        <v>213490</v>
      </c>
      <c r="X35" s="18">
        <f t="shared" si="5"/>
        <v>242917</v>
      </c>
      <c r="Y35" s="18">
        <f t="shared" si="5"/>
        <v>216260</v>
      </c>
      <c r="Z35" s="18">
        <f t="shared" si="5"/>
        <v>129248</v>
      </c>
      <c r="AA35" s="18">
        <f t="shared" si="5"/>
        <v>118400</v>
      </c>
      <c r="AB35" s="18">
        <f t="shared" si="5"/>
        <v>99013</v>
      </c>
      <c r="AC35" s="20">
        <f>SUM(C35:AB35)</f>
        <v>3928676</v>
      </c>
      <c r="AD35" s="20">
        <f>AVERAGE(C35:AB35)</f>
        <v>151102.92307692306</v>
      </c>
      <c r="AE35" s="21">
        <f>AC35/AC13</f>
        <v>0.13538090434252228</v>
      </c>
    </row>
    <row r="36" spans="1:31" ht="12.75" customHeight="1" x14ac:dyDescent="0.15">
      <c r="A36" s="41" t="s">
        <v>90</v>
      </c>
      <c r="B36" s="11" t="s">
        <v>91</v>
      </c>
      <c r="C36" s="14">
        <v>2008</v>
      </c>
      <c r="D36" s="14">
        <v>2008</v>
      </c>
      <c r="E36" s="14">
        <v>2008</v>
      </c>
      <c r="F36" s="14">
        <v>2012</v>
      </c>
      <c r="G36" s="14">
        <v>2008</v>
      </c>
      <c r="H36" s="14">
        <v>2008</v>
      </c>
      <c r="I36" s="14">
        <v>2451</v>
      </c>
      <c r="J36" s="14">
        <v>2008</v>
      </c>
      <c r="K36" s="14">
        <v>2008</v>
      </c>
      <c r="L36" s="14">
        <v>2008</v>
      </c>
      <c r="M36" s="14">
        <v>2008</v>
      </c>
      <c r="N36" s="14">
        <v>2008</v>
      </c>
      <c r="O36" s="14">
        <v>2008</v>
      </c>
      <c r="P36" s="14">
        <v>2008</v>
      </c>
      <c r="Q36" s="14">
        <v>2008</v>
      </c>
      <c r="R36" s="14">
        <v>2008</v>
      </c>
      <c r="S36" s="14">
        <v>0</v>
      </c>
      <c r="T36" s="14">
        <v>0</v>
      </c>
      <c r="U36" s="14">
        <v>0</v>
      </c>
      <c r="V36" s="14">
        <v>2008</v>
      </c>
      <c r="W36" s="14">
        <v>0</v>
      </c>
      <c r="X36" s="14">
        <v>2008</v>
      </c>
      <c r="Y36" s="14">
        <v>2008</v>
      </c>
      <c r="Z36" s="14">
        <v>2008</v>
      </c>
      <c r="AA36" s="14">
        <v>2008</v>
      </c>
      <c r="AB36" s="14">
        <v>2008</v>
      </c>
      <c r="AC36" s="16">
        <f>SUM(C36:AB36)</f>
        <v>44623</v>
      </c>
      <c r="AD36" s="16">
        <f>AVERAGE(C36:AB36)</f>
        <v>1716.2692307692307</v>
      </c>
      <c r="AE36" s="13">
        <f>AC36/AC13</f>
        <v>1.5376941479715743E-3</v>
      </c>
    </row>
    <row r="37" spans="1:31" ht="12.75" customHeight="1" x14ac:dyDescent="0.15">
      <c r="A37" s="41"/>
      <c r="B37" s="11" t="s">
        <v>92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4">
        <v>0</v>
      </c>
      <c r="Z37" s="14">
        <v>0</v>
      </c>
      <c r="AA37" s="14">
        <v>0</v>
      </c>
      <c r="AB37" s="14">
        <v>0</v>
      </c>
      <c r="AC37" s="16">
        <f>SUM(C37:AB37)</f>
        <v>0</v>
      </c>
      <c r="AD37" s="16">
        <f>AVERAGE(C37:AB37)</f>
        <v>0</v>
      </c>
      <c r="AE37" s="13">
        <f>AC37/AC13</f>
        <v>0</v>
      </c>
    </row>
    <row r="38" spans="1:31" ht="12.75" customHeight="1" x14ac:dyDescent="0.15">
      <c r="A38" s="41"/>
      <c r="B38" s="11" t="s">
        <v>93</v>
      </c>
      <c r="C38" s="14">
        <v>0</v>
      </c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4">
        <v>0</v>
      </c>
      <c r="S38" s="14">
        <v>0</v>
      </c>
      <c r="T38" s="14">
        <v>0</v>
      </c>
      <c r="U38" s="14">
        <v>0</v>
      </c>
      <c r="V38" s="14">
        <v>0</v>
      </c>
      <c r="W38" s="14">
        <v>0</v>
      </c>
      <c r="X38" s="14">
        <v>0</v>
      </c>
      <c r="Y38" s="14">
        <v>0</v>
      </c>
      <c r="Z38" s="14">
        <v>0</v>
      </c>
      <c r="AA38" s="14">
        <v>0</v>
      </c>
      <c r="AB38" s="14">
        <v>0</v>
      </c>
      <c r="AC38" s="16">
        <f>SUM(C38:AB38)</f>
        <v>0</v>
      </c>
      <c r="AD38" s="16">
        <f>AVERAGE(C38:AB38)</f>
        <v>0</v>
      </c>
      <c r="AE38" s="13">
        <f>AC38/AC13</f>
        <v>0</v>
      </c>
    </row>
    <row r="39" spans="1:31" ht="12.75" customHeight="1" x14ac:dyDescent="0.15">
      <c r="A39" s="41"/>
      <c r="B39" s="11" t="s">
        <v>94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>
        <v>0</v>
      </c>
      <c r="U39" s="14">
        <v>0</v>
      </c>
      <c r="V39" s="14">
        <v>0</v>
      </c>
      <c r="W39" s="14">
        <v>0</v>
      </c>
      <c r="X39" s="14">
        <v>0</v>
      </c>
      <c r="Y39" s="14">
        <v>0</v>
      </c>
      <c r="Z39" s="14">
        <v>0</v>
      </c>
      <c r="AA39" s="14">
        <v>0</v>
      </c>
      <c r="AB39" s="14">
        <v>0</v>
      </c>
      <c r="AC39" s="16">
        <f>SUM(C39:AB39)</f>
        <v>0</v>
      </c>
      <c r="AD39" s="16">
        <f>AVERAGE(C39:AB39)</f>
        <v>0</v>
      </c>
      <c r="AE39" s="13">
        <f>AC39/AC13</f>
        <v>0</v>
      </c>
    </row>
    <row r="40" spans="1:31" ht="12.75" customHeight="1" x14ac:dyDescent="0.15">
      <c r="A40" s="41"/>
      <c r="B40" s="11" t="s">
        <v>95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>
        <v>0</v>
      </c>
      <c r="U40" s="14">
        <v>0</v>
      </c>
      <c r="V40" s="14">
        <v>0</v>
      </c>
      <c r="W40" s="14">
        <v>0</v>
      </c>
      <c r="X40" s="14">
        <v>0</v>
      </c>
      <c r="Y40" s="14">
        <v>0</v>
      </c>
      <c r="Z40" s="14">
        <v>0</v>
      </c>
      <c r="AA40" s="14">
        <v>0</v>
      </c>
      <c r="AB40" s="14">
        <v>0</v>
      </c>
      <c r="AC40" s="16">
        <f>SUM(C40:AB40)</f>
        <v>0</v>
      </c>
      <c r="AD40" s="16">
        <f>AVERAGE(C40:AB40)</f>
        <v>0</v>
      </c>
      <c r="AE40" s="13">
        <f>AC40/AC13</f>
        <v>0</v>
      </c>
    </row>
    <row r="41" spans="1:31" ht="12.75" customHeight="1" x14ac:dyDescent="0.15">
      <c r="A41" s="41"/>
      <c r="B41" s="11" t="s">
        <v>96</v>
      </c>
      <c r="C41" s="14">
        <v>5140</v>
      </c>
      <c r="D41" s="14">
        <v>5140</v>
      </c>
      <c r="E41" s="14">
        <v>5140</v>
      </c>
      <c r="F41" s="14">
        <v>5140</v>
      </c>
      <c r="G41" s="14">
        <v>5140</v>
      </c>
      <c r="H41" s="14">
        <v>5140</v>
      </c>
      <c r="I41" s="14">
        <v>10241</v>
      </c>
      <c r="J41" s="14">
        <v>5140</v>
      </c>
      <c r="K41" s="14">
        <v>5140</v>
      </c>
      <c r="L41" s="14">
        <v>7734</v>
      </c>
      <c r="M41" s="14">
        <v>5140</v>
      </c>
      <c r="N41" s="14">
        <v>8770</v>
      </c>
      <c r="O41" s="14">
        <v>5140</v>
      </c>
      <c r="P41" s="14">
        <v>7598</v>
      </c>
      <c r="Q41" s="14">
        <v>6828</v>
      </c>
      <c r="R41" s="14">
        <v>4430</v>
      </c>
      <c r="S41" s="14">
        <v>0</v>
      </c>
      <c r="T41" s="14">
        <v>0</v>
      </c>
      <c r="U41" s="14">
        <v>0</v>
      </c>
      <c r="V41" s="14">
        <v>5140</v>
      </c>
      <c r="W41" s="14">
        <v>9600</v>
      </c>
      <c r="X41" s="14">
        <v>5140</v>
      </c>
      <c r="Y41" s="14">
        <v>5140</v>
      </c>
      <c r="Z41" s="14">
        <v>4430</v>
      </c>
      <c r="AA41" s="14">
        <v>4430</v>
      </c>
      <c r="AB41" s="14">
        <v>4430</v>
      </c>
      <c r="AC41" s="16">
        <f>SUM(C41:AB41)</f>
        <v>135311</v>
      </c>
      <c r="AD41" s="16">
        <f>AVERAGE(C41:AB41)</f>
        <v>5204.2692307692305</v>
      </c>
      <c r="AE41" s="13">
        <f>AC41/AC13</f>
        <v>4.6627732975412159E-3</v>
      </c>
    </row>
    <row r="42" spans="1:31" ht="12.75" customHeight="1" x14ac:dyDescent="0.15">
      <c r="A42" s="41"/>
      <c r="B42" s="17" t="s">
        <v>97</v>
      </c>
      <c r="C42" s="18">
        <f t="shared" ref="C42:AB42" si="6">SUM(C36:C41)</f>
        <v>7148</v>
      </c>
      <c r="D42" s="18">
        <f t="shared" si="6"/>
        <v>7148</v>
      </c>
      <c r="E42" s="18">
        <f t="shared" si="6"/>
        <v>7148</v>
      </c>
      <c r="F42" s="18">
        <f t="shared" si="6"/>
        <v>7152</v>
      </c>
      <c r="G42" s="18">
        <f t="shared" si="6"/>
        <v>7148</v>
      </c>
      <c r="H42" s="18">
        <f t="shared" si="6"/>
        <v>7148</v>
      </c>
      <c r="I42" s="18">
        <f t="shared" si="6"/>
        <v>12692</v>
      </c>
      <c r="J42" s="18">
        <f t="shared" si="6"/>
        <v>7148</v>
      </c>
      <c r="K42" s="18">
        <f t="shared" si="6"/>
        <v>7148</v>
      </c>
      <c r="L42" s="18">
        <f t="shared" si="6"/>
        <v>9742</v>
      </c>
      <c r="M42" s="18">
        <f t="shared" si="6"/>
        <v>7148</v>
      </c>
      <c r="N42" s="18">
        <f t="shared" si="6"/>
        <v>10778</v>
      </c>
      <c r="O42" s="18">
        <f t="shared" si="6"/>
        <v>7148</v>
      </c>
      <c r="P42" s="18">
        <f t="shared" si="6"/>
        <v>9606</v>
      </c>
      <c r="Q42" s="18">
        <f t="shared" si="6"/>
        <v>8836</v>
      </c>
      <c r="R42" s="18">
        <f t="shared" si="6"/>
        <v>6438</v>
      </c>
      <c r="S42" s="18">
        <f t="shared" si="6"/>
        <v>0</v>
      </c>
      <c r="T42" s="18">
        <f t="shared" si="6"/>
        <v>0</v>
      </c>
      <c r="U42" s="18">
        <f t="shared" si="6"/>
        <v>0</v>
      </c>
      <c r="V42" s="18">
        <f t="shared" si="6"/>
        <v>7148</v>
      </c>
      <c r="W42" s="18">
        <f t="shared" si="6"/>
        <v>9600</v>
      </c>
      <c r="X42" s="18">
        <f t="shared" si="6"/>
        <v>7148</v>
      </c>
      <c r="Y42" s="18">
        <f t="shared" si="6"/>
        <v>7148</v>
      </c>
      <c r="Z42" s="18">
        <f t="shared" si="6"/>
        <v>6438</v>
      </c>
      <c r="AA42" s="18">
        <f t="shared" si="6"/>
        <v>6438</v>
      </c>
      <c r="AB42" s="18">
        <f t="shared" si="6"/>
        <v>6438</v>
      </c>
      <c r="AC42" s="20">
        <f>SUM(C42:AB42)</f>
        <v>179934</v>
      </c>
      <c r="AD42" s="20">
        <f>AVERAGE(C42:AB42)</f>
        <v>6920.5384615384619</v>
      </c>
      <c r="AE42" s="21">
        <f>AC42/AC13</f>
        <v>6.2004674455127902E-3</v>
      </c>
    </row>
    <row r="43" spans="1:31" ht="12.75" customHeight="1" x14ac:dyDescent="0.15">
      <c r="A43" s="41" t="s">
        <v>98</v>
      </c>
      <c r="B43" s="11" t="s">
        <v>99</v>
      </c>
      <c r="C43" s="14">
        <v>33180</v>
      </c>
      <c r="D43" s="14">
        <v>3020</v>
      </c>
      <c r="E43" s="14">
        <v>64590</v>
      </c>
      <c r="F43" s="14">
        <v>55390</v>
      </c>
      <c r="G43" s="14">
        <v>61580</v>
      </c>
      <c r="H43" s="14">
        <v>75000</v>
      </c>
      <c r="I43" s="14">
        <v>234330</v>
      </c>
      <c r="J43" s="14">
        <v>54280</v>
      </c>
      <c r="K43" s="14">
        <v>71180</v>
      </c>
      <c r="L43" s="14">
        <v>89010</v>
      </c>
      <c r="M43" s="14">
        <v>133070</v>
      </c>
      <c r="N43" s="14">
        <v>177510</v>
      </c>
      <c r="O43" s="14">
        <v>79320</v>
      </c>
      <c r="P43" s="14">
        <v>179110</v>
      </c>
      <c r="Q43" s="14">
        <v>124730</v>
      </c>
      <c r="R43" s="14">
        <v>104480</v>
      </c>
      <c r="S43" s="14">
        <v>0</v>
      </c>
      <c r="T43" s="14">
        <v>0</v>
      </c>
      <c r="U43" s="14">
        <v>0</v>
      </c>
      <c r="V43" s="14">
        <v>133660</v>
      </c>
      <c r="W43" s="14">
        <v>155250</v>
      </c>
      <c r="X43" s="14">
        <v>252630</v>
      </c>
      <c r="Y43" s="14">
        <v>173060</v>
      </c>
      <c r="Z43" s="14">
        <v>57840</v>
      </c>
      <c r="AA43" s="14">
        <v>22490</v>
      </c>
      <c r="AB43" s="14">
        <v>48030</v>
      </c>
      <c r="AC43" s="16">
        <f>SUM(C43:AB43)</f>
        <v>2382740</v>
      </c>
      <c r="AD43" s="16">
        <f>AVERAGE(C43:AB43)</f>
        <v>91643.846153846156</v>
      </c>
      <c r="AE43" s="13">
        <f>AC43/AC13</f>
        <v>8.2108449771144676E-2</v>
      </c>
    </row>
    <row r="44" spans="1:31" ht="12.75" customHeight="1" x14ac:dyDescent="0.15">
      <c r="A44" s="41"/>
      <c r="B44" s="11" t="s">
        <v>100</v>
      </c>
      <c r="C44" s="14">
        <v>-33180</v>
      </c>
      <c r="D44" s="14">
        <v>0</v>
      </c>
      <c r="E44" s="14">
        <v>-29927</v>
      </c>
      <c r="F44" s="14">
        <v>-25123</v>
      </c>
      <c r="G44" s="14">
        <v>-34280</v>
      </c>
      <c r="H44" s="14">
        <v>-34615</v>
      </c>
      <c r="I44" s="14">
        <v>-96712</v>
      </c>
      <c r="J44" s="14">
        <v>-20992</v>
      </c>
      <c r="K44" s="14">
        <v>-27839</v>
      </c>
      <c r="L44" s="14">
        <v>-36067</v>
      </c>
      <c r="M44" s="14">
        <v>-52690</v>
      </c>
      <c r="N44" s="14">
        <v>-67653</v>
      </c>
      <c r="O44" s="14">
        <v>-40109</v>
      </c>
      <c r="P44" s="14">
        <v>-60099</v>
      </c>
      <c r="Q44" s="14">
        <v>-102090</v>
      </c>
      <c r="R44" s="14">
        <v>-102090</v>
      </c>
      <c r="S44" s="14">
        <v>0</v>
      </c>
      <c r="T44" s="14">
        <v>0</v>
      </c>
      <c r="U44" s="14">
        <v>0</v>
      </c>
      <c r="V44" s="14">
        <v>-133660</v>
      </c>
      <c r="W44" s="14">
        <v>-155250</v>
      </c>
      <c r="X44" s="14">
        <v>-130608</v>
      </c>
      <c r="Y44" s="14">
        <v>-4147</v>
      </c>
      <c r="Z44" s="14">
        <v>0</v>
      </c>
      <c r="AA44" s="14">
        <v>0</v>
      </c>
      <c r="AB44" s="14">
        <v>0</v>
      </c>
      <c r="AC44" s="16">
        <f>SUM(C44:AB44)</f>
        <v>-1187131</v>
      </c>
      <c r="AD44" s="16">
        <f>AVERAGE(C44:AB44)</f>
        <v>-45658.884615384617</v>
      </c>
      <c r="AE44" s="13">
        <f>AC44/AC13</f>
        <v>-4.0908150316555203E-2</v>
      </c>
    </row>
    <row r="45" spans="1:31" ht="12.75" customHeight="1" x14ac:dyDescent="0.15">
      <c r="A45" s="41"/>
      <c r="B45" s="11" t="s">
        <v>101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  <c r="U45" s="14">
        <v>0</v>
      </c>
      <c r="V45" s="14">
        <v>0</v>
      </c>
      <c r="W45" s="14">
        <v>0</v>
      </c>
      <c r="X45" s="14">
        <v>0</v>
      </c>
      <c r="Y45" s="14">
        <v>0</v>
      </c>
      <c r="Z45" s="14">
        <v>0</v>
      </c>
      <c r="AA45" s="14">
        <v>0</v>
      </c>
      <c r="AB45" s="14">
        <v>0</v>
      </c>
      <c r="AC45" s="16">
        <f>SUM(C45:AB45)</f>
        <v>0</v>
      </c>
      <c r="AD45" s="16">
        <f>AVERAGE(C45:AB45)</f>
        <v>0</v>
      </c>
      <c r="AE45" s="13">
        <f>AC45/AC13</f>
        <v>0</v>
      </c>
    </row>
    <row r="46" spans="1:31" ht="12.75" customHeight="1" x14ac:dyDescent="0.15">
      <c r="A46" s="41"/>
      <c r="B46" s="11" t="s">
        <v>102</v>
      </c>
      <c r="C46" s="14">
        <v>-10617.6</v>
      </c>
      <c r="D46" s="14">
        <v>-966.4</v>
      </c>
      <c r="E46" s="14">
        <v>-20668.8</v>
      </c>
      <c r="F46" s="14">
        <v>-17724.8</v>
      </c>
      <c r="G46" s="14">
        <v>-19705.599999999999</v>
      </c>
      <c r="H46" s="14">
        <v>-24000</v>
      </c>
      <c r="I46" s="14">
        <v>-74985.600000000006</v>
      </c>
      <c r="J46" s="14">
        <v>-17369.599999999999</v>
      </c>
      <c r="K46" s="14">
        <v>-22777.599999999999</v>
      </c>
      <c r="L46" s="14">
        <v>-28483.200000000001</v>
      </c>
      <c r="M46" s="14">
        <v>-42582.400000000001</v>
      </c>
      <c r="N46" s="14">
        <v>-56803.199999999997</v>
      </c>
      <c r="O46" s="14">
        <v>-25382.400000000001</v>
      </c>
      <c r="P46" s="14">
        <v>-57315.199999999997</v>
      </c>
      <c r="Q46" s="14">
        <v>-39913.599999999999</v>
      </c>
      <c r="R46" s="14">
        <v>-33433.599999999999</v>
      </c>
      <c r="S46" s="14">
        <v>0</v>
      </c>
      <c r="T46" s="14">
        <v>0</v>
      </c>
      <c r="U46" s="14">
        <v>0</v>
      </c>
      <c r="V46" s="14">
        <v>-42771.199999999997</v>
      </c>
      <c r="W46" s="14">
        <v>-49680</v>
      </c>
      <c r="X46" s="14">
        <v>-80841.600000000006</v>
      </c>
      <c r="Y46" s="14">
        <v>-55379.199999999997</v>
      </c>
      <c r="Z46" s="14">
        <v>-18508.8</v>
      </c>
      <c r="AA46" s="14">
        <v>-7196.8</v>
      </c>
      <c r="AB46" s="14">
        <v>-15369.6</v>
      </c>
      <c r="AC46" s="16">
        <f>SUM(C46:AB46)</f>
        <v>-762476.8</v>
      </c>
      <c r="AD46" s="16">
        <f>AVERAGE(B46:AB46)</f>
        <v>-29326.030769230772</v>
      </c>
      <c r="AE46" s="13">
        <f>AC46/AC13</f>
        <v>-2.6274703926766296E-2</v>
      </c>
    </row>
    <row r="47" spans="1:31" ht="12.75" customHeight="1" x14ac:dyDescent="0.15">
      <c r="A47" s="41"/>
      <c r="B47" s="17" t="s">
        <v>103</v>
      </c>
      <c r="C47" s="18">
        <f t="shared" ref="C47:AC47" si="7">SUM(C43:C46)</f>
        <v>-10617.6</v>
      </c>
      <c r="D47" s="18">
        <f t="shared" si="7"/>
        <v>2053.6</v>
      </c>
      <c r="E47" s="18">
        <f t="shared" si="7"/>
        <v>13994.2</v>
      </c>
      <c r="F47" s="18">
        <f t="shared" si="7"/>
        <v>12542.2</v>
      </c>
      <c r="G47" s="18">
        <f t="shared" si="7"/>
        <v>7594.4000000000015</v>
      </c>
      <c r="H47" s="18">
        <f t="shared" si="7"/>
        <v>16385</v>
      </c>
      <c r="I47" s="18">
        <f t="shared" si="7"/>
        <v>62632.399999999994</v>
      </c>
      <c r="J47" s="18">
        <f t="shared" si="7"/>
        <v>15918.400000000001</v>
      </c>
      <c r="K47" s="18">
        <f t="shared" si="7"/>
        <v>20563.400000000001</v>
      </c>
      <c r="L47" s="18">
        <f t="shared" si="7"/>
        <v>24459.8</v>
      </c>
      <c r="M47" s="18">
        <f t="shared" si="7"/>
        <v>37797.599999999999</v>
      </c>
      <c r="N47" s="18">
        <f t="shared" si="7"/>
        <v>53053.8</v>
      </c>
      <c r="O47" s="18">
        <f t="shared" si="7"/>
        <v>13828.599999999999</v>
      </c>
      <c r="P47" s="18">
        <f t="shared" si="7"/>
        <v>61695.8</v>
      </c>
      <c r="Q47" s="18">
        <f t="shared" si="7"/>
        <v>-17273.599999999999</v>
      </c>
      <c r="R47" s="18">
        <f t="shared" si="7"/>
        <v>-31043.599999999999</v>
      </c>
      <c r="S47" s="18">
        <f t="shared" si="7"/>
        <v>0</v>
      </c>
      <c r="T47" s="18">
        <f t="shared" si="7"/>
        <v>0</v>
      </c>
      <c r="U47" s="18">
        <f t="shared" si="7"/>
        <v>0</v>
      </c>
      <c r="V47" s="18">
        <f t="shared" si="7"/>
        <v>-42771.199999999997</v>
      </c>
      <c r="W47" s="18">
        <f t="shared" si="7"/>
        <v>-49680</v>
      </c>
      <c r="X47" s="18">
        <f t="shared" si="7"/>
        <v>41180.399999999994</v>
      </c>
      <c r="Y47" s="18">
        <f t="shared" si="7"/>
        <v>113533.8</v>
      </c>
      <c r="Z47" s="18">
        <f t="shared" si="7"/>
        <v>39331.199999999997</v>
      </c>
      <c r="AA47" s="18">
        <f t="shared" si="7"/>
        <v>15293.2</v>
      </c>
      <c r="AB47" s="18">
        <f t="shared" si="7"/>
        <v>32660.400000000001</v>
      </c>
      <c r="AC47" s="20">
        <f t="shared" si="7"/>
        <v>433132.19999999995</v>
      </c>
      <c r="AD47" s="20">
        <f>AVERAGE(B47:AB47)</f>
        <v>16658.93076923077</v>
      </c>
      <c r="AE47" s="21">
        <f>AC47/AC13</f>
        <v>1.4925595527823172E-2</v>
      </c>
    </row>
    <row r="48" spans="1:31" ht="12.75" customHeight="1" x14ac:dyDescent="0.15">
      <c r="A48" s="41" t="s">
        <v>104</v>
      </c>
      <c r="B48" s="11" t="s">
        <v>105</v>
      </c>
      <c r="C48" s="14">
        <v>76338</v>
      </c>
      <c r="D48" s="14">
        <v>496200</v>
      </c>
      <c r="E48" s="14">
        <v>534370</v>
      </c>
      <c r="F48" s="14">
        <v>318077</v>
      </c>
      <c r="G48" s="14">
        <v>330800</v>
      </c>
      <c r="H48" s="14">
        <v>330800</v>
      </c>
      <c r="I48" s="14">
        <v>343523</v>
      </c>
      <c r="J48" s="14">
        <v>623431</v>
      </c>
      <c r="K48" s="14">
        <v>318077</v>
      </c>
      <c r="L48" s="14">
        <v>356246</v>
      </c>
      <c r="M48" s="14">
        <v>343523</v>
      </c>
      <c r="N48" s="14">
        <v>318077</v>
      </c>
      <c r="O48" s="14">
        <v>394415</v>
      </c>
      <c r="P48" s="14">
        <v>305353</v>
      </c>
      <c r="Q48" s="14">
        <v>190846</v>
      </c>
      <c r="R48" s="14">
        <v>178124</v>
      </c>
      <c r="S48" s="14">
        <v>0</v>
      </c>
      <c r="T48" s="14">
        <v>0</v>
      </c>
      <c r="U48" s="14">
        <v>0</v>
      </c>
      <c r="V48" s="14">
        <v>305354</v>
      </c>
      <c r="W48" s="14">
        <v>343524</v>
      </c>
      <c r="X48" s="14">
        <v>318077</v>
      </c>
      <c r="Y48" s="14">
        <v>318077</v>
      </c>
      <c r="Z48" s="14">
        <v>356248</v>
      </c>
      <c r="AA48" s="14">
        <v>330800</v>
      </c>
      <c r="AB48" s="14">
        <v>279908</v>
      </c>
      <c r="AC48" s="16">
        <f>SUM(C48:AB48)</f>
        <v>7710188</v>
      </c>
      <c r="AD48" s="16">
        <f>AVERAGE(C48:AB48)</f>
        <v>296545.69230769231</v>
      </c>
      <c r="AE48" s="13">
        <f>AC48/AC13</f>
        <v>0.26569058484101599</v>
      </c>
    </row>
    <row r="49" spans="1:31" ht="12.75" customHeight="1" x14ac:dyDescent="0.15">
      <c r="A49" s="41"/>
      <c r="B49" s="11" t="s">
        <v>106</v>
      </c>
      <c r="C49" s="14">
        <v>4805</v>
      </c>
      <c r="D49" s="14">
        <v>31231</v>
      </c>
      <c r="E49" s="14">
        <v>33634</v>
      </c>
      <c r="F49" s="14">
        <v>20020</v>
      </c>
      <c r="G49" s="14">
        <v>20821</v>
      </c>
      <c r="H49" s="14">
        <v>20821</v>
      </c>
      <c r="I49" s="14">
        <v>21622</v>
      </c>
      <c r="J49" s="14">
        <v>39240</v>
      </c>
      <c r="K49" s="14">
        <v>20020</v>
      </c>
      <c r="L49" s="14">
        <v>22423</v>
      </c>
      <c r="M49" s="14">
        <v>21622</v>
      </c>
      <c r="N49" s="14">
        <v>20021</v>
      </c>
      <c r="O49" s="14">
        <v>24825</v>
      </c>
      <c r="P49" s="14">
        <v>19220</v>
      </c>
      <c r="Q49" s="14">
        <v>12012</v>
      </c>
      <c r="R49" s="14">
        <v>11212</v>
      </c>
      <c r="S49" s="14">
        <v>0</v>
      </c>
      <c r="T49" s="14">
        <v>0</v>
      </c>
      <c r="U49" s="14">
        <v>0</v>
      </c>
      <c r="V49" s="14">
        <v>19219</v>
      </c>
      <c r="W49" s="14">
        <v>21622</v>
      </c>
      <c r="X49" s="14">
        <v>20020</v>
      </c>
      <c r="Y49" s="14">
        <v>20020</v>
      </c>
      <c r="Z49" s="14">
        <v>22419</v>
      </c>
      <c r="AA49" s="14">
        <v>20821</v>
      </c>
      <c r="AB49" s="14">
        <v>17619</v>
      </c>
      <c r="AC49" s="16">
        <f>SUM(C49:AB49)</f>
        <v>485289</v>
      </c>
      <c r="AD49" s="16">
        <f>AVERAGE(C49:AB49)</f>
        <v>18664.961538461539</v>
      </c>
      <c r="AE49" s="13">
        <f>AC49/AC13</f>
        <v>1.6722901987203401E-2</v>
      </c>
    </row>
    <row r="50" spans="1:31" ht="12.75" customHeight="1" x14ac:dyDescent="0.15">
      <c r="A50" s="41"/>
      <c r="B50" s="11" t="s">
        <v>107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4">
        <v>0</v>
      </c>
      <c r="R50" s="14">
        <v>0</v>
      </c>
      <c r="S50" s="14">
        <v>0</v>
      </c>
      <c r="T50" s="14">
        <v>0</v>
      </c>
      <c r="U50" s="14">
        <v>0</v>
      </c>
      <c r="V50" s="14">
        <v>0</v>
      </c>
      <c r="W50" s="14">
        <v>0</v>
      </c>
      <c r="X50" s="14">
        <v>0</v>
      </c>
      <c r="Y50" s="14">
        <v>0</v>
      </c>
      <c r="Z50" s="14">
        <v>0</v>
      </c>
      <c r="AA50" s="14">
        <v>0</v>
      </c>
      <c r="AB50" s="14">
        <v>0</v>
      </c>
      <c r="AC50" s="16">
        <f>SUM(C50:AB50)</f>
        <v>0</v>
      </c>
      <c r="AD50" s="16">
        <f>AVERAGE(C50:AB50)</f>
        <v>0</v>
      </c>
      <c r="AE50" s="13">
        <f>AC50/AC13</f>
        <v>0</v>
      </c>
    </row>
    <row r="51" spans="1:31" ht="12.75" customHeight="1" x14ac:dyDescent="0.15">
      <c r="A51" s="41"/>
      <c r="B51" s="11" t="s">
        <v>108</v>
      </c>
      <c r="C51" s="14">
        <v>13920</v>
      </c>
      <c r="D51" s="14">
        <v>90479</v>
      </c>
      <c r="E51" s="14">
        <v>97439</v>
      </c>
      <c r="F51" s="14">
        <v>57999</v>
      </c>
      <c r="G51" s="14">
        <v>60319</v>
      </c>
      <c r="H51" s="14">
        <v>60319</v>
      </c>
      <c r="I51" s="14">
        <v>62639</v>
      </c>
      <c r="J51" s="14">
        <v>113678</v>
      </c>
      <c r="K51" s="14">
        <v>57999</v>
      </c>
      <c r="L51" s="14">
        <v>64959</v>
      </c>
      <c r="M51" s="14">
        <v>62639</v>
      </c>
      <c r="N51" s="14">
        <v>58000</v>
      </c>
      <c r="O51" s="14">
        <v>71919</v>
      </c>
      <c r="P51" s="14">
        <v>55680</v>
      </c>
      <c r="Q51" s="14">
        <v>34800</v>
      </c>
      <c r="R51" s="14">
        <v>32479</v>
      </c>
      <c r="S51" s="14">
        <v>0</v>
      </c>
      <c r="T51" s="14">
        <v>0</v>
      </c>
      <c r="U51" s="14">
        <v>0</v>
      </c>
      <c r="V51" s="14">
        <v>55680</v>
      </c>
      <c r="W51" s="14">
        <v>62640</v>
      </c>
      <c r="X51" s="14">
        <v>58000</v>
      </c>
      <c r="Y51" s="14">
        <v>58000</v>
      </c>
      <c r="Z51" s="14">
        <v>64953</v>
      </c>
      <c r="AA51" s="14">
        <v>60320</v>
      </c>
      <c r="AB51" s="14">
        <v>51040</v>
      </c>
      <c r="AC51" s="16">
        <f>SUM(C51:AB51)</f>
        <v>1405900</v>
      </c>
      <c r="AD51" s="16">
        <f>AVERAGE(C51:AB51)</f>
        <v>54073.076923076922</v>
      </c>
      <c r="AE51" s="13">
        <f>AC51/AC13</f>
        <v>4.8446859302002022E-2</v>
      </c>
    </row>
    <row r="52" spans="1:31" ht="12.75" customHeight="1" x14ac:dyDescent="0.15">
      <c r="A52" s="41"/>
      <c r="B52" s="11" t="s">
        <v>109</v>
      </c>
      <c r="C52" s="14">
        <v>842</v>
      </c>
      <c r="D52" s="14">
        <v>5474</v>
      </c>
      <c r="E52" s="14">
        <v>5895</v>
      </c>
      <c r="F52" s="14">
        <v>3508</v>
      </c>
      <c r="G52" s="14">
        <v>3649</v>
      </c>
      <c r="H52" s="14">
        <v>3649</v>
      </c>
      <c r="I52" s="14">
        <v>3789</v>
      </c>
      <c r="J52" s="14">
        <v>6877</v>
      </c>
      <c r="K52" s="14">
        <v>3508</v>
      </c>
      <c r="L52" s="14">
        <v>3929</v>
      </c>
      <c r="M52" s="14">
        <v>3788</v>
      </c>
      <c r="N52" s="14">
        <v>3509</v>
      </c>
      <c r="O52" s="14">
        <v>4350</v>
      </c>
      <c r="P52" s="14">
        <v>3368</v>
      </c>
      <c r="Q52" s="14">
        <v>2105</v>
      </c>
      <c r="R52" s="14">
        <v>1965</v>
      </c>
      <c r="S52" s="14">
        <v>0</v>
      </c>
      <c r="T52" s="14">
        <v>0</v>
      </c>
      <c r="U52" s="14">
        <v>0</v>
      </c>
      <c r="V52" s="14">
        <v>3368</v>
      </c>
      <c r="W52" s="14">
        <v>3789</v>
      </c>
      <c r="X52" s="14">
        <v>3509</v>
      </c>
      <c r="Y52" s="14">
        <v>3509</v>
      </c>
      <c r="Z52" s="14">
        <v>3934</v>
      </c>
      <c r="AA52" s="14">
        <v>3649</v>
      </c>
      <c r="AB52" s="14">
        <v>3088</v>
      </c>
      <c r="AC52" s="16">
        <f>SUM(C52:AB52)</f>
        <v>85051</v>
      </c>
      <c r="AD52" s="16">
        <f>AVERAGE(C52:AB52)</f>
        <v>3271.1923076923076</v>
      </c>
      <c r="AE52" s="13">
        <f>AC52/AC13</f>
        <v>2.9308299526954792E-3</v>
      </c>
    </row>
    <row r="53" spans="1:31" ht="12.75" customHeight="1" x14ac:dyDescent="0.15">
      <c r="A53" s="41"/>
      <c r="B53" s="17" t="s">
        <v>110</v>
      </c>
      <c r="C53" s="18">
        <f t="shared" ref="C53:AB53" si="8">SUM(C48:C52)</f>
        <v>95905</v>
      </c>
      <c r="D53" s="18">
        <f t="shared" si="8"/>
        <v>623384</v>
      </c>
      <c r="E53" s="18">
        <f t="shared" si="8"/>
        <v>671338</v>
      </c>
      <c r="F53" s="18">
        <f t="shared" si="8"/>
        <v>399604</v>
      </c>
      <c r="G53" s="18">
        <f t="shared" si="8"/>
        <v>415589</v>
      </c>
      <c r="H53" s="18">
        <f t="shared" si="8"/>
        <v>415589</v>
      </c>
      <c r="I53" s="18">
        <f t="shared" si="8"/>
        <v>431573</v>
      </c>
      <c r="J53" s="18">
        <f t="shared" si="8"/>
        <v>783226</v>
      </c>
      <c r="K53" s="18">
        <f t="shared" si="8"/>
        <v>399604</v>
      </c>
      <c r="L53" s="18">
        <f t="shared" si="8"/>
        <v>447557</v>
      </c>
      <c r="M53" s="18">
        <f t="shared" si="8"/>
        <v>431572</v>
      </c>
      <c r="N53" s="18">
        <f t="shared" si="8"/>
        <v>399607</v>
      </c>
      <c r="O53" s="18">
        <f t="shared" si="8"/>
        <v>495509</v>
      </c>
      <c r="P53" s="18">
        <f t="shared" si="8"/>
        <v>383621</v>
      </c>
      <c r="Q53" s="18">
        <f t="shared" si="8"/>
        <v>239763</v>
      </c>
      <c r="R53" s="18">
        <f t="shared" si="8"/>
        <v>223780</v>
      </c>
      <c r="S53" s="18">
        <f t="shared" si="8"/>
        <v>0</v>
      </c>
      <c r="T53" s="18">
        <f t="shared" si="8"/>
        <v>0</v>
      </c>
      <c r="U53" s="18">
        <f t="shared" si="8"/>
        <v>0</v>
      </c>
      <c r="V53" s="18">
        <f t="shared" si="8"/>
        <v>383621</v>
      </c>
      <c r="W53" s="18">
        <f t="shared" si="8"/>
        <v>431575</v>
      </c>
      <c r="X53" s="18">
        <f t="shared" si="8"/>
        <v>399606</v>
      </c>
      <c r="Y53" s="18">
        <f t="shared" si="8"/>
        <v>399606</v>
      </c>
      <c r="Z53" s="18">
        <f t="shared" si="8"/>
        <v>447554</v>
      </c>
      <c r="AA53" s="18">
        <f t="shared" si="8"/>
        <v>415590</v>
      </c>
      <c r="AB53" s="18">
        <f t="shared" si="8"/>
        <v>351655</v>
      </c>
      <c r="AC53" s="20">
        <f>SUM(C53:AB53)</f>
        <v>9686428</v>
      </c>
      <c r="AD53" s="20">
        <f>AVERAGE(C53:AB53)</f>
        <v>372554.92307692306</v>
      </c>
      <c r="AE53" s="21">
        <f>AC53/AC13</f>
        <v>0.33379117608291686</v>
      </c>
    </row>
    <row r="54" spans="1:31" ht="12.75" customHeight="1" x14ac:dyDescent="0.15">
      <c r="A54" s="41" t="s">
        <v>111</v>
      </c>
      <c r="B54" s="11" t="s">
        <v>112</v>
      </c>
      <c r="C54" s="14">
        <v>6882.3529411764703</v>
      </c>
      <c r="D54" s="14">
        <v>6882.3529411764703</v>
      </c>
      <c r="E54" s="14">
        <v>6882.3529411764703</v>
      </c>
      <c r="F54" s="14">
        <v>6882.3529411764703</v>
      </c>
      <c r="G54" s="14">
        <v>6882.3529411764703</v>
      </c>
      <c r="H54" s="14">
        <v>6882.3529411764703</v>
      </c>
      <c r="I54" s="14">
        <v>6882.3529411764703</v>
      </c>
      <c r="J54" s="14">
        <v>6882.3529411764703</v>
      </c>
      <c r="K54" s="14">
        <v>6882.3529411764703</v>
      </c>
      <c r="L54" s="14">
        <v>6882.3529411764703</v>
      </c>
      <c r="M54" s="14">
        <v>6882.3529411764703</v>
      </c>
      <c r="N54" s="14">
        <v>6882.3529411764703</v>
      </c>
      <c r="O54" s="14">
        <v>6882.3529411764703</v>
      </c>
      <c r="P54" s="14">
        <v>6882.3529411764703</v>
      </c>
      <c r="Q54" s="14">
        <v>6882.3529411764703</v>
      </c>
      <c r="R54" s="14">
        <v>6882.3529411764703</v>
      </c>
      <c r="S54" s="14">
        <v>6882.3529411764703</v>
      </c>
      <c r="T54" s="14">
        <v>6882.3529411764703</v>
      </c>
      <c r="U54" s="14">
        <v>6882.3529411764703</v>
      </c>
      <c r="V54" s="14">
        <v>21428.571428571428</v>
      </c>
      <c r="W54" s="14">
        <v>21428.571428571428</v>
      </c>
      <c r="X54" s="14">
        <v>21428.571428571428</v>
      </c>
      <c r="Y54" s="14">
        <v>21428.571428571428</v>
      </c>
      <c r="Z54" s="14">
        <v>21428.571428571428</v>
      </c>
      <c r="AA54" s="14">
        <v>21428.571428571428</v>
      </c>
      <c r="AB54" s="14">
        <v>21428.571428571428</v>
      </c>
      <c r="AC54" s="16">
        <f>SUM(C54:AB54)</f>
        <v>280764.70588235295</v>
      </c>
      <c r="AD54" s="16">
        <f>AVERAGE(C54:AB54)</f>
        <v>10798.642533936652</v>
      </c>
      <c r="AE54" s="13">
        <f>AC54/AC13</f>
        <v>9.6750609594212483E-3</v>
      </c>
    </row>
    <row r="55" spans="1:31" ht="12.75" customHeight="1" x14ac:dyDescent="0.15">
      <c r="A55" s="41"/>
      <c r="B55" s="11" t="s">
        <v>113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  <c r="K55" s="14">
        <v>0</v>
      </c>
      <c r="L55" s="14">
        <v>0</v>
      </c>
      <c r="M55" s="14">
        <v>0</v>
      </c>
      <c r="N55" s="14">
        <v>0</v>
      </c>
      <c r="O55" s="14">
        <v>0</v>
      </c>
      <c r="P55" s="14">
        <v>0</v>
      </c>
      <c r="Q55" s="14">
        <v>0</v>
      </c>
      <c r="R55" s="14">
        <v>0</v>
      </c>
      <c r="S55" s="14">
        <v>0</v>
      </c>
      <c r="T55" s="14">
        <v>0</v>
      </c>
      <c r="U55" s="14">
        <v>0</v>
      </c>
      <c r="V55" s="14">
        <v>0</v>
      </c>
      <c r="W55" s="14">
        <v>0</v>
      </c>
      <c r="X55" s="14">
        <v>0</v>
      </c>
      <c r="Y55" s="14">
        <v>0</v>
      </c>
      <c r="Z55" s="14">
        <v>0</v>
      </c>
      <c r="AA55" s="14">
        <v>0</v>
      </c>
      <c r="AB55" s="14">
        <v>0</v>
      </c>
      <c r="AC55" s="16">
        <f>SUM(C55:AB55)</f>
        <v>0</v>
      </c>
      <c r="AD55" s="16">
        <f>AVERAGE(C55:AB55)</f>
        <v>0</v>
      </c>
      <c r="AE55" s="13">
        <f>AC55/AC13</f>
        <v>0</v>
      </c>
    </row>
    <row r="56" spans="1:31" ht="12.75" customHeight="1" x14ac:dyDescent="0.15">
      <c r="A56" s="41"/>
      <c r="B56" s="11" t="s">
        <v>114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4">
        <v>0</v>
      </c>
      <c r="S56" s="14">
        <v>0</v>
      </c>
      <c r="T56" s="14">
        <v>0</v>
      </c>
      <c r="U56" s="14">
        <v>0</v>
      </c>
      <c r="V56" s="14">
        <v>0</v>
      </c>
      <c r="W56" s="14">
        <v>0</v>
      </c>
      <c r="X56" s="14">
        <v>0</v>
      </c>
      <c r="Y56" s="14">
        <v>0</v>
      </c>
      <c r="Z56" s="14">
        <v>0</v>
      </c>
      <c r="AA56" s="14">
        <v>0</v>
      </c>
      <c r="AB56" s="14">
        <v>0</v>
      </c>
      <c r="AC56" s="16">
        <f>SUM(C56:AB56)</f>
        <v>0</v>
      </c>
      <c r="AD56" s="16">
        <f>AVERAGE(C56:AB56)</f>
        <v>0</v>
      </c>
      <c r="AE56" s="13">
        <f>AC56/AC13</f>
        <v>0</v>
      </c>
    </row>
    <row r="57" spans="1:31" ht="12.75" customHeight="1" x14ac:dyDescent="0.15">
      <c r="A57" s="41"/>
      <c r="B57" s="11" t="s">
        <v>115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14">
        <v>0</v>
      </c>
      <c r="L57" s="14">
        <v>0</v>
      </c>
      <c r="M57" s="14">
        <v>0</v>
      </c>
      <c r="N57" s="14">
        <v>0</v>
      </c>
      <c r="O57" s="14">
        <v>0</v>
      </c>
      <c r="P57" s="14">
        <v>0</v>
      </c>
      <c r="Q57" s="14">
        <v>0</v>
      </c>
      <c r="R57" s="14">
        <v>0</v>
      </c>
      <c r="S57" s="14">
        <v>0</v>
      </c>
      <c r="T57" s="14">
        <v>0</v>
      </c>
      <c r="U57" s="14">
        <v>0</v>
      </c>
      <c r="V57" s="14">
        <v>0</v>
      </c>
      <c r="W57" s="14">
        <v>0</v>
      </c>
      <c r="X57" s="14">
        <v>0</v>
      </c>
      <c r="Y57" s="14">
        <v>0</v>
      </c>
      <c r="Z57" s="14">
        <v>0</v>
      </c>
      <c r="AA57" s="14">
        <v>0</v>
      </c>
      <c r="AB57" s="14">
        <v>0</v>
      </c>
      <c r="AC57" s="16">
        <f>SUM(C57:AB57)</f>
        <v>0</v>
      </c>
      <c r="AD57" s="16">
        <f>AVERAGE(C57:AB57)</f>
        <v>0</v>
      </c>
      <c r="AE57" s="13">
        <f>AC57/AC13</f>
        <v>0</v>
      </c>
    </row>
    <row r="58" spans="1:31" ht="12.75" customHeight="1" x14ac:dyDescent="0.15">
      <c r="A58" s="41"/>
      <c r="B58" s="11" t="s">
        <v>116</v>
      </c>
      <c r="C58" s="14">
        <v>93576.411764705888</v>
      </c>
      <c r="D58" s="14">
        <v>93576.411764705888</v>
      </c>
      <c r="E58" s="14">
        <v>93576.411764705888</v>
      </c>
      <c r="F58" s="14">
        <v>93576.411764705888</v>
      </c>
      <c r="G58" s="14">
        <v>93576.411764705888</v>
      </c>
      <c r="H58" s="14">
        <v>93576.411764705888</v>
      </c>
      <c r="I58" s="14">
        <v>93576.411764705888</v>
      </c>
      <c r="J58" s="14">
        <v>93576.411764705888</v>
      </c>
      <c r="K58" s="14">
        <v>93576.411764705888</v>
      </c>
      <c r="L58" s="14">
        <v>93576.411764705888</v>
      </c>
      <c r="M58" s="14">
        <v>93576.411764705888</v>
      </c>
      <c r="N58" s="14">
        <v>93576.411764705888</v>
      </c>
      <c r="O58" s="14">
        <v>93576.411764705888</v>
      </c>
      <c r="P58" s="14">
        <v>93576.411764705888</v>
      </c>
      <c r="Q58" s="14">
        <v>93576.411764705888</v>
      </c>
      <c r="R58" s="14">
        <v>93576.411764705888</v>
      </c>
      <c r="S58" s="14">
        <v>0</v>
      </c>
      <c r="T58" s="14">
        <v>0</v>
      </c>
      <c r="U58" s="14">
        <v>93576.411764705888</v>
      </c>
      <c r="V58" s="14">
        <v>94832.142857142855</v>
      </c>
      <c r="W58" s="14">
        <v>94832.142857142855</v>
      </c>
      <c r="X58" s="14">
        <v>94832.142857142855</v>
      </c>
      <c r="Y58" s="14">
        <v>94832.142857142855</v>
      </c>
      <c r="Z58" s="14">
        <v>94832.142857142855</v>
      </c>
      <c r="AA58" s="14">
        <v>94832.142857142855</v>
      </c>
      <c r="AB58" s="14">
        <v>94832.142857142855</v>
      </c>
      <c r="AC58" s="16">
        <f>SUM(C58:AB58)</f>
        <v>2254624</v>
      </c>
      <c r="AD58" s="16">
        <f>AVERAGE(C58:AB58)</f>
        <v>86716.307692307688</v>
      </c>
      <c r="AE58" s="13">
        <f>AC58/AC13</f>
        <v>7.7693613846587239E-2</v>
      </c>
    </row>
    <row r="59" spans="1:31" ht="12.75" customHeight="1" x14ac:dyDescent="0.15">
      <c r="A59" s="41"/>
      <c r="B59" s="11" t="s">
        <v>117</v>
      </c>
      <c r="C59" s="14">
        <v>96852.647058823524</v>
      </c>
      <c r="D59" s="14">
        <v>96852.647058823524</v>
      </c>
      <c r="E59" s="14">
        <v>96852.647058823524</v>
      </c>
      <c r="F59" s="14">
        <v>96852.647058823524</v>
      </c>
      <c r="G59" s="14">
        <v>96852.647058823524</v>
      </c>
      <c r="H59" s="14">
        <v>96852.647058823524</v>
      </c>
      <c r="I59" s="14">
        <v>96852.647058823524</v>
      </c>
      <c r="J59" s="14">
        <v>96852.647058823524</v>
      </c>
      <c r="K59" s="14">
        <v>96852.647058823524</v>
      </c>
      <c r="L59" s="14">
        <v>96852.647058823524</v>
      </c>
      <c r="M59" s="14">
        <v>96852.647058823524</v>
      </c>
      <c r="N59" s="14">
        <v>96852.647058823524</v>
      </c>
      <c r="O59" s="14">
        <v>96852.647058823524</v>
      </c>
      <c r="P59" s="14">
        <v>96852.647058823524</v>
      </c>
      <c r="Q59" s="14">
        <v>96852.647058823524</v>
      </c>
      <c r="R59" s="14">
        <v>96852.647058823524</v>
      </c>
      <c r="S59" s="14">
        <v>0</v>
      </c>
      <c r="T59" s="14">
        <v>0</v>
      </c>
      <c r="U59" s="14">
        <v>96852.647058823524</v>
      </c>
      <c r="V59" s="14">
        <v>96852.71428571429</v>
      </c>
      <c r="W59" s="14">
        <v>96852.71428571429</v>
      </c>
      <c r="X59" s="14">
        <v>96852.71428571429</v>
      </c>
      <c r="Y59" s="14">
        <v>96852.71428571429</v>
      </c>
      <c r="Z59" s="14">
        <v>96852.71428571429</v>
      </c>
      <c r="AA59" s="14">
        <v>96852.71428571429</v>
      </c>
      <c r="AB59" s="14">
        <v>96852.71428571429</v>
      </c>
      <c r="AC59" s="16">
        <f>SUM(C59:AB59)</f>
        <v>2324464</v>
      </c>
      <c r="AD59" s="16">
        <f>AVERAGE(C59:AB59)</f>
        <v>89402.461538461532</v>
      </c>
      <c r="AE59" s="13">
        <f>AC59/AC13</f>
        <v>8.0100277658844032E-2</v>
      </c>
    </row>
    <row r="60" spans="1:31" ht="12.75" customHeight="1" x14ac:dyDescent="0.15">
      <c r="A60" s="41"/>
      <c r="B60" s="17" t="s">
        <v>118</v>
      </c>
      <c r="C60" s="18">
        <f t="shared" ref="C60:AB60" si="9">SUM(C54:C59)</f>
        <v>197311.4117647059</v>
      </c>
      <c r="D60" s="18">
        <f t="shared" si="9"/>
        <v>197311.4117647059</v>
      </c>
      <c r="E60" s="18">
        <f t="shared" si="9"/>
        <v>197311.4117647059</v>
      </c>
      <c r="F60" s="18">
        <f t="shared" si="9"/>
        <v>197311.4117647059</v>
      </c>
      <c r="G60" s="18">
        <f t="shared" si="9"/>
        <v>197311.4117647059</v>
      </c>
      <c r="H60" s="18">
        <f t="shared" si="9"/>
        <v>197311.4117647059</v>
      </c>
      <c r="I60" s="18">
        <f t="shared" si="9"/>
        <v>197311.4117647059</v>
      </c>
      <c r="J60" s="18">
        <f t="shared" si="9"/>
        <v>197311.4117647059</v>
      </c>
      <c r="K60" s="18">
        <f t="shared" si="9"/>
        <v>197311.4117647059</v>
      </c>
      <c r="L60" s="18">
        <f t="shared" si="9"/>
        <v>197311.4117647059</v>
      </c>
      <c r="M60" s="18">
        <f t="shared" si="9"/>
        <v>197311.4117647059</v>
      </c>
      <c r="N60" s="18">
        <f t="shared" si="9"/>
        <v>197311.4117647059</v>
      </c>
      <c r="O60" s="18">
        <f t="shared" si="9"/>
        <v>197311.4117647059</v>
      </c>
      <c r="P60" s="18">
        <f t="shared" si="9"/>
        <v>197311.4117647059</v>
      </c>
      <c r="Q60" s="18">
        <f t="shared" si="9"/>
        <v>197311.4117647059</v>
      </c>
      <c r="R60" s="18">
        <f t="shared" si="9"/>
        <v>197311.4117647059</v>
      </c>
      <c r="S60" s="18">
        <f t="shared" si="9"/>
        <v>6882.3529411764703</v>
      </c>
      <c r="T60" s="18">
        <f t="shared" si="9"/>
        <v>6882.3529411764703</v>
      </c>
      <c r="U60" s="18">
        <f t="shared" si="9"/>
        <v>197311.4117647059</v>
      </c>
      <c r="V60" s="18">
        <f t="shared" si="9"/>
        <v>213113.42857142858</v>
      </c>
      <c r="W60" s="18">
        <f t="shared" si="9"/>
        <v>213113.42857142858</v>
      </c>
      <c r="X60" s="18">
        <f t="shared" si="9"/>
        <v>213113.42857142858</v>
      </c>
      <c r="Y60" s="18">
        <f t="shared" si="9"/>
        <v>213113.42857142858</v>
      </c>
      <c r="Z60" s="18">
        <f t="shared" si="9"/>
        <v>213113.42857142858</v>
      </c>
      <c r="AA60" s="18">
        <f t="shared" si="9"/>
        <v>213113.42857142858</v>
      </c>
      <c r="AB60" s="18">
        <f t="shared" si="9"/>
        <v>213113.42857142858</v>
      </c>
      <c r="AC60" s="20">
        <f>SUM(C60:AB60)</f>
        <v>4859852.7058823528</v>
      </c>
      <c r="AD60" s="20">
        <f>AVERAGE(C60:AB60)</f>
        <v>186917.41176470587</v>
      </c>
      <c r="AE60" s="21">
        <f>AC60/AC13</f>
        <v>0.16746895246485252</v>
      </c>
    </row>
    <row r="61" spans="1:31" ht="12.75" customHeight="1" x14ac:dyDescent="0.15">
      <c r="A61" s="38" t="s">
        <v>119</v>
      </c>
      <c r="B61" s="38"/>
      <c r="C61" s="14">
        <f t="shared" ref="C61:AB61" si="10">SUM(C53+C23+C29+C35+C42+C47+C60)</f>
        <v>429573.66890756303</v>
      </c>
      <c r="D61" s="14">
        <f t="shared" si="10"/>
        <v>1010608.868907563</v>
      </c>
      <c r="E61" s="14">
        <f t="shared" si="10"/>
        <v>1169598.1831932771</v>
      </c>
      <c r="F61" s="14">
        <f t="shared" si="10"/>
        <v>998422.32605042018</v>
      </c>
      <c r="G61" s="14">
        <f t="shared" si="10"/>
        <v>1266129.8117647059</v>
      </c>
      <c r="H61" s="14">
        <f t="shared" si="10"/>
        <v>866801.98319327726</v>
      </c>
      <c r="I61" s="14">
        <f t="shared" si="10"/>
        <v>1150954.611764706</v>
      </c>
      <c r="J61" s="14">
        <f t="shared" si="10"/>
        <v>1335944.2403361346</v>
      </c>
      <c r="K61" s="14">
        <f t="shared" si="10"/>
        <v>836681.38319327729</v>
      </c>
      <c r="L61" s="14">
        <f t="shared" si="10"/>
        <v>898944.35462184879</v>
      </c>
      <c r="M61" s="14">
        <f t="shared" si="10"/>
        <v>986848.58319327736</v>
      </c>
      <c r="N61" s="14">
        <f t="shared" si="10"/>
        <v>1223015.7831932772</v>
      </c>
      <c r="O61" s="14">
        <f t="shared" si="10"/>
        <v>1075283.5831932775</v>
      </c>
      <c r="P61" s="14">
        <f t="shared" si="10"/>
        <v>1346042.7831932772</v>
      </c>
      <c r="Q61" s="14">
        <f t="shared" si="10"/>
        <v>687188.95462184877</v>
      </c>
      <c r="R61" s="14">
        <f t="shared" si="10"/>
        <v>617114.66890756309</v>
      </c>
      <c r="S61" s="14">
        <f t="shared" si="10"/>
        <v>6882.3529411764703</v>
      </c>
      <c r="T61" s="14">
        <f t="shared" si="10"/>
        <v>6882.3529411764703</v>
      </c>
      <c r="U61" s="14">
        <f t="shared" si="10"/>
        <v>204386.4117647059</v>
      </c>
      <c r="V61" s="14">
        <f t="shared" si="10"/>
        <v>963665.22857142868</v>
      </c>
      <c r="W61" s="14">
        <f t="shared" si="10"/>
        <v>1061930.4285714286</v>
      </c>
      <c r="X61" s="14">
        <f t="shared" si="10"/>
        <v>1095925.6857142858</v>
      </c>
      <c r="Y61" s="14">
        <f t="shared" si="10"/>
        <v>1053595.8</v>
      </c>
      <c r="Z61" s="14">
        <f t="shared" si="10"/>
        <v>911709.05714285723</v>
      </c>
      <c r="AA61" s="14">
        <f t="shared" si="10"/>
        <v>1258088.3428571429</v>
      </c>
      <c r="AB61" s="14">
        <f t="shared" si="10"/>
        <v>763606.11428571423</v>
      </c>
      <c r="AC61" s="16">
        <f>SUM(C61:AB61)</f>
        <v>23225825.563025214</v>
      </c>
      <c r="AD61" s="16">
        <f>AVERAGE(C61:AB61)</f>
        <v>893300.9831932775</v>
      </c>
      <c r="AE61" s="13">
        <f>AC61/AC13</f>
        <v>0.80035443717527877</v>
      </c>
    </row>
    <row r="62" spans="1:31" ht="12.75" customHeight="1" x14ac:dyDescent="0.15">
      <c r="A62" s="38" t="s">
        <v>120</v>
      </c>
      <c r="B62" s="38"/>
      <c r="C62" s="14">
        <f t="shared" ref="C62:AB62" si="11">SUM(C13+C14-C61)</f>
        <v>-24546.668907563027</v>
      </c>
      <c r="D62" s="14">
        <f t="shared" si="11"/>
        <v>-108417.86890756304</v>
      </c>
      <c r="E62" s="14">
        <f t="shared" si="11"/>
        <v>35021.816806722898</v>
      </c>
      <c r="F62" s="14">
        <f t="shared" si="11"/>
        <v>206197.67394957982</v>
      </c>
      <c r="G62" s="14">
        <f t="shared" si="11"/>
        <v>-61509.811764705926</v>
      </c>
      <c r="H62" s="14">
        <f t="shared" si="11"/>
        <v>337818.01680672274</v>
      </c>
      <c r="I62" s="14">
        <f t="shared" si="11"/>
        <v>587895.38823529403</v>
      </c>
      <c r="J62" s="14">
        <f t="shared" si="11"/>
        <v>-126704.24033613456</v>
      </c>
      <c r="K62" s="14">
        <f t="shared" si="11"/>
        <v>373938.61680672271</v>
      </c>
      <c r="L62" s="14">
        <f t="shared" si="11"/>
        <v>367265.64537815121</v>
      </c>
      <c r="M62" s="14">
        <f t="shared" si="11"/>
        <v>404511.41680672264</v>
      </c>
      <c r="N62" s="14">
        <f t="shared" si="11"/>
        <v>117204.2168067228</v>
      </c>
      <c r="O62" s="14">
        <f t="shared" si="11"/>
        <v>286986.41680672253</v>
      </c>
      <c r="P62" s="14">
        <f t="shared" si="11"/>
        <v>-35142.783193277195</v>
      </c>
      <c r="Q62" s="14">
        <f t="shared" si="11"/>
        <v>533752.04537815123</v>
      </c>
      <c r="R62" s="14">
        <f t="shared" si="11"/>
        <v>515996.33109243691</v>
      </c>
      <c r="S62" s="14">
        <f t="shared" si="11"/>
        <v>4117.6470588235297</v>
      </c>
      <c r="T62" s="14">
        <f t="shared" si="11"/>
        <v>620164.6470588235</v>
      </c>
      <c r="U62" s="14">
        <f t="shared" si="11"/>
        <v>-204386.4117647059</v>
      </c>
      <c r="V62" s="14">
        <f t="shared" si="11"/>
        <v>794016.77142857132</v>
      </c>
      <c r="W62" s="14">
        <f t="shared" si="11"/>
        <v>1033712.5714285714</v>
      </c>
      <c r="X62" s="14">
        <f t="shared" si="11"/>
        <v>498067.31428571418</v>
      </c>
      <c r="Y62" s="14">
        <f t="shared" si="11"/>
        <v>279974.19999999995</v>
      </c>
      <c r="Z62" s="14">
        <f t="shared" si="11"/>
        <v>55658.942857142771</v>
      </c>
      <c r="AA62" s="14">
        <f t="shared" si="11"/>
        <v>-287001.34285714291</v>
      </c>
      <c r="AB62" s="14">
        <f t="shared" si="11"/>
        <v>175788.88571428577</v>
      </c>
      <c r="AC62" s="16">
        <f>SUM(C62:AB62)</f>
        <v>6380379.4369747899</v>
      </c>
      <c r="AD62" s="16">
        <f>AVERAGE(C62:AB62)</f>
        <v>245399.20911441499</v>
      </c>
      <c r="AE62" s="13">
        <f>AC62/AC13</f>
        <v>0.21986581184757417</v>
      </c>
    </row>
    <row r="63" spans="1:31" ht="12.75" customHeight="1" x14ac:dyDescent="0.15">
      <c r="A63" s="38" t="s">
        <v>121</v>
      </c>
      <c r="B63" s="38"/>
      <c r="C63" s="14">
        <v>104263.38095238095</v>
      </c>
      <c r="D63" s="14">
        <v>104263.38095238095</v>
      </c>
      <c r="E63" s="14">
        <v>104263.38095238095</v>
      </c>
      <c r="F63" s="14">
        <v>104263.38095238095</v>
      </c>
      <c r="G63" s="14">
        <v>104263.38095238095</v>
      </c>
      <c r="H63" s="14">
        <v>104263.38095238095</v>
      </c>
      <c r="I63" s="14">
        <v>104263.38095238095</v>
      </c>
      <c r="J63" s="14">
        <v>104263.38095238095</v>
      </c>
      <c r="K63" s="14">
        <v>104263.38095238095</v>
      </c>
      <c r="L63" s="14">
        <v>104263.38095238095</v>
      </c>
      <c r="M63" s="14">
        <v>104263.38095238095</v>
      </c>
      <c r="N63" s="14">
        <v>104263.38095238095</v>
      </c>
      <c r="O63" s="14">
        <v>104263.38095238095</v>
      </c>
      <c r="P63" s="14">
        <v>104263.38095238095</v>
      </c>
      <c r="Q63" s="14">
        <v>104263.38095238095</v>
      </c>
      <c r="R63" s="14">
        <v>104263.38095238095</v>
      </c>
      <c r="S63" s="14">
        <v>0</v>
      </c>
      <c r="T63" s="14">
        <v>0</v>
      </c>
      <c r="U63" s="14">
        <v>104263.38095238095</v>
      </c>
      <c r="V63" s="14">
        <v>104263.38095238095</v>
      </c>
      <c r="W63" s="14">
        <v>104263.38095238095</v>
      </c>
      <c r="X63" s="14">
        <v>104263.38095238095</v>
      </c>
      <c r="Y63" s="14">
        <v>104263.38095238095</v>
      </c>
      <c r="Z63" s="14">
        <v>104263.38095238095</v>
      </c>
      <c r="AA63" s="14">
        <v>104263.38095238095</v>
      </c>
      <c r="AB63" s="14">
        <v>104263.38095238095</v>
      </c>
      <c r="AC63" s="16">
        <f>SUM(C63:AB63)</f>
        <v>2502321.1428571441</v>
      </c>
      <c r="AD63" s="16">
        <f>AVERAGE(C63:AB63)</f>
        <v>96243.120879120921</v>
      </c>
      <c r="AE63" s="13">
        <f>AC63/AC13</f>
        <v>8.6229177278913841E-2</v>
      </c>
    </row>
    <row r="64" spans="1:31" ht="12.75" customHeight="1" x14ac:dyDescent="0.15">
      <c r="A64" s="38" t="s">
        <v>122</v>
      </c>
      <c r="B64" s="38"/>
      <c r="C64" s="14">
        <v>29722.833333333332</v>
      </c>
      <c r="D64" s="14">
        <v>29722.833333333332</v>
      </c>
      <c r="E64" s="14">
        <v>29722.833333333332</v>
      </c>
      <c r="F64" s="14">
        <v>29722.833333333332</v>
      </c>
      <c r="G64" s="14">
        <v>29722.833333333332</v>
      </c>
      <c r="H64" s="14">
        <v>29722.833333333332</v>
      </c>
      <c r="I64" s="14">
        <v>29722.833333333332</v>
      </c>
      <c r="J64" s="14">
        <v>29722.833333333332</v>
      </c>
      <c r="K64" s="14">
        <v>29722.833333333332</v>
      </c>
      <c r="L64" s="14">
        <v>29722.833333333332</v>
      </c>
      <c r="M64" s="14">
        <v>29722.833333333332</v>
      </c>
      <c r="N64" s="14">
        <v>29722.833333333332</v>
      </c>
      <c r="O64" s="14">
        <v>29722.833333333332</v>
      </c>
      <c r="P64" s="14">
        <v>29722.833333333332</v>
      </c>
      <c r="Q64" s="14">
        <v>29722.833333333332</v>
      </c>
      <c r="R64" s="14">
        <v>29722.833333333332</v>
      </c>
      <c r="S64" s="14">
        <v>0</v>
      </c>
      <c r="T64" s="14">
        <v>0</v>
      </c>
      <c r="U64" s="14">
        <v>29722.833333333332</v>
      </c>
      <c r="V64" s="14">
        <v>29722.833333333332</v>
      </c>
      <c r="W64" s="14">
        <v>29722.833333333332</v>
      </c>
      <c r="X64" s="14">
        <v>29722.833333333332</v>
      </c>
      <c r="Y64" s="14">
        <v>29722.833333333332</v>
      </c>
      <c r="Z64" s="14">
        <v>29722.833333333332</v>
      </c>
      <c r="AA64" s="14">
        <v>29722.833333333332</v>
      </c>
      <c r="AB64" s="14">
        <v>29722.833333333332</v>
      </c>
      <c r="AC64" s="16">
        <f>SUM(C64:AB64)</f>
        <v>713348.00000000012</v>
      </c>
      <c r="AD64" s="16">
        <f>AVERAGE(C64:AB64)</f>
        <v>27436.461538461543</v>
      </c>
      <c r="AE64" s="13">
        <f>AC64/AC13</f>
        <v>2.4581741368066394E-2</v>
      </c>
    </row>
    <row r="65" spans="1:31" ht="12.75" customHeight="1" x14ac:dyDescent="0.15">
      <c r="A65" s="38" t="s">
        <v>123</v>
      </c>
      <c r="B65" s="38"/>
      <c r="C65" s="14">
        <f t="shared" ref="C65:AB65" si="12">SUM(C62-(C63+C64))</f>
        <v>-158532.88319327732</v>
      </c>
      <c r="D65" s="14">
        <f t="shared" si="12"/>
        <v>-242404.08319327733</v>
      </c>
      <c r="E65" s="14">
        <f t="shared" si="12"/>
        <v>-98964.397478991392</v>
      </c>
      <c r="F65" s="14">
        <f t="shared" si="12"/>
        <v>72211.459663865535</v>
      </c>
      <c r="G65" s="14">
        <f t="shared" si="12"/>
        <v>-195496.02605042022</v>
      </c>
      <c r="H65" s="14">
        <f t="shared" si="12"/>
        <v>203831.80252100845</v>
      </c>
      <c r="I65" s="14">
        <f t="shared" si="12"/>
        <v>453909.17394957971</v>
      </c>
      <c r="J65" s="14">
        <f t="shared" si="12"/>
        <v>-260690.45462184885</v>
      </c>
      <c r="K65" s="14">
        <f t="shared" si="12"/>
        <v>239952.40252100842</v>
      </c>
      <c r="L65" s="14">
        <f t="shared" si="12"/>
        <v>233279.43109243692</v>
      </c>
      <c r="M65" s="14">
        <f t="shared" si="12"/>
        <v>270525.20252100832</v>
      </c>
      <c r="N65" s="14">
        <f t="shared" si="12"/>
        <v>-16781.997478991485</v>
      </c>
      <c r="O65" s="14">
        <f t="shared" si="12"/>
        <v>153000.20252100824</v>
      </c>
      <c r="P65" s="14">
        <f t="shared" si="12"/>
        <v>-169128.99747899148</v>
      </c>
      <c r="Q65" s="14">
        <f t="shared" si="12"/>
        <v>399765.83109243691</v>
      </c>
      <c r="R65" s="14">
        <f t="shared" si="12"/>
        <v>382010.1168067226</v>
      </c>
      <c r="S65" s="14">
        <f t="shared" si="12"/>
        <v>4117.6470588235297</v>
      </c>
      <c r="T65" s="14">
        <f t="shared" si="12"/>
        <v>620164.6470588235</v>
      </c>
      <c r="U65" s="14">
        <f t="shared" si="12"/>
        <v>-338372.62605042022</v>
      </c>
      <c r="V65" s="14">
        <f t="shared" si="12"/>
        <v>660030.557142857</v>
      </c>
      <c r="W65" s="14">
        <f t="shared" si="12"/>
        <v>899726.35714285704</v>
      </c>
      <c r="X65" s="14">
        <f t="shared" si="12"/>
        <v>364081.09999999986</v>
      </c>
      <c r="Y65" s="14">
        <f t="shared" si="12"/>
        <v>145987.98571428566</v>
      </c>
      <c r="Z65" s="14">
        <f t="shared" si="12"/>
        <v>-78327.271428571519</v>
      </c>
      <c r="AA65" s="14">
        <f t="shared" si="12"/>
        <v>-420987.55714285723</v>
      </c>
      <c r="AB65" s="14">
        <f t="shared" si="12"/>
        <v>41802.671428571484</v>
      </c>
      <c r="AC65" s="16">
        <f>SUM(C65:AB65)</f>
        <v>3164710.2941176463</v>
      </c>
      <c r="AD65" s="16">
        <f>AVERAGE(C65:AB65)</f>
        <v>121719.62669683255</v>
      </c>
      <c r="AE65" s="13">
        <f>AC65/AC13</f>
        <v>0.10905489320059396</v>
      </c>
    </row>
    <row r="66" spans="1:31" x14ac:dyDescent="0.15">
      <c r="A66" s="11"/>
      <c r="B66" s="29" t="s">
        <v>46</v>
      </c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</row>
    <row r="67" spans="1:31" x14ac:dyDescent="0.15">
      <c r="A67" s="12"/>
      <c r="B67" s="30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</row>
    <row r="68" spans="1:31" x14ac:dyDescent="0.15">
      <c r="A68" s="12"/>
      <c r="B68" s="33" t="s">
        <v>130</v>
      </c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</row>
    <row r="69" spans="1:31" x14ac:dyDescent="0.15">
      <c r="A69" s="12"/>
      <c r="B69" s="34" t="s">
        <v>131</v>
      </c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</row>
    <row r="70" spans="1:31" x14ac:dyDescent="0.15">
      <c r="A70" s="12"/>
      <c r="B70" s="34" t="s">
        <v>41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</row>
    <row r="71" spans="1:31" x14ac:dyDescent="0.15">
      <c r="A71" s="11"/>
      <c r="B71" s="35" t="s">
        <v>47</v>
      </c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</row>
    <row r="72" spans="1:31" x14ac:dyDescent="0.15">
      <c r="A72" s="11"/>
      <c r="B72" s="30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</row>
    <row r="73" spans="1:31" x14ac:dyDescent="0.15">
      <c r="A73" s="11"/>
      <c r="B73" s="33" t="s">
        <v>130</v>
      </c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</row>
    <row r="74" spans="1:31" x14ac:dyDescent="0.15">
      <c r="A74" s="11"/>
      <c r="B74" s="34" t="s">
        <v>131</v>
      </c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</row>
    <row r="75" spans="1:31" x14ac:dyDescent="0.15">
      <c r="A75" s="11"/>
      <c r="B75" s="34" t="s">
        <v>41</v>
      </c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</row>
    <row r="76" spans="1:31" x14ac:dyDescent="0.15">
      <c r="A76" s="11"/>
      <c r="B76" s="11" t="s">
        <v>135</v>
      </c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</row>
    <row r="77" spans="1:31" x14ac:dyDescent="0.15">
      <c r="A77" s="11"/>
      <c r="B77" s="30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</row>
    <row r="78" spans="1:31" x14ac:dyDescent="0.15">
      <c r="A78" s="11"/>
      <c r="B78" s="33" t="s">
        <v>130</v>
      </c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</row>
    <row r="79" spans="1:31" x14ac:dyDescent="0.15">
      <c r="A79" s="11"/>
      <c r="B79" s="34" t="s">
        <v>131</v>
      </c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</row>
    <row r="80" spans="1:31" x14ac:dyDescent="0.15">
      <c r="A80" s="11"/>
      <c r="B80" s="34" t="s">
        <v>41</v>
      </c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</row>
    <row r="81" spans="1:28" x14ac:dyDescent="0.15">
      <c r="A81" s="11"/>
      <c r="B81" s="11" t="s">
        <v>139</v>
      </c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</row>
    <row r="82" spans="1:28" x14ac:dyDescent="0.15">
      <c r="A82" s="11"/>
      <c r="B82" s="30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</row>
    <row r="83" spans="1:28" x14ac:dyDescent="0.15">
      <c r="A83" s="11"/>
      <c r="B83" s="33" t="s">
        <v>130</v>
      </c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</row>
    <row r="84" spans="1:28" x14ac:dyDescent="0.15">
      <c r="A84" s="11"/>
      <c r="B84" s="34" t="s">
        <v>131</v>
      </c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</row>
    <row r="85" spans="1:28" x14ac:dyDescent="0.15">
      <c r="A85" s="11"/>
      <c r="B85" s="34" t="s">
        <v>41</v>
      </c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</row>
    <row r="86" spans="1:28" x14ac:dyDescent="0.15">
      <c r="A86" s="11"/>
      <c r="B86" s="11" t="s">
        <v>143</v>
      </c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</row>
    <row r="87" spans="1:28" x14ac:dyDescent="0.15">
      <c r="A87" s="11"/>
      <c r="B87" s="30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</row>
    <row r="88" spans="1:28" x14ac:dyDescent="0.15">
      <c r="A88" s="11"/>
      <c r="B88" s="33" t="s">
        <v>130</v>
      </c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</row>
    <row r="89" spans="1:28" x14ac:dyDescent="0.15">
      <c r="A89" s="11"/>
      <c r="B89" s="34" t="s">
        <v>131</v>
      </c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</row>
    <row r="90" spans="1:28" x14ac:dyDescent="0.15">
      <c r="A90" s="11"/>
      <c r="B90" s="34" t="s">
        <v>41</v>
      </c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</row>
    <row r="91" spans="1:28" x14ac:dyDescent="0.1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</row>
    <row r="92" spans="1:28" x14ac:dyDescent="0.15">
      <c r="A92" s="11"/>
      <c r="B92" s="30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</row>
    <row r="93" spans="1:28" x14ac:dyDescent="0.15">
      <c r="A93" s="11"/>
      <c r="B93" s="33" t="s">
        <v>130</v>
      </c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</row>
    <row r="94" spans="1:28" x14ac:dyDescent="0.15">
      <c r="B94" s="34" t="s">
        <v>131</v>
      </c>
    </row>
    <row r="95" spans="1:28" x14ac:dyDescent="0.15">
      <c r="B95" s="34" t="s">
        <v>41</v>
      </c>
    </row>
    <row r="97" spans="2:2" x14ac:dyDescent="0.15">
      <c r="B97" s="30"/>
    </row>
    <row r="98" spans="2:2" x14ac:dyDescent="0.15">
      <c r="B98" s="33" t="s">
        <v>130</v>
      </c>
    </row>
    <row r="99" spans="2:2" x14ac:dyDescent="0.15">
      <c r="B99" s="34" t="s">
        <v>131</v>
      </c>
    </row>
    <row r="100" spans="2:2" x14ac:dyDescent="0.15">
      <c r="B100" s="34" t="s">
        <v>41</v>
      </c>
    </row>
    <row r="102" spans="2:2" x14ac:dyDescent="0.15">
      <c r="B102" s="30"/>
    </row>
    <row r="103" spans="2:2" x14ac:dyDescent="0.15">
      <c r="B103" s="33" t="s">
        <v>130</v>
      </c>
    </row>
    <row r="104" spans="2:2" x14ac:dyDescent="0.15">
      <c r="B104" s="34" t="s">
        <v>131</v>
      </c>
    </row>
    <row r="105" spans="2:2" x14ac:dyDescent="0.15">
      <c r="B105" s="34" t="s">
        <v>41</v>
      </c>
    </row>
    <row r="107" spans="2:2" x14ac:dyDescent="0.15">
      <c r="B107" s="11" t="s">
        <v>156</v>
      </c>
    </row>
  </sheetData>
  <mergeCells count="26">
    <mergeCell ref="A64:B64"/>
    <mergeCell ref="A65:B65"/>
    <mergeCell ref="A43:A47"/>
    <mergeCell ref="A48:A53"/>
    <mergeCell ref="A54:A60"/>
    <mergeCell ref="A61:B61"/>
    <mergeCell ref="A62:B62"/>
    <mergeCell ref="A63:B63"/>
    <mergeCell ref="A15:B15"/>
    <mergeCell ref="A16:B16"/>
    <mergeCell ref="A17:A23"/>
    <mergeCell ref="A24:A29"/>
    <mergeCell ref="A30:A35"/>
    <mergeCell ref="A36:A42"/>
    <mergeCell ref="A9:B9"/>
    <mergeCell ref="A10:B10"/>
    <mergeCell ref="A11:B11"/>
    <mergeCell ref="A12:B12"/>
    <mergeCell ref="A13:B13"/>
    <mergeCell ref="A14:B14"/>
    <mergeCell ref="A3:B3"/>
    <mergeCell ref="A4:B4"/>
    <mergeCell ref="A5:B5"/>
    <mergeCell ref="A6:B6"/>
    <mergeCell ref="A7:B7"/>
    <mergeCell ref="A8:B8"/>
  </mergeCells>
  <phoneticPr fontId="3"/>
  <pageMargins left="0.6692913385826772" right="0.19685039370078741" top="0.31496062992125984" bottom="0.35433070866141736" header="0.19685039370078741" footer="0.19685039370078741"/>
  <pageSetup paperSize="12" scale="90" orientation="landscape" r:id="rId1"/>
  <headerFooter alignWithMargins="0"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print="0" autoLine="0" r:id="rId5">
            <anchor>
              <from>
                <xdr:col>0</xdr:col>
                <xdr:colOff>19050</xdr:colOff>
                <xdr:row>2</xdr:row>
                <xdr:rowOff>28575</xdr:rowOff>
              </from>
              <to>
                <xdr:col>1</xdr:col>
                <xdr:colOff>485775</xdr:colOff>
                <xdr:row>3</xdr:row>
                <xdr:rowOff>142875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9D25A-57D3-4849-91B3-2D6286CAC32D}">
  <sheetPr codeName="Sheet5"/>
  <dimension ref="A1:X107"/>
  <sheetViews>
    <sheetView topLeftCell="A3" workbookViewId="0">
      <selection activeCell="V63" sqref="V63:V64"/>
    </sheetView>
  </sheetViews>
  <sheetFormatPr defaultRowHeight="13.5" x14ac:dyDescent="0.15"/>
  <cols>
    <col min="1" max="1" width="2.875" style="1" bestFit="1" customWidth="1"/>
    <col min="2" max="2" width="17.625" style="1" bestFit="1" customWidth="1"/>
    <col min="3" max="21" width="13" style="1" bestFit="1" customWidth="1"/>
    <col min="22" max="22" width="13.25" style="1" bestFit="1" customWidth="1"/>
    <col min="23" max="23" width="10.375" style="1" bestFit="1" customWidth="1"/>
    <col min="24" max="24" width="11" style="1" bestFit="1" customWidth="1"/>
    <col min="25" max="229" width="9" style="1"/>
    <col min="230" max="230" width="2.875" style="1" bestFit="1" customWidth="1"/>
    <col min="231" max="231" width="17.625" style="1" bestFit="1" customWidth="1"/>
    <col min="232" max="232" width="11.375" style="1" bestFit="1" customWidth="1"/>
    <col min="233" max="234" width="14.125" style="1" bestFit="1" customWidth="1"/>
    <col min="235" max="235" width="11.375" style="1" bestFit="1" customWidth="1"/>
    <col min="236" max="239" width="12.5" style="1" bestFit="1" customWidth="1"/>
    <col min="240" max="258" width="13" style="1" bestFit="1" customWidth="1"/>
    <col min="259" max="262" width="11" style="1" bestFit="1" customWidth="1"/>
    <col min="263" max="265" width="12.25" style="1" bestFit="1" customWidth="1"/>
    <col min="266" max="277" width="11" style="1" bestFit="1" customWidth="1"/>
    <col min="278" max="278" width="13.25" style="1" bestFit="1" customWidth="1"/>
    <col min="279" max="279" width="10.375" style="1" bestFit="1" customWidth="1"/>
    <col min="280" max="280" width="11" style="1" bestFit="1" customWidth="1"/>
    <col min="281" max="485" width="9" style="1"/>
    <col min="486" max="486" width="2.875" style="1" bestFit="1" customWidth="1"/>
    <col min="487" max="487" width="17.625" style="1" bestFit="1" customWidth="1"/>
    <col min="488" max="488" width="11.375" style="1" bestFit="1" customWidth="1"/>
    <col min="489" max="490" width="14.125" style="1" bestFit="1" customWidth="1"/>
    <col min="491" max="491" width="11.375" style="1" bestFit="1" customWidth="1"/>
    <col min="492" max="495" width="12.5" style="1" bestFit="1" customWidth="1"/>
    <col min="496" max="514" width="13" style="1" bestFit="1" customWidth="1"/>
    <col min="515" max="518" width="11" style="1" bestFit="1" customWidth="1"/>
    <col min="519" max="521" width="12.25" style="1" bestFit="1" customWidth="1"/>
    <col min="522" max="533" width="11" style="1" bestFit="1" customWidth="1"/>
    <col min="534" max="534" width="13.25" style="1" bestFit="1" customWidth="1"/>
    <col min="535" max="535" width="10.375" style="1" bestFit="1" customWidth="1"/>
    <col min="536" max="536" width="11" style="1" bestFit="1" customWidth="1"/>
    <col min="537" max="741" width="9" style="1"/>
    <col min="742" max="742" width="2.875" style="1" bestFit="1" customWidth="1"/>
    <col min="743" max="743" width="17.625" style="1" bestFit="1" customWidth="1"/>
    <col min="744" max="744" width="11.375" style="1" bestFit="1" customWidth="1"/>
    <col min="745" max="746" width="14.125" style="1" bestFit="1" customWidth="1"/>
    <col min="747" max="747" width="11.375" style="1" bestFit="1" customWidth="1"/>
    <col min="748" max="751" width="12.5" style="1" bestFit="1" customWidth="1"/>
    <col min="752" max="770" width="13" style="1" bestFit="1" customWidth="1"/>
    <col min="771" max="774" width="11" style="1" bestFit="1" customWidth="1"/>
    <col min="775" max="777" width="12.25" style="1" bestFit="1" customWidth="1"/>
    <col min="778" max="789" width="11" style="1" bestFit="1" customWidth="1"/>
    <col min="790" max="790" width="13.25" style="1" bestFit="1" customWidth="1"/>
    <col min="791" max="791" width="10.375" style="1" bestFit="1" customWidth="1"/>
    <col min="792" max="792" width="11" style="1" bestFit="1" customWidth="1"/>
    <col min="793" max="997" width="9" style="1"/>
    <col min="998" max="998" width="2.875" style="1" bestFit="1" customWidth="1"/>
    <col min="999" max="999" width="17.625" style="1" bestFit="1" customWidth="1"/>
    <col min="1000" max="1000" width="11.375" style="1" bestFit="1" customWidth="1"/>
    <col min="1001" max="1002" width="14.125" style="1" bestFit="1" customWidth="1"/>
    <col min="1003" max="1003" width="11.375" style="1" bestFit="1" customWidth="1"/>
    <col min="1004" max="1007" width="12.5" style="1" bestFit="1" customWidth="1"/>
    <col min="1008" max="1026" width="13" style="1" bestFit="1" customWidth="1"/>
    <col min="1027" max="1030" width="11" style="1" bestFit="1" customWidth="1"/>
    <col min="1031" max="1033" width="12.25" style="1" bestFit="1" customWidth="1"/>
    <col min="1034" max="1045" width="11" style="1" bestFit="1" customWidth="1"/>
    <col min="1046" max="1046" width="13.25" style="1" bestFit="1" customWidth="1"/>
    <col min="1047" max="1047" width="10.375" style="1" bestFit="1" customWidth="1"/>
    <col min="1048" max="1048" width="11" style="1" bestFit="1" customWidth="1"/>
    <col min="1049" max="1253" width="9" style="1"/>
    <col min="1254" max="1254" width="2.875" style="1" bestFit="1" customWidth="1"/>
    <col min="1255" max="1255" width="17.625" style="1" bestFit="1" customWidth="1"/>
    <col min="1256" max="1256" width="11.375" style="1" bestFit="1" customWidth="1"/>
    <col min="1257" max="1258" width="14.125" style="1" bestFit="1" customWidth="1"/>
    <col min="1259" max="1259" width="11.375" style="1" bestFit="1" customWidth="1"/>
    <col min="1260" max="1263" width="12.5" style="1" bestFit="1" customWidth="1"/>
    <col min="1264" max="1282" width="13" style="1" bestFit="1" customWidth="1"/>
    <col min="1283" max="1286" width="11" style="1" bestFit="1" customWidth="1"/>
    <col min="1287" max="1289" width="12.25" style="1" bestFit="1" customWidth="1"/>
    <col min="1290" max="1301" width="11" style="1" bestFit="1" customWidth="1"/>
    <col min="1302" max="1302" width="13.25" style="1" bestFit="1" customWidth="1"/>
    <col min="1303" max="1303" width="10.375" style="1" bestFit="1" customWidth="1"/>
    <col min="1304" max="1304" width="11" style="1" bestFit="1" customWidth="1"/>
    <col min="1305" max="1509" width="9" style="1"/>
    <col min="1510" max="1510" width="2.875" style="1" bestFit="1" customWidth="1"/>
    <col min="1511" max="1511" width="17.625" style="1" bestFit="1" customWidth="1"/>
    <col min="1512" max="1512" width="11.375" style="1" bestFit="1" customWidth="1"/>
    <col min="1513" max="1514" width="14.125" style="1" bestFit="1" customWidth="1"/>
    <col min="1515" max="1515" width="11.375" style="1" bestFit="1" customWidth="1"/>
    <col min="1516" max="1519" width="12.5" style="1" bestFit="1" customWidth="1"/>
    <col min="1520" max="1538" width="13" style="1" bestFit="1" customWidth="1"/>
    <col min="1539" max="1542" width="11" style="1" bestFit="1" customWidth="1"/>
    <col min="1543" max="1545" width="12.25" style="1" bestFit="1" customWidth="1"/>
    <col min="1546" max="1557" width="11" style="1" bestFit="1" customWidth="1"/>
    <col min="1558" max="1558" width="13.25" style="1" bestFit="1" customWidth="1"/>
    <col min="1559" max="1559" width="10.375" style="1" bestFit="1" customWidth="1"/>
    <col min="1560" max="1560" width="11" style="1" bestFit="1" customWidth="1"/>
    <col min="1561" max="1765" width="9" style="1"/>
    <col min="1766" max="1766" width="2.875" style="1" bestFit="1" customWidth="1"/>
    <col min="1767" max="1767" width="17.625" style="1" bestFit="1" customWidth="1"/>
    <col min="1768" max="1768" width="11.375" style="1" bestFit="1" customWidth="1"/>
    <col min="1769" max="1770" width="14.125" style="1" bestFit="1" customWidth="1"/>
    <col min="1771" max="1771" width="11.375" style="1" bestFit="1" customWidth="1"/>
    <col min="1772" max="1775" width="12.5" style="1" bestFit="1" customWidth="1"/>
    <col min="1776" max="1794" width="13" style="1" bestFit="1" customWidth="1"/>
    <col min="1795" max="1798" width="11" style="1" bestFit="1" customWidth="1"/>
    <col min="1799" max="1801" width="12.25" style="1" bestFit="1" customWidth="1"/>
    <col min="1802" max="1813" width="11" style="1" bestFit="1" customWidth="1"/>
    <col min="1814" max="1814" width="13.25" style="1" bestFit="1" customWidth="1"/>
    <col min="1815" max="1815" width="10.375" style="1" bestFit="1" customWidth="1"/>
    <col min="1816" max="1816" width="11" style="1" bestFit="1" customWidth="1"/>
    <col min="1817" max="2021" width="9" style="1"/>
    <col min="2022" max="2022" width="2.875" style="1" bestFit="1" customWidth="1"/>
    <col min="2023" max="2023" width="17.625" style="1" bestFit="1" customWidth="1"/>
    <col min="2024" max="2024" width="11.375" style="1" bestFit="1" customWidth="1"/>
    <col min="2025" max="2026" width="14.125" style="1" bestFit="1" customWidth="1"/>
    <col min="2027" max="2027" width="11.375" style="1" bestFit="1" customWidth="1"/>
    <col min="2028" max="2031" width="12.5" style="1" bestFit="1" customWidth="1"/>
    <col min="2032" max="2050" width="13" style="1" bestFit="1" customWidth="1"/>
    <col min="2051" max="2054" width="11" style="1" bestFit="1" customWidth="1"/>
    <col min="2055" max="2057" width="12.25" style="1" bestFit="1" customWidth="1"/>
    <col min="2058" max="2069" width="11" style="1" bestFit="1" customWidth="1"/>
    <col min="2070" max="2070" width="13.25" style="1" bestFit="1" customWidth="1"/>
    <col min="2071" max="2071" width="10.375" style="1" bestFit="1" customWidth="1"/>
    <col min="2072" max="2072" width="11" style="1" bestFit="1" customWidth="1"/>
    <col min="2073" max="2277" width="9" style="1"/>
    <col min="2278" max="2278" width="2.875" style="1" bestFit="1" customWidth="1"/>
    <col min="2279" max="2279" width="17.625" style="1" bestFit="1" customWidth="1"/>
    <col min="2280" max="2280" width="11.375" style="1" bestFit="1" customWidth="1"/>
    <col min="2281" max="2282" width="14.125" style="1" bestFit="1" customWidth="1"/>
    <col min="2283" max="2283" width="11.375" style="1" bestFit="1" customWidth="1"/>
    <col min="2284" max="2287" width="12.5" style="1" bestFit="1" customWidth="1"/>
    <col min="2288" max="2306" width="13" style="1" bestFit="1" customWidth="1"/>
    <col min="2307" max="2310" width="11" style="1" bestFit="1" customWidth="1"/>
    <col min="2311" max="2313" width="12.25" style="1" bestFit="1" customWidth="1"/>
    <col min="2314" max="2325" width="11" style="1" bestFit="1" customWidth="1"/>
    <col min="2326" max="2326" width="13.25" style="1" bestFit="1" customWidth="1"/>
    <col min="2327" max="2327" width="10.375" style="1" bestFit="1" customWidth="1"/>
    <col min="2328" max="2328" width="11" style="1" bestFit="1" customWidth="1"/>
    <col min="2329" max="2533" width="9" style="1"/>
    <col min="2534" max="2534" width="2.875" style="1" bestFit="1" customWidth="1"/>
    <col min="2535" max="2535" width="17.625" style="1" bestFit="1" customWidth="1"/>
    <col min="2536" max="2536" width="11.375" style="1" bestFit="1" customWidth="1"/>
    <col min="2537" max="2538" width="14.125" style="1" bestFit="1" customWidth="1"/>
    <col min="2539" max="2539" width="11.375" style="1" bestFit="1" customWidth="1"/>
    <col min="2540" max="2543" width="12.5" style="1" bestFit="1" customWidth="1"/>
    <col min="2544" max="2562" width="13" style="1" bestFit="1" customWidth="1"/>
    <col min="2563" max="2566" width="11" style="1" bestFit="1" customWidth="1"/>
    <col min="2567" max="2569" width="12.25" style="1" bestFit="1" customWidth="1"/>
    <col min="2570" max="2581" width="11" style="1" bestFit="1" customWidth="1"/>
    <col min="2582" max="2582" width="13.25" style="1" bestFit="1" customWidth="1"/>
    <col min="2583" max="2583" width="10.375" style="1" bestFit="1" customWidth="1"/>
    <col min="2584" max="2584" width="11" style="1" bestFit="1" customWidth="1"/>
    <col min="2585" max="2789" width="9" style="1"/>
    <col min="2790" max="2790" width="2.875" style="1" bestFit="1" customWidth="1"/>
    <col min="2791" max="2791" width="17.625" style="1" bestFit="1" customWidth="1"/>
    <col min="2792" max="2792" width="11.375" style="1" bestFit="1" customWidth="1"/>
    <col min="2793" max="2794" width="14.125" style="1" bestFit="1" customWidth="1"/>
    <col min="2795" max="2795" width="11.375" style="1" bestFit="1" customWidth="1"/>
    <col min="2796" max="2799" width="12.5" style="1" bestFit="1" customWidth="1"/>
    <col min="2800" max="2818" width="13" style="1" bestFit="1" customWidth="1"/>
    <col min="2819" max="2822" width="11" style="1" bestFit="1" customWidth="1"/>
    <col min="2823" max="2825" width="12.25" style="1" bestFit="1" customWidth="1"/>
    <col min="2826" max="2837" width="11" style="1" bestFit="1" customWidth="1"/>
    <col min="2838" max="2838" width="13.25" style="1" bestFit="1" customWidth="1"/>
    <col min="2839" max="2839" width="10.375" style="1" bestFit="1" customWidth="1"/>
    <col min="2840" max="2840" width="11" style="1" bestFit="1" customWidth="1"/>
    <col min="2841" max="3045" width="9" style="1"/>
    <col min="3046" max="3046" width="2.875" style="1" bestFit="1" customWidth="1"/>
    <col min="3047" max="3047" width="17.625" style="1" bestFit="1" customWidth="1"/>
    <col min="3048" max="3048" width="11.375" style="1" bestFit="1" customWidth="1"/>
    <col min="3049" max="3050" width="14.125" style="1" bestFit="1" customWidth="1"/>
    <col min="3051" max="3051" width="11.375" style="1" bestFit="1" customWidth="1"/>
    <col min="3052" max="3055" width="12.5" style="1" bestFit="1" customWidth="1"/>
    <col min="3056" max="3074" width="13" style="1" bestFit="1" customWidth="1"/>
    <col min="3075" max="3078" width="11" style="1" bestFit="1" customWidth="1"/>
    <col min="3079" max="3081" width="12.25" style="1" bestFit="1" customWidth="1"/>
    <col min="3082" max="3093" width="11" style="1" bestFit="1" customWidth="1"/>
    <col min="3094" max="3094" width="13.25" style="1" bestFit="1" customWidth="1"/>
    <col min="3095" max="3095" width="10.375" style="1" bestFit="1" customWidth="1"/>
    <col min="3096" max="3096" width="11" style="1" bestFit="1" customWidth="1"/>
    <col min="3097" max="3301" width="9" style="1"/>
    <col min="3302" max="3302" width="2.875" style="1" bestFit="1" customWidth="1"/>
    <col min="3303" max="3303" width="17.625" style="1" bestFit="1" customWidth="1"/>
    <col min="3304" max="3304" width="11.375" style="1" bestFit="1" customWidth="1"/>
    <col min="3305" max="3306" width="14.125" style="1" bestFit="1" customWidth="1"/>
    <col min="3307" max="3307" width="11.375" style="1" bestFit="1" customWidth="1"/>
    <col min="3308" max="3311" width="12.5" style="1" bestFit="1" customWidth="1"/>
    <col min="3312" max="3330" width="13" style="1" bestFit="1" customWidth="1"/>
    <col min="3331" max="3334" width="11" style="1" bestFit="1" customWidth="1"/>
    <col min="3335" max="3337" width="12.25" style="1" bestFit="1" customWidth="1"/>
    <col min="3338" max="3349" width="11" style="1" bestFit="1" customWidth="1"/>
    <col min="3350" max="3350" width="13.25" style="1" bestFit="1" customWidth="1"/>
    <col min="3351" max="3351" width="10.375" style="1" bestFit="1" customWidth="1"/>
    <col min="3352" max="3352" width="11" style="1" bestFit="1" customWidth="1"/>
    <col min="3353" max="3557" width="9" style="1"/>
    <col min="3558" max="3558" width="2.875" style="1" bestFit="1" customWidth="1"/>
    <col min="3559" max="3559" width="17.625" style="1" bestFit="1" customWidth="1"/>
    <col min="3560" max="3560" width="11.375" style="1" bestFit="1" customWidth="1"/>
    <col min="3561" max="3562" width="14.125" style="1" bestFit="1" customWidth="1"/>
    <col min="3563" max="3563" width="11.375" style="1" bestFit="1" customWidth="1"/>
    <col min="3564" max="3567" width="12.5" style="1" bestFit="1" customWidth="1"/>
    <col min="3568" max="3586" width="13" style="1" bestFit="1" customWidth="1"/>
    <col min="3587" max="3590" width="11" style="1" bestFit="1" customWidth="1"/>
    <col min="3591" max="3593" width="12.25" style="1" bestFit="1" customWidth="1"/>
    <col min="3594" max="3605" width="11" style="1" bestFit="1" customWidth="1"/>
    <col min="3606" max="3606" width="13.25" style="1" bestFit="1" customWidth="1"/>
    <col min="3607" max="3607" width="10.375" style="1" bestFit="1" customWidth="1"/>
    <col min="3608" max="3608" width="11" style="1" bestFit="1" customWidth="1"/>
    <col min="3609" max="3813" width="9" style="1"/>
    <col min="3814" max="3814" width="2.875" style="1" bestFit="1" customWidth="1"/>
    <col min="3815" max="3815" width="17.625" style="1" bestFit="1" customWidth="1"/>
    <col min="3816" max="3816" width="11.375" style="1" bestFit="1" customWidth="1"/>
    <col min="3817" max="3818" width="14.125" style="1" bestFit="1" customWidth="1"/>
    <col min="3819" max="3819" width="11.375" style="1" bestFit="1" customWidth="1"/>
    <col min="3820" max="3823" width="12.5" style="1" bestFit="1" customWidth="1"/>
    <col min="3824" max="3842" width="13" style="1" bestFit="1" customWidth="1"/>
    <col min="3843" max="3846" width="11" style="1" bestFit="1" customWidth="1"/>
    <col min="3847" max="3849" width="12.25" style="1" bestFit="1" customWidth="1"/>
    <col min="3850" max="3861" width="11" style="1" bestFit="1" customWidth="1"/>
    <col min="3862" max="3862" width="13.25" style="1" bestFit="1" customWidth="1"/>
    <col min="3863" max="3863" width="10.375" style="1" bestFit="1" customWidth="1"/>
    <col min="3864" max="3864" width="11" style="1" bestFit="1" customWidth="1"/>
    <col min="3865" max="4069" width="9" style="1"/>
    <col min="4070" max="4070" width="2.875" style="1" bestFit="1" customWidth="1"/>
    <col min="4071" max="4071" width="17.625" style="1" bestFit="1" customWidth="1"/>
    <col min="4072" max="4072" width="11.375" style="1" bestFit="1" customWidth="1"/>
    <col min="4073" max="4074" width="14.125" style="1" bestFit="1" customWidth="1"/>
    <col min="4075" max="4075" width="11.375" style="1" bestFit="1" customWidth="1"/>
    <col min="4076" max="4079" width="12.5" style="1" bestFit="1" customWidth="1"/>
    <col min="4080" max="4098" width="13" style="1" bestFit="1" customWidth="1"/>
    <col min="4099" max="4102" width="11" style="1" bestFit="1" customWidth="1"/>
    <col min="4103" max="4105" width="12.25" style="1" bestFit="1" customWidth="1"/>
    <col min="4106" max="4117" width="11" style="1" bestFit="1" customWidth="1"/>
    <col min="4118" max="4118" width="13.25" style="1" bestFit="1" customWidth="1"/>
    <col min="4119" max="4119" width="10.375" style="1" bestFit="1" customWidth="1"/>
    <col min="4120" max="4120" width="11" style="1" bestFit="1" customWidth="1"/>
    <col min="4121" max="4325" width="9" style="1"/>
    <col min="4326" max="4326" width="2.875" style="1" bestFit="1" customWidth="1"/>
    <col min="4327" max="4327" width="17.625" style="1" bestFit="1" customWidth="1"/>
    <col min="4328" max="4328" width="11.375" style="1" bestFit="1" customWidth="1"/>
    <col min="4329" max="4330" width="14.125" style="1" bestFit="1" customWidth="1"/>
    <col min="4331" max="4331" width="11.375" style="1" bestFit="1" customWidth="1"/>
    <col min="4332" max="4335" width="12.5" style="1" bestFit="1" customWidth="1"/>
    <col min="4336" max="4354" width="13" style="1" bestFit="1" customWidth="1"/>
    <col min="4355" max="4358" width="11" style="1" bestFit="1" customWidth="1"/>
    <col min="4359" max="4361" width="12.25" style="1" bestFit="1" customWidth="1"/>
    <col min="4362" max="4373" width="11" style="1" bestFit="1" customWidth="1"/>
    <col min="4374" max="4374" width="13.25" style="1" bestFit="1" customWidth="1"/>
    <col min="4375" max="4375" width="10.375" style="1" bestFit="1" customWidth="1"/>
    <col min="4376" max="4376" width="11" style="1" bestFit="1" customWidth="1"/>
    <col min="4377" max="4581" width="9" style="1"/>
    <col min="4582" max="4582" width="2.875" style="1" bestFit="1" customWidth="1"/>
    <col min="4583" max="4583" width="17.625" style="1" bestFit="1" customWidth="1"/>
    <col min="4584" max="4584" width="11.375" style="1" bestFit="1" customWidth="1"/>
    <col min="4585" max="4586" width="14.125" style="1" bestFit="1" customWidth="1"/>
    <col min="4587" max="4587" width="11.375" style="1" bestFit="1" customWidth="1"/>
    <col min="4588" max="4591" width="12.5" style="1" bestFit="1" customWidth="1"/>
    <col min="4592" max="4610" width="13" style="1" bestFit="1" customWidth="1"/>
    <col min="4611" max="4614" width="11" style="1" bestFit="1" customWidth="1"/>
    <col min="4615" max="4617" width="12.25" style="1" bestFit="1" customWidth="1"/>
    <col min="4618" max="4629" width="11" style="1" bestFit="1" customWidth="1"/>
    <col min="4630" max="4630" width="13.25" style="1" bestFit="1" customWidth="1"/>
    <col min="4631" max="4631" width="10.375" style="1" bestFit="1" customWidth="1"/>
    <col min="4632" max="4632" width="11" style="1" bestFit="1" customWidth="1"/>
    <col min="4633" max="4837" width="9" style="1"/>
    <col min="4838" max="4838" width="2.875" style="1" bestFit="1" customWidth="1"/>
    <col min="4839" max="4839" width="17.625" style="1" bestFit="1" customWidth="1"/>
    <col min="4840" max="4840" width="11.375" style="1" bestFit="1" customWidth="1"/>
    <col min="4841" max="4842" width="14.125" style="1" bestFit="1" customWidth="1"/>
    <col min="4843" max="4843" width="11.375" style="1" bestFit="1" customWidth="1"/>
    <col min="4844" max="4847" width="12.5" style="1" bestFit="1" customWidth="1"/>
    <col min="4848" max="4866" width="13" style="1" bestFit="1" customWidth="1"/>
    <col min="4867" max="4870" width="11" style="1" bestFit="1" customWidth="1"/>
    <col min="4871" max="4873" width="12.25" style="1" bestFit="1" customWidth="1"/>
    <col min="4874" max="4885" width="11" style="1" bestFit="1" customWidth="1"/>
    <col min="4886" max="4886" width="13.25" style="1" bestFit="1" customWidth="1"/>
    <col min="4887" max="4887" width="10.375" style="1" bestFit="1" customWidth="1"/>
    <col min="4888" max="4888" width="11" style="1" bestFit="1" customWidth="1"/>
    <col min="4889" max="5093" width="9" style="1"/>
    <col min="5094" max="5094" width="2.875" style="1" bestFit="1" customWidth="1"/>
    <col min="5095" max="5095" width="17.625" style="1" bestFit="1" customWidth="1"/>
    <col min="5096" max="5096" width="11.375" style="1" bestFit="1" customWidth="1"/>
    <col min="5097" max="5098" width="14.125" style="1" bestFit="1" customWidth="1"/>
    <col min="5099" max="5099" width="11.375" style="1" bestFit="1" customWidth="1"/>
    <col min="5100" max="5103" width="12.5" style="1" bestFit="1" customWidth="1"/>
    <col min="5104" max="5122" width="13" style="1" bestFit="1" customWidth="1"/>
    <col min="5123" max="5126" width="11" style="1" bestFit="1" customWidth="1"/>
    <col min="5127" max="5129" width="12.25" style="1" bestFit="1" customWidth="1"/>
    <col min="5130" max="5141" width="11" style="1" bestFit="1" customWidth="1"/>
    <col min="5142" max="5142" width="13.25" style="1" bestFit="1" customWidth="1"/>
    <col min="5143" max="5143" width="10.375" style="1" bestFit="1" customWidth="1"/>
    <col min="5144" max="5144" width="11" style="1" bestFit="1" customWidth="1"/>
    <col min="5145" max="5349" width="9" style="1"/>
    <col min="5350" max="5350" width="2.875" style="1" bestFit="1" customWidth="1"/>
    <col min="5351" max="5351" width="17.625" style="1" bestFit="1" customWidth="1"/>
    <col min="5352" max="5352" width="11.375" style="1" bestFit="1" customWidth="1"/>
    <col min="5353" max="5354" width="14.125" style="1" bestFit="1" customWidth="1"/>
    <col min="5355" max="5355" width="11.375" style="1" bestFit="1" customWidth="1"/>
    <col min="5356" max="5359" width="12.5" style="1" bestFit="1" customWidth="1"/>
    <col min="5360" max="5378" width="13" style="1" bestFit="1" customWidth="1"/>
    <col min="5379" max="5382" width="11" style="1" bestFit="1" customWidth="1"/>
    <col min="5383" max="5385" width="12.25" style="1" bestFit="1" customWidth="1"/>
    <col min="5386" max="5397" width="11" style="1" bestFit="1" customWidth="1"/>
    <col min="5398" max="5398" width="13.25" style="1" bestFit="1" customWidth="1"/>
    <col min="5399" max="5399" width="10.375" style="1" bestFit="1" customWidth="1"/>
    <col min="5400" max="5400" width="11" style="1" bestFit="1" customWidth="1"/>
    <col min="5401" max="5605" width="9" style="1"/>
    <col min="5606" max="5606" width="2.875" style="1" bestFit="1" customWidth="1"/>
    <col min="5607" max="5607" width="17.625" style="1" bestFit="1" customWidth="1"/>
    <col min="5608" max="5608" width="11.375" style="1" bestFit="1" customWidth="1"/>
    <col min="5609" max="5610" width="14.125" style="1" bestFit="1" customWidth="1"/>
    <col min="5611" max="5611" width="11.375" style="1" bestFit="1" customWidth="1"/>
    <col min="5612" max="5615" width="12.5" style="1" bestFit="1" customWidth="1"/>
    <col min="5616" max="5634" width="13" style="1" bestFit="1" customWidth="1"/>
    <col min="5635" max="5638" width="11" style="1" bestFit="1" customWidth="1"/>
    <col min="5639" max="5641" width="12.25" style="1" bestFit="1" customWidth="1"/>
    <col min="5642" max="5653" width="11" style="1" bestFit="1" customWidth="1"/>
    <col min="5654" max="5654" width="13.25" style="1" bestFit="1" customWidth="1"/>
    <col min="5655" max="5655" width="10.375" style="1" bestFit="1" customWidth="1"/>
    <col min="5656" max="5656" width="11" style="1" bestFit="1" customWidth="1"/>
    <col min="5657" max="5861" width="9" style="1"/>
    <col min="5862" max="5862" width="2.875" style="1" bestFit="1" customWidth="1"/>
    <col min="5863" max="5863" width="17.625" style="1" bestFit="1" customWidth="1"/>
    <col min="5864" max="5864" width="11.375" style="1" bestFit="1" customWidth="1"/>
    <col min="5865" max="5866" width="14.125" style="1" bestFit="1" customWidth="1"/>
    <col min="5867" max="5867" width="11.375" style="1" bestFit="1" customWidth="1"/>
    <col min="5868" max="5871" width="12.5" style="1" bestFit="1" customWidth="1"/>
    <col min="5872" max="5890" width="13" style="1" bestFit="1" customWidth="1"/>
    <col min="5891" max="5894" width="11" style="1" bestFit="1" customWidth="1"/>
    <col min="5895" max="5897" width="12.25" style="1" bestFit="1" customWidth="1"/>
    <col min="5898" max="5909" width="11" style="1" bestFit="1" customWidth="1"/>
    <col min="5910" max="5910" width="13.25" style="1" bestFit="1" customWidth="1"/>
    <col min="5911" max="5911" width="10.375" style="1" bestFit="1" customWidth="1"/>
    <col min="5912" max="5912" width="11" style="1" bestFit="1" customWidth="1"/>
    <col min="5913" max="6117" width="9" style="1"/>
    <col min="6118" max="6118" width="2.875" style="1" bestFit="1" customWidth="1"/>
    <col min="6119" max="6119" width="17.625" style="1" bestFit="1" customWidth="1"/>
    <col min="6120" max="6120" width="11.375" style="1" bestFit="1" customWidth="1"/>
    <col min="6121" max="6122" width="14.125" style="1" bestFit="1" customWidth="1"/>
    <col min="6123" max="6123" width="11.375" style="1" bestFit="1" customWidth="1"/>
    <col min="6124" max="6127" width="12.5" style="1" bestFit="1" customWidth="1"/>
    <col min="6128" max="6146" width="13" style="1" bestFit="1" customWidth="1"/>
    <col min="6147" max="6150" width="11" style="1" bestFit="1" customWidth="1"/>
    <col min="6151" max="6153" width="12.25" style="1" bestFit="1" customWidth="1"/>
    <col min="6154" max="6165" width="11" style="1" bestFit="1" customWidth="1"/>
    <col min="6166" max="6166" width="13.25" style="1" bestFit="1" customWidth="1"/>
    <col min="6167" max="6167" width="10.375" style="1" bestFit="1" customWidth="1"/>
    <col min="6168" max="6168" width="11" style="1" bestFit="1" customWidth="1"/>
    <col min="6169" max="6373" width="9" style="1"/>
    <col min="6374" max="6374" width="2.875" style="1" bestFit="1" customWidth="1"/>
    <col min="6375" max="6375" width="17.625" style="1" bestFit="1" customWidth="1"/>
    <col min="6376" max="6376" width="11.375" style="1" bestFit="1" customWidth="1"/>
    <col min="6377" max="6378" width="14.125" style="1" bestFit="1" customWidth="1"/>
    <col min="6379" max="6379" width="11.375" style="1" bestFit="1" customWidth="1"/>
    <col min="6380" max="6383" width="12.5" style="1" bestFit="1" customWidth="1"/>
    <col min="6384" max="6402" width="13" style="1" bestFit="1" customWidth="1"/>
    <col min="6403" max="6406" width="11" style="1" bestFit="1" customWidth="1"/>
    <col min="6407" max="6409" width="12.25" style="1" bestFit="1" customWidth="1"/>
    <col min="6410" max="6421" width="11" style="1" bestFit="1" customWidth="1"/>
    <col min="6422" max="6422" width="13.25" style="1" bestFit="1" customWidth="1"/>
    <col min="6423" max="6423" width="10.375" style="1" bestFit="1" customWidth="1"/>
    <col min="6424" max="6424" width="11" style="1" bestFit="1" customWidth="1"/>
    <col min="6425" max="6629" width="9" style="1"/>
    <col min="6630" max="6630" width="2.875" style="1" bestFit="1" customWidth="1"/>
    <col min="6631" max="6631" width="17.625" style="1" bestFit="1" customWidth="1"/>
    <col min="6632" max="6632" width="11.375" style="1" bestFit="1" customWidth="1"/>
    <col min="6633" max="6634" width="14.125" style="1" bestFit="1" customWidth="1"/>
    <col min="6635" max="6635" width="11.375" style="1" bestFit="1" customWidth="1"/>
    <col min="6636" max="6639" width="12.5" style="1" bestFit="1" customWidth="1"/>
    <col min="6640" max="6658" width="13" style="1" bestFit="1" customWidth="1"/>
    <col min="6659" max="6662" width="11" style="1" bestFit="1" customWidth="1"/>
    <col min="6663" max="6665" width="12.25" style="1" bestFit="1" customWidth="1"/>
    <col min="6666" max="6677" width="11" style="1" bestFit="1" customWidth="1"/>
    <col min="6678" max="6678" width="13.25" style="1" bestFit="1" customWidth="1"/>
    <col min="6679" max="6679" width="10.375" style="1" bestFit="1" customWidth="1"/>
    <col min="6680" max="6680" width="11" style="1" bestFit="1" customWidth="1"/>
    <col min="6681" max="6885" width="9" style="1"/>
    <col min="6886" max="6886" width="2.875" style="1" bestFit="1" customWidth="1"/>
    <col min="6887" max="6887" width="17.625" style="1" bestFit="1" customWidth="1"/>
    <col min="6888" max="6888" width="11.375" style="1" bestFit="1" customWidth="1"/>
    <col min="6889" max="6890" width="14.125" style="1" bestFit="1" customWidth="1"/>
    <col min="6891" max="6891" width="11.375" style="1" bestFit="1" customWidth="1"/>
    <col min="6892" max="6895" width="12.5" style="1" bestFit="1" customWidth="1"/>
    <col min="6896" max="6914" width="13" style="1" bestFit="1" customWidth="1"/>
    <col min="6915" max="6918" width="11" style="1" bestFit="1" customWidth="1"/>
    <col min="6919" max="6921" width="12.25" style="1" bestFit="1" customWidth="1"/>
    <col min="6922" max="6933" width="11" style="1" bestFit="1" customWidth="1"/>
    <col min="6934" max="6934" width="13.25" style="1" bestFit="1" customWidth="1"/>
    <col min="6935" max="6935" width="10.375" style="1" bestFit="1" customWidth="1"/>
    <col min="6936" max="6936" width="11" style="1" bestFit="1" customWidth="1"/>
    <col min="6937" max="7141" width="9" style="1"/>
    <col min="7142" max="7142" width="2.875" style="1" bestFit="1" customWidth="1"/>
    <col min="7143" max="7143" width="17.625" style="1" bestFit="1" customWidth="1"/>
    <col min="7144" max="7144" width="11.375" style="1" bestFit="1" customWidth="1"/>
    <col min="7145" max="7146" width="14.125" style="1" bestFit="1" customWidth="1"/>
    <col min="7147" max="7147" width="11.375" style="1" bestFit="1" customWidth="1"/>
    <col min="7148" max="7151" width="12.5" style="1" bestFit="1" customWidth="1"/>
    <col min="7152" max="7170" width="13" style="1" bestFit="1" customWidth="1"/>
    <col min="7171" max="7174" width="11" style="1" bestFit="1" customWidth="1"/>
    <col min="7175" max="7177" width="12.25" style="1" bestFit="1" customWidth="1"/>
    <col min="7178" max="7189" width="11" style="1" bestFit="1" customWidth="1"/>
    <col min="7190" max="7190" width="13.25" style="1" bestFit="1" customWidth="1"/>
    <col min="7191" max="7191" width="10.375" style="1" bestFit="1" customWidth="1"/>
    <col min="7192" max="7192" width="11" style="1" bestFit="1" customWidth="1"/>
    <col min="7193" max="7397" width="9" style="1"/>
    <col min="7398" max="7398" width="2.875" style="1" bestFit="1" customWidth="1"/>
    <col min="7399" max="7399" width="17.625" style="1" bestFit="1" customWidth="1"/>
    <col min="7400" max="7400" width="11.375" style="1" bestFit="1" customWidth="1"/>
    <col min="7401" max="7402" width="14.125" style="1" bestFit="1" customWidth="1"/>
    <col min="7403" max="7403" width="11.375" style="1" bestFit="1" customWidth="1"/>
    <col min="7404" max="7407" width="12.5" style="1" bestFit="1" customWidth="1"/>
    <col min="7408" max="7426" width="13" style="1" bestFit="1" customWidth="1"/>
    <col min="7427" max="7430" width="11" style="1" bestFit="1" customWidth="1"/>
    <col min="7431" max="7433" width="12.25" style="1" bestFit="1" customWidth="1"/>
    <col min="7434" max="7445" width="11" style="1" bestFit="1" customWidth="1"/>
    <col min="7446" max="7446" width="13.25" style="1" bestFit="1" customWidth="1"/>
    <col min="7447" max="7447" width="10.375" style="1" bestFit="1" customWidth="1"/>
    <col min="7448" max="7448" width="11" style="1" bestFit="1" customWidth="1"/>
    <col min="7449" max="7653" width="9" style="1"/>
    <col min="7654" max="7654" width="2.875" style="1" bestFit="1" customWidth="1"/>
    <col min="7655" max="7655" width="17.625" style="1" bestFit="1" customWidth="1"/>
    <col min="7656" max="7656" width="11.375" style="1" bestFit="1" customWidth="1"/>
    <col min="7657" max="7658" width="14.125" style="1" bestFit="1" customWidth="1"/>
    <col min="7659" max="7659" width="11.375" style="1" bestFit="1" customWidth="1"/>
    <col min="7660" max="7663" width="12.5" style="1" bestFit="1" customWidth="1"/>
    <col min="7664" max="7682" width="13" style="1" bestFit="1" customWidth="1"/>
    <col min="7683" max="7686" width="11" style="1" bestFit="1" customWidth="1"/>
    <col min="7687" max="7689" width="12.25" style="1" bestFit="1" customWidth="1"/>
    <col min="7690" max="7701" width="11" style="1" bestFit="1" customWidth="1"/>
    <col min="7702" max="7702" width="13.25" style="1" bestFit="1" customWidth="1"/>
    <col min="7703" max="7703" width="10.375" style="1" bestFit="1" customWidth="1"/>
    <col min="7704" max="7704" width="11" style="1" bestFit="1" customWidth="1"/>
    <col min="7705" max="7909" width="9" style="1"/>
    <col min="7910" max="7910" width="2.875" style="1" bestFit="1" customWidth="1"/>
    <col min="7911" max="7911" width="17.625" style="1" bestFit="1" customWidth="1"/>
    <col min="7912" max="7912" width="11.375" style="1" bestFit="1" customWidth="1"/>
    <col min="7913" max="7914" width="14.125" style="1" bestFit="1" customWidth="1"/>
    <col min="7915" max="7915" width="11.375" style="1" bestFit="1" customWidth="1"/>
    <col min="7916" max="7919" width="12.5" style="1" bestFit="1" customWidth="1"/>
    <col min="7920" max="7938" width="13" style="1" bestFit="1" customWidth="1"/>
    <col min="7939" max="7942" width="11" style="1" bestFit="1" customWidth="1"/>
    <col min="7943" max="7945" width="12.25" style="1" bestFit="1" customWidth="1"/>
    <col min="7946" max="7957" width="11" style="1" bestFit="1" customWidth="1"/>
    <col min="7958" max="7958" width="13.25" style="1" bestFit="1" customWidth="1"/>
    <col min="7959" max="7959" width="10.375" style="1" bestFit="1" customWidth="1"/>
    <col min="7960" max="7960" width="11" style="1" bestFit="1" customWidth="1"/>
    <col min="7961" max="8165" width="9" style="1"/>
    <col min="8166" max="8166" width="2.875" style="1" bestFit="1" customWidth="1"/>
    <col min="8167" max="8167" width="17.625" style="1" bestFit="1" customWidth="1"/>
    <col min="8168" max="8168" width="11.375" style="1" bestFit="1" customWidth="1"/>
    <col min="8169" max="8170" width="14.125" style="1" bestFit="1" customWidth="1"/>
    <col min="8171" max="8171" width="11.375" style="1" bestFit="1" customWidth="1"/>
    <col min="8172" max="8175" width="12.5" style="1" bestFit="1" customWidth="1"/>
    <col min="8176" max="8194" width="13" style="1" bestFit="1" customWidth="1"/>
    <col min="8195" max="8198" width="11" style="1" bestFit="1" customWidth="1"/>
    <col min="8199" max="8201" width="12.25" style="1" bestFit="1" customWidth="1"/>
    <col min="8202" max="8213" width="11" style="1" bestFit="1" customWidth="1"/>
    <col min="8214" max="8214" width="13.25" style="1" bestFit="1" customWidth="1"/>
    <col min="8215" max="8215" width="10.375" style="1" bestFit="1" customWidth="1"/>
    <col min="8216" max="8216" width="11" style="1" bestFit="1" customWidth="1"/>
    <col min="8217" max="8421" width="9" style="1"/>
    <col min="8422" max="8422" width="2.875" style="1" bestFit="1" customWidth="1"/>
    <col min="8423" max="8423" width="17.625" style="1" bestFit="1" customWidth="1"/>
    <col min="8424" max="8424" width="11.375" style="1" bestFit="1" customWidth="1"/>
    <col min="8425" max="8426" width="14.125" style="1" bestFit="1" customWidth="1"/>
    <col min="8427" max="8427" width="11.375" style="1" bestFit="1" customWidth="1"/>
    <col min="8428" max="8431" width="12.5" style="1" bestFit="1" customWidth="1"/>
    <col min="8432" max="8450" width="13" style="1" bestFit="1" customWidth="1"/>
    <col min="8451" max="8454" width="11" style="1" bestFit="1" customWidth="1"/>
    <col min="8455" max="8457" width="12.25" style="1" bestFit="1" customWidth="1"/>
    <col min="8458" max="8469" width="11" style="1" bestFit="1" customWidth="1"/>
    <col min="8470" max="8470" width="13.25" style="1" bestFit="1" customWidth="1"/>
    <col min="8471" max="8471" width="10.375" style="1" bestFit="1" customWidth="1"/>
    <col min="8472" max="8472" width="11" style="1" bestFit="1" customWidth="1"/>
    <col min="8473" max="8677" width="9" style="1"/>
    <col min="8678" max="8678" width="2.875" style="1" bestFit="1" customWidth="1"/>
    <col min="8679" max="8679" width="17.625" style="1" bestFit="1" customWidth="1"/>
    <col min="8680" max="8680" width="11.375" style="1" bestFit="1" customWidth="1"/>
    <col min="8681" max="8682" width="14.125" style="1" bestFit="1" customWidth="1"/>
    <col min="8683" max="8683" width="11.375" style="1" bestFit="1" customWidth="1"/>
    <col min="8684" max="8687" width="12.5" style="1" bestFit="1" customWidth="1"/>
    <col min="8688" max="8706" width="13" style="1" bestFit="1" customWidth="1"/>
    <col min="8707" max="8710" width="11" style="1" bestFit="1" customWidth="1"/>
    <col min="8711" max="8713" width="12.25" style="1" bestFit="1" customWidth="1"/>
    <col min="8714" max="8725" width="11" style="1" bestFit="1" customWidth="1"/>
    <col min="8726" max="8726" width="13.25" style="1" bestFit="1" customWidth="1"/>
    <col min="8727" max="8727" width="10.375" style="1" bestFit="1" customWidth="1"/>
    <col min="8728" max="8728" width="11" style="1" bestFit="1" customWidth="1"/>
    <col min="8729" max="8933" width="9" style="1"/>
    <col min="8934" max="8934" width="2.875" style="1" bestFit="1" customWidth="1"/>
    <col min="8935" max="8935" width="17.625" style="1" bestFit="1" customWidth="1"/>
    <col min="8936" max="8936" width="11.375" style="1" bestFit="1" customWidth="1"/>
    <col min="8937" max="8938" width="14.125" style="1" bestFit="1" customWidth="1"/>
    <col min="8939" max="8939" width="11.375" style="1" bestFit="1" customWidth="1"/>
    <col min="8940" max="8943" width="12.5" style="1" bestFit="1" customWidth="1"/>
    <col min="8944" max="8962" width="13" style="1" bestFit="1" customWidth="1"/>
    <col min="8963" max="8966" width="11" style="1" bestFit="1" customWidth="1"/>
    <col min="8967" max="8969" width="12.25" style="1" bestFit="1" customWidth="1"/>
    <col min="8970" max="8981" width="11" style="1" bestFit="1" customWidth="1"/>
    <col min="8982" max="8982" width="13.25" style="1" bestFit="1" customWidth="1"/>
    <col min="8983" max="8983" width="10.375" style="1" bestFit="1" customWidth="1"/>
    <col min="8984" max="8984" width="11" style="1" bestFit="1" customWidth="1"/>
    <col min="8985" max="9189" width="9" style="1"/>
    <col min="9190" max="9190" width="2.875" style="1" bestFit="1" customWidth="1"/>
    <col min="9191" max="9191" width="17.625" style="1" bestFit="1" customWidth="1"/>
    <col min="9192" max="9192" width="11.375" style="1" bestFit="1" customWidth="1"/>
    <col min="9193" max="9194" width="14.125" style="1" bestFit="1" customWidth="1"/>
    <col min="9195" max="9195" width="11.375" style="1" bestFit="1" customWidth="1"/>
    <col min="9196" max="9199" width="12.5" style="1" bestFit="1" customWidth="1"/>
    <col min="9200" max="9218" width="13" style="1" bestFit="1" customWidth="1"/>
    <col min="9219" max="9222" width="11" style="1" bestFit="1" customWidth="1"/>
    <col min="9223" max="9225" width="12.25" style="1" bestFit="1" customWidth="1"/>
    <col min="9226" max="9237" width="11" style="1" bestFit="1" customWidth="1"/>
    <col min="9238" max="9238" width="13.25" style="1" bestFit="1" customWidth="1"/>
    <col min="9239" max="9239" width="10.375" style="1" bestFit="1" customWidth="1"/>
    <col min="9240" max="9240" width="11" style="1" bestFit="1" customWidth="1"/>
    <col min="9241" max="9445" width="9" style="1"/>
    <col min="9446" max="9446" width="2.875" style="1" bestFit="1" customWidth="1"/>
    <col min="9447" max="9447" width="17.625" style="1" bestFit="1" customWidth="1"/>
    <col min="9448" max="9448" width="11.375" style="1" bestFit="1" customWidth="1"/>
    <col min="9449" max="9450" width="14.125" style="1" bestFit="1" customWidth="1"/>
    <col min="9451" max="9451" width="11.375" style="1" bestFit="1" customWidth="1"/>
    <col min="9452" max="9455" width="12.5" style="1" bestFit="1" customWidth="1"/>
    <col min="9456" max="9474" width="13" style="1" bestFit="1" customWidth="1"/>
    <col min="9475" max="9478" width="11" style="1" bestFit="1" customWidth="1"/>
    <col min="9479" max="9481" width="12.25" style="1" bestFit="1" customWidth="1"/>
    <col min="9482" max="9493" width="11" style="1" bestFit="1" customWidth="1"/>
    <col min="9494" max="9494" width="13.25" style="1" bestFit="1" customWidth="1"/>
    <col min="9495" max="9495" width="10.375" style="1" bestFit="1" customWidth="1"/>
    <col min="9496" max="9496" width="11" style="1" bestFit="1" customWidth="1"/>
    <col min="9497" max="9701" width="9" style="1"/>
    <col min="9702" max="9702" width="2.875" style="1" bestFit="1" customWidth="1"/>
    <col min="9703" max="9703" width="17.625" style="1" bestFit="1" customWidth="1"/>
    <col min="9704" max="9704" width="11.375" style="1" bestFit="1" customWidth="1"/>
    <col min="9705" max="9706" width="14.125" style="1" bestFit="1" customWidth="1"/>
    <col min="9707" max="9707" width="11.375" style="1" bestFit="1" customWidth="1"/>
    <col min="9708" max="9711" width="12.5" style="1" bestFit="1" customWidth="1"/>
    <col min="9712" max="9730" width="13" style="1" bestFit="1" customWidth="1"/>
    <col min="9731" max="9734" width="11" style="1" bestFit="1" customWidth="1"/>
    <col min="9735" max="9737" width="12.25" style="1" bestFit="1" customWidth="1"/>
    <col min="9738" max="9749" width="11" style="1" bestFit="1" customWidth="1"/>
    <col min="9750" max="9750" width="13.25" style="1" bestFit="1" customWidth="1"/>
    <col min="9751" max="9751" width="10.375" style="1" bestFit="1" customWidth="1"/>
    <col min="9752" max="9752" width="11" style="1" bestFit="1" customWidth="1"/>
    <col min="9753" max="9957" width="9" style="1"/>
    <col min="9958" max="9958" width="2.875" style="1" bestFit="1" customWidth="1"/>
    <col min="9959" max="9959" width="17.625" style="1" bestFit="1" customWidth="1"/>
    <col min="9960" max="9960" width="11.375" style="1" bestFit="1" customWidth="1"/>
    <col min="9961" max="9962" width="14.125" style="1" bestFit="1" customWidth="1"/>
    <col min="9963" max="9963" width="11.375" style="1" bestFit="1" customWidth="1"/>
    <col min="9964" max="9967" width="12.5" style="1" bestFit="1" customWidth="1"/>
    <col min="9968" max="9986" width="13" style="1" bestFit="1" customWidth="1"/>
    <col min="9987" max="9990" width="11" style="1" bestFit="1" customWidth="1"/>
    <col min="9991" max="9993" width="12.25" style="1" bestFit="1" customWidth="1"/>
    <col min="9994" max="10005" width="11" style="1" bestFit="1" customWidth="1"/>
    <col min="10006" max="10006" width="13.25" style="1" bestFit="1" customWidth="1"/>
    <col min="10007" max="10007" width="10.375" style="1" bestFit="1" customWidth="1"/>
    <col min="10008" max="10008" width="11" style="1" bestFit="1" customWidth="1"/>
    <col min="10009" max="10213" width="9" style="1"/>
    <col min="10214" max="10214" width="2.875" style="1" bestFit="1" customWidth="1"/>
    <col min="10215" max="10215" width="17.625" style="1" bestFit="1" customWidth="1"/>
    <col min="10216" max="10216" width="11.375" style="1" bestFit="1" customWidth="1"/>
    <col min="10217" max="10218" width="14.125" style="1" bestFit="1" customWidth="1"/>
    <col min="10219" max="10219" width="11.375" style="1" bestFit="1" customWidth="1"/>
    <col min="10220" max="10223" width="12.5" style="1" bestFit="1" customWidth="1"/>
    <col min="10224" max="10242" width="13" style="1" bestFit="1" customWidth="1"/>
    <col min="10243" max="10246" width="11" style="1" bestFit="1" customWidth="1"/>
    <col min="10247" max="10249" width="12.25" style="1" bestFit="1" customWidth="1"/>
    <col min="10250" max="10261" width="11" style="1" bestFit="1" customWidth="1"/>
    <col min="10262" max="10262" width="13.25" style="1" bestFit="1" customWidth="1"/>
    <col min="10263" max="10263" width="10.375" style="1" bestFit="1" customWidth="1"/>
    <col min="10264" max="10264" width="11" style="1" bestFit="1" customWidth="1"/>
    <col min="10265" max="10469" width="9" style="1"/>
    <col min="10470" max="10470" width="2.875" style="1" bestFit="1" customWidth="1"/>
    <col min="10471" max="10471" width="17.625" style="1" bestFit="1" customWidth="1"/>
    <col min="10472" max="10472" width="11.375" style="1" bestFit="1" customWidth="1"/>
    <col min="10473" max="10474" width="14.125" style="1" bestFit="1" customWidth="1"/>
    <col min="10475" max="10475" width="11.375" style="1" bestFit="1" customWidth="1"/>
    <col min="10476" max="10479" width="12.5" style="1" bestFit="1" customWidth="1"/>
    <col min="10480" max="10498" width="13" style="1" bestFit="1" customWidth="1"/>
    <col min="10499" max="10502" width="11" style="1" bestFit="1" customWidth="1"/>
    <col min="10503" max="10505" width="12.25" style="1" bestFit="1" customWidth="1"/>
    <col min="10506" max="10517" width="11" style="1" bestFit="1" customWidth="1"/>
    <col min="10518" max="10518" width="13.25" style="1" bestFit="1" customWidth="1"/>
    <col min="10519" max="10519" width="10.375" style="1" bestFit="1" customWidth="1"/>
    <col min="10520" max="10520" width="11" style="1" bestFit="1" customWidth="1"/>
    <col min="10521" max="10725" width="9" style="1"/>
    <col min="10726" max="10726" width="2.875" style="1" bestFit="1" customWidth="1"/>
    <col min="10727" max="10727" width="17.625" style="1" bestFit="1" customWidth="1"/>
    <col min="10728" max="10728" width="11.375" style="1" bestFit="1" customWidth="1"/>
    <col min="10729" max="10730" width="14.125" style="1" bestFit="1" customWidth="1"/>
    <col min="10731" max="10731" width="11.375" style="1" bestFit="1" customWidth="1"/>
    <col min="10732" max="10735" width="12.5" style="1" bestFit="1" customWidth="1"/>
    <col min="10736" max="10754" width="13" style="1" bestFit="1" customWidth="1"/>
    <col min="10755" max="10758" width="11" style="1" bestFit="1" customWidth="1"/>
    <col min="10759" max="10761" width="12.25" style="1" bestFit="1" customWidth="1"/>
    <col min="10762" max="10773" width="11" style="1" bestFit="1" customWidth="1"/>
    <col min="10774" max="10774" width="13.25" style="1" bestFit="1" customWidth="1"/>
    <col min="10775" max="10775" width="10.375" style="1" bestFit="1" customWidth="1"/>
    <col min="10776" max="10776" width="11" style="1" bestFit="1" customWidth="1"/>
    <col min="10777" max="10981" width="9" style="1"/>
    <col min="10982" max="10982" width="2.875" style="1" bestFit="1" customWidth="1"/>
    <col min="10983" max="10983" width="17.625" style="1" bestFit="1" customWidth="1"/>
    <col min="10984" max="10984" width="11.375" style="1" bestFit="1" customWidth="1"/>
    <col min="10985" max="10986" width="14.125" style="1" bestFit="1" customWidth="1"/>
    <col min="10987" max="10987" width="11.375" style="1" bestFit="1" customWidth="1"/>
    <col min="10988" max="10991" width="12.5" style="1" bestFit="1" customWidth="1"/>
    <col min="10992" max="11010" width="13" style="1" bestFit="1" customWidth="1"/>
    <col min="11011" max="11014" width="11" style="1" bestFit="1" customWidth="1"/>
    <col min="11015" max="11017" width="12.25" style="1" bestFit="1" customWidth="1"/>
    <col min="11018" max="11029" width="11" style="1" bestFit="1" customWidth="1"/>
    <col min="11030" max="11030" width="13.25" style="1" bestFit="1" customWidth="1"/>
    <col min="11031" max="11031" width="10.375" style="1" bestFit="1" customWidth="1"/>
    <col min="11032" max="11032" width="11" style="1" bestFit="1" customWidth="1"/>
    <col min="11033" max="11237" width="9" style="1"/>
    <col min="11238" max="11238" width="2.875" style="1" bestFit="1" customWidth="1"/>
    <col min="11239" max="11239" width="17.625" style="1" bestFit="1" customWidth="1"/>
    <col min="11240" max="11240" width="11.375" style="1" bestFit="1" customWidth="1"/>
    <col min="11241" max="11242" width="14.125" style="1" bestFit="1" customWidth="1"/>
    <col min="11243" max="11243" width="11.375" style="1" bestFit="1" customWidth="1"/>
    <col min="11244" max="11247" width="12.5" style="1" bestFit="1" customWidth="1"/>
    <col min="11248" max="11266" width="13" style="1" bestFit="1" customWidth="1"/>
    <col min="11267" max="11270" width="11" style="1" bestFit="1" customWidth="1"/>
    <col min="11271" max="11273" width="12.25" style="1" bestFit="1" customWidth="1"/>
    <col min="11274" max="11285" width="11" style="1" bestFit="1" customWidth="1"/>
    <col min="11286" max="11286" width="13.25" style="1" bestFit="1" customWidth="1"/>
    <col min="11287" max="11287" width="10.375" style="1" bestFit="1" customWidth="1"/>
    <col min="11288" max="11288" width="11" style="1" bestFit="1" customWidth="1"/>
    <col min="11289" max="11493" width="9" style="1"/>
    <col min="11494" max="11494" width="2.875" style="1" bestFit="1" customWidth="1"/>
    <col min="11495" max="11495" width="17.625" style="1" bestFit="1" customWidth="1"/>
    <col min="11496" max="11496" width="11.375" style="1" bestFit="1" customWidth="1"/>
    <col min="11497" max="11498" width="14.125" style="1" bestFit="1" customWidth="1"/>
    <col min="11499" max="11499" width="11.375" style="1" bestFit="1" customWidth="1"/>
    <col min="11500" max="11503" width="12.5" style="1" bestFit="1" customWidth="1"/>
    <col min="11504" max="11522" width="13" style="1" bestFit="1" customWidth="1"/>
    <col min="11523" max="11526" width="11" style="1" bestFit="1" customWidth="1"/>
    <col min="11527" max="11529" width="12.25" style="1" bestFit="1" customWidth="1"/>
    <col min="11530" max="11541" width="11" style="1" bestFit="1" customWidth="1"/>
    <col min="11542" max="11542" width="13.25" style="1" bestFit="1" customWidth="1"/>
    <col min="11543" max="11543" width="10.375" style="1" bestFit="1" customWidth="1"/>
    <col min="11544" max="11544" width="11" style="1" bestFit="1" customWidth="1"/>
    <col min="11545" max="11749" width="9" style="1"/>
    <col min="11750" max="11750" width="2.875" style="1" bestFit="1" customWidth="1"/>
    <col min="11751" max="11751" width="17.625" style="1" bestFit="1" customWidth="1"/>
    <col min="11752" max="11752" width="11.375" style="1" bestFit="1" customWidth="1"/>
    <col min="11753" max="11754" width="14.125" style="1" bestFit="1" customWidth="1"/>
    <col min="11755" max="11755" width="11.375" style="1" bestFit="1" customWidth="1"/>
    <col min="11756" max="11759" width="12.5" style="1" bestFit="1" customWidth="1"/>
    <col min="11760" max="11778" width="13" style="1" bestFit="1" customWidth="1"/>
    <col min="11779" max="11782" width="11" style="1" bestFit="1" customWidth="1"/>
    <col min="11783" max="11785" width="12.25" style="1" bestFit="1" customWidth="1"/>
    <col min="11786" max="11797" width="11" style="1" bestFit="1" customWidth="1"/>
    <col min="11798" max="11798" width="13.25" style="1" bestFit="1" customWidth="1"/>
    <col min="11799" max="11799" width="10.375" style="1" bestFit="1" customWidth="1"/>
    <col min="11800" max="11800" width="11" style="1" bestFit="1" customWidth="1"/>
    <col min="11801" max="12005" width="9" style="1"/>
    <col min="12006" max="12006" width="2.875" style="1" bestFit="1" customWidth="1"/>
    <col min="12007" max="12007" width="17.625" style="1" bestFit="1" customWidth="1"/>
    <col min="12008" max="12008" width="11.375" style="1" bestFit="1" customWidth="1"/>
    <col min="12009" max="12010" width="14.125" style="1" bestFit="1" customWidth="1"/>
    <col min="12011" max="12011" width="11.375" style="1" bestFit="1" customWidth="1"/>
    <col min="12012" max="12015" width="12.5" style="1" bestFit="1" customWidth="1"/>
    <col min="12016" max="12034" width="13" style="1" bestFit="1" customWidth="1"/>
    <col min="12035" max="12038" width="11" style="1" bestFit="1" customWidth="1"/>
    <col min="12039" max="12041" width="12.25" style="1" bestFit="1" customWidth="1"/>
    <col min="12042" max="12053" width="11" style="1" bestFit="1" customWidth="1"/>
    <col min="12054" max="12054" width="13.25" style="1" bestFit="1" customWidth="1"/>
    <col min="12055" max="12055" width="10.375" style="1" bestFit="1" customWidth="1"/>
    <col min="12056" max="12056" width="11" style="1" bestFit="1" customWidth="1"/>
    <col min="12057" max="12261" width="9" style="1"/>
    <col min="12262" max="12262" width="2.875" style="1" bestFit="1" customWidth="1"/>
    <col min="12263" max="12263" width="17.625" style="1" bestFit="1" customWidth="1"/>
    <col min="12264" max="12264" width="11.375" style="1" bestFit="1" customWidth="1"/>
    <col min="12265" max="12266" width="14.125" style="1" bestFit="1" customWidth="1"/>
    <col min="12267" max="12267" width="11.375" style="1" bestFit="1" customWidth="1"/>
    <col min="12268" max="12271" width="12.5" style="1" bestFit="1" customWidth="1"/>
    <col min="12272" max="12290" width="13" style="1" bestFit="1" customWidth="1"/>
    <col min="12291" max="12294" width="11" style="1" bestFit="1" customWidth="1"/>
    <col min="12295" max="12297" width="12.25" style="1" bestFit="1" customWidth="1"/>
    <col min="12298" max="12309" width="11" style="1" bestFit="1" customWidth="1"/>
    <col min="12310" max="12310" width="13.25" style="1" bestFit="1" customWidth="1"/>
    <col min="12311" max="12311" width="10.375" style="1" bestFit="1" customWidth="1"/>
    <col min="12312" max="12312" width="11" style="1" bestFit="1" customWidth="1"/>
    <col min="12313" max="12517" width="9" style="1"/>
    <col min="12518" max="12518" width="2.875" style="1" bestFit="1" customWidth="1"/>
    <col min="12519" max="12519" width="17.625" style="1" bestFit="1" customWidth="1"/>
    <col min="12520" max="12520" width="11.375" style="1" bestFit="1" customWidth="1"/>
    <col min="12521" max="12522" width="14.125" style="1" bestFit="1" customWidth="1"/>
    <col min="12523" max="12523" width="11.375" style="1" bestFit="1" customWidth="1"/>
    <col min="12524" max="12527" width="12.5" style="1" bestFit="1" customWidth="1"/>
    <col min="12528" max="12546" width="13" style="1" bestFit="1" customWidth="1"/>
    <col min="12547" max="12550" width="11" style="1" bestFit="1" customWidth="1"/>
    <col min="12551" max="12553" width="12.25" style="1" bestFit="1" customWidth="1"/>
    <col min="12554" max="12565" width="11" style="1" bestFit="1" customWidth="1"/>
    <col min="12566" max="12566" width="13.25" style="1" bestFit="1" customWidth="1"/>
    <col min="12567" max="12567" width="10.375" style="1" bestFit="1" customWidth="1"/>
    <col min="12568" max="12568" width="11" style="1" bestFit="1" customWidth="1"/>
    <col min="12569" max="12773" width="9" style="1"/>
    <col min="12774" max="12774" width="2.875" style="1" bestFit="1" customWidth="1"/>
    <col min="12775" max="12775" width="17.625" style="1" bestFit="1" customWidth="1"/>
    <col min="12776" max="12776" width="11.375" style="1" bestFit="1" customWidth="1"/>
    <col min="12777" max="12778" width="14.125" style="1" bestFit="1" customWidth="1"/>
    <col min="12779" max="12779" width="11.375" style="1" bestFit="1" customWidth="1"/>
    <col min="12780" max="12783" width="12.5" style="1" bestFit="1" customWidth="1"/>
    <col min="12784" max="12802" width="13" style="1" bestFit="1" customWidth="1"/>
    <col min="12803" max="12806" width="11" style="1" bestFit="1" customWidth="1"/>
    <col min="12807" max="12809" width="12.25" style="1" bestFit="1" customWidth="1"/>
    <col min="12810" max="12821" width="11" style="1" bestFit="1" customWidth="1"/>
    <col min="12822" max="12822" width="13.25" style="1" bestFit="1" customWidth="1"/>
    <col min="12823" max="12823" width="10.375" style="1" bestFit="1" customWidth="1"/>
    <col min="12824" max="12824" width="11" style="1" bestFit="1" customWidth="1"/>
    <col min="12825" max="13029" width="9" style="1"/>
    <col min="13030" max="13030" width="2.875" style="1" bestFit="1" customWidth="1"/>
    <col min="13031" max="13031" width="17.625" style="1" bestFit="1" customWidth="1"/>
    <col min="13032" max="13032" width="11.375" style="1" bestFit="1" customWidth="1"/>
    <col min="13033" max="13034" width="14.125" style="1" bestFit="1" customWidth="1"/>
    <col min="13035" max="13035" width="11.375" style="1" bestFit="1" customWidth="1"/>
    <col min="13036" max="13039" width="12.5" style="1" bestFit="1" customWidth="1"/>
    <col min="13040" max="13058" width="13" style="1" bestFit="1" customWidth="1"/>
    <col min="13059" max="13062" width="11" style="1" bestFit="1" customWidth="1"/>
    <col min="13063" max="13065" width="12.25" style="1" bestFit="1" customWidth="1"/>
    <col min="13066" max="13077" width="11" style="1" bestFit="1" customWidth="1"/>
    <col min="13078" max="13078" width="13.25" style="1" bestFit="1" customWidth="1"/>
    <col min="13079" max="13079" width="10.375" style="1" bestFit="1" customWidth="1"/>
    <col min="13080" max="13080" width="11" style="1" bestFit="1" customWidth="1"/>
    <col min="13081" max="13285" width="9" style="1"/>
    <col min="13286" max="13286" width="2.875" style="1" bestFit="1" customWidth="1"/>
    <col min="13287" max="13287" width="17.625" style="1" bestFit="1" customWidth="1"/>
    <col min="13288" max="13288" width="11.375" style="1" bestFit="1" customWidth="1"/>
    <col min="13289" max="13290" width="14.125" style="1" bestFit="1" customWidth="1"/>
    <col min="13291" max="13291" width="11.375" style="1" bestFit="1" customWidth="1"/>
    <col min="13292" max="13295" width="12.5" style="1" bestFit="1" customWidth="1"/>
    <col min="13296" max="13314" width="13" style="1" bestFit="1" customWidth="1"/>
    <col min="13315" max="13318" width="11" style="1" bestFit="1" customWidth="1"/>
    <col min="13319" max="13321" width="12.25" style="1" bestFit="1" customWidth="1"/>
    <col min="13322" max="13333" width="11" style="1" bestFit="1" customWidth="1"/>
    <col min="13334" max="13334" width="13.25" style="1" bestFit="1" customWidth="1"/>
    <col min="13335" max="13335" width="10.375" style="1" bestFit="1" customWidth="1"/>
    <col min="13336" max="13336" width="11" style="1" bestFit="1" customWidth="1"/>
    <col min="13337" max="13541" width="9" style="1"/>
    <col min="13542" max="13542" width="2.875" style="1" bestFit="1" customWidth="1"/>
    <col min="13543" max="13543" width="17.625" style="1" bestFit="1" customWidth="1"/>
    <col min="13544" max="13544" width="11.375" style="1" bestFit="1" customWidth="1"/>
    <col min="13545" max="13546" width="14.125" style="1" bestFit="1" customWidth="1"/>
    <col min="13547" max="13547" width="11.375" style="1" bestFit="1" customWidth="1"/>
    <col min="13548" max="13551" width="12.5" style="1" bestFit="1" customWidth="1"/>
    <col min="13552" max="13570" width="13" style="1" bestFit="1" customWidth="1"/>
    <col min="13571" max="13574" width="11" style="1" bestFit="1" customWidth="1"/>
    <col min="13575" max="13577" width="12.25" style="1" bestFit="1" customWidth="1"/>
    <col min="13578" max="13589" width="11" style="1" bestFit="1" customWidth="1"/>
    <col min="13590" max="13590" width="13.25" style="1" bestFit="1" customWidth="1"/>
    <col min="13591" max="13591" width="10.375" style="1" bestFit="1" customWidth="1"/>
    <col min="13592" max="13592" width="11" style="1" bestFit="1" customWidth="1"/>
    <col min="13593" max="13797" width="9" style="1"/>
    <col min="13798" max="13798" width="2.875" style="1" bestFit="1" customWidth="1"/>
    <col min="13799" max="13799" width="17.625" style="1" bestFit="1" customWidth="1"/>
    <col min="13800" max="13800" width="11.375" style="1" bestFit="1" customWidth="1"/>
    <col min="13801" max="13802" width="14.125" style="1" bestFit="1" customWidth="1"/>
    <col min="13803" max="13803" width="11.375" style="1" bestFit="1" customWidth="1"/>
    <col min="13804" max="13807" width="12.5" style="1" bestFit="1" customWidth="1"/>
    <col min="13808" max="13826" width="13" style="1" bestFit="1" customWidth="1"/>
    <col min="13827" max="13830" width="11" style="1" bestFit="1" customWidth="1"/>
    <col min="13831" max="13833" width="12.25" style="1" bestFit="1" customWidth="1"/>
    <col min="13834" max="13845" width="11" style="1" bestFit="1" customWidth="1"/>
    <col min="13846" max="13846" width="13.25" style="1" bestFit="1" customWidth="1"/>
    <col min="13847" max="13847" width="10.375" style="1" bestFit="1" customWidth="1"/>
    <col min="13848" max="13848" width="11" style="1" bestFit="1" customWidth="1"/>
    <col min="13849" max="14053" width="9" style="1"/>
    <col min="14054" max="14054" width="2.875" style="1" bestFit="1" customWidth="1"/>
    <col min="14055" max="14055" width="17.625" style="1" bestFit="1" customWidth="1"/>
    <col min="14056" max="14056" width="11.375" style="1" bestFit="1" customWidth="1"/>
    <col min="14057" max="14058" width="14.125" style="1" bestFit="1" customWidth="1"/>
    <col min="14059" max="14059" width="11.375" style="1" bestFit="1" customWidth="1"/>
    <col min="14060" max="14063" width="12.5" style="1" bestFit="1" customWidth="1"/>
    <col min="14064" max="14082" width="13" style="1" bestFit="1" customWidth="1"/>
    <col min="14083" max="14086" width="11" style="1" bestFit="1" customWidth="1"/>
    <col min="14087" max="14089" width="12.25" style="1" bestFit="1" customWidth="1"/>
    <col min="14090" max="14101" width="11" style="1" bestFit="1" customWidth="1"/>
    <col min="14102" max="14102" width="13.25" style="1" bestFit="1" customWidth="1"/>
    <col min="14103" max="14103" width="10.375" style="1" bestFit="1" customWidth="1"/>
    <col min="14104" max="14104" width="11" style="1" bestFit="1" customWidth="1"/>
    <col min="14105" max="14309" width="9" style="1"/>
    <col min="14310" max="14310" width="2.875" style="1" bestFit="1" customWidth="1"/>
    <col min="14311" max="14311" width="17.625" style="1" bestFit="1" customWidth="1"/>
    <col min="14312" max="14312" width="11.375" style="1" bestFit="1" customWidth="1"/>
    <col min="14313" max="14314" width="14.125" style="1" bestFit="1" customWidth="1"/>
    <col min="14315" max="14315" width="11.375" style="1" bestFit="1" customWidth="1"/>
    <col min="14316" max="14319" width="12.5" style="1" bestFit="1" customWidth="1"/>
    <col min="14320" max="14338" width="13" style="1" bestFit="1" customWidth="1"/>
    <col min="14339" max="14342" width="11" style="1" bestFit="1" customWidth="1"/>
    <col min="14343" max="14345" width="12.25" style="1" bestFit="1" customWidth="1"/>
    <col min="14346" max="14357" width="11" style="1" bestFit="1" customWidth="1"/>
    <col min="14358" max="14358" width="13.25" style="1" bestFit="1" customWidth="1"/>
    <col min="14359" max="14359" width="10.375" style="1" bestFit="1" customWidth="1"/>
    <col min="14360" max="14360" width="11" style="1" bestFit="1" customWidth="1"/>
    <col min="14361" max="14565" width="9" style="1"/>
    <col min="14566" max="14566" width="2.875" style="1" bestFit="1" customWidth="1"/>
    <col min="14567" max="14567" width="17.625" style="1" bestFit="1" customWidth="1"/>
    <col min="14568" max="14568" width="11.375" style="1" bestFit="1" customWidth="1"/>
    <col min="14569" max="14570" width="14.125" style="1" bestFit="1" customWidth="1"/>
    <col min="14571" max="14571" width="11.375" style="1" bestFit="1" customWidth="1"/>
    <col min="14572" max="14575" width="12.5" style="1" bestFit="1" customWidth="1"/>
    <col min="14576" max="14594" width="13" style="1" bestFit="1" customWidth="1"/>
    <col min="14595" max="14598" width="11" style="1" bestFit="1" customWidth="1"/>
    <col min="14599" max="14601" width="12.25" style="1" bestFit="1" customWidth="1"/>
    <col min="14602" max="14613" width="11" style="1" bestFit="1" customWidth="1"/>
    <col min="14614" max="14614" width="13.25" style="1" bestFit="1" customWidth="1"/>
    <col min="14615" max="14615" width="10.375" style="1" bestFit="1" customWidth="1"/>
    <col min="14616" max="14616" width="11" style="1" bestFit="1" customWidth="1"/>
    <col min="14617" max="14821" width="9" style="1"/>
    <col min="14822" max="14822" width="2.875" style="1" bestFit="1" customWidth="1"/>
    <col min="14823" max="14823" width="17.625" style="1" bestFit="1" customWidth="1"/>
    <col min="14824" max="14824" width="11.375" style="1" bestFit="1" customWidth="1"/>
    <col min="14825" max="14826" width="14.125" style="1" bestFit="1" customWidth="1"/>
    <col min="14827" max="14827" width="11.375" style="1" bestFit="1" customWidth="1"/>
    <col min="14828" max="14831" width="12.5" style="1" bestFit="1" customWidth="1"/>
    <col min="14832" max="14850" width="13" style="1" bestFit="1" customWidth="1"/>
    <col min="14851" max="14854" width="11" style="1" bestFit="1" customWidth="1"/>
    <col min="14855" max="14857" width="12.25" style="1" bestFit="1" customWidth="1"/>
    <col min="14858" max="14869" width="11" style="1" bestFit="1" customWidth="1"/>
    <col min="14870" max="14870" width="13.25" style="1" bestFit="1" customWidth="1"/>
    <col min="14871" max="14871" width="10.375" style="1" bestFit="1" customWidth="1"/>
    <col min="14872" max="14872" width="11" style="1" bestFit="1" customWidth="1"/>
    <col min="14873" max="15077" width="9" style="1"/>
    <col min="15078" max="15078" width="2.875" style="1" bestFit="1" customWidth="1"/>
    <col min="15079" max="15079" width="17.625" style="1" bestFit="1" customWidth="1"/>
    <col min="15080" max="15080" width="11.375" style="1" bestFit="1" customWidth="1"/>
    <col min="15081" max="15082" width="14.125" style="1" bestFit="1" customWidth="1"/>
    <col min="15083" max="15083" width="11.375" style="1" bestFit="1" customWidth="1"/>
    <col min="15084" max="15087" width="12.5" style="1" bestFit="1" customWidth="1"/>
    <col min="15088" max="15106" width="13" style="1" bestFit="1" customWidth="1"/>
    <col min="15107" max="15110" width="11" style="1" bestFit="1" customWidth="1"/>
    <col min="15111" max="15113" width="12.25" style="1" bestFit="1" customWidth="1"/>
    <col min="15114" max="15125" width="11" style="1" bestFit="1" customWidth="1"/>
    <col min="15126" max="15126" width="13.25" style="1" bestFit="1" customWidth="1"/>
    <col min="15127" max="15127" width="10.375" style="1" bestFit="1" customWidth="1"/>
    <col min="15128" max="15128" width="11" style="1" bestFit="1" customWidth="1"/>
    <col min="15129" max="15333" width="9" style="1"/>
    <col min="15334" max="15334" width="2.875" style="1" bestFit="1" customWidth="1"/>
    <col min="15335" max="15335" width="17.625" style="1" bestFit="1" customWidth="1"/>
    <col min="15336" max="15336" width="11.375" style="1" bestFit="1" customWidth="1"/>
    <col min="15337" max="15338" width="14.125" style="1" bestFit="1" customWidth="1"/>
    <col min="15339" max="15339" width="11.375" style="1" bestFit="1" customWidth="1"/>
    <col min="15340" max="15343" width="12.5" style="1" bestFit="1" customWidth="1"/>
    <col min="15344" max="15362" width="13" style="1" bestFit="1" customWidth="1"/>
    <col min="15363" max="15366" width="11" style="1" bestFit="1" customWidth="1"/>
    <col min="15367" max="15369" width="12.25" style="1" bestFit="1" customWidth="1"/>
    <col min="15370" max="15381" width="11" style="1" bestFit="1" customWidth="1"/>
    <col min="15382" max="15382" width="13.25" style="1" bestFit="1" customWidth="1"/>
    <col min="15383" max="15383" width="10.375" style="1" bestFit="1" customWidth="1"/>
    <col min="15384" max="15384" width="11" style="1" bestFit="1" customWidth="1"/>
    <col min="15385" max="15589" width="9" style="1"/>
    <col min="15590" max="15590" width="2.875" style="1" bestFit="1" customWidth="1"/>
    <col min="15591" max="15591" width="17.625" style="1" bestFit="1" customWidth="1"/>
    <col min="15592" max="15592" width="11.375" style="1" bestFit="1" customWidth="1"/>
    <col min="15593" max="15594" width="14.125" style="1" bestFit="1" customWidth="1"/>
    <col min="15595" max="15595" width="11.375" style="1" bestFit="1" customWidth="1"/>
    <col min="15596" max="15599" width="12.5" style="1" bestFit="1" customWidth="1"/>
    <col min="15600" max="15618" width="13" style="1" bestFit="1" customWidth="1"/>
    <col min="15619" max="15622" width="11" style="1" bestFit="1" customWidth="1"/>
    <col min="15623" max="15625" width="12.25" style="1" bestFit="1" customWidth="1"/>
    <col min="15626" max="15637" width="11" style="1" bestFit="1" customWidth="1"/>
    <col min="15638" max="15638" width="13.25" style="1" bestFit="1" customWidth="1"/>
    <col min="15639" max="15639" width="10.375" style="1" bestFit="1" customWidth="1"/>
    <col min="15640" max="15640" width="11" style="1" bestFit="1" customWidth="1"/>
    <col min="15641" max="15845" width="9" style="1"/>
    <col min="15846" max="15846" width="2.875" style="1" bestFit="1" customWidth="1"/>
    <col min="15847" max="15847" width="17.625" style="1" bestFit="1" customWidth="1"/>
    <col min="15848" max="15848" width="11.375" style="1" bestFit="1" customWidth="1"/>
    <col min="15849" max="15850" width="14.125" style="1" bestFit="1" customWidth="1"/>
    <col min="15851" max="15851" width="11.375" style="1" bestFit="1" customWidth="1"/>
    <col min="15852" max="15855" width="12.5" style="1" bestFit="1" customWidth="1"/>
    <col min="15856" max="15874" width="13" style="1" bestFit="1" customWidth="1"/>
    <col min="15875" max="15878" width="11" style="1" bestFit="1" customWidth="1"/>
    <col min="15879" max="15881" width="12.25" style="1" bestFit="1" customWidth="1"/>
    <col min="15882" max="15893" width="11" style="1" bestFit="1" customWidth="1"/>
    <col min="15894" max="15894" width="13.25" style="1" bestFit="1" customWidth="1"/>
    <col min="15895" max="15895" width="10.375" style="1" bestFit="1" customWidth="1"/>
    <col min="15896" max="15896" width="11" style="1" bestFit="1" customWidth="1"/>
    <col min="15897" max="16101" width="9" style="1"/>
    <col min="16102" max="16102" width="2.875" style="1" bestFit="1" customWidth="1"/>
    <col min="16103" max="16103" width="17.625" style="1" bestFit="1" customWidth="1"/>
    <col min="16104" max="16104" width="11.375" style="1" bestFit="1" customWidth="1"/>
    <col min="16105" max="16106" width="14.125" style="1" bestFit="1" customWidth="1"/>
    <col min="16107" max="16107" width="11.375" style="1" bestFit="1" customWidth="1"/>
    <col min="16108" max="16111" width="12.5" style="1" bestFit="1" customWidth="1"/>
    <col min="16112" max="16130" width="13" style="1" bestFit="1" customWidth="1"/>
    <col min="16131" max="16134" width="11" style="1" bestFit="1" customWidth="1"/>
    <col min="16135" max="16137" width="12.25" style="1" bestFit="1" customWidth="1"/>
    <col min="16138" max="16149" width="11" style="1" bestFit="1" customWidth="1"/>
    <col min="16150" max="16150" width="13.25" style="1" bestFit="1" customWidth="1"/>
    <col min="16151" max="16151" width="10.375" style="1" bestFit="1" customWidth="1"/>
    <col min="16152" max="16152" width="11" style="1" bestFit="1" customWidth="1"/>
    <col min="16153" max="16384" width="9" style="1"/>
  </cols>
  <sheetData>
    <row r="1" spans="1:24" hidden="1" x14ac:dyDescent="0.15"/>
    <row r="2" spans="1:24" ht="30.75" hidden="1" customHeight="1" x14ac:dyDescent="0.15"/>
    <row r="3" spans="1:24" ht="17.25" x14ac:dyDescent="0.2">
      <c r="A3" s="37">
        <v>45474</v>
      </c>
      <c r="B3" s="37"/>
      <c r="C3" s="54" t="s">
        <v>247</v>
      </c>
    </row>
    <row r="4" spans="1:24" s="5" customFormat="1" ht="12" customHeight="1" x14ac:dyDescent="0.15">
      <c r="A4" s="38" t="s">
        <v>0</v>
      </c>
      <c r="B4" s="38"/>
      <c r="C4" s="2" t="s">
        <v>9</v>
      </c>
      <c r="D4" s="2" t="s">
        <v>10</v>
      </c>
      <c r="E4" s="2" t="s">
        <v>11</v>
      </c>
      <c r="F4" s="2" t="s">
        <v>12</v>
      </c>
      <c r="G4" s="2" t="s">
        <v>13</v>
      </c>
      <c r="H4" s="2" t="s">
        <v>14</v>
      </c>
      <c r="I4" s="2" t="s">
        <v>236</v>
      </c>
      <c r="J4" s="2" t="s">
        <v>15</v>
      </c>
      <c r="K4" s="2" t="s">
        <v>16</v>
      </c>
      <c r="L4" s="2" t="s">
        <v>17</v>
      </c>
      <c r="M4" s="2" t="s">
        <v>18</v>
      </c>
      <c r="N4" s="2" t="s">
        <v>19</v>
      </c>
      <c r="O4" s="2" t="s">
        <v>20</v>
      </c>
      <c r="P4" s="2" t="s">
        <v>21</v>
      </c>
      <c r="Q4" s="2" t="s">
        <v>22</v>
      </c>
      <c r="R4" s="2" t="s">
        <v>23</v>
      </c>
      <c r="S4" s="2" t="s">
        <v>24</v>
      </c>
      <c r="T4" s="2" t="s">
        <v>25</v>
      </c>
      <c r="U4" s="2" t="s">
        <v>237</v>
      </c>
      <c r="V4" s="3" t="s">
        <v>41</v>
      </c>
      <c r="W4" s="3" t="s">
        <v>42</v>
      </c>
      <c r="X4" s="4" t="s">
        <v>43</v>
      </c>
    </row>
    <row r="5" spans="1:24" s="5" customFormat="1" hidden="1" x14ac:dyDescent="0.15">
      <c r="A5" s="39" t="s">
        <v>44</v>
      </c>
      <c r="B5" s="40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3"/>
      <c r="W5" s="3"/>
      <c r="X5" s="4"/>
    </row>
    <row r="6" spans="1:24" s="5" customFormat="1" hidden="1" x14ac:dyDescent="0.15">
      <c r="A6" s="39" t="s">
        <v>45</v>
      </c>
      <c r="B6" s="40"/>
      <c r="C6" s="2" t="s">
        <v>47</v>
      </c>
      <c r="D6" s="2" t="s">
        <v>47</v>
      </c>
      <c r="E6" s="2" t="s">
        <v>47</v>
      </c>
      <c r="F6" s="2" t="s">
        <v>47</v>
      </c>
      <c r="G6" s="2" t="s">
        <v>47</v>
      </c>
      <c r="H6" s="2" t="s">
        <v>47</v>
      </c>
      <c r="I6" s="2" t="s">
        <v>47</v>
      </c>
      <c r="J6" s="2" t="s">
        <v>47</v>
      </c>
      <c r="K6" s="2" t="s">
        <v>47</v>
      </c>
      <c r="L6" s="2" t="s">
        <v>47</v>
      </c>
      <c r="M6" s="2" t="s">
        <v>47</v>
      </c>
      <c r="N6" s="2" t="s">
        <v>47</v>
      </c>
      <c r="O6" s="2" t="s">
        <v>47</v>
      </c>
      <c r="P6" s="2" t="s">
        <v>47</v>
      </c>
      <c r="Q6" s="2" t="s">
        <v>47</v>
      </c>
      <c r="R6" s="2" t="s">
        <v>47</v>
      </c>
      <c r="S6" s="2" t="s">
        <v>47</v>
      </c>
      <c r="T6" s="2" t="s">
        <v>47</v>
      </c>
      <c r="U6" s="2" t="s">
        <v>47</v>
      </c>
      <c r="V6" s="3"/>
      <c r="W6" s="3"/>
      <c r="X6" s="4"/>
    </row>
    <row r="7" spans="1:24" s="5" customFormat="1" ht="12" customHeight="1" x14ac:dyDescent="0.15">
      <c r="A7" s="36" t="s">
        <v>51</v>
      </c>
      <c r="B7" s="36"/>
      <c r="C7" s="44" t="s">
        <v>163</v>
      </c>
      <c r="D7" s="44" t="s">
        <v>164</v>
      </c>
      <c r="E7" s="44" t="s">
        <v>165</v>
      </c>
      <c r="F7" s="44" t="s">
        <v>166</v>
      </c>
      <c r="G7" s="44" t="s">
        <v>167</v>
      </c>
      <c r="H7" s="44" t="s">
        <v>168</v>
      </c>
      <c r="I7" s="44" t="s">
        <v>169</v>
      </c>
      <c r="J7" s="44" t="s">
        <v>170</v>
      </c>
      <c r="K7" s="44" t="s">
        <v>171</v>
      </c>
      <c r="L7" s="44" t="s">
        <v>172</v>
      </c>
      <c r="M7" s="44" t="s">
        <v>173</v>
      </c>
      <c r="N7" s="44" t="s">
        <v>174</v>
      </c>
      <c r="O7" s="44" t="s">
        <v>175</v>
      </c>
      <c r="P7" s="44" t="s">
        <v>176</v>
      </c>
      <c r="Q7" s="44" t="s">
        <v>177</v>
      </c>
      <c r="R7" s="44" t="s">
        <v>178</v>
      </c>
      <c r="S7" s="44"/>
      <c r="T7" s="44"/>
      <c r="U7" s="44"/>
      <c r="V7" s="6"/>
      <c r="W7" s="6"/>
      <c r="X7" s="7"/>
    </row>
    <row r="8" spans="1:24" s="5" customFormat="1" ht="12" customHeight="1" x14ac:dyDescent="0.15">
      <c r="A8" s="36" t="s">
        <v>52</v>
      </c>
      <c r="B8" s="36"/>
      <c r="C8" s="44" t="s">
        <v>204</v>
      </c>
      <c r="D8" s="44" t="s">
        <v>205</v>
      </c>
      <c r="E8" s="44" t="s">
        <v>206</v>
      </c>
      <c r="F8" s="44" t="s">
        <v>207</v>
      </c>
      <c r="G8" s="44" t="s">
        <v>198</v>
      </c>
      <c r="H8" s="44" t="s">
        <v>208</v>
      </c>
      <c r="I8" s="44" t="s">
        <v>209</v>
      </c>
      <c r="J8" s="44" t="s">
        <v>210</v>
      </c>
      <c r="K8" s="44" t="s">
        <v>211</v>
      </c>
      <c r="L8" s="44" t="s">
        <v>212</v>
      </c>
      <c r="M8" s="44" t="s">
        <v>213</v>
      </c>
      <c r="N8" s="44" t="s">
        <v>214</v>
      </c>
      <c r="O8" s="44" t="s">
        <v>215</v>
      </c>
      <c r="P8" s="44" t="s">
        <v>216</v>
      </c>
      <c r="Q8" s="44" t="s">
        <v>217</v>
      </c>
      <c r="R8" s="44" t="s">
        <v>218</v>
      </c>
      <c r="S8" s="44"/>
      <c r="T8" s="44"/>
      <c r="U8" s="44" t="s">
        <v>219</v>
      </c>
      <c r="V8" s="6"/>
      <c r="W8" s="6"/>
      <c r="X8" s="7"/>
    </row>
    <row r="9" spans="1:24" ht="12" customHeight="1" x14ac:dyDescent="0.15">
      <c r="A9" s="42" t="s">
        <v>53</v>
      </c>
      <c r="B9" s="43"/>
      <c r="C9" s="46">
        <v>8</v>
      </c>
      <c r="D9" s="46">
        <v>8</v>
      </c>
      <c r="E9" s="46">
        <v>10</v>
      </c>
      <c r="F9" s="46">
        <v>10</v>
      </c>
      <c r="G9" s="46">
        <v>10</v>
      </c>
      <c r="H9" s="46">
        <v>10</v>
      </c>
      <c r="I9" s="46">
        <v>14</v>
      </c>
      <c r="J9" s="46">
        <v>10</v>
      </c>
      <c r="K9" s="46">
        <v>10</v>
      </c>
      <c r="L9" s="46">
        <v>10</v>
      </c>
      <c r="M9" s="46">
        <v>10</v>
      </c>
      <c r="N9" s="46">
        <v>10</v>
      </c>
      <c r="O9" s="46">
        <v>10</v>
      </c>
      <c r="P9" s="46">
        <v>10</v>
      </c>
      <c r="Q9" s="46">
        <v>10</v>
      </c>
      <c r="R9" s="46">
        <v>10</v>
      </c>
      <c r="S9" s="46"/>
      <c r="T9" s="46"/>
      <c r="U9" s="46">
        <v>14</v>
      </c>
      <c r="V9" s="9">
        <f>SUM(C9:U9)</f>
        <v>174</v>
      </c>
      <c r="W9" s="9"/>
      <c r="X9" s="10"/>
    </row>
    <row r="10" spans="1:24" ht="12.75" customHeight="1" x14ac:dyDescent="0.15">
      <c r="A10" s="38" t="s">
        <v>54</v>
      </c>
      <c r="B10" s="38"/>
      <c r="C10" s="48" t="s">
        <v>57</v>
      </c>
      <c r="D10" s="48" t="s">
        <v>58</v>
      </c>
      <c r="E10" s="48" t="s">
        <v>59</v>
      </c>
      <c r="F10" s="48" t="s">
        <v>59</v>
      </c>
      <c r="G10" s="48" t="s">
        <v>59</v>
      </c>
      <c r="H10" s="48" t="s">
        <v>59</v>
      </c>
      <c r="I10" s="48" t="s">
        <v>59</v>
      </c>
      <c r="J10" s="48" t="s">
        <v>59</v>
      </c>
      <c r="K10" s="48" t="s">
        <v>59</v>
      </c>
      <c r="L10" s="48" t="s">
        <v>59</v>
      </c>
      <c r="M10" s="48" t="s">
        <v>60</v>
      </c>
      <c r="N10" s="48" t="s">
        <v>60</v>
      </c>
      <c r="O10" s="48" t="s">
        <v>60</v>
      </c>
      <c r="P10" s="48" t="s">
        <v>60</v>
      </c>
      <c r="Q10" s="48" t="s">
        <v>61</v>
      </c>
      <c r="R10" s="48" t="s">
        <v>61</v>
      </c>
      <c r="S10" s="48" t="s">
        <v>62</v>
      </c>
      <c r="T10" s="48" t="s">
        <v>63</v>
      </c>
      <c r="U10" s="49"/>
      <c r="V10" s="12"/>
      <c r="W10" s="12"/>
      <c r="X10" s="13"/>
    </row>
    <row r="11" spans="1:24" ht="12.75" customHeight="1" x14ac:dyDescent="0.15">
      <c r="A11" s="38" t="s">
        <v>65</v>
      </c>
      <c r="B11" s="38"/>
      <c r="C11" s="14">
        <v>1829</v>
      </c>
      <c r="D11" s="14">
        <v>3439</v>
      </c>
      <c r="E11" s="14">
        <v>4900.5999999999995</v>
      </c>
      <c r="F11" s="14">
        <v>4670.8</v>
      </c>
      <c r="G11" s="14">
        <v>5086.8999999999996</v>
      </c>
      <c r="H11" s="14">
        <v>5163.8</v>
      </c>
      <c r="I11" s="14">
        <v>6495.8</v>
      </c>
      <c r="J11" s="14">
        <v>4727.2</v>
      </c>
      <c r="K11" s="14">
        <v>4987.3999999999996</v>
      </c>
      <c r="L11" s="14">
        <v>5559.2</v>
      </c>
      <c r="M11" s="14">
        <v>7258.9000000000005</v>
      </c>
      <c r="N11" s="14">
        <v>8196.9</v>
      </c>
      <c r="O11" s="14">
        <v>7078.3</v>
      </c>
      <c r="P11" s="14">
        <v>7505.3</v>
      </c>
      <c r="Q11" s="14">
        <v>5073.3999999999996</v>
      </c>
      <c r="R11" s="14">
        <v>5250.2</v>
      </c>
      <c r="S11" s="14">
        <v>0</v>
      </c>
      <c r="T11" s="14">
        <v>0</v>
      </c>
      <c r="U11" s="14">
        <v>0</v>
      </c>
      <c r="V11" s="16">
        <f>SUM(C11:U11)</f>
        <v>87222.699999999983</v>
      </c>
      <c r="W11" s="16">
        <f>AVERAGE(C11:U11)</f>
        <v>4590.6684210526309</v>
      </c>
      <c r="X11" s="13"/>
    </row>
    <row r="12" spans="1:24" ht="12.75" customHeight="1" x14ac:dyDescent="0.15">
      <c r="A12" s="39" t="s">
        <v>244</v>
      </c>
      <c r="B12" s="51"/>
      <c r="C12" s="52">
        <v>2.3923611111111112</v>
      </c>
      <c r="D12" s="52"/>
      <c r="E12" s="52">
        <v>9.9951388888888886</v>
      </c>
      <c r="F12" s="52">
        <v>9.4048611111111118</v>
      </c>
      <c r="G12" s="52">
        <v>10.090277777777779</v>
      </c>
      <c r="H12" s="52">
        <v>10.161111111111111</v>
      </c>
      <c r="I12" s="52">
        <v>10.471527777777778</v>
      </c>
      <c r="J12" s="52">
        <v>10.170833333333333</v>
      </c>
      <c r="K12" s="52">
        <v>9.3826388888888896</v>
      </c>
      <c r="L12" s="52">
        <v>9.9923611111111104</v>
      </c>
      <c r="M12" s="52">
        <v>11.715277777777779</v>
      </c>
      <c r="N12" s="52">
        <v>11.368055555555555</v>
      </c>
      <c r="O12" s="52">
        <v>12.208333333333334</v>
      </c>
      <c r="P12" s="52">
        <v>10.344444444444445</v>
      </c>
      <c r="Q12" s="52">
        <v>6.9340277777777777</v>
      </c>
      <c r="R12" s="52">
        <v>7.2569444444444446</v>
      </c>
      <c r="S12" s="52"/>
      <c r="T12" s="52"/>
      <c r="U12" s="52"/>
      <c r="V12" s="16"/>
      <c r="W12" s="16"/>
      <c r="X12" s="13"/>
    </row>
    <row r="13" spans="1:24" ht="12.75" customHeight="1" x14ac:dyDescent="0.15">
      <c r="A13" s="38" t="s">
        <v>66</v>
      </c>
      <c r="B13" s="38"/>
      <c r="C13" s="14">
        <v>405027</v>
      </c>
      <c r="D13" s="14">
        <v>902191</v>
      </c>
      <c r="E13" s="14">
        <v>1141070</v>
      </c>
      <c r="F13" s="14">
        <v>1070960</v>
      </c>
      <c r="G13" s="14">
        <v>1104950</v>
      </c>
      <c r="H13" s="14">
        <v>1102350</v>
      </c>
      <c r="I13" s="14">
        <v>1738850</v>
      </c>
      <c r="J13" s="14">
        <v>1138390</v>
      </c>
      <c r="K13" s="14">
        <v>1093840</v>
      </c>
      <c r="L13" s="14">
        <v>1266210</v>
      </c>
      <c r="M13" s="14">
        <v>1391360</v>
      </c>
      <c r="N13" s="14">
        <v>1340220</v>
      </c>
      <c r="O13" s="14">
        <v>1362270</v>
      </c>
      <c r="P13" s="14">
        <v>1310900</v>
      </c>
      <c r="Q13" s="14">
        <v>1220941</v>
      </c>
      <c r="R13" s="14">
        <v>1133111</v>
      </c>
      <c r="S13" s="14">
        <v>11000</v>
      </c>
      <c r="T13" s="14">
        <v>627047</v>
      </c>
      <c r="U13" s="14">
        <v>0</v>
      </c>
      <c r="V13" s="16">
        <f>SUM(C13:U13)</f>
        <v>19360687</v>
      </c>
      <c r="W13" s="16">
        <f>AVERAGE(C13:U13)</f>
        <v>1018983.5263157894</v>
      </c>
      <c r="X13" s="13">
        <f>V13/V13</f>
        <v>1</v>
      </c>
    </row>
    <row r="14" spans="1:24" ht="12.75" customHeight="1" x14ac:dyDescent="0.15">
      <c r="A14" s="39" t="s">
        <v>242</v>
      </c>
      <c r="B14" s="51"/>
      <c r="C14" s="14"/>
      <c r="D14" s="14"/>
      <c r="E14" s="14">
        <v>63550</v>
      </c>
      <c r="F14" s="14">
        <v>133660</v>
      </c>
      <c r="G14" s="14">
        <v>99670</v>
      </c>
      <c r="H14" s="14">
        <v>102270</v>
      </c>
      <c r="I14" s="14"/>
      <c r="J14" s="14">
        <v>70850</v>
      </c>
      <c r="K14" s="14">
        <v>116780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6">
        <f>SUM(C14:U14)</f>
        <v>586780</v>
      </c>
      <c r="W14" s="16"/>
      <c r="X14" s="13"/>
    </row>
    <row r="15" spans="1:24" ht="12.75" customHeight="1" x14ac:dyDescent="0.15">
      <c r="A15" s="38" t="s">
        <v>67</v>
      </c>
      <c r="B15" s="38"/>
      <c r="C15" s="14">
        <f t="shared" ref="C15:U15" si="0">SUM(C13/C11)</f>
        <v>221.44723892837615</v>
      </c>
      <c r="D15" s="14">
        <f t="shared" si="0"/>
        <v>262.34108752544347</v>
      </c>
      <c r="E15" s="14">
        <f t="shared" si="0"/>
        <v>232.84291719381304</v>
      </c>
      <c r="F15" s="14">
        <f t="shared" si="0"/>
        <v>229.28834460906054</v>
      </c>
      <c r="G15" s="14">
        <f t="shared" si="0"/>
        <v>217.21480666024496</v>
      </c>
      <c r="H15" s="14">
        <f t="shared" si="0"/>
        <v>213.47650954723264</v>
      </c>
      <c r="I15" s="14">
        <f t="shared" si="0"/>
        <v>267.68835247390621</v>
      </c>
      <c r="J15" s="14">
        <f t="shared" si="0"/>
        <v>240.81697410729396</v>
      </c>
      <c r="K15" s="14">
        <f t="shared" si="0"/>
        <v>219.32068813409794</v>
      </c>
      <c r="L15" s="14">
        <f t="shared" si="0"/>
        <v>227.76838394013527</v>
      </c>
      <c r="M15" s="14">
        <f t="shared" si="0"/>
        <v>191.67642480265604</v>
      </c>
      <c r="N15" s="14">
        <f t="shared" si="0"/>
        <v>163.5032756285913</v>
      </c>
      <c r="O15" s="14">
        <f t="shared" si="0"/>
        <v>192.45722843055535</v>
      </c>
      <c r="P15" s="14">
        <f t="shared" si="0"/>
        <v>174.6632379784952</v>
      </c>
      <c r="Q15" s="14">
        <f t="shared" si="0"/>
        <v>240.65537903575515</v>
      </c>
      <c r="R15" s="14">
        <f t="shared" si="0"/>
        <v>215.82244485924346</v>
      </c>
      <c r="S15" s="14" t="e">
        <f t="shared" si="0"/>
        <v>#DIV/0!</v>
      </c>
      <c r="T15" s="14" t="e">
        <f t="shared" si="0"/>
        <v>#DIV/0!</v>
      </c>
      <c r="U15" s="14" t="e">
        <f t="shared" si="0"/>
        <v>#DIV/0!</v>
      </c>
      <c r="V15" s="12">
        <f>SUM(V13/V11)</f>
        <v>221.96844399451064</v>
      </c>
      <c r="W15" s="16" t="e">
        <f>AVERAGE(C15:U15)</f>
        <v>#DIV/0!</v>
      </c>
      <c r="X15" s="13"/>
    </row>
    <row r="16" spans="1:24" ht="12.75" customHeight="1" x14ac:dyDescent="0.15">
      <c r="A16" s="39" t="s">
        <v>243</v>
      </c>
      <c r="B16" s="51"/>
      <c r="C16" s="14">
        <f t="shared" ref="C16:U16" si="1">C13/(C12*24)</f>
        <v>7054.1712626995641</v>
      </c>
      <c r="D16" s="14" t="e">
        <f t="shared" si="1"/>
        <v>#DIV/0!</v>
      </c>
      <c r="E16" s="14">
        <f t="shared" si="1"/>
        <v>4756.7706524004725</v>
      </c>
      <c r="F16" s="14">
        <f t="shared" si="1"/>
        <v>4744.7094439932062</v>
      </c>
      <c r="G16" s="14">
        <f t="shared" si="1"/>
        <v>4562.766689607708</v>
      </c>
      <c r="H16" s="14">
        <f t="shared" si="1"/>
        <v>4520.2979770366319</v>
      </c>
      <c r="I16" s="14">
        <f t="shared" si="1"/>
        <v>6918.9601432455738</v>
      </c>
      <c r="J16" s="14">
        <f t="shared" si="1"/>
        <v>4663.621466612045</v>
      </c>
      <c r="K16" s="14">
        <f t="shared" si="1"/>
        <v>4857.5531048775074</v>
      </c>
      <c r="L16" s="14">
        <f t="shared" si="1"/>
        <v>5279.9082632566542</v>
      </c>
      <c r="M16" s="14">
        <f t="shared" si="1"/>
        <v>4948.5240071132184</v>
      </c>
      <c r="N16" s="14">
        <f t="shared" si="1"/>
        <v>4912.2296884544903</v>
      </c>
      <c r="O16" s="14">
        <f t="shared" si="1"/>
        <v>4649.3856655290101</v>
      </c>
      <c r="P16" s="14">
        <f t="shared" si="1"/>
        <v>5280.2094522019333</v>
      </c>
      <c r="Q16" s="14">
        <f t="shared" si="1"/>
        <v>7336.6509764646971</v>
      </c>
      <c r="R16" s="14">
        <f t="shared" si="1"/>
        <v>6505.9004784688987</v>
      </c>
      <c r="S16" s="14" t="e">
        <f t="shared" si="1"/>
        <v>#DIV/0!</v>
      </c>
      <c r="T16" s="14" t="e">
        <f t="shared" si="1"/>
        <v>#DIV/0!</v>
      </c>
      <c r="U16" s="14" t="e">
        <f t="shared" si="1"/>
        <v>#DIV/0!</v>
      </c>
      <c r="V16" s="12"/>
      <c r="W16" s="16"/>
      <c r="X16" s="13"/>
    </row>
    <row r="17" spans="1:24" ht="12.75" customHeight="1" x14ac:dyDescent="0.15">
      <c r="A17" s="41" t="s">
        <v>68</v>
      </c>
      <c r="B17" s="11" t="s">
        <v>69</v>
      </c>
      <c r="C17" s="14">
        <v>44688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58860</v>
      </c>
      <c r="J17" s="14">
        <v>0</v>
      </c>
      <c r="K17" s="14">
        <v>0</v>
      </c>
      <c r="L17" s="14">
        <v>0</v>
      </c>
      <c r="M17" s="14">
        <v>0</v>
      </c>
      <c r="N17" s="14">
        <v>213500</v>
      </c>
      <c r="O17" s="14">
        <v>51245</v>
      </c>
      <c r="P17" s="14">
        <v>56375</v>
      </c>
      <c r="Q17" s="14">
        <v>56708</v>
      </c>
      <c r="R17" s="14">
        <v>0</v>
      </c>
      <c r="S17" s="14">
        <v>0</v>
      </c>
      <c r="T17" s="14">
        <v>0</v>
      </c>
      <c r="U17" s="14">
        <v>0</v>
      </c>
      <c r="V17" s="16">
        <f>SUM(C17:U17)</f>
        <v>481376</v>
      </c>
      <c r="W17" s="16">
        <f>AVERAGE(C17:U17)</f>
        <v>25335.57894736842</v>
      </c>
      <c r="X17" s="13">
        <f>V17/V13</f>
        <v>2.4863580512406405E-2</v>
      </c>
    </row>
    <row r="18" spans="1:24" ht="12.75" customHeight="1" x14ac:dyDescent="0.15">
      <c r="A18" s="41"/>
      <c r="B18" s="11" t="s">
        <v>70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  <c r="S18" s="14">
        <v>0</v>
      </c>
      <c r="T18" s="14">
        <v>0</v>
      </c>
      <c r="U18" s="14">
        <v>0</v>
      </c>
      <c r="V18" s="16">
        <f>SUM(C18:U18)</f>
        <v>0</v>
      </c>
      <c r="W18" s="16">
        <f>AVERAGE(C18:U18)</f>
        <v>0</v>
      </c>
      <c r="X18" s="13">
        <f>V18/V13</f>
        <v>0</v>
      </c>
    </row>
    <row r="19" spans="1:24" ht="12.75" customHeight="1" x14ac:dyDescent="0.15">
      <c r="A19" s="41"/>
      <c r="B19" s="11" t="s">
        <v>71</v>
      </c>
      <c r="C19" s="14">
        <v>4400</v>
      </c>
      <c r="D19" s="14">
        <v>4825</v>
      </c>
      <c r="E19" s="14">
        <v>5150</v>
      </c>
      <c r="F19" s="14">
        <v>4400</v>
      </c>
      <c r="G19" s="14">
        <v>5150</v>
      </c>
      <c r="H19" s="14">
        <v>5250</v>
      </c>
      <c r="I19" s="14">
        <v>6950</v>
      </c>
      <c r="J19" s="14">
        <v>4400</v>
      </c>
      <c r="K19" s="14">
        <v>4025</v>
      </c>
      <c r="L19" s="14">
        <v>0</v>
      </c>
      <c r="M19" s="14">
        <v>4808</v>
      </c>
      <c r="N19" s="14">
        <v>0</v>
      </c>
      <c r="O19" s="14">
        <v>12911</v>
      </c>
      <c r="P19" s="14">
        <v>13200</v>
      </c>
      <c r="Q19" s="14">
        <v>11540</v>
      </c>
      <c r="R19" s="14">
        <v>5642</v>
      </c>
      <c r="S19" s="14">
        <v>0</v>
      </c>
      <c r="T19" s="14">
        <v>0</v>
      </c>
      <c r="U19" s="14">
        <v>7075</v>
      </c>
      <c r="V19" s="16">
        <f>SUM(C19:U19)</f>
        <v>99726</v>
      </c>
      <c r="W19" s="16">
        <f>AVERAGE(C19:U19)</f>
        <v>5248.7368421052633</v>
      </c>
      <c r="X19" s="13">
        <f>V19/V13</f>
        <v>5.1509535792815617E-3</v>
      </c>
    </row>
    <row r="20" spans="1:24" ht="12.75" customHeight="1" x14ac:dyDescent="0.15">
      <c r="A20" s="41"/>
      <c r="B20" s="11" t="s">
        <v>72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4">
        <v>0</v>
      </c>
      <c r="S20" s="14">
        <v>0</v>
      </c>
      <c r="T20" s="14">
        <v>0</v>
      </c>
      <c r="U20" s="14">
        <v>0</v>
      </c>
      <c r="V20" s="16">
        <f>SUM(C20:U20)</f>
        <v>0</v>
      </c>
      <c r="W20" s="16">
        <f>AVERAGE(C20:U20)</f>
        <v>0</v>
      </c>
      <c r="X20" s="13">
        <f>V20/V13</f>
        <v>0</v>
      </c>
    </row>
    <row r="21" spans="1:24" ht="12.75" customHeight="1" x14ac:dyDescent="0.15">
      <c r="A21" s="41"/>
      <c r="B21" s="11" t="s">
        <v>73</v>
      </c>
      <c r="C21" s="14">
        <v>4950</v>
      </c>
      <c r="D21" s="14">
        <v>4950</v>
      </c>
      <c r="E21" s="14">
        <v>4766</v>
      </c>
      <c r="F21" s="14">
        <v>4950</v>
      </c>
      <c r="G21" s="14">
        <v>4766</v>
      </c>
      <c r="H21" s="14">
        <v>4950</v>
      </c>
      <c r="I21" s="14">
        <v>8333</v>
      </c>
      <c r="J21" s="14">
        <v>4950</v>
      </c>
      <c r="K21" s="14">
        <v>4583</v>
      </c>
      <c r="L21" s="14">
        <v>4766</v>
      </c>
      <c r="M21" s="14">
        <v>4766</v>
      </c>
      <c r="N21" s="14">
        <v>5208</v>
      </c>
      <c r="O21" s="14">
        <v>4766</v>
      </c>
      <c r="P21" s="14">
        <v>5208</v>
      </c>
      <c r="Q21" s="14">
        <v>5208</v>
      </c>
      <c r="R21" s="14">
        <v>4767</v>
      </c>
      <c r="S21" s="14">
        <v>0</v>
      </c>
      <c r="T21" s="14">
        <v>0</v>
      </c>
      <c r="U21" s="14">
        <v>0</v>
      </c>
      <c r="V21" s="16">
        <f>SUM(C21:U21)</f>
        <v>81887</v>
      </c>
      <c r="W21" s="16">
        <f>AVERAGE(C21:U21)</f>
        <v>4309.8421052631575</v>
      </c>
      <c r="X21" s="13">
        <f>V21/V13</f>
        <v>4.2295503253577723E-3</v>
      </c>
    </row>
    <row r="22" spans="1:24" ht="12.75" customHeight="1" x14ac:dyDescent="0.15">
      <c r="A22" s="41"/>
      <c r="B22" s="11" t="s">
        <v>74</v>
      </c>
      <c r="C22" s="14">
        <v>26896</v>
      </c>
      <c r="D22" s="14">
        <v>33622</v>
      </c>
      <c r="E22" s="14">
        <v>35854</v>
      </c>
      <c r="F22" s="14">
        <v>32622</v>
      </c>
      <c r="G22" s="14">
        <v>25904</v>
      </c>
      <c r="H22" s="14">
        <v>35324</v>
      </c>
      <c r="I22" s="14">
        <v>45820</v>
      </c>
      <c r="J22" s="14">
        <v>81250</v>
      </c>
      <c r="K22" s="14">
        <v>24854</v>
      </c>
      <c r="L22" s="14">
        <v>30531</v>
      </c>
      <c r="M22" s="14">
        <v>45794</v>
      </c>
      <c r="N22" s="14">
        <v>38383</v>
      </c>
      <c r="O22" s="14">
        <v>53355</v>
      </c>
      <c r="P22" s="14">
        <v>63356</v>
      </c>
      <c r="Q22" s="14">
        <v>17372</v>
      </c>
      <c r="R22" s="14">
        <v>35968</v>
      </c>
      <c r="S22" s="14">
        <v>0</v>
      </c>
      <c r="T22" s="14">
        <v>0</v>
      </c>
      <c r="U22" s="14">
        <v>0</v>
      </c>
      <c r="V22" s="16">
        <f>SUM(C22:U22)</f>
        <v>626905</v>
      </c>
      <c r="W22" s="16">
        <f>AVERAGE(C22:U22)</f>
        <v>32995</v>
      </c>
      <c r="X22" s="13">
        <f>V22/V13</f>
        <v>3.2380307578961431E-2</v>
      </c>
    </row>
    <row r="23" spans="1:24" ht="12.75" customHeight="1" x14ac:dyDescent="0.15">
      <c r="A23" s="41"/>
      <c r="B23" s="17" t="s">
        <v>75</v>
      </c>
      <c r="C23" s="18">
        <f t="shared" ref="C23:U23" si="2">SUM(C17:C22)</f>
        <v>80934</v>
      </c>
      <c r="D23" s="18">
        <f t="shared" si="2"/>
        <v>43397</v>
      </c>
      <c r="E23" s="18">
        <f t="shared" si="2"/>
        <v>45770</v>
      </c>
      <c r="F23" s="18">
        <f t="shared" si="2"/>
        <v>41972</v>
      </c>
      <c r="G23" s="18">
        <f t="shared" si="2"/>
        <v>35820</v>
      </c>
      <c r="H23" s="18">
        <f t="shared" si="2"/>
        <v>45524</v>
      </c>
      <c r="I23" s="18">
        <f t="shared" si="2"/>
        <v>119963</v>
      </c>
      <c r="J23" s="18">
        <f t="shared" si="2"/>
        <v>90600</v>
      </c>
      <c r="K23" s="18">
        <f t="shared" si="2"/>
        <v>33462</v>
      </c>
      <c r="L23" s="18">
        <f t="shared" si="2"/>
        <v>35297</v>
      </c>
      <c r="M23" s="18">
        <f t="shared" si="2"/>
        <v>55368</v>
      </c>
      <c r="N23" s="18">
        <f t="shared" si="2"/>
        <v>257091</v>
      </c>
      <c r="O23" s="18">
        <f t="shared" si="2"/>
        <v>122277</v>
      </c>
      <c r="P23" s="18">
        <f t="shared" si="2"/>
        <v>138139</v>
      </c>
      <c r="Q23" s="18">
        <f t="shared" si="2"/>
        <v>90828</v>
      </c>
      <c r="R23" s="18">
        <f t="shared" si="2"/>
        <v>46377</v>
      </c>
      <c r="S23" s="18">
        <f t="shared" si="2"/>
        <v>0</v>
      </c>
      <c r="T23" s="18">
        <f t="shared" si="2"/>
        <v>0</v>
      </c>
      <c r="U23" s="18">
        <f t="shared" si="2"/>
        <v>7075</v>
      </c>
      <c r="V23" s="20">
        <f>SUM(C23:U23)</f>
        <v>1289894</v>
      </c>
      <c r="W23" s="20">
        <f>AVERAGE(C23:U23)</f>
        <v>67889.15789473684</v>
      </c>
      <c r="X23" s="21">
        <f>V23/V13</f>
        <v>6.6624391996007171E-2</v>
      </c>
    </row>
    <row r="24" spans="1:24" ht="12.75" customHeight="1" x14ac:dyDescent="0.15">
      <c r="A24" s="41" t="s">
        <v>76</v>
      </c>
      <c r="B24" s="11" t="s">
        <v>77</v>
      </c>
      <c r="C24" s="14">
        <v>0</v>
      </c>
      <c r="D24" s="14">
        <v>3200</v>
      </c>
      <c r="E24" s="14">
        <v>48474</v>
      </c>
      <c r="F24" s="14">
        <v>199230</v>
      </c>
      <c r="G24" s="14">
        <v>427384</v>
      </c>
      <c r="H24" s="14">
        <v>0</v>
      </c>
      <c r="I24" s="14">
        <v>0</v>
      </c>
      <c r="J24" s="14">
        <v>74346</v>
      </c>
      <c r="K24" s="14">
        <v>1890</v>
      </c>
      <c r="L24" s="14">
        <v>0</v>
      </c>
      <c r="M24" s="14">
        <v>10975</v>
      </c>
      <c r="N24" s="14">
        <v>39360</v>
      </c>
      <c r="O24" s="14">
        <v>0</v>
      </c>
      <c r="P24" s="14">
        <v>291435</v>
      </c>
      <c r="Q24" s="14">
        <v>0</v>
      </c>
      <c r="R24" s="14">
        <v>0</v>
      </c>
      <c r="S24" s="14">
        <v>0</v>
      </c>
      <c r="T24" s="14">
        <v>0</v>
      </c>
      <c r="U24" s="14">
        <v>0</v>
      </c>
      <c r="V24" s="16">
        <f>SUM(C24:U24)</f>
        <v>1096294</v>
      </c>
      <c r="W24" s="16">
        <f>AVERAGE(C24:U24)</f>
        <v>57699.684210526313</v>
      </c>
      <c r="X24" s="13">
        <f>V24/V13</f>
        <v>5.6624746838787279E-2</v>
      </c>
    </row>
    <row r="25" spans="1:24" ht="12.75" customHeight="1" x14ac:dyDescent="0.15">
      <c r="A25" s="41"/>
      <c r="B25" s="11" t="s">
        <v>78</v>
      </c>
      <c r="C25" s="14">
        <v>0</v>
      </c>
      <c r="D25" s="14">
        <v>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6">
        <f>SUM(C25:U25)</f>
        <v>0</v>
      </c>
      <c r="W25" s="16">
        <f>AVERAGE(C25:U25)</f>
        <v>0</v>
      </c>
      <c r="X25" s="13">
        <f>V25/V13</f>
        <v>0</v>
      </c>
    </row>
    <row r="26" spans="1:24" ht="12.75" customHeight="1" x14ac:dyDescent="0.15">
      <c r="A26" s="41"/>
      <c r="B26" s="11" t="s">
        <v>79</v>
      </c>
      <c r="C26" s="14">
        <f t="shared" ref="C26:U26" si="3">30000*C9/70000*C11</f>
        <v>6270.8571428571422</v>
      </c>
      <c r="D26" s="14">
        <f t="shared" si="3"/>
        <v>11790.857142857141</v>
      </c>
      <c r="E26" s="14">
        <f t="shared" si="3"/>
        <v>21002.571428571424</v>
      </c>
      <c r="F26" s="14">
        <f t="shared" si="3"/>
        <v>20017.714285714286</v>
      </c>
      <c r="G26" s="14">
        <f t="shared" si="3"/>
        <v>21800.999999999996</v>
      </c>
      <c r="H26" s="14">
        <f t="shared" si="3"/>
        <v>22130.571428571428</v>
      </c>
      <c r="I26" s="14">
        <f t="shared" si="3"/>
        <v>38974.800000000003</v>
      </c>
      <c r="J26" s="14">
        <f t="shared" si="3"/>
        <v>20259.428571428569</v>
      </c>
      <c r="K26" s="14">
        <f t="shared" si="3"/>
        <v>21374.571428571428</v>
      </c>
      <c r="L26" s="14">
        <f t="shared" si="3"/>
        <v>23825.142857142855</v>
      </c>
      <c r="M26" s="14">
        <f t="shared" si="3"/>
        <v>31109.571428571431</v>
      </c>
      <c r="N26" s="14">
        <f t="shared" si="3"/>
        <v>35129.571428571428</v>
      </c>
      <c r="O26" s="14">
        <f t="shared" si="3"/>
        <v>30335.571428571428</v>
      </c>
      <c r="P26" s="14">
        <f t="shared" si="3"/>
        <v>32165.571428571428</v>
      </c>
      <c r="Q26" s="14">
        <f t="shared" si="3"/>
        <v>21743.142857142855</v>
      </c>
      <c r="R26" s="14">
        <f t="shared" si="3"/>
        <v>22500.857142857141</v>
      </c>
      <c r="S26" s="14">
        <f t="shared" si="3"/>
        <v>0</v>
      </c>
      <c r="T26" s="14">
        <f t="shared" si="3"/>
        <v>0</v>
      </c>
      <c r="U26" s="14">
        <f t="shared" si="3"/>
        <v>0</v>
      </c>
      <c r="V26" s="16">
        <f>SUM(C26:U26)</f>
        <v>380431.79999999993</v>
      </c>
      <c r="W26" s="16">
        <f>AVERAGE(C26:U26)</f>
        <v>20022.72631578947</v>
      </c>
      <c r="X26" s="13">
        <f>V26/V13</f>
        <v>1.9649705612202705E-2</v>
      </c>
    </row>
    <row r="27" spans="1:24" ht="12.75" customHeight="1" x14ac:dyDescent="0.15">
      <c r="A27" s="41"/>
      <c r="B27" s="11" t="s">
        <v>80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0</v>
      </c>
      <c r="R27" s="14">
        <v>0</v>
      </c>
      <c r="S27" s="14">
        <v>0</v>
      </c>
      <c r="T27" s="14">
        <v>0</v>
      </c>
      <c r="U27" s="14">
        <v>0</v>
      </c>
      <c r="V27" s="16">
        <f>SUM(C27:U27)</f>
        <v>0</v>
      </c>
      <c r="W27" s="16">
        <f>AVERAGE(C27:U27)</f>
        <v>0</v>
      </c>
      <c r="X27" s="13">
        <f>V27/V13</f>
        <v>0</v>
      </c>
    </row>
    <row r="28" spans="1:24" ht="12.75" customHeight="1" x14ac:dyDescent="0.15">
      <c r="A28" s="41"/>
      <c r="B28" s="11" t="s">
        <v>81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6">
        <f>SUM(C28:U28)</f>
        <v>0</v>
      </c>
      <c r="W28" s="16">
        <f>AVERAGE(C28:U28)</f>
        <v>0</v>
      </c>
      <c r="X28" s="13">
        <f>V28/V13</f>
        <v>0</v>
      </c>
    </row>
    <row r="29" spans="1:24" ht="12.75" customHeight="1" x14ac:dyDescent="0.15">
      <c r="A29" s="41"/>
      <c r="B29" s="17" t="s">
        <v>82</v>
      </c>
      <c r="C29" s="18">
        <f t="shared" ref="C29:U29" si="4">SUM(C24:C28)</f>
        <v>6270.8571428571422</v>
      </c>
      <c r="D29" s="18">
        <f t="shared" si="4"/>
        <v>14990.857142857141</v>
      </c>
      <c r="E29" s="18">
        <f t="shared" si="4"/>
        <v>69476.57142857142</v>
      </c>
      <c r="F29" s="18">
        <f t="shared" si="4"/>
        <v>219247.71428571429</v>
      </c>
      <c r="G29" s="18">
        <f t="shared" si="4"/>
        <v>449185</v>
      </c>
      <c r="H29" s="18">
        <f t="shared" si="4"/>
        <v>22130.571428571428</v>
      </c>
      <c r="I29" s="18">
        <f t="shared" si="4"/>
        <v>38974.800000000003</v>
      </c>
      <c r="J29" s="18">
        <f t="shared" si="4"/>
        <v>94605.428571428565</v>
      </c>
      <c r="K29" s="18">
        <f t="shared" si="4"/>
        <v>23264.571428571428</v>
      </c>
      <c r="L29" s="18">
        <f t="shared" si="4"/>
        <v>23825.142857142855</v>
      </c>
      <c r="M29" s="18">
        <f t="shared" si="4"/>
        <v>42084.571428571435</v>
      </c>
      <c r="N29" s="18">
        <f t="shared" si="4"/>
        <v>74489.57142857142</v>
      </c>
      <c r="O29" s="18">
        <f t="shared" si="4"/>
        <v>30335.571428571428</v>
      </c>
      <c r="P29" s="18">
        <f t="shared" si="4"/>
        <v>323600.57142857142</v>
      </c>
      <c r="Q29" s="18">
        <f t="shared" si="4"/>
        <v>21743.142857142855</v>
      </c>
      <c r="R29" s="18">
        <f t="shared" si="4"/>
        <v>22500.857142857141</v>
      </c>
      <c r="S29" s="18">
        <f t="shared" si="4"/>
        <v>0</v>
      </c>
      <c r="T29" s="18">
        <f t="shared" si="4"/>
        <v>0</v>
      </c>
      <c r="U29" s="18">
        <f t="shared" si="4"/>
        <v>0</v>
      </c>
      <c r="V29" s="20">
        <f>SUM(C29:U29)</f>
        <v>1476725.8</v>
      </c>
      <c r="W29" s="20">
        <f>AVERAGE(C29:U29)</f>
        <v>77722.410526315798</v>
      </c>
      <c r="X29" s="21">
        <f>V29/V13</f>
        <v>7.6274452450989988E-2</v>
      </c>
    </row>
    <row r="30" spans="1:24" ht="12.75" customHeight="1" x14ac:dyDescent="0.15">
      <c r="A30" s="41" t="s">
        <v>83</v>
      </c>
      <c r="B30" s="8" t="s">
        <v>84</v>
      </c>
      <c r="C30" s="22">
        <v>456</v>
      </c>
      <c r="D30" s="22">
        <v>1060</v>
      </c>
      <c r="E30" s="22">
        <v>1426</v>
      </c>
      <c r="F30" s="22">
        <v>1045</v>
      </c>
      <c r="G30" s="22">
        <v>1330</v>
      </c>
      <c r="H30" s="22">
        <v>1410</v>
      </c>
      <c r="I30" s="22">
        <v>2494</v>
      </c>
      <c r="J30" s="22">
        <v>1275</v>
      </c>
      <c r="K30" s="22">
        <v>1346</v>
      </c>
      <c r="L30" s="22">
        <v>1393</v>
      </c>
      <c r="M30" s="22">
        <v>1868</v>
      </c>
      <c r="N30" s="22">
        <v>1999</v>
      </c>
      <c r="O30" s="22">
        <v>1810</v>
      </c>
      <c r="P30" s="22">
        <v>2011</v>
      </c>
      <c r="Q30" s="22">
        <v>1265</v>
      </c>
      <c r="R30" s="22">
        <v>1315</v>
      </c>
      <c r="S30" s="22">
        <v>0</v>
      </c>
      <c r="T30" s="22">
        <v>0</v>
      </c>
      <c r="U30" s="22">
        <v>0</v>
      </c>
      <c r="V30" s="24">
        <f>SUM(C30:U30)</f>
        <v>23503</v>
      </c>
      <c r="W30" s="24">
        <f>AVERAGE(C30:U30)</f>
        <v>1237</v>
      </c>
      <c r="X30" s="10">
        <f>V30/V13</f>
        <v>1.2139548560441062E-3</v>
      </c>
    </row>
    <row r="31" spans="1:24" ht="12.75" customHeight="1" x14ac:dyDescent="0.15">
      <c r="A31" s="41"/>
      <c r="B31" s="25" t="s">
        <v>85</v>
      </c>
      <c r="C31" s="26">
        <f>SUM(C11/C30)</f>
        <v>4.0109649122807021</v>
      </c>
      <c r="D31" s="26">
        <f>SUM(D11/D30)</f>
        <v>3.2443396226415095</v>
      </c>
      <c r="E31" s="26">
        <f>SUM(E11/E30)</f>
        <v>3.4366058906030852</v>
      </c>
      <c r="F31" s="26">
        <f>SUM(F11/F30)</f>
        <v>4.4696650717703355</v>
      </c>
      <c r="G31" s="26">
        <f>SUM(G11/G30)</f>
        <v>3.824736842105263</v>
      </c>
      <c r="H31" s="26">
        <f>SUM(H11/H30)</f>
        <v>3.6622695035460993</v>
      </c>
      <c r="I31" s="26">
        <f>SUM(I11/I30)</f>
        <v>2.6045709703287891</v>
      </c>
      <c r="J31" s="26">
        <f>SUM(J11/J30)</f>
        <v>3.7076078431372546</v>
      </c>
      <c r="K31" s="26">
        <f>SUM(K11/K30)</f>
        <v>3.7053491827637441</v>
      </c>
      <c r="L31" s="26">
        <f>SUM(L11/L30)</f>
        <v>3.9908111988513997</v>
      </c>
      <c r="M31" s="26">
        <f>SUM(M11/M30)</f>
        <v>3.8859207708779446</v>
      </c>
      <c r="N31" s="26">
        <f>SUM(N11/N30)</f>
        <v>4.1005002501250623</v>
      </c>
      <c r="O31" s="26">
        <f>SUM(O11/O30)</f>
        <v>3.9106629834254143</v>
      </c>
      <c r="P31" s="26">
        <f>SUM(P11/P30)</f>
        <v>3.7321233217304823</v>
      </c>
      <c r="Q31" s="26">
        <f>SUM(Q11/Q30)</f>
        <v>4.0105928853754937</v>
      </c>
      <c r="R31" s="26">
        <f>SUM(R11/R30)</f>
        <v>3.9925475285171101</v>
      </c>
      <c r="S31" s="26" t="e">
        <f>SUM(S11/S30)</f>
        <v>#DIV/0!</v>
      </c>
      <c r="T31" s="26" t="e">
        <f>SUM(T11/T30)</f>
        <v>#DIV/0!</v>
      </c>
      <c r="U31" s="26" t="e">
        <f>SUM(U11/U30)</f>
        <v>#DIV/0!</v>
      </c>
      <c r="V31" s="28">
        <f>SUM(V11/V30)</f>
        <v>3.7111304939794914</v>
      </c>
      <c r="W31" s="28" t="e">
        <f>AVERAGE(C31:U31)</f>
        <v>#DIV/0!</v>
      </c>
      <c r="X31" s="25">
        <f>V31/V13</f>
        <v>1.9168382268560467E-7</v>
      </c>
    </row>
    <row r="32" spans="1:24" ht="12.75" customHeight="1" x14ac:dyDescent="0.15">
      <c r="A32" s="41"/>
      <c r="B32" s="11" t="s">
        <v>86</v>
      </c>
      <c r="C32" s="14">
        <v>52622</v>
      </c>
      <c r="D32" s="14">
        <v>122324</v>
      </c>
      <c r="E32" s="14">
        <v>164560</v>
      </c>
      <c r="F32" s="14">
        <v>120593</v>
      </c>
      <c r="G32" s="14">
        <v>153482</v>
      </c>
      <c r="H32" s="14">
        <v>162714</v>
      </c>
      <c r="I32" s="14">
        <v>287808</v>
      </c>
      <c r="J32" s="14">
        <v>147135</v>
      </c>
      <c r="K32" s="14">
        <v>155328</v>
      </c>
      <c r="L32" s="14">
        <v>160752</v>
      </c>
      <c r="M32" s="14">
        <v>215567</v>
      </c>
      <c r="N32" s="14">
        <v>230685</v>
      </c>
      <c r="O32" s="14">
        <v>208874</v>
      </c>
      <c r="P32" s="14">
        <v>232069</v>
      </c>
      <c r="Q32" s="14">
        <v>145981</v>
      </c>
      <c r="R32" s="14">
        <v>151751</v>
      </c>
      <c r="S32" s="14">
        <v>0</v>
      </c>
      <c r="T32" s="14">
        <v>0</v>
      </c>
      <c r="U32" s="14">
        <v>0</v>
      </c>
      <c r="V32" s="16">
        <f>SUM(C32:U32)</f>
        <v>2712245</v>
      </c>
      <c r="W32" s="16">
        <f>AVERAGE(C32:U32)</f>
        <v>142749.73684210525</v>
      </c>
      <c r="X32" s="13">
        <f>V32/V13</f>
        <v>0.14009032840621824</v>
      </c>
    </row>
    <row r="33" spans="1:24" ht="12.75" customHeight="1" x14ac:dyDescent="0.15">
      <c r="A33" s="41"/>
      <c r="B33" s="11" t="s">
        <v>87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6">
        <f>SUM(C33:U33)</f>
        <v>0</v>
      </c>
      <c r="W33" s="16">
        <f>AVERAGE(C33:U33)</f>
        <v>0</v>
      </c>
      <c r="X33" s="13">
        <f>V33/V13</f>
        <v>0</v>
      </c>
    </row>
    <row r="34" spans="1:24" ht="12.75" customHeight="1" x14ac:dyDescent="0.15">
      <c r="A34" s="41"/>
      <c r="B34" s="11" t="s">
        <v>88</v>
      </c>
      <c r="C34" s="14">
        <v>0</v>
      </c>
      <c r="D34" s="14">
        <v>0</v>
      </c>
      <c r="E34" s="14">
        <v>0</v>
      </c>
      <c r="F34" s="14">
        <v>0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6">
        <f>SUM(C34:U34)</f>
        <v>0</v>
      </c>
      <c r="W34" s="16">
        <f>AVERAGE(C34:U34)</f>
        <v>0</v>
      </c>
      <c r="X34" s="13">
        <f>V34/V13</f>
        <v>0</v>
      </c>
    </row>
    <row r="35" spans="1:24" ht="12.75" customHeight="1" x14ac:dyDescent="0.15">
      <c r="A35" s="41"/>
      <c r="B35" s="17" t="s">
        <v>89</v>
      </c>
      <c r="C35" s="18">
        <f t="shared" ref="C35:U35" si="5">SUM(C32:C34)</f>
        <v>52622</v>
      </c>
      <c r="D35" s="18">
        <f t="shared" si="5"/>
        <v>122324</v>
      </c>
      <c r="E35" s="18">
        <f t="shared" si="5"/>
        <v>164560</v>
      </c>
      <c r="F35" s="18">
        <f t="shared" si="5"/>
        <v>120593</v>
      </c>
      <c r="G35" s="18">
        <f t="shared" si="5"/>
        <v>153482</v>
      </c>
      <c r="H35" s="18">
        <f t="shared" si="5"/>
        <v>162714</v>
      </c>
      <c r="I35" s="18">
        <f t="shared" si="5"/>
        <v>287808</v>
      </c>
      <c r="J35" s="18">
        <f t="shared" si="5"/>
        <v>147135</v>
      </c>
      <c r="K35" s="18">
        <f t="shared" si="5"/>
        <v>155328</v>
      </c>
      <c r="L35" s="18">
        <f t="shared" si="5"/>
        <v>160752</v>
      </c>
      <c r="M35" s="18">
        <f t="shared" si="5"/>
        <v>215567</v>
      </c>
      <c r="N35" s="18">
        <f t="shared" si="5"/>
        <v>230685</v>
      </c>
      <c r="O35" s="18">
        <f t="shared" si="5"/>
        <v>208874</v>
      </c>
      <c r="P35" s="18">
        <f t="shared" si="5"/>
        <v>232069</v>
      </c>
      <c r="Q35" s="18">
        <f t="shared" si="5"/>
        <v>145981</v>
      </c>
      <c r="R35" s="18">
        <f t="shared" si="5"/>
        <v>151751</v>
      </c>
      <c r="S35" s="18">
        <f t="shared" si="5"/>
        <v>0</v>
      </c>
      <c r="T35" s="18">
        <f t="shared" si="5"/>
        <v>0</v>
      </c>
      <c r="U35" s="18">
        <f t="shared" si="5"/>
        <v>0</v>
      </c>
      <c r="V35" s="20">
        <f>SUM(C35:U35)</f>
        <v>2712245</v>
      </c>
      <c r="W35" s="20">
        <f>AVERAGE(C35:U35)</f>
        <v>142749.73684210525</v>
      </c>
      <c r="X35" s="21">
        <f>V35/V13</f>
        <v>0.14009032840621824</v>
      </c>
    </row>
    <row r="36" spans="1:24" ht="12.75" customHeight="1" x14ac:dyDescent="0.15">
      <c r="A36" s="41" t="s">
        <v>90</v>
      </c>
      <c r="B36" s="11" t="s">
        <v>91</v>
      </c>
      <c r="C36" s="14">
        <v>2008</v>
      </c>
      <c r="D36" s="14">
        <v>2008</v>
      </c>
      <c r="E36" s="14">
        <v>2008</v>
      </c>
      <c r="F36" s="14">
        <v>2012</v>
      </c>
      <c r="G36" s="14">
        <v>2008</v>
      </c>
      <c r="H36" s="14">
        <v>2008</v>
      </c>
      <c r="I36" s="14">
        <v>2451</v>
      </c>
      <c r="J36" s="14">
        <v>2008</v>
      </c>
      <c r="K36" s="14">
        <v>2008</v>
      </c>
      <c r="L36" s="14">
        <v>2008</v>
      </c>
      <c r="M36" s="14">
        <v>2008</v>
      </c>
      <c r="N36" s="14">
        <v>2008</v>
      </c>
      <c r="O36" s="14">
        <v>2008</v>
      </c>
      <c r="P36" s="14">
        <v>2008</v>
      </c>
      <c r="Q36" s="14">
        <v>2008</v>
      </c>
      <c r="R36" s="14">
        <v>2008</v>
      </c>
      <c r="S36" s="14">
        <v>0</v>
      </c>
      <c r="T36" s="14">
        <v>0</v>
      </c>
      <c r="U36" s="14">
        <v>0</v>
      </c>
      <c r="V36" s="16">
        <f>SUM(C36:U36)</f>
        <v>32575</v>
      </c>
      <c r="W36" s="16">
        <f>AVERAGE(C36:U36)</f>
        <v>1714.4736842105262</v>
      </c>
      <c r="X36" s="13">
        <f>V36/V13</f>
        <v>1.6825332696096993E-3</v>
      </c>
    </row>
    <row r="37" spans="1:24" ht="12.75" customHeight="1" x14ac:dyDescent="0.15">
      <c r="A37" s="41"/>
      <c r="B37" s="11" t="s">
        <v>92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6">
        <f>SUM(C37:U37)</f>
        <v>0</v>
      </c>
      <c r="W37" s="16">
        <f>AVERAGE(C37:U37)</f>
        <v>0</v>
      </c>
      <c r="X37" s="13">
        <f>V37/V13</f>
        <v>0</v>
      </c>
    </row>
    <row r="38" spans="1:24" ht="12.75" customHeight="1" x14ac:dyDescent="0.15">
      <c r="A38" s="41"/>
      <c r="B38" s="11" t="s">
        <v>93</v>
      </c>
      <c r="C38" s="14">
        <v>0</v>
      </c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4">
        <v>0</v>
      </c>
      <c r="S38" s="14">
        <v>0</v>
      </c>
      <c r="T38" s="14">
        <v>0</v>
      </c>
      <c r="U38" s="14">
        <v>0</v>
      </c>
      <c r="V38" s="16">
        <f>SUM(C38:U38)</f>
        <v>0</v>
      </c>
      <c r="W38" s="16">
        <f>AVERAGE(C38:U38)</f>
        <v>0</v>
      </c>
      <c r="X38" s="13">
        <f>V38/V13</f>
        <v>0</v>
      </c>
    </row>
    <row r="39" spans="1:24" ht="12.75" customHeight="1" x14ac:dyDescent="0.15">
      <c r="A39" s="41"/>
      <c r="B39" s="11" t="s">
        <v>94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>
        <v>0</v>
      </c>
      <c r="U39" s="14">
        <v>0</v>
      </c>
      <c r="V39" s="16">
        <f>SUM(C39:U39)</f>
        <v>0</v>
      </c>
      <c r="W39" s="16">
        <f>AVERAGE(C39:U39)</f>
        <v>0</v>
      </c>
      <c r="X39" s="13">
        <f>V39/V13</f>
        <v>0</v>
      </c>
    </row>
    <row r="40" spans="1:24" ht="12.75" customHeight="1" x14ac:dyDescent="0.15">
      <c r="A40" s="41"/>
      <c r="B40" s="11" t="s">
        <v>95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>
        <v>0</v>
      </c>
      <c r="U40" s="14">
        <v>0</v>
      </c>
      <c r="V40" s="16">
        <f>SUM(C40:U40)</f>
        <v>0</v>
      </c>
      <c r="W40" s="16">
        <f>AVERAGE(C40:U40)</f>
        <v>0</v>
      </c>
      <c r="X40" s="13">
        <f>V40/V13</f>
        <v>0</v>
      </c>
    </row>
    <row r="41" spans="1:24" ht="12.75" customHeight="1" x14ac:dyDescent="0.15">
      <c r="A41" s="41"/>
      <c r="B41" s="11" t="s">
        <v>96</v>
      </c>
      <c r="C41" s="14">
        <v>5140</v>
      </c>
      <c r="D41" s="14">
        <v>5140</v>
      </c>
      <c r="E41" s="14">
        <v>5140</v>
      </c>
      <c r="F41" s="14">
        <v>5140</v>
      </c>
      <c r="G41" s="14">
        <v>5140</v>
      </c>
      <c r="H41" s="14">
        <v>5140</v>
      </c>
      <c r="I41" s="14">
        <v>10241</v>
      </c>
      <c r="J41" s="14">
        <v>5140</v>
      </c>
      <c r="K41" s="14">
        <v>5140</v>
      </c>
      <c r="L41" s="14">
        <v>7734</v>
      </c>
      <c r="M41" s="14">
        <v>5140</v>
      </c>
      <c r="N41" s="14">
        <v>8770</v>
      </c>
      <c r="O41" s="14">
        <v>5140</v>
      </c>
      <c r="P41" s="14">
        <v>7598</v>
      </c>
      <c r="Q41" s="14">
        <v>6828</v>
      </c>
      <c r="R41" s="14">
        <v>4430</v>
      </c>
      <c r="S41" s="14">
        <v>0</v>
      </c>
      <c r="T41" s="14">
        <v>0</v>
      </c>
      <c r="U41" s="14">
        <v>0</v>
      </c>
      <c r="V41" s="16">
        <f>SUM(C41:U41)</f>
        <v>97001</v>
      </c>
      <c r="W41" s="16">
        <f>AVERAGE(C41:U41)</f>
        <v>5105.3157894736842</v>
      </c>
      <c r="X41" s="13">
        <f>V41/V13</f>
        <v>5.010204441608916E-3</v>
      </c>
    </row>
    <row r="42" spans="1:24" ht="12.75" customHeight="1" x14ac:dyDescent="0.15">
      <c r="A42" s="41"/>
      <c r="B42" s="17" t="s">
        <v>97</v>
      </c>
      <c r="C42" s="18">
        <f t="shared" ref="C42:U42" si="6">SUM(C36:C41)</f>
        <v>7148</v>
      </c>
      <c r="D42" s="18">
        <f t="shared" si="6"/>
        <v>7148</v>
      </c>
      <c r="E42" s="18">
        <f t="shared" si="6"/>
        <v>7148</v>
      </c>
      <c r="F42" s="18">
        <f t="shared" si="6"/>
        <v>7152</v>
      </c>
      <c r="G42" s="18">
        <f t="shared" si="6"/>
        <v>7148</v>
      </c>
      <c r="H42" s="18">
        <f t="shared" si="6"/>
        <v>7148</v>
      </c>
      <c r="I42" s="18">
        <f t="shared" si="6"/>
        <v>12692</v>
      </c>
      <c r="J42" s="18">
        <f t="shared" si="6"/>
        <v>7148</v>
      </c>
      <c r="K42" s="18">
        <f t="shared" si="6"/>
        <v>7148</v>
      </c>
      <c r="L42" s="18">
        <f t="shared" si="6"/>
        <v>9742</v>
      </c>
      <c r="M42" s="18">
        <f t="shared" si="6"/>
        <v>7148</v>
      </c>
      <c r="N42" s="18">
        <f t="shared" si="6"/>
        <v>10778</v>
      </c>
      <c r="O42" s="18">
        <f t="shared" si="6"/>
        <v>7148</v>
      </c>
      <c r="P42" s="18">
        <f t="shared" si="6"/>
        <v>9606</v>
      </c>
      <c r="Q42" s="18">
        <f t="shared" si="6"/>
        <v>8836</v>
      </c>
      <c r="R42" s="18">
        <f t="shared" si="6"/>
        <v>6438</v>
      </c>
      <c r="S42" s="18">
        <f t="shared" si="6"/>
        <v>0</v>
      </c>
      <c r="T42" s="18">
        <f t="shared" si="6"/>
        <v>0</v>
      </c>
      <c r="U42" s="18">
        <f t="shared" si="6"/>
        <v>0</v>
      </c>
      <c r="V42" s="20">
        <f>SUM(C42:U42)</f>
        <v>129576</v>
      </c>
      <c r="W42" s="20">
        <f>AVERAGE(C42:U42)</f>
        <v>6819.7894736842109</v>
      </c>
      <c r="X42" s="21">
        <f>V42/V13</f>
        <v>6.6927377112186151E-3</v>
      </c>
    </row>
    <row r="43" spans="1:24" ht="12.75" customHeight="1" x14ac:dyDescent="0.15">
      <c r="A43" s="41" t="s">
        <v>98</v>
      </c>
      <c r="B43" s="11" t="s">
        <v>99</v>
      </c>
      <c r="C43" s="14">
        <v>33180</v>
      </c>
      <c r="D43" s="14">
        <v>3020</v>
      </c>
      <c r="E43" s="14">
        <v>64590</v>
      </c>
      <c r="F43" s="14">
        <v>55390</v>
      </c>
      <c r="G43" s="14">
        <v>61580</v>
      </c>
      <c r="H43" s="14">
        <v>75000</v>
      </c>
      <c r="I43" s="14">
        <v>234330</v>
      </c>
      <c r="J43" s="14">
        <v>54280</v>
      </c>
      <c r="K43" s="14">
        <v>71180</v>
      </c>
      <c r="L43" s="14">
        <v>89010</v>
      </c>
      <c r="M43" s="14">
        <v>133070</v>
      </c>
      <c r="N43" s="14">
        <v>177510</v>
      </c>
      <c r="O43" s="14">
        <v>79320</v>
      </c>
      <c r="P43" s="14">
        <v>179110</v>
      </c>
      <c r="Q43" s="14">
        <v>124730</v>
      </c>
      <c r="R43" s="14">
        <v>104480</v>
      </c>
      <c r="S43" s="14">
        <v>0</v>
      </c>
      <c r="T43" s="14">
        <v>0</v>
      </c>
      <c r="U43" s="14">
        <v>0</v>
      </c>
      <c r="V43" s="16">
        <f>SUM(C43:U43)</f>
        <v>1539780</v>
      </c>
      <c r="W43" s="16">
        <f>AVERAGE(C43:U43)</f>
        <v>81041.052631578947</v>
      </c>
      <c r="X43" s="13">
        <f>V43/V13</f>
        <v>7.9531268699297705E-2</v>
      </c>
    </row>
    <row r="44" spans="1:24" ht="12.75" customHeight="1" x14ac:dyDescent="0.15">
      <c r="A44" s="41"/>
      <c r="B44" s="11" t="s">
        <v>100</v>
      </c>
      <c r="C44" s="14">
        <v>-33180</v>
      </c>
      <c r="D44" s="14">
        <v>0</v>
      </c>
      <c r="E44" s="14">
        <v>-29927</v>
      </c>
      <c r="F44" s="14">
        <v>-25123</v>
      </c>
      <c r="G44" s="14">
        <v>-34280</v>
      </c>
      <c r="H44" s="14">
        <v>-34615</v>
      </c>
      <c r="I44" s="14">
        <v>-96712</v>
      </c>
      <c r="J44" s="14">
        <v>-20992</v>
      </c>
      <c r="K44" s="14">
        <v>-27839</v>
      </c>
      <c r="L44" s="14">
        <v>-36067</v>
      </c>
      <c r="M44" s="14">
        <v>-52690</v>
      </c>
      <c r="N44" s="14">
        <v>-67653</v>
      </c>
      <c r="O44" s="14">
        <v>-40109</v>
      </c>
      <c r="P44" s="14">
        <v>-60099</v>
      </c>
      <c r="Q44" s="14">
        <v>-102090</v>
      </c>
      <c r="R44" s="14">
        <v>-102090</v>
      </c>
      <c r="S44" s="14">
        <v>0</v>
      </c>
      <c r="T44" s="14">
        <v>0</v>
      </c>
      <c r="U44" s="14">
        <v>0</v>
      </c>
      <c r="V44" s="16">
        <f>SUM(C44:U44)</f>
        <v>-763466</v>
      </c>
      <c r="W44" s="16">
        <f>AVERAGE(C44:U44)</f>
        <v>-40182.42105263158</v>
      </c>
      <c r="X44" s="13">
        <f>V44/V13</f>
        <v>-3.9433827942159286E-2</v>
      </c>
    </row>
    <row r="45" spans="1:24" ht="12.75" customHeight="1" x14ac:dyDescent="0.15">
      <c r="A45" s="41"/>
      <c r="B45" s="11" t="s">
        <v>101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  <c r="U45" s="14">
        <v>0</v>
      </c>
      <c r="V45" s="16">
        <f>SUM(C45:U45)</f>
        <v>0</v>
      </c>
      <c r="W45" s="16">
        <f>AVERAGE(C45:U45)</f>
        <v>0</v>
      </c>
      <c r="X45" s="13">
        <f>V45/V13</f>
        <v>0</v>
      </c>
    </row>
    <row r="46" spans="1:24" ht="12.75" customHeight="1" x14ac:dyDescent="0.15">
      <c r="A46" s="41"/>
      <c r="B46" s="11" t="s">
        <v>102</v>
      </c>
      <c r="C46" s="14">
        <v>-10617.6</v>
      </c>
      <c r="D46" s="14">
        <v>-966.4</v>
      </c>
      <c r="E46" s="14">
        <v>-20668.8</v>
      </c>
      <c r="F46" s="14">
        <v>-17724.8</v>
      </c>
      <c r="G46" s="14">
        <v>-19705.599999999999</v>
      </c>
      <c r="H46" s="14">
        <v>-24000</v>
      </c>
      <c r="I46" s="14">
        <v>-74985.600000000006</v>
      </c>
      <c r="J46" s="14">
        <v>-17369.599999999999</v>
      </c>
      <c r="K46" s="14">
        <v>-22777.599999999999</v>
      </c>
      <c r="L46" s="14">
        <v>-28483.200000000001</v>
      </c>
      <c r="M46" s="14">
        <v>-42582.400000000001</v>
      </c>
      <c r="N46" s="14">
        <v>-56803.199999999997</v>
      </c>
      <c r="O46" s="14">
        <v>-25382.400000000001</v>
      </c>
      <c r="P46" s="14">
        <v>-57315.199999999997</v>
      </c>
      <c r="Q46" s="14">
        <v>-39913.599999999999</v>
      </c>
      <c r="R46" s="14">
        <v>-33433.599999999999</v>
      </c>
      <c r="S46" s="14">
        <v>0</v>
      </c>
      <c r="T46" s="14">
        <v>0</v>
      </c>
      <c r="U46" s="14">
        <v>0</v>
      </c>
      <c r="V46" s="16">
        <f>SUM(C46:U46)</f>
        <v>-492729.60000000003</v>
      </c>
      <c r="W46" s="16">
        <f>AVERAGE(B46:U46)</f>
        <v>-25933.136842105265</v>
      </c>
      <c r="X46" s="13">
        <f>V46/V13</f>
        <v>-2.5450005983775267E-2</v>
      </c>
    </row>
    <row r="47" spans="1:24" ht="12.75" customHeight="1" x14ac:dyDescent="0.15">
      <c r="A47" s="41"/>
      <c r="B47" s="17" t="s">
        <v>103</v>
      </c>
      <c r="C47" s="18">
        <f t="shared" ref="C47:V47" si="7">SUM(C43:C46)</f>
        <v>-10617.6</v>
      </c>
      <c r="D47" s="18">
        <f t="shared" si="7"/>
        <v>2053.6</v>
      </c>
      <c r="E47" s="18">
        <f t="shared" si="7"/>
        <v>13994.2</v>
      </c>
      <c r="F47" s="18">
        <f t="shared" si="7"/>
        <v>12542.2</v>
      </c>
      <c r="G47" s="18">
        <f t="shared" si="7"/>
        <v>7594.4000000000015</v>
      </c>
      <c r="H47" s="18">
        <f t="shared" si="7"/>
        <v>16385</v>
      </c>
      <c r="I47" s="18">
        <f t="shared" si="7"/>
        <v>62632.399999999994</v>
      </c>
      <c r="J47" s="18">
        <f t="shared" si="7"/>
        <v>15918.400000000001</v>
      </c>
      <c r="K47" s="18">
        <f t="shared" si="7"/>
        <v>20563.400000000001</v>
      </c>
      <c r="L47" s="18">
        <f t="shared" si="7"/>
        <v>24459.8</v>
      </c>
      <c r="M47" s="18">
        <f t="shared" si="7"/>
        <v>37797.599999999999</v>
      </c>
      <c r="N47" s="18">
        <f t="shared" si="7"/>
        <v>53053.8</v>
      </c>
      <c r="O47" s="18">
        <f t="shared" si="7"/>
        <v>13828.599999999999</v>
      </c>
      <c r="P47" s="18">
        <f t="shared" si="7"/>
        <v>61695.8</v>
      </c>
      <c r="Q47" s="18">
        <f t="shared" si="7"/>
        <v>-17273.599999999999</v>
      </c>
      <c r="R47" s="18">
        <f t="shared" si="7"/>
        <v>-31043.599999999999</v>
      </c>
      <c r="S47" s="18">
        <f t="shared" si="7"/>
        <v>0</v>
      </c>
      <c r="T47" s="18">
        <f t="shared" si="7"/>
        <v>0</v>
      </c>
      <c r="U47" s="18">
        <f t="shared" si="7"/>
        <v>0</v>
      </c>
      <c r="V47" s="20">
        <f t="shared" si="7"/>
        <v>283584.39999999997</v>
      </c>
      <c r="W47" s="20">
        <f>AVERAGE(B47:U47)</f>
        <v>14925.494736842107</v>
      </c>
      <c r="X47" s="21">
        <f>V47/V13</f>
        <v>1.4647434773363154E-2</v>
      </c>
    </row>
    <row r="48" spans="1:24" ht="12.75" customHeight="1" x14ac:dyDescent="0.15">
      <c r="A48" s="41" t="s">
        <v>104</v>
      </c>
      <c r="B48" s="11" t="s">
        <v>105</v>
      </c>
      <c r="C48" s="14">
        <v>76338</v>
      </c>
      <c r="D48" s="14">
        <v>496200</v>
      </c>
      <c r="E48" s="14">
        <v>534370</v>
      </c>
      <c r="F48" s="14">
        <v>318077</v>
      </c>
      <c r="G48" s="14">
        <v>330800</v>
      </c>
      <c r="H48" s="14">
        <v>330800</v>
      </c>
      <c r="I48" s="14">
        <v>343523</v>
      </c>
      <c r="J48" s="14">
        <v>623431</v>
      </c>
      <c r="K48" s="14">
        <v>318077</v>
      </c>
      <c r="L48" s="14">
        <v>356246</v>
      </c>
      <c r="M48" s="14">
        <v>343523</v>
      </c>
      <c r="N48" s="14">
        <v>318077</v>
      </c>
      <c r="O48" s="14">
        <v>394415</v>
      </c>
      <c r="P48" s="14">
        <v>305353</v>
      </c>
      <c r="Q48" s="14">
        <v>190846</v>
      </c>
      <c r="R48" s="14">
        <v>178124</v>
      </c>
      <c r="S48" s="14">
        <v>0</v>
      </c>
      <c r="T48" s="14">
        <v>0</v>
      </c>
      <c r="U48" s="14">
        <v>0</v>
      </c>
      <c r="V48" s="16">
        <f>SUM(C48:U48)</f>
        <v>5458200</v>
      </c>
      <c r="W48" s="16">
        <f>AVERAGE(C48:U48)</f>
        <v>287273.68421052629</v>
      </c>
      <c r="X48" s="13">
        <f>V48/V13</f>
        <v>0.28192181403480154</v>
      </c>
    </row>
    <row r="49" spans="1:24" ht="12.75" customHeight="1" x14ac:dyDescent="0.15">
      <c r="A49" s="41"/>
      <c r="B49" s="11" t="s">
        <v>106</v>
      </c>
      <c r="C49" s="14">
        <v>4805</v>
      </c>
      <c r="D49" s="14">
        <v>31231</v>
      </c>
      <c r="E49" s="14">
        <v>33634</v>
      </c>
      <c r="F49" s="14">
        <v>20020</v>
      </c>
      <c r="G49" s="14">
        <v>20821</v>
      </c>
      <c r="H49" s="14">
        <v>20821</v>
      </c>
      <c r="I49" s="14">
        <v>21622</v>
      </c>
      <c r="J49" s="14">
        <v>39240</v>
      </c>
      <c r="K49" s="14">
        <v>20020</v>
      </c>
      <c r="L49" s="14">
        <v>22423</v>
      </c>
      <c r="M49" s="14">
        <v>21622</v>
      </c>
      <c r="N49" s="14">
        <v>20021</v>
      </c>
      <c r="O49" s="14">
        <v>24825</v>
      </c>
      <c r="P49" s="14">
        <v>19220</v>
      </c>
      <c r="Q49" s="14">
        <v>12012</v>
      </c>
      <c r="R49" s="14">
        <v>11212</v>
      </c>
      <c r="S49" s="14">
        <v>0</v>
      </c>
      <c r="T49" s="14">
        <v>0</v>
      </c>
      <c r="U49" s="14">
        <v>0</v>
      </c>
      <c r="V49" s="16">
        <f>SUM(C49:U49)</f>
        <v>343549</v>
      </c>
      <c r="W49" s="16">
        <f>AVERAGE(C49:U49)</f>
        <v>18081.526315789473</v>
      </c>
      <c r="X49" s="13">
        <f>V49/V13</f>
        <v>1.7744669907632925E-2</v>
      </c>
    </row>
    <row r="50" spans="1:24" ht="12.75" customHeight="1" x14ac:dyDescent="0.15">
      <c r="A50" s="41"/>
      <c r="B50" s="11" t="s">
        <v>107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4">
        <v>0</v>
      </c>
      <c r="R50" s="14">
        <v>0</v>
      </c>
      <c r="S50" s="14">
        <v>0</v>
      </c>
      <c r="T50" s="14">
        <v>0</v>
      </c>
      <c r="U50" s="14">
        <v>0</v>
      </c>
      <c r="V50" s="16">
        <f>SUM(C50:U50)</f>
        <v>0</v>
      </c>
      <c r="W50" s="16">
        <f>AVERAGE(C50:U50)</f>
        <v>0</v>
      </c>
      <c r="X50" s="13">
        <f>V50/V13</f>
        <v>0</v>
      </c>
    </row>
    <row r="51" spans="1:24" ht="12.75" customHeight="1" x14ac:dyDescent="0.15">
      <c r="A51" s="41"/>
      <c r="B51" s="11" t="s">
        <v>108</v>
      </c>
      <c r="C51" s="14">
        <v>13920</v>
      </c>
      <c r="D51" s="14">
        <v>90479</v>
      </c>
      <c r="E51" s="14">
        <v>97439</v>
      </c>
      <c r="F51" s="14">
        <v>57999</v>
      </c>
      <c r="G51" s="14">
        <v>60319</v>
      </c>
      <c r="H51" s="14">
        <v>60319</v>
      </c>
      <c r="I51" s="14">
        <v>62639</v>
      </c>
      <c r="J51" s="14">
        <v>113678</v>
      </c>
      <c r="K51" s="14">
        <v>57999</v>
      </c>
      <c r="L51" s="14">
        <v>64959</v>
      </c>
      <c r="M51" s="14">
        <v>62639</v>
      </c>
      <c r="N51" s="14">
        <v>58000</v>
      </c>
      <c r="O51" s="14">
        <v>71919</v>
      </c>
      <c r="P51" s="14">
        <v>55680</v>
      </c>
      <c r="Q51" s="14">
        <v>34800</v>
      </c>
      <c r="R51" s="14">
        <v>32479</v>
      </c>
      <c r="S51" s="14">
        <v>0</v>
      </c>
      <c r="T51" s="14">
        <v>0</v>
      </c>
      <c r="U51" s="14">
        <v>0</v>
      </c>
      <c r="V51" s="16">
        <f>SUM(C51:U51)</f>
        <v>995267</v>
      </c>
      <c r="W51" s="16">
        <f>AVERAGE(C51:U51)</f>
        <v>52382.473684210527</v>
      </c>
      <c r="X51" s="13">
        <f>V51/V13</f>
        <v>5.1406595230840721E-2</v>
      </c>
    </row>
    <row r="52" spans="1:24" ht="12.75" customHeight="1" x14ac:dyDescent="0.15">
      <c r="A52" s="41"/>
      <c r="B52" s="11" t="s">
        <v>109</v>
      </c>
      <c r="C52" s="14">
        <v>842</v>
      </c>
      <c r="D52" s="14">
        <v>5474</v>
      </c>
      <c r="E52" s="14">
        <v>5895</v>
      </c>
      <c r="F52" s="14">
        <v>3508</v>
      </c>
      <c r="G52" s="14">
        <v>3649</v>
      </c>
      <c r="H52" s="14">
        <v>3649</v>
      </c>
      <c r="I52" s="14">
        <v>3789</v>
      </c>
      <c r="J52" s="14">
        <v>6877</v>
      </c>
      <c r="K52" s="14">
        <v>3508</v>
      </c>
      <c r="L52" s="14">
        <v>3929</v>
      </c>
      <c r="M52" s="14">
        <v>3788</v>
      </c>
      <c r="N52" s="14">
        <v>3509</v>
      </c>
      <c r="O52" s="14">
        <v>4350</v>
      </c>
      <c r="P52" s="14">
        <v>3368</v>
      </c>
      <c r="Q52" s="14">
        <v>2105</v>
      </c>
      <c r="R52" s="14">
        <v>1965</v>
      </c>
      <c r="S52" s="14">
        <v>0</v>
      </c>
      <c r="T52" s="14">
        <v>0</v>
      </c>
      <c r="U52" s="14">
        <v>0</v>
      </c>
      <c r="V52" s="16">
        <f>SUM(C52:U52)</f>
        <v>60205</v>
      </c>
      <c r="W52" s="16">
        <f>AVERAGE(C52:U52)</f>
        <v>3168.6842105263158</v>
      </c>
      <c r="X52" s="13">
        <f>V52/V13</f>
        <v>3.109652049020781E-3</v>
      </c>
    </row>
    <row r="53" spans="1:24" ht="12.75" customHeight="1" x14ac:dyDescent="0.15">
      <c r="A53" s="41"/>
      <c r="B53" s="17" t="s">
        <v>110</v>
      </c>
      <c r="C53" s="18">
        <f t="shared" ref="C53:U53" si="8">SUM(C48:C52)</f>
        <v>95905</v>
      </c>
      <c r="D53" s="18">
        <f t="shared" si="8"/>
        <v>623384</v>
      </c>
      <c r="E53" s="18">
        <f t="shared" si="8"/>
        <v>671338</v>
      </c>
      <c r="F53" s="18">
        <f t="shared" si="8"/>
        <v>399604</v>
      </c>
      <c r="G53" s="18">
        <f t="shared" si="8"/>
        <v>415589</v>
      </c>
      <c r="H53" s="18">
        <f t="shared" si="8"/>
        <v>415589</v>
      </c>
      <c r="I53" s="18">
        <f t="shared" si="8"/>
        <v>431573</v>
      </c>
      <c r="J53" s="18">
        <f t="shared" si="8"/>
        <v>783226</v>
      </c>
      <c r="K53" s="18">
        <f t="shared" si="8"/>
        <v>399604</v>
      </c>
      <c r="L53" s="18">
        <f t="shared" si="8"/>
        <v>447557</v>
      </c>
      <c r="M53" s="18">
        <f t="shared" si="8"/>
        <v>431572</v>
      </c>
      <c r="N53" s="18">
        <f t="shared" si="8"/>
        <v>399607</v>
      </c>
      <c r="O53" s="18">
        <f t="shared" si="8"/>
        <v>495509</v>
      </c>
      <c r="P53" s="18">
        <f t="shared" si="8"/>
        <v>383621</v>
      </c>
      <c r="Q53" s="18">
        <f t="shared" si="8"/>
        <v>239763</v>
      </c>
      <c r="R53" s="18">
        <f t="shared" si="8"/>
        <v>223780</v>
      </c>
      <c r="S53" s="18">
        <f t="shared" si="8"/>
        <v>0</v>
      </c>
      <c r="T53" s="18">
        <f t="shared" si="8"/>
        <v>0</v>
      </c>
      <c r="U53" s="18">
        <f t="shared" si="8"/>
        <v>0</v>
      </c>
      <c r="V53" s="20">
        <f>SUM(C53:U53)</f>
        <v>6857221</v>
      </c>
      <c r="W53" s="20">
        <f>AVERAGE(C53:U53)</f>
        <v>360906.36842105264</v>
      </c>
      <c r="X53" s="21">
        <f>V53/V13</f>
        <v>0.35418273122229599</v>
      </c>
    </row>
    <row r="54" spans="1:24" ht="12.75" customHeight="1" x14ac:dyDescent="0.15">
      <c r="A54" s="41" t="s">
        <v>111</v>
      </c>
      <c r="B54" s="11" t="s">
        <v>112</v>
      </c>
      <c r="C54" s="14">
        <v>6882.3529411764703</v>
      </c>
      <c r="D54" s="14">
        <v>6882.3529411764703</v>
      </c>
      <c r="E54" s="14">
        <v>6882.3529411764703</v>
      </c>
      <c r="F54" s="14">
        <v>6882.3529411764703</v>
      </c>
      <c r="G54" s="14">
        <v>6882.3529411764703</v>
      </c>
      <c r="H54" s="14">
        <v>6882.3529411764703</v>
      </c>
      <c r="I54" s="14">
        <v>6882.3529411764703</v>
      </c>
      <c r="J54" s="14">
        <v>6882.3529411764703</v>
      </c>
      <c r="K54" s="14">
        <v>6882.3529411764703</v>
      </c>
      <c r="L54" s="14">
        <v>6882.3529411764703</v>
      </c>
      <c r="M54" s="14">
        <v>6882.3529411764703</v>
      </c>
      <c r="N54" s="14">
        <v>6882.3529411764703</v>
      </c>
      <c r="O54" s="14">
        <v>6882.3529411764703</v>
      </c>
      <c r="P54" s="14">
        <v>6882.3529411764703</v>
      </c>
      <c r="Q54" s="14">
        <v>6882.3529411764703</v>
      </c>
      <c r="R54" s="14">
        <v>6882.3529411764703</v>
      </c>
      <c r="S54" s="14">
        <v>0</v>
      </c>
      <c r="T54" s="14">
        <v>0</v>
      </c>
      <c r="U54" s="14">
        <v>6882.3529411764703</v>
      </c>
      <c r="V54" s="16">
        <f>SUM(C54:U54)</f>
        <v>117000.00000000003</v>
      </c>
      <c r="W54" s="16">
        <f>AVERAGE(C54:U54)</f>
        <v>6157.8947368421068</v>
      </c>
      <c r="X54" s="13">
        <f>V54/V13</f>
        <v>6.0431739844768956E-3</v>
      </c>
    </row>
    <row r="55" spans="1:24" ht="12.75" customHeight="1" x14ac:dyDescent="0.15">
      <c r="A55" s="41"/>
      <c r="B55" s="11" t="s">
        <v>113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  <c r="K55" s="14">
        <v>0</v>
      </c>
      <c r="L55" s="14">
        <v>0</v>
      </c>
      <c r="M55" s="14">
        <v>0</v>
      </c>
      <c r="N55" s="14">
        <v>0</v>
      </c>
      <c r="O55" s="14">
        <v>0</v>
      </c>
      <c r="P55" s="14">
        <v>0</v>
      </c>
      <c r="Q55" s="14">
        <v>0</v>
      </c>
      <c r="R55" s="14">
        <v>0</v>
      </c>
      <c r="S55" s="14">
        <v>0</v>
      </c>
      <c r="T55" s="14">
        <v>0</v>
      </c>
      <c r="U55" s="14">
        <v>0</v>
      </c>
      <c r="V55" s="16">
        <f>SUM(C55:U55)</f>
        <v>0</v>
      </c>
      <c r="W55" s="16">
        <f>AVERAGE(C55:U55)</f>
        <v>0</v>
      </c>
      <c r="X55" s="13">
        <f>V55/V13</f>
        <v>0</v>
      </c>
    </row>
    <row r="56" spans="1:24" ht="12.75" customHeight="1" x14ac:dyDescent="0.15">
      <c r="A56" s="41"/>
      <c r="B56" s="11" t="s">
        <v>114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4">
        <v>0</v>
      </c>
      <c r="S56" s="14">
        <v>0</v>
      </c>
      <c r="T56" s="14">
        <v>0</v>
      </c>
      <c r="U56" s="14">
        <v>0</v>
      </c>
      <c r="V56" s="16">
        <f>SUM(C56:U56)</f>
        <v>0</v>
      </c>
      <c r="W56" s="16">
        <f>AVERAGE(C56:U56)</f>
        <v>0</v>
      </c>
      <c r="X56" s="13">
        <f>V56/V13</f>
        <v>0</v>
      </c>
    </row>
    <row r="57" spans="1:24" ht="12.75" customHeight="1" x14ac:dyDescent="0.15">
      <c r="A57" s="41"/>
      <c r="B57" s="11" t="s">
        <v>115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14">
        <v>0</v>
      </c>
      <c r="L57" s="14">
        <v>0</v>
      </c>
      <c r="M57" s="14">
        <v>0</v>
      </c>
      <c r="N57" s="14">
        <v>0</v>
      </c>
      <c r="O57" s="14">
        <v>0</v>
      </c>
      <c r="P57" s="14">
        <v>0</v>
      </c>
      <c r="Q57" s="14">
        <v>0</v>
      </c>
      <c r="R57" s="14">
        <v>0</v>
      </c>
      <c r="S57" s="14">
        <v>0</v>
      </c>
      <c r="T57" s="14">
        <v>0</v>
      </c>
      <c r="U57" s="14">
        <v>0</v>
      </c>
      <c r="V57" s="16">
        <f>SUM(C57:U57)</f>
        <v>0</v>
      </c>
      <c r="W57" s="16">
        <f>AVERAGE(C57:U57)</f>
        <v>0</v>
      </c>
      <c r="X57" s="13">
        <f>V57/V13</f>
        <v>0</v>
      </c>
    </row>
    <row r="58" spans="1:24" ht="12.75" customHeight="1" x14ac:dyDescent="0.15">
      <c r="A58" s="41"/>
      <c r="B58" s="11" t="s">
        <v>116</v>
      </c>
      <c r="C58" s="14">
        <v>93576.411764705888</v>
      </c>
      <c r="D58" s="14">
        <v>93576.411764705888</v>
      </c>
      <c r="E58" s="14">
        <v>93576.411764705888</v>
      </c>
      <c r="F58" s="14">
        <v>93576.411764705888</v>
      </c>
      <c r="G58" s="14">
        <v>93576.411764705888</v>
      </c>
      <c r="H58" s="14">
        <v>93576.411764705888</v>
      </c>
      <c r="I58" s="14">
        <v>93576.411764705888</v>
      </c>
      <c r="J58" s="14">
        <v>93576.411764705888</v>
      </c>
      <c r="K58" s="14">
        <v>93576.411764705888</v>
      </c>
      <c r="L58" s="14">
        <v>93576.411764705888</v>
      </c>
      <c r="M58" s="14">
        <v>93576.411764705888</v>
      </c>
      <c r="N58" s="14">
        <v>93576.411764705888</v>
      </c>
      <c r="O58" s="14">
        <v>93576.411764705888</v>
      </c>
      <c r="P58" s="14">
        <v>93576.411764705888</v>
      </c>
      <c r="Q58" s="14">
        <v>93576.411764705888</v>
      </c>
      <c r="R58" s="14">
        <v>93576.411764705888</v>
      </c>
      <c r="S58" s="14">
        <v>0</v>
      </c>
      <c r="T58" s="14">
        <v>0</v>
      </c>
      <c r="U58" s="14">
        <v>93576.411764705888</v>
      </c>
      <c r="V58" s="16">
        <f>SUM(C58:U58)</f>
        <v>1590798.9999999995</v>
      </c>
      <c r="W58" s="16">
        <f>AVERAGE(C58:U58)</f>
        <v>83726.263157894718</v>
      </c>
      <c r="X58" s="13">
        <f>V58/V13</f>
        <v>8.2166454113947476E-2</v>
      </c>
    </row>
    <row r="59" spans="1:24" ht="12.75" customHeight="1" x14ac:dyDescent="0.15">
      <c r="A59" s="41"/>
      <c r="B59" s="11" t="s">
        <v>117</v>
      </c>
      <c r="C59" s="14">
        <v>96852.647058823524</v>
      </c>
      <c r="D59" s="14">
        <v>96852.647058823524</v>
      </c>
      <c r="E59" s="14">
        <v>96852.647058823524</v>
      </c>
      <c r="F59" s="14">
        <v>96852.647058823524</v>
      </c>
      <c r="G59" s="14">
        <v>96852.647058823524</v>
      </c>
      <c r="H59" s="14">
        <v>96852.647058823524</v>
      </c>
      <c r="I59" s="14">
        <v>96852.647058823524</v>
      </c>
      <c r="J59" s="14">
        <v>96852.647058823524</v>
      </c>
      <c r="K59" s="14">
        <v>96852.647058823524</v>
      </c>
      <c r="L59" s="14">
        <v>96852.647058823524</v>
      </c>
      <c r="M59" s="14">
        <v>96852.647058823524</v>
      </c>
      <c r="N59" s="14">
        <v>96852.647058823524</v>
      </c>
      <c r="O59" s="14">
        <v>96852.647058823524</v>
      </c>
      <c r="P59" s="14">
        <v>96852.647058823524</v>
      </c>
      <c r="Q59" s="14">
        <v>96852.647058823524</v>
      </c>
      <c r="R59" s="14">
        <v>96852.647058823524</v>
      </c>
      <c r="S59" s="14">
        <v>0</v>
      </c>
      <c r="T59" s="14">
        <v>0</v>
      </c>
      <c r="U59" s="14">
        <v>96852.647058823524</v>
      </c>
      <c r="V59" s="16">
        <f>SUM(C59:U59)</f>
        <v>1646495.0000000002</v>
      </c>
      <c r="W59" s="16">
        <f>AVERAGE(C59:U59)</f>
        <v>86657.631578947374</v>
      </c>
      <c r="X59" s="13">
        <f>V59/V13</f>
        <v>8.5043211534797311E-2</v>
      </c>
    </row>
    <row r="60" spans="1:24" ht="12.75" customHeight="1" x14ac:dyDescent="0.15">
      <c r="A60" s="41"/>
      <c r="B60" s="17" t="s">
        <v>118</v>
      </c>
      <c r="C60" s="18">
        <f t="shared" ref="C60:U60" si="9">SUM(C54:C59)</f>
        <v>197311.4117647059</v>
      </c>
      <c r="D60" s="18">
        <f t="shared" si="9"/>
        <v>197311.4117647059</v>
      </c>
      <c r="E60" s="18">
        <f t="shared" si="9"/>
        <v>197311.4117647059</v>
      </c>
      <c r="F60" s="18">
        <f t="shared" si="9"/>
        <v>197311.4117647059</v>
      </c>
      <c r="G60" s="18">
        <f t="shared" si="9"/>
        <v>197311.4117647059</v>
      </c>
      <c r="H60" s="18">
        <f t="shared" si="9"/>
        <v>197311.4117647059</v>
      </c>
      <c r="I60" s="18">
        <f t="shared" si="9"/>
        <v>197311.4117647059</v>
      </c>
      <c r="J60" s="18">
        <f t="shared" si="9"/>
        <v>197311.4117647059</v>
      </c>
      <c r="K60" s="18">
        <f t="shared" si="9"/>
        <v>197311.4117647059</v>
      </c>
      <c r="L60" s="18">
        <f t="shared" si="9"/>
        <v>197311.4117647059</v>
      </c>
      <c r="M60" s="18">
        <f t="shared" si="9"/>
        <v>197311.4117647059</v>
      </c>
      <c r="N60" s="18">
        <f t="shared" si="9"/>
        <v>197311.4117647059</v>
      </c>
      <c r="O60" s="18">
        <f t="shared" si="9"/>
        <v>197311.4117647059</v>
      </c>
      <c r="P60" s="18">
        <f t="shared" si="9"/>
        <v>197311.4117647059</v>
      </c>
      <c r="Q60" s="18">
        <f t="shared" si="9"/>
        <v>197311.4117647059</v>
      </c>
      <c r="R60" s="18">
        <f t="shared" si="9"/>
        <v>197311.4117647059</v>
      </c>
      <c r="S60" s="18">
        <f t="shared" si="9"/>
        <v>0</v>
      </c>
      <c r="T60" s="18">
        <f t="shared" si="9"/>
        <v>0</v>
      </c>
      <c r="U60" s="18">
        <f t="shared" si="9"/>
        <v>197311.4117647059</v>
      </c>
      <c r="V60" s="20">
        <f>SUM(C60:U60)</f>
        <v>3354294.0000000014</v>
      </c>
      <c r="W60" s="20">
        <f>AVERAGE(C60:U60)</f>
        <v>176541.78947368427</v>
      </c>
      <c r="X60" s="21">
        <f>V60/V13</f>
        <v>0.17325283963322177</v>
      </c>
    </row>
    <row r="61" spans="1:24" ht="12.75" customHeight="1" x14ac:dyDescent="0.15">
      <c r="A61" s="38" t="s">
        <v>119</v>
      </c>
      <c r="B61" s="38"/>
      <c r="C61" s="14">
        <f t="shared" ref="C61:U61" si="10">SUM(C53+C23+C29+C35+C42+C47+C60)</f>
        <v>429573.66890756303</v>
      </c>
      <c r="D61" s="14">
        <f t="shared" si="10"/>
        <v>1010608.868907563</v>
      </c>
      <c r="E61" s="14">
        <f t="shared" si="10"/>
        <v>1169598.1831932771</v>
      </c>
      <c r="F61" s="14">
        <f t="shared" si="10"/>
        <v>998422.32605042018</v>
      </c>
      <c r="G61" s="14">
        <f t="shared" si="10"/>
        <v>1266129.8117647059</v>
      </c>
      <c r="H61" s="14">
        <f t="shared" si="10"/>
        <v>866801.98319327726</v>
      </c>
      <c r="I61" s="14">
        <f t="shared" si="10"/>
        <v>1150954.611764706</v>
      </c>
      <c r="J61" s="14">
        <f t="shared" si="10"/>
        <v>1335944.2403361346</v>
      </c>
      <c r="K61" s="14">
        <f t="shared" si="10"/>
        <v>836681.38319327729</v>
      </c>
      <c r="L61" s="14">
        <f t="shared" si="10"/>
        <v>898944.35462184879</v>
      </c>
      <c r="M61" s="14">
        <f t="shared" si="10"/>
        <v>986848.58319327736</v>
      </c>
      <c r="N61" s="14">
        <f t="shared" si="10"/>
        <v>1223015.7831932772</v>
      </c>
      <c r="O61" s="14">
        <f t="shared" si="10"/>
        <v>1075283.5831932775</v>
      </c>
      <c r="P61" s="14">
        <f t="shared" si="10"/>
        <v>1346042.7831932772</v>
      </c>
      <c r="Q61" s="14">
        <f t="shared" si="10"/>
        <v>687188.95462184877</v>
      </c>
      <c r="R61" s="14">
        <f t="shared" si="10"/>
        <v>617114.66890756309</v>
      </c>
      <c r="S61" s="14">
        <f t="shared" si="10"/>
        <v>0</v>
      </c>
      <c r="T61" s="14">
        <f t="shared" si="10"/>
        <v>0</v>
      </c>
      <c r="U61" s="14">
        <f t="shared" si="10"/>
        <v>204386.4117647059</v>
      </c>
      <c r="V61" s="16">
        <f>SUM(C61:U61)</f>
        <v>16103540.199999999</v>
      </c>
      <c r="W61" s="16">
        <f>AVERAGE(C61:U61)</f>
        <v>847554.74736842106</v>
      </c>
      <c r="X61" s="13">
        <f>V61/V13</f>
        <v>0.83176491619331483</v>
      </c>
    </row>
    <row r="62" spans="1:24" ht="12.75" customHeight="1" x14ac:dyDescent="0.15">
      <c r="A62" s="38" t="s">
        <v>120</v>
      </c>
      <c r="B62" s="38"/>
      <c r="C62" s="14">
        <f t="shared" ref="C62:U62" si="11">SUM(C13+C14-C61)</f>
        <v>-24546.668907563027</v>
      </c>
      <c r="D62" s="14">
        <f t="shared" si="11"/>
        <v>-108417.86890756304</v>
      </c>
      <c r="E62" s="14">
        <f t="shared" si="11"/>
        <v>35021.816806722898</v>
      </c>
      <c r="F62" s="14">
        <f t="shared" si="11"/>
        <v>206197.67394957982</v>
      </c>
      <c r="G62" s="14">
        <f t="shared" si="11"/>
        <v>-61509.811764705926</v>
      </c>
      <c r="H62" s="14">
        <f t="shared" si="11"/>
        <v>337818.01680672274</v>
      </c>
      <c r="I62" s="14">
        <f t="shared" si="11"/>
        <v>587895.38823529403</v>
      </c>
      <c r="J62" s="14">
        <f t="shared" si="11"/>
        <v>-126704.24033613456</v>
      </c>
      <c r="K62" s="14">
        <f t="shared" si="11"/>
        <v>373938.61680672271</v>
      </c>
      <c r="L62" s="14">
        <f t="shared" si="11"/>
        <v>367265.64537815121</v>
      </c>
      <c r="M62" s="14">
        <f t="shared" si="11"/>
        <v>404511.41680672264</v>
      </c>
      <c r="N62" s="14">
        <f t="shared" si="11"/>
        <v>117204.2168067228</v>
      </c>
      <c r="O62" s="14">
        <f t="shared" si="11"/>
        <v>286986.41680672253</v>
      </c>
      <c r="P62" s="14">
        <f t="shared" si="11"/>
        <v>-35142.783193277195</v>
      </c>
      <c r="Q62" s="14">
        <f t="shared" si="11"/>
        <v>533752.04537815123</v>
      </c>
      <c r="R62" s="14">
        <f t="shared" si="11"/>
        <v>515996.33109243691</v>
      </c>
      <c r="S62" s="14">
        <f t="shared" si="11"/>
        <v>11000</v>
      </c>
      <c r="T62" s="14">
        <f t="shared" si="11"/>
        <v>627047</v>
      </c>
      <c r="U62" s="14">
        <f t="shared" si="11"/>
        <v>-204386.4117647059</v>
      </c>
      <c r="V62" s="16">
        <f>SUM(C62:U62)</f>
        <v>3843926.8</v>
      </c>
      <c r="W62" s="16">
        <f>AVERAGE(C62:U62)</f>
        <v>202311.93684210526</v>
      </c>
      <c r="X62" s="13">
        <f>V62/V13</f>
        <v>0.19854289261532918</v>
      </c>
    </row>
    <row r="63" spans="1:24" ht="12.75" customHeight="1" x14ac:dyDescent="0.15">
      <c r="A63" s="38" t="s">
        <v>121</v>
      </c>
      <c r="B63" s="38"/>
      <c r="C63" s="14">
        <v>104263.38095238095</v>
      </c>
      <c r="D63" s="14">
        <v>104263.38095238095</v>
      </c>
      <c r="E63" s="14">
        <v>104263.38095238095</v>
      </c>
      <c r="F63" s="14">
        <v>104263.38095238095</v>
      </c>
      <c r="G63" s="14">
        <v>104263.38095238095</v>
      </c>
      <c r="H63" s="14">
        <v>104263.38095238095</v>
      </c>
      <c r="I63" s="14">
        <v>104263.38095238095</v>
      </c>
      <c r="J63" s="14">
        <v>104263.38095238095</v>
      </c>
      <c r="K63" s="14">
        <v>104263.38095238095</v>
      </c>
      <c r="L63" s="14">
        <v>104263.38095238095</v>
      </c>
      <c r="M63" s="14">
        <v>104263.38095238095</v>
      </c>
      <c r="N63" s="14">
        <v>104263.38095238095</v>
      </c>
      <c r="O63" s="14">
        <v>104263.38095238095</v>
      </c>
      <c r="P63" s="14">
        <v>104263.38095238095</v>
      </c>
      <c r="Q63" s="14">
        <v>104263.38095238095</v>
      </c>
      <c r="R63" s="14">
        <v>104263.38095238095</v>
      </c>
      <c r="S63" s="14">
        <v>0</v>
      </c>
      <c r="T63" s="14">
        <v>0</v>
      </c>
      <c r="U63" s="14">
        <v>104263.38095238095</v>
      </c>
      <c r="V63" s="16">
        <f>SUM(C63:U63)</f>
        <v>1772477.4761904767</v>
      </c>
      <c r="W63" s="16">
        <f>AVERAGE(C63:U63)</f>
        <v>93288.288220551403</v>
      </c>
      <c r="X63" s="13">
        <f>V63/V13</f>
        <v>9.1550339933209837E-2</v>
      </c>
    </row>
    <row r="64" spans="1:24" ht="12.75" customHeight="1" x14ac:dyDescent="0.15">
      <c r="A64" s="38" t="s">
        <v>122</v>
      </c>
      <c r="B64" s="38"/>
      <c r="C64" s="14">
        <v>29722.833333333332</v>
      </c>
      <c r="D64" s="14">
        <v>29722.833333333332</v>
      </c>
      <c r="E64" s="14">
        <v>29722.833333333332</v>
      </c>
      <c r="F64" s="14">
        <v>29722.833333333332</v>
      </c>
      <c r="G64" s="14">
        <v>29722.833333333332</v>
      </c>
      <c r="H64" s="14">
        <v>29722.833333333332</v>
      </c>
      <c r="I64" s="14">
        <v>29722.833333333332</v>
      </c>
      <c r="J64" s="14">
        <v>29722.833333333332</v>
      </c>
      <c r="K64" s="14">
        <v>29722.833333333332</v>
      </c>
      <c r="L64" s="14">
        <v>29722.833333333332</v>
      </c>
      <c r="M64" s="14">
        <v>29722.833333333332</v>
      </c>
      <c r="N64" s="14">
        <v>29722.833333333332</v>
      </c>
      <c r="O64" s="14">
        <v>29722.833333333332</v>
      </c>
      <c r="P64" s="14">
        <v>29722.833333333332</v>
      </c>
      <c r="Q64" s="14">
        <v>29722.833333333332</v>
      </c>
      <c r="R64" s="14">
        <v>29722.833333333332</v>
      </c>
      <c r="S64" s="14">
        <v>0</v>
      </c>
      <c r="T64" s="14">
        <v>0</v>
      </c>
      <c r="U64" s="14">
        <v>29722.833333333332</v>
      </c>
      <c r="V64" s="16">
        <f>SUM(C64:U64)</f>
        <v>505288.16666666651</v>
      </c>
      <c r="W64" s="16">
        <f>AVERAGE(C64:U64)</f>
        <v>26594.11403508771</v>
      </c>
      <c r="X64" s="13">
        <f>V64/V13</f>
        <v>2.6098669260376274E-2</v>
      </c>
    </row>
    <row r="65" spans="1:24" ht="12.75" customHeight="1" x14ac:dyDescent="0.15">
      <c r="A65" s="38" t="s">
        <v>123</v>
      </c>
      <c r="B65" s="38"/>
      <c r="C65" s="14">
        <f t="shared" ref="C65:U65" si="12">SUM(C62-(C63+C64))</f>
        <v>-158532.88319327732</v>
      </c>
      <c r="D65" s="14">
        <f t="shared" si="12"/>
        <v>-242404.08319327733</v>
      </c>
      <c r="E65" s="14">
        <f t="shared" si="12"/>
        <v>-98964.397478991392</v>
      </c>
      <c r="F65" s="14">
        <f t="shared" si="12"/>
        <v>72211.459663865535</v>
      </c>
      <c r="G65" s="14">
        <f t="shared" si="12"/>
        <v>-195496.02605042022</v>
      </c>
      <c r="H65" s="14">
        <f t="shared" si="12"/>
        <v>203831.80252100845</v>
      </c>
      <c r="I65" s="14">
        <f t="shared" si="12"/>
        <v>453909.17394957971</v>
      </c>
      <c r="J65" s="14">
        <f t="shared" si="12"/>
        <v>-260690.45462184885</v>
      </c>
      <c r="K65" s="14">
        <f t="shared" si="12"/>
        <v>239952.40252100842</v>
      </c>
      <c r="L65" s="14">
        <f t="shared" si="12"/>
        <v>233279.43109243692</v>
      </c>
      <c r="M65" s="14">
        <f t="shared" si="12"/>
        <v>270525.20252100832</v>
      </c>
      <c r="N65" s="14">
        <f t="shared" si="12"/>
        <v>-16781.997478991485</v>
      </c>
      <c r="O65" s="14">
        <f t="shared" si="12"/>
        <v>153000.20252100824</v>
      </c>
      <c r="P65" s="14">
        <f t="shared" si="12"/>
        <v>-169128.99747899148</v>
      </c>
      <c r="Q65" s="14">
        <f t="shared" si="12"/>
        <v>399765.83109243691</v>
      </c>
      <c r="R65" s="14">
        <f t="shared" si="12"/>
        <v>382010.1168067226</v>
      </c>
      <c r="S65" s="14">
        <f t="shared" si="12"/>
        <v>11000</v>
      </c>
      <c r="T65" s="14">
        <f t="shared" si="12"/>
        <v>627047</v>
      </c>
      <c r="U65" s="14">
        <f t="shared" si="12"/>
        <v>-338372.62605042022</v>
      </c>
      <c r="V65" s="16">
        <f>SUM(C65:U65)</f>
        <v>1566161.1571428566</v>
      </c>
      <c r="W65" s="16">
        <f>AVERAGE(C65:U65)</f>
        <v>82429.534586466136</v>
      </c>
      <c r="X65" s="13">
        <f>V65/V13</f>
        <v>8.0893883421743071E-2</v>
      </c>
    </row>
    <row r="66" spans="1:24" x14ac:dyDescent="0.15">
      <c r="A66" s="11"/>
      <c r="B66" s="29" t="s">
        <v>46</v>
      </c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</row>
    <row r="67" spans="1:24" x14ac:dyDescent="0.15">
      <c r="A67" s="12"/>
      <c r="B67" s="30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</row>
    <row r="68" spans="1:24" x14ac:dyDescent="0.15">
      <c r="A68" s="12"/>
      <c r="B68" s="33" t="s">
        <v>130</v>
      </c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</row>
    <row r="69" spans="1:24" x14ac:dyDescent="0.15">
      <c r="A69" s="12"/>
      <c r="B69" s="34" t="s">
        <v>131</v>
      </c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</row>
    <row r="70" spans="1:24" x14ac:dyDescent="0.15">
      <c r="A70" s="12"/>
      <c r="B70" s="34" t="s">
        <v>41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</row>
    <row r="71" spans="1:24" x14ac:dyDescent="0.15">
      <c r="A71" s="11"/>
      <c r="B71" s="35" t="s">
        <v>47</v>
      </c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</row>
    <row r="72" spans="1:24" x14ac:dyDescent="0.15">
      <c r="A72" s="11"/>
      <c r="B72" s="30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</row>
    <row r="73" spans="1:24" x14ac:dyDescent="0.15">
      <c r="A73" s="11"/>
      <c r="B73" s="33" t="s">
        <v>130</v>
      </c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</row>
    <row r="74" spans="1:24" x14ac:dyDescent="0.15">
      <c r="A74" s="11"/>
      <c r="B74" s="34" t="s">
        <v>131</v>
      </c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</row>
    <row r="75" spans="1:24" x14ac:dyDescent="0.15">
      <c r="A75" s="11"/>
      <c r="B75" s="34" t="s">
        <v>41</v>
      </c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</row>
    <row r="76" spans="1:24" x14ac:dyDescent="0.15">
      <c r="A76" s="11"/>
      <c r="B76" s="11" t="s">
        <v>135</v>
      </c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</row>
    <row r="77" spans="1:24" x14ac:dyDescent="0.15">
      <c r="A77" s="11"/>
      <c r="B77" s="30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</row>
    <row r="78" spans="1:24" x14ac:dyDescent="0.15">
      <c r="A78" s="11"/>
      <c r="B78" s="33" t="s">
        <v>130</v>
      </c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</row>
    <row r="79" spans="1:24" x14ac:dyDescent="0.15">
      <c r="A79" s="11"/>
      <c r="B79" s="34" t="s">
        <v>131</v>
      </c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</row>
    <row r="80" spans="1:24" x14ac:dyDescent="0.15">
      <c r="A80" s="11"/>
      <c r="B80" s="34" t="s">
        <v>41</v>
      </c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</row>
    <row r="81" spans="1:21" x14ac:dyDescent="0.15">
      <c r="A81" s="11"/>
      <c r="B81" s="11" t="s">
        <v>139</v>
      </c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</row>
    <row r="82" spans="1:21" x14ac:dyDescent="0.15">
      <c r="A82" s="11"/>
      <c r="B82" s="30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</row>
    <row r="83" spans="1:21" x14ac:dyDescent="0.15">
      <c r="A83" s="11"/>
      <c r="B83" s="33" t="s">
        <v>130</v>
      </c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</row>
    <row r="84" spans="1:21" x14ac:dyDescent="0.15">
      <c r="A84" s="11"/>
      <c r="B84" s="34" t="s">
        <v>131</v>
      </c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</row>
    <row r="85" spans="1:21" x14ac:dyDescent="0.15">
      <c r="A85" s="11"/>
      <c r="B85" s="34" t="s">
        <v>41</v>
      </c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</row>
    <row r="86" spans="1:21" x14ac:dyDescent="0.15">
      <c r="A86" s="11"/>
      <c r="B86" s="11" t="s">
        <v>143</v>
      </c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</row>
    <row r="87" spans="1:21" x14ac:dyDescent="0.15">
      <c r="A87" s="11"/>
      <c r="B87" s="30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</row>
    <row r="88" spans="1:21" x14ac:dyDescent="0.15">
      <c r="A88" s="11"/>
      <c r="B88" s="33" t="s">
        <v>130</v>
      </c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</row>
    <row r="89" spans="1:21" x14ac:dyDescent="0.15">
      <c r="A89" s="11"/>
      <c r="B89" s="34" t="s">
        <v>131</v>
      </c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</row>
    <row r="90" spans="1:21" x14ac:dyDescent="0.15">
      <c r="A90" s="11"/>
      <c r="B90" s="34" t="s">
        <v>41</v>
      </c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</row>
    <row r="91" spans="1:21" x14ac:dyDescent="0.1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</row>
    <row r="92" spans="1:21" x14ac:dyDescent="0.15">
      <c r="A92" s="11"/>
      <c r="B92" s="30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</row>
    <row r="93" spans="1:21" x14ac:dyDescent="0.15">
      <c r="A93" s="11"/>
      <c r="B93" s="33" t="s">
        <v>130</v>
      </c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</row>
    <row r="94" spans="1:21" x14ac:dyDescent="0.15">
      <c r="B94" s="34" t="s">
        <v>131</v>
      </c>
    </row>
    <row r="95" spans="1:21" x14ac:dyDescent="0.15">
      <c r="B95" s="34" t="s">
        <v>41</v>
      </c>
    </row>
    <row r="97" spans="2:2" x14ac:dyDescent="0.15">
      <c r="B97" s="30"/>
    </row>
    <row r="98" spans="2:2" x14ac:dyDescent="0.15">
      <c r="B98" s="33" t="s">
        <v>130</v>
      </c>
    </row>
    <row r="99" spans="2:2" x14ac:dyDescent="0.15">
      <c r="B99" s="34" t="s">
        <v>131</v>
      </c>
    </row>
    <row r="100" spans="2:2" x14ac:dyDescent="0.15">
      <c r="B100" s="34" t="s">
        <v>41</v>
      </c>
    </row>
    <row r="102" spans="2:2" x14ac:dyDescent="0.15">
      <c r="B102" s="30"/>
    </row>
    <row r="103" spans="2:2" x14ac:dyDescent="0.15">
      <c r="B103" s="33" t="s">
        <v>130</v>
      </c>
    </row>
    <row r="104" spans="2:2" x14ac:dyDescent="0.15">
      <c r="B104" s="34" t="s">
        <v>131</v>
      </c>
    </row>
    <row r="105" spans="2:2" x14ac:dyDescent="0.15">
      <c r="B105" s="34" t="s">
        <v>41</v>
      </c>
    </row>
    <row r="107" spans="2:2" x14ac:dyDescent="0.15">
      <c r="B107" s="11" t="s">
        <v>156</v>
      </c>
    </row>
  </sheetData>
  <mergeCells count="26">
    <mergeCell ref="A64:B64"/>
    <mergeCell ref="A65:B65"/>
    <mergeCell ref="A43:A47"/>
    <mergeCell ref="A48:A53"/>
    <mergeCell ref="A54:A60"/>
    <mergeCell ref="A61:B61"/>
    <mergeCell ref="A62:B62"/>
    <mergeCell ref="A63:B63"/>
    <mergeCell ref="A15:B15"/>
    <mergeCell ref="A16:B16"/>
    <mergeCell ref="A17:A23"/>
    <mergeCell ref="A24:A29"/>
    <mergeCell ref="A30:A35"/>
    <mergeCell ref="A36:A42"/>
    <mergeCell ref="A9:B9"/>
    <mergeCell ref="A10:B10"/>
    <mergeCell ref="A11:B11"/>
    <mergeCell ref="A12:B12"/>
    <mergeCell ref="A13:B13"/>
    <mergeCell ref="A14:B14"/>
    <mergeCell ref="A3:B3"/>
    <mergeCell ref="A4:B4"/>
    <mergeCell ref="A5:B5"/>
    <mergeCell ref="A6:B6"/>
    <mergeCell ref="A7:B7"/>
    <mergeCell ref="A8:B8"/>
  </mergeCells>
  <phoneticPr fontId="3"/>
  <pageMargins left="0.6692913385826772" right="0.19685039370078741" top="0.31496062992125984" bottom="0.35433070866141736" header="0.19685039370078741" footer="0.19685039370078741"/>
  <pageSetup paperSize="12" scale="90" orientation="landscape" r:id="rId1"/>
  <headerFooter alignWithMargins="0"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print="0" autoLine="0" r:id="rId5">
            <anchor>
              <from>
                <xdr:col>0</xdr:col>
                <xdr:colOff>19050</xdr:colOff>
                <xdr:row>2</xdr:row>
                <xdr:rowOff>28575</xdr:rowOff>
              </from>
              <to>
                <xdr:col>1</xdr:col>
                <xdr:colOff>485775</xdr:colOff>
                <xdr:row>3</xdr:row>
                <xdr:rowOff>142875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4594E-D0DB-4129-8651-9C9140A1D08B}">
  <sheetPr codeName="Sheet6"/>
  <dimension ref="A1:L107"/>
  <sheetViews>
    <sheetView topLeftCell="A3" workbookViewId="0">
      <selection activeCell="C4" sqref="C4"/>
    </sheetView>
  </sheetViews>
  <sheetFormatPr defaultRowHeight="13.5" x14ac:dyDescent="0.15"/>
  <cols>
    <col min="1" max="1" width="2.875" style="1" bestFit="1" customWidth="1"/>
    <col min="2" max="2" width="17.625" style="1" bestFit="1" customWidth="1"/>
    <col min="3" max="6" width="11" style="1" bestFit="1" customWidth="1"/>
    <col min="7" max="9" width="12.25" style="1" bestFit="1" customWidth="1"/>
    <col min="10" max="10" width="13.25" style="1" bestFit="1" customWidth="1"/>
    <col min="11" max="11" width="10.375" style="1" bestFit="1" customWidth="1"/>
    <col min="12" max="12" width="11" style="1" bestFit="1" customWidth="1"/>
    <col min="13" max="217" width="9" style="1"/>
    <col min="218" max="218" width="2.875" style="1" bestFit="1" customWidth="1"/>
    <col min="219" max="219" width="17.625" style="1" bestFit="1" customWidth="1"/>
    <col min="220" max="220" width="11.375" style="1" bestFit="1" customWidth="1"/>
    <col min="221" max="222" width="14.125" style="1" bestFit="1" customWidth="1"/>
    <col min="223" max="223" width="11.375" style="1" bestFit="1" customWidth="1"/>
    <col min="224" max="227" width="12.5" style="1" bestFit="1" customWidth="1"/>
    <col min="228" max="246" width="13" style="1" bestFit="1" customWidth="1"/>
    <col min="247" max="250" width="11" style="1" bestFit="1" customWidth="1"/>
    <col min="251" max="253" width="12.25" style="1" bestFit="1" customWidth="1"/>
    <col min="254" max="265" width="11" style="1" bestFit="1" customWidth="1"/>
    <col min="266" max="266" width="13.25" style="1" bestFit="1" customWidth="1"/>
    <col min="267" max="267" width="10.375" style="1" bestFit="1" customWidth="1"/>
    <col min="268" max="268" width="11" style="1" bestFit="1" customWidth="1"/>
    <col min="269" max="473" width="9" style="1"/>
    <col min="474" max="474" width="2.875" style="1" bestFit="1" customWidth="1"/>
    <col min="475" max="475" width="17.625" style="1" bestFit="1" customWidth="1"/>
    <col min="476" max="476" width="11.375" style="1" bestFit="1" customWidth="1"/>
    <col min="477" max="478" width="14.125" style="1" bestFit="1" customWidth="1"/>
    <col min="479" max="479" width="11.375" style="1" bestFit="1" customWidth="1"/>
    <col min="480" max="483" width="12.5" style="1" bestFit="1" customWidth="1"/>
    <col min="484" max="502" width="13" style="1" bestFit="1" customWidth="1"/>
    <col min="503" max="506" width="11" style="1" bestFit="1" customWidth="1"/>
    <col min="507" max="509" width="12.25" style="1" bestFit="1" customWidth="1"/>
    <col min="510" max="521" width="11" style="1" bestFit="1" customWidth="1"/>
    <col min="522" max="522" width="13.25" style="1" bestFit="1" customWidth="1"/>
    <col min="523" max="523" width="10.375" style="1" bestFit="1" customWidth="1"/>
    <col min="524" max="524" width="11" style="1" bestFit="1" customWidth="1"/>
    <col min="525" max="729" width="9" style="1"/>
    <col min="730" max="730" width="2.875" style="1" bestFit="1" customWidth="1"/>
    <col min="731" max="731" width="17.625" style="1" bestFit="1" customWidth="1"/>
    <col min="732" max="732" width="11.375" style="1" bestFit="1" customWidth="1"/>
    <col min="733" max="734" width="14.125" style="1" bestFit="1" customWidth="1"/>
    <col min="735" max="735" width="11.375" style="1" bestFit="1" customWidth="1"/>
    <col min="736" max="739" width="12.5" style="1" bestFit="1" customWidth="1"/>
    <col min="740" max="758" width="13" style="1" bestFit="1" customWidth="1"/>
    <col min="759" max="762" width="11" style="1" bestFit="1" customWidth="1"/>
    <col min="763" max="765" width="12.25" style="1" bestFit="1" customWidth="1"/>
    <col min="766" max="777" width="11" style="1" bestFit="1" customWidth="1"/>
    <col min="778" max="778" width="13.25" style="1" bestFit="1" customWidth="1"/>
    <col min="779" max="779" width="10.375" style="1" bestFit="1" customWidth="1"/>
    <col min="780" max="780" width="11" style="1" bestFit="1" customWidth="1"/>
    <col min="781" max="985" width="9" style="1"/>
    <col min="986" max="986" width="2.875" style="1" bestFit="1" customWidth="1"/>
    <col min="987" max="987" width="17.625" style="1" bestFit="1" customWidth="1"/>
    <col min="988" max="988" width="11.375" style="1" bestFit="1" customWidth="1"/>
    <col min="989" max="990" width="14.125" style="1" bestFit="1" customWidth="1"/>
    <col min="991" max="991" width="11.375" style="1" bestFit="1" customWidth="1"/>
    <col min="992" max="995" width="12.5" style="1" bestFit="1" customWidth="1"/>
    <col min="996" max="1014" width="13" style="1" bestFit="1" customWidth="1"/>
    <col min="1015" max="1018" width="11" style="1" bestFit="1" customWidth="1"/>
    <col min="1019" max="1021" width="12.25" style="1" bestFit="1" customWidth="1"/>
    <col min="1022" max="1033" width="11" style="1" bestFit="1" customWidth="1"/>
    <col min="1034" max="1034" width="13.25" style="1" bestFit="1" customWidth="1"/>
    <col min="1035" max="1035" width="10.375" style="1" bestFit="1" customWidth="1"/>
    <col min="1036" max="1036" width="11" style="1" bestFit="1" customWidth="1"/>
    <col min="1037" max="1241" width="9" style="1"/>
    <col min="1242" max="1242" width="2.875" style="1" bestFit="1" customWidth="1"/>
    <col min="1243" max="1243" width="17.625" style="1" bestFit="1" customWidth="1"/>
    <col min="1244" max="1244" width="11.375" style="1" bestFit="1" customWidth="1"/>
    <col min="1245" max="1246" width="14.125" style="1" bestFit="1" customWidth="1"/>
    <col min="1247" max="1247" width="11.375" style="1" bestFit="1" customWidth="1"/>
    <col min="1248" max="1251" width="12.5" style="1" bestFit="1" customWidth="1"/>
    <col min="1252" max="1270" width="13" style="1" bestFit="1" customWidth="1"/>
    <col min="1271" max="1274" width="11" style="1" bestFit="1" customWidth="1"/>
    <col min="1275" max="1277" width="12.25" style="1" bestFit="1" customWidth="1"/>
    <col min="1278" max="1289" width="11" style="1" bestFit="1" customWidth="1"/>
    <col min="1290" max="1290" width="13.25" style="1" bestFit="1" customWidth="1"/>
    <col min="1291" max="1291" width="10.375" style="1" bestFit="1" customWidth="1"/>
    <col min="1292" max="1292" width="11" style="1" bestFit="1" customWidth="1"/>
    <col min="1293" max="1497" width="9" style="1"/>
    <col min="1498" max="1498" width="2.875" style="1" bestFit="1" customWidth="1"/>
    <col min="1499" max="1499" width="17.625" style="1" bestFit="1" customWidth="1"/>
    <col min="1500" max="1500" width="11.375" style="1" bestFit="1" customWidth="1"/>
    <col min="1501" max="1502" width="14.125" style="1" bestFit="1" customWidth="1"/>
    <col min="1503" max="1503" width="11.375" style="1" bestFit="1" customWidth="1"/>
    <col min="1504" max="1507" width="12.5" style="1" bestFit="1" customWidth="1"/>
    <col min="1508" max="1526" width="13" style="1" bestFit="1" customWidth="1"/>
    <col min="1527" max="1530" width="11" style="1" bestFit="1" customWidth="1"/>
    <col min="1531" max="1533" width="12.25" style="1" bestFit="1" customWidth="1"/>
    <col min="1534" max="1545" width="11" style="1" bestFit="1" customWidth="1"/>
    <col min="1546" max="1546" width="13.25" style="1" bestFit="1" customWidth="1"/>
    <col min="1547" max="1547" width="10.375" style="1" bestFit="1" customWidth="1"/>
    <col min="1548" max="1548" width="11" style="1" bestFit="1" customWidth="1"/>
    <col min="1549" max="1753" width="9" style="1"/>
    <col min="1754" max="1754" width="2.875" style="1" bestFit="1" customWidth="1"/>
    <col min="1755" max="1755" width="17.625" style="1" bestFit="1" customWidth="1"/>
    <col min="1756" max="1756" width="11.375" style="1" bestFit="1" customWidth="1"/>
    <col min="1757" max="1758" width="14.125" style="1" bestFit="1" customWidth="1"/>
    <col min="1759" max="1759" width="11.375" style="1" bestFit="1" customWidth="1"/>
    <col min="1760" max="1763" width="12.5" style="1" bestFit="1" customWidth="1"/>
    <col min="1764" max="1782" width="13" style="1" bestFit="1" customWidth="1"/>
    <col min="1783" max="1786" width="11" style="1" bestFit="1" customWidth="1"/>
    <col min="1787" max="1789" width="12.25" style="1" bestFit="1" customWidth="1"/>
    <col min="1790" max="1801" width="11" style="1" bestFit="1" customWidth="1"/>
    <col min="1802" max="1802" width="13.25" style="1" bestFit="1" customWidth="1"/>
    <col min="1803" max="1803" width="10.375" style="1" bestFit="1" customWidth="1"/>
    <col min="1804" max="1804" width="11" style="1" bestFit="1" customWidth="1"/>
    <col min="1805" max="2009" width="9" style="1"/>
    <col min="2010" max="2010" width="2.875" style="1" bestFit="1" customWidth="1"/>
    <col min="2011" max="2011" width="17.625" style="1" bestFit="1" customWidth="1"/>
    <col min="2012" max="2012" width="11.375" style="1" bestFit="1" customWidth="1"/>
    <col min="2013" max="2014" width="14.125" style="1" bestFit="1" customWidth="1"/>
    <col min="2015" max="2015" width="11.375" style="1" bestFit="1" customWidth="1"/>
    <col min="2016" max="2019" width="12.5" style="1" bestFit="1" customWidth="1"/>
    <col min="2020" max="2038" width="13" style="1" bestFit="1" customWidth="1"/>
    <col min="2039" max="2042" width="11" style="1" bestFit="1" customWidth="1"/>
    <col min="2043" max="2045" width="12.25" style="1" bestFit="1" customWidth="1"/>
    <col min="2046" max="2057" width="11" style="1" bestFit="1" customWidth="1"/>
    <col min="2058" max="2058" width="13.25" style="1" bestFit="1" customWidth="1"/>
    <col min="2059" max="2059" width="10.375" style="1" bestFit="1" customWidth="1"/>
    <col min="2060" max="2060" width="11" style="1" bestFit="1" customWidth="1"/>
    <col min="2061" max="2265" width="9" style="1"/>
    <col min="2266" max="2266" width="2.875" style="1" bestFit="1" customWidth="1"/>
    <col min="2267" max="2267" width="17.625" style="1" bestFit="1" customWidth="1"/>
    <col min="2268" max="2268" width="11.375" style="1" bestFit="1" customWidth="1"/>
    <col min="2269" max="2270" width="14.125" style="1" bestFit="1" customWidth="1"/>
    <col min="2271" max="2271" width="11.375" style="1" bestFit="1" customWidth="1"/>
    <col min="2272" max="2275" width="12.5" style="1" bestFit="1" customWidth="1"/>
    <col min="2276" max="2294" width="13" style="1" bestFit="1" customWidth="1"/>
    <col min="2295" max="2298" width="11" style="1" bestFit="1" customWidth="1"/>
    <col min="2299" max="2301" width="12.25" style="1" bestFit="1" customWidth="1"/>
    <col min="2302" max="2313" width="11" style="1" bestFit="1" customWidth="1"/>
    <col min="2314" max="2314" width="13.25" style="1" bestFit="1" customWidth="1"/>
    <col min="2315" max="2315" width="10.375" style="1" bestFit="1" customWidth="1"/>
    <col min="2316" max="2316" width="11" style="1" bestFit="1" customWidth="1"/>
    <col min="2317" max="2521" width="9" style="1"/>
    <col min="2522" max="2522" width="2.875" style="1" bestFit="1" customWidth="1"/>
    <col min="2523" max="2523" width="17.625" style="1" bestFit="1" customWidth="1"/>
    <col min="2524" max="2524" width="11.375" style="1" bestFit="1" customWidth="1"/>
    <col min="2525" max="2526" width="14.125" style="1" bestFit="1" customWidth="1"/>
    <col min="2527" max="2527" width="11.375" style="1" bestFit="1" customWidth="1"/>
    <col min="2528" max="2531" width="12.5" style="1" bestFit="1" customWidth="1"/>
    <col min="2532" max="2550" width="13" style="1" bestFit="1" customWidth="1"/>
    <col min="2551" max="2554" width="11" style="1" bestFit="1" customWidth="1"/>
    <col min="2555" max="2557" width="12.25" style="1" bestFit="1" customWidth="1"/>
    <col min="2558" max="2569" width="11" style="1" bestFit="1" customWidth="1"/>
    <col min="2570" max="2570" width="13.25" style="1" bestFit="1" customWidth="1"/>
    <col min="2571" max="2571" width="10.375" style="1" bestFit="1" customWidth="1"/>
    <col min="2572" max="2572" width="11" style="1" bestFit="1" customWidth="1"/>
    <col min="2573" max="2777" width="9" style="1"/>
    <col min="2778" max="2778" width="2.875" style="1" bestFit="1" customWidth="1"/>
    <col min="2779" max="2779" width="17.625" style="1" bestFit="1" customWidth="1"/>
    <col min="2780" max="2780" width="11.375" style="1" bestFit="1" customWidth="1"/>
    <col min="2781" max="2782" width="14.125" style="1" bestFit="1" customWidth="1"/>
    <col min="2783" max="2783" width="11.375" style="1" bestFit="1" customWidth="1"/>
    <col min="2784" max="2787" width="12.5" style="1" bestFit="1" customWidth="1"/>
    <col min="2788" max="2806" width="13" style="1" bestFit="1" customWidth="1"/>
    <col min="2807" max="2810" width="11" style="1" bestFit="1" customWidth="1"/>
    <col min="2811" max="2813" width="12.25" style="1" bestFit="1" customWidth="1"/>
    <col min="2814" max="2825" width="11" style="1" bestFit="1" customWidth="1"/>
    <col min="2826" max="2826" width="13.25" style="1" bestFit="1" customWidth="1"/>
    <col min="2827" max="2827" width="10.375" style="1" bestFit="1" customWidth="1"/>
    <col min="2828" max="2828" width="11" style="1" bestFit="1" customWidth="1"/>
    <col min="2829" max="3033" width="9" style="1"/>
    <col min="3034" max="3034" width="2.875" style="1" bestFit="1" customWidth="1"/>
    <col min="3035" max="3035" width="17.625" style="1" bestFit="1" customWidth="1"/>
    <col min="3036" max="3036" width="11.375" style="1" bestFit="1" customWidth="1"/>
    <col min="3037" max="3038" width="14.125" style="1" bestFit="1" customWidth="1"/>
    <col min="3039" max="3039" width="11.375" style="1" bestFit="1" customWidth="1"/>
    <col min="3040" max="3043" width="12.5" style="1" bestFit="1" customWidth="1"/>
    <col min="3044" max="3062" width="13" style="1" bestFit="1" customWidth="1"/>
    <col min="3063" max="3066" width="11" style="1" bestFit="1" customWidth="1"/>
    <col min="3067" max="3069" width="12.25" style="1" bestFit="1" customWidth="1"/>
    <col min="3070" max="3081" width="11" style="1" bestFit="1" customWidth="1"/>
    <col min="3082" max="3082" width="13.25" style="1" bestFit="1" customWidth="1"/>
    <col min="3083" max="3083" width="10.375" style="1" bestFit="1" customWidth="1"/>
    <col min="3084" max="3084" width="11" style="1" bestFit="1" customWidth="1"/>
    <col min="3085" max="3289" width="9" style="1"/>
    <col min="3290" max="3290" width="2.875" style="1" bestFit="1" customWidth="1"/>
    <col min="3291" max="3291" width="17.625" style="1" bestFit="1" customWidth="1"/>
    <col min="3292" max="3292" width="11.375" style="1" bestFit="1" customWidth="1"/>
    <col min="3293" max="3294" width="14.125" style="1" bestFit="1" customWidth="1"/>
    <col min="3295" max="3295" width="11.375" style="1" bestFit="1" customWidth="1"/>
    <col min="3296" max="3299" width="12.5" style="1" bestFit="1" customWidth="1"/>
    <col min="3300" max="3318" width="13" style="1" bestFit="1" customWidth="1"/>
    <col min="3319" max="3322" width="11" style="1" bestFit="1" customWidth="1"/>
    <col min="3323" max="3325" width="12.25" style="1" bestFit="1" customWidth="1"/>
    <col min="3326" max="3337" width="11" style="1" bestFit="1" customWidth="1"/>
    <col min="3338" max="3338" width="13.25" style="1" bestFit="1" customWidth="1"/>
    <col min="3339" max="3339" width="10.375" style="1" bestFit="1" customWidth="1"/>
    <col min="3340" max="3340" width="11" style="1" bestFit="1" customWidth="1"/>
    <col min="3341" max="3545" width="9" style="1"/>
    <col min="3546" max="3546" width="2.875" style="1" bestFit="1" customWidth="1"/>
    <col min="3547" max="3547" width="17.625" style="1" bestFit="1" customWidth="1"/>
    <col min="3548" max="3548" width="11.375" style="1" bestFit="1" customWidth="1"/>
    <col min="3549" max="3550" width="14.125" style="1" bestFit="1" customWidth="1"/>
    <col min="3551" max="3551" width="11.375" style="1" bestFit="1" customWidth="1"/>
    <col min="3552" max="3555" width="12.5" style="1" bestFit="1" customWidth="1"/>
    <col min="3556" max="3574" width="13" style="1" bestFit="1" customWidth="1"/>
    <col min="3575" max="3578" width="11" style="1" bestFit="1" customWidth="1"/>
    <col min="3579" max="3581" width="12.25" style="1" bestFit="1" customWidth="1"/>
    <col min="3582" max="3593" width="11" style="1" bestFit="1" customWidth="1"/>
    <col min="3594" max="3594" width="13.25" style="1" bestFit="1" customWidth="1"/>
    <col min="3595" max="3595" width="10.375" style="1" bestFit="1" customWidth="1"/>
    <col min="3596" max="3596" width="11" style="1" bestFit="1" customWidth="1"/>
    <col min="3597" max="3801" width="9" style="1"/>
    <col min="3802" max="3802" width="2.875" style="1" bestFit="1" customWidth="1"/>
    <col min="3803" max="3803" width="17.625" style="1" bestFit="1" customWidth="1"/>
    <col min="3804" max="3804" width="11.375" style="1" bestFit="1" customWidth="1"/>
    <col min="3805" max="3806" width="14.125" style="1" bestFit="1" customWidth="1"/>
    <col min="3807" max="3807" width="11.375" style="1" bestFit="1" customWidth="1"/>
    <col min="3808" max="3811" width="12.5" style="1" bestFit="1" customWidth="1"/>
    <col min="3812" max="3830" width="13" style="1" bestFit="1" customWidth="1"/>
    <col min="3831" max="3834" width="11" style="1" bestFit="1" customWidth="1"/>
    <col min="3835" max="3837" width="12.25" style="1" bestFit="1" customWidth="1"/>
    <col min="3838" max="3849" width="11" style="1" bestFit="1" customWidth="1"/>
    <col min="3850" max="3850" width="13.25" style="1" bestFit="1" customWidth="1"/>
    <col min="3851" max="3851" width="10.375" style="1" bestFit="1" customWidth="1"/>
    <col min="3852" max="3852" width="11" style="1" bestFit="1" customWidth="1"/>
    <col min="3853" max="4057" width="9" style="1"/>
    <col min="4058" max="4058" width="2.875" style="1" bestFit="1" customWidth="1"/>
    <col min="4059" max="4059" width="17.625" style="1" bestFit="1" customWidth="1"/>
    <col min="4060" max="4060" width="11.375" style="1" bestFit="1" customWidth="1"/>
    <col min="4061" max="4062" width="14.125" style="1" bestFit="1" customWidth="1"/>
    <col min="4063" max="4063" width="11.375" style="1" bestFit="1" customWidth="1"/>
    <col min="4064" max="4067" width="12.5" style="1" bestFit="1" customWidth="1"/>
    <col min="4068" max="4086" width="13" style="1" bestFit="1" customWidth="1"/>
    <col min="4087" max="4090" width="11" style="1" bestFit="1" customWidth="1"/>
    <col min="4091" max="4093" width="12.25" style="1" bestFit="1" customWidth="1"/>
    <col min="4094" max="4105" width="11" style="1" bestFit="1" customWidth="1"/>
    <col min="4106" max="4106" width="13.25" style="1" bestFit="1" customWidth="1"/>
    <col min="4107" max="4107" width="10.375" style="1" bestFit="1" customWidth="1"/>
    <col min="4108" max="4108" width="11" style="1" bestFit="1" customWidth="1"/>
    <col min="4109" max="4313" width="9" style="1"/>
    <col min="4314" max="4314" width="2.875" style="1" bestFit="1" customWidth="1"/>
    <col min="4315" max="4315" width="17.625" style="1" bestFit="1" customWidth="1"/>
    <col min="4316" max="4316" width="11.375" style="1" bestFit="1" customWidth="1"/>
    <col min="4317" max="4318" width="14.125" style="1" bestFit="1" customWidth="1"/>
    <col min="4319" max="4319" width="11.375" style="1" bestFit="1" customWidth="1"/>
    <col min="4320" max="4323" width="12.5" style="1" bestFit="1" customWidth="1"/>
    <col min="4324" max="4342" width="13" style="1" bestFit="1" customWidth="1"/>
    <col min="4343" max="4346" width="11" style="1" bestFit="1" customWidth="1"/>
    <col min="4347" max="4349" width="12.25" style="1" bestFit="1" customWidth="1"/>
    <col min="4350" max="4361" width="11" style="1" bestFit="1" customWidth="1"/>
    <col min="4362" max="4362" width="13.25" style="1" bestFit="1" customWidth="1"/>
    <col min="4363" max="4363" width="10.375" style="1" bestFit="1" customWidth="1"/>
    <col min="4364" max="4364" width="11" style="1" bestFit="1" customWidth="1"/>
    <col min="4365" max="4569" width="9" style="1"/>
    <col min="4570" max="4570" width="2.875" style="1" bestFit="1" customWidth="1"/>
    <col min="4571" max="4571" width="17.625" style="1" bestFit="1" customWidth="1"/>
    <col min="4572" max="4572" width="11.375" style="1" bestFit="1" customWidth="1"/>
    <col min="4573" max="4574" width="14.125" style="1" bestFit="1" customWidth="1"/>
    <col min="4575" max="4575" width="11.375" style="1" bestFit="1" customWidth="1"/>
    <col min="4576" max="4579" width="12.5" style="1" bestFit="1" customWidth="1"/>
    <col min="4580" max="4598" width="13" style="1" bestFit="1" customWidth="1"/>
    <col min="4599" max="4602" width="11" style="1" bestFit="1" customWidth="1"/>
    <col min="4603" max="4605" width="12.25" style="1" bestFit="1" customWidth="1"/>
    <col min="4606" max="4617" width="11" style="1" bestFit="1" customWidth="1"/>
    <col min="4618" max="4618" width="13.25" style="1" bestFit="1" customWidth="1"/>
    <col min="4619" max="4619" width="10.375" style="1" bestFit="1" customWidth="1"/>
    <col min="4620" max="4620" width="11" style="1" bestFit="1" customWidth="1"/>
    <col min="4621" max="4825" width="9" style="1"/>
    <col min="4826" max="4826" width="2.875" style="1" bestFit="1" customWidth="1"/>
    <col min="4827" max="4827" width="17.625" style="1" bestFit="1" customWidth="1"/>
    <col min="4828" max="4828" width="11.375" style="1" bestFit="1" customWidth="1"/>
    <col min="4829" max="4830" width="14.125" style="1" bestFit="1" customWidth="1"/>
    <col min="4831" max="4831" width="11.375" style="1" bestFit="1" customWidth="1"/>
    <col min="4832" max="4835" width="12.5" style="1" bestFit="1" customWidth="1"/>
    <col min="4836" max="4854" width="13" style="1" bestFit="1" customWidth="1"/>
    <col min="4855" max="4858" width="11" style="1" bestFit="1" customWidth="1"/>
    <col min="4859" max="4861" width="12.25" style="1" bestFit="1" customWidth="1"/>
    <col min="4862" max="4873" width="11" style="1" bestFit="1" customWidth="1"/>
    <col min="4874" max="4874" width="13.25" style="1" bestFit="1" customWidth="1"/>
    <col min="4875" max="4875" width="10.375" style="1" bestFit="1" customWidth="1"/>
    <col min="4876" max="4876" width="11" style="1" bestFit="1" customWidth="1"/>
    <col min="4877" max="5081" width="9" style="1"/>
    <col min="5082" max="5082" width="2.875" style="1" bestFit="1" customWidth="1"/>
    <col min="5083" max="5083" width="17.625" style="1" bestFit="1" customWidth="1"/>
    <col min="5084" max="5084" width="11.375" style="1" bestFit="1" customWidth="1"/>
    <col min="5085" max="5086" width="14.125" style="1" bestFit="1" customWidth="1"/>
    <col min="5087" max="5087" width="11.375" style="1" bestFit="1" customWidth="1"/>
    <col min="5088" max="5091" width="12.5" style="1" bestFit="1" customWidth="1"/>
    <col min="5092" max="5110" width="13" style="1" bestFit="1" customWidth="1"/>
    <col min="5111" max="5114" width="11" style="1" bestFit="1" customWidth="1"/>
    <col min="5115" max="5117" width="12.25" style="1" bestFit="1" customWidth="1"/>
    <col min="5118" max="5129" width="11" style="1" bestFit="1" customWidth="1"/>
    <col min="5130" max="5130" width="13.25" style="1" bestFit="1" customWidth="1"/>
    <col min="5131" max="5131" width="10.375" style="1" bestFit="1" customWidth="1"/>
    <col min="5132" max="5132" width="11" style="1" bestFit="1" customWidth="1"/>
    <col min="5133" max="5337" width="9" style="1"/>
    <col min="5338" max="5338" width="2.875" style="1" bestFit="1" customWidth="1"/>
    <col min="5339" max="5339" width="17.625" style="1" bestFit="1" customWidth="1"/>
    <col min="5340" max="5340" width="11.375" style="1" bestFit="1" customWidth="1"/>
    <col min="5341" max="5342" width="14.125" style="1" bestFit="1" customWidth="1"/>
    <col min="5343" max="5343" width="11.375" style="1" bestFit="1" customWidth="1"/>
    <col min="5344" max="5347" width="12.5" style="1" bestFit="1" customWidth="1"/>
    <col min="5348" max="5366" width="13" style="1" bestFit="1" customWidth="1"/>
    <col min="5367" max="5370" width="11" style="1" bestFit="1" customWidth="1"/>
    <col min="5371" max="5373" width="12.25" style="1" bestFit="1" customWidth="1"/>
    <col min="5374" max="5385" width="11" style="1" bestFit="1" customWidth="1"/>
    <col min="5386" max="5386" width="13.25" style="1" bestFit="1" customWidth="1"/>
    <col min="5387" max="5387" width="10.375" style="1" bestFit="1" customWidth="1"/>
    <col min="5388" max="5388" width="11" style="1" bestFit="1" customWidth="1"/>
    <col min="5389" max="5593" width="9" style="1"/>
    <col min="5594" max="5594" width="2.875" style="1" bestFit="1" customWidth="1"/>
    <col min="5595" max="5595" width="17.625" style="1" bestFit="1" customWidth="1"/>
    <col min="5596" max="5596" width="11.375" style="1" bestFit="1" customWidth="1"/>
    <col min="5597" max="5598" width="14.125" style="1" bestFit="1" customWidth="1"/>
    <col min="5599" max="5599" width="11.375" style="1" bestFit="1" customWidth="1"/>
    <col min="5600" max="5603" width="12.5" style="1" bestFit="1" customWidth="1"/>
    <col min="5604" max="5622" width="13" style="1" bestFit="1" customWidth="1"/>
    <col min="5623" max="5626" width="11" style="1" bestFit="1" customWidth="1"/>
    <col min="5627" max="5629" width="12.25" style="1" bestFit="1" customWidth="1"/>
    <col min="5630" max="5641" width="11" style="1" bestFit="1" customWidth="1"/>
    <col min="5642" max="5642" width="13.25" style="1" bestFit="1" customWidth="1"/>
    <col min="5643" max="5643" width="10.375" style="1" bestFit="1" customWidth="1"/>
    <col min="5644" max="5644" width="11" style="1" bestFit="1" customWidth="1"/>
    <col min="5645" max="5849" width="9" style="1"/>
    <col min="5850" max="5850" width="2.875" style="1" bestFit="1" customWidth="1"/>
    <col min="5851" max="5851" width="17.625" style="1" bestFit="1" customWidth="1"/>
    <col min="5852" max="5852" width="11.375" style="1" bestFit="1" customWidth="1"/>
    <col min="5853" max="5854" width="14.125" style="1" bestFit="1" customWidth="1"/>
    <col min="5855" max="5855" width="11.375" style="1" bestFit="1" customWidth="1"/>
    <col min="5856" max="5859" width="12.5" style="1" bestFit="1" customWidth="1"/>
    <col min="5860" max="5878" width="13" style="1" bestFit="1" customWidth="1"/>
    <col min="5879" max="5882" width="11" style="1" bestFit="1" customWidth="1"/>
    <col min="5883" max="5885" width="12.25" style="1" bestFit="1" customWidth="1"/>
    <col min="5886" max="5897" width="11" style="1" bestFit="1" customWidth="1"/>
    <col min="5898" max="5898" width="13.25" style="1" bestFit="1" customWidth="1"/>
    <col min="5899" max="5899" width="10.375" style="1" bestFit="1" customWidth="1"/>
    <col min="5900" max="5900" width="11" style="1" bestFit="1" customWidth="1"/>
    <col min="5901" max="6105" width="9" style="1"/>
    <col min="6106" max="6106" width="2.875" style="1" bestFit="1" customWidth="1"/>
    <col min="6107" max="6107" width="17.625" style="1" bestFit="1" customWidth="1"/>
    <col min="6108" max="6108" width="11.375" style="1" bestFit="1" customWidth="1"/>
    <col min="6109" max="6110" width="14.125" style="1" bestFit="1" customWidth="1"/>
    <col min="6111" max="6111" width="11.375" style="1" bestFit="1" customWidth="1"/>
    <col min="6112" max="6115" width="12.5" style="1" bestFit="1" customWidth="1"/>
    <col min="6116" max="6134" width="13" style="1" bestFit="1" customWidth="1"/>
    <col min="6135" max="6138" width="11" style="1" bestFit="1" customWidth="1"/>
    <col min="6139" max="6141" width="12.25" style="1" bestFit="1" customWidth="1"/>
    <col min="6142" max="6153" width="11" style="1" bestFit="1" customWidth="1"/>
    <col min="6154" max="6154" width="13.25" style="1" bestFit="1" customWidth="1"/>
    <col min="6155" max="6155" width="10.375" style="1" bestFit="1" customWidth="1"/>
    <col min="6156" max="6156" width="11" style="1" bestFit="1" customWidth="1"/>
    <col min="6157" max="6361" width="9" style="1"/>
    <col min="6362" max="6362" width="2.875" style="1" bestFit="1" customWidth="1"/>
    <col min="6363" max="6363" width="17.625" style="1" bestFit="1" customWidth="1"/>
    <col min="6364" max="6364" width="11.375" style="1" bestFit="1" customWidth="1"/>
    <col min="6365" max="6366" width="14.125" style="1" bestFit="1" customWidth="1"/>
    <col min="6367" max="6367" width="11.375" style="1" bestFit="1" customWidth="1"/>
    <col min="6368" max="6371" width="12.5" style="1" bestFit="1" customWidth="1"/>
    <col min="6372" max="6390" width="13" style="1" bestFit="1" customWidth="1"/>
    <col min="6391" max="6394" width="11" style="1" bestFit="1" customWidth="1"/>
    <col min="6395" max="6397" width="12.25" style="1" bestFit="1" customWidth="1"/>
    <col min="6398" max="6409" width="11" style="1" bestFit="1" customWidth="1"/>
    <col min="6410" max="6410" width="13.25" style="1" bestFit="1" customWidth="1"/>
    <col min="6411" max="6411" width="10.375" style="1" bestFit="1" customWidth="1"/>
    <col min="6412" max="6412" width="11" style="1" bestFit="1" customWidth="1"/>
    <col min="6413" max="6617" width="9" style="1"/>
    <col min="6618" max="6618" width="2.875" style="1" bestFit="1" customWidth="1"/>
    <col min="6619" max="6619" width="17.625" style="1" bestFit="1" customWidth="1"/>
    <col min="6620" max="6620" width="11.375" style="1" bestFit="1" customWidth="1"/>
    <col min="6621" max="6622" width="14.125" style="1" bestFit="1" customWidth="1"/>
    <col min="6623" max="6623" width="11.375" style="1" bestFit="1" customWidth="1"/>
    <col min="6624" max="6627" width="12.5" style="1" bestFit="1" customWidth="1"/>
    <col min="6628" max="6646" width="13" style="1" bestFit="1" customWidth="1"/>
    <col min="6647" max="6650" width="11" style="1" bestFit="1" customWidth="1"/>
    <col min="6651" max="6653" width="12.25" style="1" bestFit="1" customWidth="1"/>
    <col min="6654" max="6665" width="11" style="1" bestFit="1" customWidth="1"/>
    <col min="6666" max="6666" width="13.25" style="1" bestFit="1" customWidth="1"/>
    <col min="6667" max="6667" width="10.375" style="1" bestFit="1" customWidth="1"/>
    <col min="6668" max="6668" width="11" style="1" bestFit="1" customWidth="1"/>
    <col min="6669" max="6873" width="9" style="1"/>
    <col min="6874" max="6874" width="2.875" style="1" bestFit="1" customWidth="1"/>
    <col min="6875" max="6875" width="17.625" style="1" bestFit="1" customWidth="1"/>
    <col min="6876" max="6876" width="11.375" style="1" bestFit="1" customWidth="1"/>
    <col min="6877" max="6878" width="14.125" style="1" bestFit="1" customWidth="1"/>
    <col min="6879" max="6879" width="11.375" style="1" bestFit="1" customWidth="1"/>
    <col min="6880" max="6883" width="12.5" style="1" bestFit="1" customWidth="1"/>
    <col min="6884" max="6902" width="13" style="1" bestFit="1" customWidth="1"/>
    <col min="6903" max="6906" width="11" style="1" bestFit="1" customWidth="1"/>
    <col min="6907" max="6909" width="12.25" style="1" bestFit="1" customWidth="1"/>
    <col min="6910" max="6921" width="11" style="1" bestFit="1" customWidth="1"/>
    <col min="6922" max="6922" width="13.25" style="1" bestFit="1" customWidth="1"/>
    <col min="6923" max="6923" width="10.375" style="1" bestFit="1" customWidth="1"/>
    <col min="6924" max="6924" width="11" style="1" bestFit="1" customWidth="1"/>
    <col min="6925" max="7129" width="9" style="1"/>
    <col min="7130" max="7130" width="2.875" style="1" bestFit="1" customWidth="1"/>
    <col min="7131" max="7131" width="17.625" style="1" bestFit="1" customWidth="1"/>
    <col min="7132" max="7132" width="11.375" style="1" bestFit="1" customWidth="1"/>
    <col min="7133" max="7134" width="14.125" style="1" bestFit="1" customWidth="1"/>
    <col min="7135" max="7135" width="11.375" style="1" bestFit="1" customWidth="1"/>
    <col min="7136" max="7139" width="12.5" style="1" bestFit="1" customWidth="1"/>
    <col min="7140" max="7158" width="13" style="1" bestFit="1" customWidth="1"/>
    <col min="7159" max="7162" width="11" style="1" bestFit="1" customWidth="1"/>
    <col min="7163" max="7165" width="12.25" style="1" bestFit="1" customWidth="1"/>
    <col min="7166" max="7177" width="11" style="1" bestFit="1" customWidth="1"/>
    <col min="7178" max="7178" width="13.25" style="1" bestFit="1" customWidth="1"/>
    <col min="7179" max="7179" width="10.375" style="1" bestFit="1" customWidth="1"/>
    <col min="7180" max="7180" width="11" style="1" bestFit="1" customWidth="1"/>
    <col min="7181" max="7385" width="9" style="1"/>
    <col min="7386" max="7386" width="2.875" style="1" bestFit="1" customWidth="1"/>
    <col min="7387" max="7387" width="17.625" style="1" bestFit="1" customWidth="1"/>
    <col min="7388" max="7388" width="11.375" style="1" bestFit="1" customWidth="1"/>
    <col min="7389" max="7390" width="14.125" style="1" bestFit="1" customWidth="1"/>
    <col min="7391" max="7391" width="11.375" style="1" bestFit="1" customWidth="1"/>
    <col min="7392" max="7395" width="12.5" style="1" bestFit="1" customWidth="1"/>
    <col min="7396" max="7414" width="13" style="1" bestFit="1" customWidth="1"/>
    <col min="7415" max="7418" width="11" style="1" bestFit="1" customWidth="1"/>
    <col min="7419" max="7421" width="12.25" style="1" bestFit="1" customWidth="1"/>
    <col min="7422" max="7433" width="11" style="1" bestFit="1" customWidth="1"/>
    <col min="7434" max="7434" width="13.25" style="1" bestFit="1" customWidth="1"/>
    <col min="7435" max="7435" width="10.375" style="1" bestFit="1" customWidth="1"/>
    <col min="7436" max="7436" width="11" style="1" bestFit="1" customWidth="1"/>
    <col min="7437" max="7641" width="9" style="1"/>
    <col min="7642" max="7642" width="2.875" style="1" bestFit="1" customWidth="1"/>
    <col min="7643" max="7643" width="17.625" style="1" bestFit="1" customWidth="1"/>
    <col min="7644" max="7644" width="11.375" style="1" bestFit="1" customWidth="1"/>
    <col min="7645" max="7646" width="14.125" style="1" bestFit="1" customWidth="1"/>
    <col min="7647" max="7647" width="11.375" style="1" bestFit="1" customWidth="1"/>
    <col min="7648" max="7651" width="12.5" style="1" bestFit="1" customWidth="1"/>
    <col min="7652" max="7670" width="13" style="1" bestFit="1" customWidth="1"/>
    <col min="7671" max="7674" width="11" style="1" bestFit="1" customWidth="1"/>
    <col min="7675" max="7677" width="12.25" style="1" bestFit="1" customWidth="1"/>
    <col min="7678" max="7689" width="11" style="1" bestFit="1" customWidth="1"/>
    <col min="7690" max="7690" width="13.25" style="1" bestFit="1" customWidth="1"/>
    <col min="7691" max="7691" width="10.375" style="1" bestFit="1" customWidth="1"/>
    <col min="7692" max="7692" width="11" style="1" bestFit="1" customWidth="1"/>
    <col min="7693" max="7897" width="9" style="1"/>
    <col min="7898" max="7898" width="2.875" style="1" bestFit="1" customWidth="1"/>
    <col min="7899" max="7899" width="17.625" style="1" bestFit="1" customWidth="1"/>
    <col min="7900" max="7900" width="11.375" style="1" bestFit="1" customWidth="1"/>
    <col min="7901" max="7902" width="14.125" style="1" bestFit="1" customWidth="1"/>
    <col min="7903" max="7903" width="11.375" style="1" bestFit="1" customWidth="1"/>
    <col min="7904" max="7907" width="12.5" style="1" bestFit="1" customWidth="1"/>
    <col min="7908" max="7926" width="13" style="1" bestFit="1" customWidth="1"/>
    <col min="7927" max="7930" width="11" style="1" bestFit="1" customWidth="1"/>
    <col min="7931" max="7933" width="12.25" style="1" bestFit="1" customWidth="1"/>
    <col min="7934" max="7945" width="11" style="1" bestFit="1" customWidth="1"/>
    <col min="7946" max="7946" width="13.25" style="1" bestFit="1" customWidth="1"/>
    <col min="7947" max="7947" width="10.375" style="1" bestFit="1" customWidth="1"/>
    <col min="7948" max="7948" width="11" style="1" bestFit="1" customWidth="1"/>
    <col min="7949" max="8153" width="9" style="1"/>
    <col min="8154" max="8154" width="2.875" style="1" bestFit="1" customWidth="1"/>
    <col min="8155" max="8155" width="17.625" style="1" bestFit="1" customWidth="1"/>
    <col min="8156" max="8156" width="11.375" style="1" bestFit="1" customWidth="1"/>
    <col min="8157" max="8158" width="14.125" style="1" bestFit="1" customWidth="1"/>
    <col min="8159" max="8159" width="11.375" style="1" bestFit="1" customWidth="1"/>
    <col min="8160" max="8163" width="12.5" style="1" bestFit="1" customWidth="1"/>
    <col min="8164" max="8182" width="13" style="1" bestFit="1" customWidth="1"/>
    <col min="8183" max="8186" width="11" style="1" bestFit="1" customWidth="1"/>
    <col min="8187" max="8189" width="12.25" style="1" bestFit="1" customWidth="1"/>
    <col min="8190" max="8201" width="11" style="1" bestFit="1" customWidth="1"/>
    <col min="8202" max="8202" width="13.25" style="1" bestFit="1" customWidth="1"/>
    <col min="8203" max="8203" width="10.375" style="1" bestFit="1" customWidth="1"/>
    <col min="8204" max="8204" width="11" style="1" bestFit="1" customWidth="1"/>
    <col min="8205" max="8409" width="9" style="1"/>
    <col min="8410" max="8410" width="2.875" style="1" bestFit="1" customWidth="1"/>
    <col min="8411" max="8411" width="17.625" style="1" bestFit="1" customWidth="1"/>
    <col min="8412" max="8412" width="11.375" style="1" bestFit="1" customWidth="1"/>
    <col min="8413" max="8414" width="14.125" style="1" bestFit="1" customWidth="1"/>
    <col min="8415" max="8415" width="11.375" style="1" bestFit="1" customWidth="1"/>
    <col min="8416" max="8419" width="12.5" style="1" bestFit="1" customWidth="1"/>
    <col min="8420" max="8438" width="13" style="1" bestFit="1" customWidth="1"/>
    <col min="8439" max="8442" width="11" style="1" bestFit="1" customWidth="1"/>
    <col min="8443" max="8445" width="12.25" style="1" bestFit="1" customWidth="1"/>
    <col min="8446" max="8457" width="11" style="1" bestFit="1" customWidth="1"/>
    <col min="8458" max="8458" width="13.25" style="1" bestFit="1" customWidth="1"/>
    <col min="8459" max="8459" width="10.375" style="1" bestFit="1" customWidth="1"/>
    <col min="8460" max="8460" width="11" style="1" bestFit="1" customWidth="1"/>
    <col min="8461" max="8665" width="9" style="1"/>
    <col min="8666" max="8666" width="2.875" style="1" bestFit="1" customWidth="1"/>
    <col min="8667" max="8667" width="17.625" style="1" bestFit="1" customWidth="1"/>
    <col min="8668" max="8668" width="11.375" style="1" bestFit="1" customWidth="1"/>
    <col min="8669" max="8670" width="14.125" style="1" bestFit="1" customWidth="1"/>
    <col min="8671" max="8671" width="11.375" style="1" bestFit="1" customWidth="1"/>
    <col min="8672" max="8675" width="12.5" style="1" bestFit="1" customWidth="1"/>
    <col min="8676" max="8694" width="13" style="1" bestFit="1" customWidth="1"/>
    <col min="8695" max="8698" width="11" style="1" bestFit="1" customWidth="1"/>
    <col min="8699" max="8701" width="12.25" style="1" bestFit="1" customWidth="1"/>
    <col min="8702" max="8713" width="11" style="1" bestFit="1" customWidth="1"/>
    <col min="8714" max="8714" width="13.25" style="1" bestFit="1" customWidth="1"/>
    <col min="8715" max="8715" width="10.375" style="1" bestFit="1" customWidth="1"/>
    <col min="8716" max="8716" width="11" style="1" bestFit="1" customWidth="1"/>
    <col min="8717" max="8921" width="9" style="1"/>
    <col min="8922" max="8922" width="2.875" style="1" bestFit="1" customWidth="1"/>
    <col min="8923" max="8923" width="17.625" style="1" bestFit="1" customWidth="1"/>
    <col min="8924" max="8924" width="11.375" style="1" bestFit="1" customWidth="1"/>
    <col min="8925" max="8926" width="14.125" style="1" bestFit="1" customWidth="1"/>
    <col min="8927" max="8927" width="11.375" style="1" bestFit="1" customWidth="1"/>
    <col min="8928" max="8931" width="12.5" style="1" bestFit="1" customWidth="1"/>
    <col min="8932" max="8950" width="13" style="1" bestFit="1" customWidth="1"/>
    <col min="8951" max="8954" width="11" style="1" bestFit="1" customWidth="1"/>
    <col min="8955" max="8957" width="12.25" style="1" bestFit="1" customWidth="1"/>
    <col min="8958" max="8969" width="11" style="1" bestFit="1" customWidth="1"/>
    <col min="8970" max="8970" width="13.25" style="1" bestFit="1" customWidth="1"/>
    <col min="8971" max="8971" width="10.375" style="1" bestFit="1" customWidth="1"/>
    <col min="8972" max="8972" width="11" style="1" bestFit="1" customWidth="1"/>
    <col min="8973" max="9177" width="9" style="1"/>
    <col min="9178" max="9178" width="2.875" style="1" bestFit="1" customWidth="1"/>
    <col min="9179" max="9179" width="17.625" style="1" bestFit="1" customWidth="1"/>
    <col min="9180" max="9180" width="11.375" style="1" bestFit="1" customWidth="1"/>
    <col min="9181" max="9182" width="14.125" style="1" bestFit="1" customWidth="1"/>
    <col min="9183" max="9183" width="11.375" style="1" bestFit="1" customWidth="1"/>
    <col min="9184" max="9187" width="12.5" style="1" bestFit="1" customWidth="1"/>
    <col min="9188" max="9206" width="13" style="1" bestFit="1" customWidth="1"/>
    <col min="9207" max="9210" width="11" style="1" bestFit="1" customWidth="1"/>
    <col min="9211" max="9213" width="12.25" style="1" bestFit="1" customWidth="1"/>
    <col min="9214" max="9225" width="11" style="1" bestFit="1" customWidth="1"/>
    <col min="9226" max="9226" width="13.25" style="1" bestFit="1" customWidth="1"/>
    <col min="9227" max="9227" width="10.375" style="1" bestFit="1" customWidth="1"/>
    <col min="9228" max="9228" width="11" style="1" bestFit="1" customWidth="1"/>
    <col min="9229" max="9433" width="9" style="1"/>
    <col min="9434" max="9434" width="2.875" style="1" bestFit="1" customWidth="1"/>
    <col min="9435" max="9435" width="17.625" style="1" bestFit="1" customWidth="1"/>
    <col min="9436" max="9436" width="11.375" style="1" bestFit="1" customWidth="1"/>
    <col min="9437" max="9438" width="14.125" style="1" bestFit="1" customWidth="1"/>
    <col min="9439" max="9439" width="11.375" style="1" bestFit="1" customWidth="1"/>
    <col min="9440" max="9443" width="12.5" style="1" bestFit="1" customWidth="1"/>
    <col min="9444" max="9462" width="13" style="1" bestFit="1" customWidth="1"/>
    <col min="9463" max="9466" width="11" style="1" bestFit="1" customWidth="1"/>
    <col min="9467" max="9469" width="12.25" style="1" bestFit="1" customWidth="1"/>
    <col min="9470" max="9481" width="11" style="1" bestFit="1" customWidth="1"/>
    <col min="9482" max="9482" width="13.25" style="1" bestFit="1" customWidth="1"/>
    <col min="9483" max="9483" width="10.375" style="1" bestFit="1" customWidth="1"/>
    <col min="9484" max="9484" width="11" style="1" bestFit="1" customWidth="1"/>
    <col min="9485" max="9689" width="9" style="1"/>
    <col min="9690" max="9690" width="2.875" style="1" bestFit="1" customWidth="1"/>
    <col min="9691" max="9691" width="17.625" style="1" bestFit="1" customWidth="1"/>
    <col min="9692" max="9692" width="11.375" style="1" bestFit="1" customWidth="1"/>
    <col min="9693" max="9694" width="14.125" style="1" bestFit="1" customWidth="1"/>
    <col min="9695" max="9695" width="11.375" style="1" bestFit="1" customWidth="1"/>
    <col min="9696" max="9699" width="12.5" style="1" bestFit="1" customWidth="1"/>
    <col min="9700" max="9718" width="13" style="1" bestFit="1" customWidth="1"/>
    <col min="9719" max="9722" width="11" style="1" bestFit="1" customWidth="1"/>
    <col min="9723" max="9725" width="12.25" style="1" bestFit="1" customWidth="1"/>
    <col min="9726" max="9737" width="11" style="1" bestFit="1" customWidth="1"/>
    <col min="9738" max="9738" width="13.25" style="1" bestFit="1" customWidth="1"/>
    <col min="9739" max="9739" width="10.375" style="1" bestFit="1" customWidth="1"/>
    <col min="9740" max="9740" width="11" style="1" bestFit="1" customWidth="1"/>
    <col min="9741" max="9945" width="9" style="1"/>
    <col min="9946" max="9946" width="2.875" style="1" bestFit="1" customWidth="1"/>
    <col min="9947" max="9947" width="17.625" style="1" bestFit="1" customWidth="1"/>
    <col min="9948" max="9948" width="11.375" style="1" bestFit="1" customWidth="1"/>
    <col min="9949" max="9950" width="14.125" style="1" bestFit="1" customWidth="1"/>
    <col min="9951" max="9951" width="11.375" style="1" bestFit="1" customWidth="1"/>
    <col min="9952" max="9955" width="12.5" style="1" bestFit="1" customWidth="1"/>
    <col min="9956" max="9974" width="13" style="1" bestFit="1" customWidth="1"/>
    <col min="9975" max="9978" width="11" style="1" bestFit="1" customWidth="1"/>
    <col min="9979" max="9981" width="12.25" style="1" bestFit="1" customWidth="1"/>
    <col min="9982" max="9993" width="11" style="1" bestFit="1" customWidth="1"/>
    <col min="9994" max="9994" width="13.25" style="1" bestFit="1" customWidth="1"/>
    <col min="9995" max="9995" width="10.375" style="1" bestFit="1" customWidth="1"/>
    <col min="9996" max="9996" width="11" style="1" bestFit="1" customWidth="1"/>
    <col min="9997" max="10201" width="9" style="1"/>
    <col min="10202" max="10202" width="2.875" style="1" bestFit="1" customWidth="1"/>
    <col min="10203" max="10203" width="17.625" style="1" bestFit="1" customWidth="1"/>
    <col min="10204" max="10204" width="11.375" style="1" bestFit="1" customWidth="1"/>
    <col min="10205" max="10206" width="14.125" style="1" bestFit="1" customWidth="1"/>
    <col min="10207" max="10207" width="11.375" style="1" bestFit="1" customWidth="1"/>
    <col min="10208" max="10211" width="12.5" style="1" bestFit="1" customWidth="1"/>
    <col min="10212" max="10230" width="13" style="1" bestFit="1" customWidth="1"/>
    <col min="10231" max="10234" width="11" style="1" bestFit="1" customWidth="1"/>
    <col min="10235" max="10237" width="12.25" style="1" bestFit="1" customWidth="1"/>
    <col min="10238" max="10249" width="11" style="1" bestFit="1" customWidth="1"/>
    <col min="10250" max="10250" width="13.25" style="1" bestFit="1" customWidth="1"/>
    <col min="10251" max="10251" width="10.375" style="1" bestFit="1" customWidth="1"/>
    <col min="10252" max="10252" width="11" style="1" bestFit="1" customWidth="1"/>
    <col min="10253" max="10457" width="9" style="1"/>
    <col min="10458" max="10458" width="2.875" style="1" bestFit="1" customWidth="1"/>
    <col min="10459" max="10459" width="17.625" style="1" bestFit="1" customWidth="1"/>
    <col min="10460" max="10460" width="11.375" style="1" bestFit="1" customWidth="1"/>
    <col min="10461" max="10462" width="14.125" style="1" bestFit="1" customWidth="1"/>
    <col min="10463" max="10463" width="11.375" style="1" bestFit="1" customWidth="1"/>
    <col min="10464" max="10467" width="12.5" style="1" bestFit="1" customWidth="1"/>
    <col min="10468" max="10486" width="13" style="1" bestFit="1" customWidth="1"/>
    <col min="10487" max="10490" width="11" style="1" bestFit="1" customWidth="1"/>
    <col min="10491" max="10493" width="12.25" style="1" bestFit="1" customWidth="1"/>
    <col min="10494" max="10505" width="11" style="1" bestFit="1" customWidth="1"/>
    <col min="10506" max="10506" width="13.25" style="1" bestFit="1" customWidth="1"/>
    <col min="10507" max="10507" width="10.375" style="1" bestFit="1" customWidth="1"/>
    <col min="10508" max="10508" width="11" style="1" bestFit="1" customWidth="1"/>
    <col min="10509" max="10713" width="9" style="1"/>
    <col min="10714" max="10714" width="2.875" style="1" bestFit="1" customWidth="1"/>
    <col min="10715" max="10715" width="17.625" style="1" bestFit="1" customWidth="1"/>
    <col min="10716" max="10716" width="11.375" style="1" bestFit="1" customWidth="1"/>
    <col min="10717" max="10718" width="14.125" style="1" bestFit="1" customWidth="1"/>
    <col min="10719" max="10719" width="11.375" style="1" bestFit="1" customWidth="1"/>
    <col min="10720" max="10723" width="12.5" style="1" bestFit="1" customWidth="1"/>
    <col min="10724" max="10742" width="13" style="1" bestFit="1" customWidth="1"/>
    <col min="10743" max="10746" width="11" style="1" bestFit="1" customWidth="1"/>
    <col min="10747" max="10749" width="12.25" style="1" bestFit="1" customWidth="1"/>
    <col min="10750" max="10761" width="11" style="1" bestFit="1" customWidth="1"/>
    <col min="10762" max="10762" width="13.25" style="1" bestFit="1" customWidth="1"/>
    <col min="10763" max="10763" width="10.375" style="1" bestFit="1" customWidth="1"/>
    <col min="10764" max="10764" width="11" style="1" bestFit="1" customWidth="1"/>
    <col min="10765" max="10969" width="9" style="1"/>
    <col min="10970" max="10970" width="2.875" style="1" bestFit="1" customWidth="1"/>
    <col min="10971" max="10971" width="17.625" style="1" bestFit="1" customWidth="1"/>
    <col min="10972" max="10972" width="11.375" style="1" bestFit="1" customWidth="1"/>
    <col min="10973" max="10974" width="14.125" style="1" bestFit="1" customWidth="1"/>
    <col min="10975" max="10975" width="11.375" style="1" bestFit="1" customWidth="1"/>
    <col min="10976" max="10979" width="12.5" style="1" bestFit="1" customWidth="1"/>
    <col min="10980" max="10998" width="13" style="1" bestFit="1" customWidth="1"/>
    <col min="10999" max="11002" width="11" style="1" bestFit="1" customWidth="1"/>
    <col min="11003" max="11005" width="12.25" style="1" bestFit="1" customWidth="1"/>
    <col min="11006" max="11017" width="11" style="1" bestFit="1" customWidth="1"/>
    <col min="11018" max="11018" width="13.25" style="1" bestFit="1" customWidth="1"/>
    <col min="11019" max="11019" width="10.375" style="1" bestFit="1" customWidth="1"/>
    <col min="11020" max="11020" width="11" style="1" bestFit="1" customWidth="1"/>
    <col min="11021" max="11225" width="9" style="1"/>
    <col min="11226" max="11226" width="2.875" style="1" bestFit="1" customWidth="1"/>
    <col min="11227" max="11227" width="17.625" style="1" bestFit="1" customWidth="1"/>
    <col min="11228" max="11228" width="11.375" style="1" bestFit="1" customWidth="1"/>
    <col min="11229" max="11230" width="14.125" style="1" bestFit="1" customWidth="1"/>
    <col min="11231" max="11231" width="11.375" style="1" bestFit="1" customWidth="1"/>
    <col min="11232" max="11235" width="12.5" style="1" bestFit="1" customWidth="1"/>
    <col min="11236" max="11254" width="13" style="1" bestFit="1" customWidth="1"/>
    <col min="11255" max="11258" width="11" style="1" bestFit="1" customWidth="1"/>
    <col min="11259" max="11261" width="12.25" style="1" bestFit="1" customWidth="1"/>
    <col min="11262" max="11273" width="11" style="1" bestFit="1" customWidth="1"/>
    <col min="11274" max="11274" width="13.25" style="1" bestFit="1" customWidth="1"/>
    <col min="11275" max="11275" width="10.375" style="1" bestFit="1" customWidth="1"/>
    <col min="11276" max="11276" width="11" style="1" bestFit="1" customWidth="1"/>
    <col min="11277" max="11481" width="9" style="1"/>
    <col min="11482" max="11482" width="2.875" style="1" bestFit="1" customWidth="1"/>
    <col min="11483" max="11483" width="17.625" style="1" bestFit="1" customWidth="1"/>
    <col min="11484" max="11484" width="11.375" style="1" bestFit="1" customWidth="1"/>
    <col min="11485" max="11486" width="14.125" style="1" bestFit="1" customWidth="1"/>
    <col min="11487" max="11487" width="11.375" style="1" bestFit="1" customWidth="1"/>
    <col min="11488" max="11491" width="12.5" style="1" bestFit="1" customWidth="1"/>
    <col min="11492" max="11510" width="13" style="1" bestFit="1" customWidth="1"/>
    <col min="11511" max="11514" width="11" style="1" bestFit="1" customWidth="1"/>
    <col min="11515" max="11517" width="12.25" style="1" bestFit="1" customWidth="1"/>
    <col min="11518" max="11529" width="11" style="1" bestFit="1" customWidth="1"/>
    <col min="11530" max="11530" width="13.25" style="1" bestFit="1" customWidth="1"/>
    <col min="11531" max="11531" width="10.375" style="1" bestFit="1" customWidth="1"/>
    <col min="11532" max="11532" width="11" style="1" bestFit="1" customWidth="1"/>
    <col min="11533" max="11737" width="9" style="1"/>
    <col min="11738" max="11738" width="2.875" style="1" bestFit="1" customWidth="1"/>
    <col min="11739" max="11739" width="17.625" style="1" bestFit="1" customWidth="1"/>
    <col min="11740" max="11740" width="11.375" style="1" bestFit="1" customWidth="1"/>
    <col min="11741" max="11742" width="14.125" style="1" bestFit="1" customWidth="1"/>
    <col min="11743" max="11743" width="11.375" style="1" bestFit="1" customWidth="1"/>
    <col min="11744" max="11747" width="12.5" style="1" bestFit="1" customWidth="1"/>
    <col min="11748" max="11766" width="13" style="1" bestFit="1" customWidth="1"/>
    <col min="11767" max="11770" width="11" style="1" bestFit="1" customWidth="1"/>
    <col min="11771" max="11773" width="12.25" style="1" bestFit="1" customWidth="1"/>
    <col min="11774" max="11785" width="11" style="1" bestFit="1" customWidth="1"/>
    <col min="11786" max="11786" width="13.25" style="1" bestFit="1" customWidth="1"/>
    <col min="11787" max="11787" width="10.375" style="1" bestFit="1" customWidth="1"/>
    <col min="11788" max="11788" width="11" style="1" bestFit="1" customWidth="1"/>
    <col min="11789" max="11993" width="9" style="1"/>
    <col min="11994" max="11994" width="2.875" style="1" bestFit="1" customWidth="1"/>
    <col min="11995" max="11995" width="17.625" style="1" bestFit="1" customWidth="1"/>
    <col min="11996" max="11996" width="11.375" style="1" bestFit="1" customWidth="1"/>
    <col min="11997" max="11998" width="14.125" style="1" bestFit="1" customWidth="1"/>
    <col min="11999" max="11999" width="11.375" style="1" bestFit="1" customWidth="1"/>
    <col min="12000" max="12003" width="12.5" style="1" bestFit="1" customWidth="1"/>
    <col min="12004" max="12022" width="13" style="1" bestFit="1" customWidth="1"/>
    <col min="12023" max="12026" width="11" style="1" bestFit="1" customWidth="1"/>
    <col min="12027" max="12029" width="12.25" style="1" bestFit="1" customWidth="1"/>
    <col min="12030" max="12041" width="11" style="1" bestFit="1" customWidth="1"/>
    <col min="12042" max="12042" width="13.25" style="1" bestFit="1" customWidth="1"/>
    <col min="12043" max="12043" width="10.375" style="1" bestFit="1" customWidth="1"/>
    <col min="12044" max="12044" width="11" style="1" bestFit="1" customWidth="1"/>
    <col min="12045" max="12249" width="9" style="1"/>
    <col min="12250" max="12250" width="2.875" style="1" bestFit="1" customWidth="1"/>
    <col min="12251" max="12251" width="17.625" style="1" bestFit="1" customWidth="1"/>
    <col min="12252" max="12252" width="11.375" style="1" bestFit="1" customWidth="1"/>
    <col min="12253" max="12254" width="14.125" style="1" bestFit="1" customWidth="1"/>
    <col min="12255" max="12255" width="11.375" style="1" bestFit="1" customWidth="1"/>
    <col min="12256" max="12259" width="12.5" style="1" bestFit="1" customWidth="1"/>
    <col min="12260" max="12278" width="13" style="1" bestFit="1" customWidth="1"/>
    <col min="12279" max="12282" width="11" style="1" bestFit="1" customWidth="1"/>
    <col min="12283" max="12285" width="12.25" style="1" bestFit="1" customWidth="1"/>
    <col min="12286" max="12297" width="11" style="1" bestFit="1" customWidth="1"/>
    <col min="12298" max="12298" width="13.25" style="1" bestFit="1" customWidth="1"/>
    <col min="12299" max="12299" width="10.375" style="1" bestFit="1" customWidth="1"/>
    <col min="12300" max="12300" width="11" style="1" bestFit="1" customWidth="1"/>
    <col min="12301" max="12505" width="9" style="1"/>
    <col min="12506" max="12506" width="2.875" style="1" bestFit="1" customWidth="1"/>
    <col min="12507" max="12507" width="17.625" style="1" bestFit="1" customWidth="1"/>
    <col min="12508" max="12508" width="11.375" style="1" bestFit="1" customWidth="1"/>
    <col min="12509" max="12510" width="14.125" style="1" bestFit="1" customWidth="1"/>
    <col min="12511" max="12511" width="11.375" style="1" bestFit="1" customWidth="1"/>
    <col min="12512" max="12515" width="12.5" style="1" bestFit="1" customWidth="1"/>
    <col min="12516" max="12534" width="13" style="1" bestFit="1" customWidth="1"/>
    <col min="12535" max="12538" width="11" style="1" bestFit="1" customWidth="1"/>
    <col min="12539" max="12541" width="12.25" style="1" bestFit="1" customWidth="1"/>
    <col min="12542" max="12553" width="11" style="1" bestFit="1" customWidth="1"/>
    <col min="12554" max="12554" width="13.25" style="1" bestFit="1" customWidth="1"/>
    <col min="12555" max="12555" width="10.375" style="1" bestFit="1" customWidth="1"/>
    <col min="12556" max="12556" width="11" style="1" bestFit="1" customWidth="1"/>
    <col min="12557" max="12761" width="9" style="1"/>
    <col min="12762" max="12762" width="2.875" style="1" bestFit="1" customWidth="1"/>
    <col min="12763" max="12763" width="17.625" style="1" bestFit="1" customWidth="1"/>
    <col min="12764" max="12764" width="11.375" style="1" bestFit="1" customWidth="1"/>
    <col min="12765" max="12766" width="14.125" style="1" bestFit="1" customWidth="1"/>
    <col min="12767" max="12767" width="11.375" style="1" bestFit="1" customWidth="1"/>
    <col min="12768" max="12771" width="12.5" style="1" bestFit="1" customWidth="1"/>
    <col min="12772" max="12790" width="13" style="1" bestFit="1" customWidth="1"/>
    <col min="12791" max="12794" width="11" style="1" bestFit="1" customWidth="1"/>
    <col min="12795" max="12797" width="12.25" style="1" bestFit="1" customWidth="1"/>
    <col min="12798" max="12809" width="11" style="1" bestFit="1" customWidth="1"/>
    <col min="12810" max="12810" width="13.25" style="1" bestFit="1" customWidth="1"/>
    <col min="12811" max="12811" width="10.375" style="1" bestFit="1" customWidth="1"/>
    <col min="12812" max="12812" width="11" style="1" bestFit="1" customWidth="1"/>
    <col min="12813" max="13017" width="9" style="1"/>
    <col min="13018" max="13018" width="2.875" style="1" bestFit="1" customWidth="1"/>
    <col min="13019" max="13019" width="17.625" style="1" bestFit="1" customWidth="1"/>
    <col min="13020" max="13020" width="11.375" style="1" bestFit="1" customWidth="1"/>
    <col min="13021" max="13022" width="14.125" style="1" bestFit="1" customWidth="1"/>
    <col min="13023" max="13023" width="11.375" style="1" bestFit="1" customWidth="1"/>
    <col min="13024" max="13027" width="12.5" style="1" bestFit="1" customWidth="1"/>
    <col min="13028" max="13046" width="13" style="1" bestFit="1" customWidth="1"/>
    <col min="13047" max="13050" width="11" style="1" bestFit="1" customWidth="1"/>
    <col min="13051" max="13053" width="12.25" style="1" bestFit="1" customWidth="1"/>
    <col min="13054" max="13065" width="11" style="1" bestFit="1" customWidth="1"/>
    <col min="13066" max="13066" width="13.25" style="1" bestFit="1" customWidth="1"/>
    <col min="13067" max="13067" width="10.375" style="1" bestFit="1" customWidth="1"/>
    <col min="13068" max="13068" width="11" style="1" bestFit="1" customWidth="1"/>
    <col min="13069" max="13273" width="9" style="1"/>
    <col min="13274" max="13274" width="2.875" style="1" bestFit="1" customWidth="1"/>
    <col min="13275" max="13275" width="17.625" style="1" bestFit="1" customWidth="1"/>
    <col min="13276" max="13276" width="11.375" style="1" bestFit="1" customWidth="1"/>
    <col min="13277" max="13278" width="14.125" style="1" bestFit="1" customWidth="1"/>
    <col min="13279" max="13279" width="11.375" style="1" bestFit="1" customWidth="1"/>
    <col min="13280" max="13283" width="12.5" style="1" bestFit="1" customWidth="1"/>
    <col min="13284" max="13302" width="13" style="1" bestFit="1" customWidth="1"/>
    <col min="13303" max="13306" width="11" style="1" bestFit="1" customWidth="1"/>
    <col min="13307" max="13309" width="12.25" style="1" bestFit="1" customWidth="1"/>
    <col min="13310" max="13321" width="11" style="1" bestFit="1" customWidth="1"/>
    <col min="13322" max="13322" width="13.25" style="1" bestFit="1" customWidth="1"/>
    <col min="13323" max="13323" width="10.375" style="1" bestFit="1" customWidth="1"/>
    <col min="13324" max="13324" width="11" style="1" bestFit="1" customWidth="1"/>
    <col min="13325" max="13529" width="9" style="1"/>
    <col min="13530" max="13530" width="2.875" style="1" bestFit="1" customWidth="1"/>
    <col min="13531" max="13531" width="17.625" style="1" bestFit="1" customWidth="1"/>
    <col min="13532" max="13532" width="11.375" style="1" bestFit="1" customWidth="1"/>
    <col min="13533" max="13534" width="14.125" style="1" bestFit="1" customWidth="1"/>
    <col min="13535" max="13535" width="11.375" style="1" bestFit="1" customWidth="1"/>
    <col min="13536" max="13539" width="12.5" style="1" bestFit="1" customWidth="1"/>
    <col min="13540" max="13558" width="13" style="1" bestFit="1" customWidth="1"/>
    <col min="13559" max="13562" width="11" style="1" bestFit="1" customWidth="1"/>
    <col min="13563" max="13565" width="12.25" style="1" bestFit="1" customWidth="1"/>
    <col min="13566" max="13577" width="11" style="1" bestFit="1" customWidth="1"/>
    <col min="13578" max="13578" width="13.25" style="1" bestFit="1" customWidth="1"/>
    <col min="13579" max="13579" width="10.375" style="1" bestFit="1" customWidth="1"/>
    <col min="13580" max="13580" width="11" style="1" bestFit="1" customWidth="1"/>
    <col min="13581" max="13785" width="9" style="1"/>
    <col min="13786" max="13786" width="2.875" style="1" bestFit="1" customWidth="1"/>
    <col min="13787" max="13787" width="17.625" style="1" bestFit="1" customWidth="1"/>
    <col min="13788" max="13788" width="11.375" style="1" bestFit="1" customWidth="1"/>
    <col min="13789" max="13790" width="14.125" style="1" bestFit="1" customWidth="1"/>
    <col min="13791" max="13791" width="11.375" style="1" bestFit="1" customWidth="1"/>
    <col min="13792" max="13795" width="12.5" style="1" bestFit="1" customWidth="1"/>
    <col min="13796" max="13814" width="13" style="1" bestFit="1" customWidth="1"/>
    <col min="13815" max="13818" width="11" style="1" bestFit="1" customWidth="1"/>
    <col min="13819" max="13821" width="12.25" style="1" bestFit="1" customWidth="1"/>
    <col min="13822" max="13833" width="11" style="1" bestFit="1" customWidth="1"/>
    <col min="13834" max="13834" width="13.25" style="1" bestFit="1" customWidth="1"/>
    <col min="13835" max="13835" width="10.375" style="1" bestFit="1" customWidth="1"/>
    <col min="13836" max="13836" width="11" style="1" bestFit="1" customWidth="1"/>
    <col min="13837" max="14041" width="9" style="1"/>
    <col min="14042" max="14042" width="2.875" style="1" bestFit="1" customWidth="1"/>
    <col min="14043" max="14043" width="17.625" style="1" bestFit="1" customWidth="1"/>
    <col min="14044" max="14044" width="11.375" style="1" bestFit="1" customWidth="1"/>
    <col min="14045" max="14046" width="14.125" style="1" bestFit="1" customWidth="1"/>
    <col min="14047" max="14047" width="11.375" style="1" bestFit="1" customWidth="1"/>
    <col min="14048" max="14051" width="12.5" style="1" bestFit="1" customWidth="1"/>
    <col min="14052" max="14070" width="13" style="1" bestFit="1" customWidth="1"/>
    <col min="14071" max="14074" width="11" style="1" bestFit="1" customWidth="1"/>
    <col min="14075" max="14077" width="12.25" style="1" bestFit="1" customWidth="1"/>
    <col min="14078" max="14089" width="11" style="1" bestFit="1" customWidth="1"/>
    <col min="14090" max="14090" width="13.25" style="1" bestFit="1" customWidth="1"/>
    <col min="14091" max="14091" width="10.375" style="1" bestFit="1" customWidth="1"/>
    <col min="14092" max="14092" width="11" style="1" bestFit="1" customWidth="1"/>
    <col min="14093" max="14297" width="9" style="1"/>
    <col min="14298" max="14298" width="2.875" style="1" bestFit="1" customWidth="1"/>
    <col min="14299" max="14299" width="17.625" style="1" bestFit="1" customWidth="1"/>
    <col min="14300" max="14300" width="11.375" style="1" bestFit="1" customWidth="1"/>
    <col min="14301" max="14302" width="14.125" style="1" bestFit="1" customWidth="1"/>
    <col min="14303" max="14303" width="11.375" style="1" bestFit="1" customWidth="1"/>
    <col min="14304" max="14307" width="12.5" style="1" bestFit="1" customWidth="1"/>
    <col min="14308" max="14326" width="13" style="1" bestFit="1" customWidth="1"/>
    <col min="14327" max="14330" width="11" style="1" bestFit="1" customWidth="1"/>
    <col min="14331" max="14333" width="12.25" style="1" bestFit="1" customWidth="1"/>
    <col min="14334" max="14345" width="11" style="1" bestFit="1" customWidth="1"/>
    <col min="14346" max="14346" width="13.25" style="1" bestFit="1" customWidth="1"/>
    <col min="14347" max="14347" width="10.375" style="1" bestFit="1" customWidth="1"/>
    <col min="14348" max="14348" width="11" style="1" bestFit="1" customWidth="1"/>
    <col min="14349" max="14553" width="9" style="1"/>
    <col min="14554" max="14554" width="2.875" style="1" bestFit="1" customWidth="1"/>
    <col min="14555" max="14555" width="17.625" style="1" bestFit="1" customWidth="1"/>
    <col min="14556" max="14556" width="11.375" style="1" bestFit="1" customWidth="1"/>
    <col min="14557" max="14558" width="14.125" style="1" bestFit="1" customWidth="1"/>
    <col min="14559" max="14559" width="11.375" style="1" bestFit="1" customWidth="1"/>
    <col min="14560" max="14563" width="12.5" style="1" bestFit="1" customWidth="1"/>
    <col min="14564" max="14582" width="13" style="1" bestFit="1" customWidth="1"/>
    <col min="14583" max="14586" width="11" style="1" bestFit="1" customWidth="1"/>
    <col min="14587" max="14589" width="12.25" style="1" bestFit="1" customWidth="1"/>
    <col min="14590" max="14601" width="11" style="1" bestFit="1" customWidth="1"/>
    <col min="14602" max="14602" width="13.25" style="1" bestFit="1" customWidth="1"/>
    <col min="14603" max="14603" width="10.375" style="1" bestFit="1" customWidth="1"/>
    <col min="14604" max="14604" width="11" style="1" bestFit="1" customWidth="1"/>
    <col min="14605" max="14809" width="9" style="1"/>
    <col min="14810" max="14810" width="2.875" style="1" bestFit="1" customWidth="1"/>
    <col min="14811" max="14811" width="17.625" style="1" bestFit="1" customWidth="1"/>
    <col min="14812" max="14812" width="11.375" style="1" bestFit="1" customWidth="1"/>
    <col min="14813" max="14814" width="14.125" style="1" bestFit="1" customWidth="1"/>
    <col min="14815" max="14815" width="11.375" style="1" bestFit="1" customWidth="1"/>
    <col min="14816" max="14819" width="12.5" style="1" bestFit="1" customWidth="1"/>
    <col min="14820" max="14838" width="13" style="1" bestFit="1" customWidth="1"/>
    <col min="14839" max="14842" width="11" style="1" bestFit="1" customWidth="1"/>
    <col min="14843" max="14845" width="12.25" style="1" bestFit="1" customWidth="1"/>
    <col min="14846" max="14857" width="11" style="1" bestFit="1" customWidth="1"/>
    <col min="14858" max="14858" width="13.25" style="1" bestFit="1" customWidth="1"/>
    <col min="14859" max="14859" width="10.375" style="1" bestFit="1" customWidth="1"/>
    <col min="14860" max="14860" width="11" style="1" bestFit="1" customWidth="1"/>
    <col min="14861" max="15065" width="9" style="1"/>
    <col min="15066" max="15066" width="2.875" style="1" bestFit="1" customWidth="1"/>
    <col min="15067" max="15067" width="17.625" style="1" bestFit="1" customWidth="1"/>
    <col min="15068" max="15068" width="11.375" style="1" bestFit="1" customWidth="1"/>
    <col min="15069" max="15070" width="14.125" style="1" bestFit="1" customWidth="1"/>
    <col min="15071" max="15071" width="11.375" style="1" bestFit="1" customWidth="1"/>
    <col min="15072" max="15075" width="12.5" style="1" bestFit="1" customWidth="1"/>
    <col min="15076" max="15094" width="13" style="1" bestFit="1" customWidth="1"/>
    <col min="15095" max="15098" width="11" style="1" bestFit="1" customWidth="1"/>
    <col min="15099" max="15101" width="12.25" style="1" bestFit="1" customWidth="1"/>
    <col min="15102" max="15113" width="11" style="1" bestFit="1" customWidth="1"/>
    <col min="15114" max="15114" width="13.25" style="1" bestFit="1" customWidth="1"/>
    <col min="15115" max="15115" width="10.375" style="1" bestFit="1" customWidth="1"/>
    <col min="15116" max="15116" width="11" style="1" bestFit="1" customWidth="1"/>
    <col min="15117" max="15321" width="9" style="1"/>
    <col min="15322" max="15322" width="2.875" style="1" bestFit="1" customWidth="1"/>
    <col min="15323" max="15323" width="17.625" style="1" bestFit="1" customWidth="1"/>
    <col min="15324" max="15324" width="11.375" style="1" bestFit="1" customWidth="1"/>
    <col min="15325" max="15326" width="14.125" style="1" bestFit="1" customWidth="1"/>
    <col min="15327" max="15327" width="11.375" style="1" bestFit="1" customWidth="1"/>
    <col min="15328" max="15331" width="12.5" style="1" bestFit="1" customWidth="1"/>
    <col min="15332" max="15350" width="13" style="1" bestFit="1" customWidth="1"/>
    <col min="15351" max="15354" width="11" style="1" bestFit="1" customWidth="1"/>
    <col min="15355" max="15357" width="12.25" style="1" bestFit="1" customWidth="1"/>
    <col min="15358" max="15369" width="11" style="1" bestFit="1" customWidth="1"/>
    <col min="15370" max="15370" width="13.25" style="1" bestFit="1" customWidth="1"/>
    <col min="15371" max="15371" width="10.375" style="1" bestFit="1" customWidth="1"/>
    <col min="15372" max="15372" width="11" style="1" bestFit="1" customWidth="1"/>
    <col min="15373" max="15577" width="9" style="1"/>
    <col min="15578" max="15578" width="2.875" style="1" bestFit="1" customWidth="1"/>
    <col min="15579" max="15579" width="17.625" style="1" bestFit="1" customWidth="1"/>
    <col min="15580" max="15580" width="11.375" style="1" bestFit="1" customWidth="1"/>
    <col min="15581" max="15582" width="14.125" style="1" bestFit="1" customWidth="1"/>
    <col min="15583" max="15583" width="11.375" style="1" bestFit="1" customWidth="1"/>
    <col min="15584" max="15587" width="12.5" style="1" bestFit="1" customWidth="1"/>
    <col min="15588" max="15606" width="13" style="1" bestFit="1" customWidth="1"/>
    <col min="15607" max="15610" width="11" style="1" bestFit="1" customWidth="1"/>
    <col min="15611" max="15613" width="12.25" style="1" bestFit="1" customWidth="1"/>
    <col min="15614" max="15625" width="11" style="1" bestFit="1" customWidth="1"/>
    <col min="15626" max="15626" width="13.25" style="1" bestFit="1" customWidth="1"/>
    <col min="15627" max="15627" width="10.375" style="1" bestFit="1" customWidth="1"/>
    <col min="15628" max="15628" width="11" style="1" bestFit="1" customWidth="1"/>
    <col min="15629" max="15833" width="9" style="1"/>
    <col min="15834" max="15834" width="2.875" style="1" bestFit="1" customWidth="1"/>
    <col min="15835" max="15835" width="17.625" style="1" bestFit="1" customWidth="1"/>
    <col min="15836" max="15836" width="11.375" style="1" bestFit="1" customWidth="1"/>
    <col min="15837" max="15838" width="14.125" style="1" bestFit="1" customWidth="1"/>
    <col min="15839" max="15839" width="11.375" style="1" bestFit="1" customWidth="1"/>
    <col min="15840" max="15843" width="12.5" style="1" bestFit="1" customWidth="1"/>
    <col min="15844" max="15862" width="13" style="1" bestFit="1" customWidth="1"/>
    <col min="15863" max="15866" width="11" style="1" bestFit="1" customWidth="1"/>
    <col min="15867" max="15869" width="12.25" style="1" bestFit="1" customWidth="1"/>
    <col min="15870" max="15881" width="11" style="1" bestFit="1" customWidth="1"/>
    <col min="15882" max="15882" width="13.25" style="1" bestFit="1" customWidth="1"/>
    <col min="15883" max="15883" width="10.375" style="1" bestFit="1" customWidth="1"/>
    <col min="15884" max="15884" width="11" style="1" bestFit="1" customWidth="1"/>
    <col min="15885" max="16089" width="9" style="1"/>
    <col min="16090" max="16090" width="2.875" style="1" bestFit="1" customWidth="1"/>
    <col min="16091" max="16091" width="17.625" style="1" bestFit="1" customWidth="1"/>
    <col min="16092" max="16092" width="11.375" style="1" bestFit="1" customWidth="1"/>
    <col min="16093" max="16094" width="14.125" style="1" bestFit="1" customWidth="1"/>
    <col min="16095" max="16095" width="11.375" style="1" bestFit="1" customWidth="1"/>
    <col min="16096" max="16099" width="12.5" style="1" bestFit="1" customWidth="1"/>
    <col min="16100" max="16118" width="13" style="1" bestFit="1" customWidth="1"/>
    <col min="16119" max="16122" width="11" style="1" bestFit="1" customWidth="1"/>
    <col min="16123" max="16125" width="12.25" style="1" bestFit="1" customWidth="1"/>
    <col min="16126" max="16137" width="11" style="1" bestFit="1" customWidth="1"/>
    <col min="16138" max="16138" width="13.25" style="1" bestFit="1" customWidth="1"/>
    <col min="16139" max="16139" width="10.375" style="1" bestFit="1" customWidth="1"/>
    <col min="16140" max="16140" width="11" style="1" bestFit="1" customWidth="1"/>
    <col min="16141" max="16384" width="9" style="1"/>
  </cols>
  <sheetData>
    <row r="1" spans="1:12" hidden="1" x14ac:dyDescent="0.15"/>
    <row r="2" spans="1:12" ht="30.75" hidden="1" customHeight="1" x14ac:dyDescent="0.15"/>
    <row r="3" spans="1:12" ht="17.25" x14ac:dyDescent="0.2">
      <c r="A3" s="37">
        <v>45474</v>
      </c>
      <c r="B3" s="37"/>
      <c r="C3" s="54" t="s">
        <v>248</v>
      </c>
    </row>
    <row r="4" spans="1:12" s="5" customFormat="1" ht="12" customHeight="1" x14ac:dyDescent="0.15">
      <c r="A4" s="38" t="s">
        <v>0</v>
      </c>
      <c r="B4" s="38"/>
      <c r="C4" s="2" t="s">
        <v>26</v>
      </c>
      <c r="D4" s="2" t="s">
        <v>27</v>
      </c>
      <c r="E4" s="2" t="s">
        <v>28</v>
      </c>
      <c r="F4" s="2" t="s">
        <v>29</v>
      </c>
      <c r="G4" s="2" t="s">
        <v>30</v>
      </c>
      <c r="H4" s="2" t="s">
        <v>31</v>
      </c>
      <c r="I4" s="2" t="s">
        <v>32</v>
      </c>
      <c r="J4" s="3" t="s">
        <v>41</v>
      </c>
      <c r="K4" s="3" t="s">
        <v>42</v>
      </c>
      <c r="L4" s="4" t="s">
        <v>43</v>
      </c>
    </row>
    <row r="5" spans="1:12" s="5" customFormat="1" hidden="1" x14ac:dyDescent="0.15">
      <c r="A5" s="39" t="s">
        <v>44</v>
      </c>
      <c r="B5" s="40"/>
      <c r="C5" s="2">
        <v>6</v>
      </c>
      <c r="D5" s="2">
        <v>6</v>
      </c>
      <c r="E5" s="2">
        <v>6</v>
      </c>
      <c r="F5" s="2">
        <v>6</v>
      </c>
      <c r="G5" s="2">
        <v>6</v>
      </c>
      <c r="H5" s="2">
        <v>6</v>
      </c>
      <c r="I5" s="2">
        <v>6</v>
      </c>
      <c r="J5" s="3"/>
      <c r="K5" s="3"/>
      <c r="L5" s="4"/>
    </row>
    <row r="6" spans="1:12" s="5" customFormat="1" hidden="1" x14ac:dyDescent="0.15">
      <c r="A6" s="39" t="s">
        <v>45</v>
      </c>
      <c r="B6" s="40"/>
      <c r="C6" s="2" t="s">
        <v>48</v>
      </c>
      <c r="D6" s="2" t="s">
        <v>48</v>
      </c>
      <c r="E6" s="2" t="s">
        <v>48</v>
      </c>
      <c r="F6" s="2" t="s">
        <v>48</v>
      </c>
      <c r="G6" s="2" t="s">
        <v>48</v>
      </c>
      <c r="H6" s="2" t="s">
        <v>48</v>
      </c>
      <c r="I6" s="2" t="s">
        <v>48</v>
      </c>
      <c r="J6" s="3"/>
      <c r="K6" s="3"/>
      <c r="L6" s="4"/>
    </row>
    <row r="7" spans="1:12" s="5" customFormat="1" ht="12" customHeight="1" x14ac:dyDescent="0.15">
      <c r="A7" s="36" t="s">
        <v>51</v>
      </c>
      <c r="B7" s="36"/>
      <c r="C7" s="44" t="s">
        <v>179</v>
      </c>
      <c r="D7" s="44" t="s">
        <v>180</v>
      </c>
      <c r="E7" s="44" t="s">
        <v>181</v>
      </c>
      <c r="F7" s="44" t="s">
        <v>182</v>
      </c>
      <c r="G7" s="44" t="s">
        <v>183</v>
      </c>
      <c r="H7" s="44" t="s">
        <v>184</v>
      </c>
      <c r="I7" s="44" t="s">
        <v>185</v>
      </c>
      <c r="J7" s="6"/>
      <c r="K7" s="6"/>
      <c r="L7" s="7"/>
    </row>
    <row r="8" spans="1:12" s="5" customFormat="1" ht="12" customHeight="1" x14ac:dyDescent="0.15">
      <c r="A8" s="36" t="s">
        <v>52</v>
      </c>
      <c r="B8" s="36"/>
      <c r="C8" s="44" t="s">
        <v>220</v>
      </c>
      <c r="D8" s="44" t="s">
        <v>221</v>
      </c>
      <c r="E8" s="44" t="s">
        <v>222</v>
      </c>
      <c r="F8" s="44" t="s">
        <v>223</v>
      </c>
      <c r="G8" s="44" t="s">
        <v>224</v>
      </c>
      <c r="H8" s="44" t="s">
        <v>225</v>
      </c>
      <c r="I8" s="44" t="s">
        <v>226</v>
      </c>
      <c r="J8" s="6"/>
      <c r="K8" s="6"/>
      <c r="L8" s="7"/>
    </row>
    <row r="9" spans="1:12" ht="12" customHeight="1" x14ac:dyDescent="0.15">
      <c r="A9" s="42" t="s">
        <v>53</v>
      </c>
      <c r="B9" s="43"/>
      <c r="C9" s="46">
        <v>8</v>
      </c>
      <c r="D9" s="46">
        <v>8</v>
      </c>
      <c r="E9" s="46">
        <v>8</v>
      </c>
      <c r="F9" s="46">
        <v>10</v>
      </c>
      <c r="G9" s="46">
        <v>10</v>
      </c>
      <c r="H9" s="46">
        <v>10</v>
      </c>
      <c r="I9" s="46">
        <v>10</v>
      </c>
      <c r="J9" s="9">
        <f>SUM(C9:I9)</f>
        <v>64</v>
      </c>
      <c r="K9" s="9"/>
      <c r="L9" s="10"/>
    </row>
    <row r="10" spans="1:12" ht="12.75" customHeight="1" x14ac:dyDescent="0.15">
      <c r="A10" s="38" t="s">
        <v>54</v>
      </c>
      <c r="B10" s="38"/>
      <c r="C10" s="49" t="s">
        <v>57</v>
      </c>
      <c r="D10" s="49" t="s">
        <v>57</v>
      </c>
      <c r="E10" s="49" t="s">
        <v>58</v>
      </c>
      <c r="F10" s="49" t="s">
        <v>59</v>
      </c>
      <c r="G10" s="49" t="s">
        <v>61</v>
      </c>
      <c r="H10" s="49" t="s">
        <v>61</v>
      </c>
      <c r="I10" s="49" t="s">
        <v>61</v>
      </c>
      <c r="J10" s="12"/>
      <c r="K10" s="12"/>
      <c r="L10" s="13"/>
    </row>
    <row r="11" spans="1:12" ht="12.75" customHeight="1" x14ac:dyDescent="0.15">
      <c r="A11" s="38" t="s">
        <v>65</v>
      </c>
      <c r="B11" s="38"/>
      <c r="C11" s="14">
        <v>7406</v>
      </c>
      <c r="D11" s="14">
        <v>8351</v>
      </c>
      <c r="E11" s="14">
        <v>8570</v>
      </c>
      <c r="F11" s="14">
        <v>8367</v>
      </c>
      <c r="G11" s="14">
        <v>4261</v>
      </c>
      <c r="H11" s="14">
        <v>3856</v>
      </c>
      <c r="I11" s="14">
        <v>4117</v>
      </c>
      <c r="J11" s="16">
        <f>SUM(C11:I11)</f>
        <v>44928</v>
      </c>
      <c r="K11" s="16">
        <f>AVERAGE(C11:I11)</f>
        <v>6418.2857142857147</v>
      </c>
      <c r="L11" s="13"/>
    </row>
    <row r="12" spans="1:12" ht="12.75" customHeight="1" x14ac:dyDescent="0.15">
      <c r="A12" s="39" t="s">
        <v>244</v>
      </c>
      <c r="B12" s="51"/>
      <c r="C12" s="52">
        <v>9.8145833333333332</v>
      </c>
      <c r="D12" s="52">
        <v>10.4125</v>
      </c>
      <c r="E12" s="52">
        <v>11.747916666666667</v>
      </c>
      <c r="F12" s="52">
        <v>11.698611111111111</v>
      </c>
      <c r="G12" s="52">
        <v>7.6541666666666668</v>
      </c>
      <c r="H12" s="52">
        <v>7.4951388888888886</v>
      </c>
      <c r="I12" s="52">
        <v>6.5305555555555559</v>
      </c>
      <c r="J12" s="16"/>
      <c r="K12" s="16"/>
      <c r="L12" s="13"/>
    </row>
    <row r="13" spans="1:12" ht="12.75" customHeight="1" x14ac:dyDescent="0.15">
      <c r="A13" s="38" t="s">
        <v>66</v>
      </c>
      <c r="B13" s="38"/>
      <c r="C13" s="14">
        <v>1757682</v>
      </c>
      <c r="D13" s="14">
        <v>2095643</v>
      </c>
      <c r="E13" s="14">
        <v>1593993</v>
      </c>
      <c r="F13" s="14">
        <v>1333570</v>
      </c>
      <c r="G13" s="14">
        <v>967368</v>
      </c>
      <c r="H13" s="14">
        <v>971087</v>
      </c>
      <c r="I13" s="14">
        <v>939395</v>
      </c>
      <c r="J13" s="16">
        <f>SUM(C13:I13)</f>
        <v>9658738</v>
      </c>
      <c r="K13" s="16">
        <f>AVERAGE(C13:I13)</f>
        <v>1379819.7142857143</v>
      </c>
      <c r="L13" s="13">
        <f>J13/J13</f>
        <v>1</v>
      </c>
    </row>
    <row r="14" spans="1:12" ht="12.75" customHeight="1" x14ac:dyDescent="0.15">
      <c r="A14" s="39" t="s">
        <v>242</v>
      </c>
      <c r="B14" s="51"/>
      <c r="C14" s="14"/>
      <c r="D14" s="14"/>
      <c r="E14" s="14"/>
      <c r="F14" s="14"/>
      <c r="G14" s="14"/>
      <c r="H14" s="14"/>
      <c r="I14" s="14"/>
      <c r="J14" s="16">
        <f>SUM(C14:I14)</f>
        <v>0</v>
      </c>
      <c r="K14" s="16"/>
      <c r="L14" s="13"/>
    </row>
    <row r="15" spans="1:12" ht="12.75" customHeight="1" x14ac:dyDescent="0.15">
      <c r="A15" s="38" t="s">
        <v>67</v>
      </c>
      <c r="B15" s="38"/>
      <c r="C15" s="14">
        <f t="shared" ref="C15:I15" si="0">SUM(C13/C11)</f>
        <v>237.33216311099108</v>
      </c>
      <c r="D15" s="14">
        <f t="shared" si="0"/>
        <v>250.94515626871032</v>
      </c>
      <c r="E15" s="14">
        <f t="shared" si="0"/>
        <v>185.99684947491249</v>
      </c>
      <c r="F15" s="14">
        <f t="shared" si="0"/>
        <v>159.3844866738377</v>
      </c>
      <c r="G15" s="14">
        <f t="shared" si="0"/>
        <v>227.028397089885</v>
      </c>
      <c r="H15" s="14">
        <f t="shared" si="0"/>
        <v>251.83791493775934</v>
      </c>
      <c r="I15" s="14">
        <f t="shared" si="0"/>
        <v>228.17464172941462</v>
      </c>
      <c r="J15" s="12">
        <f>SUM(J13/J11)</f>
        <v>214.98259437321937</v>
      </c>
      <c r="K15" s="16">
        <f>AVERAGE(C15:I15)</f>
        <v>220.09994418364434</v>
      </c>
      <c r="L15" s="13"/>
    </row>
    <row r="16" spans="1:12" ht="12.75" customHeight="1" x14ac:dyDescent="0.15">
      <c r="A16" s="39" t="s">
        <v>243</v>
      </c>
      <c r="B16" s="51"/>
      <c r="C16" s="14">
        <f t="shared" ref="C16:I16" si="1">C13/(C12*24)</f>
        <v>7462.0335385268518</v>
      </c>
      <c r="D16" s="14">
        <f t="shared" si="1"/>
        <v>8385.9263705482208</v>
      </c>
      <c r="E16" s="14">
        <f t="shared" si="1"/>
        <v>5653.4598333037775</v>
      </c>
      <c r="F16" s="14">
        <f t="shared" si="1"/>
        <v>4749.7447465273654</v>
      </c>
      <c r="G16" s="14">
        <f t="shared" si="1"/>
        <v>5266.0206859009259</v>
      </c>
      <c r="H16" s="14">
        <f t="shared" si="1"/>
        <v>5398.4267580839432</v>
      </c>
      <c r="I16" s="14">
        <f t="shared" si="1"/>
        <v>5993.5878349638442</v>
      </c>
      <c r="J16" s="12"/>
      <c r="K16" s="16"/>
      <c r="L16" s="13"/>
    </row>
    <row r="17" spans="1:12" ht="12.75" customHeight="1" x14ac:dyDescent="0.15">
      <c r="A17" s="41" t="s">
        <v>68</v>
      </c>
      <c r="B17" s="11" t="s">
        <v>69</v>
      </c>
      <c r="C17" s="14">
        <v>82500</v>
      </c>
      <c r="D17" s="14">
        <v>215200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6">
        <f>SUM(C17:I17)</f>
        <v>297700</v>
      </c>
      <c r="K17" s="16">
        <f>AVERAGE(C17:I17)</f>
        <v>42528.571428571428</v>
      </c>
      <c r="L17" s="13">
        <f>J17/J13</f>
        <v>3.0821832003311407E-2</v>
      </c>
    </row>
    <row r="18" spans="1:12" ht="12.75" customHeight="1" x14ac:dyDescent="0.15">
      <c r="A18" s="41"/>
      <c r="B18" s="11" t="s">
        <v>70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6">
        <f>SUM(C18:I18)</f>
        <v>0</v>
      </c>
      <c r="K18" s="16">
        <f>AVERAGE(C18:I18)</f>
        <v>0</v>
      </c>
      <c r="L18" s="13">
        <f>J18/J13</f>
        <v>0</v>
      </c>
    </row>
    <row r="19" spans="1:12" ht="12.75" customHeight="1" x14ac:dyDescent="0.15">
      <c r="A19" s="41"/>
      <c r="B19" s="11" t="s">
        <v>71</v>
      </c>
      <c r="C19" s="14">
        <v>3241</v>
      </c>
      <c r="D19" s="14">
        <v>0</v>
      </c>
      <c r="E19" s="14">
        <v>4417</v>
      </c>
      <c r="F19" s="14">
        <v>4025</v>
      </c>
      <c r="G19" s="14">
        <v>5642</v>
      </c>
      <c r="H19" s="14">
        <v>5642</v>
      </c>
      <c r="I19" s="14">
        <v>4825</v>
      </c>
      <c r="J19" s="16">
        <f>SUM(C19:I19)</f>
        <v>27792</v>
      </c>
      <c r="K19" s="16">
        <f>AVERAGE(C19:I19)</f>
        <v>3970.2857142857142</v>
      </c>
      <c r="L19" s="13">
        <f>J19/J13</f>
        <v>2.8773945416057461E-3</v>
      </c>
    </row>
    <row r="20" spans="1:12" ht="12.75" customHeight="1" x14ac:dyDescent="0.15">
      <c r="A20" s="41"/>
      <c r="B20" s="11" t="s">
        <v>72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  <c r="J20" s="16">
        <f>SUM(C20:I20)</f>
        <v>0</v>
      </c>
      <c r="K20" s="16">
        <f>AVERAGE(C20:I20)</f>
        <v>0</v>
      </c>
      <c r="L20" s="13">
        <f>J20/J13</f>
        <v>0</v>
      </c>
    </row>
    <row r="21" spans="1:12" ht="12.75" customHeight="1" x14ac:dyDescent="0.15">
      <c r="A21" s="41"/>
      <c r="B21" s="11" t="s">
        <v>73</v>
      </c>
      <c r="C21" s="14">
        <v>4550</v>
      </c>
      <c r="D21" s="14">
        <v>0</v>
      </c>
      <c r="E21" s="14">
        <v>4766</v>
      </c>
      <c r="F21" s="14">
        <v>4583</v>
      </c>
      <c r="G21" s="14">
        <v>4766</v>
      </c>
      <c r="H21" s="14">
        <v>4766</v>
      </c>
      <c r="I21" s="14">
        <v>4950</v>
      </c>
      <c r="J21" s="16">
        <f>SUM(C21:I21)</f>
        <v>28381</v>
      </c>
      <c r="K21" s="16">
        <f>AVERAGE(C21:I21)</f>
        <v>4054.4285714285716</v>
      </c>
      <c r="L21" s="13">
        <f>J21/J13</f>
        <v>2.9383755931675546E-3</v>
      </c>
    </row>
    <row r="22" spans="1:12" ht="12.75" customHeight="1" x14ac:dyDescent="0.15">
      <c r="A22" s="41"/>
      <c r="B22" s="11" t="s">
        <v>74</v>
      </c>
      <c r="C22" s="14">
        <v>40668</v>
      </c>
      <c r="D22" s="14">
        <v>0</v>
      </c>
      <c r="E22" s="14">
        <v>68895</v>
      </c>
      <c r="F22" s="14">
        <v>46168</v>
      </c>
      <c r="G22" s="14">
        <v>47355</v>
      </c>
      <c r="H22" s="14">
        <v>30980</v>
      </c>
      <c r="I22" s="14">
        <v>33307</v>
      </c>
      <c r="J22" s="16">
        <f>SUM(C22:I22)</f>
        <v>267373</v>
      </c>
      <c r="K22" s="16">
        <f>AVERAGE(C22:I22)</f>
        <v>38196.142857142855</v>
      </c>
      <c r="L22" s="13">
        <f>J22/J13</f>
        <v>2.7681980813642527E-2</v>
      </c>
    </row>
    <row r="23" spans="1:12" ht="12.75" customHeight="1" x14ac:dyDescent="0.15">
      <c r="A23" s="41"/>
      <c r="B23" s="17" t="s">
        <v>75</v>
      </c>
      <c r="C23" s="18">
        <f t="shared" ref="C23:I23" si="2">SUM(C17:C22)</f>
        <v>130959</v>
      </c>
      <c r="D23" s="18">
        <f t="shared" si="2"/>
        <v>215200</v>
      </c>
      <c r="E23" s="18">
        <f t="shared" si="2"/>
        <v>78078</v>
      </c>
      <c r="F23" s="18">
        <f t="shared" si="2"/>
        <v>54776</v>
      </c>
      <c r="G23" s="18">
        <f t="shared" si="2"/>
        <v>57763</v>
      </c>
      <c r="H23" s="18">
        <f t="shared" si="2"/>
        <v>41388</v>
      </c>
      <c r="I23" s="18">
        <f t="shared" si="2"/>
        <v>43082</v>
      </c>
      <c r="J23" s="20">
        <f>SUM(C23:I23)</f>
        <v>621246</v>
      </c>
      <c r="K23" s="20">
        <f>AVERAGE(C23:I23)</f>
        <v>88749.428571428565</v>
      </c>
      <c r="L23" s="21">
        <f>J23/J13</f>
        <v>6.4319582951727239E-2</v>
      </c>
    </row>
    <row r="24" spans="1:12" ht="12.75" customHeight="1" x14ac:dyDescent="0.15">
      <c r="A24" s="41" t="s">
        <v>76</v>
      </c>
      <c r="B24" s="11" t="s">
        <v>77</v>
      </c>
      <c r="C24" s="14">
        <v>49100</v>
      </c>
      <c r="D24" s="14">
        <v>0</v>
      </c>
      <c r="E24" s="14">
        <v>84500</v>
      </c>
      <c r="F24" s="14">
        <v>13300</v>
      </c>
      <c r="G24" s="14">
        <v>0</v>
      </c>
      <c r="H24" s="14">
        <v>431340</v>
      </c>
      <c r="I24" s="14">
        <v>0</v>
      </c>
      <c r="J24" s="16">
        <f>SUM(C24:I24)</f>
        <v>578240</v>
      </c>
      <c r="K24" s="16">
        <f>AVERAGE(C24:I24)</f>
        <v>82605.71428571429</v>
      </c>
      <c r="L24" s="13">
        <f>J24/J13</f>
        <v>5.9867034388964686E-2</v>
      </c>
    </row>
    <row r="25" spans="1:12" ht="12.75" customHeight="1" x14ac:dyDescent="0.15">
      <c r="A25" s="41"/>
      <c r="B25" s="11" t="s">
        <v>78</v>
      </c>
      <c r="C25" s="14">
        <v>0</v>
      </c>
      <c r="D25" s="14">
        <v>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6">
        <f>SUM(C25:I25)</f>
        <v>0</v>
      </c>
      <c r="K25" s="16">
        <f>AVERAGE(C25:I25)</f>
        <v>0</v>
      </c>
      <c r="L25" s="13">
        <f>J25/J13</f>
        <v>0</v>
      </c>
    </row>
    <row r="26" spans="1:12" ht="12.75" customHeight="1" x14ac:dyDescent="0.15">
      <c r="A26" s="41"/>
      <c r="B26" s="11" t="s">
        <v>79</v>
      </c>
      <c r="C26" s="14">
        <f t="shared" ref="C26:I26" si="3">30000*C9/70000*C11</f>
        <v>25392</v>
      </c>
      <c r="D26" s="14">
        <f t="shared" si="3"/>
        <v>28632</v>
      </c>
      <c r="E26" s="14">
        <f t="shared" si="3"/>
        <v>29382.857142857141</v>
      </c>
      <c r="F26" s="14">
        <f t="shared" si="3"/>
        <v>35858.571428571428</v>
      </c>
      <c r="G26" s="14">
        <f t="shared" si="3"/>
        <v>18261.428571428572</v>
      </c>
      <c r="H26" s="14">
        <f t="shared" si="3"/>
        <v>16525.714285714286</v>
      </c>
      <c r="I26" s="14">
        <f t="shared" si="3"/>
        <v>17644.285714285714</v>
      </c>
      <c r="J26" s="16">
        <f>SUM(C26:I26)</f>
        <v>171696.85714285716</v>
      </c>
      <c r="K26" s="16">
        <f>AVERAGE(C26:I26)</f>
        <v>24528.122448979593</v>
      </c>
      <c r="L26" s="13">
        <f>J26/J13</f>
        <v>1.7776324105991607E-2</v>
      </c>
    </row>
    <row r="27" spans="1:12" ht="12.75" customHeight="1" x14ac:dyDescent="0.15">
      <c r="A27" s="41"/>
      <c r="B27" s="11" t="s">
        <v>80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6">
        <f>SUM(C27:I27)</f>
        <v>0</v>
      </c>
      <c r="K27" s="16">
        <f>AVERAGE(C27:I27)</f>
        <v>0</v>
      </c>
      <c r="L27" s="13">
        <f>J27/J13</f>
        <v>0</v>
      </c>
    </row>
    <row r="28" spans="1:12" ht="12.75" customHeight="1" x14ac:dyDescent="0.15">
      <c r="A28" s="41"/>
      <c r="B28" s="11" t="s">
        <v>81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6">
        <f>SUM(C28:I28)</f>
        <v>0</v>
      </c>
      <c r="K28" s="16">
        <f>AVERAGE(C28:I28)</f>
        <v>0</v>
      </c>
      <c r="L28" s="13">
        <f>J28/J13</f>
        <v>0</v>
      </c>
    </row>
    <row r="29" spans="1:12" ht="12.75" customHeight="1" x14ac:dyDescent="0.15">
      <c r="A29" s="41"/>
      <c r="B29" s="17" t="s">
        <v>82</v>
      </c>
      <c r="C29" s="18">
        <f t="shared" ref="C29:I29" si="4">SUM(C24:C28)</f>
        <v>74492</v>
      </c>
      <c r="D29" s="18">
        <f t="shared" si="4"/>
        <v>28632</v>
      </c>
      <c r="E29" s="18">
        <f t="shared" si="4"/>
        <v>113882.85714285714</v>
      </c>
      <c r="F29" s="18">
        <f t="shared" si="4"/>
        <v>49158.571428571428</v>
      </c>
      <c r="G29" s="18">
        <f t="shared" si="4"/>
        <v>18261.428571428572</v>
      </c>
      <c r="H29" s="18">
        <f t="shared" si="4"/>
        <v>447865.71428571426</v>
      </c>
      <c r="I29" s="18">
        <f t="shared" si="4"/>
        <v>17644.285714285714</v>
      </c>
      <c r="J29" s="20">
        <f>SUM(C29:I29)</f>
        <v>749936.85714285704</v>
      </c>
      <c r="K29" s="20">
        <f>AVERAGE(C29:I29)</f>
        <v>107133.83673469386</v>
      </c>
      <c r="L29" s="21">
        <f>J29/J13</f>
        <v>7.764335849495628E-2</v>
      </c>
    </row>
    <row r="30" spans="1:12" ht="12.75" customHeight="1" x14ac:dyDescent="0.15">
      <c r="A30" s="41" t="s">
        <v>83</v>
      </c>
      <c r="B30" s="8" t="s">
        <v>84</v>
      </c>
      <c r="C30" s="22">
        <v>1708</v>
      </c>
      <c r="D30" s="22">
        <v>1850</v>
      </c>
      <c r="E30" s="22">
        <v>2105</v>
      </c>
      <c r="F30" s="22">
        <v>1874</v>
      </c>
      <c r="G30" s="22">
        <v>1120</v>
      </c>
      <c r="H30" s="22">
        <v>1026</v>
      </c>
      <c r="I30" s="22">
        <v>858</v>
      </c>
      <c r="J30" s="24">
        <f>SUM(C30:I30)</f>
        <v>10541</v>
      </c>
      <c r="K30" s="24">
        <f>AVERAGE(C30:I30)</f>
        <v>1505.8571428571429</v>
      </c>
      <c r="L30" s="10">
        <f>J30/J13</f>
        <v>1.091343403247919E-3</v>
      </c>
    </row>
    <row r="31" spans="1:12" ht="12.75" customHeight="1" x14ac:dyDescent="0.15">
      <c r="A31" s="41"/>
      <c r="B31" s="25" t="s">
        <v>85</v>
      </c>
      <c r="C31" s="26">
        <f>SUM(C11/C30)</f>
        <v>4.3360655737704921</v>
      </c>
      <c r="D31" s="26">
        <f>SUM(D11/D30)</f>
        <v>4.5140540540540544</v>
      </c>
      <c r="E31" s="26">
        <f>SUM(E11/E30)</f>
        <v>4.0712589073634202</v>
      </c>
      <c r="F31" s="26">
        <f>SUM(F11/F30)</f>
        <v>4.4647812166488796</v>
      </c>
      <c r="G31" s="26">
        <f>SUM(G11/G30)</f>
        <v>3.8044642857142859</v>
      </c>
      <c r="H31" s="26">
        <f>SUM(H11/H30)</f>
        <v>3.7582846003898633</v>
      </c>
      <c r="I31" s="26">
        <f>SUM(I11/I30)</f>
        <v>4.798368298368298</v>
      </c>
      <c r="J31" s="28">
        <f>SUM(J11/J30)</f>
        <v>4.2622142111754107</v>
      </c>
      <c r="K31" s="28">
        <f>AVERAGE(C31:I31)</f>
        <v>4.2496109909013278</v>
      </c>
      <c r="L31" s="25">
        <f>J31/J13</f>
        <v>4.4128065293575729E-7</v>
      </c>
    </row>
    <row r="32" spans="1:12" ht="12.75" customHeight="1" x14ac:dyDescent="0.15">
      <c r="A32" s="41"/>
      <c r="B32" s="11" t="s">
        <v>86</v>
      </c>
      <c r="C32" s="14">
        <v>197103</v>
      </c>
      <c r="D32" s="14">
        <v>213490</v>
      </c>
      <c r="E32" s="14">
        <v>242917</v>
      </c>
      <c r="F32" s="14">
        <v>216260</v>
      </c>
      <c r="G32" s="14">
        <v>129248</v>
      </c>
      <c r="H32" s="14">
        <v>118400</v>
      </c>
      <c r="I32" s="14">
        <v>99013</v>
      </c>
      <c r="J32" s="16">
        <f>SUM(C32:I32)</f>
        <v>1216431</v>
      </c>
      <c r="K32" s="16">
        <f>AVERAGE(C32:I32)</f>
        <v>173775.85714285713</v>
      </c>
      <c r="L32" s="13">
        <f>J32/J13</f>
        <v>0.12594098732153206</v>
      </c>
    </row>
    <row r="33" spans="1:12" ht="12.75" customHeight="1" x14ac:dyDescent="0.15">
      <c r="A33" s="41"/>
      <c r="B33" s="11" t="s">
        <v>87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6">
        <f>SUM(C33:I33)</f>
        <v>0</v>
      </c>
      <c r="K33" s="16">
        <f>AVERAGE(C33:I33)</f>
        <v>0</v>
      </c>
      <c r="L33" s="13">
        <f>J33/J13</f>
        <v>0</v>
      </c>
    </row>
    <row r="34" spans="1:12" ht="12.75" customHeight="1" x14ac:dyDescent="0.15">
      <c r="A34" s="41"/>
      <c r="B34" s="11" t="s">
        <v>88</v>
      </c>
      <c r="C34" s="14">
        <v>0</v>
      </c>
      <c r="D34" s="14">
        <v>0</v>
      </c>
      <c r="E34" s="14">
        <v>0</v>
      </c>
      <c r="F34" s="14">
        <v>0</v>
      </c>
      <c r="G34" s="14">
        <v>0</v>
      </c>
      <c r="H34" s="14">
        <v>0</v>
      </c>
      <c r="I34" s="14">
        <v>0</v>
      </c>
      <c r="J34" s="16">
        <f>SUM(C34:I34)</f>
        <v>0</v>
      </c>
      <c r="K34" s="16">
        <f>AVERAGE(C34:I34)</f>
        <v>0</v>
      </c>
      <c r="L34" s="13">
        <f>J34/J13</f>
        <v>0</v>
      </c>
    </row>
    <row r="35" spans="1:12" ht="12.75" customHeight="1" x14ac:dyDescent="0.15">
      <c r="A35" s="41"/>
      <c r="B35" s="17" t="s">
        <v>89</v>
      </c>
      <c r="C35" s="18">
        <f t="shared" ref="C35:I35" si="5">SUM(C32:C34)</f>
        <v>197103</v>
      </c>
      <c r="D35" s="18">
        <f t="shared" si="5"/>
        <v>213490</v>
      </c>
      <c r="E35" s="18">
        <f t="shared" si="5"/>
        <v>242917</v>
      </c>
      <c r="F35" s="18">
        <f t="shared" si="5"/>
        <v>216260</v>
      </c>
      <c r="G35" s="18">
        <f t="shared" si="5"/>
        <v>129248</v>
      </c>
      <c r="H35" s="18">
        <f t="shared" si="5"/>
        <v>118400</v>
      </c>
      <c r="I35" s="18">
        <f t="shared" si="5"/>
        <v>99013</v>
      </c>
      <c r="J35" s="20">
        <f>SUM(C35:I35)</f>
        <v>1216431</v>
      </c>
      <c r="K35" s="20">
        <f>AVERAGE(C35:I35)</f>
        <v>173775.85714285713</v>
      </c>
      <c r="L35" s="21">
        <f>J35/J13</f>
        <v>0.12594098732153206</v>
      </c>
    </row>
    <row r="36" spans="1:12" ht="12.75" customHeight="1" x14ac:dyDescent="0.15">
      <c r="A36" s="41" t="s">
        <v>90</v>
      </c>
      <c r="B36" s="11" t="s">
        <v>91</v>
      </c>
      <c r="C36" s="14">
        <v>2008</v>
      </c>
      <c r="D36" s="14">
        <v>0</v>
      </c>
      <c r="E36" s="14">
        <v>2008</v>
      </c>
      <c r="F36" s="14">
        <v>2008</v>
      </c>
      <c r="G36" s="14">
        <v>2008</v>
      </c>
      <c r="H36" s="14">
        <v>2008</v>
      </c>
      <c r="I36" s="14">
        <v>2008</v>
      </c>
      <c r="J36" s="16">
        <f>SUM(C36:I36)</f>
        <v>12048</v>
      </c>
      <c r="K36" s="16">
        <f>AVERAGE(C36:I36)</f>
        <v>1721.1428571428571</v>
      </c>
      <c r="L36" s="13">
        <f>J36/J13</f>
        <v>1.2473679273627672E-3</v>
      </c>
    </row>
    <row r="37" spans="1:12" ht="12.75" customHeight="1" x14ac:dyDescent="0.15">
      <c r="A37" s="41"/>
      <c r="B37" s="11" t="s">
        <v>92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6">
        <f>SUM(C37:I37)</f>
        <v>0</v>
      </c>
      <c r="K37" s="16">
        <f>AVERAGE(C37:I37)</f>
        <v>0</v>
      </c>
      <c r="L37" s="13">
        <f>J37/J13</f>
        <v>0</v>
      </c>
    </row>
    <row r="38" spans="1:12" ht="12.75" customHeight="1" x14ac:dyDescent="0.15">
      <c r="A38" s="41"/>
      <c r="B38" s="11" t="s">
        <v>93</v>
      </c>
      <c r="C38" s="14">
        <v>0</v>
      </c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  <c r="J38" s="16">
        <f>SUM(C38:I38)</f>
        <v>0</v>
      </c>
      <c r="K38" s="16">
        <f>AVERAGE(C38:I38)</f>
        <v>0</v>
      </c>
      <c r="L38" s="13">
        <f>J38/J13</f>
        <v>0</v>
      </c>
    </row>
    <row r="39" spans="1:12" ht="12.75" customHeight="1" x14ac:dyDescent="0.15">
      <c r="A39" s="41"/>
      <c r="B39" s="11" t="s">
        <v>94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6">
        <f>SUM(C39:I39)</f>
        <v>0</v>
      </c>
      <c r="K39" s="16">
        <f>AVERAGE(C39:I39)</f>
        <v>0</v>
      </c>
      <c r="L39" s="13">
        <f>J39/J13</f>
        <v>0</v>
      </c>
    </row>
    <row r="40" spans="1:12" ht="12.75" customHeight="1" x14ac:dyDescent="0.15">
      <c r="A40" s="41"/>
      <c r="B40" s="11" t="s">
        <v>95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6">
        <f>SUM(C40:I40)</f>
        <v>0</v>
      </c>
      <c r="K40" s="16">
        <f>AVERAGE(C40:I40)</f>
        <v>0</v>
      </c>
      <c r="L40" s="13">
        <f>J40/J13</f>
        <v>0</v>
      </c>
    </row>
    <row r="41" spans="1:12" ht="12.75" customHeight="1" x14ac:dyDescent="0.15">
      <c r="A41" s="41"/>
      <c r="B41" s="11" t="s">
        <v>96</v>
      </c>
      <c r="C41" s="14">
        <v>5140</v>
      </c>
      <c r="D41" s="14">
        <v>9600</v>
      </c>
      <c r="E41" s="14">
        <v>5140</v>
      </c>
      <c r="F41" s="14">
        <v>5140</v>
      </c>
      <c r="G41" s="14">
        <v>4430</v>
      </c>
      <c r="H41" s="14">
        <v>4430</v>
      </c>
      <c r="I41" s="14">
        <v>4430</v>
      </c>
      <c r="J41" s="16">
        <f>SUM(C41:I41)</f>
        <v>38310</v>
      </c>
      <c r="K41" s="16">
        <f>AVERAGE(C41:I41)</f>
        <v>5472.8571428571431</v>
      </c>
      <c r="L41" s="13">
        <f>J41/J13</f>
        <v>3.9663566813801137E-3</v>
      </c>
    </row>
    <row r="42" spans="1:12" ht="12.75" customHeight="1" x14ac:dyDescent="0.15">
      <c r="A42" s="41"/>
      <c r="B42" s="17" t="s">
        <v>97</v>
      </c>
      <c r="C42" s="18">
        <f t="shared" ref="C42:I42" si="6">SUM(C36:C41)</f>
        <v>7148</v>
      </c>
      <c r="D42" s="18">
        <f t="shared" si="6"/>
        <v>9600</v>
      </c>
      <c r="E42" s="18">
        <f t="shared" si="6"/>
        <v>7148</v>
      </c>
      <c r="F42" s="18">
        <f t="shared" si="6"/>
        <v>7148</v>
      </c>
      <c r="G42" s="18">
        <f t="shared" si="6"/>
        <v>6438</v>
      </c>
      <c r="H42" s="18">
        <f t="shared" si="6"/>
        <v>6438</v>
      </c>
      <c r="I42" s="18">
        <f t="shared" si="6"/>
        <v>6438</v>
      </c>
      <c r="J42" s="20">
        <f>SUM(C42:I42)</f>
        <v>50358</v>
      </c>
      <c r="K42" s="20">
        <f>AVERAGE(C42:I42)</f>
        <v>7194</v>
      </c>
      <c r="L42" s="21">
        <f>J42/J13</f>
        <v>5.2137246087428811E-3</v>
      </c>
    </row>
    <row r="43" spans="1:12" ht="12.75" customHeight="1" x14ac:dyDescent="0.15">
      <c r="A43" s="41" t="s">
        <v>98</v>
      </c>
      <c r="B43" s="11" t="s">
        <v>99</v>
      </c>
      <c r="C43" s="14">
        <v>133660</v>
      </c>
      <c r="D43" s="14">
        <v>155250</v>
      </c>
      <c r="E43" s="14">
        <v>252630</v>
      </c>
      <c r="F43" s="14">
        <v>173060</v>
      </c>
      <c r="G43" s="14">
        <v>57840</v>
      </c>
      <c r="H43" s="14">
        <v>22490</v>
      </c>
      <c r="I43" s="14">
        <v>48030</v>
      </c>
      <c r="J43" s="16">
        <f>SUM(C43:I43)</f>
        <v>842960</v>
      </c>
      <c r="K43" s="16">
        <f>AVERAGE(C43:I43)</f>
        <v>120422.85714285714</v>
      </c>
      <c r="L43" s="13">
        <f>J43/J13</f>
        <v>8.7274341637592817E-2</v>
      </c>
    </row>
    <row r="44" spans="1:12" ht="12.75" customHeight="1" x14ac:dyDescent="0.15">
      <c r="A44" s="41"/>
      <c r="B44" s="11" t="s">
        <v>100</v>
      </c>
      <c r="C44" s="14">
        <v>-133660</v>
      </c>
      <c r="D44" s="14">
        <v>-155250</v>
      </c>
      <c r="E44" s="14">
        <v>-130608</v>
      </c>
      <c r="F44" s="14">
        <v>-4147</v>
      </c>
      <c r="G44" s="14">
        <v>0</v>
      </c>
      <c r="H44" s="14">
        <v>0</v>
      </c>
      <c r="I44" s="14">
        <v>0</v>
      </c>
      <c r="J44" s="16">
        <f>SUM(C44:I44)</f>
        <v>-423665</v>
      </c>
      <c r="K44" s="16">
        <f>AVERAGE(C44:I44)</f>
        <v>-60523.571428571428</v>
      </c>
      <c r="L44" s="13">
        <f>J44/J13</f>
        <v>-4.3863390848783768E-2</v>
      </c>
    </row>
    <row r="45" spans="1:12" ht="12.75" customHeight="1" x14ac:dyDescent="0.15">
      <c r="A45" s="41"/>
      <c r="B45" s="11" t="s">
        <v>101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6">
        <f>SUM(C45:I45)</f>
        <v>0</v>
      </c>
      <c r="K45" s="16">
        <f>AVERAGE(C45:I45)</f>
        <v>0</v>
      </c>
      <c r="L45" s="13">
        <f>J45/J13</f>
        <v>0</v>
      </c>
    </row>
    <row r="46" spans="1:12" ht="12.75" customHeight="1" x14ac:dyDescent="0.15">
      <c r="A46" s="41"/>
      <c r="B46" s="11" t="s">
        <v>102</v>
      </c>
      <c r="C46" s="14">
        <v>-42771.199999999997</v>
      </c>
      <c r="D46" s="14">
        <v>-49680</v>
      </c>
      <c r="E46" s="14">
        <v>-80841.600000000006</v>
      </c>
      <c r="F46" s="14">
        <v>-55379.199999999997</v>
      </c>
      <c r="G46" s="14">
        <v>-18508.8</v>
      </c>
      <c r="H46" s="14">
        <v>-7196.8</v>
      </c>
      <c r="I46" s="14">
        <v>-15369.6</v>
      </c>
      <c r="J46" s="16">
        <f>SUM(C46:I46)</f>
        <v>-269747.19999999995</v>
      </c>
      <c r="K46" s="16">
        <f>AVERAGE(B46:I46)</f>
        <v>-38535.314285714281</v>
      </c>
      <c r="L46" s="13">
        <f>J46/J13</f>
        <v>-2.7927789324029697E-2</v>
      </c>
    </row>
    <row r="47" spans="1:12" ht="12.75" customHeight="1" x14ac:dyDescent="0.15">
      <c r="A47" s="41"/>
      <c r="B47" s="17" t="s">
        <v>103</v>
      </c>
      <c r="C47" s="18">
        <f t="shared" ref="C47:J47" si="7">SUM(C43:C46)</f>
        <v>-42771.199999999997</v>
      </c>
      <c r="D47" s="18">
        <f t="shared" si="7"/>
        <v>-49680</v>
      </c>
      <c r="E47" s="18">
        <f t="shared" si="7"/>
        <v>41180.399999999994</v>
      </c>
      <c r="F47" s="18">
        <f t="shared" si="7"/>
        <v>113533.8</v>
      </c>
      <c r="G47" s="18">
        <f t="shared" si="7"/>
        <v>39331.199999999997</v>
      </c>
      <c r="H47" s="18">
        <f t="shared" si="7"/>
        <v>15293.2</v>
      </c>
      <c r="I47" s="18">
        <f t="shared" si="7"/>
        <v>32660.400000000001</v>
      </c>
      <c r="J47" s="20">
        <f t="shared" si="7"/>
        <v>149547.80000000005</v>
      </c>
      <c r="K47" s="20">
        <f>AVERAGE(B47:I47)</f>
        <v>21363.971428571425</v>
      </c>
      <c r="L47" s="21">
        <f>J47/J13</f>
        <v>1.5483161464779358E-2</v>
      </c>
    </row>
    <row r="48" spans="1:12" ht="12.75" customHeight="1" x14ac:dyDescent="0.15">
      <c r="A48" s="41" t="s">
        <v>104</v>
      </c>
      <c r="B48" s="11" t="s">
        <v>105</v>
      </c>
      <c r="C48" s="14">
        <v>305354</v>
      </c>
      <c r="D48" s="14">
        <v>343524</v>
      </c>
      <c r="E48" s="14">
        <v>318077</v>
      </c>
      <c r="F48" s="14">
        <v>318077</v>
      </c>
      <c r="G48" s="14">
        <v>356248</v>
      </c>
      <c r="H48" s="14">
        <v>330800</v>
      </c>
      <c r="I48" s="14">
        <v>279908</v>
      </c>
      <c r="J48" s="16">
        <f>SUM(C48:I48)</f>
        <v>2251988</v>
      </c>
      <c r="K48" s="16">
        <f>AVERAGE(C48:I48)</f>
        <v>321712.57142857142</v>
      </c>
      <c r="L48" s="13">
        <f>J48/J13</f>
        <v>0.23315551162066928</v>
      </c>
    </row>
    <row r="49" spans="1:12" ht="12.75" customHeight="1" x14ac:dyDescent="0.15">
      <c r="A49" s="41"/>
      <c r="B49" s="11" t="s">
        <v>106</v>
      </c>
      <c r="C49" s="14">
        <v>19219</v>
      </c>
      <c r="D49" s="14">
        <v>21622</v>
      </c>
      <c r="E49" s="14">
        <v>20020</v>
      </c>
      <c r="F49" s="14">
        <v>20020</v>
      </c>
      <c r="G49" s="14">
        <v>22419</v>
      </c>
      <c r="H49" s="14">
        <v>20821</v>
      </c>
      <c r="I49" s="14">
        <v>17619</v>
      </c>
      <c r="J49" s="16">
        <f>SUM(C49:I49)</f>
        <v>141740</v>
      </c>
      <c r="K49" s="16">
        <f>AVERAGE(C49:I49)</f>
        <v>20248.571428571428</v>
      </c>
      <c r="L49" s="13">
        <f>J49/J13</f>
        <v>1.4674794988744907E-2</v>
      </c>
    </row>
    <row r="50" spans="1:12" ht="12.75" customHeight="1" x14ac:dyDescent="0.15">
      <c r="A50" s="41"/>
      <c r="B50" s="11" t="s">
        <v>107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6">
        <f>SUM(C50:I50)</f>
        <v>0</v>
      </c>
      <c r="K50" s="16">
        <f>AVERAGE(C50:I50)</f>
        <v>0</v>
      </c>
      <c r="L50" s="13">
        <f>J50/J13</f>
        <v>0</v>
      </c>
    </row>
    <row r="51" spans="1:12" ht="12.75" customHeight="1" x14ac:dyDescent="0.15">
      <c r="A51" s="41"/>
      <c r="B51" s="11" t="s">
        <v>108</v>
      </c>
      <c r="C51" s="14">
        <v>55680</v>
      </c>
      <c r="D51" s="14">
        <v>62640</v>
      </c>
      <c r="E51" s="14">
        <v>58000</v>
      </c>
      <c r="F51" s="14">
        <v>58000</v>
      </c>
      <c r="G51" s="14">
        <v>64953</v>
      </c>
      <c r="H51" s="14">
        <v>60320</v>
      </c>
      <c r="I51" s="14">
        <v>51040</v>
      </c>
      <c r="J51" s="16">
        <f>SUM(C51:I51)</f>
        <v>410633</v>
      </c>
      <c r="K51" s="16">
        <f>AVERAGE(C51:I51)</f>
        <v>58661.857142857145</v>
      </c>
      <c r="L51" s="13">
        <f>J51/J13</f>
        <v>4.2514146258030808E-2</v>
      </c>
    </row>
    <row r="52" spans="1:12" ht="12.75" customHeight="1" x14ac:dyDescent="0.15">
      <c r="A52" s="41"/>
      <c r="B52" s="11" t="s">
        <v>109</v>
      </c>
      <c r="C52" s="14">
        <v>3368</v>
      </c>
      <c r="D52" s="14">
        <v>3789</v>
      </c>
      <c r="E52" s="14">
        <v>3509</v>
      </c>
      <c r="F52" s="14">
        <v>3509</v>
      </c>
      <c r="G52" s="14">
        <v>3934</v>
      </c>
      <c r="H52" s="14">
        <v>3649</v>
      </c>
      <c r="I52" s="14">
        <v>3088</v>
      </c>
      <c r="J52" s="16">
        <f>SUM(C52:I52)</f>
        <v>24846</v>
      </c>
      <c r="K52" s="16">
        <f>AVERAGE(C52:I52)</f>
        <v>3549.4285714285716</v>
      </c>
      <c r="L52" s="13">
        <f>J52/J13</f>
        <v>2.572385750602201E-3</v>
      </c>
    </row>
    <row r="53" spans="1:12" ht="12.75" customHeight="1" x14ac:dyDescent="0.15">
      <c r="A53" s="41"/>
      <c r="B53" s="17" t="s">
        <v>110</v>
      </c>
      <c r="C53" s="18">
        <f t="shared" ref="C53:I53" si="8">SUM(C48:C52)</f>
        <v>383621</v>
      </c>
      <c r="D53" s="18">
        <f t="shared" si="8"/>
        <v>431575</v>
      </c>
      <c r="E53" s="18">
        <f t="shared" si="8"/>
        <v>399606</v>
      </c>
      <c r="F53" s="18">
        <f t="shared" si="8"/>
        <v>399606</v>
      </c>
      <c r="G53" s="18">
        <f t="shared" si="8"/>
        <v>447554</v>
      </c>
      <c r="H53" s="18">
        <f t="shared" si="8"/>
        <v>415590</v>
      </c>
      <c r="I53" s="18">
        <f t="shared" si="8"/>
        <v>351655</v>
      </c>
      <c r="J53" s="20">
        <f>SUM(C53:I53)</f>
        <v>2829207</v>
      </c>
      <c r="K53" s="20">
        <f>AVERAGE(C53:I53)</f>
        <v>404172.42857142858</v>
      </c>
      <c r="L53" s="21">
        <f>J53/J13</f>
        <v>0.29291683861804718</v>
      </c>
    </row>
    <row r="54" spans="1:12" ht="12.75" customHeight="1" x14ac:dyDescent="0.15">
      <c r="A54" s="41" t="s">
        <v>111</v>
      </c>
      <c r="B54" s="11" t="s">
        <v>112</v>
      </c>
      <c r="C54" s="14">
        <v>21428.571428571428</v>
      </c>
      <c r="D54" s="14">
        <v>21428.571428571428</v>
      </c>
      <c r="E54" s="14">
        <v>21428.571428571428</v>
      </c>
      <c r="F54" s="14">
        <v>21428.571428571428</v>
      </c>
      <c r="G54" s="14">
        <v>21428.571428571428</v>
      </c>
      <c r="H54" s="14">
        <v>21428.571428571428</v>
      </c>
      <c r="I54" s="14">
        <v>21428.571428571428</v>
      </c>
      <c r="J54" s="16">
        <f>SUM(C54:I54)</f>
        <v>149999.99999999997</v>
      </c>
      <c r="K54" s="16">
        <f>AVERAGE(C54:I54)</f>
        <v>21428.571428571424</v>
      </c>
      <c r="L54" s="13">
        <f>J54/J13</f>
        <v>1.5529979175333254E-2</v>
      </c>
    </row>
    <row r="55" spans="1:12" ht="12.75" customHeight="1" x14ac:dyDescent="0.15">
      <c r="A55" s="41"/>
      <c r="B55" s="11" t="s">
        <v>113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6">
        <f>SUM(C55:I55)</f>
        <v>0</v>
      </c>
      <c r="K55" s="16">
        <f>AVERAGE(C55:I55)</f>
        <v>0</v>
      </c>
      <c r="L55" s="13">
        <f>J55/J13</f>
        <v>0</v>
      </c>
    </row>
    <row r="56" spans="1:12" ht="12.75" customHeight="1" x14ac:dyDescent="0.15">
      <c r="A56" s="41"/>
      <c r="B56" s="11" t="s">
        <v>114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6">
        <f>SUM(C56:I56)</f>
        <v>0</v>
      </c>
      <c r="K56" s="16">
        <f>AVERAGE(C56:I56)</f>
        <v>0</v>
      </c>
      <c r="L56" s="13">
        <f>J56/J13</f>
        <v>0</v>
      </c>
    </row>
    <row r="57" spans="1:12" ht="12.75" customHeight="1" x14ac:dyDescent="0.15">
      <c r="A57" s="41"/>
      <c r="B57" s="11" t="s">
        <v>115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6">
        <f>SUM(C57:I57)</f>
        <v>0</v>
      </c>
      <c r="K57" s="16">
        <f>AVERAGE(C57:I57)</f>
        <v>0</v>
      </c>
      <c r="L57" s="13">
        <f>J57/J13</f>
        <v>0</v>
      </c>
    </row>
    <row r="58" spans="1:12" ht="12.75" customHeight="1" x14ac:dyDescent="0.15">
      <c r="A58" s="41"/>
      <c r="B58" s="11" t="s">
        <v>116</v>
      </c>
      <c r="C58" s="14">
        <v>94832.142857142855</v>
      </c>
      <c r="D58" s="14">
        <v>94832.142857142855</v>
      </c>
      <c r="E58" s="14">
        <v>94832.142857142855</v>
      </c>
      <c r="F58" s="14">
        <v>94832.142857142855</v>
      </c>
      <c r="G58" s="14">
        <v>94832.142857142855</v>
      </c>
      <c r="H58" s="14">
        <v>94832.142857142855</v>
      </c>
      <c r="I58" s="14">
        <v>94832.142857142855</v>
      </c>
      <c r="J58" s="16">
        <f>SUM(C58:I58)</f>
        <v>663825</v>
      </c>
      <c r="K58" s="16">
        <f>AVERAGE(C58:I58)</f>
        <v>94832.142857142855</v>
      </c>
      <c r="L58" s="13">
        <f>J58/J13</f>
        <v>6.8727922840437328E-2</v>
      </c>
    </row>
    <row r="59" spans="1:12" ht="12.75" customHeight="1" x14ac:dyDescent="0.15">
      <c r="A59" s="41"/>
      <c r="B59" s="11" t="s">
        <v>117</v>
      </c>
      <c r="C59" s="14">
        <v>96852.71428571429</v>
      </c>
      <c r="D59" s="14">
        <v>96852.71428571429</v>
      </c>
      <c r="E59" s="14">
        <v>96852.71428571429</v>
      </c>
      <c r="F59" s="14">
        <v>96852.71428571429</v>
      </c>
      <c r="G59" s="14">
        <v>96852.71428571429</v>
      </c>
      <c r="H59" s="14">
        <v>96852.71428571429</v>
      </c>
      <c r="I59" s="14">
        <v>96852.71428571429</v>
      </c>
      <c r="J59" s="16">
        <f>SUM(C59:I59)</f>
        <v>677969.00000000012</v>
      </c>
      <c r="K59" s="16">
        <f>AVERAGE(C59:I59)</f>
        <v>96852.714285714304</v>
      </c>
      <c r="L59" s="13">
        <f>J59/J13</f>
        <v>7.0192296343476762E-2</v>
      </c>
    </row>
    <row r="60" spans="1:12" ht="12.75" customHeight="1" x14ac:dyDescent="0.15">
      <c r="A60" s="41"/>
      <c r="B60" s="17" t="s">
        <v>118</v>
      </c>
      <c r="C60" s="18">
        <f t="shared" ref="C60:I60" si="9">SUM(C54:C59)</f>
        <v>213113.42857142858</v>
      </c>
      <c r="D60" s="18">
        <f t="shared" si="9"/>
        <v>213113.42857142858</v>
      </c>
      <c r="E60" s="18">
        <f t="shared" si="9"/>
        <v>213113.42857142858</v>
      </c>
      <c r="F60" s="18">
        <f t="shared" si="9"/>
        <v>213113.42857142858</v>
      </c>
      <c r="G60" s="18">
        <f t="shared" si="9"/>
        <v>213113.42857142858</v>
      </c>
      <c r="H60" s="18">
        <f t="shared" si="9"/>
        <v>213113.42857142858</v>
      </c>
      <c r="I60" s="18">
        <f t="shared" si="9"/>
        <v>213113.42857142858</v>
      </c>
      <c r="J60" s="20">
        <f>SUM(C60:I60)</f>
        <v>1491794.0000000002</v>
      </c>
      <c r="K60" s="20">
        <f>AVERAGE(C60:I60)</f>
        <v>213113.42857142861</v>
      </c>
      <c r="L60" s="21">
        <f>J60/J13</f>
        <v>0.15445019835924736</v>
      </c>
    </row>
    <row r="61" spans="1:12" ht="12.75" customHeight="1" x14ac:dyDescent="0.15">
      <c r="A61" s="38" t="s">
        <v>119</v>
      </c>
      <c r="B61" s="38"/>
      <c r="C61" s="14">
        <f t="shared" ref="C61:I61" si="10">SUM(C53+C23+C29+C35+C42+C47+C60)</f>
        <v>963665.22857142868</v>
      </c>
      <c r="D61" s="14">
        <f t="shared" si="10"/>
        <v>1061930.4285714286</v>
      </c>
      <c r="E61" s="14">
        <f t="shared" si="10"/>
        <v>1095925.6857142858</v>
      </c>
      <c r="F61" s="14">
        <f t="shared" si="10"/>
        <v>1053595.8</v>
      </c>
      <c r="G61" s="14">
        <f t="shared" si="10"/>
        <v>911709.05714285723</v>
      </c>
      <c r="H61" s="14">
        <f t="shared" si="10"/>
        <v>1258088.3428571429</v>
      </c>
      <c r="I61" s="14">
        <f t="shared" si="10"/>
        <v>763606.11428571423</v>
      </c>
      <c r="J61" s="16">
        <f>SUM(C61:I61)</f>
        <v>7108520.6571428571</v>
      </c>
      <c r="K61" s="16">
        <f>AVERAGE(C61:I61)</f>
        <v>1015502.9510204082</v>
      </c>
      <c r="L61" s="13">
        <f>J61/J13</f>
        <v>0.73596785181903235</v>
      </c>
    </row>
    <row r="62" spans="1:12" ht="12.75" customHeight="1" x14ac:dyDescent="0.15">
      <c r="A62" s="38" t="s">
        <v>120</v>
      </c>
      <c r="B62" s="38"/>
      <c r="C62" s="14">
        <f t="shared" ref="C62:I62" si="11">SUM(C13+C14-C61)</f>
        <v>794016.77142857132</v>
      </c>
      <c r="D62" s="14">
        <f t="shared" si="11"/>
        <v>1033712.5714285714</v>
      </c>
      <c r="E62" s="14">
        <f t="shared" si="11"/>
        <v>498067.31428571418</v>
      </c>
      <c r="F62" s="14">
        <f t="shared" si="11"/>
        <v>279974.19999999995</v>
      </c>
      <c r="G62" s="14">
        <f t="shared" si="11"/>
        <v>55658.942857142771</v>
      </c>
      <c r="H62" s="14">
        <f t="shared" si="11"/>
        <v>-287001.34285714291</v>
      </c>
      <c r="I62" s="14">
        <f t="shared" si="11"/>
        <v>175788.88571428577</v>
      </c>
      <c r="J62" s="16">
        <f>SUM(C62:I62)</f>
        <v>2550217.3428571429</v>
      </c>
      <c r="K62" s="16">
        <f>AVERAGE(C62:I62)</f>
        <v>364316.76326530613</v>
      </c>
      <c r="L62" s="13">
        <f>J62/J13</f>
        <v>0.26403214818096765</v>
      </c>
    </row>
    <row r="63" spans="1:12" ht="12.75" customHeight="1" x14ac:dyDescent="0.15">
      <c r="A63" s="38" t="s">
        <v>121</v>
      </c>
      <c r="B63" s="38"/>
      <c r="C63" s="14">
        <v>104263.38095238095</v>
      </c>
      <c r="D63" s="14">
        <v>104263.38095238095</v>
      </c>
      <c r="E63" s="14">
        <v>104263.38095238095</v>
      </c>
      <c r="F63" s="14">
        <v>104263.38095238095</v>
      </c>
      <c r="G63" s="14">
        <v>104263.38095238095</v>
      </c>
      <c r="H63" s="14">
        <v>104263.38095238095</v>
      </c>
      <c r="I63" s="14">
        <v>104263.38095238095</v>
      </c>
      <c r="J63" s="16">
        <f>SUM(C63:I63)</f>
        <v>729843.66666666663</v>
      </c>
      <c r="K63" s="16">
        <f>AVERAGE(C63:I63)</f>
        <v>104263.38095238095</v>
      </c>
      <c r="L63" s="13">
        <f>J63/J13</f>
        <v>7.5563046297214664E-2</v>
      </c>
    </row>
    <row r="64" spans="1:12" ht="12.75" customHeight="1" x14ac:dyDescent="0.15">
      <c r="A64" s="38" t="s">
        <v>122</v>
      </c>
      <c r="B64" s="38"/>
      <c r="C64" s="14">
        <v>29722.833333333332</v>
      </c>
      <c r="D64" s="14">
        <v>29722.833333333332</v>
      </c>
      <c r="E64" s="14">
        <v>29722.833333333332</v>
      </c>
      <c r="F64" s="14">
        <v>29722.833333333332</v>
      </c>
      <c r="G64" s="14">
        <v>29722.833333333332</v>
      </c>
      <c r="H64" s="14">
        <v>29722.833333333332</v>
      </c>
      <c r="I64" s="14">
        <v>29722.833333333332</v>
      </c>
      <c r="J64" s="16">
        <f>SUM(C64:I64)</f>
        <v>208059.83333333334</v>
      </c>
      <c r="K64" s="16">
        <f>AVERAGE(C64:I64)</f>
        <v>29722.833333333336</v>
      </c>
      <c r="L64" s="13">
        <f>J64/J13</f>
        <v>2.1541099192599836E-2</v>
      </c>
    </row>
    <row r="65" spans="1:12" ht="12.75" customHeight="1" x14ac:dyDescent="0.15">
      <c r="A65" s="38" t="s">
        <v>123</v>
      </c>
      <c r="B65" s="38"/>
      <c r="C65" s="14">
        <f t="shared" ref="C65:I65" si="12">SUM(C62-(C63+C64))</f>
        <v>660030.557142857</v>
      </c>
      <c r="D65" s="14">
        <f t="shared" si="12"/>
        <v>899726.35714285704</v>
      </c>
      <c r="E65" s="14">
        <f t="shared" si="12"/>
        <v>364081.09999999986</v>
      </c>
      <c r="F65" s="14">
        <f t="shared" si="12"/>
        <v>145987.98571428566</v>
      </c>
      <c r="G65" s="14">
        <f t="shared" si="12"/>
        <v>-78327.271428571519</v>
      </c>
      <c r="H65" s="14">
        <f t="shared" si="12"/>
        <v>-420987.55714285723</v>
      </c>
      <c r="I65" s="14">
        <f t="shared" si="12"/>
        <v>41802.671428571484</v>
      </c>
      <c r="J65" s="16">
        <f>SUM(C65:I65)</f>
        <v>1612313.8428571422</v>
      </c>
      <c r="K65" s="16">
        <f>AVERAGE(C65:I65)</f>
        <v>230330.54897959175</v>
      </c>
      <c r="L65" s="13">
        <f>J65/J13</f>
        <v>0.16692800269115304</v>
      </c>
    </row>
    <row r="66" spans="1:12" x14ac:dyDescent="0.15">
      <c r="A66" s="11"/>
      <c r="B66" s="29" t="s">
        <v>46</v>
      </c>
      <c r="C66" s="11"/>
      <c r="D66" s="11"/>
      <c r="E66" s="11"/>
      <c r="F66" s="11"/>
      <c r="G66" s="11"/>
      <c r="H66" s="11"/>
      <c r="I66" s="11"/>
    </row>
    <row r="67" spans="1:12" x14ac:dyDescent="0.15">
      <c r="A67" s="12"/>
      <c r="B67" s="30"/>
      <c r="C67" s="11"/>
      <c r="D67" s="11"/>
      <c r="E67" s="11"/>
      <c r="F67" s="11"/>
      <c r="G67" s="11"/>
      <c r="H67" s="11"/>
      <c r="I67" s="11"/>
    </row>
    <row r="68" spans="1:12" x14ac:dyDescent="0.15">
      <c r="A68" s="12"/>
      <c r="B68" s="33" t="s">
        <v>130</v>
      </c>
      <c r="C68" s="11"/>
      <c r="D68" s="11"/>
      <c r="E68" s="11"/>
      <c r="F68" s="11"/>
      <c r="G68" s="11"/>
      <c r="H68" s="11"/>
      <c r="I68" s="11"/>
    </row>
    <row r="69" spans="1:12" x14ac:dyDescent="0.15">
      <c r="A69" s="12"/>
      <c r="B69" s="34" t="s">
        <v>131</v>
      </c>
      <c r="C69" s="11"/>
      <c r="D69" s="11"/>
      <c r="E69" s="11"/>
      <c r="F69" s="11"/>
      <c r="G69" s="11"/>
      <c r="H69" s="11"/>
      <c r="I69" s="11"/>
    </row>
    <row r="70" spans="1:12" x14ac:dyDescent="0.15">
      <c r="A70" s="12"/>
      <c r="B70" s="34" t="s">
        <v>41</v>
      </c>
      <c r="C70" s="11"/>
      <c r="D70" s="11"/>
      <c r="E70" s="11"/>
      <c r="F70" s="11"/>
      <c r="G70" s="11"/>
      <c r="H70" s="11"/>
      <c r="I70" s="11"/>
    </row>
    <row r="71" spans="1:12" x14ac:dyDescent="0.15">
      <c r="A71" s="11"/>
      <c r="B71" s="35" t="s">
        <v>47</v>
      </c>
      <c r="C71" s="11"/>
      <c r="D71" s="11"/>
      <c r="E71" s="11"/>
      <c r="F71" s="11"/>
      <c r="G71" s="11"/>
      <c r="H71" s="11"/>
      <c r="I71" s="11"/>
    </row>
    <row r="72" spans="1:12" x14ac:dyDescent="0.15">
      <c r="A72" s="11"/>
      <c r="B72" s="30"/>
      <c r="C72" s="11"/>
      <c r="D72" s="11"/>
      <c r="E72" s="11"/>
      <c r="F72" s="11"/>
      <c r="G72" s="11"/>
      <c r="H72" s="11"/>
      <c r="I72" s="11"/>
    </row>
    <row r="73" spans="1:12" x14ac:dyDescent="0.15">
      <c r="A73" s="11"/>
      <c r="B73" s="33" t="s">
        <v>130</v>
      </c>
      <c r="C73" s="11"/>
      <c r="D73" s="11"/>
      <c r="E73" s="11"/>
      <c r="F73" s="11"/>
      <c r="G73" s="11"/>
      <c r="H73" s="11"/>
      <c r="I73" s="11"/>
    </row>
    <row r="74" spans="1:12" x14ac:dyDescent="0.15">
      <c r="A74" s="11"/>
      <c r="B74" s="34" t="s">
        <v>131</v>
      </c>
      <c r="C74" s="11"/>
      <c r="D74" s="11"/>
      <c r="E74" s="11"/>
      <c r="F74" s="11"/>
      <c r="G74" s="11"/>
      <c r="H74" s="11"/>
      <c r="I74" s="11"/>
    </row>
    <row r="75" spans="1:12" x14ac:dyDescent="0.15">
      <c r="A75" s="11"/>
      <c r="B75" s="34" t="s">
        <v>41</v>
      </c>
      <c r="C75" s="11"/>
      <c r="D75" s="11"/>
      <c r="E75" s="11"/>
      <c r="F75" s="11"/>
      <c r="G75" s="11"/>
      <c r="H75" s="11"/>
      <c r="I75" s="11"/>
    </row>
    <row r="76" spans="1:12" x14ac:dyDescent="0.15">
      <c r="A76" s="11"/>
      <c r="B76" s="11" t="s">
        <v>135</v>
      </c>
      <c r="C76" s="11"/>
      <c r="D76" s="11"/>
      <c r="E76" s="11"/>
      <c r="F76" s="11"/>
      <c r="G76" s="11"/>
      <c r="H76" s="11"/>
      <c r="I76" s="11"/>
    </row>
    <row r="77" spans="1:12" x14ac:dyDescent="0.15">
      <c r="A77" s="11"/>
      <c r="B77" s="30"/>
      <c r="C77" s="11"/>
      <c r="D77" s="11"/>
      <c r="E77" s="11"/>
      <c r="F77" s="11"/>
      <c r="G77" s="11"/>
      <c r="H77" s="11"/>
      <c r="I77" s="11"/>
    </row>
    <row r="78" spans="1:12" x14ac:dyDescent="0.15">
      <c r="A78" s="11"/>
      <c r="B78" s="33" t="s">
        <v>130</v>
      </c>
      <c r="C78" s="11"/>
      <c r="D78" s="11"/>
      <c r="E78" s="11"/>
      <c r="F78" s="11"/>
      <c r="G78" s="11"/>
      <c r="H78" s="11"/>
      <c r="I78" s="11"/>
    </row>
    <row r="79" spans="1:12" x14ac:dyDescent="0.15">
      <c r="A79" s="11"/>
      <c r="B79" s="34" t="s">
        <v>131</v>
      </c>
      <c r="C79" s="11"/>
      <c r="D79" s="11"/>
      <c r="E79" s="11"/>
      <c r="F79" s="11"/>
      <c r="G79" s="11"/>
      <c r="H79" s="11"/>
      <c r="I79" s="11"/>
    </row>
    <row r="80" spans="1:12" x14ac:dyDescent="0.15">
      <c r="A80" s="11"/>
      <c r="B80" s="34" t="s">
        <v>41</v>
      </c>
      <c r="C80" s="11"/>
      <c r="D80" s="11"/>
      <c r="E80" s="11"/>
      <c r="F80" s="11"/>
      <c r="G80" s="11"/>
      <c r="H80" s="11"/>
      <c r="I80" s="11"/>
    </row>
    <row r="81" spans="1:9" x14ac:dyDescent="0.15">
      <c r="A81" s="11"/>
      <c r="B81" s="11" t="s">
        <v>139</v>
      </c>
      <c r="C81" s="11"/>
      <c r="D81" s="11"/>
      <c r="E81" s="11"/>
      <c r="F81" s="11"/>
      <c r="G81" s="11"/>
      <c r="H81" s="11"/>
      <c r="I81" s="11"/>
    </row>
    <row r="82" spans="1:9" x14ac:dyDescent="0.15">
      <c r="A82" s="11"/>
      <c r="B82" s="30"/>
      <c r="C82" s="11"/>
      <c r="D82" s="11"/>
      <c r="E82" s="11"/>
      <c r="F82" s="11"/>
      <c r="G82" s="11"/>
      <c r="H82" s="11"/>
      <c r="I82" s="11"/>
    </row>
    <row r="83" spans="1:9" x14ac:dyDescent="0.15">
      <c r="A83" s="11"/>
      <c r="B83" s="33" t="s">
        <v>130</v>
      </c>
      <c r="C83" s="11"/>
      <c r="D83" s="11"/>
      <c r="E83" s="11"/>
      <c r="F83" s="11"/>
      <c r="G83" s="11"/>
      <c r="H83" s="11"/>
      <c r="I83" s="11"/>
    </row>
    <row r="84" spans="1:9" x14ac:dyDescent="0.15">
      <c r="A84" s="11"/>
      <c r="B84" s="34" t="s">
        <v>131</v>
      </c>
      <c r="C84" s="11"/>
      <c r="D84" s="11"/>
      <c r="E84" s="11"/>
      <c r="F84" s="11"/>
      <c r="G84" s="11"/>
      <c r="H84" s="11"/>
      <c r="I84" s="11"/>
    </row>
    <row r="85" spans="1:9" x14ac:dyDescent="0.15">
      <c r="A85" s="11"/>
      <c r="B85" s="34" t="s">
        <v>41</v>
      </c>
      <c r="C85" s="11"/>
      <c r="D85" s="11"/>
      <c r="E85" s="11"/>
      <c r="F85" s="11"/>
      <c r="G85" s="11"/>
      <c r="H85" s="11"/>
      <c r="I85" s="11"/>
    </row>
    <row r="86" spans="1:9" x14ac:dyDescent="0.15">
      <c r="A86" s="11"/>
      <c r="B86" s="11" t="s">
        <v>143</v>
      </c>
      <c r="C86" s="11"/>
      <c r="D86" s="11"/>
      <c r="E86" s="11"/>
      <c r="F86" s="11"/>
      <c r="G86" s="11"/>
      <c r="H86" s="11"/>
      <c r="I86" s="11"/>
    </row>
    <row r="87" spans="1:9" x14ac:dyDescent="0.15">
      <c r="A87" s="11"/>
      <c r="B87" s="30"/>
      <c r="C87" s="11"/>
      <c r="D87" s="11"/>
      <c r="E87" s="11"/>
      <c r="F87" s="11"/>
      <c r="G87" s="11"/>
      <c r="H87" s="11"/>
      <c r="I87" s="11"/>
    </row>
    <row r="88" spans="1:9" x14ac:dyDescent="0.15">
      <c r="A88" s="11"/>
      <c r="B88" s="33" t="s">
        <v>130</v>
      </c>
      <c r="C88" s="11"/>
      <c r="D88" s="11"/>
      <c r="E88" s="11"/>
      <c r="F88" s="11"/>
      <c r="G88" s="11"/>
      <c r="H88" s="11"/>
      <c r="I88" s="11"/>
    </row>
    <row r="89" spans="1:9" x14ac:dyDescent="0.15">
      <c r="A89" s="11"/>
      <c r="B89" s="34" t="s">
        <v>131</v>
      </c>
      <c r="C89" s="11"/>
      <c r="D89" s="11"/>
      <c r="E89" s="11"/>
      <c r="F89" s="11"/>
      <c r="G89" s="11"/>
      <c r="H89" s="11"/>
      <c r="I89" s="11"/>
    </row>
    <row r="90" spans="1:9" x14ac:dyDescent="0.15">
      <c r="A90" s="11"/>
      <c r="B90" s="34" t="s">
        <v>41</v>
      </c>
      <c r="C90" s="11"/>
      <c r="D90" s="11"/>
      <c r="E90" s="11"/>
      <c r="F90" s="11"/>
      <c r="G90" s="11"/>
      <c r="H90" s="11"/>
      <c r="I90" s="11"/>
    </row>
    <row r="91" spans="1:9" x14ac:dyDescent="0.15">
      <c r="A91" s="11"/>
      <c r="B91" s="11"/>
      <c r="C91" s="11"/>
      <c r="D91" s="11"/>
      <c r="E91" s="11"/>
      <c r="F91" s="11"/>
      <c r="G91" s="11"/>
      <c r="H91" s="11"/>
      <c r="I91" s="11"/>
    </row>
    <row r="92" spans="1:9" x14ac:dyDescent="0.15">
      <c r="A92" s="11"/>
      <c r="B92" s="30"/>
      <c r="C92" s="11"/>
      <c r="D92" s="11"/>
      <c r="E92" s="11"/>
      <c r="F92" s="11"/>
      <c r="G92" s="11"/>
      <c r="H92" s="11"/>
      <c r="I92" s="11"/>
    </row>
    <row r="93" spans="1:9" x14ac:dyDescent="0.15">
      <c r="A93" s="11"/>
      <c r="B93" s="33" t="s">
        <v>130</v>
      </c>
      <c r="C93" s="11"/>
      <c r="D93" s="11"/>
      <c r="E93" s="11"/>
      <c r="F93" s="11"/>
      <c r="G93" s="11"/>
      <c r="H93" s="11"/>
      <c r="I93" s="11"/>
    </row>
    <row r="94" spans="1:9" x14ac:dyDescent="0.15">
      <c r="B94" s="34" t="s">
        <v>131</v>
      </c>
    </row>
    <row r="95" spans="1:9" x14ac:dyDescent="0.15">
      <c r="B95" s="34" t="s">
        <v>41</v>
      </c>
    </row>
    <row r="97" spans="2:2" x14ac:dyDescent="0.15">
      <c r="B97" s="30"/>
    </row>
    <row r="98" spans="2:2" x14ac:dyDescent="0.15">
      <c r="B98" s="33" t="s">
        <v>130</v>
      </c>
    </row>
    <row r="99" spans="2:2" x14ac:dyDescent="0.15">
      <c r="B99" s="34" t="s">
        <v>131</v>
      </c>
    </row>
    <row r="100" spans="2:2" x14ac:dyDescent="0.15">
      <c r="B100" s="34" t="s">
        <v>41</v>
      </c>
    </row>
    <row r="102" spans="2:2" x14ac:dyDescent="0.15">
      <c r="B102" s="30"/>
    </row>
    <row r="103" spans="2:2" x14ac:dyDescent="0.15">
      <c r="B103" s="33" t="s">
        <v>130</v>
      </c>
    </row>
    <row r="104" spans="2:2" x14ac:dyDescent="0.15">
      <c r="B104" s="34" t="s">
        <v>131</v>
      </c>
    </row>
    <row r="105" spans="2:2" x14ac:dyDescent="0.15">
      <c r="B105" s="34" t="s">
        <v>41</v>
      </c>
    </row>
    <row r="107" spans="2:2" x14ac:dyDescent="0.15">
      <c r="B107" s="11" t="s">
        <v>156</v>
      </c>
    </row>
  </sheetData>
  <mergeCells count="26">
    <mergeCell ref="A64:B64"/>
    <mergeCell ref="A65:B65"/>
    <mergeCell ref="A43:A47"/>
    <mergeCell ref="A48:A53"/>
    <mergeCell ref="A54:A60"/>
    <mergeCell ref="A61:B61"/>
    <mergeCell ref="A62:B62"/>
    <mergeCell ref="A63:B63"/>
    <mergeCell ref="A15:B15"/>
    <mergeCell ref="A16:B16"/>
    <mergeCell ref="A17:A23"/>
    <mergeCell ref="A24:A29"/>
    <mergeCell ref="A30:A35"/>
    <mergeCell ref="A36:A42"/>
    <mergeCell ref="A9:B9"/>
    <mergeCell ref="A10:B10"/>
    <mergeCell ref="A11:B11"/>
    <mergeCell ref="A12:B12"/>
    <mergeCell ref="A13:B13"/>
    <mergeCell ref="A14:B14"/>
    <mergeCell ref="A3:B3"/>
    <mergeCell ref="A4:B4"/>
    <mergeCell ref="A5:B5"/>
    <mergeCell ref="A6:B6"/>
    <mergeCell ref="A7:B7"/>
    <mergeCell ref="A8:B8"/>
  </mergeCells>
  <phoneticPr fontId="3"/>
  <pageMargins left="0.6692913385826772" right="0.19685039370078741" top="0.31496062992125984" bottom="0.35433070866141736" header="0.19685039370078741" footer="0.19685039370078741"/>
  <pageSetup paperSize="12" scale="90" orientation="landscape" r:id="rId1"/>
  <headerFooter alignWithMargins="0"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print="0" autoLine="0" r:id="rId5">
            <anchor>
              <from>
                <xdr:col>0</xdr:col>
                <xdr:colOff>19050</xdr:colOff>
                <xdr:row>2</xdr:row>
                <xdr:rowOff>28575</xdr:rowOff>
              </from>
              <to>
                <xdr:col>1</xdr:col>
                <xdr:colOff>485775</xdr:colOff>
                <xdr:row>3</xdr:row>
                <xdr:rowOff>142875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B293B-6355-4960-B5E7-6634A9280DA6}">
  <sheetPr codeName="Sheet4"/>
  <dimension ref="A1:K107"/>
  <sheetViews>
    <sheetView topLeftCell="A46" workbookViewId="0">
      <selection activeCell="I63" sqref="I63:I64"/>
    </sheetView>
  </sheetViews>
  <sheetFormatPr defaultRowHeight="13.5" x14ac:dyDescent="0.15"/>
  <cols>
    <col min="1" max="1" width="2.875" style="1" bestFit="1" customWidth="1"/>
    <col min="2" max="2" width="17.625" style="1" bestFit="1" customWidth="1"/>
    <col min="3" max="8" width="11" style="1" bestFit="1" customWidth="1"/>
    <col min="9" max="9" width="13.25" style="1" bestFit="1" customWidth="1"/>
    <col min="10" max="10" width="10.375" style="1" bestFit="1" customWidth="1"/>
    <col min="11" max="11" width="11" style="1" bestFit="1" customWidth="1"/>
    <col min="12" max="216" width="9" style="1"/>
    <col min="217" max="217" width="2.875" style="1" bestFit="1" customWidth="1"/>
    <col min="218" max="218" width="17.625" style="1" bestFit="1" customWidth="1"/>
    <col min="219" max="219" width="11.375" style="1" bestFit="1" customWidth="1"/>
    <col min="220" max="221" width="14.125" style="1" bestFit="1" customWidth="1"/>
    <col min="222" max="222" width="11.375" style="1" bestFit="1" customWidth="1"/>
    <col min="223" max="226" width="12.5" style="1" bestFit="1" customWidth="1"/>
    <col min="227" max="245" width="13" style="1" bestFit="1" customWidth="1"/>
    <col min="246" max="249" width="11" style="1" bestFit="1" customWidth="1"/>
    <col min="250" max="252" width="12.25" style="1" bestFit="1" customWidth="1"/>
    <col min="253" max="264" width="11" style="1" bestFit="1" customWidth="1"/>
    <col min="265" max="265" width="13.25" style="1" bestFit="1" customWidth="1"/>
    <col min="266" max="266" width="10.375" style="1" bestFit="1" customWidth="1"/>
    <col min="267" max="267" width="11" style="1" bestFit="1" customWidth="1"/>
    <col min="268" max="472" width="9" style="1"/>
    <col min="473" max="473" width="2.875" style="1" bestFit="1" customWidth="1"/>
    <col min="474" max="474" width="17.625" style="1" bestFit="1" customWidth="1"/>
    <col min="475" max="475" width="11.375" style="1" bestFit="1" customWidth="1"/>
    <col min="476" max="477" width="14.125" style="1" bestFit="1" customWidth="1"/>
    <col min="478" max="478" width="11.375" style="1" bestFit="1" customWidth="1"/>
    <col min="479" max="482" width="12.5" style="1" bestFit="1" customWidth="1"/>
    <col min="483" max="501" width="13" style="1" bestFit="1" customWidth="1"/>
    <col min="502" max="505" width="11" style="1" bestFit="1" customWidth="1"/>
    <col min="506" max="508" width="12.25" style="1" bestFit="1" customWidth="1"/>
    <col min="509" max="520" width="11" style="1" bestFit="1" customWidth="1"/>
    <col min="521" max="521" width="13.25" style="1" bestFit="1" customWidth="1"/>
    <col min="522" max="522" width="10.375" style="1" bestFit="1" customWidth="1"/>
    <col min="523" max="523" width="11" style="1" bestFit="1" customWidth="1"/>
    <col min="524" max="728" width="9" style="1"/>
    <col min="729" max="729" width="2.875" style="1" bestFit="1" customWidth="1"/>
    <col min="730" max="730" width="17.625" style="1" bestFit="1" customWidth="1"/>
    <col min="731" max="731" width="11.375" style="1" bestFit="1" customWidth="1"/>
    <col min="732" max="733" width="14.125" style="1" bestFit="1" customWidth="1"/>
    <col min="734" max="734" width="11.375" style="1" bestFit="1" customWidth="1"/>
    <col min="735" max="738" width="12.5" style="1" bestFit="1" customWidth="1"/>
    <col min="739" max="757" width="13" style="1" bestFit="1" customWidth="1"/>
    <col min="758" max="761" width="11" style="1" bestFit="1" customWidth="1"/>
    <col min="762" max="764" width="12.25" style="1" bestFit="1" customWidth="1"/>
    <col min="765" max="776" width="11" style="1" bestFit="1" customWidth="1"/>
    <col min="777" max="777" width="13.25" style="1" bestFit="1" customWidth="1"/>
    <col min="778" max="778" width="10.375" style="1" bestFit="1" customWidth="1"/>
    <col min="779" max="779" width="11" style="1" bestFit="1" customWidth="1"/>
    <col min="780" max="984" width="9" style="1"/>
    <col min="985" max="985" width="2.875" style="1" bestFit="1" customWidth="1"/>
    <col min="986" max="986" width="17.625" style="1" bestFit="1" customWidth="1"/>
    <col min="987" max="987" width="11.375" style="1" bestFit="1" customWidth="1"/>
    <col min="988" max="989" width="14.125" style="1" bestFit="1" customWidth="1"/>
    <col min="990" max="990" width="11.375" style="1" bestFit="1" customWidth="1"/>
    <col min="991" max="994" width="12.5" style="1" bestFit="1" customWidth="1"/>
    <col min="995" max="1013" width="13" style="1" bestFit="1" customWidth="1"/>
    <col min="1014" max="1017" width="11" style="1" bestFit="1" customWidth="1"/>
    <col min="1018" max="1020" width="12.25" style="1" bestFit="1" customWidth="1"/>
    <col min="1021" max="1032" width="11" style="1" bestFit="1" customWidth="1"/>
    <col min="1033" max="1033" width="13.25" style="1" bestFit="1" customWidth="1"/>
    <col min="1034" max="1034" width="10.375" style="1" bestFit="1" customWidth="1"/>
    <col min="1035" max="1035" width="11" style="1" bestFit="1" customWidth="1"/>
    <col min="1036" max="1240" width="9" style="1"/>
    <col min="1241" max="1241" width="2.875" style="1" bestFit="1" customWidth="1"/>
    <col min="1242" max="1242" width="17.625" style="1" bestFit="1" customWidth="1"/>
    <col min="1243" max="1243" width="11.375" style="1" bestFit="1" customWidth="1"/>
    <col min="1244" max="1245" width="14.125" style="1" bestFit="1" customWidth="1"/>
    <col min="1246" max="1246" width="11.375" style="1" bestFit="1" customWidth="1"/>
    <col min="1247" max="1250" width="12.5" style="1" bestFit="1" customWidth="1"/>
    <col min="1251" max="1269" width="13" style="1" bestFit="1" customWidth="1"/>
    <col min="1270" max="1273" width="11" style="1" bestFit="1" customWidth="1"/>
    <col min="1274" max="1276" width="12.25" style="1" bestFit="1" customWidth="1"/>
    <col min="1277" max="1288" width="11" style="1" bestFit="1" customWidth="1"/>
    <col min="1289" max="1289" width="13.25" style="1" bestFit="1" customWidth="1"/>
    <col min="1290" max="1290" width="10.375" style="1" bestFit="1" customWidth="1"/>
    <col min="1291" max="1291" width="11" style="1" bestFit="1" customWidth="1"/>
    <col min="1292" max="1496" width="9" style="1"/>
    <col min="1497" max="1497" width="2.875" style="1" bestFit="1" customWidth="1"/>
    <col min="1498" max="1498" width="17.625" style="1" bestFit="1" customWidth="1"/>
    <col min="1499" max="1499" width="11.375" style="1" bestFit="1" customWidth="1"/>
    <col min="1500" max="1501" width="14.125" style="1" bestFit="1" customWidth="1"/>
    <col min="1502" max="1502" width="11.375" style="1" bestFit="1" customWidth="1"/>
    <col min="1503" max="1506" width="12.5" style="1" bestFit="1" customWidth="1"/>
    <col min="1507" max="1525" width="13" style="1" bestFit="1" customWidth="1"/>
    <col min="1526" max="1529" width="11" style="1" bestFit="1" customWidth="1"/>
    <col min="1530" max="1532" width="12.25" style="1" bestFit="1" customWidth="1"/>
    <col min="1533" max="1544" width="11" style="1" bestFit="1" customWidth="1"/>
    <col min="1545" max="1545" width="13.25" style="1" bestFit="1" customWidth="1"/>
    <col min="1546" max="1546" width="10.375" style="1" bestFit="1" customWidth="1"/>
    <col min="1547" max="1547" width="11" style="1" bestFit="1" customWidth="1"/>
    <col min="1548" max="1752" width="9" style="1"/>
    <col min="1753" max="1753" width="2.875" style="1" bestFit="1" customWidth="1"/>
    <col min="1754" max="1754" width="17.625" style="1" bestFit="1" customWidth="1"/>
    <col min="1755" max="1755" width="11.375" style="1" bestFit="1" customWidth="1"/>
    <col min="1756" max="1757" width="14.125" style="1" bestFit="1" customWidth="1"/>
    <col min="1758" max="1758" width="11.375" style="1" bestFit="1" customWidth="1"/>
    <col min="1759" max="1762" width="12.5" style="1" bestFit="1" customWidth="1"/>
    <col min="1763" max="1781" width="13" style="1" bestFit="1" customWidth="1"/>
    <col min="1782" max="1785" width="11" style="1" bestFit="1" customWidth="1"/>
    <col min="1786" max="1788" width="12.25" style="1" bestFit="1" customWidth="1"/>
    <col min="1789" max="1800" width="11" style="1" bestFit="1" customWidth="1"/>
    <col min="1801" max="1801" width="13.25" style="1" bestFit="1" customWidth="1"/>
    <col min="1802" max="1802" width="10.375" style="1" bestFit="1" customWidth="1"/>
    <col min="1803" max="1803" width="11" style="1" bestFit="1" customWidth="1"/>
    <col min="1804" max="2008" width="9" style="1"/>
    <col min="2009" max="2009" width="2.875" style="1" bestFit="1" customWidth="1"/>
    <col min="2010" max="2010" width="17.625" style="1" bestFit="1" customWidth="1"/>
    <col min="2011" max="2011" width="11.375" style="1" bestFit="1" customWidth="1"/>
    <col min="2012" max="2013" width="14.125" style="1" bestFit="1" customWidth="1"/>
    <col min="2014" max="2014" width="11.375" style="1" bestFit="1" customWidth="1"/>
    <col min="2015" max="2018" width="12.5" style="1" bestFit="1" customWidth="1"/>
    <col min="2019" max="2037" width="13" style="1" bestFit="1" customWidth="1"/>
    <col min="2038" max="2041" width="11" style="1" bestFit="1" customWidth="1"/>
    <col min="2042" max="2044" width="12.25" style="1" bestFit="1" customWidth="1"/>
    <col min="2045" max="2056" width="11" style="1" bestFit="1" customWidth="1"/>
    <col min="2057" max="2057" width="13.25" style="1" bestFit="1" customWidth="1"/>
    <col min="2058" max="2058" width="10.375" style="1" bestFit="1" customWidth="1"/>
    <col min="2059" max="2059" width="11" style="1" bestFit="1" customWidth="1"/>
    <col min="2060" max="2264" width="9" style="1"/>
    <col min="2265" max="2265" width="2.875" style="1" bestFit="1" customWidth="1"/>
    <col min="2266" max="2266" width="17.625" style="1" bestFit="1" customWidth="1"/>
    <col min="2267" max="2267" width="11.375" style="1" bestFit="1" customWidth="1"/>
    <col min="2268" max="2269" width="14.125" style="1" bestFit="1" customWidth="1"/>
    <col min="2270" max="2270" width="11.375" style="1" bestFit="1" customWidth="1"/>
    <col min="2271" max="2274" width="12.5" style="1" bestFit="1" customWidth="1"/>
    <col min="2275" max="2293" width="13" style="1" bestFit="1" customWidth="1"/>
    <col min="2294" max="2297" width="11" style="1" bestFit="1" customWidth="1"/>
    <col min="2298" max="2300" width="12.25" style="1" bestFit="1" customWidth="1"/>
    <col min="2301" max="2312" width="11" style="1" bestFit="1" customWidth="1"/>
    <col min="2313" max="2313" width="13.25" style="1" bestFit="1" customWidth="1"/>
    <col min="2314" max="2314" width="10.375" style="1" bestFit="1" customWidth="1"/>
    <col min="2315" max="2315" width="11" style="1" bestFit="1" customWidth="1"/>
    <col min="2316" max="2520" width="9" style="1"/>
    <col min="2521" max="2521" width="2.875" style="1" bestFit="1" customWidth="1"/>
    <col min="2522" max="2522" width="17.625" style="1" bestFit="1" customWidth="1"/>
    <col min="2523" max="2523" width="11.375" style="1" bestFit="1" customWidth="1"/>
    <col min="2524" max="2525" width="14.125" style="1" bestFit="1" customWidth="1"/>
    <col min="2526" max="2526" width="11.375" style="1" bestFit="1" customWidth="1"/>
    <col min="2527" max="2530" width="12.5" style="1" bestFit="1" customWidth="1"/>
    <col min="2531" max="2549" width="13" style="1" bestFit="1" customWidth="1"/>
    <col min="2550" max="2553" width="11" style="1" bestFit="1" customWidth="1"/>
    <col min="2554" max="2556" width="12.25" style="1" bestFit="1" customWidth="1"/>
    <col min="2557" max="2568" width="11" style="1" bestFit="1" customWidth="1"/>
    <col min="2569" max="2569" width="13.25" style="1" bestFit="1" customWidth="1"/>
    <col min="2570" max="2570" width="10.375" style="1" bestFit="1" customWidth="1"/>
    <col min="2571" max="2571" width="11" style="1" bestFit="1" customWidth="1"/>
    <col min="2572" max="2776" width="9" style="1"/>
    <col min="2777" max="2777" width="2.875" style="1" bestFit="1" customWidth="1"/>
    <col min="2778" max="2778" width="17.625" style="1" bestFit="1" customWidth="1"/>
    <col min="2779" max="2779" width="11.375" style="1" bestFit="1" customWidth="1"/>
    <col min="2780" max="2781" width="14.125" style="1" bestFit="1" customWidth="1"/>
    <col min="2782" max="2782" width="11.375" style="1" bestFit="1" customWidth="1"/>
    <col min="2783" max="2786" width="12.5" style="1" bestFit="1" customWidth="1"/>
    <col min="2787" max="2805" width="13" style="1" bestFit="1" customWidth="1"/>
    <col min="2806" max="2809" width="11" style="1" bestFit="1" customWidth="1"/>
    <col min="2810" max="2812" width="12.25" style="1" bestFit="1" customWidth="1"/>
    <col min="2813" max="2824" width="11" style="1" bestFit="1" customWidth="1"/>
    <col min="2825" max="2825" width="13.25" style="1" bestFit="1" customWidth="1"/>
    <col min="2826" max="2826" width="10.375" style="1" bestFit="1" customWidth="1"/>
    <col min="2827" max="2827" width="11" style="1" bestFit="1" customWidth="1"/>
    <col min="2828" max="3032" width="9" style="1"/>
    <col min="3033" max="3033" width="2.875" style="1" bestFit="1" customWidth="1"/>
    <col min="3034" max="3034" width="17.625" style="1" bestFit="1" customWidth="1"/>
    <col min="3035" max="3035" width="11.375" style="1" bestFit="1" customWidth="1"/>
    <col min="3036" max="3037" width="14.125" style="1" bestFit="1" customWidth="1"/>
    <col min="3038" max="3038" width="11.375" style="1" bestFit="1" customWidth="1"/>
    <col min="3039" max="3042" width="12.5" style="1" bestFit="1" customWidth="1"/>
    <col min="3043" max="3061" width="13" style="1" bestFit="1" customWidth="1"/>
    <col min="3062" max="3065" width="11" style="1" bestFit="1" customWidth="1"/>
    <col min="3066" max="3068" width="12.25" style="1" bestFit="1" customWidth="1"/>
    <col min="3069" max="3080" width="11" style="1" bestFit="1" customWidth="1"/>
    <col min="3081" max="3081" width="13.25" style="1" bestFit="1" customWidth="1"/>
    <col min="3082" max="3082" width="10.375" style="1" bestFit="1" customWidth="1"/>
    <col min="3083" max="3083" width="11" style="1" bestFit="1" customWidth="1"/>
    <col min="3084" max="3288" width="9" style="1"/>
    <col min="3289" max="3289" width="2.875" style="1" bestFit="1" customWidth="1"/>
    <col min="3290" max="3290" width="17.625" style="1" bestFit="1" customWidth="1"/>
    <col min="3291" max="3291" width="11.375" style="1" bestFit="1" customWidth="1"/>
    <col min="3292" max="3293" width="14.125" style="1" bestFit="1" customWidth="1"/>
    <col min="3294" max="3294" width="11.375" style="1" bestFit="1" customWidth="1"/>
    <col min="3295" max="3298" width="12.5" style="1" bestFit="1" customWidth="1"/>
    <col min="3299" max="3317" width="13" style="1" bestFit="1" customWidth="1"/>
    <col min="3318" max="3321" width="11" style="1" bestFit="1" customWidth="1"/>
    <col min="3322" max="3324" width="12.25" style="1" bestFit="1" customWidth="1"/>
    <col min="3325" max="3336" width="11" style="1" bestFit="1" customWidth="1"/>
    <col min="3337" max="3337" width="13.25" style="1" bestFit="1" customWidth="1"/>
    <col min="3338" max="3338" width="10.375" style="1" bestFit="1" customWidth="1"/>
    <col min="3339" max="3339" width="11" style="1" bestFit="1" customWidth="1"/>
    <col min="3340" max="3544" width="9" style="1"/>
    <col min="3545" max="3545" width="2.875" style="1" bestFit="1" customWidth="1"/>
    <col min="3546" max="3546" width="17.625" style="1" bestFit="1" customWidth="1"/>
    <col min="3547" max="3547" width="11.375" style="1" bestFit="1" customWidth="1"/>
    <col min="3548" max="3549" width="14.125" style="1" bestFit="1" customWidth="1"/>
    <col min="3550" max="3550" width="11.375" style="1" bestFit="1" customWidth="1"/>
    <col min="3551" max="3554" width="12.5" style="1" bestFit="1" customWidth="1"/>
    <col min="3555" max="3573" width="13" style="1" bestFit="1" customWidth="1"/>
    <col min="3574" max="3577" width="11" style="1" bestFit="1" customWidth="1"/>
    <col min="3578" max="3580" width="12.25" style="1" bestFit="1" customWidth="1"/>
    <col min="3581" max="3592" width="11" style="1" bestFit="1" customWidth="1"/>
    <col min="3593" max="3593" width="13.25" style="1" bestFit="1" customWidth="1"/>
    <col min="3594" max="3594" width="10.375" style="1" bestFit="1" customWidth="1"/>
    <col min="3595" max="3595" width="11" style="1" bestFit="1" customWidth="1"/>
    <col min="3596" max="3800" width="9" style="1"/>
    <col min="3801" max="3801" width="2.875" style="1" bestFit="1" customWidth="1"/>
    <col min="3802" max="3802" width="17.625" style="1" bestFit="1" customWidth="1"/>
    <col min="3803" max="3803" width="11.375" style="1" bestFit="1" customWidth="1"/>
    <col min="3804" max="3805" width="14.125" style="1" bestFit="1" customWidth="1"/>
    <col min="3806" max="3806" width="11.375" style="1" bestFit="1" customWidth="1"/>
    <col min="3807" max="3810" width="12.5" style="1" bestFit="1" customWidth="1"/>
    <col min="3811" max="3829" width="13" style="1" bestFit="1" customWidth="1"/>
    <col min="3830" max="3833" width="11" style="1" bestFit="1" customWidth="1"/>
    <col min="3834" max="3836" width="12.25" style="1" bestFit="1" customWidth="1"/>
    <col min="3837" max="3848" width="11" style="1" bestFit="1" customWidth="1"/>
    <col min="3849" max="3849" width="13.25" style="1" bestFit="1" customWidth="1"/>
    <col min="3850" max="3850" width="10.375" style="1" bestFit="1" customWidth="1"/>
    <col min="3851" max="3851" width="11" style="1" bestFit="1" customWidth="1"/>
    <col min="3852" max="4056" width="9" style="1"/>
    <col min="4057" max="4057" width="2.875" style="1" bestFit="1" customWidth="1"/>
    <col min="4058" max="4058" width="17.625" style="1" bestFit="1" customWidth="1"/>
    <col min="4059" max="4059" width="11.375" style="1" bestFit="1" customWidth="1"/>
    <col min="4060" max="4061" width="14.125" style="1" bestFit="1" customWidth="1"/>
    <col min="4062" max="4062" width="11.375" style="1" bestFit="1" customWidth="1"/>
    <col min="4063" max="4066" width="12.5" style="1" bestFit="1" customWidth="1"/>
    <col min="4067" max="4085" width="13" style="1" bestFit="1" customWidth="1"/>
    <col min="4086" max="4089" width="11" style="1" bestFit="1" customWidth="1"/>
    <col min="4090" max="4092" width="12.25" style="1" bestFit="1" customWidth="1"/>
    <col min="4093" max="4104" width="11" style="1" bestFit="1" customWidth="1"/>
    <col min="4105" max="4105" width="13.25" style="1" bestFit="1" customWidth="1"/>
    <col min="4106" max="4106" width="10.375" style="1" bestFit="1" customWidth="1"/>
    <col min="4107" max="4107" width="11" style="1" bestFit="1" customWidth="1"/>
    <col min="4108" max="4312" width="9" style="1"/>
    <col min="4313" max="4313" width="2.875" style="1" bestFit="1" customWidth="1"/>
    <col min="4314" max="4314" width="17.625" style="1" bestFit="1" customWidth="1"/>
    <col min="4315" max="4315" width="11.375" style="1" bestFit="1" customWidth="1"/>
    <col min="4316" max="4317" width="14.125" style="1" bestFit="1" customWidth="1"/>
    <col min="4318" max="4318" width="11.375" style="1" bestFit="1" customWidth="1"/>
    <col min="4319" max="4322" width="12.5" style="1" bestFit="1" customWidth="1"/>
    <col min="4323" max="4341" width="13" style="1" bestFit="1" customWidth="1"/>
    <col min="4342" max="4345" width="11" style="1" bestFit="1" customWidth="1"/>
    <col min="4346" max="4348" width="12.25" style="1" bestFit="1" customWidth="1"/>
    <col min="4349" max="4360" width="11" style="1" bestFit="1" customWidth="1"/>
    <col min="4361" max="4361" width="13.25" style="1" bestFit="1" customWidth="1"/>
    <col min="4362" max="4362" width="10.375" style="1" bestFit="1" customWidth="1"/>
    <col min="4363" max="4363" width="11" style="1" bestFit="1" customWidth="1"/>
    <col min="4364" max="4568" width="9" style="1"/>
    <col min="4569" max="4569" width="2.875" style="1" bestFit="1" customWidth="1"/>
    <col min="4570" max="4570" width="17.625" style="1" bestFit="1" customWidth="1"/>
    <col min="4571" max="4571" width="11.375" style="1" bestFit="1" customWidth="1"/>
    <col min="4572" max="4573" width="14.125" style="1" bestFit="1" customWidth="1"/>
    <col min="4574" max="4574" width="11.375" style="1" bestFit="1" customWidth="1"/>
    <col min="4575" max="4578" width="12.5" style="1" bestFit="1" customWidth="1"/>
    <col min="4579" max="4597" width="13" style="1" bestFit="1" customWidth="1"/>
    <col min="4598" max="4601" width="11" style="1" bestFit="1" customWidth="1"/>
    <col min="4602" max="4604" width="12.25" style="1" bestFit="1" customWidth="1"/>
    <col min="4605" max="4616" width="11" style="1" bestFit="1" customWidth="1"/>
    <col min="4617" max="4617" width="13.25" style="1" bestFit="1" customWidth="1"/>
    <col min="4618" max="4618" width="10.375" style="1" bestFit="1" customWidth="1"/>
    <col min="4619" max="4619" width="11" style="1" bestFit="1" customWidth="1"/>
    <col min="4620" max="4824" width="9" style="1"/>
    <col min="4825" max="4825" width="2.875" style="1" bestFit="1" customWidth="1"/>
    <col min="4826" max="4826" width="17.625" style="1" bestFit="1" customWidth="1"/>
    <col min="4827" max="4827" width="11.375" style="1" bestFit="1" customWidth="1"/>
    <col min="4828" max="4829" width="14.125" style="1" bestFit="1" customWidth="1"/>
    <col min="4830" max="4830" width="11.375" style="1" bestFit="1" customWidth="1"/>
    <col min="4831" max="4834" width="12.5" style="1" bestFit="1" customWidth="1"/>
    <col min="4835" max="4853" width="13" style="1" bestFit="1" customWidth="1"/>
    <col min="4854" max="4857" width="11" style="1" bestFit="1" customWidth="1"/>
    <col min="4858" max="4860" width="12.25" style="1" bestFit="1" customWidth="1"/>
    <col min="4861" max="4872" width="11" style="1" bestFit="1" customWidth="1"/>
    <col min="4873" max="4873" width="13.25" style="1" bestFit="1" customWidth="1"/>
    <col min="4874" max="4874" width="10.375" style="1" bestFit="1" customWidth="1"/>
    <col min="4875" max="4875" width="11" style="1" bestFit="1" customWidth="1"/>
    <col min="4876" max="5080" width="9" style="1"/>
    <col min="5081" max="5081" width="2.875" style="1" bestFit="1" customWidth="1"/>
    <col min="5082" max="5082" width="17.625" style="1" bestFit="1" customWidth="1"/>
    <col min="5083" max="5083" width="11.375" style="1" bestFit="1" customWidth="1"/>
    <col min="5084" max="5085" width="14.125" style="1" bestFit="1" customWidth="1"/>
    <col min="5086" max="5086" width="11.375" style="1" bestFit="1" customWidth="1"/>
    <col min="5087" max="5090" width="12.5" style="1" bestFit="1" customWidth="1"/>
    <col min="5091" max="5109" width="13" style="1" bestFit="1" customWidth="1"/>
    <col min="5110" max="5113" width="11" style="1" bestFit="1" customWidth="1"/>
    <col min="5114" max="5116" width="12.25" style="1" bestFit="1" customWidth="1"/>
    <col min="5117" max="5128" width="11" style="1" bestFit="1" customWidth="1"/>
    <col min="5129" max="5129" width="13.25" style="1" bestFit="1" customWidth="1"/>
    <col min="5130" max="5130" width="10.375" style="1" bestFit="1" customWidth="1"/>
    <col min="5131" max="5131" width="11" style="1" bestFit="1" customWidth="1"/>
    <col min="5132" max="5336" width="9" style="1"/>
    <col min="5337" max="5337" width="2.875" style="1" bestFit="1" customWidth="1"/>
    <col min="5338" max="5338" width="17.625" style="1" bestFit="1" customWidth="1"/>
    <col min="5339" max="5339" width="11.375" style="1" bestFit="1" customWidth="1"/>
    <col min="5340" max="5341" width="14.125" style="1" bestFit="1" customWidth="1"/>
    <col min="5342" max="5342" width="11.375" style="1" bestFit="1" customWidth="1"/>
    <col min="5343" max="5346" width="12.5" style="1" bestFit="1" customWidth="1"/>
    <col min="5347" max="5365" width="13" style="1" bestFit="1" customWidth="1"/>
    <col min="5366" max="5369" width="11" style="1" bestFit="1" customWidth="1"/>
    <col min="5370" max="5372" width="12.25" style="1" bestFit="1" customWidth="1"/>
    <col min="5373" max="5384" width="11" style="1" bestFit="1" customWidth="1"/>
    <col min="5385" max="5385" width="13.25" style="1" bestFit="1" customWidth="1"/>
    <col min="5386" max="5386" width="10.375" style="1" bestFit="1" customWidth="1"/>
    <col min="5387" max="5387" width="11" style="1" bestFit="1" customWidth="1"/>
    <col min="5388" max="5592" width="9" style="1"/>
    <col min="5593" max="5593" width="2.875" style="1" bestFit="1" customWidth="1"/>
    <col min="5594" max="5594" width="17.625" style="1" bestFit="1" customWidth="1"/>
    <col min="5595" max="5595" width="11.375" style="1" bestFit="1" customWidth="1"/>
    <col min="5596" max="5597" width="14.125" style="1" bestFit="1" customWidth="1"/>
    <col min="5598" max="5598" width="11.375" style="1" bestFit="1" customWidth="1"/>
    <col min="5599" max="5602" width="12.5" style="1" bestFit="1" customWidth="1"/>
    <col min="5603" max="5621" width="13" style="1" bestFit="1" customWidth="1"/>
    <col min="5622" max="5625" width="11" style="1" bestFit="1" customWidth="1"/>
    <col min="5626" max="5628" width="12.25" style="1" bestFit="1" customWidth="1"/>
    <col min="5629" max="5640" width="11" style="1" bestFit="1" customWidth="1"/>
    <col min="5641" max="5641" width="13.25" style="1" bestFit="1" customWidth="1"/>
    <col min="5642" max="5642" width="10.375" style="1" bestFit="1" customWidth="1"/>
    <col min="5643" max="5643" width="11" style="1" bestFit="1" customWidth="1"/>
    <col min="5644" max="5848" width="9" style="1"/>
    <col min="5849" max="5849" width="2.875" style="1" bestFit="1" customWidth="1"/>
    <col min="5850" max="5850" width="17.625" style="1" bestFit="1" customWidth="1"/>
    <col min="5851" max="5851" width="11.375" style="1" bestFit="1" customWidth="1"/>
    <col min="5852" max="5853" width="14.125" style="1" bestFit="1" customWidth="1"/>
    <col min="5854" max="5854" width="11.375" style="1" bestFit="1" customWidth="1"/>
    <col min="5855" max="5858" width="12.5" style="1" bestFit="1" customWidth="1"/>
    <col min="5859" max="5877" width="13" style="1" bestFit="1" customWidth="1"/>
    <col min="5878" max="5881" width="11" style="1" bestFit="1" customWidth="1"/>
    <col min="5882" max="5884" width="12.25" style="1" bestFit="1" customWidth="1"/>
    <col min="5885" max="5896" width="11" style="1" bestFit="1" customWidth="1"/>
    <col min="5897" max="5897" width="13.25" style="1" bestFit="1" customWidth="1"/>
    <col min="5898" max="5898" width="10.375" style="1" bestFit="1" customWidth="1"/>
    <col min="5899" max="5899" width="11" style="1" bestFit="1" customWidth="1"/>
    <col min="5900" max="6104" width="9" style="1"/>
    <col min="6105" max="6105" width="2.875" style="1" bestFit="1" customWidth="1"/>
    <col min="6106" max="6106" width="17.625" style="1" bestFit="1" customWidth="1"/>
    <col min="6107" max="6107" width="11.375" style="1" bestFit="1" customWidth="1"/>
    <col min="6108" max="6109" width="14.125" style="1" bestFit="1" customWidth="1"/>
    <col min="6110" max="6110" width="11.375" style="1" bestFit="1" customWidth="1"/>
    <col min="6111" max="6114" width="12.5" style="1" bestFit="1" customWidth="1"/>
    <col min="6115" max="6133" width="13" style="1" bestFit="1" customWidth="1"/>
    <col min="6134" max="6137" width="11" style="1" bestFit="1" customWidth="1"/>
    <col min="6138" max="6140" width="12.25" style="1" bestFit="1" customWidth="1"/>
    <col min="6141" max="6152" width="11" style="1" bestFit="1" customWidth="1"/>
    <col min="6153" max="6153" width="13.25" style="1" bestFit="1" customWidth="1"/>
    <col min="6154" max="6154" width="10.375" style="1" bestFit="1" customWidth="1"/>
    <col min="6155" max="6155" width="11" style="1" bestFit="1" customWidth="1"/>
    <col min="6156" max="6360" width="9" style="1"/>
    <col min="6361" max="6361" width="2.875" style="1" bestFit="1" customWidth="1"/>
    <col min="6362" max="6362" width="17.625" style="1" bestFit="1" customWidth="1"/>
    <col min="6363" max="6363" width="11.375" style="1" bestFit="1" customWidth="1"/>
    <col min="6364" max="6365" width="14.125" style="1" bestFit="1" customWidth="1"/>
    <col min="6366" max="6366" width="11.375" style="1" bestFit="1" customWidth="1"/>
    <col min="6367" max="6370" width="12.5" style="1" bestFit="1" customWidth="1"/>
    <col min="6371" max="6389" width="13" style="1" bestFit="1" customWidth="1"/>
    <col min="6390" max="6393" width="11" style="1" bestFit="1" customWidth="1"/>
    <col min="6394" max="6396" width="12.25" style="1" bestFit="1" customWidth="1"/>
    <col min="6397" max="6408" width="11" style="1" bestFit="1" customWidth="1"/>
    <col min="6409" max="6409" width="13.25" style="1" bestFit="1" customWidth="1"/>
    <col min="6410" max="6410" width="10.375" style="1" bestFit="1" customWidth="1"/>
    <col min="6411" max="6411" width="11" style="1" bestFit="1" customWidth="1"/>
    <col min="6412" max="6616" width="9" style="1"/>
    <col min="6617" max="6617" width="2.875" style="1" bestFit="1" customWidth="1"/>
    <col min="6618" max="6618" width="17.625" style="1" bestFit="1" customWidth="1"/>
    <col min="6619" max="6619" width="11.375" style="1" bestFit="1" customWidth="1"/>
    <col min="6620" max="6621" width="14.125" style="1" bestFit="1" customWidth="1"/>
    <col min="6622" max="6622" width="11.375" style="1" bestFit="1" customWidth="1"/>
    <col min="6623" max="6626" width="12.5" style="1" bestFit="1" customWidth="1"/>
    <col min="6627" max="6645" width="13" style="1" bestFit="1" customWidth="1"/>
    <col min="6646" max="6649" width="11" style="1" bestFit="1" customWidth="1"/>
    <col min="6650" max="6652" width="12.25" style="1" bestFit="1" customWidth="1"/>
    <col min="6653" max="6664" width="11" style="1" bestFit="1" customWidth="1"/>
    <col min="6665" max="6665" width="13.25" style="1" bestFit="1" customWidth="1"/>
    <col min="6666" max="6666" width="10.375" style="1" bestFit="1" customWidth="1"/>
    <col min="6667" max="6667" width="11" style="1" bestFit="1" customWidth="1"/>
    <col min="6668" max="6872" width="9" style="1"/>
    <col min="6873" max="6873" width="2.875" style="1" bestFit="1" customWidth="1"/>
    <col min="6874" max="6874" width="17.625" style="1" bestFit="1" customWidth="1"/>
    <col min="6875" max="6875" width="11.375" style="1" bestFit="1" customWidth="1"/>
    <col min="6876" max="6877" width="14.125" style="1" bestFit="1" customWidth="1"/>
    <col min="6878" max="6878" width="11.375" style="1" bestFit="1" customWidth="1"/>
    <col min="6879" max="6882" width="12.5" style="1" bestFit="1" customWidth="1"/>
    <col min="6883" max="6901" width="13" style="1" bestFit="1" customWidth="1"/>
    <col min="6902" max="6905" width="11" style="1" bestFit="1" customWidth="1"/>
    <col min="6906" max="6908" width="12.25" style="1" bestFit="1" customWidth="1"/>
    <col min="6909" max="6920" width="11" style="1" bestFit="1" customWidth="1"/>
    <col min="6921" max="6921" width="13.25" style="1" bestFit="1" customWidth="1"/>
    <col min="6922" max="6922" width="10.375" style="1" bestFit="1" customWidth="1"/>
    <col min="6923" max="6923" width="11" style="1" bestFit="1" customWidth="1"/>
    <col min="6924" max="7128" width="9" style="1"/>
    <col min="7129" max="7129" width="2.875" style="1" bestFit="1" customWidth="1"/>
    <col min="7130" max="7130" width="17.625" style="1" bestFit="1" customWidth="1"/>
    <col min="7131" max="7131" width="11.375" style="1" bestFit="1" customWidth="1"/>
    <col min="7132" max="7133" width="14.125" style="1" bestFit="1" customWidth="1"/>
    <col min="7134" max="7134" width="11.375" style="1" bestFit="1" customWidth="1"/>
    <col min="7135" max="7138" width="12.5" style="1" bestFit="1" customWidth="1"/>
    <col min="7139" max="7157" width="13" style="1" bestFit="1" customWidth="1"/>
    <col min="7158" max="7161" width="11" style="1" bestFit="1" customWidth="1"/>
    <col min="7162" max="7164" width="12.25" style="1" bestFit="1" customWidth="1"/>
    <col min="7165" max="7176" width="11" style="1" bestFit="1" customWidth="1"/>
    <col min="7177" max="7177" width="13.25" style="1" bestFit="1" customWidth="1"/>
    <col min="7178" max="7178" width="10.375" style="1" bestFit="1" customWidth="1"/>
    <col min="7179" max="7179" width="11" style="1" bestFit="1" customWidth="1"/>
    <col min="7180" max="7384" width="9" style="1"/>
    <col min="7385" max="7385" width="2.875" style="1" bestFit="1" customWidth="1"/>
    <col min="7386" max="7386" width="17.625" style="1" bestFit="1" customWidth="1"/>
    <col min="7387" max="7387" width="11.375" style="1" bestFit="1" customWidth="1"/>
    <col min="7388" max="7389" width="14.125" style="1" bestFit="1" customWidth="1"/>
    <col min="7390" max="7390" width="11.375" style="1" bestFit="1" customWidth="1"/>
    <col min="7391" max="7394" width="12.5" style="1" bestFit="1" customWidth="1"/>
    <col min="7395" max="7413" width="13" style="1" bestFit="1" customWidth="1"/>
    <col min="7414" max="7417" width="11" style="1" bestFit="1" customWidth="1"/>
    <col min="7418" max="7420" width="12.25" style="1" bestFit="1" customWidth="1"/>
    <col min="7421" max="7432" width="11" style="1" bestFit="1" customWidth="1"/>
    <col min="7433" max="7433" width="13.25" style="1" bestFit="1" customWidth="1"/>
    <col min="7434" max="7434" width="10.375" style="1" bestFit="1" customWidth="1"/>
    <col min="7435" max="7435" width="11" style="1" bestFit="1" customWidth="1"/>
    <col min="7436" max="7640" width="9" style="1"/>
    <col min="7641" max="7641" width="2.875" style="1" bestFit="1" customWidth="1"/>
    <col min="7642" max="7642" width="17.625" style="1" bestFit="1" customWidth="1"/>
    <col min="7643" max="7643" width="11.375" style="1" bestFit="1" customWidth="1"/>
    <col min="7644" max="7645" width="14.125" style="1" bestFit="1" customWidth="1"/>
    <col min="7646" max="7646" width="11.375" style="1" bestFit="1" customWidth="1"/>
    <col min="7647" max="7650" width="12.5" style="1" bestFit="1" customWidth="1"/>
    <col min="7651" max="7669" width="13" style="1" bestFit="1" customWidth="1"/>
    <col min="7670" max="7673" width="11" style="1" bestFit="1" customWidth="1"/>
    <col min="7674" max="7676" width="12.25" style="1" bestFit="1" customWidth="1"/>
    <col min="7677" max="7688" width="11" style="1" bestFit="1" customWidth="1"/>
    <col min="7689" max="7689" width="13.25" style="1" bestFit="1" customWidth="1"/>
    <col min="7690" max="7690" width="10.375" style="1" bestFit="1" customWidth="1"/>
    <col min="7691" max="7691" width="11" style="1" bestFit="1" customWidth="1"/>
    <col min="7692" max="7896" width="9" style="1"/>
    <col min="7897" max="7897" width="2.875" style="1" bestFit="1" customWidth="1"/>
    <col min="7898" max="7898" width="17.625" style="1" bestFit="1" customWidth="1"/>
    <col min="7899" max="7899" width="11.375" style="1" bestFit="1" customWidth="1"/>
    <col min="7900" max="7901" width="14.125" style="1" bestFit="1" customWidth="1"/>
    <col min="7902" max="7902" width="11.375" style="1" bestFit="1" customWidth="1"/>
    <col min="7903" max="7906" width="12.5" style="1" bestFit="1" customWidth="1"/>
    <col min="7907" max="7925" width="13" style="1" bestFit="1" customWidth="1"/>
    <col min="7926" max="7929" width="11" style="1" bestFit="1" customWidth="1"/>
    <col min="7930" max="7932" width="12.25" style="1" bestFit="1" customWidth="1"/>
    <col min="7933" max="7944" width="11" style="1" bestFit="1" customWidth="1"/>
    <col min="7945" max="7945" width="13.25" style="1" bestFit="1" customWidth="1"/>
    <col min="7946" max="7946" width="10.375" style="1" bestFit="1" customWidth="1"/>
    <col min="7947" max="7947" width="11" style="1" bestFit="1" customWidth="1"/>
    <col min="7948" max="8152" width="9" style="1"/>
    <col min="8153" max="8153" width="2.875" style="1" bestFit="1" customWidth="1"/>
    <col min="8154" max="8154" width="17.625" style="1" bestFit="1" customWidth="1"/>
    <col min="8155" max="8155" width="11.375" style="1" bestFit="1" customWidth="1"/>
    <col min="8156" max="8157" width="14.125" style="1" bestFit="1" customWidth="1"/>
    <col min="8158" max="8158" width="11.375" style="1" bestFit="1" customWidth="1"/>
    <col min="8159" max="8162" width="12.5" style="1" bestFit="1" customWidth="1"/>
    <col min="8163" max="8181" width="13" style="1" bestFit="1" customWidth="1"/>
    <col min="8182" max="8185" width="11" style="1" bestFit="1" customWidth="1"/>
    <col min="8186" max="8188" width="12.25" style="1" bestFit="1" customWidth="1"/>
    <col min="8189" max="8200" width="11" style="1" bestFit="1" customWidth="1"/>
    <col min="8201" max="8201" width="13.25" style="1" bestFit="1" customWidth="1"/>
    <col min="8202" max="8202" width="10.375" style="1" bestFit="1" customWidth="1"/>
    <col min="8203" max="8203" width="11" style="1" bestFit="1" customWidth="1"/>
    <col min="8204" max="8408" width="9" style="1"/>
    <col min="8409" max="8409" width="2.875" style="1" bestFit="1" customWidth="1"/>
    <col min="8410" max="8410" width="17.625" style="1" bestFit="1" customWidth="1"/>
    <col min="8411" max="8411" width="11.375" style="1" bestFit="1" customWidth="1"/>
    <col min="8412" max="8413" width="14.125" style="1" bestFit="1" customWidth="1"/>
    <col min="8414" max="8414" width="11.375" style="1" bestFit="1" customWidth="1"/>
    <col min="8415" max="8418" width="12.5" style="1" bestFit="1" customWidth="1"/>
    <col min="8419" max="8437" width="13" style="1" bestFit="1" customWidth="1"/>
    <col min="8438" max="8441" width="11" style="1" bestFit="1" customWidth="1"/>
    <col min="8442" max="8444" width="12.25" style="1" bestFit="1" customWidth="1"/>
    <col min="8445" max="8456" width="11" style="1" bestFit="1" customWidth="1"/>
    <col min="8457" max="8457" width="13.25" style="1" bestFit="1" customWidth="1"/>
    <col min="8458" max="8458" width="10.375" style="1" bestFit="1" customWidth="1"/>
    <col min="8459" max="8459" width="11" style="1" bestFit="1" customWidth="1"/>
    <col min="8460" max="8664" width="9" style="1"/>
    <col min="8665" max="8665" width="2.875" style="1" bestFit="1" customWidth="1"/>
    <col min="8666" max="8666" width="17.625" style="1" bestFit="1" customWidth="1"/>
    <col min="8667" max="8667" width="11.375" style="1" bestFit="1" customWidth="1"/>
    <col min="8668" max="8669" width="14.125" style="1" bestFit="1" customWidth="1"/>
    <col min="8670" max="8670" width="11.375" style="1" bestFit="1" customWidth="1"/>
    <col min="8671" max="8674" width="12.5" style="1" bestFit="1" customWidth="1"/>
    <col min="8675" max="8693" width="13" style="1" bestFit="1" customWidth="1"/>
    <col min="8694" max="8697" width="11" style="1" bestFit="1" customWidth="1"/>
    <col min="8698" max="8700" width="12.25" style="1" bestFit="1" customWidth="1"/>
    <col min="8701" max="8712" width="11" style="1" bestFit="1" customWidth="1"/>
    <col min="8713" max="8713" width="13.25" style="1" bestFit="1" customWidth="1"/>
    <col min="8714" max="8714" width="10.375" style="1" bestFit="1" customWidth="1"/>
    <col min="8715" max="8715" width="11" style="1" bestFit="1" customWidth="1"/>
    <col min="8716" max="8920" width="9" style="1"/>
    <col min="8921" max="8921" width="2.875" style="1" bestFit="1" customWidth="1"/>
    <col min="8922" max="8922" width="17.625" style="1" bestFit="1" customWidth="1"/>
    <col min="8923" max="8923" width="11.375" style="1" bestFit="1" customWidth="1"/>
    <col min="8924" max="8925" width="14.125" style="1" bestFit="1" customWidth="1"/>
    <col min="8926" max="8926" width="11.375" style="1" bestFit="1" customWidth="1"/>
    <col min="8927" max="8930" width="12.5" style="1" bestFit="1" customWidth="1"/>
    <col min="8931" max="8949" width="13" style="1" bestFit="1" customWidth="1"/>
    <col min="8950" max="8953" width="11" style="1" bestFit="1" customWidth="1"/>
    <col min="8954" max="8956" width="12.25" style="1" bestFit="1" customWidth="1"/>
    <col min="8957" max="8968" width="11" style="1" bestFit="1" customWidth="1"/>
    <col min="8969" max="8969" width="13.25" style="1" bestFit="1" customWidth="1"/>
    <col min="8970" max="8970" width="10.375" style="1" bestFit="1" customWidth="1"/>
    <col min="8971" max="8971" width="11" style="1" bestFit="1" customWidth="1"/>
    <col min="8972" max="9176" width="9" style="1"/>
    <col min="9177" max="9177" width="2.875" style="1" bestFit="1" customWidth="1"/>
    <col min="9178" max="9178" width="17.625" style="1" bestFit="1" customWidth="1"/>
    <col min="9179" max="9179" width="11.375" style="1" bestFit="1" customWidth="1"/>
    <col min="9180" max="9181" width="14.125" style="1" bestFit="1" customWidth="1"/>
    <col min="9182" max="9182" width="11.375" style="1" bestFit="1" customWidth="1"/>
    <col min="9183" max="9186" width="12.5" style="1" bestFit="1" customWidth="1"/>
    <col min="9187" max="9205" width="13" style="1" bestFit="1" customWidth="1"/>
    <col min="9206" max="9209" width="11" style="1" bestFit="1" customWidth="1"/>
    <col min="9210" max="9212" width="12.25" style="1" bestFit="1" customWidth="1"/>
    <col min="9213" max="9224" width="11" style="1" bestFit="1" customWidth="1"/>
    <col min="9225" max="9225" width="13.25" style="1" bestFit="1" customWidth="1"/>
    <col min="9226" max="9226" width="10.375" style="1" bestFit="1" customWidth="1"/>
    <col min="9227" max="9227" width="11" style="1" bestFit="1" customWidth="1"/>
    <col min="9228" max="9432" width="9" style="1"/>
    <col min="9433" max="9433" width="2.875" style="1" bestFit="1" customWidth="1"/>
    <col min="9434" max="9434" width="17.625" style="1" bestFit="1" customWidth="1"/>
    <col min="9435" max="9435" width="11.375" style="1" bestFit="1" customWidth="1"/>
    <col min="9436" max="9437" width="14.125" style="1" bestFit="1" customWidth="1"/>
    <col min="9438" max="9438" width="11.375" style="1" bestFit="1" customWidth="1"/>
    <col min="9439" max="9442" width="12.5" style="1" bestFit="1" customWidth="1"/>
    <col min="9443" max="9461" width="13" style="1" bestFit="1" customWidth="1"/>
    <col min="9462" max="9465" width="11" style="1" bestFit="1" customWidth="1"/>
    <col min="9466" max="9468" width="12.25" style="1" bestFit="1" customWidth="1"/>
    <col min="9469" max="9480" width="11" style="1" bestFit="1" customWidth="1"/>
    <col min="9481" max="9481" width="13.25" style="1" bestFit="1" customWidth="1"/>
    <col min="9482" max="9482" width="10.375" style="1" bestFit="1" customWidth="1"/>
    <col min="9483" max="9483" width="11" style="1" bestFit="1" customWidth="1"/>
    <col min="9484" max="9688" width="9" style="1"/>
    <col min="9689" max="9689" width="2.875" style="1" bestFit="1" customWidth="1"/>
    <col min="9690" max="9690" width="17.625" style="1" bestFit="1" customWidth="1"/>
    <col min="9691" max="9691" width="11.375" style="1" bestFit="1" customWidth="1"/>
    <col min="9692" max="9693" width="14.125" style="1" bestFit="1" customWidth="1"/>
    <col min="9694" max="9694" width="11.375" style="1" bestFit="1" customWidth="1"/>
    <col min="9695" max="9698" width="12.5" style="1" bestFit="1" customWidth="1"/>
    <col min="9699" max="9717" width="13" style="1" bestFit="1" customWidth="1"/>
    <col min="9718" max="9721" width="11" style="1" bestFit="1" customWidth="1"/>
    <col min="9722" max="9724" width="12.25" style="1" bestFit="1" customWidth="1"/>
    <col min="9725" max="9736" width="11" style="1" bestFit="1" customWidth="1"/>
    <col min="9737" max="9737" width="13.25" style="1" bestFit="1" customWidth="1"/>
    <col min="9738" max="9738" width="10.375" style="1" bestFit="1" customWidth="1"/>
    <col min="9739" max="9739" width="11" style="1" bestFit="1" customWidth="1"/>
    <col min="9740" max="9944" width="9" style="1"/>
    <col min="9945" max="9945" width="2.875" style="1" bestFit="1" customWidth="1"/>
    <col min="9946" max="9946" width="17.625" style="1" bestFit="1" customWidth="1"/>
    <col min="9947" max="9947" width="11.375" style="1" bestFit="1" customWidth="1"/>
    <col min="9948" max="9949" width="14.125" style="1" bestFit="1" customWidth="1"/>
    <col min="9950" max="9950" width="11.375" style="1" bestFit="1" customWidth="1"/>
    <col min="9951" max="9954" width="12.5" style="1" bestFit="1" customWidth="1"/>
    <col min="9955" max="9973" width="13" style="1" bestFit="1" customWidth="1"/>
    <col min="9974" max="9977" width="11" style="1" bestFit="1" customWidth="1"/>
    <col min="9978" max="9980" width="12.25" style="1" bestFit="1" customWidth="1"/>
    <col min="9981" max="9992" width="11" style="1" bestFit="1" customWidth="1"/>
    <col min="9993" max="9993" width="13.25" style="1" bestFit="1" customWidth="1"/>
    <col min="9994" max="9994" width="10.375" style="1" bestFit="1" customWidth="1"/>
    <col min="9995" max="9995" width="11" style="1" bestFit="1" customWidth="1"/>
    <col min="9996" max="10200" width="9" style="1"/>
    <col min="10201" max="10201" width="2.875" style="1" bestFit="1" customWidth="1"/>
    <col min="10202" max="10202" width="17.625" style="1" bestFit="1" customWidth="1"/>
    <col min="10203" max="10203" width="11.375" style="1" bestFit="1" customWidth="1"/>
    <col min="10204" max="10205" width="14.125" style="1" bestFit="1" customWidth="1"/>
    <col min="10206" max="10206" width="11.375" style="1" bestFit="1" customWidth="1"/>
    <col min="10207" max="10210" width="12.5" style="1" bestFit="1" customWidth="1"/>
    <col min="10211" max="10229" width="13" style="1" bestFit="1" customWidth="1"/>
    <col min="10230" max="10233" width="11" style="1" bestFit="1" customWidth="1"/>
    <col min="10234" max="10236" width="12.25" style="1" bestFit="1" customWidth="1"/>
    <col min="10237" max="10248" width="11" style="1" bestFit="1" customWidth="1"/>
    <col min="10249" max="10249" width="13.25" style="1" bestFit="1" customWidth="1"/>
    <col min="10250" max="10250" width="10.375" style="1" bestFit="1" customWidth="1"/>
    <col min="10251" max="10251" width="11" style="1" bestFit="1" customWidth="1"/>
    <col min="10252" max="10456" width="9" style="1"/>
    <col min="10457" max="10457" width="2.875" style="1" bestFit="1" customWidth="1"/>
    <col min="10458" max="10458" width="17.625" style="1" bestFit="1" customWidth="1"/>
    <col min="10459" max="10459" width="11.375" style="1" bestFit="1" customWidth="1"/>
    <col min="10460" max="10461" width="14.125" style="1" bestFit="1" customWidth="1"/>
    <col min="10462" max="10462" width="11.375" style="1" bestFit="1" customWidth="1"/>
    <col min="10463" max="10466" width="12.5" style="1" bestFit="1" customWidth="1"/>
    <col min="10467" max="10485" width="13" style="1" bestFit="1" customWidth="1"/>
    <col min="10486" max="10489" width="11" style="1" bestFit="1" customWidth="1"/>
    <col min="10490" max="10492" width="12.25" style="1" bestFit="1" customWidth="1"/>
    <col min="10493" max="10504" width="11" style="1" bestFit="1" customWidth="1"/>
    <col min="10505" max="10505" width="13.25" style="1" bestFit="1" customWidth="1"/>
    <col min="10506" max="10506" width="10.375" style="1" bestFit="1" customWidth="1"/>
    <col min="10507" max="10507" width="11" style="1" bestFit="1" customWidth="1"/>
    <col min="10508" max="10712" width="9" style="1"/>
    <col min="10713" max="10713" width="2.875" style="1" bestFit="1" customWidth="1"/>
    <col min="10714" max="10714" width="17.625" style="1" bestFit="1" customWidth="1"/>
    <col min="10715" max="10715" width="11.375" style="1" bestFit="1" customWidth="1"/>
    <col min="10716" max="10717" width="14.125" style="1" bestFit="1" customWidth="1"/>
    <col min="10718" max="10718" width="11.375" style="1" bestFit="1" customWidth="1"/>
    <col min="10719" max="10722" width="12.5" style="1" bestFit="1" customWidth="1"/>
    <col min="10723" max="10741" width="13" style="1" bestFit="1" customWidth="1"/>
    <col min="10742" max="10745" width="11" style="1" bestFit="1" customWidth="1"/>
    <col min="10746" max="10748" width="12.25" style="1" bestFit="1" customWidth="1"/>
    <col min="10749" max="10760" width="11" style="1" bestFit="1" customWidth="1"/>
    <col min="10761" max="10761" width="13.25" style="1" bestFit="1" customWidth="1"/>
    <col min="10762" max="10762" width="10.375" style="1" bestFit="1" customWidth="1"/>
    <col min="10763" max="10763" width="11" style="1" bestFit="1" customWidth="1"/>
    <col min="10764" max="10968" width="9" style="1"/>
    <col min="10969" max="10969" width="2.875" style="1" bestFit="1" customWidth="1"/>
    <col min="10970" max="10970" width="17.625" style="1" bestFit="1" customWidth="1"/>
    <col min="10971" max="10971" width="11.375" style="1" bestFit="1" customWidth="1"/>
    <col min="10972" max="10973" width="14.125" style="1" bestFit="1" customWidth="1"/>
    <col min="10974" max="10974" width="11.375" style="1" bestFit="1" customWidth="1"/>
    <col min="10975" max="10978" width="12.5" style="1" bestFit="1" customWidth="1"/>
    <col min="10979" max="10997" width="13" style="1" bestFit="1" customWidth="1"/>
    <col min="10998" max="11001" width="11" style="1" bestFit="1" customWidth="1"/>
    <col min="11002" max="11004" width="12.25" style="1" bestFit="1" customWidth="1"/>
    <col min="11005" max="11016" width="11" style="1" bestFit="1" customWidth="1"/>
    <col min="11017" max="11017" width="13.25" style="1" bestFit="1" customWidth="1"/>
    <col min="11018" max="11018" width="10.375" style="1" bestFit="1" customWidth="1"/>
    <col min="11019" max="11019" width="11" style="1" bestFit="1" customWidth="1"/>
    <col min="11020" max="11224" width="9" style="1"/>
    <col min="11225" max="11225" width="2.875" style="1" bestFit="1" customWidth="1"/>
    <col min="11226" max="11226" width="17.625" style="1" bestFit="1" customWidth="1"/>
    <col min="11227" max="11227" width="11.375" style="1" bestFit="1" customWidth="1"/>
    <col min="11228" max="11229" width="14.125" style="1" bestFit="1" customWidth="1"/>
    <col min="11230" max="11230" width="11.375" style="1" bestFit="1" customWidth="1"/>
    <col min="11231" max="11234" width="12.5" style="1" bestFit="1" customWidth="1"/>
    <col min="11235" max="11253" width="13" style="1" bestFit="1" customWidth="1"/>
    <col min="11254" max="11257" width="11" style="1" bestFit="1" customWidth="1"/>
    <col min="11258" max="11260" width="12.25" style="1" bestFit="1" customWidth="1"/>
    <col min="11261" max="11272" width="11" style="1" bestFit="1" customWidth="1"/>
    <col min="11273" max="11273" width="13.25" style="1" bestFit="1" customWidth="1"/>
    <col min="11274" max="11274" width="10.375" style="1" bestFit="1" customWidth="1"/>
    <col min="11275" max="11275" width="11" style="1" bestFit="1" customWidth="1"/>
    <col min="11276" max="11480" width="9" style="1"/>
    <col min="11481" max="11481" width="2.875" style="1" bestFit="1" customWidth="1"/>
    <col min="11482" max="11482" width="17.625" style="1" bestFit="1" customWidth="1"/>
    <col min="11483" max="11483" width="11.375" style="1" bestFit="1" customWidth="1"/>
    <col min="11484" max="11485" width="14.125" style="1" bestFit="1" customWidth="1"/>
    <col min="11486" max="11486" width="11.375" style="1" bestFit="1" customWidth="1"/>
    <col min="11487" max="11490" width="12.5" style="1" bestFit="1" customWidth="1"/>
    <col min="11491" max="11509" width="13" style="1" bestFit="1" customWidth="1"/>
    <col min="11510" max="11513" width="11" style="1" bestFit="1" customWidth="1"/>
    <col min="11514" max="11516" width="12.25" style="1" bestFit="1" customWidth="1"/>
    <col min="11517" max="11528" width="11" style="1" bestFit="1" customWidth="1"/>
    <col min="11529" max="11529" width="13.25" style="1" bestFit="1" customWidth="1"/>
    <col min="11530" max="11530" width="10.375" style="1" bestFit="1" customWidth="1"/>
    <col min="11531" max="11531" width="11" style="1" bestFit="1" customWidth="1"/>
    <col min="11532" max="11736" width="9" style="1"/>
    <col min="11737" max="11737" width="2.875" style="1" bestFit="1" customWidth="1"/>
    <col min="11738" max="11738" width="17.625" style="1" bestFit="1" customWidth="1"/>
    <col min="11739" max="11739" width="11.375" style="1" bestFit="1" customWidth="1"/>
    <col min="11740" max="11741" width="14.125" style="1" bestFit="1" customWidth="1"/>
    <col min="11742" max="11742" width="11.375" style="1" bestFit="1" customWidth="1"/>
    <col min="11743" max="11746" width="12.5" style="1" bestFit="1" customWidth="1"/>
    <col min="11747" max="11765" width="13" style="1" bestFit="1" customWidth="1"/>
    <col min="11766" max="11769" width="11" style="1" bestFit="1" customWidth="1"/>
    <col min="11770" max="11772" width="12.25" style="1" bestFit="1" customWidth="1"/>
    <col min="11773" max="11784" width="11" style="1" bestFit="1" customWidth="1"/>
    <col min="11785" max="11785" width="13.25" style="1" bestFit="1" customWidth="1"/>
    <col min="11786" max="11786" width="10.375" style="1" bestFit="1" customWidth="1"/>
    <col min="11787" max="11787" width="11" style="1" bestFit="1" customWidth="1"/>
    <col min="11788" max="11992" width="9" style="1"/>
    <col min="11993" max="11993" width="2.875" style="1" bestFit="1" customWidth="1"/>
    <col min="11994" max="11994" width="17.625" style="1" bestFit="1" customWidth="1"/>
    <col min="11995" max="11995" width="11.375" style="1" bestFit="1" customWidth="1"/>
    <col min="11996" max="11997" width="14.125" style="1" bestFit="1" customWidth="1"/>
    <col min="11998" max="11998" width="11.375" style="1" bestFit="1" customWidth="1"/>
    <col min="11999" max="12002" width="12.5" style="1" bestFit="1" customWidth="1"/>
    <col min="12003" max="12021" width="13" style="1" bestFit="1" customWidth="1"/>
    <col min="12022" max="12025" width="11" style="1" bestFit="1" customWidth="1"/>
    <col min="12026" max="12028" width="12.25" style="1" bestFit="1" customWidth="1"/>
    <col min="12029" max="12040" width="11" style="1" bestFit="1" customWidth="1"/>
    <col min="12041" max="12041" width="13.25" style="1" bestFit="1" customWidth="1"/>
    <col min="12042" max="12042" width="10.375" style="1" bestFit="1" customWidth="1"/>
    <col min="12043" max="12043" width="11" style="1" bestFit="1" customWidth="1"/>
    <col min="12044" max="12248" width="9" style="1"/>
    <col min="12249" max="12249" width="2.875" style="1" bestFit="1" customWidth="1"/>
    <col min="12250" max="12250" width="17.625" style="1" bestFit="1" customWidth="1"/>
    <col min="12251" max="12251" width="11.375" style="1" bestFit="1" customWidth="1"/>
    <col min="12252" max="12253" width="14.125" style="1" bestFit="1" customWidth="1"/>
    <col min="12254" max="12254" width="11.375" style="1" bestFit="1" customWidth="1"/>
    <col min="12255" max="12258" width="12.5" style="1" bestFit="1" customWidth="1"/>
    <col min="12259" max="12277" width="13" style="1" bestFit="1" customWidth="1"/>
    <col min="12278" max="12281" width="11" style="1" bestFit="1" customWidth="1"/>
    <col min="12282" max="12284" width="12.25" style="1" bestFit="1" customWidth="1"/>
    <col min="12285" max="12296" width="11" style="1" bestFit="1" customWidth="1"/>
    <col min="12297" max="12297" width="13.25" style="1" bestFit="1" customWidth="1"/>
    <col min="12298" max="12298" width="10.375" style="1" bestFit="1" customWidth="1"/>
    <col min="12299" max="12299" width="11" style="1" bestFit="1" customWidth="1"/>
    <col min="12300" max="12504" width="9" style="1"/>
    <col min="12505" max="12505" width="2.875" style="1" bestFit="1" customWidth="1"/>
    <col min="12506" max="12506" width="17.625" style="1" bestFit="1" customWidth="1"/>
    <col min="12507" max="12507" width="11.375" style="1" bestFit="1" customWidth="1"/>
    <col min="12508" max="12509" width="14.125" style="1" bestFit="1" customWidth="1"/>
    <col min="12510" max="12510" width="11.375" style="1" bestFit="1" customWidth="1"/>
    <col min="12511" max="12514" width="12.5" style="1" bestFit="1" customWidth="1"/>
    <col min="12515" max="12533" width="13" style="1" bestFit="1" customWidth="1"/>
    <col min="12534" max="12537" width="11" style="1" bestFit="1" customWidth="1"/>
    <col min="12538" max="12540" width="12.25" style="1" bestFit="1" customWidth="1"/>
    <col min="12541" max="12552" width="11" style="1" bestFit="1" customWidth="1"/>
    <col min="12553" max="12553" width="13.25" style="1" bestFit="1" customWidth="1"/>
    <col min="12554" max="12554" width="10.375" style="1" bestFit="1" customWidth="1"/>
    <col min="12555" max="12555" width="11" style="1" bestFit="1" customWidth="1"/>
    <col min="12556" max="12760" width="9" style="1"/>
    <col min="12761" max="12761" width="2.875" style="1" bestFit="1" customWidth="1"/>
    <col min="12762" max="12762" width="17.625" style="1" bestFit="1" customWidth="1"/>
    <col min="12763" max="12763" width="11.375" style="1" bestFit="1" customWidth="1"/>
    <col min="12764" max="12765" width="14.125" style="1" bestFit="1" customWidth="1"/>
    <col min="12766" max="12766" width="11.375" style="1" bestFit="1" customWidth="1"/>
    <col min="12767" max="12770" width="12.5" style="1" bestFit="1" customWidth="1"/>
    <col min="12771" max="12789" width="13" style="1" bestFit="1" customWidth="1"/>
    <col min="12790" max="12793" width="11" style="1" bestFit="1" customWidth="1"/>
    <col min="12794" max="12796" width="12.25" style="1" bestFit="1" customWidth="1"/>
    <col min="12797" max="12808" width="11" style="1" bestFit="1" customWidth="1"/>
    <col min="12809" max="12809" width="13.25" style="1" bestFit="1" customWidth="1"/>
    <col min="12810" max="12810" width="10.375" style="1" bestFit="1" customWidth="1"/>
    <col min="12811" max="12811" width="11" style="1" bestFit="1" customWidth="1"/>
    <col min="12812" max="13016" width="9" style="1"/>
    <col min="13017" max="13017" width="2.875" style="1" bestFit="1" customWidth="1"/>
    <col min="13018" max="13018" width="17.625" style="1" bestFit="1" customWidth="1"/>
    <col min="13019" max="13019" width="11.375" style="1" bestFit="1" customWidth="1"/>
    <col min="13020" max="13021" width="14.125" style="1" bestFit="1" customWidth="1"/>
    <col min="13022" max="13022" width="11.375" style="1" bestFit="1" customWidth="1"/>
    <col min="13023" max="13026" width="12.5" style="1" bestFit="1" customWidth="1"/>
    <col min="13027" max="13045" width="13" style="1" bestFit="1" customWidth="1"/>
    <col min="13046" max="13049" width="11" style="1" bestFit="1" customWidth="1"/>
    <col min="13050" max="13052" width="12.25" style="1" bestFit="1" customWidth="1"/>
    <col min="13053" max="13064" width="11" style="1" bestFit="1" customWidth="1"/>
    <col min="13065" max="13065" width="13.25" style="1" bestFit="1" customWidth="1"/>
    <col min="13066" max="13066" width="10.375" style="1" bestFit="1" customWidth="1"/>
    <col min="13067" max="13067" width="11" style="1" bestFit="1" customWidth="1"/>
    <col min="13068" max="13272" width="9" style="1"/>
    <col min="13273" max="13273" width="2.875" style="1" bestFit="1" customWidth="1"/>
    <col min="13274" max="13274" width="17.625" style="1" bestFit="1" customWidth="1"/>
    <col min="13275" max="13275" width="11.375" style="1" bestFit="1" customWidth="1"/>
    <col min="13276" max="13277" width="14.125" style="1" bestFit="1" customWidth="1"/>
    <col min="13278" max="13278" width="11.375" style="1" bestFit="1" customWidth="1"/>
    <col min="13279" max="13282" width="12.5" style="1" bestFit="1" customWidth="1"/>
    <col min="13283" max="13301" width="13" style="1" bestFit="1" customWidth="1"/>
    <col min="13302" max="13305" width="11" style="1" bestFit="1" customWidth="1"/>
    <col min="13306" max="13308" width="12.25" style="1" bestFit="1" customWidth="1"/>
    <col min="13309" max="13320" width="11" style="1" bestFit="1" customWidth="1"/>
    <col min="13321" max="13321" width="13.25" style="1" bestFit="1" customWidth="1"/>
    <col min="13322" max="13322" width="10.375" style="1" bestFit="1" customWidth="1"/>
    <col min="13323" max="13323" width="11" style="1" bestFit="1" customWidth="1"/>
    <col min="13324" max="13528" width="9" style="1"/>
    <col min="13529" max="13529" width="2.875" style="1" bestFit="1" customWidth="1"/>
    <col min="13530" max="13530" width="17.625" style="1" bestFit="1" customWidth="1"/>
    <col min="13531" max="13531" width="11.375" style="1" bestFit="1" customWidth="1"/>
    <col min="13532" max="13533" width="14.125" style="1" bestFit="1" customWidth="1"/>
    <col min="13534" max="13534" width="11.375" style="1" bestFit="1" customWidth="1"/>
    <col min="13535" max="13538" width="12.5" style="1" bestFit="1" customWidth="1"/>
    <col min="13539" max="13557" width="13" style="1" bestFit="1" customWidth="1"/>
    <col min="13558" max="13561" width="11" style="1" bestFit="1" customWidth="1"/>
    <col min="13562" max="13564" width="12.25" style="1" bestFit="1" customWidth="1"/>
    <col min="13565" max="13576" width="11" style="1" bestFit="1" customWidth="1"/>
    <col min="13577" max="13577" width="13.25" style="1" bestFit="1" customWidth="1"/>
    <col min="13578" max="13578" width="10.375" style="1" bestFit="1" customWidth="1"/>
    <col min="13579" max="13579" width="11" style="1" bestFit="1" customWidth="1"/>
    <col min="13580" max="13784" width="9" style="1"/>
    <col min="13785" max="13785" width="2.875" style="1" bestFit="1" customWidth="1"/>
    <col min="13786" max="13786" width="17.625" style="1" bestFit="1" customWidth="1"/>
    <col min="13787" max="13787" width="11.375" style="1" bestFit="1" customWidth="1"/>
    <col min="13788" max="13789" width="14.125" style="1" bestFit="1" customWidth="1"/>
    <col min="13790" max="13790" width="11.375" style="1" bestFit="1" customWidth="1"/>
    <col min="13791" max="13794" width="12.5" style="1" bestFit="1" customWidth="1"/>
    <col min="13795" max="13813" width="13" style="1" bestFit="1" customWidth="1"/>
    <col min="13814" max="13817" width="11" style="1" bestFit="1" customWidth="1"/>
    <col min="13818" max="13820" width="12.25" style="1" bestFit="1" customWidth="1"/>
    <col min="13821" max="13832" width="11" style="1" bestFit="1" customWidth="1"/>
    <col min="13833" max="13833" width="13.25" style="1" bestFit="1" customWidth="1"/>
    <col min="13834" max="13834" width="10.375" style="1" bestFit="1" customWidth="1"/>
    <col min="13835" max="13835" width="11" style="1" bestFit="1" customWidth="1"/>
    <col min="13836" max="14040" width="9" style="1"/>
    <col min="14041" max="14041" width="2.875" style="1" bestFit="1" customWidth="1"/>
    <col min="14042" max="14042" width="17.625" style="1" bestFit="1" customWidth="1"/>
    <col min="14043" max="14043" width="11.375" style="1" bestFit="1" customWidth="1"/>
    <col min="14044" max="14045" width="14.125" style="1" bestFit="1" customWidth="1"/>
    <col min="14046" max="14046" width="11.375" style="1" bestFit="1" customWidth="1"/>
    <col min="14047" max="14050" width="12.5" style="1" bestFit="1" customWidth="1"/>
    <col min="14051" max="14069" width="13" style="1" bestFit="1" customWidth="1"/>
    <col min="14070" max="14073" width="11" style="1" bestFit="1" customWidth="1"/>
    <col min="14074" max="14076" width="12.25" style="1" bestFit="1" customWidth="1"/>
    <col min="14077" max="14088" width="11" style="1" bestFit="1" customWidth="1"/>
    <col min="14089" max="14089" width="13.25" style="1" bestFit="1" customWidth="1"/>
    <col min="14090" max="14090" width="10.375" style="1" bestFit="1" customWidth="1"/>
    <col min="14091" max="14091" width="11" style="1" bestFit="1" customWidth="1"/>
    <col min="14092" max="14296" width="9" style="1"/>
    <col min="14297" max="14297" width="2.875" style="1" bestFit="1" customWidth="1"/>
    <col min="14298" max="14298" width="17.625" style="1" bestFit="1" customWidth="1"/>
    <col min="14299" max="14299" width="11.375" style="1" bestFit="1" customWidth="1"/>
    <col min="14300" max="14301" width="14.125" style="1" bestFit="1" customWidth="1"/>
    <col min="14302" max="14302" width="11.375" style="1" bestFit="1" customWidth="1"/>
    <col min="14303" max="14306" width="12.5" style="1" bestFit="1" customWidth="1"/>
    <col min="14307" max="14325" width="13" style="1" bestFit="1" customWidth="1"/>
    <col min="14326" max="14329" width="11" style="1" bestFit="1" customWidth="1"/>
    <col min="14330" max="14332" width="12.25" style="1" bestFit="1" customWidth="1"/>
    <col min="14333" max="14344" width="11" style="1" bestFit="1" customWidth="1"/>
    <col min="14345" max="14345" width="13.25" style="1" bestFit="1" customWidth="1"/>
    <col min="14346" max="14346" width="10.375" style="1" bestFit="1" customWidth="1"/>
    <col min="14347" max="14347" width="11" style="1" bestFit="1" customWidth="1"/>
    <col min="14348" max="14552" width="9" style="1"/>
    <col min="14553" max="14553" width="2.875" style="1" bestFit="1" customWidth="1"/>
    <col min="14554" max="14554" width="17.625" style="1" bestFit="1" customWidth="1"/>
    <col min="14555" max="14555" width="11.375" style="1" bestFit="1" customWidth="1"/>
    <col min="14556" max="14557" width="14.125" style="1" bestFit="1" customWidth="1"/>
    <col min="14558" max="14558" width="11.375" style="1" bestFit="1" customWidth="1"/>
    <col min="14559" max="14562" width="12.5" style="1" bestFit="1" customWidth="1"/>
    <col min="14563" max="14581" width="13" style="1" bestFit="1" customWidth="1"/>
    <col min="14582" max="14585" width="11" style="1" bestFit="1" customWidth="1"/>
    <col min="14586" max="14588" width="12.25" style="1" bestFit="1" customWidth="1"/>
    <col min="14589" max="14600" width="11" style="1" bestFit="1" customWidth="1"/>
    <col min="14601" max="14601" width="13.25" style="1" bestFit="1" customWidth="1"/>
    <col min="14602" max="14602" width="10.375" style="1" bestFit="1" customWidth="1"/>
    <col min="14603" max="14603" width="11" style="1" bestFit="1" customWidth="1"/>
    <col min="14604" max="14808" width="9" style="1"/>
    <col min="14809" max="14809" width="2.875" style="1" bestFit="1" customWidth="1"/>
    <col min="14810" max="14810" width="17.625" style="1" bestFit="1" customWidth="1"/>
    <col min="14811" max="14811" width="11.375" style="1" bestFit="1" customWidth="1"/>
    <col min="14812" max="14813" width="14.125" style="1" bestFit="1" customWidth="1"/>
    <col min="14814" max="14814" width="11.375" style="1" bestFit="1" customWidth="1"/>
    <col min="14815" max="14818" width="12.5" style="1" bestFit="1" customWidth="1"/>
    <col min="14819" max="14837" width="13" style="1" bestFit="1" customWidth="1"/>
    <col min="14838" max="14841" width="11" style="1" bestFit="1" customWidth="1"/>
    <col min="14842" max="14844" width="12.25" style="1" bestFit="1" customWidth="1"/>
    <col min="14845" max="14856" width="11" style="1" bestFit="1" customWidth="1"/>
    <col min="14857" max="14857" width="13.25" style="1" bestFit="1" customWidth="1"/>
    <col min="14858" max="14858" width="10.375" style="1" bestFit="1" customWidth="1"/>
    <col min="14859" max="14859" width="11" style="1" bestFit="1" customWidth="1"/>
    <col min="14860" max="15064" width="9" style="1"/>
    <col min="15065" max="15065" width="2.875" style="1" bestFit="1" customWidth="1"/>
    <col min="15066" max="15066" width="17.625" style="1" bestFit="1" customWidth="1"/>
    <col min="15067" max="15067" width="11.375" style="1" bestFit="1" customWidth="1"/>
    <col min="15068" max="15069" width="14.125" style="1" bestFit="1" customWidth="1"/>
    <col min="15070" max="15070" width="11.375" style="1" bestFit="1" customWidth="1"/>
    <col min="15071" max="15074" width="12.5" style="1" bestFit="1" customWidth="1"/>
    <col min="15075" max="15093" width="13" style="1" bestFit="1" customWidth="1"/>
    <col min="15094" max="15097" width="11" style="1" bestFit="1" customWidth="1"/>
    <col min="15098" max="15100" width="12.25" style="1" bestFit="1" customWidth="1"/>
    <col min="15101" max="15112" width="11" style="1" bestFit="1" customWidth="1"/>
    <col min="15113" max="15113" width="13.25" style="1" bestFit="1" customWidth="1"/>
    <col min="15114" max="15114" width="10.375" style="1" bestFit="1" customWidth="1"/>
    <col min="15115" max="15115" width="11" style="1" bestFit="1" customWidth="1"/>
    <col min="15116" max="15320" width="9" style="1"/>
    <col min="15321" max="15321" width="2.875" style="1" bestFit="1" customWidth="1"/>
    <col min="15322" max="15322" width="17.625" style="1" bestFit="1" customWidth="1"/>
    <col min="15323" max="15323" width="11.375" style="1" bestFit="1" customWidth="1"/>
    <col min="15324" max="15325" width="14.125" style="1" bestFit="1" customWidth="1"/>
    <col min="15326" max="15326" width="11.375" style="1" bestFit="1" customWidth="1"/>
    <col min="15327" max="15330" width="12.5" style="1" bestFit="1" customWidth="1"/>
    <col min="15331" max="15349" width="13" style="1" bestFit="1" customWidth="1"/>
    <col min="15350" max="15353" width="11" style="1" bestFit="1" customWidth="1"/>
    <col min="15354" max="15356" width="12.25" style="1" bestFit="1" customWidth="1"/>
    <col min="15357" max="15368" width="11" style="1" bestFit="1" customWidth="1"/>
    <col min="15369" max="15369" width="13.25" style="1" bestFit="1" customWidth="1"/>
    <col min="15370" max="15370" width="10.375" style="1" bestFit="1" customWidth="1"/>
    <col min="15371" max="15371" width="11" style="1" bestFit="1" customWidth="1"/>
    <col min="15372" max="15576" width="9" style="1"/>
    <col min="15577" max="15577" width="2.875" style="1" bestFit="1" customWidth="1"/>
    <col min="15578" max="15578" width="17.625" style="1" bestFit="1" customWidth="1"/>
    <col min="15579" max="15579" width="11.375" style="1" bestFit="1" customWidth="1"/>
    <col min="15580" max="15581" width="14.125" style="1" bestFit="1" customWidth="1"/>
    <col min="15582" max="15582" width="11.375" style="1" bestFit="1" customWidth="1"/>
    <col min="15583" max="15586" width="12.5" style="1" bestFit="1" customWidth="1"/>
    <col min="15587" max="15605" width="13" style="1" bestFit="1" customWidth="1"/>
    <col min="15606" max="15609" width="11" style="1" bestFit="1" customWidth="1"/>
    <col min="15610" max="15612" width="12.25" style="1" bestFit="1" customWidth="1"/>
    <col min="15613" max="15624" width="11" style="1" bestFit="1" customWidth="1"/>
    <col min="15625" max="15625" width="13.25" style="1" bestFit="1" customWidth="1"/>
    <col min="15626" max="15626" width="10.375" style="1" bestFit="1" customWidth="1"/>
    <col min="15627" max="15627" width="11" style="1" bestFit="1" customWidth="1"/>
    <col min="15628" max="15832" width="9" style="1"/>
    <col min="15833" max="15833" width="2.875" style="1" bestFit="1" customWidth="1"/>
    <col min="15834" max="15834" width="17.625" style="1" bestFit="1" customWidth="1"/>
    <col min="15835" max="15835" width="11.375" style="1" bestFit="1" customWidth="1"/>
    <col min="15836" max="15837" width="14.125" style="1" bestFit="1" customWidth="1"/>
    <col min="15838" max="15838" width="11.375" style="1" bestFit="1" customWidth="1"/>
    <col min="15839" max="15842" width="12.5" style="1" bestFit="1" customWidth="1"/>
    <col min="15843" max="15861" width="13" style="1" bestFit="1" customWidth="1"/>
    <col min="15862" max="15865" width="11" style="1" bestFit="1" customWidth="1"/>
    <col min="15866" max="15868" width="12.25" style="1" bestFit="1" customWidth="1"/>
    <col min="15869" max="15880" width="11" style="1" bestFit="1" customWidth="1"/>
    <col min="15881" max="15881" width="13.25" style="1" bestFit="1" customWidth="1"/>
    <col min="15882" max="15882" width="10.375" style="1" bestFit="1" customWidth="1"/>
    <col min="15883" max="15883" width="11" style="1" bestFit="1" customWidth="1"/>
    <col min="15884" max="16088" width="9" style="1"/>
    <col min="16089" max="16089" width="2.875" style="1" bestFit="1" customWidth="1"/>
    <col min="16090" max="16090" width="17.625" style="1" bestFit="1" customWidth="1"/>
    <col min="16091" max="16091" width="11.375" style="1" bestFit="1" customWidth="1"/>
    <col min="16092" max="16093" width="14.125" style="1" bestFit="1" customWidth="1"/>
    <col min="16094" max="16094" width="11.375" style="1" bestFit="1" customWidth="1"/>
    <col min="16095" max="16098" width="12.5" style="1" bestFit="1" customWidth="1"/>
    <col min="16099" max="16117" width="13" style="1" bestFit="1" customWidth="1"/>
    <col min="16118" max="16121" width="11" style="1" bestFit="1" customWidth="1"/>
    <col min="16122" max="16124" width="12.25" style="1" bestFit="1" customWidth="1"/>
    <col min="16125" max="16136" width="11" style="1" bestFit="1" customWidth="1"/>
    <col min="16137" max="16137" width="13.25" style="1" bestFit="1" customWidth="1"/>
    <col min="16138" max="16138" width="10.375" style="1" bestFit="1" customWidth="1"/>
    <col min="16139" max="16139" width="11" style="1" bestFit="1" customWidth="1"/>
    <col min="16140" max="16384" width="9" style="1"/>
  </cols>
  <sheetData>
    <row r="1" spans="1:11" hidden="1" x14ac:dyDescent="0.15"/>
    <row r="2" spans="1:11" ht="30.75" hidden="1" customHeight="1" x14ac:dyDescent="0.15"/>
    <row r="3" spans="1:11" ht="17.25" x14ac:dyDescent="0.2">
      <c r="A3" s="37">
        <v>45474</v>
      </c>
      <c r="B3" s="37"/>
      <c r="C3" s="54" t="s">
        <v>249</v>
      </c>
    </row>
    <row r="4" spans="1:11" s="5" customFormat="1" ht="12" customHeight="1" x14ac:dyDescent="0.15">
      <c r="A4" s="38" t="s">
        <v>0</v>
      </c>
      <c r="B4" s="38"/>
      <c r="C4" s="2" t="s">
        <v>238</v>
      </c>
      <c r="D4" s="2" t="s">
        <v>239</v>
      </c>
      <c r="E4" s="2" t="s">
        <v>33</v>
      </c>
      <c r="F4" s="2" t="s">
        <v>34</v>
      </c>
      <c r="G4" s="2" t="s">
        <v>35</v>
      </c>
      <c r="H4" s="2" t="s">
        <v>36</v>
      </c>
      <c r="I4" s="3" t="s">
        <v>41</v>
      </c>
      <c r="J4" s="3" t="s">
        <v>42</v>
      </c>
      <c r="K4" s="4" t="s">
        <v>43</v>
      </c>
    </row>
    <row r="5" spans="1:11" s="5" customFormat="1" hidden="1" x14ac:dyDescent="0.15">
      <c r="A5" s="39" t="s">
        <v>44</v>
      </c>
      <c r="B5" s="40"/>
      <c r="C5" s="2">
        <v>7</v>
      </c>
      <c r="D5" s="2">
        <v>7</v>
      </c>
      <c r="E5" s="2">
        <v>7</v>
      </c>
      <c r="F5" s="2">
        <v>7</v>
      </c>
      <c r="G5" s="2">
        <v>7</v>
      </c>
      <c r="H5" s="2">
        <v>7</v>
      </c>
      <c r="I5" s="3"/>
      <c r="J5" s="3"/>
      <c r="K5" s="4"/>
    </row>
    <row r="6" spans="1:11" s="5" customFormat="1" hidden="1" x14ac:dyDescent="0.15">
      <c r="A6" s="39" t="s">
        <v>45</v>
      </c>
      <c r="B6" s="40"/>
      <c r="C6" s="2" t="s">
        <v>49</v>
      </c>
      <c r="D6" s="2" t="s">
        <v>49</v>
      </c>
      <c r="E6" s="2" t="s">
        <v>49</v>
      </c>
      <c r="F6" s="2" t="s">
        <v>49</v>
      </c>
      <c r="G6" s="2" t="s">
        <v>49</v>
      </c>
      <c r="H6" s="2" t="s">
        <v>49</v>
      </c>
      <c r="I6" s="3"/>
      <c r="J6" s="3"/>
      <c r="K6" s="4"/>
    </row>
    <row r="7" spans="1:11" s="5" customFormat="1" ht="12" customHeight="1" x14ac:dyDescent="0.15">
      <c r="A7" s="36" t="s">
        <v>51</v>
      </c>
      <c r="B7" s="36"/>
      <c r="C7" s="44" t="s">
        <v>186</v>
      </c>
      <c r="D7" s="44" t="s">
        <v>187</v>
      </c>
      <c r="E7" s="44" t="s">
        <v>188</v>
      </c>
      <c r="F7" s="44" t="s">
        <v>189</v>
      </c>
      <c r="G7" s="44" t="s">
        <v>190</v>
      </c>
      <c r="H7" s="44"/>
      <c r="I7" s="6"/>
      <c r="J7" s="6"/>
      <c r="K7" s="7"/>
    </row>
    <row r="8" spans="1:11" s="5" customFormat="1" ht="12" customHeight="1" x14ac:dyDescent="0.15">
      <c r="A8" s="36" t="s">
        <v>52</v>
      </c>
      <c r="B8" s="36"/>
      <c r="C8" s="44" t="s">
        <v>227</v>
      </c>
      <c r="D8" s="44" t="s">
        <v>228</v>
      </c>
      <c r="E8" s="44" t="s">
        <v>229</v>
      </c>
      <c r="F8" s="44" t="s">
        <v>201</v>
      </c>
      <c r="G8" s="44" t="s">
        <v>230</v>
      </c>
      <c r="H8" s="44"/>
      <c r="I8" s="6"/>
      <c r="J8" s="6"/>
      <c r="K8" s="7"/>
    </row>
    <row r="9" spans="1:11" ht="12" customHeight="1" x14ac:dyDescent="0.15">
      <c r="A9" s="42" t="s">
        <v>53</v>
      </c>
      <c r="B9" s="43"/>
      <c r="C9" s="46">
        <v>14</v>
      </c>
      <c r="D9" s="46">
        <v>14</v>
      </c>
      <c r="E9" s="46">
        <v>8</v>
      </c>
      <c r="F9" s="46">
        <v>8</v>
      </c>
      <c r="G9" s="46">
        <v>8</v>
      </c>
      <c r="H9" s="46"/>
      <c r="I9" s="9">
        <f>SUM(C9:H9)</f>
        <v>52</v>
      </c>
      <c r="J9" s="9"/>
      <c r="K9" s="10"/>
    </row>
    <row r="10" spans="1:11" ht="12.75" customHeight="1" x14ac:dyDescent="0.15">
      <c r="A10" s="38" t="s">
        <v>54</v>
      </c>
      <c r="B10" s="38"/>
      <c r="C10" s="49" t="s">
        <v>64</v>
      </c>
      <c r="D10" s="49" t="s">
        <v>64</v>
      </c>
      <c r="E10" s="49" t="s">
        <v>62</v>
      </c>
      <c r="F10" s="49" t="s">
        <v>62</v>
      </c>
      <c r="G10" s="49" t="s">
        <v>62</v>
      </c>
      <c r="H10" s="49"/>
      <c r="I10" s="12"/>
      <c r="J10" s="12"/>
      <c r="K10" s="13"/>
    </row>
    <row r="11" spans="1:11" ht="12.75" customHeight="1" x14ac:dyDescent="0.15">
      <c r="A11" s="38" t="s">
        <v>65</v>
      </c>
      <c r="B11" s="38"/>
      <c r="C11" s="14">
        <v>4784.2999999999993</v>
      </c>
      <c r="D11" s="14">
        <v>1757.1999999999998</v>
      </c>
      <c r="E11" s="14">
        <v>5177.3</v>
      </c>
      <c r="F11" s="14">
        <v>4531</v>
      </c>
      <c r="G11" s="14">
        <v>4864.8999999999996</v>
      </c>
      <c r="H11" s="14">
        <v>0</v>
      </c>
      <c r="I11" s="16">
        <f>SUM(C11:H11)</f>
        <v>21114.699999999997</v>
      </c>
      <c r="J11" s="16">
        <f>AVERAGE(C11:H11)</f>
        <v>3519.1166666666663</v>
      </c>
      <c r="K11" s="13"/>
    </row>
    <row r="12" spans="1:11" ht="12.75" customHeight="1" x14ac:dyDescent="0.15">
      <c r="A12" s="39" t="s">
        <v>244</v>
      </c>
      <c r="B12" s="51"/>
      <c r="C12" s="52">
        <v>7.9638888888888886</v>
      </c>
      <c r="D12" s="52">
        <v>3.2097222222222221</v>
      </c>
      <c r="E12" s="52">
        <v>9.219444444444445</v>
      </c>
      <c r="F12" s="52">
        <v>8.0472222222222225</v>
      </c>
      <c r="G12" s="52">
        <v>6.9597222222222221</v>
      </c>
      <c r="H12" s="52"/>
      <c r="I12" s="16"/>
      <c r="J12" s="16"/>
      <c r="K12" s="13"/>
    </row>
    <row r="13" spans="1:11" ht="12.75" customHeight="1" x14ac:dyDescent="0.15">
      <c r="A13" s="38" t="s">
        <v>66</v>
      </c>
      <c r="B13" s="38"/>
      <c r="C13" s="14">
        <v>1759400</v>
      </c>
      <c r="D13" s="14">
        <v>585000</v>
      </c>
      <c r="E13" s="14">
        <v>1223800</v>
      </c>
      <c r="F13" s="14">
        <v>1033231</v>
      </c>
      <c r="G13" s="14">
        <v>994100</v>
      </c>
      <c r="H13" s="14">
        <v>367008</v>
      </c>
      <c r="I13" s="16">
        <f>SUM(C13:H13)</f>
        <v>5962539</v>
      </c>
      <c r="J13" s="16">
        <f>AVERAGE(C13:H13)</f>
        <v>993756.5</v>
      </c>
      <c r="K13" s="13">
        <f>I13/I13</f>
        <v>1</v>
      </c>
    </row>
    <row r="14" spans="1:11" ht="12.75" customHeight="1" x14ac:dyDescent="0.15">
      <c r="A14" s="39" t="s">
        <v>242</v>
      </c>
      <c r="B14" s="51"/>
      <c r="C14" s="14"/>
      <c r="D14" s="14"/>
      <c r="E14" s="14"/>
      <c r="F14" s="14"/>
      <c r="G14" s="14"/>
      <c r="H14" s="14"/>
      <c r="I14" s="16">
        <f>SUM(C14:H14)</f>
        <v>0</v>
      </c>
      <c r="J14" s="16"/>
      <c r="K14" s="13"/>
    </row>
    <row r="15" spans="1:11" ht="12.75" customHeight="1" x14ac:dyDescent="0.15">
      <c r="A15" s="38" t="s">
        <v>67</v>
      </c>
      <c r="B15" s="38"/>
      <c r="C15" s="14">
        <f t="shared" ref="C15:H15" si="0">SUM(C13/C11)</f>
        <v>367.74449762765721</v>
      </c>
      <c r="D15" s="14">
        <f t="shared" si="0"/>
        <v>332.91600273161851</v>
      </c>
      <c r="E15" s="14">
        <f t="shared" si="0"/>
        <v>236.37803488304715</v>
      </c>
      <c r="F15" s="14">
        <f t="shared" si="0"/>
        <v>228.03597439858751</v>
      </c>
      <c r="G15" s="14">
        <f t="shared" si="0"/>
        <v>204.34130197948571</v>
      </c>
      <c r="H15" s="14" t="e">
        <f t="shared" si="0"/>
        <v>#DIV/0!</v>
      </c>
      <c r="I15" s="12">
        <f>SUM(I13/I11)</f>
        <v>282.38805192590945</v>
      </c>
      <c r="J15" s="16" t="e">
        <f>AVERAGE(C15:H15)</f>
        <v>#DIV/0!</v>
      </c>
      <c r="K15" s="13"/>
    </row>
    <row r="16" spans="1:11" ht="12.75" customHeight="1" x14ac:dyDescent="0.15">
      <c r="A16" s="39" t="s">
        <v>243</v>
      </c>
      <c r="B16" s="51"/>
      <c r="C16" s="14">
        <f t="shared" ref="C16:H16" si="1">C13/(C12*24)</f>
        <v>9205.0924311126619</v>
      </c>
      <c r="D16" s="14">
        <f t="shared" si="1"/>
        <v>7594.115101687581</v>
      </c>
      <c r="E16" s="14">
        <f t="shared" si="1"/>
        <v>5530.8827960228982</v>
      </c>
      <c r="F16" s="14">
        <f t="shared" si="1"/>
        <v>5349.832585433207</v>
      </c>
      <c r="G16" s="14">
        <f t="shared" si="1"/>
        <v>5951.5066852923565</v>
      </c>
      <c r="H16" s="14" t="e">
        <f t="shared" si="1"/>
        <v>#DIV/0!</v>
      </c>
      <c r="I16" s="12"/>
      <c r="J16" s="16"/>
      <c r="K16" s="13"/>
    </row>
    <row r="17" spans="1:11" ht="12.75" customHeight="1" x14ac:dyDescent="0.15">
      <c r="A17" s="41" t="s">
        <v>68</v>
      </c>
      <c r="B17" s="11" t="s">
        <v>69</v>
      </c>
      <c r="C17" s="14">
        <v>0</v>
      </c>
      <c r="D17" s="14">
        <v>0</v>
      </c>
      <c r="E17" s="14">
        <v>0</v>
      </c>
      <c r="F17" s="14">
        <v>0</v>
      </c>
      <c r="G17" s="14">
        <v>261500</v>
      </c>
      <c r="H17" s="14">
        <v>0</v>
      </c>
      <c r="I17" s="16">
        <f>SUM(C17:H17)</f>
        <v>261500</v>
      </c>
      <c r="J17" s="16">
        <f>AVERAGE(C17:H17)</f>
        <v>43583.333333333336</v>
      </c>
      <c r="K17" s="13">
        <f>I17/I13</f>
        <v>4.3857155483595159E-2</v>
      </c>
    </row>
    <row r="18" spans="1:11" ht="12.75" customHeight="1" x14ac:dyDescent="0.15">
      <c r="A18" s="41"/>
      <c r="B18" s="11" t="s">
        <v>70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6">
        <f>SUM(C18:H18)</f>
        <v>0</v>
      </c>
      <c r="J18" s="16">
        <f>AVERAGE(C18:H18)</f>
        <v>0</v>
      </c>
      <c r="K18" s="13">
        <f>I18/I13</f>
        <v>0</v>
      </c>
    </row>
    <row r="19" spans="1:11" ht="12.75" customHeight="1" x14ac:dyDescent="0.15">
      <c r="A19" s="41"/>
      <c r="B19" s="11" t="s">
        <v>71</v>
      </c>
      <c r="C19" s="14">
        <v>6950</v>
      </c>
      <c r="D19" s="14">
        <v>7075</v>
      </c>
      <c r="E19" s="14">
        <v>4025</v>
      </c>
      <c r="F19" s="14">
        <v>4825</v>
      </c>
      <c r="G19" s="14">
        <v>0</v>
      </c>
      <c r="H19" s="14">
        <v>0</v>
      </c>
      <c r="I19" s="16">
        <f>SUM(C19:H19)</f>
        <v>22875</v>
      </c>
      <c r="J19" s="16">
        <f>AVERAGE(C19:H19)</f>
        <v>3812.5</v>
      </c>
      <c r="K19" s="13">
        <f>I19/I13</f>
        <v>3.8364528936414505E-3</v>
      </c>
    </row>
    <row r="20" spans="1:11" ht="12.75" customHeight="1" x14ac:dyDescent="0.15">
      <c r="A20" s="41"/>
      <c r="B20" s="11" t="s">
        <v>72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6">
        <f>SUM(C20:H20)</f>
        <v>0</v>
      </c>
      <c r="J20" s="16">
        <f>AVERAGE(C20:H20)</f>
        <v>0</v>
      </c>
      <c r="K20" s="13">
        <f>I20/I13</f>
        <v>0</v>
      </c>
    </row>
    <row r="21" spans="1:11" ht="12.75" customHeight="1" x14ac:dyDescent="0.15">
      <c r="A21" s="41"/>
      <c r="B21" s="11" t="s">
        <v>73</v>
      </c>
      <c r="C21" s="14">
        <v>8333</v>
      </c>
      <c r="D21" s="14">
        <v>9000</v>
      </c>
      <c r="E21" s="14">
        <v>4583</v>
      </c>
      <c r="F21" s="14">
        <v>4950</v>
      </c>
      <c r="G21" s="14">
        <v>4766</v>
      </c>
      <c r="H21" s="14">
        <v>0</v>
      </c>
      <c r="I21" s="16">
        <f>SUM(C21:H21)</f>
        <v>31632</v>
      </c>
      <c r="J21" s="16">
        <f>AVERAGE(C21:H21)</f>
        <v>5272</v>
      </c>
      <c r="K21" s="13">
        <f>I21/I13</f>
        <v>5.305122532531863E-3</v>
      </c>
    </row>
    <row r="22" spans="1:11" ht="12.75" customHeight="1" x14ac:dyDescent="0.15">
      <c r="A22" s="41"/>
      <c r="B22" s="11" t="s">
        <v>74</v>
      </c>
      <c r="C22" s="14">
        <v>90423</v>
      </c>
      <c r="D22" s="14">
        <v>29549</v>
      </c>
      <c r="E22" s="14">
        <v>31072</v>
      </c>
      <c r="F22" s="14">
        <v>28902</v>
      </c>
      <c r="G22" s="14">
        <v>27305</v>
      </c>
      <c r="H22" s="14">
        <v>0</v>
      </c>
      <c r="I22" s="16">
        <f>SUM(C22:H22)</f>
        <v>207251</v>
      </c>
      <c r="J22" s="16">
        <f>AVERAGE(C22:H22)</f>
        <v>34541.833333333336</v>
      </c>
      <c r="K22" s="13">
        <f>I22/I13</f>
        <v>3.4758850214648494E-2</v>
      </c>
    </row>
    <row r="23" spans="1:11" ht="12.75" customHeight="1" x14ac:dyDescent="0.15">
      <c r="A23" s="41"/>
      <c r="B23" s="17" t="s">
        <v>75</v>
      </c>
      <c r="C23" s="18">
        <f t="shared" ref="C23:H23" si="2">SUM(C17:C22)</f>
        <v>105706</v>
      </c>
      <c r="D23" s="18">
        <f t="shared" si="2"/>
        <v>45624</v>
      </c>
      <c r="E23" s="18">
        <f t="shared" si="2"/>
        <v>39680</v>
      </c>
      <c r="F23" s="18">
        <f t="shared" si="2"/>
        <v>38677</v>
      </c>
      <c r="G23" s="18">
        <f t="shared" si="2"/>
        <v>293571</v>
      </c>
      <c r="H23" s="18">
        <f t="shared" si="2"/>
        <v>0</v>
      </c>
      <c r="I23" s="20">
        <f>SUM(C23:H23)</f>
        <v>523258</v>
      </c>
      <c r="J23" s="20">
        <f>AVERAGE(C23:H23)</f>
        <v>87209.666666666672</v>
      </c>
      <c r="K23" s="21">
        <f>I23/I13</f>
        <v>8.7757581124416964E-2</v>
      </c>
    </row>
    <row r="24" spans="1:11" ht="12.75" customHeight="1" x14ac:dyDescent="0.15">
      <c r="A24" s="41" t="s">
        <v>76</v>
      </c>
      <c r="B24" s="11" t="s">
        <v>77</v>
      </c>
      <c r="C24" s="14">
        <v>19400</v>
      </c>
      <c r="D24" s="14">
        <v>39218</v>
      </c>
      <c r="E24" s="14">
        <v>0</v>
      </c>
      <c r="F24" s="14">
        <v>0</v>
      </c>
      <c r="G24" s="14">
        <v>0</v>
      </c>
      <c r="H24" s="14">
        <v>0</v>
      </c>
      <c r="I24" s="16">
        <f>SUM(C24:H24)</f>
        <v>58618</v>
      </c>
      <c r="J24" s="16">
        <f>AVERAGE(C24:H24)</f>
        <v>9769.6666666666661</v>
      </c>
      <c r="K24" s="13">
        <f>I24/I13</f>
        <v>9.8310468074087227E-3</v>
      </c>
    </row>
    <row r="25" spans="1:11" ht="12.75" customHeight="1" x14ac:dyDescent="0.15">
      <c r="A25" s="41"/>
      <c r="B25" s="11" t="s">
        <v>78</v>
      </c>
      <c r="C25" s="14">
        <v>0</v>
      </c>
      <c r="D25" s="14">
        <v>0</v>
      </c>
      <c r="E25" s="14">
        <v>0</v>
      </c>
      <c r="F25" s="14">
        <v>0</v>
      </c>
      <c r="G25" s="14">
        <v>0</v>
      </c>
      <c r="H25" s="14">
        <v>0</v>
      </c>
      <c r="I25" s="16">
        <f>SUM(C25:H25)</f>
        <v>0</v>
      </c>
      <c r="J25" s="16">
        <f>AVERAGE(C25:H25)</f>
        <v>0</v>
      </c>
      <c r="K25" s="13">
        <f>I25/I13</f>
        <v>0</v>
      </c>
    </row>
    <row r="26" spans="1:11" ht="12.75" customHeight="1" x14ac:dyDescent="0.15">
      <c r="A26" s="41"/>
      <c r="B26" s="11" t="s">
        <v>79</v>
      </c>
      <c r="C26" s="14">
        <f t="shared" ref="C26:H26" si="3">30000*C9/70000*C11</f>
        <v>28705.799999999996</v>
      </c>
      <c r="D26" s="14">
        <f t="shared" si="3"/>
        <v>10543.199999999999</v>
      </c>
      <c r="E26" s="14">
        <f t="shared" si="3"/>
        <v>17750.742857142857</v>
      </c>
      <c r="F26" s="14">
        <f t="shared" si="3"/>
        <v>15534.857142857141</v>
      </c>
      <c r="G26" s="14">
        <f t="shared" si="3"/>
        <v>16679.657142857141</v>
      </c>
      <c r="H26" s="14">
        <f t="shared" si="3"/>
        <v>0</v>
      </c>
      <c r="I26" s="16">
        <f>SUM(C26:H26)</f>
        <v>89214.257142857125</v>
      </c>
      <c r="J26" s="16">
        <f>AVERAGE(C26:H26)</f>
        <v>14869.042857142855</v>
      </c>
      <c r="K26" s="13">
        <f>I26/I13</f>
        <v>1.4962460982285755E-2</v>
      </c>
    </row>
    <row r="27" spans="1:11" ht="12.75" customHeight="1" x14ac:dyDescent="0.15">
      <c r="A27" s="41"/>
      <c r="B27" s="11" t="s">
        <v>80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6">
        <f>SUM(C27:H27)</f>
        <v>0</v>
      </c>
      <c r="J27" s="16">
        <f>AVERAGE(C27:H27)</f>
        <v>0</v>
      </c>
      <c r="K27" s="13">
        <f>I27/I13</f>
        <v>0</v>
      </c>
    </row>
    <row r="28" spans="1:11" ht="12.75" customHeight="1" x14ac:dyDescent="0.15">
      <c r="A28" s="41"/>
      <c r="B28" s="11" t="s">
        <v>81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6">
        <f>SUM(C28:H28)</f>
        <v>0</v>
      </c>
      <c r="J28" s="16">
        <f>AVERAGE(C28:H28)</f>
        <v>0</v>
      </c>
      <c r="K28" s="13">
        <f>I28/I13</f>
        <v>0</v>
      </c>
    </row>
    <row r="29" spans="1:11" ht="12.75" customHeight="1" x14ac:dyDescent="0.15">
      <c r="A29" s="41"/>
      <c r="B29" s="17" t="s">
        <v>82</v>
      </c>
      <c r="C29" s="18">
        <f t="shared" ref="C29:H29" si="4">SUM(C24:C28)</f>
        <v>48105.799999999996</v>
      </c>
      <c r="D29" s="18">
        <f t="shared" si="4"/>
        <v>49761.2</v>
      </c>
      <c r="E29" s="18">
        <f t="shared" si="4"/>
        <v>17750.742857142857</v>
      </c>
      <c r="F29" s="18">
        <f t="shared" si="4"/>
        <v>15534.857142857141</v>
      </c>
      <c r="G29" s="18">
        <f t="shared" si="4"/>
        <v>16679.657142857141</v>
      </c>
      <c r="H29" s="18">
        <f t="shared" si="4"/>
        <v>0</v>
      </c>
      <c r="I29" s="20">
        <f>SUM(C29:H29)</f>
        <v>147832.25714285715</v>
      </c>
      <c r="J29" s="20">
        <f>AVERAGE(C29:H29)</f>
        <v>24638.709523809524</v>
      </c>
      <c r="K29" s="21">
        <f>I29/I13</f>
        <v>2.4793507789694483E-2</v>
      </c>
    </row>
    <row r="30" spans="1:11" ht="12.75" customHeight="1" x14ac:dyDescent="0.15">
      <c r="A30" s="41" t="s">
        <v>83</v>
      </c>
      <c r="B30" s="8" t="s">
        <v>84</v>
      </c>
      <c r="C30" s="22">
        <v>1757</v>
      </c>
      <c r="D30" s="22">
        <v>755</v>
      </c>
      <c r="E30" s="22">
        <v>1262</v>
      </c>
      <c r="F30" s="22">
        <v>887</v>
      </c>
      <c r="G30" s="22">
        <v>1158</v>
      </c>
      <c r="H30" s="22">
        <v>0</v>
      </c>
      <c r="I30" s="24">
        <f>SUM(C30:H30)</f>
        <v>5819</v>
      </c>
      <c r="J30" s="24">
        <f>AVERAGE(C30:H30)</f>
        <v>969.83333333333337</v>
      </c>
      <c r="K30" s="10">
        <f>I30/I13</f>
        <v>9.7592653062730491E-4</v>
      </c>
    </row>
    <row r="31" spans="1:11" ht="12.75" customHeight="1" x14ac:dyDescent="0.15">
      <c r="A31" s="41"/>
      <c r="B31" s="25" t="s">
        <v>85</v>
      </c>
      <c r="C31" s="26">
        <f>SUM(C11/C30)</f>
        <v>2.7229937393284001</v>
      </c>
      <c r="D31" s="26">
        <f>SUM(D11/D30)</f>
        <v>2.327417218543046</v>
      </c>
      <c r="E31" s="26">
        <f>SUM(E11/E30)</f>
        <v>4.1024564183835182</v>
      </c>
      <c r="F31" s="26">
        <f>SUM(F11/F30)</f>
        <v>5.1082299887260429</v>
      </c>
      <c r="G31" s="26">
        <f>SUM(G11/G30)</f>
        <v>4.2011226252158895</v>
      </c>
      <c r="H31" s="26" t="e">
        <f>SUM(H11/H30)</f>
        <v>#DIV/0!</v>
      </c>
      <c r="I31" s="28">
        <f>SUM(I11/I30)</f>
        <v>3.6285787936071485</v>
      </c>
      <c r="J31" s="28" t="e">
        <f>AVERAGE(C31:H31)</f>
        <v>#DIV/0!</v>
      </c>
      <c r="K31" s="25">
        <f>I31/I13</f>
        <v>6.0856269344437801E-7</v>
      </c>
    </row>
    <row r="32" spans="1:11" ht="12.75" customHeight="1" x14ac:dyDescent="0.15">
      <c r="A32" s="41"/>
      <c r="B32" s="11" t="s">
        <v>86</v>
      </c>
      <c r="C32" s="14">
        <v>210781</v>
      </c>
      <c r="D32" s="14">
        <v>90373</v>
      </c>
      <c r="E32" s="14">
        <v>151058</v>
      </c>
      <c r="F32" s="14">
        <v>106931</v>
      </c>
      <c r="G32" s="14">
        <v>138509</v>
      </c>
      <c r="H32" s="14">
        <v>0</v>
      </c>
      <c r="I32" s="16">
        <f>SUM(C32:H32)</f>
        <v>697652</v>
      </c>
      <c r="J32" s="16">
        <f>AVERAGE(C32:H32)</f>
        <v>116275.33333333333</v>
      </c>
      <c r="K32" s="13">
        <f>I32/I13</f>
        <v>0.11700585941660088</v>
      </c>
    </row>
    <row r="33" spans="1:11" ht="12.75" customHeight="1" x14ac:dyDescent="0.15">
      <c r="A33" s="41"/>
      <c r="B33" s="11" t="s">
        <v>87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6">
        <f>SUM(C33:H33)</f>
        <v>0</v>
      </c>
      <c r="J33" s="16">
        <f>AVERAGE(C33:H33)</f>
        <v>0</v>
      </c>
      <c r="K33" s="13">
        <f>I33/I13</f>
        <v>0</v>
      </c>
    </row>
    <row r="34" spans="1:11" ht="12.75" customHeight="1" x14ac:dyDescent="0.15">
      <c r="A34" s="41"/>
      <c r="B34" s="11" t="s">
        <v>88</v>
      </c>
      <c r="C34" s="14">
        <v>4714</v>
      </c>
      <c r="D34" s="14">
        <v>3612</v>
      </c>
      <c r="E34" s="14">
        <v>4547</v>
      </c>
      <c r="F34" s="14">
        <v>5087</v>
      </c>
      <c r="G34" s="14">
        <v>6379</v>
      </c>
      <c r="H34" s="14">
        <v>0</v>
      </c>
      <c r="I34" s="16">
        <f>SUM(C34:H34)</f>
        <v>24339</v>
      </c>
      <c r="J34" s="16">
        <f>AVERAGE(C34:H34)</f>
        <v>4056.5</v>
      </c>
      <c r="K34" s="13">
        <f>I34/I13</f>
        <v>4.0819858788345032E-3</v>
      </c>
    </row>
    <row r="35" spans="1:11" ht="12.75" customHeight="1" x14ac:dyDescent="0.15">
      <c r="A35" s="41"/>
      <c r="B35" s="17" t="s">
        <v>89</v>
      </c>
      <c r="C35" s="18">
        <f t="shared" ref="C35:H35" si="5">SUM(C32:C34)</f>
        <v>215495</v>
      </c>
      <c r="D35" s="18">
        <f t="shared" si="5"/>
        <v>93985</v>
      </c>
      <c r="E35" s="18">
        <f t="shared" si="5"/>
        <v>155605</v>
      </c>
      <c r="F35" s="18">
        <f t="shared" si="5"/>
        <v>112018</v>
      </c>
      <c r="G35" s="18">
        <f t="shared" si="5"/>
        <v>144888</v>
      </c>
      <c r="H35" s="18">
        <f t="shared" si="5"/>
        <v>0</v>
      </c>
      <c r="I35" s="20">
        <f>SUM(C35:H35)</f>
        <v>721991</v>
      </c>
      <c r="J35" s="20">
        <f>AVERAGE(C35:H35)</f>
        <v>120331.83333333333</v>
      </c>
      <c r="K35" s="21">
        <f>I35/I13</f>
        <v>0.12108784529543538</v>
      </c>
    </row>
    <row r="36" spans="1:11" ht="12.75" customHeight="1" x14ac:dyDescent="0.15">
      <c r="A36" s="41" t="s">
        <v>90</v>
      </c>
      <c r="B36" s="11" t="s">
        <v>91</v>
      </c>
      <c r="C36" s="14">
        <v>2451</v>
      </c>
      <c r="D36" s="14">
        <v>2451</v>
      </c>
      <c r="E36" s="14">
        <v>2008</v>
      </c>
      <c r="F36" s="14">
        <v>2008</v>
      </c>
      <c r="G36" s="14">
        <v>2008</v>
      </c>
      <c r="H36" s="14">
        <v>0</v>
      </c>
      <c r="I36" s="16">
        <f>SUM(C36:H36)</f>
        <v>10926</v>
      </c>
      <c r="J36" s="16">
        <f>AVERAGE(C36:H36)</f>
        <v>1821</v>
      </c>
      <c r="K36" s="13">
        <f>I36/I13</f>
        <v>1.8324408444120868E-3</v>
      </c>
    </row>
    <row r="37" spans="1:11" ht="12.75" customHeight="1" x14ac:dyDescent="0.15">
      <c r="A37" s="41"/>
      <c r="B37" s="11" t="s">
        <v>92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6">
        <f>SUM(C37:H37)</f>
        <v>0</v>
      </c>
      <c r="J37" s="16">
        <f>AVERAGE(C37:H37)</f>
        <v>0</v>
      </c>
      <c r="K37" s="13">
        <f>I37/I13</f>
        <v>0</v>
      </c>
    </row>
    <row r="38" spans="1:11" ht="12.75" customHeight="1" x14ac:dyDescent="0.15">
      <c r="A38" s="41"/>
      <c r="B38" s="11" t="s">
        <v>93</v>
      </c>
      <c r="C38" s="14">
        <v>0</v>
      </c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6">
        <f>SUM(C38:H38)</f>
        <v>0</v>
      </c>
      <c r="J38" s="16">
        <f>AVERAGE(C38:H38)</f>
        <v>0</v>
      </c>
      <c r="K38" s="13">
        <f>I38/I13</f>
        <v>0</v>
      </c>
    </row>
    <row r="39" spans="1:11" ht="12.75" customHeight="1" x14ac:dyDescent="0.15">
      <c r="A39" s="41"/>
      <c r="B39" s="11" t="s">
        <v>94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6">
        <f>SUM(C39:H39)</f>
        <v>0</v>
      </c>
      <c r="J39" s="16">
        <f>AVERAGE(C39:H39)</f>
        <v>0</v>
      </c>
      <c r="K39" s="13">
        <f>I39/I13</f>
        <v>0</v>
      </c>
    </row>
    <row r="40" spans="1:11" ht="12.75" customHeight="1" x14ac:dyDescent="0.15">
      <c r="A40" s="41"/>
      <c r="B40" s="11" t="s">
        <v>95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6">
        <f>SUM(C40:H40)</f>
        <v>0</v>
      </c>
      <c r="J40" s="16">
        <f>AVERAGE(C40:H40)</f>
        <v>0</v>
      </c>
      <c r="K40" s="13">
        <f>I40/I13</f>
        <v>0</v>
      </c>
    </row>
    <row r="41" spans="1:11" ht="12.75" customHeight="1" x14ac:dyDescent="0.15">
      <c r="A41" s="41"/>
      <c r="B41" s="11" t="s">
        <v>96</v>
      </c>
      <c r="C41" s="14">
        <v>10241</v>
      </c>
      <c r="D41" s="14">
        <v>10241</v>
      </c>
      <c r="E41" s="14">
        <v>5140</v>
      </c>
      <c r="F41" s="14">
        <v>5140</v>
      </c>
      <c r="G41" s="14">
        <v>7990</v>
      </c>
      <c r="H41" s="14">
        <v>0</v>
      </c>
      <c r="I41" s="16">
        <f>SUM(C41:H41)</f>
        <v>38752</v>
      </c>
      <c r="J41" s="16">
        <f>AVERAGE(C41:H41)</f>
        <v>6458.666666666667</v>
      </c>
      <c r="K41" s="13">
        <f>I41/I13</f>
        <v>6.4992447009570922E-3</v>
      </c>
    </row>
    <row r="42" spans="1:11" ht="12.75" customHeight="1" x14ac:dyDescent="0.15">
      <c r="A42" s="41"/>
      <c r="B42" s="17" t="s">
        <v>97</v>
      </c>
      <c r="C42" s="18">
        <f t="shared" ref="C42:H42" si="6">SUM(C36:C41)</f>
        <v>12692</v>
      </c>
      <c r="D42" s="18">
        <f t="shared" si="6"/>
        <v>12692</v>
      </c>
      <c r="E42" s="18">
        <f t="shared" si="6"/>
        <v>7148</v>
      </c>
      <c r="F42" s="18">
        <f t="shared" si="6"/>
        <v>7148</v>
      </c>
      <c r="G42" s="18">
        <f t="shared" si="6"/>
        <v>9998</v>
      </c>
      <c r="H42" s="18">
        <f t="shared" si="6"/>
        <v>0</v>
      </c>
      <c r="I42" s="20">
        <f>SUM(C42:H42)</f>
        <v>49678</v>
      </c>
      <c r="J42" s="20">
        <f>AVERAGE(C42:H42)</f>
        <v>8279.6666666666661</v>
      </c>
      <c r="K42" s="21">
        <f>I42/I13</f>
        <v>8.3316855453691788E-3</v>
      </c>
    </row>
    <row r="43" spans="1:11" ht="12.75" customHeight="1" x14ac:dyDescent="0.15">
      <c r="A43" s="41" t="s">
        <v>98</v>
      </c>
      <c r="B43" s="11" t="s">
        <v>99</v>
      </c>
      <c r="C43" s="14">
        <v>158930</v>
      </c>
      <c r="D43" s="14">
        <v>90350</v>
      </c>
      <c r="E43" s="14">
        <v>198460</v>
      </c>
      <c r="F43" s="14">
        <v>183550</v>
      </c>
      <c r="G43" s="14">
        <v>184820</v>
      </c>
      <c r="H43" s="14">
        <v>0</v>
      </c>
      <c r="I43" s="16">
        <f>SUM(C43:H43)</f>
        <v>816110</v>
      </c>
      <c r="J43" s="16">
        <f>AVERAGE(C43:H43)</f>
        <v>136018.33333333334</v>
      </c>
      <c r="K43" s="13">
        <f>I43/I13</f>
        <v>0.13687289927998794</v>
      </c>
    </row>
    <row r="44" spans="1:11" ht="12.75" customHeight="1" x14ac:dyDescent="0.15">
      <c r="A44" s="41"/>
      <c r="B44" s="11" t="s">
        <v>100</v>
      </c>
      <c r="C44" s="14">
        <v>-126903</v>
      </c>
      <c r="D44" s="14">
        <v>-55368</v>
      </c>
      <c r="E44" s="14">
        <v>-108815</v>
      </c>
      <c r="F44" s="14">
        <v>-79768</v>
      </c>
      <c r="G44" s="14">
        <v>-89502</v>
      </c>
      <c r="H44" s="14">
        <v>0</v>
      </c>
      <c r="I44" s="16">
        <f>SUM(C44:H44)</f>
        <v>-460356</v>
      </c>
      <c r="J44" s="16">
        <f>AVERAGE(C44:H44)</f>
        <v>-76726</v>
      </c>
      <c r="K44" s="13">
        <f>I44/I13</f>
        <v>-7.7208048450500708E-2</v>
      </c>
    </row>
    <row r="45" spans="1:11" ht="12.75" customHeight="1" x14ac:dyDescent="0.15">
      <c r="A45" s="41"/>
      <c r="B45" s="11" t="s">
        <v>101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6">
        <f>SUM(C45:H45)</f>
        <v>0</v>
      </c>
      <c r="J45" s="16">
        <f>AVERAGE(C45:H45)</f>
        <v>0</v>
      </c>
      <c r="K45" s="13">
        <f>I45/I13</f>
        <v>0</v>
      </c>
    </row>
    <row r="46" spans="1:11" ht="12.75" customHeight="1" x14ac:dyDescent="0.15">
      <c r="A46" s="41"/>
      <c r="B46" s="11" t="s">
        <v>102</v>
      </c>
      <c r="C46" s="14">
        <v>-50857.599999999999</v>
      </c>
      <c r="D46" s="14">
        <v>-28912</v>
      </c>
      <c r="E46" s="14">
        <v>-63507.199999999997</v>
      </c>
      <c r="F46" s="14">
        <v>-58736</v>
      </c>
      <c r="G46" s="14">
        <v>-59142.400000000001</v>
      </c>
      <c r="H46" s="14">
        <v>0</v>
      </c>
      <c r="I46" s="16">
        <f>SUM(C46:H46)</f>
        <v>-261155.19999999998</v>
      </c>
      <c r="J46" s="16">
        <f>AVERAGE(B46:H46)</f>
        <v>-43525.866666666661</v>
      </c>
      <c r="K46" s="13">
        <f>I46/I13</f>
        <v>-4.3799327769596136E-2</v>
      </c>
    </row>
    <row r="47" spans="1:11" ht="12.75" customHeight="1" x14ac:dyDescent="0.15">
      <c r="A47" s="41"/>
      <c r="B47" s="17" t="s">
        <v>103</v>
      </c>
      <c r="C47" s="18">
        <f t="shared" ref="C47:I47" si="7">SUM(C43:C46)</f>
        <v>-18830.599999999999</v>
      </c>
      <c r="D47" s="18">
        <f t="shared" si="7"/>
        <v>6070</v>
      </c>
      <c r="E47" s="18">
        <f t="shared" si="7"/>
        <v>26137.800000000003</v>
      </c>
      <c r="F47" s="18">
        <f t="shared" si="7"/>
        <v>45046</v>
      </c>
      <c r="G47" s="18">
        <f t="shared" si="7"/>
        <v>36175.599999999999</v>
      </c>
      <c r="H47" s="18">
        <f t="shared" si="7"/>
        <v>0</v>
      </c>
      <c r="I47" s="20">
        <f t="shared" si="7"/>
        <v>94598.800000000017</v>
      </c>
      <c r="J47" s="20">
        <f>AVERAGE(B47:H47)</f>
        <v>15766.466666666667</v>
      </c>
      <c r="K47" s="21">
        <f>I47/I13</f>
        <v>1.5865523059891098E-2</v>
      </c>
    </row>
    <row r="48" spans="1:11" ht="12.75" customHeight="1" x14ac:dyDescent="0.15">
      <c r="A48" s="41" t="s">
        <v>104</v>
      </c>
      <c r="B48" s="11" t="s">
        <v>105</v>
      </c>
      <c r="C48" s="14">
        <v>297672</v>
      </c>
      <c r="D48" s="14">
        <v>105060</v>
      </c>
      <c r="E48" s="14">
        <v>402733</v>
      </c>
      <c r="F48" s="14">
        <v>350203</v>
      </c>
      <c r="G48" s="14">
        <v>245141</v>
      </c>
      <c r="H48" s="14">
        <v>0</v>
      </c>
      <c r="I48" s="16">
        <f>SUM(C48:H48)</f>
        <v>1400809</v>
      </c>
      <c r="J48" s="16">
        <f>AVERAGE(C48:H48)</f>
        <v>233468.16666666666</v>
      </c>
      <c r="K48" s="13">
        <f>I48/I13</f>
        <v>0.23493498323449122</v>
      </c>
    </row>
    <row r="49" spans="1:11" ht="12.75" customHeight="1" x14ac:dyDescent="0.15">
      <c r="A49" s="41"/>
      <c r="B49" s="11" t="s">
        <v>106</v>
      </c>
      <c r="C49" s="14">
        <v>7974</v>
      </c>
      <c r="D49" s="14">
        <v>2814</v>
      </c>
      <c r="E49" s="14">
        <v>10789</v>
      </c>
      <c r="F49" s="14">
        <v>9384</v>
      </c>
      <c r="G49" s="14">
        <v>6567</v>
      </c>
      <c r="H49" s="14">
        <v>0</v>
      </c>
      <c r="I49" s="16">
        <f>SUM(C49:H49)</f>
        <v>37528</v>
      </c>
      <c r="J49" s="16">
        <f>AVERAGE(C49:H49)</f>
        <v>6254.666666666667</v>
      </c>
      <c r="K49" s="13">
        <f>I49/I13</f>
        <v>6.2939630248120809E-3</v>
      </c>
    </row>
    <row r="50" spans="1:11" ht="12.75" customHeight="1" x14ac:dyDescent="0.15">
      <c r="A50" s="41"/>
      <c r="B50" s="11" t="s">
        <v>107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6">
        <f>SUM(C50:H50)</f>
        <v>0</v>
      </c>
      <c r="J50" s="16">
        <f>AVERAGE(C50:H50)</f>
        <v>0</v>
      </c>
      <c r="K50" s="13">
        <f>I50/I13</f>
        <v>0</v>
      </c>
    </row>
    <row r="51" spans="1:11" ht="12.75" customHeight="1" x14ac:dyDescent="0.15">
      <c r="A51" s="41"/>
      <c r="B51" s="11" t="s">
        <v>108</v>
      </c>
      <c r="C51" s="14">
        <v>51198</v>
      </c>
      <c r="D51" s="14">
        <v>18070</v>
      </c>
      <c r="E51" s="14">
        <v>69268</v>
      </c>
      <c r="F51" s="14">
        <v>60236</v>
      </c>
      <c r="G51" s="14">
        <v>42163</v>
      </c>
      <c r="H51" s="14">
        <v>0</v>
      </c>
      <c r="I51" s="16">
        <f>SUM(C51:H51)</f>
        <v>240935</v>
      </c>
      <c r="J51" s="16">
        <f>AVERAGE(C51:H51)</f>
        <v>40155.833333333336</v>
      </c>
      <c r="K51" s="13">
        <f>I51/I13</f>
        <v>4.040812143954111E-2</v>
      </c>
    </row>
    <row r="52" spans="1:11" ht="12.75" customHeight="1" x14ac:dyDescent="0.15">
      <c r="A52" s="41"/>
      <c r="B52" s="11" t="s">
        <v>109</v>
      </c>
      <c r="C52" s="14">
        <v>1275</v>
      </c>
      <c r="D52" s="14">
        <v>450</v>
      </c>
      <c r="E52" s="14">
        <v>1725</v>
      </c>
      <c r="F52" s="14">
        <v>1500</v>
      </c>
      <c r="G52" s="14">
        <v>1050</v>
      </c>
      <c r="H52" s="14">
        <v>0</v>
      </c>
      <c r="I52" s="16">
        <f>SUM(C52:H52)</f>
        <v>6000</v>
      </c>
      <c r="J52" s="16">
        <f>AVERAGE(C52:H52)</f>
        <v>1000</v>
      </c>
      <c r="K52" s="13">
        <f>I52/I13</f>
        <v>1.0062827262010362E-3</v>
      </c>
    </row>
    <row r="53" spans="1:11" ht="12.75" customHeight="1" x14ac:dyDescent="0.15">
      <c r="A53" s="41"/>
      <c r="B53" s="17" t="s">
        <v>110</v>
      </c>
      <c r="C53" s="18">
        <f t="shared" ref="C53:H53" si="8">SUM(C48:C52)</f>
        <v>358119</v>
      </c>
      <c r="D53" s="18">
        <f t="shared" si="8"/>
        <v>126394</v>
      </c>
      <c r="E53" s="18">
        <f t="shared" si="8"/>
        <v>484515</v>
      </c>
      <c r="F53" s="18">
        <f t="shared" si="8"/>
        <v>421323</v>
      </c>
      <c r="G53" s="18">
        <f t="shared" si="8"/>
        <v>294921</v>
      </c>
      <c r="H53" s="18">
        <f t="shared" si="8"/>
        <v>0</v>
      </c>
      <c r="I53" s="20">
        <f>SUM(C53:H53)</f>
        <v>1685272</v>
      </c>
      <c r="J53" s="20">
        <f>AVERAGE(C53:H53)</f>
        <v>280878.66666666669</v>
      </c>
      <c r="K53" s="21">
        <f>I53/I13</f>
        <v>0.28264335042504546</v>
      </c>
    </row>
    <row r="54" spans="1:11" ht="12.75" customHeight="1" x14ac:dyDescent="0.15">
      <c r="A54" s="41" t="s">
        <v>111</v>
      </c>
      <c r="B54" s="11" t="s">
        <v>112</v>
      </c>
      <c r="C54" s="14">
        <v>59400</v>
      </c>
      <c r="D54" s="14">
        <v>59400</v>
      </c>
      <c r="E54" s="14">
        <v>59400</v>
      </c>
      <c r="F54" s="14">
        <v>59400</v>
      </c>
      <c r="G54" s="14">
        <v>59400</v>
      </c>
      <c r="H54" s="14">
        <v>0</v>
      </c>
      <c r="I54" s="16">
        <f>SUM(C54:H54)</f>
        <v>297000</v>
      </c>
      <c r="J54" s="16">
        <f>AVERAGE(C54:H54)</f>
        <v>49500</v>
      </c>
      <c r="K54" s="13">
        <f>I54/I13</f>
        <v>4.9810994946951292E-2</v>
      </c>
    </row>
    <row r="55" spans="1:11" ht="12.75" customHeight="1" x14ac:dyDescent="0.15">
      <c r="A55" s="41"/>
      <c r="B55" s="11" t="s">
        <v>113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6">
        <f>SUM(C55:H55)</f>
        <v>0</v>
      </c>
      <c r="J55" s="16">
        <f>AVERAGE(C55:H55)</f>
        <v>0</v>
      </c>
      <c r="K55" s="13">
        <f>I55/I13</f>
        <v>0</v>
      </c>
    </row>
    <row r="56" spans="1:11" ht="12.75" customHeight="1" x14ac:dyDescent="0.15">
      <c r="A56" s="41"/>
      <c r="B56" s="11" t="s">
        <v>114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6">
        <f>SUM(C56:H56)</f>
        <v>0</v>
      </c>
      <c r="J56" s="16">
        <f>AVERAGE(C56:H56)</f>
        <v>0</v>
      </c>
      <c r="K56" s="13">
        <f>I56/I13</f>
        <v>0</v>
      </c>
    </row>
    <row r="57" spans="1:11" ht="12.75" customHeight="1" x14ac:dyDescent="0.15">
      <c r="A57" s="41"/>
      <c r="B57" s="11" t="s">
        <v>115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6">
        <f>SUM(C57:H57)</f>
        <v>0</v>
      </c>
      <c r="J57" s="16">
        <f>AVERAGE(C57:H57)</f>
        <v>0</v>
      </c>
      <c r="K57" s="13">
        <f>I57/I13</f>
        <v>0</v>
      </c>
    </row>
    <row r="58" spans="1:11" ht="12.75" customHeight="1" x14ac:dyDescent="0.15">
      <c r="A58" s="41"/>
      <c r="B58" s="11" t="s">
        <v>116</v>
      </c>
      <c r="C58" s="14">
        <v>124746</v>
      </c>
      <c r="D58" s="14">
        <v>124746</v>
      </c>
      <c r="E58" s="14">
        <v>124746</v>
      </c>
      <c r="F58" s="14">
        <v>124746</v>
      </c>
      <c r="G58" s="14">
        <v>124746</v>
      </c>
      <c r="H58" s="14">
        <v>0</v>
      </c>
      <c r="I58" s="16">
        <f>SUM(C58:H58)</f>
        <v>623730</v>
      </c>
      <c r="J58" s="16">
        <f>AVERAGE(C58:H58)</f>
        <v>103955</v>
      </c>
      <c r="K58" s="13">
        <f>I58/I13</f>
        <v>0.10460812080222871</v>
      </c>
    </row>
    <row r="59" spans="1:11" ht="12.75" customHeight="1" x14ac:dyDescent="0.15">
      <c r="A59" s="41"/>
      <c r="B59" s="11" t="s">
        <v>117</v>
      </c>
      <c r="C59" s="14">
        <v>78839</v>
      </c>
      <c r="D59" s="14">
        <v>78839</v>
      </c>
      <c r="E59" s="14">
        <v>78839</v>
      </c>
      <c r="F59" s="14">
        <v>78839</v>
      </c>
      <c r="G59" s="14">
        <v>78839</v>
      </c>
      <c r="H59" s="14">
        <v>0</v>
      </c>
      <c r="I59" s="16">
        <f>SUM(C59:H59)</f>
        <v>394195</v>
      </c>
      <c r="J59" s="16">
        <f>AVERAGE(C59:H59)</f>
        <v>65699.166666666672</v>
      </c>
      <c r="K59" s="13">
        <f>I59/I13</f>
        <v>6.6111936542469579E-2</v>
      </c>
    </row>
    <row r="60" spans="1:11" ht="12.75" customHeight="1" x14ac:dyDescent="0.15">
      <c r="A60" s="41"/>
      <c r="B60" s="17" t="s">
        <v>118</v>
      </c>
      <c r="C60" s="18">
        <f t="shared" ref="C60:H60" si="9">SUM(C54:C59)</f>
        <v>262985</v>
      </c>
      <c r="D60" s="18">
        <f t="shared" si="9"/>
        <v>262985</v>
      </c>
      <c r="E60" s="18">
        <f t="shared" si="9"/>
        <v>262985</v>
      </c>
      <c r="F60" s="18">
        <f t="shared" si="9"/>
        <v>262985</v>
      </c>
      <c r="G60" s="18">
        <f t="shared" si="9"/>
        <v>262985</v>
      </c>
      <c r="H60" s="18">
        <f t="shared" si="9"/>
        <v>0</v>
      </c>
      <c r="I60" s="20">
        <f>SUM(C60:H60)</f>
        <v>1314925</v>
      </c>
      <c r="J60" s="20">
        <f>AVERAGE(C60:H60)</f>
        <v>219154.16666666666</v>
      </c>
      <c r="K60" s="21">
        <f>I60/I13</f>
        <v>0.22053105229164957</v>
      </c>
    </row>
    <row r="61" spans="1:11" ht="12.75" customHeight="1" x14ac:dyDescent="0.15">
      <c r="A61" s="38" t="s">
        <v>119</v>
      </c>
      <c r="B61" s="38"/>
      <c r="C61" s="14">
        <f t="shared" ref="C61:H61" si="10">SUM(C53+C23+C29+C35+C42+C47+C60)</f>
        <v>984272.20000000007</v>
      </c>
      <c r="D61" s="14">
        <f t="shared" si="10"/>
        <v>597511.19999999995</v>
      </c>
      <c r="E61" s="14">
        <f t="shared" si="10"/>
        <v>993821.54285714286</v>
      </c>
      <c r="F61" s="14">
        <f t="shared" si="10"/>
        <v>902731.85714285716</v>
      </c>
      <c r="G61" s="14">
        <f t="shared" si="10"/>
        <v>1059218.2571428572</v>
      </c>
      <c r="H61" s="14">
        <f t="shared" si="10"/>
        <v>0</v>
      </c>
      <c r="I61" s="16">
        <f>SUM(C61:H61)</f>
        <v>4537555.0571428575</v>
      </c>
      <c r="J61" s="16">
        <f>AVERAGE(C61:H61)</f>
        <v>756259.17619047628</v>
      </c>
      <c r="K61" s="13">
        <f>I61/I13</f>
        <v>0.76101054553150216</v>
      </c>
    </row>
    <row r="62" spans="1:11" ht="12.75" customHeight="1" x14ac:dyDescent="0.15">
      <c r="A62" s="38" t="s">
        <v>120</v>
      </c>
      <c r="B62" s="38"/>
      <c r="C62" s="14">
        <f t="shared" ref="C62:H62" si="11">SUM(C13+C14-C61)</f>
        <v>775127.79999999993</v>
      </c>
      <c r="D62" s="14">
        <f t="shared" si="11"/>
        <v>-12511.199999999953</v>
      </c>
      <c r="E62" s="14">
        <f t="shared" si="11"/>
        <v>229978.45714285714</v>
      </c>
      <c r="F62" s="14">
        <f t="shared" si="11"/>
        <v>130499.14285714284</v>
      </c>
      <c r="G62" s="14">
        <f t="shared" si="11"/>
        <v>-65118.257142857183</v>
      </c>
      <c r="H62" s="14">
        <f t="shared" si="11"/>
        <v>367008</v>
      </c>
      <c r="I62" s="16">
        <f>SUM(C62:H62)</f>
        <v>1424983.9428571428</v>
      </c>
      <c r="J62" s="16">
        <f>AVERAGE(C62:H62)</f>
        <v>237497.3238095238</v>
      </c>
      <c r="K62" s="13">
        <f>I62/I13</f>
        <v>0.23898945446849787</v>
      </c>
    </row>
    <row r="63" spans="1:11" ht="12.75" customHeight="1" x14ac:dyDescent="0.15">
      <c r="A63" s="38" t="s">
        <v>121</v>
      </c>
      <c r="B63" s="38"/>
      <c r="C63" s="14">
        <v>104263.38095238095</v>
      </c>
      <c r="D63" s="14">
        <v>104263.38095238095</v>
      </c>
      <c r="E63" s="14">
        <v>104263.38095238095</v>
      </c>
      <c r="F63" s="14">
        <v>104263.38095238095</v>
      </c>
      <c r="G63" s="14">
        <v>104263.38095238095</v>
      </c>
      <c r="H63" s="14">
        <v>0</v>
      </c>
      <c r="I63" s="16">
        <f>SUM(C63:H63)</f>
        <v>521316.90476190473</v>
      </c>
      <c r="J63" s="16">
        <f>AVERAGE(C63:H63)</f>
        <v>86886.150793650784</v>
      </c>
      <c r="K63" s="13">
        <f>I63/I13</f>
        <v>8.7432032689749237E-2</v>
      </c>
    </row>
    <row r="64" spans="1:11" ht="12.75" customHeight="1" x14ac:dyDescent="0.15">
      <c r="A64" s="38" t="s">
        <v>122</v>
      </c>
      <c r="B64" s="38"/>
      <c r="C64" s="14">
        <v>29722.833333333332</v>
      </c>
      <c r="D64" s="14">
        <v>29722.833333333332</v>
      </c>
      <c r="E64" s="14">
        <v>29722.833333333332</v>
      </c>
      <c r="F64" s="14">
        <v>29722.833333333332</v>
      </c>
      <c r="G64" s="14">
        <v>29722.833333333332</v>
      </c>
      <c r="H64" s="14">
        <v>0</v>
      </c>
      <c r="I64" s="16">
        <f>SUM(C64:H64)</f>
        <v>148614.16666666666</v>
      </c>
      <c r="J64" s="16">
        <f>AVERAGE(C64:H64)</f>
        <v>24769.027777777777</v>
      </c>
      <c r="K64" s="13">
        <f>I64/I13</f>
        <v>2.4924644797571414E-2</v>
      </c>
    </row>
    <row r="65" spans="1:11" ht="12.75" customHeight="1" x14ac:dyDescent="0.15">
      <c r="A65" s="38" t="s">
        <v>123</v>
      </c>
      <c r="B65" s="38"/>
      <c r="C65" s="14">
        <f t="shared" ref="C65:H65" si="12">SUM(C62-(C63+C64))</f>
        <v>641141.58571428561</v>
      </c>
      <c r="D65" s="14">
        <f t="shared" si="12"/>
        <v>-146497.41428571424</v>
      </c>
      <c r="E65" s="14">
        <f t="shared" si="12"/>
        <v>95992.242857142846</v>
      </c>
      <c r="F65" s="14">
        <f t="shared" si="12"/>
        <v>-3487.0714285714494</v>
      </c>
      <c r="G65" s="14">
        <f t="shared" si="12"/>
        <v>-199104.47142857147</v>
      </c>
      <c r="H65" s="14">
        <f t="shared" si="12"/>
        <v>367008</v>
      </c>
      <c r="I65" s="16">
        <f>SUM(C65:H65)</f>
        <v>755052.87142857118</v>
      </c>
      <c r="J65" s="16">
        <f>AVERAGE(C65:H65)</f>
        <v>125842.1452380952</v>
      </c>
      <c r="K65" s="13">
        <f>I65/I13</f>
        <v>0.12663277698117717</v>
      </c>
    </row>
    <row r="66" spans="1:11" x14ac:dyDescent="0.15">
      <c r="A66" s="11"/>
      <c r="B66" s="29" t="s">
        <v>46</v>
      </c>
      <c r="C66" s="11"/>
      <c r="D66" s="11"/>
      <c r="E66" s="11"/>
      <c r="F66" s="11"/>
      <c r="G66" s="11"/>
      <c r="H66" s="11"/>
    </row>
    <row r="67" spans="1:11" x14ac:dyDescent="0.15">
      <c r="A67" s="12"/>
      <c r="B67" s="30"/>
      <c r="C67" s="11"/>
      <c r="D67" s="11"/>
      <c r="E67" s="11"/>
      <c r="F67" s="11"/>
      <c r="G67" s="11"/>
      <c r="H67" s="11"/>
    </row>
    <row r="68" spans="1:11" x14ac:dyDescent="0.15">
      <c r="A68" s="12"/>
      <c r="B68" s="33" t="s">
        <v>130</v>
      </c>
      <c r="C68" s="11"/>
      <c r="D68" s="11"/>
      <c r="E68" s="11"/>
      <c r="F68" s="11"/>
      <c r="G68" s="11"/>
      <c r="H68" s="11"/>
    </row>
    <row r="69" spans="1:11" x14ac:dyDescent="0.15">
      <c r="A69" s="12"/>
      <c r="B69" s="34" t="s">
        <v>131</v>
      </c>
      <c r="C69" s="11"/>
      <c r="D69" s="11"/>
      <c r="E69" s="11"/>
      <c r="F69" s="11"/>
      <c r="G69" s="11"/>
      <c r="H69" s="11"/>
    </row>
    <row r="70" spans="1:11" x14ac:dyDescent="0.15">
      <c r="A70" s="12"/>
      <c r="B70" s="34" t="s">
        <v>41</v>
      </c>
      <c r="C70" s="11"/>
      <c r="D70" s="11"/>
      <c r="E70" s="11"/>
      <c r="F70" s="11"/>
      <c r="G70" s="11"/>
      <c r="H70" s="11"/>
    </row>
    <row r="71" spans="1:11" x14ac:dyDescent="0.15">
      <c r="A71" s="11"/>
      <c r="B71" s="35" t="s">
        <v>47</v>
      </c>
      <c r="C71" s="11"/>
      <c r="D71" s="11"/>
      <c r="E71" s="11"/>
      <c r="F71" s="11"/>
      <c r="G71" s="11"/>
      <c r="H71" s="11"/>
    </row>
    <row r="72" spans="1:11" x14ac:dyDescent="0.15">
      <c r="A72" s="11"/>
      <c r="B72" s="30"/>
      <c r="C72" s="11"/>
      <c r="D72" s="11"/>
      <c r="E72" s="11"/>
      <c r="F72" s="11"/>
      <c r="G72" s="11"/>
      <c r="H72" s="11"/>
    </row>
    <row r="73" spans="1:11" x14ac:dyDescent="0.15">
      <c r="A73" s="11"/>
      <c r="B73" s="33" t="s">
        <v>130</v>
      </c>
      <c r="C73" s="11"/>
      <c r="D73" s="11"/>
      <c r="E73" s="11"/>
      <c r="F73" s="11"/>
      <c r="G73" s="11"/>
      <c r="H73" s="11"/>
    </row>
    <row r="74" spans="1:11" x14ac:dyDescent="0.15">
      <c r="A74" s="11"/>
      <c r="B74" s="34" t="s">
        <v>131</v>
      </c>
      <c r="C74" s="11"/>
      <c r="D74" s="11"/>
      <c r="E74" s="11"/>
      <c r="F74" s="11"/>
      <c r="G74" s="11"/>
      <c r="H74" s="11"/>
    </row>
    <row r="75" spans="1:11" x14ac:dyDescent="0.15">
      <c r="A75" s="11"/>
      <c r="B75" s="34" t="s">
        <v>41</v>
      </c>
      <c r="C75" s="11"/>
      <c r="D75" s="11"/>
      <c r="E75" s="11"/>
      <c r="F75" s="11"/>
      <c r="G75" s="11"/>
      <c r="H75" s="11"/>
    </row>
    <row r="76" spans="1:11" x14ac:dyDescent="0.15">
      <c r="A76" s="11"/>
      <c r="B76" s="11" t="s">
        <v>135</v>
      </c>
      <c r="C76" s="11"/>
      <c r="D76" s="11"/>
      <c r="E76" s="11"/>
      <c r="F76" s="11"/>
      <c r="G76" s="11"/>
      <c r="H76" s="11"/>
    </row>
    <row r="77" spans="1:11" x14ac:dyDescent="0.15">
      <c r="A77" s="11"/>
      <c r="B77" s="30"/>
      <c r="C77" s="11"/>
      <c r="D77" s="11"/>
      <c r="E77" s="11"/>
      <c r="F77" s="11"/>
      <c r="G77" s="11"/>
      <c r="H77" s="11"/>
    </row>
    <row r="78" spans="1:11" x14ac:dyDescent="0.15">
      <c r="A78" s="11"/>
      <c r="B78" s="33" t="s">
        <v>130</v>
      </c>
      <c r="C78" s="11"/>
      <c r="D78" s="11"/>
      <c r="E78" s="11"/>
      <c r="F78" s="11"/>
      <c r="G78" s="11"/>
      <c r="H78" s="11"/>
    </row>
    <row r="79" spans="1:11" x14ac:dyDescent="0.15">
      <c r="A79" s="11"/>
      <c r="B79" s="34" t="s">
        <v>131</v>
      </c>
      <c r="C79" s="11"/>
      <c r="D79" s="11"/>
      <c r="E79" s="11"/>
      <c r="F79" s="11"/>
      <c r="G79" s="11"/>
      <c r="H79" s="11"/>
    </row>
    <row r="80" spans="1:11" x14ac:dyDescent="0.15">
      <c r="A80" s="11"/>
      <c r="B80" s="34" t="s">
        <v>41</v>
      </c>
      <c r="C80" s="11"/>
      <c r="D80" s="11"/>
      <c r="E80" s="11"/>
      <c r="F80" s="11"/>
      <c r="G80" s="11"/>
      <c r="H80" s="11"/>
    </row>
    <row r="81" spans="1:8" x14ac:dyDescent="0.15">
      <c r="A81" s="11"/>
      <c r="B81" s="11" t="s">
        <v>139</v>
      </c>
      <c r="C81" s="11"/>
      <c r="D81" s="11"/>
      <c r="E81" s="11"/>
      <c r="F81" s="11"/>
      <c r="G81" s="11"/>
      <c r="H81" s="11"/>
    </row>
    <row r="82" spans="1:8" x14ac:dyDescent="0.15">
      <c r="A82" s="11"/>
      <c r="B82" s="30"/>
      <c r="C82" s="11"/>
      <c r="D82" s="11"/>
      <c r="E82" s="11"/>
      <c r="F82" s="11"/>
      <c r="G82" s="11"/>
      <c r="H82" s="11"/>
    </row>
    <row r="83" spans="1:8" x14ac:dyDescent="0.15">
      <c r="A83" s="11"/>
      <c r="B83" s="33" t="s">
        <v>130</v>
      </c>
      <c r="C83" s="11"/>
      <c r="D83" s="11"/>
      <c r="E83" s="11"/>
      <c r="F83" s="11"/>
      <c r="G83" s="11"/>
      <c r="H83" s="11"/>
    </row>
    <row r="84" spans="1:8" x14ac:dyDescent="0.15">
      <c r="A84" s="11"/>
      <c r="B84" s="34" t="s">
        <v>131</v>
      </c>
      <c r="C84" s="11"/>
      <c r="D84" s="11"/>
      <c r="E84" s="11"/>
      <c r="F84" s="11"/>
      <c r="G84" s="11"/>
      <c r="H84" s="11"/>
    </row>
    <row r="85" spans="1:8" x14ac:dyDescent="0.15">
      <c r="A85" s="11"/>
      <c r="B85" s="34" t="s">
        <v>41</v>
      </c>
      <c r="C85" s="11"/>
      <c r="D85" s="11"/>
      <c r="E85" s="11"/>
      <c r="F85" s="11"/>
      <c r="G85" s="11"/>
      <c r="H85" s="11"/>
    </row>
    <row r="86" spans="1:8" x14ac:dyDescent="0.15">
      <c r="A86" s="11"/>
      <c r="B86" s="11" t="s">
        <v>143</v>
      </c>
      <c r="C86" s="11"/>
      <c r="D86" s="11"/>
      <c r="E86" s="11"/>
      <c r="F86" s="11"/>
      <c r="G86" s="11"/>
      <c r="H86" s="11"/>
    </row>
    <row r="87" spans="1:8" x14ac:dyDescent="0.15">
      <c r="A87" s="11"/>
      <c r="B87" s="30"/>
      <c r="C87" s="11"/>
      <c r="D87" s="11"/>
      <c r="E87" s="11"/>
      <c r="F87" s="11"/>
      <c r="G87" s="11"/>
      <c r="H87" s="11"/>
    </row>
    <row r="88" spans="1:8" x14ac:dyDescent="0.15">
      <c r="A88" s="11"/>
      <c r="B88" s="33" t="s">
        <v>130</v>
      </c>
      <c r="C88" s="11"/>
      <c r="D88" s="11"/>
      <c r="E88" s="11"/>
      <c r="F88" s="11"/>
      <c r="G88" s="11"/>
      <c r="H88" s="11"/>
    </row>
    <row r="89" spans="1:8" x14ac:dyDescent="0.15">
      <c r="A89" s="11"/>
      <c r="B89" s="34" t="s">
        <v>131</v>
      </c>
      <c r="C89" s="11"/>
      <c r="D89" s="11"/>
      <c r="E89" s="11"/>
      <c r="F89" s="11"/>
      <c r="G89" s="11"/>
      <c r="H89" s="11"/>
    </row>
    <row r="90" spans="1:8" x14ac:dyDescent="0.15">
      <c r="A90" s="11"/>
      <c r="B90" s="34" t="s">
        <v>41</v>
      </c>
      <c r="C90" s="11"/>
      <c r="D90" s="11"/>
      <c r="E90" s="11"/>
      <c r="F90" s="11"/>
      <c r="G90" s="11"/>
      <c r="H90" s="11"/>
    </row>
    <row r="91" spans="1:8" x14ac:dyDescent="0.15">
      <c r="A91" s="11"/>
      <c r="B91" s="11"/>
      <c r="C91" s="11"/>
      <c r="D91" s="11"/>
      <c r="E91" s="11"/>
      <c r="F91" s="11"/>
      <c r="G91" s="11"/>
      <c r="H91" s="11"/>
    </row>
    <row r="92" spans="1:8" x14ac:dyDescent="0.15">
      <c r="A92" s="11"/>
      <c r="B92" s="30"/>
      <c r="C92" s="11"/>
      <c r="D92" s="11"/>
      <c r="E92" s="11"/>
      <c r="F92" s="11"/>
      <c r="G92" s="11"/>
      <c r="H92" s="11"/>
    </row>
    <row r="93" spans="1:8" x14ac:dyDescent="0.15">
      <c r="A93" s="11"/>
      <c r="B93" s="33" t="s">
        <v>130</v>
      </c>
      <c r="C93" s="11"/>
      <c r="D93" s="11"/>
      <c r="E93" s="11"/>
      <c r="F93" s="11"/>
      <c r="G93" s="11"/>
      <c r="H93" s="11"/>
    </row>
    <row r="94" spans="1:8" x14ac:dyDescent="0.15">
      <c r="B94" s="34" t="s">
        <v>131</v>
      </c>
    </row>
    <row r="95" spans="1:8" x14ac:dyDescent="0.15">
      <c r="B95" s="34" t="s">
        <v>41</v>
      </c>
    </row>
    <row r="97" spans="2:2" x14ac:dyDescent="0.15">
      <c r="B97" s="30"/>
    </row>
    <row r="98" spans="2:2" x14ac:dyDescent="0.15">
      <c r="B98" s="33" t="s">
        <v>130</v>
      </c>
    </row>
    <row r="99" spans="2:2" x14ac:dyDescent="0.15">
      <c r="B99" s="34" t="s">
        <v>131</v>
      </c>
    </row>
    <row r="100" spans="2:2" x14ac:dyDescent="0.15">
      <c r="B100" s="34" t="s">
        <v>41</v>
      </c>
    </row>
    <row r="102" spans="2:2" x14ac:dyDescent="0.15">
      <c r="B102" s="30"/>
    </row>
    <row r="103" spans="2:2" x14ac:dyDescent="0.15">
      <c r="B103" s="33" t="s">
        <v>130</v>
      </c>
    </row>
    <row r="104" spans="2:2" x14ac:dyDescent="0.15">
      <c r="B104" s="34" t="s">
        <v>131</v>
      </c>
    </row>
    <row r="105" spans="2:2" x14ac:dyDescent="0.15">
      <c r="B105" s="34" t="s">
        <v>41</v>
      </c>
    </row>
    <row r="107" spans="2:2" x14ac:dyDescent="0.15">
      <c r="B107" s="11" t="s">
        <v>156</v>
      </c>
    </row>
  </sheetData>
  <mergeCells count="26">
    <mergeCell ref="A64:B64"/>
    <mergeCell ref="A65:B65"/>
    <mergeCell ref="A43:A47"/>
    <mergeCell ref="A48:A53"/>
    <mergeCell ref="A54:A60"/>
    <mergeCell ref="A61:B61"/>
    <mergeCell ref="A62:B62"/>
    <mergeCell ref="A63:B63"/>
    <mergeCell ref="A15:B15"/>
    <mergeCell ref="A16:B16"/>
    <mergeCell ref="A17:A23"/>
    <mergeCell ref="A24:A29"/>
    <mergeCell ref="A30:A35"/>
    <mergeCell ref="A36:A42"/>
    <mergeCell ref="A9:B9"/>
    <mergeCell ref="A10:B10"/>
    <mergeCell ref="A11:B11"/>
    <mergeCell ref="A12:B12"/>
    <mergeCell ref="A13:B13"/>
    <mergeCell ref="A14:B14"/>
    <mergeCell ref="A3:B3"/>
    <mergeCell ref="A4:B4"/>
    <mergeCell ref="A5:B5"/>
    <mergeCell ref="A6:B6"/>
    <mergeCell ref="A7:B7"/>
    <mergeCell ref="A8:B8"/>
  </mergeCells>
  <phoneticPr fontId="3"/>
  <pageMargins left="0.6692913385826772" right="0.19685039370078741" top="0.31496062992125984" bottom="0.35433070866141736" header="0.19685039370078741" footer="0.19685039370078741"/>
  <pageSetup paperSize="12" scale="90" orientation="landscape" r:id="rId1"/>
  <headerFooter alignWithMargins="0"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print="0" autoLine="0" r:id="rId5">
            <anchor>
              <from>
                <xdr:col>0</xdr:col>
                <xdr:colOff>19050</xdr:colOff>
                <xdr:row>2</xdr:row>
                <xdr:rowOff>28575</xdr:rowOff>
              </from>
              <to>
                <xdr:col>1</xdr:col>
                <xdr:colOff>485775</xdr:colOff>
                <xdr:row>3</xdr:row>
                <xdr:rowOff>142875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0E9F6-EA77-41B6-9EF9-D681EAD15B16}">
  <sheetPr codeName="Sheet7"/>
  <dimension ref="A1:K107"/>
  <sheetViews>
    <sheetView topLeftCell="A49" workbookViewId="0">
      <selection activeCell="I62" sqref="I62"/>
    </sheetView>
  </sheetViews>
  <sheetFormatPr defaultRowHeight="13.5" x14ac:dyDescent="0.15"/>
  <cols>
    <col min="1" max="1" width="2.875" style="1" bestFit="1" customWidth="1"/>
    <col min="2" max="2" width="17.625" style="1" bestFit="1" customWidth="1"/>
    <col min="3" max="8" width="11" style="1" bestFit="1" customWidth="1"/>
    <col min="9" max="9" width="13.25" style="1" bestFit="1" customWidth="1"/>
    <col min="10" max="10" width="10.375" style="1" bestFit="1" customWidth="1"/>
    <col min="11" max="11" width="11" style="1" bestFit="1" customWidth="1"/>
    <col min="12" max="216" width="9" style="1"/>
    <col min="217" max="217" width="2.875" style="1" bestFit="1" customWidth="1"/>
    <col min="218" max="218" width="17.625" style="1" bestFit="1" customWidth="1"/>
    <col min="219" max="219" width="11.375" style="1" bestFit="1" customWidth="1"/>
    <col min="220" max="221" width="14.125" style="1" bestFit="1" customWidth="1"/>
    <col min="222" max="222" width="11.375" style="1" bestFit="1" customWidth="1"/>
    <col min="223" max="226" width="12.5" style="1" bestFit="1" customWidth="1"/>
    <col min="227" max="245" width="13" style="1" bestFit="1" customWidth="1"/>
    <col min="246" max="249" width="11" style="1" bestFit="1" customWidth="1"/>
    <col min="250" max="252" width="12.25" style="1" bestFit="1" customWidth="1"/>
    <col min="253" max="264" width="11" style="1" bestFit="1" customWidth="1"/>
    <col min="265" max="265" width="13.25" style="1" bestFit="1" customWidth="1"/>
    <col min="266" max="266" width="10.375" style="1" bestFit="1" customWidth="1"/>
    <col min="267" max="267" width="11" style="1" bestFit="1" customWidth="1"/>
    <col min="268" max="472" width="9" style="1"/>
    <col min="473" max="473" width="2.875" style="1" bestFit="1" customWidth="1"/>
    <col min="474" max="474" width="17.625" style="1" bestFit="1" customWidth="1"/>
    <col min="475" max="475" width="11.375" style="1" bestFit="1" customWidth="1"/>
    <col min="476" max="477" width="14.125" style="1" bestFit="1" customWidth="1"/>
    <col min="478" max="478" width="11.375" style="1" bestFit="1" customWidth="1"/>
    <col min="479" max="482" width="12.5" style="1" bestFit="1" customWidth="1"/>
    <col min="483" max="501" width="13" style="1" bestFit="1" customWidth="1"/>
    <col min="502" max="505" width="11" style="1" bestFit="1" customWidth="1"/>
    <col min="506" max="508" width="12.25" style="1" bestFit="1" customWidth="1"/>
    <col min="509" max="520" width="11" style="1" bestFit="1" customWidth="1"/>
    <col min="521" max="521" width="13.25" style="1" bestFit="1" customWidth="1"/>
    <col min="522" max="522" width="10.375" style="1" bestFit="1" customWidth="1"/>
    <col min="523" max="523" width="11" style="1" bestFit="1" customWidth="1"/>
    <col min="524" max="728" width="9" style="1"/>
    <col min="729" max="729" width="2.875" style="1" bestFit="1" customWidth="1"/>
    <col min="730" max="730" width="17.625" style="1" bestFit="1" customWidth="1"/>
    <col min="731" max="731" width="11.375" style="1" bestFit="1" customWidth="1"/>
    <col min="732" max="733" width="14.125" style="1" bestFit="1" customWidth="1"/>
    <col min="734" max="734" width="11.375" style="1" bestFit="1" customWidth="1"/>
    <col min="735" max="738" width="12.5" style="1" bestFit="1" customWidth="1"/>
    <col min="739" max="757" width="13" style="1" bestFit="1" customWidth="1"/>
    <col min="758" max="761" width="11" style="1" bestFit="1" customWidth="1"/>
    <col min="762" max="764" width="12.25" style="1" bestFit="1" customWidth="1"/>
    <col min="765" max="776" width="11" style="1" bestFit="1" customWidth="1"/>
    <col min="777" max="777" width="13.25" style="1" bestFit="1" customWidth="1"/>
    <col min="778" max="778" width="10.375" style="1" bestFit="1" customWidth="1"/>
    <col min="779" max="779" width="11" style="1" bestFit="1" customWidth="1"/>
    <col min="780" max="984" width="9" style="1"/>
    <col min="985" max="985" width="2.875" style="1" bestFit="1" customWidth="1"/>
    <col min="986" max="986" width="17.625" style="1" bestFit="1" customWidth="1"/>
    <col min="987" max="987" width="11.375" style="1" bestFit="1" customWidth="1"/>
    <col min="988" max="989" width="14.125" style="1" bestFit="1" customWidth="1"/>
    <col min="990" max="990" width="11.375" style="1" bestFit="1" customWidth="1"/>
    <col min="991" max="994" width="12.5" style="1" bestFit="1" customWidth="1"/>
    <col min="995" max="1013" width="13" style="1" bestFit="1" customWidth="1"/>
    <col min="1014" max="1017" width="11" style="1" bestFit="1" customWidth="1"/>
    <col min="1018" max="1020" width="12.25" style="1" bestFit="1" customWidth="1"/>
    <col min="1021" max="1032" width="11" style="1" bestFit="1" customWidth="1"/>
    <col min="1033" max="1033" width="13.25" style="1" bestFit="1" customWidth="1"/>
    <col min="1034" max="1034" width="10.375" style="1" bestFit="1" customWidth="1"/>
    <col min="1035" max="1035" width="11" style="1" bestFit="1" customWidth="1"/>
    <col min="1036" max="1240" width="9" style="1"/>
    <col min="1241" max="1241" width="2.875" style="1" bestFit="1" customWidth="1"/>
    <col min="1242" max="1242" width="17.625" style="1" bestFit="1" customWidth="1"/>
    <col min="1243" max="1243" width="11.375" style="1" bestFit="1" customWidth="1"/>
    <col min="1244" max="1245" width="14.125" style="1" bestFit="1" customWidth="1"/>
    <col min="1246" max="1246" width="11.375" style="1" bestFit="1" customWidth="1"/>
    <col min="1247" max="1250" width="12.5" style="1" bestFit="1" customWidth="1"/>
    <col min="1251" max="1269" width="13" style="1" bestFit="1" customWidth="1"/>
    <col min="1270" max="1273" width="11" style="1" bestFit="1" customWidth="1"/>
    <col min="1274" max="1276" width="12.25" style="1" bestFit="1" customWidth="1"/>
    <col min="1277" max="1288" width="11" style="1" bestFit="1" customWidth="1"/>
    <col min="1289" max="1289" width="13.25" style="1" bestFit="1" customWidth="1"/>
    <col min="1290" max="1290" width="10.375" style="1" bestFit="1" customWidth="1"/>
    <col min="1291" max="1291" width="11" style="1" bestFit="1" customWidth="1"/>
    <col min="1292" max="1496" width="9" style="1"/>
    <col min="1497" max="1497" width="2.875" style="1" bestFit="1" customWidth="1"/>
    <col min="1498" max="1498" width="17.625" style="1" bestFit="1" customWidth="1"/>
    <col min="1499" max="1499" width="11.375" style="1" bestFit="1" customWidth="1"/>
    <col min="1500" max="1501" width="14.125" style="1" bestFit="1" customWidth="1"/>
    <col min="1502" max="1502" width="11.375" style="1" bestFit="1" customWidth="1"/>
    <col min="1503" max="1506" width="12.5" style="1" bestFit="1" customWidth="1"/>
    <col min="1507" max="1525" width="13" style="1" bestFit="1" customWidth="1"/>
    <col min="1526" max="1529" width="11" style="1" bestFit="1" customWidth="1"/>
    <col min="1530" max="1532" width="12.25" style="1" bestFit="1" customWidth="1"/>
    <col min="1533" max="1544" width="11" style="1" bestFit="1" customWidth="1"/>
    <col min="1545" max="1545" width="13.25" style="1" bestFit="1" customWidth="1"/>
    <col min="1546" max="1546" width="10.375" style="1" bestFit="1" customWidth="1"/>
    <col min="1547" max="1547" width="11" style="1" bestFit="1" customWidth="1"/>
    <col min="1548" max="1752" width="9" style="1"/>
    <col min="1753" max="1753" width="2.875" style="1" bestFit="1" customWidth="1"/>
    <col min="1754" max="1754" width="17.625" style="1" bestFit="1" customWidth="1"/>
    <col min="1755" max="1755" width="11.375" style="1" bestFit="1" customWidth="1"/>
    <col min="1756" max="1757" width="14.125" style="1" bestFit="1" customWidth="1"/>
    <col min="1758" max="1758" width="11.375" style="1" bestFit="1" customWidth="1"/>
    <col min="1759" max="1762" width="12.5" style="1" bestFit="1" customWidth="1"/>
    <col min="1763" max="1781" width="13" style="1" bestFit="1" customWidth="1"/>
    <col min="1782" max="1785" width="11" style="1" bestFit="1" customWidth="1"/>
    <col min="1786" max="1788" width="12.25" style="1" bestFit="1" customWidth="1"/>
    <col min="1789" max="1800" width="11" style="1" bestFit="1" customWidth="1"/>
    <col min="1801" max="1801" width="13.25" style="1" bestFit="1" customWidth="1"/>
    <col min="1802" max="1802" width="10.375" style="1" bestFit="1" customWidth="1"/>
    <col min="1803" max="1803" width="11" style="1" bestFit="1" customWidth="1"/>
    <col min="1804" max="2008" width="9" style="1"/>
    <col min="2009" max="2009" width="2.875" style="1" bestFit="1" customWidth="1"/>
    <col min="2010" max="2010" width="17.625" style="1" bestFit="1" customWidth="1"/>
    <col min="2011" max="2011" width="11.375" style="1" bestFit="1" customWidth="1"/>
    <col min="2012" max="2013" width="14.125" style="1" bestFit="1" customWidth="1"/>
    <col min="2014" max="2014" width="11.375" style="1" bestFit="1" customWidth="1"/>
    <col min="2015" max="2018" width="12.5" style="1" bestFit="1" customWidth="1"/>
    <col min="2019" max="2037" width="13" style="1" bestFit="1" customWidth="1"/>
    <col min="2038" max="2041" width="11" style="1" bestFit="1" customWidth="1"/>
    <col min="2042" max="2044" width="12.25" style="1" bestFit="1" customWidth="1"/>
    <col min="2045" max="2056" width="11" style="1" bestFit="1" customWidth="1"/>
    <col min="2057" max="2057" width="13.25" style="1" bestFit="1" customWidth="1"/>
    <col min="2058" max="2058" width="10.375" style="1" bestFit="1" customWidth="1"/>
    <col min="2059" max="2059" width="11" style="1" bestFit="1" customWidth="1"/>
    <col min="2060" max="2264" width="9" style="1"/>
    <col min="2265" max="2265" width="2.875" style="1" bestFit="1" customWidth="1"/>
    <col min="2266" max="2266" width="17.625" style="1" bestFit="1" customWidth="1"/>
    <col min="2267" max="2267" width="11.375" style="1" bestFit="1" customWidth="1"/>
    <col min="2268" max="2269" width="14.125" style="1" bestFit="1" customWidth="1"/>
    <col min="2270" max="2270" width="11.375" style="1" bestFit="1" customWidth="1"/>
    <col min="2271" max="2274" width="12.5" style="1" bestFit="1" customWidth="1"/>
    <col min="2275" max="2293" width="13" style="1" bestFit="1" customWidth="1"/>
    <col min="2294" max="2297" width="11" style="1" bestFit="1" customWidth="1"/>
    <col min="2298" max="2300" width="12.25" style="1" bestFit="1" customWidth="1"/>
    <col min="2301" max="2312" width="11" style="1" bestFit="1" customWidth="1"/>
    <col min="2313" max="2313" width="13.25" style="1" bestFit="1" customWidth="1"/>
    <col min="2314" max="2314" width="10.375" style="1" bestFit="1" customWidth="1"/>
    <col min="2315" max="2315" width="11" style="1" bestFit="1" customWidth="1"/>
    <col min="2316" max="2520" width="9" style="1"/>
    <col min="2521" max="2521" width="2.875" style="1" bestFit="1" customWidth="1"/>
    <col min="2522" max="2522" width="17.625" style="1" bestFit="1" customWidth="1"/>
    <col min="2523" max="2523" width="11.375" style="1" bestFit="1" customWidth="1"/>
    <col min="2524" max="2525" width="14.125" style="1" bestFit="1" customWidth="1"/>
    <col min="2526" max="2526" width="11.375" style="1" bestFit="1" customWidth="1"/>
    <col min="2527" max="2530" width="12.5" style="1" bestFit="1" customWidth="1"/>
    <col min="2531" max="2549" width="13" style="1" bestFit="1" customWidth="1"/>
    <col min="2550" max="2553" width="11" style="1" bestFit="1" customWidth="1"/>
    <col min="2554" max="2556" width="12.25" style="1" bestFit="1" customWidth="1"/>
    <col min="2557" max="2568" width="11" style="1" bestFit="1" customWidth="1"/>
    <col min="2569" max="2569" width="13.25" style="1" bestFit="1" customWidth="1"/>
    <col min="2570" max="2570" width="10.375" style="1" bestFit="1" customWidth="1"/>
    <col min="2571" max="2571" width="11" style="1" bestFit="1" customWidth="1"/>
    <col min="2572" max="2776" width="9" style="1"/>
    <col min="2777" max="2777" width="2.875" style="1" bestFit="1" customWidth="1"/>
    <col min="2778" max="2778" width="17.625" style="1" bestFit="1" customWidth="1"/>
    <col min="2779" max="2779" width="11.375" style="1" bestFit="1" customWidth="1"/>
    <col min="2780" max="2781" width="14.125" style="1" bestFit="1" customWidth="1"/>
    <col min="2782" max="2782" width="11.375" style="1" bestFit="1" customWidth="1"/>
    <col min="2783" max="2786" width="12.5" style="1" bestFit="1" customWidth="1"/>
    <col min="2787" max="2805" width="13" style="1" bestFit="1" customWidth="1"/>
    <col min="2806" max="2809" width="11" style="1" bestFit="1" customWidth="1"/>
    <col min="2810" max="2812" width="12.25" style="1" bestFit="1" customWidth="1"/>
    <col min="2813" max="2824" width="11" style="1" bestFit="1" customWidth="1"/>
    <col min="2825" max="2825" width="13.25" style="1" bestFit="1" customWidth="1"/>
    <col min="2826" max="2826" width="10.375" style="1" bestFit="1" customWidth="1"/>
    <col min="2827" max="2827" width="11" style="1" bestFit="1" customWidth="1"/>
    <col min="2828" max="3032" width="9" style="1"/>
    <col min="3033" max="3033" width="2.875" style="1" bestFit="1" customWidth="1"/>
    <col min="3034" max="3034" width="17.625" style="1" bestFit="1" customWidth="1"/>
    <col min="3035" max="3035" width="11.375" style="1" bestFit="1" customWidth="1"/>
    <col min="3036" max="3037" width="14.125" style="1" bestFit="1" customWidth="1"/>
    <col min="3038" max="3038" width="11.375" style="1" bestFit="1" customWidth="1"/>
    <col min="3039" max="3042" width="12.5" style="1" bestFit="1" customWidth="1"/>
    <col min="3043" max="3061" width="13" style="1" bestFit="1" customWidth="1"/>
    <col min="3062" max="3065" width="11" style="1" bestFit="1" customWidth="1"/>
    <col min="3066" max="3068" width="12.25" style="1" bestFit="1" customWidth="1"/>
    <col min="3069" max="3080" width="11" style="1" bestFit="1" customWidth="1"/>
    <col min="3081" max="3081" width="13.25" style="1" bestFit="1" customWidth="1"/>
    <col min="3082" max="3082" width="10.375" style="1" bestFit="1" customWidth="1"/>
    <col min="3083" max="3083" width="11" style="1" bestFit="1" customWidth="1"/>
    <col min="3084" max="3288" width="9" style="1"/>
    <col min="3289" max="3289" width="2.875" style="1" bestFit="1" customWidth="1"/>
    <col min="3290" max="3290" width="17.625" style="1" bestFit="1" customWidth="1"/>
    <col min="3291" max="3291" width="11.375" style="1" bestFit="1" customWidth="1"/>
    <col min="3292" max="3293" width="14.125" style="1" bestFit="1" customWidth="1"/>
    <col min="3294" max="3294" width="11.375" style="1" bestFit="1" customWidth="1"/>
    <col min="3295" max="3298" width="12.5" style="1" bestFit="1" customWidth="1"/>
    <col min="3299" max="3317" width="13" style="1" bestFit="1" customWidth="1"/>
    <col min="3318" max="3321" width="11" style="1" bestFit="1" customWidth="1"/>
    <col min="3322" max="3324" width="12.25" style="1" bestFit="1" customWidth="1"/>
    <col min="3325" max="3336" width="11" style="1" bestFit="1" customWidth="1"/>
    <col min="3337" max="3337" width="13.25" style="1" bestFit="1" customWidth="1"/>
    <col min="3338" max="3338" width="10.375" style="1" bestFit="1" customWidth="1"/>
    <col min="3339" max="3339" width="11" style="1" bestFit="1" customWidth="1"/>
    <col min="3340" max="3544" width="9" style="1"/>
    <col min="3545" max="3545" width="2.875" style="1" bestFit="1" customWidth="1"/>
    <col min="3546" max="3546" width="17.625" style="1" bestFit="1" customWidth="1"/>
    <col min="3547" max="3547" width="11.375" style="1" bestFit="1" customWidth="1"/>
    <col min="3548" max="3549" width="14.125" style="1" bestFit="1" customWidth="1"/>
    <col min="3550" max="3550" width="11.375" style="1" bestFit="1" customWidth="1"/>
    <col min="3551" max="3554" width="12.5" style="1" bestFit="1" customWidth="1"/>
    <col min="3555" max="3573" width="13" style="1" bestFit="1" customWidth="1"/>
    <col min="3574" max="3577" width="11" style="1" bestFit="1" customWidth="1"/>
    <col min="3578" max="3580" width="12.25" style="1" bestFit="1" customWidth="1"/>
    <col min="3581" max="3592" width="11" style="1" bestFit="1" customWidth="1"/>
    <col min="3593" max="3593" width="13.25" style="1" bestFit="1" customWidth="1"/>
    <col min="3594" max="3594" width="10.375" style="1" bestFit="1" customWidth="1"/>
    <col min="3595" max="3595" width="11" style="1" bestFit="1" customWidth="1"/>
    <col min="3596" max="3800" width="9" style="1"/>
    <col min="3801" max="3801" width="2.875" style="1" bestFit="1" customWidth="1"/>
    <col min="3802" max="3802" width="17.625" style="1" bestFit="1" customWidth="1"/>
    <col min="3803" max="3803" width="11.375" style="1" bestFit="1" customWidth="1"/>
    <col min="3804" max="3805" width="14.125" style="1" bestFit="1" customWidth="1"/>
    <col min="3806" max="3806" width="11.375" style="1" bestFit="1" customWidth="1"/>
    <col min="3807" max="3810" width="12.5" style="1" bestFit="1" customWidth="1"/>
    <col min="3811" max="3829" width="13" style="1" bestFit="1" customWidth="1"/>
    <col min="3830" max="3833" width="11" style="1" bestFit="1" customWidth="1"/>
    <col min="3834" max="3836" width="12.25" style="1" bestFit="1" customWidth="1"/>
    <col min="3837" max="3848" width="11" style="1" bestFit="1" customWidth="1"/>
    <col min="3849" max="3849" width="13.25" style="1" bestFit="1" customWidth="1"/>
    <col min="3850" max="3850" width="10.375" style="1" bestFit="1" customWidth="1"/>
    <col min="3851" max="3851" width="11" style="1" bestFit="1" customWidth="1"/>
    <col min="3852" max="4056" width="9" style="1"/>
    <col min="4057" max="4057" width="2.875" style="1" bestFit="1" customWidth="1"/>
    <col min="4058" max="4058" width="17.625" style="1" bestFit="1" customWidth="1"/>
    <col min="4059" max="4059" width="11.375" style="1" bestFit="1" customWidth="1"/>
    <col min="4060" max="4061" width="14.125" style="1" bestFit="1" customWidth="1"/>
    <col min="4062" max="4062" width="11.375" style="1" bestFit="1" customWidth="1"/>
    <col min="4063" max="4066" width="12.5" style="1" bestFit="1" customWidth="1"/>
    <col min="4067" max="4085" width="13" style="1" bestFit="1" customWidth="1"/>
    <col min="4086" max="4089" width="11" style="1" bestFit="1" customWidth="1"/>
    <col min="4090" max="4092" width="12.25" style="1" bestFit="1" customWidth="1"/>
    <col min="4093" max="4104" width="11" style="1" bestFit="1" customWidth="1"/>
    <col min="4105" max="4105" width="13.25" style="1" bestFit="1" customWidth="1"/>
    <col min="4106" max="4106" width="10.375" style="1" bestFit="1" customWidth="1"/>
    <col min="4107" max="4107" width="11" style="1" bestFit="1" customWidth="1"/>
    <col min="4108" max="4312" width="9" style="1"/>
    <col min="4313" max="4313" width="2.875" style="1" bestFit="1" customWidth="1"/>
    <col min="4314" max="4314" width="17.625" style="1" bestFit="1" customWidth="1"/>
    <col min="4315" max="4315" width="11.375" style="1" bestFit="1" customWidth="1"/>
    <col min="4316" max="4317" width="14.125" style="1" bestFit="1" customWidth="1"/>
    <col min="4318" max="4318" width="11.375" style="1" bestFit="1" customWidth="1"/>
    <col min="4319" max="4322" width="12.5" style="1" bestFit="1" customWidth="1"/>
    <col min="4323" max="4341" width="13" style="1" bestFit="1" customWidth="1"/>
    <col min="4342" max="4345" width="11" style="1" bestFit="1" customWidth="1"/>
    <col min="4346" max="4348" width="12.25" style="1" bestFit="1" customWidth="1"/>
    <col min="4349" max="4360" width="11" style="1" bestFit="1" customWidth="1"/>
    <col min="4361" max="4361" width="13.25" style="1" bestFit="1" customWidth="1"/>
    <col min="4362" max="4362" width="10.375" style="1" bestFit="1" customWidth="1"/>
    <col min="4363" max="4363" width="11" style="1" bestFit="1" customWidth="1"/>
    <col min="4364" max="4568" width="9" style="1"/>
    <col min="4569" max="4569" width="2.875" style="1" bestFit="1" customWidth="1"/>
    <col min="4570" max="4570" width="17.625" style="1" bestFit="1" customWidth="1"/>
    <col min="4571" max="4571" width="11.375" style="1" bestFit="1" customWidth="1"/>
    <col min="4572" max="4573" width="14.125" style="1" bestFit="1" customWidth="1"/>
    <col min="4574" max="4574" width="11.375" style="1" bestFit="1" customWidth="1"/>
    <col min="4575" max="4578" width="12.5" style="1" bestFit="1" customWidth="1"/>
    <col min="4579" max="4597" width="13" style="1" bestFit="1" customWidth="1"/>
    <col min="4598" max="4601" width="11" style="1" bestFit="1" customWidth="1"/>
    <col min="4602" max="4604" width="12.25" style="1" bestFit="1" customWidth="1"/>
    <col min="4605" max="4616" width="11" style="1" bestFit="1" customWidth="1"/>
    <col min="4617" max="4617" width="13.25" style="1" bestFit="1" customWidth="1"/>
    <col min="4618" max="4618" width="10.375" style="1" bestFit="1" customWidth="1"/>
    <col min="4619" max="4619" width="11" style="1" bestFit="1" customWidth="1"/>
    <col min="4620" max="4824" width="9" style="1"/>
    <col min="4825" max="4825" width="2.875" style="1" bestFit="1" customWidth="1"/>
    <col min="4826" max="4826" width="17.625" style="1" bestFit="1" customWidth="1"/>
    <col min="4827" max="4827" width="11.375" style="1" bestFit="1" customWidth="1"/>
    <col min="4828" max="4829" width="14.125" style="1" bestFit="1" customWidth="1"/>
    <col min="4830" max="4830" width="11.375" style="1" bestFit="1" customWidth="1"/>
    <col min="4831" max="4834" width="12.5" style="1" bestFit="1" customWidth="1"/>
    <col min="4835" max="4853" width="13" style="1" bestFit="1" customWidth="1"/>
    <col min="4854" max="4857" width="11" style="1" bestFit="1" customWidth="1"/>
    <col min="4858" max="4860" width="12.25" style="1" bestFit="1" customWidth="1"/>
    <col min="4861" max="4872" width="11" style="1" bestFit="1" customWidth="1"/>
    <col min="4873" max="4873" width="13.25" style="1" bestFit="1" customWidth="1"/>
    <col min="4874" max="4874" width="10.375" style="1" bestFit="1" customWidth="1"/>
    <col min="4875" max="4875" width="11" style="1" bestFit="1" customWidth="1"/>
    <col min="4876" max="5080" width="9" style="1"/>
    <col min="5081" max="5081" width="2.875" style="1" bestFit="1" customWidth="1"/>
    <col min="5082" max="5082" width="17.625" style="1" bestFit="1" customWidth="1"/>
    <col min="5083" max="5083" width="11.375" style="1" bestFit="1" customWidth="1"/>
    <col min="5084" max="5085" width="14.125" style="1" bestFit="1" customWidth="1"/>
    <col min="5086" max="5086" width="11.375" style="1" bestFit="1" customWidth="1"/>
    <col min="5087" max="5090" width="12.5" style="1" bestFit="1" customWidth="1"/>
    <col min="5091" max="5109" width="13" style="1" bestFit="1" customWidth="1"/>
    <col min="5110" max="5113" width="11" style="1" bestFit="1" customWidth="1"/>
    <col min="5114" max="5116" width="12.25" style="1" bestFit="1" customWidth="1"/>
    <col min="5117" max="5128" width="11" style="1" bestFit="1" customWidth="1"/>
    <col min="5129" max="5129" width="13.25" style="1" bestFit="1" customWidth="1"/>
    <col min="5130" max="5130" width="10.375" style="1" bestFit="1" customWidth="1"/>
    <col min="5131" max="5131" width="11" style="1" bestFit="1" customWidth="1"/>
    <col min="5132" max="5336" width="9" style="1"/>
    <col min="5337" max="5337" width="2.875" style="1" bestFit="1" customWidth="1"/>
    <col min="5338" max="5338" width="17.625" style="1" bestFit="1" customWidth="1"/>
    <col min="5339" max="5339" width="11.375" style="1" bestFit="1" customWidth="1"/>
    <col min="5340" max="5341" width="14.125" style="1" bestFit="1" customWidth="1"/>
    <col min="5342" max="5342" width="11.375" style="1" bestFit="1" customWidth="1"/>
    <col min="5343" max="5346" width="12.5" style="1" bestFit="1" customWidth="1"/>
    <col min="5347" max="5365" width="13" style="1" bestFit="1" customWidth="1"/>
    <col min="5366" max="5369" width="11" style="1" bestFit="1" customWidth="1"/>
    <col min="5370" max="5372" width="12.25" style="1" bestFit="1" customWidth="1"/>
    <col min="5373" max="5384" width="11" style="1" bestFit="1" customWidth="1"/>
    <col min="5385" max="5385" width="13.25" style="1" bestFit="1" customWidth="1"/>
    <col min="5386" max="5386" width="10.375" style="1" bestFit="1" customWidth="1"/>
    <col min="5387" max="5387" width="11" style="1" bestFit="1" customWidth="1"/>
    <col min="5388" max="5592" width="9" style="1"/>
    <col min="5593" max="5593" width="2.875" style="1" bestFit="1" customWidth="1"/>
    <col min="5594" max="5594" width="17.625" style="1" bestFit="1" customWidth="1"/>
    <col min="5595" max="5595" width="11.375" style="1" bestFit="1" customWidth="1"/>
    <col min="5596" max="5597" width="14.125" style="1" bestFit="1" customWidth="1"/>
    <col min="5598" max="5598" width="11.375" style="1" bestFit="1" customWidth="1"/>
    <col min="5599" max="5602" width="12.5" style="1" bestFit="1" customWidth="1"/>
    <col min="5603" max="5621" width="13" style="1" bestFit="1" customWidth="1"/>
    <col min="5622" max="5625" width="11" style="1" bestFit="1" customWidth="1"/>
    <col min="5626" max="5628" width="12.25" style="1" bestFit="1" customWidth="1"/>
    <col min="5629" max="5640" width="11" style="1" bestFit="1" customWidth="1"/>
    <col min="5641" max="5641" width="13.25" style="1" bestFit="1" customWidth="1"/>
    <col min="5642" max="5642" width="10.375" style="1" bestFit="1" customWidth="1"/>
    <col min="5643" max="5643" width="11" style="1" bestFit="1" customWidth="1"/>
    <col min="5644" max="5848" width="9" style="1"/>
    <col min="5849" max="5849" width="2.875" style="1" bestFit="1" customWidth="1"/>
    <col min="5850" max="5850" width="17.625" style="1" bestFit="1" customWidth="1"/>
    <col min="5851" max="5851" width="11.375" style="1" bestFit="1" customWidth="1"/>
    <col min="5852" max="5853" width="14.125" style="1" bestFit="1" customWidth="1"/>
    <col min="5854" max="5854" width="11.375" style="1" bestFit="1" customWidth="1"/>
    <col min="5855" max="5858" width="12.5" style="1" bestFit="1" customWidth="1"/>
    <col min="5859" max="5877" width="13" style="1" bestFit="1" customWidth="1"/>
    <col min="5878" max="5881" width="11" style="1" bestFit="1" customWidth="1"/>
    <col min="5882" max="5884" width="12.25" style="1" bestFit="1" customWidth="1"/>
    <col min="5885" max="5896" width="11" style="1" bestFit="1" customWidth="1"/>
    <col min="5897" max="5897" width="13.25" style="1" bestFit="1" customWidth="1"/>
    <col min="5898" max="5898" width="10.375" style="1" bestFit="1" customWidth="1"/>
    <col min="5899" max="5899" width="11" style="1" bestFit="1" customWidth="1"/>
    <col min="5900" max="6104" width="9" style="1"/>
    <col min="6105" max="6105" width="2.875" style="1" bestFit="1" customWidth="1"/>
    <col min="6106" max="6106" width="17.625" style="1" bestFit="1" customWidth="1"/>
    <col min="6107" max="6107" width="11.375" style="1" bestFit="1" customWidth="1"/>
    <col min="6108" max="6109" width="14.125" style="1" bestFit="1" customWidth="1"/>
    <col min="6110" max="6110" width="11.375" style="1" bestFit="1" customWidth="1"/>
    <col min="6111" max="6114" width="12.5" style="1" bestFit="1" customWidth="1"/>
    <col min="6115" max="6133" width="13" style="1" bestFit="1" customWidth="1"/>
    <col min="6134" max="6137" width="11" style="1" bestFit="1" customWidth="1"/>
    <col min="6138" max="6140" width="12.25" style="1" bestFit="1" customWidth="1"/>
    <col min="6141" max="6152" width="11" style="1" bestFit="1" customWidth="1"/>
    <col min="6153" max="6153" width="13.25" style="1" bestFit="1" customWidth="1"/>
    <col min="6154" max="6154" width="10.375" style="1" bestFit="1" customWidth="1"/>
    <col min="6155" max="6155" width="11" style="1" bestFit="1" customWidth="1"/>
    <col min="6156" max="6360" width="9" style="1"/>
    <col min="6361" max="6361" width="2.875" style="1" bestFit="1" customWidth="1"/>
    <col min="6362" max="6362" width="17.625" style="1" bestFit="1" customWidth="1"/>
    <col min="6363" max="6363" width="11.375" style="1" bestFit="1" customWidth="1"/>
    <col min="6364" max="6365" width="14.125" style="1" bestFit="1" customWidth="1"/>
    <col min="6366" max="6366" width="11.375" style="1" bestFit="1" customWidth="1"/>
    <col min="6367" max="6370" width="12.5" style="1" bestFit="1" customWidth="1"/>
    <col min="6371" max="6389" width="13" style="1" bestFit="1" customWidth="1"/>
    <col min="6390" max="6393" width="11" style="1" bestFit="1" customWidth="1"/>
    <col min="6394" max="6396" width="12.25" style="1" bestFit="1" customWidth="1"/>
    <col min="6397" max="6408" width="11" style="1" bestFit="1" customWidth="1"/>
    <col min="6409" max="6409" width="13.25" style="1" bestFit="1" customWidth="1"/>
    <col min="6410" max="6410" width="10.375" style="1" bestFit="1" customWidth="1"/>
    <col min="6411" max="6411" width="11" style="1" bestFit="1" customWidth="1"/>
    <col min="6412" max="6616" width="9" style="1"/>
    <col min="6617" max="6617" width="2.875" style="1" bestFit="1" customWidth="1"/>
    <col min="6618" max="6618" width="17.625" style="1" bestFit="1" customWidth="1"/>
    <col min="6619" max="6619" width="11.375" style="1" bestFit="1" customWidth="1"/>
    <col min="6620" max="6621" width="14.125" style="1" bestFit="1" customWidth="1"/>
    <col min="6622" max="6622" width="11.375" style="1" bestFit="1" customWidth="1"/>
    <col min="6623" max="6626" width="12.5" style="1" bestFit="1" customWidth="1"/>
    <col min="6627" max="6645" width="13" style="1" bestFit="1" customWidth="1"/>
    <col min="6646" max="6649" width="11" style="1" bestFit="1" customWidth="1"/>
    <col min="6650" max="6652" width="12.25" style="1" bestFit="1" customWidth="1"/>
    <col min="6653" max="6664" width="11" style="1" bestFit="1" customWidth="1"/>
    <col min="6665" max="6665" width="13.25" style="1" bestFit="1" customWidth="1"/>
    <col min="6666" max="6666" width="10.375" style="1" bestFit="1" customWidth="1"/>
    <col min="6667" max="6667" width="11" style="1" bestFit="1" customWidth="1"/>
    <col min="6668" max="6872" width="9" style="1"/>
    <col min="6873" max="6873" width="2.875" style="1" bestFit="1" customWidth="1"/>
    <col min="6874" max="6874" width="17.625" style="1" bestFit="1" customWidth="1"/>
    <col min="6875" max="6875" width="11.375" style="1" bestFit="1" customWidth="1"/>
    <col min="6876" max="6877" width="14.125" style="1" bestFit="1" customWidth="1"/>
    <col min="6878" max="6878" width="11.375" style="1" bestFit="1" customWidth="1"/>
    <col min="6879" max="6882" width="12.5" style="1" bestFit="1" customWidth="1"/>
    <col min="6883" max="6901" width="13" style="1" bestFit="1" customWidth="1"/>
    <col min="6902" max="6905" width="11" style="1" bestFit="1" customWidth="1"/>
    <col min="6906" max="6908" width="12.25" style="1" bestFit="1" customWidth="1"/>
    <col min="6909" max="6920" width="11" style="1" bestFit="1" customWidth="1"/>
    <col min="6921" max="6921" width="13.25" style="1" bestFit="1" customWidth="1"/>
    <col min="6922" max="6922" width="10.375" style="1" bestFit="1" customWidth="1"/>
    <col min="6923" max="6923" width="11" style="1" bestFit="1" customWidth="1"/>
    <col min="6924" max="7128" width="9" style="1"/>
    <col min="7129" max="7129" width="2.875" style="1" bestFit="1" customWidth="1"/>
    <col min="7130" max="7130" width="17.625" style="1" bestFit="1" customWidth="1"/>
    <col min="7131" max="7131" width="11.375" style="1" bestFit="1" customWidth="1"/>
    <col min="7132" max="7133" width="14.125" style="1" bestFit="1" customWidth="1"/>
    <col min="7134" max="7134" width="11.375" style="1" bestFit="1" customWidth="1"/>
    <col min="7135" max="7138" width="12.5" style="1" bestFit="1" customWidth="1"/>
    <col min="7139" max="7157" width="13" style="1" bestFit="1" customWidth="1"/>
    <col min="7158" max="7161" width="11" style="1" bestFit="1" customWidth="1"/>
    <col min="7162" max="7164" width="12.25" style="1" bestFit="1" customWidth="1"/>
    <col min="7165" max="7176" width="11" style="1" bestFit="1" customWidth="1"/>
    <col min="7177" max="7177" width="13.25" style="1" bestFit="1" customWidth="1"/>
    <col min="7178" max="7178" width="10.375" style="1" bestFit="1" customWidth="1"/>
    <col min="7179" max="7179" width="11" style="1" bestFit="1" customWidth="1"/>
    <col min="7180" max="7384" width="9" style="1"/>
    <col min="7385" max="7385" width="2.875" style="1" bestFit="1" customWidth="1"/>
    <col min="7386" max="7386" width="17.625" style="1" bestFit="1" customWidth="1"/>
    <col min="7387" max="7387" width="11.375" style="1" bestFit="1" customWidth="1"/>
    <col min="7388" max="7389" width="14.125" style="1" bestFit="1" customWidth="1"/>
    <col min="7390" max="7390" width="11.375" style="1" bestFit="1" customWidth="1"/>
    <col min="7391" max="7394" width="12.5" style="1" bestFit="1" customWidth="1"/>
    <col min="7395" max="7413" width="13" style="1" bestFit="1" customWidth="1"/>
    <col min="7414" max="7417" width="11" style="1" bestFit="1" customWidth="1"/>
    <col min="7418" max="7420" width="12.25" style="1" bestFit="1" customWidth="1"/>
    <col min="7421" max="7432" width="11" style="1" bestFit="1" customWidth="1"/>
    <col min="7433" max="7433" width="13.25" style="1" bestFit="1" customWidth="1"/>
    <col min="7434" max="7434" width="10.375" style="1" bestFit="1" customWidth="1"/>
    <col min="7435" max="7435" width="11" style="1" bestFit="1" customWidth="1"/>
    <col min="7436" max="7640" width="9" style="1"/>
    <col min="7641" max="7641" width="2.875" style="1" bestFit="1" customWidth="1"/>
    <col min="7642" max="7642" width="17.625" style="1" bestFit="1" customWidth="1"/>
    <col min="7643" max="7643" width="11.375" style="1" bestFit="1" customWidth="1"/>
    <col min="7644" max="7645" width="14.125" style="1" bestFit="1" customWidth="1"/>
    <col min="7646" max="7646" width="11.375" style="1" bestFit="1" customWidth="1"/>
    <col min="7647" max="7650" width="12.5" style="1" bestFit="1" customWidth="1"/>
    <col min="7651" max="7669" width="13" style="1" bestFit="1" customWidth="1"/>
    <col min="7670" max="7673" width="11" style="1" bestFit="1" customWidth="1"/>
    <col min="7674" max="7676" width="12.25" style="1" bestFit="1" customWidth="1"/>
    <col min="7677" max="7688" width="11" style="1" bestFit="1" customWidth="1"/>
    <col min="7689" max="7689" width="13.25" style="1" bestFit="1" customWidth="1"/>
    <col min="7690" max="7690" width="10.375" style="1" bestFit="1" customWidth="1"/>
    <col min="7691" max="7691" width="11" style="1" bestFit="1" customWidth="1"/>
    <col min="7692" max="7896" width="9" style="1"/>
    <col min="7897" max="7897" width="2.875" style="1" bestFit="1" customWidth="1"/>
    <col min="7898" max="7898" width="17.625" style="1" bestFit="1" customWidth="1"/>
    <col min="7899" max="7899" width="11.375" style="1" bestFit="1" customWidth="1"/>
    <col min="7900" max="7901" width="14.125" style="1" bestFit="1" customWidth="1"/>
    <col min="7902" max="7902" width="11.375" style="1" bestFit="1" customWidth="1"/>
    <col min="7903" max="7906" width="12.5" style="1" bestFit="1" customWidth="1"/>
    <col min="7907" max="7925" width="13" style="1" bestFit="1" customWidth="1"/>
    <col min="7926" max="7929" width="11" style="1" bestFit="1" customWidth="1"/>
    <col min="7930" max="7932" width="12.25" style="1" bestFit="1" customWidth="1"/>
    <col min="7933" max="7944" width="11" style="1" bestFit="1" customWidth="1"/>
    <col min="7945" max="7945" width="13.25" style="1" bestFit="1" customWidth="1"/>
    <col min="7946" max="7946" width="10.375" style="1" bestFit="1" customWidth="1"/>
    <col min="7947" max="7947" width="11" style="1" bestFit="1" customWidth="1"/>
    <col min="7948" max="8152" width="9" style="1"/>
    <col min="8153" max="8153" width="2.875" style="1" bestFit="1" customWidth="1"/>
    <col min="8154" max="8154" width="17.625" style="1" bestFit="1" customWidth="1"/>
    <col min="8155" max="8155" width="11.375" style="1" bestFit="1" customWidth="1"/>
    <col min="8156" max="8157" width="14.125" style="1" bestFit="1" customWidth="1"/>
    <col min="8158" max="8158" width="11.375" style="1" bestFit="1" customWidth="1"/>
    <col min="8159" max="8162" width="12.5" style="1" bestFit="1" customWidth="1"/>
    <col min="8163" max="8181" width="13" style="1" bestFit="1" customWidth="1"/>
    <col min="8182" max="8185" width="11" style="1" bestFit="1" customWidth="1"/>
    <col min="8186" max="8188" width="12.25" style="1" bestFit="1" customWidth="1"/>
    <col min="8189" max="8200" width="11" style="1" bestFit="1" customWidth="1"/>
    <col min="8201" max="8201" width="13.25" style="1" bestFit="1" customWidth="1"/>
    <col min="8202" max="8202" width="10.375" style="1" bestFit="1" customWidth="1"/>
    <col min="8203" max="8203" width="11" style="1" bestFit="1" customWidth="1"/>
    <col min="8204" max="8408" width="9" style="1"/>
    <col min="8409" max="8409" width="2.875" style="1" bestFit="1" customWidth="1"/>
    <col min="8410" max="8410" width="17.625" style="1" bestFit="1" customWidth="1"/>
    <col min="8411" max="8411" width="11.375" style="1" bestFit="1" customWidth="1"/>
    <col min="8412" max="8413" width="14.125" style="1" bestFit="1" customWidth="1"/>
    <col min="8414" max="8414" width="11.375" style="1" bestFit="1" customWidth="1"/>
    <col min="8415" max="8418" width="12.5" style="1" bestFit="1" customWidth="1"/>
    <col min="8419" max="8437" width="13" style="1" bestFit="1" customWidth="1"/>
    <col min="8438" max="8441" width="11" style="1" bestFit="1" customWidth="1"/>
    <col min="8442" max="8444" width="12.25" style="1" bestFit="1" customWidth="1"/>
    <col min="8445" max="8456" width="11" style="1" bestFit="1" customWidth="1"/>
    <col min="8457" max="8457" width="13.25" style="1" bestFit="1" customWidth="1"/>
    <col min="8458" max="8458" width="10.375" style="1" bestFit="1" customWidth="1"/>
    <col min="8459" max="8459" width="11" style="1" bestFit="1" customWidth="1"/>
    <col min="8460" max="8664" width="9" style="1"/>
    <col min="8665" max="8665" width="2.875" style="1" bestFit="1" customWidth="1"/>
    <col min="8666" max="8666" width="17.625" style="1" bestFit="1" customWidth="1"/>
    <col min="8667" max="8667" width="11.375" style="1" bestFit="1" customWidth="1"/>
    <col min="8668" max="8669" width="14.125" style="1" bestFit="1" customWidth="1"/>
    <col min="8670" max="8670" width="11.375" style="1" bestFit="1" customWidth="1"/>
    <col min="8671" max="8674" width="12.5" style="1" bestFit="1" customWidth="1"/>
    <col min="8675" max="8693" width="13" style="1" bestFit="1" customWidth="1"/>
    <col min="8694" max="8697" width="11" style="1" bestFit="1" customWidth="1"/>
    <col min="8698" max="8700" width="12.25" style="1" bestFit="1" customWidth="1"/>
    <col min="8701" max="8712" width="11" style="1" bestFit="1" customWidth="1"/>
    <col min="8713" max="8713" width="13.25" style="1" bestFit="1" customWidth="1"/>
    <col min="8714" max="8714" width="10.375" style="1" bestFit="1" customWidth="1"/>
    <col min="8715" max="8715" width="11" style="1" bestFit="1" customWidth="1"/>
    <col min="8716" max="8920" width="9" style="1"/>
    <col min="8921" max="8921" width="2.875" style="1" bestFit="1" customWidth="1"/>
    <col min="8922" max="8922" width="17.625" style="1" bestFit="1" customWidth="1"/>
    <col min="8923" max="8923" width="11.375" style="1" bestFit="1" customWidth="1"/>
    <col min="8924" max="8925" width="14.125" style="1" bestFit="1" customWidth="1"/>
    <col min="8926" max="8926" width="11.375" style="1" bestFit="1" customWidth="1"/>
    <col min="8927" max="8930" width="12.5" style="1" bestFit="1" customWidth="1"/>
    <col min="8931" max="8949" width="13" style="1" bestFit="1" customWidth="1"/>
    <col min="8950" max="8953" width="11" style="1" bestFit="1" customWidth="1"/>
    <col min="8954" max="8956" width="12.25" style="1" bestFit="1" customWidth="1"/>
    <col min="8957" max="8968" width="11" style="1" bestFit="1" customWidth="1"/>
    <col min="8969" max="8969" width="13.25" style="1" bestFit="1" customWidth="1"/>
    <col min="8970" max="8970" width="10.375" style="1" bestFit="1" customWidth="1"/>
    <col min="8971" max="8971" width="11" style="1" bestFit="1" customWidth="1"/>
    <col min="8972" max="9176" width="9" style="1"/>
    <col min="9177" max="9177" width="2.875" style="1" bestFit="1" customWidth="1"/>
    <col min="9178" max="9178" width="17.625" style="1" bestFit="1" customWidth="1"/>
    <col min="9179" max="9179" width="11.375" style="1" bestFit="1" customWidth="1"/>
    <col min="9180" max="9181" width="14.125" style="1" bestFit="1" customWidth="1"/>
    <col min="9182" max="9182" width="11.375" style="1" bestFit="1" customWidth="1"/>
    <col min="9183" max="9186" width="12.5" style="1" bestFit="1" customWidth="1"/>
    <col min="9187" max="9205" width="13" style="1" bestFit="1" customWidth="1"/>
    <col min="9206" max="9209" width="11" style="1" bestFit="1" customWidth="1"/>
    <col min="9210" max="9212" width="12.25" style="1" bestFit="1" customWidth="1"/>
    <col min="9213" max="9224" width="11" style="1" bestFit="1" customWidth="1"/>
    <col min="9225" max="9225" width="13.25" style="1" bestFit="1" customWidth="1"/>
    <col min="9226" max="9226" width="10.375" style="1" bestFit="1" customWidth="1"/>
    <col min="9227" max="9227" width="11" style="1" bestFit="1" customWidth="1"/>
    <col min="9228" max="9432" width="9" style="1"/>
    <col min="9433" max="9433" width="2.875" style="1" bestFit="1" customWidth="1"/>
    <col min="9434" max="9434" width="17.625" style="1" bestFit="1" customWidth="1"/>
    <col min="9435" max="9435" width="11.375" style="1" bestFit="1" customWidth="1"/>
    <col min="9436" max="9437" width="14.125" style="1" bestFit="1" customWidth="1"/>
    <col min="9438" max="9438" width="11.375" style="1" bestFit="1" customWidth="1"/>
    <col min="9439" max="9442" width="12.5" style="1" bestFit="1" customWidth="1"/>
    <col min="9443" max="9461" width="13" style="1" bestFit="1" customWidth="1"/>
    <col min="9462" max="9465" width="11" style="1" bestFit="1" customWidth="1"/>
    <col min="9466" max="9468" width="12.25" style="1" bestFit="1" customWidth="1"/>
    <col min="9469" max="9480" width="11" style="1" bestFit="1" customWidth="1"/>
    <col min="9481" max="9481" width="13.25" style="1" bestFit="1" customWidth="1"/>
    <col min="9482" max="9482" width="10.375" style="1" bestFit="1" customWidth="1"/>
    <col min="9483" max="9483" width="11" style="1" bestFit="1" customWidth="1"/>
    <col min="9484" max="9688" width="9" style="1"/>
    <col min="9689" max="9689" width="2.875" style="1" bestFit="1" customWidth="1"/>
    <col min="9690" max="9690" width="17.625" style="1" bestFit="1" customWidth="1"/>
    <col min="9691" max="9691" width="11.375" style="1" bestFit="1" customWidth="1"/>
    <col min="9692" max="9693" width="14.125" style="1" bestFit="1" customWidth="1"/>
    <col min="9694" max="9694" width="11.375" style="1" bestFit="1" customWidth="1"/>
    <col min="9695" max="9698" width="12.5" style="1" bestFit="1" customWidth="1"/>
    <col min="9699" max="9717" width="13" style="1" bestFit="1" customWidth="1"/>
    <col min="9718" max="9721" width="11" style="1" bestFit="1" customWidth="1"/>
    <col min="9722" max="9724" width="12.25" style="1" bestFit="1" customWidth="1"/>
    <col min="9725" max="9736" width="11" style="1" bestFit="1" customWidth="1"/>
    <col min="9737" max="9737" width="13.25" style="1" bestFit="1" customWidth="1"/>
    <col min="9738" max="9738" width="10.375" style="1" bestFit="1" customWidth="1"/>
    <col min="9739" max="9739" width="11" style="1" bestFit="1" customWidth="1"/>
    <col min="9740" max="9944" width="9" style="1"/>
    <col min="9945" max="9945" width="2.875" style="1" bestFit="1" customWidth="1"/>
    <col min="9946" max="9946" width="17.625" style="1" bestFit="1" customWidth="1"/>
    <col min="9947" max="9947" width="11.375" style="1" bestFit="1" customWidth="1"/>
    <col min="9948" max="9949" width="14.125" style="1" bestFit="1" customWidth="1"/>
    <col min="9950" max="9950" width="11.375" style="1" bestFit="1" customWidth="1"/>
    <col min="9951" max="9954" width="12.5" style="1" bestFit="1" customWidth="1"/>
    <col min="9955" max="9973" width="13" style="1" bestFit="1" customWidth="1"/>
    <col min="9974" max="9977" width="11" style="1" bestFit="1" customWidth="1"/>
    <col min="9978" max="9980" width="12.25" style="1" bestFit="1" customWidth="1"/>
    <col min="9981" max="9992" width="11" style="1" bestFit="1" customWidth="1"/>
    <col min="9993" max="9993" width="13.25" style="1" bestFit="1" customWidth="1"/>
    <col min="9994" max="9994" width="10.375" style="1" bestFit="1" customWidth="1"/>
    <col min="9995" max="9995" width="11" style="1" bestFit="1" customWidth="1"/>
    <col min="9996" max="10200" width="9" style="1"/>
    <col min="10201" max="10201" width="2.875" style="1" bestFit="1" customWidth="1"/>
    <col min="10202" max="10202" width="17.625" style="1" bestFit="1" customWidth="1"/>
    <col min="10203" max="10203" width="11.375" style="1" bestFit="1" customWidth="1"/>
    <col min="10204" max="10205" width="14.125" style="1" bestFit="1" customWidth="1"/>
    <col min="10206" max="10206" width="11.375" style="1" bestFit="1" customWidth="1"/>
    <col min="10207" max="10210" width="12.5" style="1" bestFit="1" customWidth="1"/>
    <col min="10211" max="10229" width="13" style="1" bestFit="1" customWidth="1"/>
    <col min="10230" max="10233" width="11" style="1" bestFit="1" customWidth="1"/>
    <col min="10234" max="10236" width="12.25" style="1" bestFit="1" customWidth="1"/>
    <col min="10237" max="10248" width="11" style="1" bestFit="1" customWidth="1"/>
    <col min="10249" max="10249" width="13.25" style="1" bestFit="1" customWidth="1"/>
    <col min="10250" max="10250" width="10.375" style="1" bestFit="1" customWidth="1"/>
    <col min="10251" max="10251" width="11" style="1" bestFit="1" customWidth="1"/>
    <col min="10252" max="10456" width="9" style="1"/>
    <col min="10457" max="10457" width="2.875" style="1" bestFit="1" customWidth="1"/>
    <col min="10458" max="10458" width="17.625" style="1" bestFit="1" customWidth="1"/>
    <col min="10459" max="10459" width="11.375" style="1" bestFit="1" customWidth="1"/>
    <col min="10460" max="10461" width="14.125" style="1" bestFit="1" customWidth="1"/>
    <col min="10462" max="10462" width="11.375" style="1" bestFit="1" customWidth="1"/>
    <col min="10463" max="10466" width="12.5" style="1" bestFit="1" customWidth="1"/>
    <col min="10467" max="10485" width="13" style="1" bestFit="1" customWidth="1"/>
    <col min="10486" max="10489" width="11" style="1" bestFit="1" customWidth="1"/>
    <col min="10490" max="10492" width="12.25" style="1" bestFit="1" customWidth="1"/>
    <col min="10493" max="10504" width="11" style="1" bestFit="1" customWidth="1"/>
    <col min="10505" max="10505" width="13.25" style="1" bestFit="1" customWidth="1"/>
    <col min="10506" max="10506" width="10.375" style="1" bestFit="1" customWidth="1"/>
    <col min="10507" max="10507" width="11" style="1" bestFit="1" customWidth="1"/>
    <col min="10508" max="10712" width="9" style="1"/>
    <col min="10713" max="10713" width="2.875" style="1" bestFit="1" customWidth="1"/>
    <col min="10714" max="10714" width="17.625" style="1" bestFit="1" customWidth="1"/>
    <col min="10715" max="10715" width="11.375" style="1" bestFit="1" customWidth="1"/>
    <col min="10716" max="10717" width="14.125" style="1" bestFit="1" customWidth="1"/>
    <col min="10718" max="10718" width="11.375" style="1" bestFit="1" customWidth="1"/>
    <col min="10719" max="10722" width="12.5" style="1" bestFit="1" customWidth="1"/>
    <col min="10723" max="10741" width="13" style="1" bestFit="1" customWidth="1"/>
    <col min="10742" max="10745" width="11" style="1" bestFit="1" customWidth="1"/>
    <col min="10746" max="10748" width="12.25" style="1" bestFit="1" customWidth="1"/>
    <col min="10749" max="10760" width="11" style="1" bestFit="1" customWidth="1"/>
    <col min="10761" max="10761" width="13.25" style="1" bestFit="1" customWidth="1"/>
    <col min="10762" max="10762" width="10.375" style="1" bestFit="1" customWidth="1"/>
    <col min="10763" max="10763" width="11" style="1" bestFit="1" customWidth="1"/>
    <col min="10764" max="10968" width="9" style="1"/>
    <col min="10969" max="10969" width="2.875" style="1" bestFit="1" customWidth="1"/>
    <col min="10970" max="10970" width="17.625" style="1" bestFit="1" customWidth="1"/>
    <col min="10971" max="10971" width="11.375" style="1" bestFit="1" customWidth="1"/>
    <col min="10972" max="10973" width="14.125" style="1" bestFit="1" customWidth="1"/>
    <col min="10974" max="10974" width="11.375" style="1" bestFit="1" customWidth="1"/>
    <col min="10975" max="10978" width="12.5" style="1" bestFit="1" customWidth="1"/>
    <col min="10979" max="10997" width="13" style="1" bestFit="1" customWidth="1"/>
    <col min="10998" max="11001" width="11" style="1" bestFit="1" customWidth="1"/>
    <col min="11002" max="11004" width="12.25" style="1" bestFit="1" customWidth="1"/>
    <col min="11005" max="11016" width="11" style="1" bestFit="1" customWidth="1"/>
    <col min="11017" max="11017" width="13.25" style="1" bestFit="1" customWidth="1"/>
    <col min="11018" max="11018" width="10.375" style="1" bestFit="1" customWidth="1"/>
    <col min="11019" max="11019" width="11" style="1" bestFit="1" customWidth="1"/>
    <col min="11020" max="11224" width="9" style="1"/>
    <col min="11225" max="11225" width="2.875" style="1" bestFit="1" customWidth="1"/>
    <col min="11226" max="11226" width="17.625" style="1" bestFit="1" customWidth="1"/>
    <col min="11227" max="11227" width="11.375" style="1" bestFit="1" customWidth="1"/>
    <col min="11228" max="11229" width="14.125" style="1" bestFit="1" customWidth="1"/>
    <col min="11230" max="11230" width="11.375" style="1" bestFit="1" customWidth="1"/>
    <col min="11231" max="11234" width="12.5" style="1" bestFit="1" customWidth="1"/>
    <col min="11235" max="11253" width="13" style="1" bestFit="1" customWidth="1"/>
    <col min="11254" max="11257" width="11" style="1" bestFit="1" customWidth="1"/>
    <col min="11258" max="11260" width="12.25" style="1" bestFit="1" customWidth="1"/>
    <col min="11261" max="11272" width="11" style="1" bestFit="1" customWidth="1"/>
    <col min="11273" max="11273" width="13.25" style="1" bestFit="1" customWidth="1"/>
    <col min="11274" max="11274" width="10.375" style="1" bestFit="1" customWidth="1"/>
    <col min="11275" max="11275" width="11" style="1" bestFit="1" customWidth="1"/>
    <col min="11276" max="11480" width="9" style="1"/>
    <col min="11481" max="11481" width="2.875" style="1" bestFit="1" customWidth="1"/>
    <col min="11482" max="11482" width="17.625" style="1" bestFit="1" customWidth="1"/>
    <col min="11483" max="11483" width="11.375" style="1" bestFit="1" customWidth="1"/>
    <col min="11484" max="11485" width="14.125" style="1" bestFit="1" customWidth="1"/>
    <col min="11486" max="11486" width="11.375" style="1" bestFit="1" customWidth="1"/>
    <col min="11487" max="11490" width="12.5" style="1" bestFit="1" customWidth="1"/>
    <col min="11491" max="11509" width="13" style="1" bestFit="1" customWidth="1"/>
    <col min="11510" max="11513" width="11" style="1" bestFit="1" customWidth="1"/>
    <col min="11514" max="11516" width="12.25" style="1" bestFit="1" customWidth="1"/>
    <col min="11517" max="11528" width="11" style="1" bestFit="1" customWidth="1"/>
    <col min="11529" max="11529" width="13.25" style="1" bestFit="1" customWidth="1"/>
    <col min="11530" max="11530" width="10.375" style="1" bestFit="1" customWidth="1"/>
    <col min="11531" max="11531" width="11" style="1" bestFit="1" customWidth="1"/>
    <col min="11532" max="11736" width="9" style="1"/>
    <col min="11737" max="11737" width="2.875" style="1" bestFit="1" customWidth="1"/>
    <col min="11738" max="11738" width="17.625" style="1" bestFit="1" customWidth="1"/>
    <col min="11739" max="11739" width="11.375" style="1" bestFit="1" customWidth="1"/>
    <col min="11740" max="11741" width="14.125" style="1" bestFit="1" customWidth="1"/>
    <col min="11742" max="11742" width="11.375" style="1" bestFit="1" customWidth="1"/>
    <col min="11743" max="11746" width="12.5" style="1" bestFit="1" customWidth="1"/>
    <col min="11747" max="11765" width="13" style="1" bestFit="1" customWidth="1"/>
    <col min="11766" max="11769" width="11" style="1" bestFit="1" customWidth="1"/>
    <col min="11770" max="11772" width="12.25" style="1" bestFit="1" customWidth="1"/>
    <col min="11773" max="11784" width="11" style="1" bestFit="1" customWidth="1"/>
    <col min="11785" max="11785" width="13.25" style="1" bestFit="1" customWidth="1"/>
    <col min="11786" max="11786" width="10.375" style="1" bestFit="1" customWidth="1"/>
    <col min="11787" max="11787" width="11" style="1" bestFit="1" customWidth="1"/>
    <col min="11788" max="11992" width="9" style="1"/>
    <col min="11993" max="11993" width="2.875" style="1" bestFit="1" customWidth="1"/>
    <col min="11994" max="11994" width="17.625" style="1" bestFit="1" customWidth="1"/>
    <col min="11995" max="11995" width="11.375" style="1" bestFit="1" customWidth="1"/>
    <col min="11996" max="11997" width="14.125" style="1" bestFit="1" customWidth="1"/>
    <col min="11998" max="11998" width="11.375" style="1" bestFit="1" customWidth="1"/>
    <col min="11999" max="12002" width="12.5" style="1" bestFit="1" customWidth="1"/>
    <col min="12003" max="12021" width="13" style="1" bestFit="1" customWidth="1"/>
    <col min="12022" max="12025" width="11" style="1" bestFit="1" customWidth="1"/>
    <col min="12026" max="12028" width="12.25" style="1" bestFit="1" customWidth="1"/>
    <col min="12029" max="12040" width="11" style="1" bestFit="1" customWidth="1"/>
    <col min="12041" max="12041" width="13.25" style="1" bestFit="1" customWidth="1"/>
    <col min="12042" max="12042" width="10.375" style="1" bestFit="1" customWidth="1"/>
    <col min="12043" max="12043" width="11" style="1" bestFit="1" customWidth="1"/>
    <col min="12044" max="12248" width="9" style="1"/>
    <col min="12249" max="12249" width="2.875" style="1" bestFit="1" customWidth="1"/>
    <col min="12250" max="12250" width="17.625" style="1" bestFit="1" customWidth="1"/>
    <col min="12251" max="12251" width="11.375" style="1" bestFit="1" customWidth="1"/>
    <col min="12252" max="12253" width="14.125" style="1" bestFit="1" customWidth="1"/>
    <col min="12254" max="12254" width="11.375" style="1" bestFit="1" customWidth="1"/>
    <col min="12255" max="12258" width="12.5" style="1" bestFit="1" customWidth="1"/>
    <col min="12259" max="12277" width="13" style="1" bestFit="1" customWidth="1"/>
    <col min="12278" max="12281" width="11" style="1" bestFit="1" customWidth="1"/>
    <col min="12282" max="12284" width="12.25" style="1" bestFit="1" customWidth="1"/>
    <col min="12285" max="12296" width="11" style="1" bestFit="1" customWidth="1"/>
    <col min="12297" max="12297" width="13.25" style="1" bestFit="1" customWidth="1"/>
    <col min="12298" max="12298" width="10.375" style="1" bestFit="1" customWidth="1"/>
    <col min="12299" max="12299" width="11" style="1" bestFit="1" customWidth="1"/>
    <col min="12300" max="12504" width="9" style="1"/>
    <col min="12505" max="12505" width="2.875" style="1" bestFit="1" customWidth="1"/>
    <col min="12506" max="12506" width="17.625" style="1" bestFit="1" customWidth="1"/>
    <col min="12507" max="12507" width="11.375" style="1" bestFit="1" customWidth="1"/>
    <col min="12508" max="12509" width="14.125" style="1" bestFit="1" customWidth="1"/>
    <col min="12510" max="12510" width="11.375" style="1" bestFit="1" customWidth="1"/>
    <col min="12511" max="12514" width="12.5" style="1" bestFit="1" customWidth="1"/>
    <col min="12515" max="12533" width="13" style="1" bestFit="1" customWidth="1"/>
    <col min="12534" max="12537" width="11" style="1" bestFit="1" customWidth="1"/>
    <col min="12538" max="12540" width="12.25" style="1" bestFit="1" customWidth="1"/>
    <col min="12541" max="12552" width="11" style="1" bestFit="1" customWidth="1"/>
    <col min="12553" max="12553" width="13.25" style="1" bestFit="1" customWidth="1"/>
    <col min="12554" max="12554" width="10.375" style="1" bestFit="1" customWidth="1"/>
    <col min="12555" max="12555" width="11" style="1" bestFit="1" customWidth="1"/>
    <col min="12556" max="12760" width="9" style="1"/>
    <col min="12761" max="12761" width="2.875" style="1" bestFit="1" customWidth="1"/>
    <col min="12762" max="12762" width="17.625" style="1" bestFit="1" customWidth="1"/>
    <col min="12763" max="12763" width="11.375" style="1" bestFit="1" customWidth="1"/>
    <col min="12764" max="12765" width="14.125" style="1" bestFit="1" customWidth="1"/>
    <col min="12766" max="12766" width="11.375" style="1" bestFit="1" customWidth="1"/>
    <col min="12767" max="12770" width="12.5" style="1" bestFit="1" customWidth="1"/>
    <col min="12771" max="12789" width="13" style="1" bestFit="1" customWidth="1"/>
    <col min="12790" max="12793" width="11" style="1" bestFit="1" customWidth="1"/>
    <col min="12794" max="12796" width="12.25" style="1" bestFit="1" customWidth="1"/>
    <col min="12797" max="12808" width="11" style="1" bestFit="1" customWidth="1"/>
    <col min="12809" max="12809" width="13.25" style="1" bestFit="1" customWidth="1"/>
    <col min="12810" max="12810" width="10.375" style="1" bestFit="1" customWidth="1"/>
    <col min="12811" max="12811" width="11" style="1" bestFit="1" customWidth="1"/>
    <col min="12812" max="13016" width="9" style="1"/>
    <col min="13017" max="13017" width="2.875" style="1" bestFit="1" customWidth="1"/>
    <col min="13018" max="13018" width="17.625" style="1" bestFit="1" customWidth="1"/>
    <col min="13019" max="13019" width="11.375" style="1" bestFit="1" customWidth="1"/>
    <col min="13020" max="13021" width="14.125" style="1" bestFit="1" customWidth="1"/>
    <col min="13022" max="13022" width="11.375" style="1" bestFit="1" customWidth="1"/>
    <col min="13023" max="13026" width="12.5" style="1" bestFit="1" customWidth="1"/>
    <col min="13027" max="13045" width="13" style="1" bestFit="1" customWidth="1"/>
    <col min="13046" max="13049" width="11" style="1" bestFit="1" customWidth="1"/>
    <col min="13050" max="13052" width="12.25" style="1" bestFit="1" customWidth="1"/>
    <col min="13053" max="13064" width="11" style="1" bestFit="1" customWidth="1"/>
    <col min="13065" max="13065" width="13.25" style="1" bestFit="1" customWidth="1"/>
    <col min="13066" max="13066" width="10.375" style="1" bestFit="1" customWidth="1"/>
    <col min="13067" max="13067" width="11" style="1" bestFit="1" customWidth="1"/>
    <col min="13068" max="13272" width="9" style="1"/>
    <col min="13273" max="13273" width="2.875" style="1" bestFit="1" customWidth="1"/>
    <col min="13274" max="13274" width="17.625" style="1" bestFit="1" customWidth="1"/>
    <col min="13275" max="13275" width="11.375" style="1" bestFit="1" customWidth="1"/>
    <col min="13276" max="13277" width="14.125" style="1" bestFit="1" customWidth="1"/>
    <col min="13278" max="13278" width="11.375" style="1" bestFit="1" customWidth="1"/>
    <col min="13279" max="13282" width="12.5" style="1" bestFit="1" customWidth="1"/>
    <col min="13283" max="13301" width="13" style="1" bestFit="1" customWidth="1"/>
    <col min="13302" max="13305" width="11" style="1" bestFit="1" customWidth="1"/>
    <col min="13306" max="13308" width="12.25" style="1" bestFit="1" customWidth="1"/>
    <col min="13309" max="13320" width="11" style="1" bestFit="1" customWidth="1"/>
    <col min="13321" max="13321" width="13.25" style="1" bestFit="1" customWidth="1"/>
    <col min="13322" max="13322" width="10.375" style="1" bestFit="1" customWidth="1"/>
    <col min="13323" max="13323" width="11" style="1" bestFit="1" customWidth="1"/>
    <col min="13324" max="13528" width="9" style="1"/>
    <col min="13529" max="13529" width="2.875" style="1" bestFit="1" customWidth="1"/>
    <col min="13530" max="13530" width="17.625" style="1" bestFit="1" customWidth="1"/>
    <col min="13531" max="13531" width="11.375" style="1" bestFit="1" customWidth="1"/>
    <col min="13532" max="13533" width="14.125" style="1" bestFit="1" customWidth="1"/>
    <col min="13534" max="13534" width="11.375" style="1" bestFit="1" customWidth="1"/>
    <col min="13535" max="13538" width="12.5" style="1" bestFit="1" customWidth="1"/>
    <col min="13539" max="13557" width="13" style="1" bestFit="1" customWidth="1"/>
    <col min="13558" max="13561" width="11" style="1" bestFit="1" customWidth="1"/>
    <col min="13562" max="13564" width="12.25" style="1" bestFit="1" customWidth="1"/>
    <col min="13565" max="13576" width="11" style="1" bestFit="1" customWidth="1"/>
    <col min="13577" max="13577" width="13.25" style="1" bestFit="1" customWidth="1"/>
    <col min="13578" max="13578" width="10.375" style="1" bestFit="1" customWidth="1"/>
    <col min="13579" max="13579" width="11" style="1" bestFit="1" customWidth="1"/>
    <col min="13580" max="13784" width="9" style="1"/>
    <col min="13785" max="13785" width="2.875" style="1" bestFit="1" customWidth="1"/>
    <col min="13786" max="13786" width="17.625" style="1" bestFit="1" customWidth="1"/>
    <col min="13787" max="13787" width="11.375" style="1" bestFit="1" customWidth="1"/>
    <col min="13788" max="13789" width="14.125" style="1" bestFit="1" customWidth="1"/>
    <col min="13790" max="13790" width="11.375" style="1" bestFit="1" customWidth="1"/>
    <col min="13791" max="13794" width="12.5" style="1" bestFit="1" customWidth="1"/>
    <col min="13795" max="13813" width="13" style="1" bestFit="1" customWidth="1"/>
    <col min="13814" max="13817" width="11" style="1" bestFit="1" customWidth="1"/>
    <col min="13818" max="13820" width="12.25" style="1" bestFit="1" customWidth="1"/>
    <col min="13821" max="13832" width="11" style="1" bestFit="1" customWidth="1"/>
    <col min="13833" max="13833" width="13.25" style="1" bestFit="1" customWidth="1"/>
    <col min="13834" max="13834" width="10.375" style="1" bestFit="1" customWidth="1"/>
    <col min="13835" max="13835" width="11" style="1" bestFit="1" customWidth="1"/>
    <col min="13836" max="14040" width="9" style="1"/>
    <col min="14041" max="14041" width="2.875" style="1" bestFit="1" customWidth="1"/>
    <col min="14042" max="14042" width="17.625" style="1" bestFit="1" customWidth="1"/>
    <col min="14043" max="14043" width="11.375" style="1" bestFit="1" customWidth="1"/>
    <col min="14044" max="14045" width="14.125" style="1" bestFit="1" customWidth="1"/>
    <col min="14046" max="14046" width="11.375" style="1" bestFit="1" customWidth="1"/>
    <col min="14047" max="14050" width="12.5" style="1" bestFit="1" customWidth="1"/>
    <col min="14051" max="14069" width="13" style="1" bestFit="1" customWidth="1"/>
    <col min="14070" max="14073" width="11" style="1" bestFit="1" customWidth="1"/>
    <col min="14074" max="14076" width="12.25" style="1" bestFit="1" customWidth="1"/>
    <col min="14077" max="14088" width="11" style="1" bestFit="1" customWidth="1"/>
    <col min="14089" max="14089" width="13.25" style="1" bestFit="1" customWidth="1"/>
    <col min="14090" max="14090" width="10.375" style="1" bestFit="1" customWidth="1"/>
    <col min="14091" max="14091" width="11" style="1" bestFit="1" customWidth="1"/>
    <col min="14092" max="14296" width="9" style="1"/>
    <col min="14297" max="14297" width="2.875" style="1" bestFit="1" customWidth="1"/>
    <col min="14298" max="14298" width="17.625" style="1" bestFit="1" customWidth="1"/>
    <col min="14299" max="14299" width="11.375" style="1" bestFit="1" customWidth="1"/>
    <col min="14300" max="14301" width="14.125" style="1" bestFit="1" customWidth="1"/>
    <col min="14302" max="14302" width="11.375" style="1" bestFit="1" customWidth="1"/>
    <col min="14303" max="14306" width="12.5" style="1" bestFit="1" customWidth="1"/>
    <col min="14307" max="14325" width="13" style="1" bestFit="1" customWidth="1"/>
    <col min="14326" max="14329" width="11" style="1" bestFit="1" customWidth="1"/>
    <col min="14330" max="14332" width="12.25" style="1" bestFit="1" customWidth="1"/>
    <col min="14333" max="14344" width="11" style="1" bestFit="1" customWidth="1"/>
    <col min="14345" max="14345" width="13.25" style="1" bestFit="1" customWidth="1"/>
    <col min="14346" max="14346" width="10.375" style="1" bestFit="1" customWidth="1"/>
    <col min="14347" max="14347" width="11" style="1" bestFit="1" customWidth="1"/>
    <col min="14348" max="14552" width="9" style="1"/>
    <col min="14553" max="14553" width="2.875" style="1" bestFit="1" customWidth="1"/>
    <col min="14554" max="14554" width="17.625" style="1" bestFit="1" customWidth="1"/>
    <col min="14555" max="14555" width="11.375" style="1" bestFit="1" customWidth="1"/>
    <col min="14556" max="14557" width="14.125" style="1" bestFit="1" customWidth="1"/>
    <col min="14558" max="14558" width="11.375" style="1" bestFit="1" customWidth="1"/>
    <col min="14559" max="14562" width="12.5" style="1" bestFit="1" customWidth="1"/>
    <col min="14563" max="14581" width="13" style="1" bestFit="1" customWidth="1"/>
    <col min="14582" max="14585" width="11" style="1" bestFit="1" customWidth="1"/>
    <col min="14586" max="14588" width="12.25" style="1" bestFit="1" customWidth="1"/>
    <col min="14589" max="14600" width="11" style="1" bestFit="1" customWidth="1"/>
    <col min="14601" max="14601" width="13.25" style="1" bestFit="1" customWidth="1"/>
    <col min="14602" max="14602" width="10.375" style="1" bestFit="1" customWidth="1"/>
    <col min="14603" max="14603" width="11" style="1" bestFit="1" customWidth="1"/>
    <col min="14604" max="14808" width="9" style="1"/>
    <col min="14809" max="14809" width="2.875" style="1" bestFit="1" customWidth="1"/>
    <col min="14810" max="14810" width="17.625" style="1" bestFit="1" customWidth="1"/>
    <col min="14811" max="14811" width="11.375" style="1" bestFit="1" customWidth="1"/>
    <col min="14812" max="14813" width="14.125" style="1" bestFit="1" customWidth="1"/>
    <col min="14814" max="14814" width="11.375" style="1" bestFit="1" customWidth="1"/>
    <col min="14815" max="14818" width="12.5" style="1" bestFit="1" customWidth="1"/>
    <col min="14819" max="14837" width="13" style="1" bestFit="1" customWidth="1"/>
    <col min="14838" max="14841" width="11" style="1" bestFit="1" customWidth="1"/>
    <col min="14842" max="14844" width="12.25" style="1" bestFit="1" customWidth="1"/>
    <col min="14845" max="14856" width="11" style="1" bestFit="1" customWidth="1"/>
    <col min="14857" max="14857" width="13.25" style="1" bestFit="1" customWidth="1"/>
    <col min="14858" max="14858" width="10.375" style="1" bestFit="1" customWidth="1"/>
    <col min="14859" max="14859" width="11" style="1" bestFit="1" customWidth="1"/>
    <col min="14860" max="15064" width="9" style="1"/>
    <col min="15065" max="15065" width="2.875" style="1" bestFit="1" customWidth="1"/>
    <col min="15066" max="15066" width="17.625" style="1" bestFit="1" customWidth="1"/>
    <col min="15067" max="15067" width="11.375" style="1" bestFit="1" customWidth="1"/>
    <col min="15068" max="15069" width="14.125" style="1" bestFit="1" customWidth="1"/>
    <col min="15070" max="15070" width="11.375" style="1" bestFit="1" customWidth="1"/>
    <col min="15071" max="15074" width="12.5" style="1" bestFit="1" customWidth="1"/>
    <col min="15075" max="15093" width="13" style="1" bestFit="1" customWidth="1"/>
    <col min="15094" max="15097" width="11" style="1" bestFit="1" customWidth="1"/>
    <col min="15098" max="15100" width="12.25" style="1" bestFit="1" customWidth="1"/>
    <col min="15101" max="15112" width="11" style="1" bestFit="1" customWidth="1"/>
    <col min="15113" max="15113" width="13.25" style="1" bestFit="1" customWidth="1"/>
    <col min="15114" max="15114" width="10.375" style="1" bestFit="1" customWidth="1"/>
    <col min="15115" max="15115" width="11" style="1" bestFit="1" customWidth="1"/>
    <col min="15116" max="15320" width="9" style="1"/>
    <col min="15321" max="15321" width="2.875" style="1" bestFit="1" customWidth="1"/>
    <col min="15322" max="15322" width="17.625" style="1" bestFit="1" customWidth="1"/>
    <col min="15323" max="15323" width="11.375" style="1" bestFit="1" customWidth="1"/>
    <col min="15324" max="15325" width="14.125" style="1" bestFit="1" customWidth="1"/>
    <col min="15326" max="15326" width="11.375" style="1" bestFit="1" customWidth="1"/>
    <col min="15327" max="15330" width="12.5" style="1" bestFit="1" customWidth="1"/>
    <col min="15331" max="15349" width="13" style="1" bestFit="1" customWidth="1"/>
    <col min="15350" max="15353" width="11" style="1" bestFit="1" customWidth="1"/>
    <col min="15354" max="15356" width="12.25" style="1" bestFit="1" customWidth="1"/>
    <col min="15357" max="15368" width="11" style="1" bestFit="1" customWidth="1"/>
    <col min="15369" max="15369" width="13.25" style="1" bestFit="1" customWidth="1"/>
    <col min="15370" max="15370" width="10.375" style="1" bestFit="1" customWidth="1"/>
    <col min="15371" max="15371" width="11" style="1" bestFit="1" customWidth="1"/>
    <col min="15372" max="15576" width="9" style="1"/>
    <col min="15577" max="15577" width="2.875" style="1" bestFit="1" customWidth="1"/>
    <col min="15578" max="15578" width="17.625" style="1" bestFit="1" customWidth="1"/>
    <col min="15579" max="15579" width="11.375" style="1" bestFit="1" customWidth="1"/>
    <col min="15580" max="15581" width="14.125" style="1" bestFit="1" customWidth="1"/>
    <col min="15582" max="15582" width="11.375" style="1" bestFit="1" customWidth="1"/>
    <col min="15583" max="15586" width="12.5" style="1" bestFit="1" customWidth="1"/>
    <col min="15587" max="15605" width="13" style="1" bestFit="1" customWidth="1"/>
    <col min="15606" max="15609" width="11" style="1" bestFit="1" customWidth="1"/>
    <col min="15610" max="15612" width="12.25" style="1" bestFit="1" customWidth="1"/>
    <col min="15613" max="15624" width="11" style="1" bestFit="1" customWidth="1"/>
    <col min="15625" max="15625" width="13.25" style="1" bestFit="1" customWidth="1"/>
    <col min="15626" max="15626" width="10.375" style="1" bestFit="1" customWidth="1"/>
    <col min="15627" max="15627" width="11" style="1" bestFit="1" customWidth="1"/>
    <col min="15628" max="15832" width="9" style="1"/>
    <col min="15833" max="15833" width="2.875" style="1" bestFit="1" customWidth="1"/>
    <col min="15834" max="15834" width="17.625" style="1" bestFit="1" customWidth="1"/>
    <col min="15835" max="15835" width="11.375" style="1" bestFit="1" customWidth="1"/>
    <col min="15836" max="15837" width="14.125" style="1" bestFit="1" customWidth="1"/>
    <col min="15838" max="15838" width="11.375" style="1" bestFit="1" customWidth="1"/>
    <col min="15839" max="15842" width="12.5" style="1" bestFit="1" customWidth="1"/>
    <col min="15843" max="15861" width="13" style="1" bestFit="1" customWidth="1"/>
    <col min="15862" max="15865" width="11" style="1" bestFit="1" customWidth="1"/>
    <col min="15866" max="15868" width="12.25" style="1" bestFit="1" customWidth="1"/>
    <col min="15869" max="15880" width="11" style="1" bestFit="1" customWidth="1"/>
    <col min="15881" max="15881" width="13.25" style="1" bestFit="1" customWidth="1"/>
    <col min="15882" max="15882" width="10.375" style="1" bestFit="1" customWidth="1"/>
    <col min="15883" max="15883" width="11" style="1" bestFit="1" customWidth="1"/>
    <col min="15884" max="16088" width="9" style="1"/>
    <col min="16089" max="16089" width="2.875" style="1" bestFit="1" customWidth="1"/>
    <col min="16090" max="16090" width="17.625" style="1" bestFit="1" customWidth="1"/>
    <col min="16091" max="16091" width="11.375" style="1" bestFit="1" customWidth="1"/>
    <col min="16092" max="16093" width="14.125" style="1" bestFit="1" customWidth="1"/>
    <col min="16094" max="16094" width="11.375" style="1" bestFit="1" customWidth="1"/>
    <col min="16095" max="16098" width="12.5" style="1" bestFit="1" customWidth="1"/>
    <col min="16099" max="16117" width="13" style="1" bestFit="1" customWidth="1"/>
    <col min="16118" max="16121" width="11" style="1" bestFit="1" customWidth="1"/>
    <col min="16122" max="16124" width="12.25" style="1" bestFit="1" customWidth="1"/>
    <col min="16125" max="16136" width="11" style="1" bestFit="1" customWidth="1"/>
    <col min="16137" max="16137" width="13.25" style="1" bestFit="1" customWidth="1"/>
    <col min="16138" max="16138" width="10.375" style="1" bestFit="1" customWidth="1"/>
    <col min="16139" max="16139" width="11" style="1" bestFit="1" customWidth="1"/>
    <col min="16140" max="16384" width="9" style="1"/>
  </cols>
  <sheetData>
    <row r="1" spans="1:11" hidden="1" x14ac:dyDescent="0.15"/>
    <row r="2" spans="1:11" ht="30.75" hidden="1" customHeight="1" x14ac:dyDescent="0.15"/>
    <row r="3" spans="1:11" ht="17.25" x14ac:dyDescent="0.2">
      <c r="A3" s="37">
        <v>45474</v>
      </c>
      <c r="B3" s="37"/>
      <c r="C3" s="54" t="s">
        <v>250</v>
      </c>
    </row>
    <row r="4" spans="1:11" s="5" customFormat="1" ht="12" customHeight="1" x14ac:dyDescent="0.15">
      <c r="A4" s="38" t="s">
        <v>0</v>
      </c>
      <c r="B4" s="38"/>
      <c r="C4" s="2" t="s">
        <v>240</v>
      </c>
      <c r="D4" s="2" t="s">
        <v>241</v>
      </c>
      <c r="E4" s="2" t="s">
        <v>37</v>
      </c>
      <c r="F4" s="2" t="s">
        <v>38</v>
      </c>
      <c r="G4" s="2" t="s">
        <v>39</v>
      </c>
      <c r="H4" s="3" t="s">
        <v>40</v>
      </c>
      <c r="I4" s="3" t="s">
        <v>41</v>
      </c>
      <c r="J4" s="3" t="s">
        <v>42</v>
      </c>
      <c r="K4" s="4" t="s">
        <v>43</v>
      </c>
    </row>
    <row r="5" spans="1:11" s="5" customFormat="1" hidden="1" x14ac:dyDescent="0.15">
      <c r="A5" s="39" t="s">
        <v>44</v>
      </c>
      <c r="B5" s="40"/>
      <c r="C5" s="2">
        <v>8</v>
      </c>
      <c r="D5" s="2">
        <v>8</v>
      </c>
      <c r="E5" s="2">
        <v>8</v>
      </c>
      <c r="F5" s="2">
        <v>8</v>
      </c>
      <c r="G5" s="2">
        <v>8</v>
      </c>
      <c r="H5" s="3">
        <v>8</v>
      </c>
      <c r="I5" s="3"/>
      <c r="J5" s="3"/>
      <c r="K5" s="4"/>
    </row>
    <row r="6" spans="1:11" s="5" customFormat="1" hidden="1" x14ac:dyDescent="0.15">
      <c r="A6" s="39" t="s">
        <v>45</v>
      </c>
      <c r="B6" s="40"/>
      <c r="C6" s="2" t="s">
        <v>50</v>
      </c>
      <c r="D6" s="2" t="s">
        <v>50</v>
      </c>
      <c r="E6" s="2" t="s">
        <v>50</v>
      </c>
      <c r="F6" s="2" t="s">
        <v>50</v>
      </c>
      <c r="G6" s="2" t="s">
        <v>50</v>
      </c>
      <c r="H6" s="3" t="s">
        <v>50</v>
      </c>
      <c r="I6" s="3"/>
      <c r="J6" s="3"/>
      <c r="K6" s="4"/>
    </row>
    <row r="7" spans="1:11" s="5" customFormat="1" ht="12" customHeight="1" x14ac:dyDescent="0.15">
      <c r="A7" s="36" t="s">
        <v>51</v>
      </c>
      <c r="B7" s="36"/>
      <c r="C7" s="44" t="s">
        <v>191</v>
      </c>
      <c r="D7" s="44" t="s">
        <v>192</v>
      </c>
      <c r="E7" s="44" t="s">
        <v>193</v>
      </c>
      <c r="F7" s="44" t="s">
        <v>194</v>
      </c>
      <c r="G7" s="44" t="s">
        <v>195</v>
      </c>
      <c r="H7" s="45" t="s">
        <v>196</v>
      </c>
      <c r="I7" s="6"/>
      <c r="J7" s="6"/>
      <c r="K7" s="7"/>
    </row>
    <row r="8" spans="1:11" s="5" customFormat="1" ht="12" customHeight="1" x14ac:dyDescent="0.15">
      <c r="A8" s="36" t="s">
        <v>52</v>
      </c>
      <c r="B8" s="36"/>
      <c r="C8" s="44" t="s">
        <v>231</v>
      </c>
      <c r="D8" s="44" t="s">
        <v>222</v>
      </c>
      <c r="E8" s="44" t="s">
        <v>232</v>
      </c>
      <c r="F8" s="44" t="s">
        <v>233</v>
      </c>
      <c r="G8" s="44" t="s">
        <v>234</v>
      </c>
      <c r="H8" s="45" t="s">
        <v>235</v>
      </c>
      <c r="I8" s="6"/>
      <c r="J8" s="6"/>
      <c r="K8" s="7"/>
    </row>
    <row r="9" spans="1:11" ht="12" customHeight="1" x14ac:dyDescent="0.15">
      <c r="A9" s="42" t="s">
        <v>53</v>
      </c>
      <c r="B9" s="43"/>
      <c r="C9" s="46">
        <v>14</v>
      </c>
      <c r="D9" s="46">
        <v>18</v>
      </c>
      <c r="E9" s="46">
        <v>8</v>
      </c>
      <c r="F9" s="46">
        <v>8</v>
      </c>
      <c r="G9" s="46">
        <v>8</v>
      </c>
      <c r="H9" s="47">
        <v>8</v>
      </c>
      <c r="I9" s="9">
        <f>SUM(C9:H9)</f>
        <v>64</v>
      </c>
      <c r="J9" s="9"/>
      <c r="K9" s="10"/>
    </row>
    <row r="10" spans="1:11" ht="12.75" customHeight="1" x14ac:dyDescent="0.15">
      <c r="A10" s="38" t="s">
        <v>54</v>
      </c>
      <c r="B10" s="38"/>
      <c r="C10" s="49" t="s">
        <v>64</v>
      </c>
      <c r="D10" s="49" t="s">
        <v>64</v>
      </c>
      <c r="E10" s="49" t="s">
        <v>62</v>
      </c>
      <c r="F10" s="49" t="s">
        <v>62</v>
      </c>
      <c r="G10" s="49" t="s">
        <v>62</v>
      </c>
      <c r="H10" s="50" t="s">
        <v>62</v>
      </c>
      <c r="I10" s="12"/>
      <c r="J10" s="12"/>
      <c r="K10" s="13"/>
    </row>
    <row r="11" spans="1:11" ht="12.75" customHeight="1" x14ac:dyDescent="0.15">
      <c r="A11" s="38" t="s">
        <v>65</v>
      </c>
      <c r="B11" s="38"/>
      <c r="C11" s="14">
        <v>41.800000000000004</v>
      </c>
      <c r="D11" s="14">
        <v>6508.4</v>
      </c>
      <c r="E11" s="14">
        <v>2036.5</v>
      </c>
      <c r="F11" s="14">
        <v>3377.9</v>
      </c>
      <c r="G11" s="14">
        <v>2688.9</v>
      </c>
      <c r="H11" s="15">
        <v>2253.6</v>
      </c>
      <c r="I11" s="16">
        <f>SUM(C11:H11)</f>
        <v>16907.099999999999</v>
      </c>
      <c r="J11" s="16">
        <f>AVERAGE(C11:H11)</f>
        <v>2817.85</v>
      </c>
      <c r="K11" s="13"/>
    </row>
    <row r="12" spans="1:11" ht="12.75" customHeight="1" x14ac:dyDescent="0.15">
      <c r="A12" s="39" t="s">
        <v>244</v>
      </c>
      <c r="B12" s="51"/>
      <c r="C12" s="52">
        <v>0.19375000000000001</v>
      </c>
      <c r="D12" s="52">
        <v>8.1062499999999993</v>
      </c>
      <c r="E12" s="52">
        <v>3.0833333333333335</v>
      </c>
      <c r="F12" s="52">
        <v>3.9840277777777779</v>
      </c>
      <c r="G12" s="52">
        <v>3.2111111111111112</v>
      </c>
      <c r="H12" s="53">
        <v>6.6722222222222225</v>
      </c>
      <c r="I12" s="16"/>
      <c r="J12" s="16"/>
      <c r="K12" s="13"/>
    </row>
    <row r="13" spans="1:11" ht="12.75" customHeight="1" x14ac:dyDescent="0.15">
      <c r="A13" s="38" t="s">
        <v>66</v>
      </c>
      <c r="B13" s="38"/>
      <c r="C13" s="14">
        <v>0</v>
      </c>
      <c r="D13" s="14">
        <v>1394200</v>
      </c>
      <c r="E13" s="14">
        <v>406200</v>
      </c>
      <c r="F13" s="14">
        <v>605000</v>
      </c>
      <c r="G13" s="14">
        <v>468000</v>
      </c>
      <c r="H13" s="15">
        <v>689220</v>
      </c>
      <c r="I13" s="16">
        <f>SUM(C13:H13)</f>
        <v>3562620</v>
      </c>
      <c r="J13" s="16">
        <f>AVERAGE(C13:H13)</f>
        <v>593770</v>
      </c>
      <c r="K13" s="13">
        <f>I13/I13</f>
        <v>1</v>
      </c>
    </row>
    <row r="14" spans="1:11" ht="12.75" customHeight="1" x14ac:dyDescent="0.15">
      <c r="A14" s="39" t="s">
        <v>242</v>
      </c>
      <c r="B14" s="51"/>
      <c r="C14" s="14"/>
      <c r="D14" s="14"/>
      <c r="E14" s="14"/>
      <c r="F14" s="14"/>
      <c r="G14" s="14"/>
      <c r="H14" s="15"/>
      <c r="I14" s="16">
        <f>SUM(C14:H14)</f>
        <v>0</v>
      </c>
      <c r="J14" s="16"/>
      <c r="K14" s="13"/>
    </row>
    <row r="15" spans="1:11" ht="12.75" customHeight="1" x14ac:dyDescent="0.15">
      <c r="A15" s="38" t="s">
        <v>67</v>
      </c>
      <c r="B15" s="38"/>
      <c r="C15" s="14">
        <f t="shared" ref="C15:H15" si="0">SUM(C13/C11)</f>
        <v>0</v>
      </c>
      <c r="D15" s="14">
        <f t="shared" si="0"/>
        <v>214.21547538565548</v>
      </c>
      <c r="E15" s="14">
        <f t="shared" si="0"/>
        <v>199.45985759882151</v>
      </c>
      <c r="F15" s="14">
        <f t="shared" si="0"/>
        <v>179.1053613191628</v>
      </c>
      <c r="G15" s="14">
        <f t="shared" si="0"/>
        <v>174.04886756666295</v>
      </c>
      <c r="H15" s="15">
        <f t="shared" si="0"/>
        <v>305.8306709265176</v>
      </c>
      <c r="I15" s="12">
        <f>SUM(I13/I11)</f>
        <v>210.71739091860817</v>
      </c>
      <c r="J15" s="16">
        <f>AVERAGE(C15:H15)</f>
        <v>178.77670546613672</v>
      </c>
      <c r="K15" s="13"/>
    </row>
    <row r="16" spans="1:11" ht="12.75" customHeight="1" x14ac:dyDescent="0.15">
      <c r="A16" s="39" t="s">
        <v>243</v>
      </c>
      <c r="B16" s="51"/>
      <c r="C16" s="14">
        <f t="shared" ref="C16:H16" si="1">C13/(C12*24)</f>
        <v>0</v>
      </c>
      <c r="D16" s="14">
        <f t="shared" si="1"/>
        <v>7166.2811616551026</v>
      </c>
      <c r="E16" s="14">
        <f t="shared" si="1"/>
        <v>5489.1891891891892</v>
      </c>
      <c r="F16" s="14">
        <f t="shared" si="1"/>
        <v>6327.3487885654522</v>
      </c>
      <c r="G16" s="14">
        <f t="shared" si="1"/>
        <v>6072.6643598615919</v>
      </c>
      <c r="H16" s="15">
        <f t="shared" si="1"/>
        <v>4304.0383014154877</v>
      </c>
      <c r="I16" s="12"/>
      <c r="J16" s="16"/>
      <c r="K16" s="13"/>
    </row>
    <row r="17" spans="1:11" ht="12.75" customHeight="1" x14ac:dyDescent="0.15">
      <c r="A17" s="41" t="s">
        <v>68</v>
      </c>
      <c r="B17" s="11" t="s">
        <v>69</v>
      </c>
      <c r="C17" s="14">
        <v>0</v>
      </c>
      <c r="D17" s="14">
        <v>82900</v>
      </c>
      <c r="E17" s="14">
        <v>271700</v>
      </c>
      <c r="F17" s="14">
        <v>189600</v>
      </c>
      <c r="G17" s="14">
        <v>245000</v>
      </c>
      <c r="H17" s="15">
        <v>349400</v>
      </c>
      <c r="I17" s="16">
        <f>SUM(C17:H17)</f>
        <v>1138600</v>
      </c>
      <c r="J17" s="16">
        <f>AVERAGE(C17:H17)</f>
        <v>189766.66666666666</v>
      </c>
      <c r="K17" s="13">
        <f>I17/I13</f>
        <v>0.31959625219641724</v>
      </c>
    </row>
    <row r="18" spans="1:11" ht="12.75" customHeight="1" x14ac:dyDescent="0.15">
      <c r="A18" s="41"/>
      <c r="B18" s="11" t="s">
        <v>70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5">
        <v>0</v>
      </c>
      <c r="I18" s="16">
        <f>SUM(C18:H18)</f>
        <v>0</v>
      </c>
      <c r="J18" s="16">
        <f>AVERAGE(C18:H18)</f>
        <v>0</v>
      </c>
      <c r="K18" s="13">
        <f>I18/I13</f>
        <v>0</v>
      </c>
    </row>
    <row r="19" spans="1:11" ht="12.75" customHeight="1" x14ac:dyDescent="0.15">
      <c r="A19" s="41"/>
      <c r="B19" s="11" t="s">
        <v>71</v>
      </c>
      <c r="C19" s="14">
        <v>6000</v>
      </c>
      <c r="D19" s="14">
        <v>6950</v>
      </c>
      <c r="E19" s="14">
        <v>0</v>
      </c>
      <c r="F19" s="14">
        <v>0</v>
      </c>
      <c r="G19" s="14">
        <v>0</v>
      </c>
      <c r="H19" s="15">
        <v>0</v>
      </c>
      <c r="I19" s="16">
        <f>SUM(C19:H19)</f>
        <v>12950</v>
      </c>
      <c r="J19" s="16">
        <f>AVERAGE(C19:H19)</f>
        <v>2158.3333333333335</v>
      </c>
      <c r="K19" s="13">
        <f>I19/I13</f>
        <v>3.6349652783625535E-3</v>
      </c>
    </row>
    <row r="20" spans="1:11" ht="12.75" customHeight="1" x14ac:dyDescent="0.15">
      <c r="A20" s="41"/>
      <c r="B20" s="11" t="s">
        <v>72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5">
        <v>0</v>
      </c>
      <c r="I20" s="16">
        <f>SUM(C20:H20)</f>
        <v>0</v>
      </c>
      <c r="J20" s="16">
        <f>AVERAGE(C20:H20)</f>
        <v>0</v>
      </c>
      <c r="K20" s="13">
        <f>I20/I13</f>
        <v>0</v>
      </c>
    </row>
    <row r="21" spans="1:11" ht="12.75" customHeight="1" x14ac:dyDescent="0.15">
      <c r="A21" s="41"/>
      <c r="B21" s="11" t="s">
        <v>73</v>
      </c>
      <c r="C21" s="14">
        <v>8666</v>
      </c>
      <c r="D21" s="14">
        <v>8333</v>
      </c>
      <c r="E21" s="14">
        <v>4766</v>
      </c>
      <c r="F21" s="14">
        <v>4774</v>
      </c>
      <c r="G21" s="14">
        <v>4766</v>
      </c>
      <c r="H21" s="15">
        <v>4583</v>
      </c>
      <c r="I21" s="16">
        <f>SUM(C21:H21)</f>
        <v>35888</v>
      </c>
      <c r="J21" s="16">
        <f>AVERAGE(C21:H21)</f>
        <v>5981.333333333333</v>
      </c>
      <c r="K21" s="13">
        <f>I21/I13</f>
        <v>1.0073485244005816E-2</v>
      </c>
    </row>
    <row r="22" spans="1:11" ht="12.75" customHeight="1" x14ac:dyDescent="0.15">
      <c r="A22" s="41"/>
      <c r="B22" s="11" t="s">
        <v>74</v>
      </c>
      <c r="C22" s="14">
        <v>42121</v>
      </c>
      <c r="D22" s="14">
        <v>42468</v>
      </c>
      <c r="E22" s="14">
        <v>25080</v>
      </c>
      <c r="F22" s="14">
        <v>46616</v>
      </c>
      <c r="G22" s="14">
        <v>29025</v>
      </c>
      <c r="H22" s="15">
        <v>19614</v>
      </c>
      <c r="I22" s="16">
        <f>SUM(C22:H22)</f>
        <v>204924</v>
      </c>
      <c r="J22" s="16">
        <f>AVERAGE(C22:H22)</f>
        <v>34154</v>
      </c>
      <c r="K22" s="13">
        <f>I22/I13</f>
        <v>5.7520588780167407E-2</v>
      </c>
    </row>
    <row r="23" spans="1:11" ht="12.75" customHeight="1" x14ac:dyDescent="0.15">
      <c r="A23" s="41"/>
      <c r="B23" s="17" t="s">
        <v>75</v>
      </c>
      <c r="C23" s="18">
        <f t="shared" ref="C23:H23" si="2">SUM(C17:C22)</f>
        <v>56787</v>
      </c>
      <c r="D23" s="18">
        <f t="shared" si="2"/>
        <v>140651</v>
      </c>
      <c r="E23" s="18">
        <f t="shared" si="2"/>
        <v>301546</v>
      </c>
      <c r="F23" s="18">
        <f t="shared" si="2"/>
        <v>240990</v>
      </c>
      <c r="G23" s="18">
        <f t="shared" si="2"/>
        <v>278791</v>
      </c>
      <c r="H23" s="19">
        <f t="shared" si="2"/>
        <v>373597</v>
      </c>
      <c r="I23" s="20">
        <f>SUM(C23:H23)</f>
        <v>1392362</v>
      </c>
      <c r="J23" s="20">
        <f>AVERAGE(C23:H23)</f>
        <v>232060.33333333334</v>
      </c>
      <c r="K23" s="21">
        <f>I23/I13</f>
        <v>0.39082529149895301</v>
      </c>
    </row>
    <row r="24" spans="1:11" ht="12.75" customHeight="1" x14ac:dyDescent="0.15">
      <c r="A24" s="41" t="s">
        <v>76</v>
      </c>
      <c r="B24" s="11" t="s">
        <v>77</v>
      </c>
      <c r="C24" s="14">
        <v>29188</v>
      </c>
      <c r="D24" s="14">
        <v>0</v>
      </c>
      <c r="E24" s="14">
        <v>29400</v>
      </c>
      <c r="F24" s="14">
        <v>0</v>
      </c>
      <c r="G24" s="14">
        <v>0</v>
      </c>
      <c r="H24" s="15">
        <v>0</v>
      </c>
      <c r="I24" s="16">
        <f>SUM(C24:H24)</f>
        <v>58588</v>
      </c>
      <c r="J24" s="16">
        <f>AVERAGE(C24:H24)</f>
        <v>9764.6666666666661</v>
      </c>
      <c r="K24" s="13">
        <f>I24/I13</f>
        <v>1.6445200442371063E-2</v>
      </c>
    </row>
    <row r="25" spans="1:11" ht="12.75" customHeight="1" x14ac:dyDescent="0.15">
      <c r="A25" s="41"/>
      <c r="B25" s="11" t="s">
        <v>78</v>
      </c>
      <c r="C25" s="14">
        <v>0</v>
      </c>
      <c r="D25" s="14">
        <v>0</v>
      </c>
      <c r="E25" s="14">
        <v>0</v>
      </c>
      <c r="F25" s="14">
        <v>0</v>
      </c>
      <c r="G25" s="14">
        <v>0</v>
      </c>
      <c r="H25" s="15">
        <v>0</v>
      </c>
      <c r="I25" s="16">
        <f>SUM(C25:H25)</f>
        <v>0</v>
      </c>
      <c r="J25" s="16">
        <f>AVERAGE(C25:H25)</f>
        <v>0</v>
      </c>
      <c r="K25" s="13">
        <f>I25/I13</f>
        <v>0</v>
      </c>
    </row>
    <row r="26" spans="1:11" ht="12.75" customHeight="1" x14ac:dyDescent="0.15">
      <c r="A26" s="41"/>
      <c r="B26" s="11" t="s">
        <v>79</v>
      </c>
      <c r="C26" s="14">
        <f t="shared" ref="C26:H26" si="3">30000*C9/70000*C11</f>
        <v>250.8</v>
      </c>
      <c r="D26" s="14">
        <f t="shared" si="3"/>
        <v>50207.657142857141</v>
      </c>
      <c r="E26" s="14">
        <f t="shared" si="3"/>
        <v>6982.2857142857138</v>
      </c>
      <c r="F26" s="14">
        <f t="shared" si="3"/>
        <v>11581.371428571429</v>
      </c>
      <c r="G26" s="14">
        <f t="shared" si="3"/>
        <v>9219.0857142857149</v>
      </c>
      <c r="H26" s="15">
        <f t="shared" si="3"/>
        <v>7726.6285714285705</v>
      </c>
      <c r="I26" s="16">
        <f>SUM(C26:H26)</f>
        <v>85967.828571428574</v>
      </c>
      <c r="J26" s="16">
        <f>AVERAGE(C26:H26)</f>
        <v>14327.971428571429</v>
      </c>
      <c r="K26" s="13">
        <f>I26/I13</f>
        <v>2.4130507483657693E-2</v>
      </c>
    </row>
    <row r="27" spans="1:11" ht="12.75" customHeight="1" x14ac:dyDescent="0.15">
      <c r="A27" s="41"/>
      <c r="B27" s="11" t="s">
        <v>80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5">
        <v>0</v>
      </c>
      <c r="I27" s="16">
        <f>SUM(C27:H27)</f>
        <v>0</v>
      </c>
      <c r="J27" s="16">
        <f>AVERAGE(C27:H27)</f>
        <v>0</v>
      </c>
      <c r="K27" s="13">
        <f>I27/I13</f>
        <v>0</v>
      </c>
    </row>
    <row r="28" spans="1:11" ht="12.75" customHeight="1" x14ac:dyDescent="0.15">
      <c r="A28" s="41"/>
      <c r="B28" s="11" t="s">
        <v>81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5">
        <v>0</v>
      </c>
      <c r="I28" s="16">
        <f>SUM(C28:H28)</f>
        <v>0</v>
      </c>
      <c r="J28" s="16">
        <f>AVERAGE(C28:H28)</f>
        <v>0</v>
      </c>
      <c r="K28" s="13">
        <f>I28/I13</f>
        <v>0</v>
      </c>
    </row>
    <row r="29" spans="1:11" ht="12.75" customHeight="1" x14ac:dyDescent="0.15">
      <c r="A29" s="41"/>
      <c r="B29" s="17" t="s">
        <v>82</v>
      </c>
      <c r="C29" s="18">
        <f t="shared" ref="C29:H29" si="4">SUM(C24:C28)</f>
        <v>29438.799999999999</v>
      </c>
      <c r="D29" s="18">
        <f t="shared" si="4"/>
        <v>50207.657142857141</v>
      </c>
      <c r="E29" s="18">
        <f t="shared" si="4"/>
        <v>36382.28571428571</v>
      </c>
      <c r="F29" s="18">
        <f t="shared" si="4"/>
        <v>11581.371428571429</v>
      </c>
      <c r="G29" s="18">
        <f t="shared" si="4"/>
        <v>9219.0857142857149</v>
      </c>
      <c r="H29" s="19">
        <f t="shared" si="4"/>
        <v>7726.6285714285705</v>
      </c>
      <c r="I29" s="20">
        <f>SUM(C29:H29)</f>
        <v>144555.82857142854</v>
      </c>
      <c r="J29" s="20">
        <f>AVERAGE(C29:H29)</f>
        <v>24092.63809523809</v>
      </c>
      <c r="K29" s="21">
        <f>I29/I13</f>
        <v>4.0575707926028749E-2</v>
      </c>
    </row>
    <row r="30" spans="1:11" ht="12.75" customHeight="1" x14ac:dyDescent="0.15">
      <c r="A30" s="41" t="s">
        <v>83</v>
      </c>
      <c r="B30" s="8" t="s">
        <v>84</v>
      </c>
      <c r="C30" s="22">
        <v>95</v>
      </c>
      <c r="D30" s="22">
        <v>2355</v>
      </c>
      <c r="E30" s="22">
        <v>541</v>
      </c>
      <c r="F30" s="22">
        <v>1017</v>
      </c>
      <c r="G30" s="22">
        <v>656</v>
      </c>
      <c r="H30" s="23">
        <v>770</v>
      </c>
      <c r="I30" s="24">
        <f>SUM(C30:H30)</f>
        <v>5434</v>
      </c>
      <c r="J30" s="24">
        <f>AVERAGE(C30:H30)</f>
        <v>905.66666666666663</v>
      </c>
      <c r="K30" s="10">
        <f>I30/I13</f>
        <v>1.5252819554148352E-3</v>
      </c>
    </row>
    <row r="31" spans="1:11" ht="12.75" customHeight="1" x14ac:dyDescent="0.15">
      <c r="A31" s="41"/>
      <c r="B31" s="25" t="s">
        <v>85</v>
      </c>
      <c r="C31" s="26">
        <f>SUM(C11/C30)</f>
        <v>0.44000000000000006</v>
      </c>
      <c r="D31" s="26">
        <f>SUM(D11/D30)</f>
        <v>2.7636518046709129</v>
      </c>
      <c r="E31" s="26">
        <f>SUM(E11/E30)</f>
        <v>3.7643253234750462</v>
      </c>
      <c r="F31" s="26">
        <f>SUM(F11/F30)</f>
        <v>3.3214355948869225</v>
      </c>
      <c r="G31" s="26">
        <f>SUM(G11/G30)</f>
        <v>4.098932926829268</v>
      </c>
      <c r="H31" s="27">
        <f>SUM(H11/H30)</f>
        <v>2.9267532467532464</v>
      </c>
      <c r="I31" s="28">
        <f>SUM(I11/I30)</f>
        <v>3.1113544350386455</v>
      </c>
      <c r="J31" s="28">
        <f>AVERAGE(C31:H31)</f>
        <v>2.8858498161025659</v>
      </c>
      <c r="K31" s="25">
        <f>I31/I13</f>
        <v>8.733332308914915E-7</v>
      </c>
    </row>
    <row r="32" spans="1:11" ht="12.75" customHeight="1" x14ac:dyDescent="0.15">
      <c r="A32" s="41"/>
      <c r="B32" s="11" t="s">
        <v>86</v>
      </c>
      <c r="C32" s="14">
        <v>11371</v>
      </c>
      <c r="D32" s="14">
        <v>282532</v>
      </c>
      <c r="E32" s="14">
        <v>64756</v>
      </c>
      <c r="F32" s="14">
        <v>121898</v>
      </c>
      <c r="G32" s="14">
        <v>78523</v>
      </c>
      <c r="H32" s="15">
        <v>92166</v>
      </c>
      <c r="I32" s="16">
        <f>SUM(C32:H32)</f>
        <v>651246</v>
      </c>
      <c r="J32" s="16">
        <f>AVERAGE(C32:H32)</f>
        <v>108541</v>
      </c>
      <c r="K32" s="13">
        <f>I32/I13</f>
        <v>0.18279973727200768</v>
      </c>
    </row>
    <row r="33" spans="1:11" ht="12.75" customHeight="1" x14ac:dyDescent="0.15">
      <c r="A33" s="41"/>
      <c r="B33" s="11" t="s">
        <v>87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5">
        <v>0</v>
      </c>
      <c r="I33" s="16">
        <f>SUM(C33:H33)</f>
        <v>0</v>
      </c>
      <c r="J33" s="16">
        <f>AVERAGE(C33:H33)</f>
        <v>0</v>
      </c>
      <c r="K33" s="13">
        <f>I33/I13</f>
        <v>0</v>
      </c>
    </row>
    <row r="34" spans="1:11" ht="12.75" customHeight="1" x14ac:dyDescent="0.15">
      <c r="A34" s="41"/>
      <c r="B34" s="11" t="s">
        <v>88</v>
      </c>
      <c r="C34" s="14">
        <v>0</v>
      </c>
      <c r="D34" s="14">
        <v>0</v>
      </c>
      <c r="E34" s="14">
        <v>0</v>
      </c>
      <c r="F34" s="14">
        <v>0</v>
      </c>
      <c r="G34" s="14">
        <v>0</v>
      </c>
      <c r="H34" s="15">
        <v>0</v>
      </c>
      <c r="I34" s="16">
        <f>SUM(C34:H34)</f>
        <v>0</v>
      </c>
      <c r="J34" s="16">
        <f>AVERAGE(C34:H34)</f>
        <v>0</v>
      </c>
      <c r="K34" s="13">
        <f>I34/I13</f>
        <v>0</v>
      </c>
    </row>
    <row r="35" spans="1:11" ht="12.75" customHeight="1" x14ac:dyDescent="0.15">
      <c r="A35" s="41"/>
      <c r="B35" s="17" t="s">
        <v>89</v>
      </c>
      <c r="C35" s="18">
        <f t="shared" ref="C35:H35" si="5">SUM(C32:C34)</f>
        <v>11371</v>
      </c>
      <c r="D35" s="18">
        <f t="shared" si="5"/>
        <v>282532</v>
      </c>
      <c r="E35" s="18">
        <f t="shared" si="5"/>
        <v>64756</v>
      </c>
      <c r="F35" s="18">
        <f t="shared" si="5"/>
        <v>121898</v>
      </c>
      <c r="G35" s="18">
        <f t="shared" si="5"/>
        <v>78523</v>
      </c>
      <c r="H35" s="19">
        <f t="shared" si="5"/>
        <v>92166</v>
      </c>
      <c r="I35" s="20">
        <f>SUM(C35:H35)</f>
        <v>651246</v>
      </c>
      <c r="J35" s="20">
        <f>AVERAGE(C35:H35)</f>
        <v>108541</v>
      </c>
      <c r="K35" s="21">
        <f>I35/I13</f>
        <v>0.18279973727200768</v>
      </c>
    </row>
    <row r="36" spans="1:11" ht="12.75" customHeight="1" x14ac:dyDescent="0.15">
      <c r="A36" s="41" t="s">
        <v>90</v>
      </c>
      <c r="B36" s="11" t="s">
        <v>91</v>
      </c>
      <c r="C36" s="14">
        <v>2451</v>
      </c>
      <c r="D36" s="14">
        <v>2451</v>
      </c>
      <c r="E36" s="14">
        <v>2008</v>
      </c>
      <c r="F36" s="14">
        <v>2008</v>
      </c>
      <c r="G36" s="14">
        <v>2008</v>
      </c>
      <c r="H36" s="15">
        <v>2008</v>
      </c>
      <c r="I36" s="16">
        <f>SUM(C36:H36)</f>
        <v>12934</v>
      </c>
      <c r="J36" s="16">
        <f>AVERAGE(C36:H36)</f>
        <v>2155.6666666666665</v>
      </c>
      <c r="K36" s="13">
        <f>I36/I13</f>
        <v>3.6304742015707543E-3</v>
      </c>
    </row>
    <row r="37" spans="1:11" ht="12.75" customHeight="1" x14ac:dyDescent="0.15">
      <c r="A37" s="41"/>
      <c r="B37" s="11" t="s">
        <v>92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5">
        <v>0</v>
      </c>
      <c r="I37" s="16">
        <f>SUM(C37:H37)</f>
        <v>0</v>
      </c>
      <c r="J37" s="16">
        <f>AVERAGE(C37:H37)</f>
        <v>0</v>
      </c>
      <c r="K37" s="13">
        <f>I37/I13</f>
        <v>0</v>
      </c>
    </row>
    <row r="38" spans="1:11" ht="12.75" customHeight="1" x14ac:dyDescent="0.15">
      <c r="A38" s="41"/>
      <c r="B38" s="11" t="s">
        <v>93</v>
      </c>
      <c r="C38" s="14">
        <v>0</v>
      </c>
      <c r="D38" s="14">
        <v>0</v>
      </c>
      <c r="E38" s="14">
        <v>0</v>
      </c>
      <c r="F38" s="14">
        <v>0</v>
      </c>
      <c r="G38" s="14">
        <v>0</v>
      </c>
      <c r="H38" s="15">
        <v>0</v>
      </c>
      <c r="I38" s="16">
        <f>SUM(C38:H38)</f>
        <v>0</v>
      </c>
      <c r="J38" s="16">
        <f>AVERAGE(C38:H38)</f>
        <v>0</v>
      </c>
      <c r="K38" s="13">
        <f>I38/I13</f>
        <v>0</v>
      </c>
    </row>
    <row r="39" spans="1:11" ht="12.75" customHeight="1" x14ac:dyDescent="0.15">
      <c r="A39" s="41"/>
      <c r="B39" s="11" t="s">
        <v>94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5">
        <v>0</v>
      </c>
      <c r="I39" s="16">
        <f>SUM(C39:H39)</f>
        <v>0</v>
      </c>
      <c r="J39" s="16">
        <f>AVERAGE(C39:H39)</f>
        <v>0</v>
      </c>
      <c r="K39" s="13">
        <f>I39/I13</f>
        <v>0</v>
      </c>
    </row>
    <row r="40" spans="1:11" ht="12.75" customHeight="1" x14ac:dyDescent="0.15">
      <c r="A40" s="41"/>
      <c r="B40" s="11" t="s">
        <v>95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5">
        <v>0</v>
      </c>
      <c r="I40" s="16">
        <f>SUM(C40:H40)</f>
        <v>0</v>
      </c>
      <c r="J40" s="16">
        <f>AVERAGE(C40:H40)</f>
        <v>0</v>
      </c>
      <c r="K40" s="13">
        <f>I40/I13</f>
        <v>0</v>
      </c>
    </row>
    <row r="41" spans="1:11" ht="12.75" customHeight="1" x14ac:dyDescent="0.15">
      <c r="A41" s="41"/>
      <c r="B41" s="11" t="s">
        <v>96</v>
      </c>
      <c r="C41" s="14">
        <v>10241</v>
      </c>
      <c r="D41" s="14">
        <v>10241</v>
      </c>
      <c r="E41" s="14">
        <v>9995</v>
      </c>
      <c r="F41" s="14">
        <v>8515</v>
      </c>
      <c r="G41" s="14">
        <v>10157</v>
      </c>
      <c r="H41" s="15">
        <v>11534</v>
      </c>
      <c r="I41" s="16">
        <f>SUM(C41:H41)</f>
        <v>60683</v>
      </c>
      <c r="J41" s="16">
        <f>AVERAGE(C41:H41)</f>
        <v>10113.833333333334</v>
      </c>
      <c r="K41" s="13">
        <f>I41/I13</f>
        <v>1.7033250809797285E-2</v>
      </c>
    </row>
    <row r="42" spans="1:11" ht="12.75" customHeight="1" x14ac:dyDescent="0.15">
      <c r="A42" s="41"/>
      <c r="B42" s="17" t="s">
        <v>97</v>
      </c>
      <c r="C42" s="18">
        <f t="shared" ref="C42:H42" si="6">SUM(C36:C41)</f>
        <v>12692</v>
      </c>
      <c r="D42" s="18">
        <f t="shared" si="6"/>
        <v>12692</v>
      </c>
      <c r="E42" s="18">
        <f t="shared" si="6"/>
        <v>12003</v>
      </c>
      <c r="F42" s="18">
        <f t="shared" si="6"/>
        <v>10523</v>
      </c>
      <c r="G42" s="18">
        <f t="shared" si="6"/>
        <v>12165</v>
      </c>
      <c r="H42" s="19">
        <f t="shared" si="6"/>
        <v>13542</v>
      </c>
      <c r="I42" s="20">
        <f>SUM(C42:H42)</f>
        <v>73617</v>
      </c>
      <c r="J42" s="20">
        <f>AVERAGE(C42:H42)</f>
        <v>12269.5</v>
      </c>
      <c r="K42" s="21">
        <f>I42/I13</f>
        <v>2.0663725011368039E-2</v>
      </c>
    </row>
    <row r="43" spans="1:11" ht="12.75" customHeight="1" x14ac:dyDescent="0.15">
      <c r="A43" s="41" t="s">
        <v>98</v>
      </c>
      <c r="B43" s="11" t="s">
        <v>99</v>
      </c>
      <c r="C43" s="14">
        <v>0</v>
      </c>
      <c r="D43" s="14">
        <v>151060</v>
      </c>
      <c r="E43" s="14">
        <v>38420</v>
      </c>
      <c r="F43" s="14">
        <v>59250</v>
      </c>
      <c r="G43" s="14">
        <v>46980</v>
      </c>
      <c r="H43" s="15">
        <v>18900</v>
      </c>
      <c r="I43" s="16">
        <f>SUM(C43:H43)</f>
        <v>314610</v>
      </c>
      <c r="J43" s="16">
        <f>AVERAGE(C43:H43)</f>
        <v>52435</v>
      </c>
      <c r="K43" s="13">
        <f>I43/I13</f>
        <v>8.8308604341748489E-2</v>
      </c>
    </row>
    <row r="44" spans="1:11" ht="12.75" customHeight="1" x14ac:dyDescent="0.15">
      <c r="A44" s="41"/>
      <c r="B44" s="11" t="s">
        <v>100</v>
      </c>
      <c r="C44" s="14">
        <v>0</v>
      </c>
      <c r="D44" s="14">
        <v>-13733</v>
      </c>
      <c r="E44" s="14">
        <v>-3493</v>
      </c>
      <c r="F44" s="14">
        <v>-5386</v>
      </c>
      <c r="G44" s="14">
        <v>-4271</v>
      </c>
      <c r="H44" s="15">
        <v>-1718</v>
      </c>
      <c r="I44" s="16">
        <f>SUM(C44:H44)</f>
        <v>-28601</v>
      </c>
      <c r="J44" s="16">
        <f>AVERAGE(C44:H44)</f>
        <v>-4766.833333333333</v>
      </c>
      <c r="K44" s="13">
        <f>I44/I13</f>
        <v>-8.0280804576407256E-3</v>
      </c>
    </row>
    <row r="45" spans="1:11" ht="12.75" customHeight="1" x14ac:dyDescent="0.15">
      <c r="A45" s="41"/>
      <c r="B45" s="11" t="s">
        <v>101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5">
        <v>0</v>
      </c>
      <c r="I45" s="16">
        <f>SUM(C45:H45)</f>
        <v>0</v>
      </c>
      <c r="J45" s="16">
        <f>AVERAGE(C45:H45)</f>
        <v>0</v>
      </c>
      <c r="K45" s="13">
        <f>I45/I13</f>
        <v>0</v>
      </c>
    </row>
    <row r="46" spans="1:11" ht="12.75" customHeight="1" x14ac:dyDescent="0.15">
      <c r="A46" s="41"/>
      <c r="B46" s="11" t="s">
        <v>102</v>
      </c>
      <c r="C46" s="14">
        <v>0</v>
      </c>
      <c r="D46" s="14">
        <v>-48339.199999999997</v>
      </c>
      <c r="E46" s="14">
        <v>-12294.4</v>
      </c>
      <c r="F46" s="14">
        <v>-18960</v>
      </c>
      <c r="G46" s="14">
        <v>-15033.6</v>
      </c>
      <c r="H46" s="15">
        <v>-6048</v>
      </c>
      <c r="I46" s="16">
        <f>SUM(C46:H46)</f>
        <v>-100675.20000000001</v>
      </c>
      <c r="J46" s="16">
        <f>AVERAGE(B46:H46)</f>
        <v>-16779.2</v>
      </c>
      <c r="K46" s="13">
        <f>I46/I13</f>
        <v>-2.8258753389359518E-2</v>
      </c>
    </row>
    <row r="47" spans="1:11" ht="12.75" customHeight="1" x14ac:dyDescent="0.15">
      <c r="A47" s="41"/>
      <c r="B47" s="17" t="s">
        <v>103</v>
      </c>
      <c r="C47" s="18">
        <f t="shared" ref="C47:I47" si="7">SUM(C43:C46)</f>
        <v>0</v>
      </c>
      <c r="D47" s="18">
        <f t="shared" si="7"/>
        <v>88987.8</v>
      </c>
      <c r="E47" s="18">
        <f t="shared" si="7"/>
        <v>22632.6</v>
      </c>
      <c r="F47" s="18">
        <f t="shared" si="7"/>
        <v>34904</v>
      </c>
      <c r="G47" s="18">
        <f t="shared" si="7"/>
        <v>27675.4</v>
      </c>
      <c r="H47" s="19">
        <f t="shared" si="7"/>
        <v>11134</v>
      </c>
      <c r="I47" s="20">
        <f t="shared" si="7"/>
        <v>185333.8</v>
      </c>
      <c r="J47" s="20">
        <f>AVERAGE(B47:H47)</f>
        <v>30888.966666666664</v>
      </c>
      <c r="K47" s="21">
        <f>I47/I13</f>
        <v>5.2021770494748244E-2</v>
      </c>
    </row>
    <row r="48" spans="1:11" ht="12.75" customHeight="1" x14ac:dyDescent="0.15">
      <c r="A48" s="41" t="s">
        <v>104</v>
      </c>
      <c r="B48" s="11" t="s">
        <v>105</v>
      </c>
      <c r="C48" s="14">
        <v>37174</v>
      </c>
      <c r="D48" s="14">
        <v>334569</v>
      </c>
      <c r="E48" s="14">
        <v>148698</v>
      </c>
      <c r="F48" s="14">
        <v>185872</v>
      </c>
      <c r="G48" s="14">
        <v>148697</v>
      </c>
      <c r="H48" s="15">
        <v>408918</v>
      </c>
      <c r="I48" s="16">
        <f>SUM(C48:H48)</f>
        <v>1263928</v>
      </c>
      <c r="J48" s="16">
        <f>AVERAGE(C48:H48)</f>
        <v>210654.66666666666</v>
      </c>
      <c r="K48" s="13">
        <f>I48/I13</f>
        <v>0.3547748567065811</v>
      </c>
    </row>
    <row r="49" spans="1:11" ht="12.75" customHeight="1" x14ac:dyDescent="0.15">
      <c r="A49" s="41"/>
      <c r="B49" s="11" t="s">
        <v>106</v>
      </c>
      <c r="C49" s="14">
        <v>2409</v>
      </c>
      <c r="D49" s="14">
        <v>21678</v>
      </c>
      <c r="E49" s="14">
        <v>9634</v>
      </c>
      <c r="F49" s="14">
        <v>12043</v>
      </c>
      <c r="G49" s="14">
        <v>9635</v>
      </c>
      <c r="H49" s="15">
        <v>26494</v>
      </c>
      <c r="I49" s="16">
        <f>SUM(C49:H49)</f>
        <v>81893</v>
      </c>
      <c r="J49" s="16">
        <f>AVERAGE(C49:H49)</f>
        <v>13648.833333333334</v>
      </c>
      <c r="K49" s="13">
        <f>I49/I13</f>
        <v>2.2986734481926223E-2</v>
      </c>
    </row>
    <row r="50" spans="1:11" ht="12.75" customHeight="1" x14ac:dyDescent="0.15">
      <c r="A50" s="41"/>
      <c r="B50" s="11" t="s">
        <v>107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5">
        <v>0</v>
      </c>
      <c r="I50" s="16">
        <f>SUM(C50:H50)</f>
        <v>0</v>
      </c>
      <c r="J50" s="16">
        <f>AVERAGE(C50:H50)</f>
        <v>0</v>
      </c>
      <c r="K50" s="13">
        <f>I50/I13</f>
        <v>0</v>
      </c>
    </row>
    <row r="51" spans="1:11" ht="12.75" customHeight="1" x14ac:dyDescent="0.15">
      <c r="A51" s="41"/>
      <c r="B51" s="11" t="s">
        <v>108</v>
      </c>
      <c r="C51" s="14">
        <v>6478</v>
      </c>
      <c r="D51" s="14">
        <v>58301</v>
      </c>
      <c r="E51" s="14">
        <v>25912</v>
      </c>
      <c r="F51" s="14">
        <v>32390</v>
      </c>
      <c r="G51" s="14">
        <v>25912</v>
      </c>
      <c r="H51" s="15">
        <v>71254</v>
      </c>
      <c r="I51" s="16">
        <f>SUM(C51:H51)</f>
        <v>220247</v>
      </c>
      <c r="J51" s="16">
        <f>AVERAGE(C51:H51)</f>
        <v>36707.833333333336</v>
      </c>
      <c r="K51" s="13">
        <f>I51/I13</f>
        <v>6.1821636885213693E-2</v>
      </c>
    </row>
    <row r="52" spans="1:11" ht="12.75" customHeight="1" x14ac:dyDescent="0.15">
      <c r="A52" s="41"/>
      <c r="B52" s="11" t="s">
        <v>109</v>
      </c>
      <c r="C52" s="14">
        <v>533</v>
      </c>
      <c r="D52" s="14">
        <v>4800</v>
      </c>
      <c r="E52" s="14">
        <v>2134</v>
      </c>
      <c r="F52" s="14">
        <v>2667</v>
      </c>
      <c r="G52" s="14">
        <v>2133</v>
      </c>
      <c r="H52" s="15">
        <v>5866</v>
      </c>
      <c r="I52" s="16">
        <f>SUM(C52:H52)</f>
        <v>18133</v>
      </c>
      <c r="J52" s="16">
        <f>AVERAGE(C52:H52)</f>
        <v>3022.1666666666665</v>
      </c>
      <c r="K52" s="13">
        <f>I52/I13</f>
        <v>5.0897934666060372E-3</v>
      </c>
    </row>
    <row r="53" spans="1:11" ht="12.75" customHeight="1" x14ac:dyDescent="0.15">
      <c r="A53" s="41"/>
      <c r="B53" s="17" t="s">
        <v>110</v>
      </c>
      <c r="C53" s="18">
        <f t="shared" ref="C53:H53" si="8">SUM(C48:C52)</f>
        <v>46594</v>
      </c>
      <c r="D53" s="18">
        <f t="shared" si="8"/>
        <v>419348</v>
      </c>
      <c r="E53" s="18">
        <f t="shared" si="8"/>
        <v>186378</v>
      </c>
      <c r="F53" s="18">
        <f t="shared" si="8"/>
        <v>232972</v>
      </c>
      <c r="G53" s="18">
        <f t="shared" si="8"/>
        <v>186377</v>
      </c>
      <c r="H53" s="19">
        <f t="shared" si="8"/>
        <v>512532</v>
      </c>
      <c r="I53" s="20">
        <f>SUM(C53:H53)</f>
        <v>1584201</v>
      </c>
      <c r="J53" s="20">
        <f>AVERAGE(C53:H53)</f>
        <v>264033.5</v>
      </c>
      <c r="K53" s="21">
        <f>I53/I13</f>
        <v>0.44467302154032706</v>
      </c>
    </row>
    <row r="54" spans="1:11" ht="12.75" customHeight="1" x14ac:dyDescent="0.15">
      <c r="A54" s="41" t="s">
        <v>111</v>
      </c>
      <c r="B54" s="11" t="s">
        <v>112</v>
      </c>
      <c r="C54" s="14">
        <v>28333.333333333332</v>
      </c>
      <c r="D54" s="14">
        <v>28333.333333333332</v>
      </c>
      <c r="E54" s="14">
        <v>28333.333333333332</v>
      </c>
      <c r="F54" s="14">
        <v>28333.333333333332</v>
      </c>
      <c r="G54" s="14">
        <v>28333.333333333332</v>
      </c>
      <c r="H54" s="15">
        <v>28333.333333333332</v>
      </c>
      <c r="I54" s="16">
        <f>SUM(C54:H54)</f>
        <v>170000</v>
      </c>
      <c r="J54" s="16">
        <f>AVERAGE(C54:H54)</f>
        <v>28333.333333333332</v>
      </c>
      <c r="K54" s="13">
        <f>I54/I13</f>
        <v>4.7717690912867497E-2</v>
      </c>
    </row>
    <row r="55" spans="1:11" ht="12.75" customHeight="1" x14ac:dyDescent="0.15">
      <c r="A55" s="41"/>
      <c r="B55" s="11" t="s">
        <v>113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5">
        <v>0</v>
      </c>
      <c r="I55" s="16">
        <f>SUM(C55:H55)</f>
        <v>0</v>
      </c>
      <c r="J55" s="16">
        <f>AVERAGE(C55:H55)</f>
        <v>0</v>
      </c>
      <c r="K55" s="13">
        <f>I55/I13</f>
        <v>0</v>
      </c>
    </row>
    <row r="56" spans="1:11" ht="12.75" customHeight="1" x14ac:dyDescent="0.15">
      <c r="A56" s="41"/>
      <c r="B56" s="11" t="s">
        <v>114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5">
        <v>0</v>
      </c>
      <c r="I56" s="16">
        <f>SUM(C56:H56)</f>
        <v>0</v>
      </c>
      <c r="J56" s="16">
        <f>AVERAGE(C56:H56)</f>
        <v>0</v>
      </c>
      <c r="K56" s="13">
        <f>I56/I13</f>
        <v>0</v>
      </c>
    </row>
    <row r="57" spans="1:11" ht="12.75" customHeight="1" x14ac:dyDescent="0.15">
      <c r="A57" s="41"/>
      <c r="B57" s="11" t="s">
        <v>115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5">
        <v>0</v>
      </c>
      <c r="I57" s="16">
        <f>SUM(C57:H57)</f>
        <v>0</v>
      </c>
      <c r="J57" s="16">
        <f>AVERAGE(C57:H57)</f>
        <v>0</v>
      </c>
      <c r="K57" s="13">
        <f>I57/I13</f>
        <v>0</v>
      </c>
    </row>
    <row r="58" spans="1:11" ht="12.75" customHeight="1" x14ac:dyDescent="0.15">
      <c r="A58" s="41"/>
      <c r="B58" s="11" t="s">
        <v>116</v>
      </c>
      <c r="C58" s="14">
        <v>102189.33333333333</v>
      </c>
      <c r="D58" s="14">
        <v>102189.33333333333</v>
      </c>
      <c r="E58" s="14">
        <v>102189.33333333333</v>
      </c>
      <c r="F58" s="14">
        <v>102189.33333333333</v>
      </c>
      <c r="G58" s="14">
        <v>102189.33333333333</v>
      </c>
      <c r="H58" s="15">
        <v>102189.33333333333</v>
      </c>
      <c r="I58" s="16">
        <f>SUM(C58:H58)</f>
        <v>613136</v>
      </c>
      <c r="J58" s="16">
        <f>AVERAGE(C58:H58)</f>
        <v>102189.33333333333</v>
      </c>
      <c r="K58" s="13">
        <f>I58/I13</f>
        <v>0.17210255373854075</v>
      </c>
    </row>
    <row r="59" spans="1:11" ht="12.75" customHeight="1" x14ac:dyDescent="0.15">
      <c r="A59" s="41"/>
      <c r="B59" s="11" t="s">
        <v>117</v>
      </c>
      <c r="C59" s="14">
        <v>96634</v>
      </c>
      <c r="D59" s="14">
        <v>96634</v>
      </c>
      <c r="E59" s="14">
        <v>96634</v>
      </c>
      <c r="F59" s="14">
        <v>96634</v>
      </c>
      <c r="G59" s="14">
        <v>96634</v>
      </c>
      <c r="H59" s="15">
        <v>96634</v>
      </c>
      <c r="I59" s="16">
        <f>SUM(C59:H59)</f>
        <v>579804</v>
      </c>
      <c r="J59" s="16">
        <f>AVERAGE(C59:H59)</f>
        <v>96634</v>
      </c>
      <c r="K59" s="13">
        <f>I59/I13</f>
        <v>0.16274651801202486</v>
      </c>
    </row>
    <row r="60" spans="1:11" ht="12.75" customHeight="1" x14ac:dyDescent="0.15">
      <c r="A60" s="41"/>
      <c r="B60" s="17" t="s">
        <v>118</v>
      </c>
      <c r="C60" s="18">
        <f t="shared" ref="C60:H60" si="9">SUM(C54:C59)</f>
        <v>227156.66666666666</v>
      </c>
      <c r="D60" s="18">
        <f t="shared" si="9"/>
        <v>227156.66666666666</v>
      </c>
      <c r="E60" s="18">
        <f t="shared" si="9"/>
        <v>227156.66666666666</v>
      </c>
      <c r="F60" s="18">
        <f t="shared" si="9"/>
        <v>227156.66666666666</v>
      </c>
      <c r="G60" s="18">
        <f t="shared" si="9"/>
        <v>227156.66666666666</v>
      </c>
      <c r="H60" s="19">
        <f t="shared" si="9"/>
        <v>227156.66666666666</v>
      </c>
      <c r="I60" s="20">
        <f>SUM(C60:H60)</f>
        <v>1362940</v>
      </c>
      <c r="J60" s="20">
        <f>AVERAGE(C60:H60)</f>
        <v>227156.66666666666</v>
      </c>
      <c r="K60" s="21">
        <f>I60/I13</f>
        <v>0.38256676266343309</v>
      </c>
    </row>
    <row r="61" spans="1:11" ht="12.75" customHeight="1" x14ac:dyDescent="0.15">
      <c r="A61" s="38" t="s">
        <v>119</v>
      </c>
      <c r="B61" s="38"/>
      <c r="C61" s="14">
        <f t="shared" ref="C61:H61" si="10">SUM(C53+C23+C29+C35+C42+C47+C60)</f>
        <v>384039.46666666667</v>
      </c>
      <c r="D61" s="14">
        <f t="shared" si="10"/>
        <v>1221575.1238095239</v>
      </c>
      <c r="E61" s="14">
        <f t="shared" si="10"/>
        <v>850854.55238095229</v>
      </c>
      <c r="F61" s="14">
        <f t="shared" si="10"/>
        <v>880025.03809523804</v>
      </c>
      <c r="G61" s="14">
        <f t="shared" si="10"/>
        <v>819907.15238095238</v>
      </c>
      <c r="H61" s="15">
        <f t="shared" si="10"/>
        <v>1237854.2952380953</v>
      </c>
      <c r="I61" s="16">
        <f>SUM(C61:H61)</f>
        <v>5394255.6285714284</v>
      </c>
      <c r="J61" s="16">
        <f>AVERAGE(C61:H61)</f>
        <v>899042.60476190469</v>
      </c>
      <c r="K61" s="13">
        <f>I61/I13</f>
        <v>1.5141260164068657</v>
      </c>
    </row>
    <row r="62" spans="1:11" ht="12.75" customHeight="1" x14ac:dyDescent="0.15">
      <c r="A62" s="38" t="s">
        <v>120</v>
      </c>
      <c r="B62" s="38"/>
      <c r="C62" s="14">
        <f t="shared" ref="C62:H62" si="11">SUM(C13+C14-C61)</f>
        <v>-384039.46666666667</v>
      </c>
      <c r="D62" s="14">
        <f t="shared" si="11"/>
        <v>172624.87619047612</v>
      </c>
      <c r="E62" s="14">
        <f t="shared" si="11"/>
        <v>-444654.55238095229</v>
      </c>
      <c r="F62" s="14">
        <f t="shared" si="11"/>
        <v>-275025.03809523804</v>
      </c>
      <c r="G62" s="14">
        <f t="shared" si="11"/>
        <v>-351907.15238095238</v>
      </c>
      <c r="H62" s="15">
        <f t="shared" si="11"/>
        <v>-548634.29523809534</v>
      </c>
      <c r="I62" s="16">
        <f>SUM(C62:H62)</f>
        <v>-1831635.6285714286</v>
      </c>
      <c r="J62" s="16">
        <f>AVERAGE(C62:H62)</f>
        <v>-305272.60476190475</v>
      </c>
      <c r="K62" s="13">
        <f>I62/I13</f>
        <v>-0.51412601640686595</v>
      </c>
    </row>
    <row r="63" spans="1:11" ht="12.75" customHeight="1" x14ac:dyDescent="0.15">
      <c r="A63" s="38" t="s">
        <v>121</v>
      </c>
      <c r="B63" s="38"/>
      <c r="C63" s="14">
        <v>104263.38095238095</v>
      </c>
      <c r="D63" s="14">
        <v>104263.38095238095</v>
      </c>
      <c r="E63" s="14">
        <v>104263.38095238095</v>
      </c>
      <c r="F63" s="14">
        <v>104263.38095238095</v>
      </c>
      <c r="G63" s="14">
        <v>104263.38095238095</v>
      </c>
      <c r="H63" s="15">
        <v>104263.38095238095</v>
      </c>
      <c r="I63" s="16">
        <f>SUM(C63:H63)</f>
        <v>625580.28571428568</v>
      </c>
      <c r="J63" s="16">
        <f>AVERAGE(C63:H63)</f>
        <v>104263.38095238095</v>
      </c>
      <c r="K63" s="13">
        <f>I63/I13</f>
        <v>0.17559556891116249</v>
      </c>
    </row>
    <row r="64" spans="1:11" ht="12.75" customHeight="1" x14ac:dyDescent="0.15">
      <c r="A64" s="38" t="s">
        <v>122</v>
      </c>
      <c r="B64" s="38"/>
      <c r="C64" s="14">
        <v>29722.833333333332</v>
      </c>
      <c r="D64" s="14">
        <v>29722.833333333332</v>
      </c>
      <c r="E64" s="14">
        <v>29722.833333333332</v>
      </c>
      <c r="F64" s="14">
        <v>29722.833333333332</v>
      </c>
      <c r="G64" s="14">
        <v>29722.833333333332</v>
      </c>
      <c r="H64" s="15">
        <v>29722.833333333332</v>
      </c>
      <c r="I64" s="16">
        <f>SUM(C64:H64)</f>
        <v>178337</v>
      </c>
      <c r="J64" s="16">
        <f>AVERAGE(C64:H64)</f>
        <v>29722.833333333332</v>
      </c>
      <c r="K64" s="13">
        <f>I64/I13</f>
        <v>5.0057822613694417E-2</v>
      </c>
    </row>
    <row r="65" spans="1:11" ht="12.75" customHeight="1" x14ac:dyDescent="0.15">
      <c r="A65" s="38" t="s">
        <v>123</v>
      </c>
      <c r="B65" s="38"/>
      <c r="C65" s="14">
        <f t="shared" ref="C65:H65" si="12">SUM(C62-(C63+C64))</f>
        <v>-518025.68095238099</v>
      </c>
      <c r="D65" s="14">
        <f t="shared" si="12"/>
        <v>38638.66190476183</v>
      </c>
      <c r="E65" s="14">
        <f t="shared" si="12"/>
        <v>-578640.7666666666</v>
      </c>
      <c r="F65" s="14">
        <f t="shared" si="12"/>
        <v>-409011.25238095236</v>
      </c>
      <c r="G65" s="14">
        <f t="shared" si="12"/>
        <v>-485893.3666666667</v>
      </c>
      <c r="H65" s="15">
        <f t="shared" si="12"/>
        <v>-682620.50952380965</v>
      </c>
      <c r="I65" s="16">
        <f>SUM(C65:H65)</f>
        <v>-2635552.9142857147</v>
      </c>
      <c r="J65" s="16">
        <f>AVERAGE(C65:H65)</f>
        <v>-439258.81904761912</v>
      </c>
      <c r="K65" s="13">
        <f>I65/I13</f>
        <v>-0.73977940793172292</v>
      </c>
    </row>
    <row r="66" spans="1:11" x14ac:dyDescent="0.15">
      <c r="A66" s="11"/>
      <c r="B66" s="29" t="s">
        <v>46</v>
      </c>
      <c r="C66" s="11"/>
      <c r="D66" s="11"/>
      <c r="E66" s="11"/>
      <c r="F66" s="11"/>
      <c r="G66" s="11"/>
      <c r="H66" s="11"/>
    </row>
    <row r="67" spans="1:11" x14ac:dyDescent="0.15">
      <c r="A67" s="12"/>
      <c r="B67" s="30"/>
      <c r="C67" s="11"/>
      <c r="D67" s="11"/>
      <c r="E67" s="11"/>
      <c r="F67" s="11"/>
      <c r="G67" s="11"/>
      <c r="H67" s="11"/>
    </row>
    <row r="68" spans="1:11" x14ac:dyDescent="0.15">
      <c r="A68" s="12"/>
      <c r="B68" s="33" t="s">
        <v>130</v>
      </c>
      <c r="C68" s="11"/>
      <c r="D68" s="11"/>
      <c r="E68" s="11"/>
      <c r="F68" s="11"/>
      <c r="G68" s="11"/>
      <c r="H68" s="11"/>
    </row>
    <row r="69" spans="1:11" x14ac:dyDescent="0.15">
      <c r="A69" s="12"/>
      <c r="B69" s="34" t="s">
        <v>131</v>
      </c>
      <c r="C69" s="11"/>
      <c r="D69" s="11"/>
      <c r="E69" s="11"/>
      <c r="F69" s="11"/>
      <c r="G69" s="11"/>
      <c r="H69" s="11"/>
    </row>
    <row r="70" spans="1:11" x14ac:dyDescent="0.15">
      <c r="A70" s="12"/>
      <c r="B70" s="34" t="s">
        <v>41</v>
      </c>
      <c r="C70" s="11"/>
      <c r="D70" s="11"/>
      <c r="E70" s="11"/>
      <c r="F70" s="11"/>
      <c r="G70" s="11"/>
      <c r="H70" s="11"/>
    </row>
    <row r="71" spans="1:11" x14ac:dyDescent="0.15">
      <c r="A71" s="11"/>
      <c r="B71" s="35" t="s">
        <v>47</v>
      </c>
      <c r="C71" s="11"/>
      <c r="D71" s="11"/>
      <c r="E71" s="11"/>
      <c r="F71" s="11"/>
      <c r="G71" s="11"/>
      <c r="H71" s="11"/>
    </row>
    <row r="72" spans="1:11" x14ac:dyDescent="0.15">
      <c r="A72" s="11"/>
      <c r="B72" s="30"/>
      <c r="C72" s="11"/>
      <c r="D72" s="11"/>
      <c r="E72" s="11"/>
      <c r="F72" s="11"/>
      <c r="G72" s="11"/>
      <c r="H72" s="11"/>
    </row>
    <row r="73" spans="1:11" x14ac:dyDescent="0.15">
      <c r="A73" s="11"/>
      <c r="B73" s="33" t="s">
        <v>130</v>
      </c>
      <c r="C73" s="11"/>
      <c r="D73" s="11"/>
      <c r="E73" s="11"/>
      <c r="F73" s="11"/>
      <c r="G73" s="11"/>
      <c r="H73" s="11"/>
    </row>
    <row r="74" spans="1:11" x14ac:dyDescent="0.15">
      <c r="A74" s="11"/>
      <c r="B74" s="34" t="s">
        <v>131</v>
      </c>
      <c r="C74" s="11"/>
      <c r="D74" s="11"/>
      <c r="E74" s="11"/>
      <c r="F74" s="11"/>
      <c r="G74" s="11"/>
      <c r="H74" s="11"/>
    </row>
    <row r="75" spans="1:11" x14ac:dyDescent="0.15">
      <c r="A75" s="11"/>
      <c r="B75" s="34" t="s">
        <v>41</v>
      </c>
      <c r="C75" s="11"/>
      <c r="D75" s="11"/>
      <c r="E75" s="11"/>
      <c r="F75" s="11"/>
      <c r="G75" s="11"/>
      <c r="H75" s="11"/>
    </row>
    <row r="76" spans="1:11" x14ac:dyDescent="0.15">
      <c r="A76" s="11"/>
      <c r="B76" s="11" t="s">
        <v>135</v>
      </c>
      <c r="C76" s="11"/>
      <c r="D76" s="11"/>
      <c r="E76" s="11"/>
      <c r="F76" s="11"/>
      <c r="G76" s="11"/>
      <c r="H76" s="11"/>
    </row>
    <row r="77" spans="1:11" x14ac:dyDescent="0.15">
      <c r="A77" s="11"/>
      <c r="B77" s="30"/>
      <c r="C77" s="11"/>
      <c r="D77" s="11"/>
      <c r="E77" s="11"/>
      <c r="F77" s="11"/>
      <c r="G77" s="11"/>
      <c r="H77" s="11"/>
    </row>
    <row r="78" spans="1:11" x14ac:dyDescent="0.15">
      <c r="A78" s="11"/>
      <c r="B78" s="33" t="s">
        <v>130</v>
      </c>
      <c r="C78" s="11"/>
      <c r="D78" s="11"/>
      <c r="E78" s="11"/>
      <c r="F78" s="11"/>
      <c r="G78" s="11"/>
      <c r="H78" s="11"/>
    </row>
    <row r="79" spans="1:11" x14ac:dyDescent="0.15">
      <c r="A79" s="11"/>
      <c r="B79" s="34" t="s">
        <v>131</v>
      </c>
      <c r="C79" s="11"/>
      <c r="D79" s="11"/>
      <c r="E79" s="11"/>
      <c r="F79" s="11"/>
      <c r="G79" s="11"/>
      <c r="H79" s="11"/>
    </row>
    <row r="80" spans="1:11" x14ac:dyDescent="0.15">
      <c r="A80" s="11"/>
      <c r="B80" s="34" t="s">
        <v>41</v>
      </c>
      <c r="C80" s="11"/>
      <c r="D80" s="11"/>
      <c r="E80" s="11"/>
      <c r="F80" s="11"/>
      <c r="G80" s="11"/>
      <c r="H80" s="11"/>
    </row>
    <row r="81" spans="1:8" x14ac:dyDescent="0.15">
      <c r="A81" s="11"/>
      <c r="B81" s="11" t="s">
        <v>139</v>
      </c>
      <c r="C81" s="11"/>
      <c r="D81" s="11"/>
      <c r="E81" s="11"/>
      <c r="F81" s="11"/>
      <c r="G81" s="11"/>
      <c r="H81" s="11"/>
    </row>
    <row r="82" spans="1:8" x14ac:dyDescent="0.15">
      <c r="A82" s="11"/>
      <c r="B82" s="30"/>
      <c r="C82" s="11"/>
      <c r="D82" s="11"/>
      <c r="E82" s="11"/>
      <c r="F82" s="11"/>
      <c r="G82" s="11"/>
      <c r="H82" s="11"/>
    </row>
    <row r="83" spans="1:8" x14ac:dyDescent="0.15">
      <c r="A83" s="11"/>
      <c r="B83" s="33" t="s">
        <v>130</v>
      </c>
      <c r="C83" s="11"/>
      <c r="D83" s="11"/>
      <c r="E83" s="11"/>
      <c r="F83" s="11"/>
      <c r="G83" s="11"/>
      <c r="H83" s="11"/>
    </row>
    <row r="84" spans="1:8" x14ac:dyDescent="0.15">
      <c r="A84" s="11"/>
      <c r="B84" s="34" t="s">
        <v>131</v>
      </c>
      <c r="C84" s="11"/>
      <c r="D84" s="11"/>
      <c r="E84" s="11"/>
      <c r="F84" s="11"/>
      <c r="G84" s="11"/>
      <c r="H84" s="11"/>
    </row>
    <row r="85" spans="1:8" x14ac:dyDescent="0.15">
      <c r="A85" s="11"/>
      <c r="B85" s="34" t="s">
        <v>41</v>
      </c>
      <c r="C85" s="11"/>
      <c r="D85" s="11"/>
      <c r="E85" s="11"/>
      <c r="F85" s="11"/>
      <c r="G85" s="11"/>
      <c r="H85" s="11"/>
    </row>
    <row r="86" spans="1:8" x14ac:dyDescent="0.15">
      <c r="A86" s="11"/>
      <c r="B86" s="11" t="s">
        <v>143</v>
      </c>
      <c r="C86" s="11"/>
      <c r="D86" s="11"/>
      <c r="E86" s="11"/>
      <c r="F86" s="11"/>
      <c r="G86" s="11"/>
      <c r="H86" s="11"/>
    </row>
    <row r="87" spans="1:8" x14ac:dyDescent="0.15">
      <c r="A87" s="11"/>
      <c r="B87" s="30"/>
      <c r="C87" s="11"/>
      <c r="D87" s="11"/>
      <c r="E87" s="11"/>
      <c r="F87" s="11"/>
      <c r="G87" s="11"/>
      <c r="H87" s="11"/>
    </row>
    <row r="88" spans="1:8" x14ac:dyDescent="0.15">
      <c r="A88" s="11"/>
      <c r="B88" s="33" t="s">
        <v>130</v>
      </c>
      <c r="C88" s="11"/>
      <c r="D88" s="11"/>
      <c r="E88" s="11"/>
      <c r="F88" s="11"/>
      <c r="G88" s="11"/>
      <c r="H88" s="11"/>
    </row>
    <row r="89" spans="1:8" x14ac:dyDescent="0.15">
      <c r="A89" s="11"/>
      <c r="B89" s="34" t="s">
        <v>131</v>
      </c>
      <c r="C89" s="11"/>
      <c r="D89" s="11"/>
      <c r="E89" s="11"/>
      <c r="F89" s="11"/>
      <c r="G89" s="11"/>
      <c r="H89" s="11"/>
    </row>
    <row r="90" spans="1:8" x14ac:dyDescent="0.15">
      <c r="A90" s="11"/>
      <c r="B90" s="34" t="s">
        <v>41</v>
      </c>
      <c r="C90" s="11"/>
      <c r="D90" s="11"/>
      <c r="E90" s="11"/>
      <c r="F90" s="11"/>
      <c r="G90" s="11"/>
      <c r="H90" s="11"/>
    </row>
    <row r="91" spans="1:8" x14ac:dyDescent="0.15">
      <c r="A91" s="11"/>
      <c r="B91" s="11"/>
      <c r="C91" s="11"/>
      <c r="D91" s="11"/>
      <c r="E91" s="11"/>
      <c r="F91" s="11"/>
      <c r="G91" s="11"/>
      <c r="H91" s="11"/>
    </row>
    <row r="92" spans="1:8" x14ac:dyDescent="0.15">
      <c r="A92" s="11"/>
      <c r="B92" s="30"/>
      <c r="C92" s="11"/>
      <c r="D92" s="11"/>
      <c r="E92" s="11"/>
      <c r="F92" s="11"/>
      <c r="G92" s="11"/>
      <c r="H92" s="11"/>
    </row>
    <row r="93" spans="1:8" x14ac:dyDescent="0.15">
      <c r="A93" s="11"/>
      <c r="B93" s="33" t="s">
        <v>130</v>
      </c>
      <c r="C93" s="11"/>
      <c r="D93" s="11"/>
      <c r="E93" s="11"/>
      <c r="F93" s="11"/>
      <c r="G93" s="11"/>
      <c r="H93" s="11"/>
    </row>
    <row r="94" spans="1:8" x14ac:dyDescent="0.15">
      <c r="B94" s="34" t="s">
        <v>131</v>
      </c>
    </row>
    <row r="95" spans="1:8" x14ac:dyDescent="0.15">
      <c r="B95" s="34" t="s">
        <v>41</v>
      </c>
    </row>
    <row r="97" spans="2:2" x14ac:dyDescent="0.15">
      <c r="B97" s="30"/>
    </row>
    <row r="98" spans="2:2" x14ac:dyDescent="0.15">
      <c r="B98" s="33" t="s">
        <v>130</v>
      </c>
    </row>
    <row r="99" spans="2:2" x14ac:dyDescent="0.15">
      <c r="B99" s="34" t="s">
        <v>131</v>
      </c>
    </row>
    <row r="100" spans="2:2" x14ac:dyDescent="0.15">
      <c r="B100" s="34" t="s">
        <v>41</v>
      </c>
    </row>
    <row r="102" spans="2:2" x14ac:dyDescent="0.15">
      <c r="B102" s="30"/>
    </row>
    <row r="103" spans="2:2" x14ac:dyDescent="0.15">
      <c r="B103" s="33" t="s">
        <v>130</v>
      </c>
    </row>
    <row r="104" spans="2:2" x14ac:dyDescent="0.15">
      <c r="B104" s="34" t="s">
        <v>131</v>
      </c>
    </row>
    <row r="105" spans="2:2" x14ac:dyDescent="0.15">
      <c r="B105" s="34" t="s">
        <v>41</v>
      </c>
    </row>
    <row r="107" spans="2:2" x14ac:dyDescent="0.15">
      <c r="B107" s="11" t="s">
        <v>156</v>
      </c>
    </row>
  </sheetData>
  <mergeCells count="26">
    <mergeCell ref="A64:B64"/>
    <mergeCell ref="A65:B65"/>
    <mergeCell ref="A43:A47"/>
    <mergeCell ref="A48:A53"/>
    <mergeCell ref="A54:A60"/>
    <mergeCell ref="A61:B61"/>
    <mergeCell ref="A62:B62"/>
    <mergeCell ref="A63:B63"/>
    <mergeCell ref="A15:B15"/>
    <mergeCell ref="A16:B16"/>
    <mergeCell ref="A17:A23"/>
    <mergeCell ref="A24:A29"/>
    <mergeCell ref="A30:A35"/>
    <mergeCell ref="A36:A42"/>
    <mergeCell ref="A9:B9"/>
    <mergeCell ref="A10:B10"/>
    <mergeCell ref="A11:B11"/>
    <mergeCell ref="A12:B12"/>
    <mergeCell ref="A13:B13"/>
    <mergeCell ref="A14:B14"/>
    <mergeCell ref="A3:B3"/>
    <mergeCell ref="A4:B4"/>
    <mergeCell ref="A5:B5"/>
    <mergeCell ref="A6:B6"/>
    <mergeCell ref="A7:B7"/>
    <mergeCell ref="A8:B8"/>
  </mergeCells>
  <phoneticPr fontId="3"/>
  <pageMargins left="0.6692913385826772" right="0.19685039370078741" top="0.31496062992125984" bottom="0.35433070866141736" header="0.19685039370078741" footer="0.19685039370078741"/>
  <pageSetup paperSize="12" scale="90" orientation="landscape" r:id="rId1"/>
  <headerFooter alignWithMargins="0"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print="0" autoLine="0" r:id="rId5">
            <anchor>
              <from>
                <xdr:col>0</xdr:col>
                <xdr:colOff>19050</xdr:colOff>
                <xdr:row>2</xdr:row>
                <xdr:rowOff>28575</xdr:rowOff>
              </from>
              <to>
                <xdr:col>1</xdr:col>
                <xdr:colOff>485775</xdr:colOff>
                <xdr:row>3</xdr:row>
                <xdr:rowOff>142875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14</vt:i4>
      </vt:variant>
    </vt:vector>
  </HeadingPairs>
  <TitlesOfParts>
    <vt:vector size="21" baseType="lpstr">
      <vt:lpstr>全社</vt:lpstr>
      <vt:lpstr>東京(営)</vt:lpstr>
      <vt:lpstr>東北部門</vt:lpstr>
      <vt:lpstr>小名浜(営)</vt:lpstr>
      <vt:lpstr>仙台(営)</vt:lpstr>
      <vt:lpstr>川崎(営)</vt:lpstr>
      <vt:lpstr>九州(営)</vt:lpstr>
      <vt:lpstr>'九州(営)'!Print_Area</vt:lpstr>
      <vt:lpstr>'小名浜(営)'!Print_Area</vt:lpstr>
      <vt:lpstr>'仙台(営)'!Print_Area</vt:lpstr>
      <vt:lpstr>'川崎(営)'!Print_Area</vt:lpstr>
      <vt:lpstr>全社!Print_Area</vt:lpstr>
      <vt:lpstr>'東京(営)'!Print_Area</vt:lpstr>
      <vt:lpstr>東北部門!Print_Area</vt:lpstr>
      <vt:lpstr>'九州(営)'!Print_Titles</vt:lpstr>
      <vt:lpstr>'小名浜(営)'!Print_Titles</vt:lpstr>
      <vt:lpstr>'仙台(営)'!Print_Titles</vt:lpstr>
      <vt:lpstr>'川崎(営)'!Print_Titles</vt:lpstr>
      <vt:lpstr>全社!Print_Titles</vt:lpstr>
      <vt:lpstr>'東京(営)'!Print_Titles</vt:lpstr>
      <vt:lpstr>東北部門!Print_Titles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asada</dc:creator>
  <cp:lastModifiedBy>asada</cp:lastModifiedBy>
  <cp:lastPrinted>2024-08-28T02:15:49Z</cp:lastPrinted>
  <dcterms:created xsi:type="dcterms:W3CDTF">2024-08-27T01:16:59Z</dcterms:created>
  <dcterms:modified xsi:type="dcterms:W3CDTF">2024-08-28T06:34:28Z</dcterms:modified>
</cp:coreProperties>
</file>