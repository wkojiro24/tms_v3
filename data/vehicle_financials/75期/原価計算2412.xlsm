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6.12月\"/>
    </mc:Choice>
  </mc:AlternateContent>
  <xr:revisionPtr revIDLastSave="0" documentId="13_ncr:1_{3C446D88-26E6-4C8B-A1FB-0F27F190D1A3}" xr6:coauthVersionLast="47" xr6:coauthVersionMax="47" xr10:uidLastSave="{00000000-0000-0000-0000-000000000000}"/>
  <bookViews>
    <workbookView xWindow="-120" yWindow="-120" windowWidth="29040" windowHeight="15840" xr2:uid="{EFE891D5-8DDD-493B-B587-56A2AE63433C}"/>
  </bookViews>
  <sheets>
    <sheet name="全社" sheetId="1" r:id="rId1"/>
    <sheet name="東京(営)" sheetId="2" r:id="rId2"/>
    <sheet name="東北部門" sheetId="3" r:id="rId3"/>
    <sheet name="小名浜(営)" sheetId="5" r:id="rId4"/>
    <sheet name="仙台(営)" sheetId="6" r:id="rId5"/>
    <sheet name="川崎(営)" sheetId="4" r:id="rId6"/>
    <sheet name="九州(営)" sheetId="7" r:id="rId7"/>
  </sheets>
  <functionGroups builtInGroupCount="19"/>
  <definedNames>
    <definedName name="_xlnm.Print_Area" localSheetId="6">'九州(営)'!$A$1:$K$60</definedName>
    <definedName name="_xlnm.Print_Area" localSheetId="3">'小名浜(営)'!$A$1:$Y$60</definedName>
    <definedName name="_xlnm.Print_Area" localSheetId="4">'仙台(営)'!$A$1:$L$60</definedName>
    <definedName name="_xlnm.Print_Area" localSheetId="5">'川崎(営)'!$A$1:$K$60</definedName>
    <definedName name="_xlnm.Print_Area" localSheetId="0">全社!$A$1:$AZ$60</definedName>
    <definedName name="_xlnm.Print_Area" localSheetId="1">'東京(営)'!$A$1:$M$60</definedName>
    <definedName name="_xlnm.Print_Area" localSheetId="2">東北部門!$A$1:$AF$60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" i="7" l="1"/>
  <c r="I59" i="7"/>
  <c r="K59" i="7" s="1"/>
  <c r="J58" i="7"/>
  <c r="I58" i="7"/>
  <c r="H55" i="7"/>
  <c r="G55" i="7"/>
  <c r="F55" i="7"/>
  <c r="E55" i="7"/>
  <c r="D55" i="7"/>
  <c r="C55" i="7"/>
  <c r="J55" i="7"/>
  <c r="J54" i="7"/>
  <c r="I54" i="7"/>
  <c r="J53" i="7"/>
  <c r="I53" i="7"/>
  <c r="K53" i="7" s="1"/>
  <c r="J52" i="7"/>
  <c r="I52" i="7"/>
  <c r="J51" i="7"/>
  <c r="I51" i="7"/>
  <c r="K51" i="7" s="1"/>
  <c r="J50" i="7"/>
  <c r="I50" i="7"/>
  <c r="H49" i="7"/>
  <c r="G49" i="7"/>
  <c r="F49" i="7"/>
  <c r="E49" i="7"/>
  <c r="D49" i="7"/>
  <c r="C49" i="7"/>
  <c r="J48" i="7"/>
  <c r="I48" i="7"/>
  <c r="K47" i="7"/>
  <c r="J47" i="7"/>
  <c r="I47" i="7"/>
  <c r="J46" i="7"/>
  <c r="I46" i="7"/>
  <c r="K46" i="7" s="1"/>
  <c r="J45" i="7"/>
  <c r="I45" i="7"/>
  <c r="H44" i="7"/>
  <c r="G44" i="7"/>
  <c r="F44" i="7"/>
  <c r="E44" i="7"/>
  <c r="D44" i="7"/>
  <c r="C44" i="7"/>
  <c r="J44" i="7" s="1"/>
  <c r="J43" i="7"/>
  <c r="I43" i="7"/>
  <c r="K43" i="7" s="1"/>
  <c r="J42" i="7"/>
  <c r="I42" i="7"/>
  <c r="J41" i="7"/>
  <c r="I41" i="7"/>
  <c r="K41" i="7" s="1"/>
  <c r="J40" i="7"/>
  <c r="I40" i="7"/>
  <c r="H39" i="7"/>
  <c r="G39" i="7"/>
  <c r="F39" i="7"/>
  <c r="E39" i="7"/>
  <c r="D39" i="7"/>
  <c r="C39" i="7"/>
  <c r="J39" i="7" s="1"/>
  <c r="J38" i="7"/>
  <c r="I38" i="7"/>
  <c r="J37" i="7"/>
  <c r="I37" i="7"/>
  <c r="J36" i="7"/>
  <c r="I36" i="7"/>
  <c r="K35" i="7"/>
  <c r="J35" i="7"/>
  <c r="I35" i="7"/>
  <c r="J34" i="7"/>
  <c r="I34" i="7"/>
  <c r="K34" i="7" s="1"/>
  <c r="H33" i="7"/>
  <c r="G33" i="7"/>
  <c r="F33" i="7"/>
  <c r="E33" i="7"/>
  <c r="D33" i="7"/>
  <c r="I33" i="7" s="1"/>
  <c r="K33" i="7" s="1"/>
  <c r="C33" i="7"/>
  <c r="J32" i="7"/>
  <c r="I32" i="7"/>
  <c r="J31" i="7"/>
  <c r="I31" i="7"/>
  <c r="K31" i="7" s="1"/>
  <c r="J30" i="7"/>
  <c r="I30" i="7"/>
  <c r="H29" i="7"/>
  <c r="G29" i="7"/>
  <c r="F29" i="7"/>
  <c r="E29" i="7"/>
  <c r="D29" i="7"/>
  <c r="C29" i="7"/>
  <c r="J29" i="7" s="1"/>
  <c r="J28" i="7"/>
  <c r="I28" i="7"/>
  <c r="K28" i="7" s="1"/>
  <c r="G27" i="7"/>
  <c r="J26" i="7"/>
  <c r="I26" i="7"/>
  <c r="K26" i="7" s="1"/>
  <c r="H25" i="7"/>
  <c r="H27" i="7" s="1"/>
  <c r="G25" i="7"/>
  <c r="F25" i="7"/>
  <c r="F27" i="7" s="1"/>
  <c r="E25" i="7"/>
  <c r="E27" i="7" s="1"/>
  <c r="D25" i="7"/>
  <c r="D27" i="7" s="1"/>
  <c r="C25" i="7"/>
  <c r="C27" i="7" s="1"/>
  <c r="J24" i="7"/>
  <c r="I24" i="7"/>
  <c r="K24" i="7" s="1"/>
  <c r="J23" i="7"/>
  <c r="I23" i="7"/>
  <c r="H22" i="7"/>
  <c r="G22" i="7"/>
  <c r="F22" i="7"/>
  <c r="E22" i="7"/>
  <c r="D22" i="7"/>
  <c r="C22" i="7"/>
  <c r="J22" i="7" s="1"/>
  <c r="J21" i="7"/>
  <c r="I21" i="7"/>
  <c r="J20" i="7"/>
  <c r="I20" i="7"/>
  <c r="K19" i="7"/>
  <c r="J19" i="7"/>
  <c r="I19" i="7"/>
  <c r="J18" i="7"/>
  <c r="I18" i="7"/>
  <c r="J17" i="7"/>
  <c r="I17" i="7"/>
  <c r="H16" i="7"/>
  <c r="G16" i="7"/>
  <c r="F16" i="7"/>
  <c r="E16" i="7"/>
  <c r="D16" i="7"/>
  <c r="C16" i="7"/>
  <c r="J16" i="7" s="1"/>
  <c r="H15" i="7"/>
  <c r="G15" i="7"/>
  <c r="F15" i="7"/>
  <c r="E15" i="7"/>
  <c r="D15" i="7"/>
  <c r="C15" i="7"/>
  <c r="J15" i="7" s="1"/>
  <c r="J14" i="7"/>
  <c r="I14" i="7"/>
  <c r="J13" i="7"/>
  <c r="I13" i="7"/>
  <c r="K40" i="7" s="1"/>
  <c r="J12" i="7"/>
  <c r="I12" i="7"/>
  <c r="J11" i="7"/>
  <c r="I11" i="7"/>
  <c r="I29" i="7" s="1"/>
  <c r="K29" i="7" s="1"/>
  <c r="I9" i="7"/>
  <c r="K59" i="6"/>
  <c r="J59" i="6"/>
  <c r="K58" i="6"/>
  <c r="J58" i="6"/>
  <c r="I55" i="6"/>
  <c r="H55" i="6"/>
  <c r="G55" i="6"/>
  <c r="F55" i="6"/>
  <c r="K55" i="6" s="1"/>
  <c r="E55" i="6"/>
  <c r="D55" i="6"/>
  <c r="C55" i="6"/>
  <c r="J55" i="6"/>
  <c r="K54" i="6"/>
  <c r="J54" i="6"/>
  <c r="K53" i="6"/>
  <c r="J53" i="6"/>
  <c r="K52" i="6"/>
  <c r="J52" i="6"/>
  <c r="K51" i="6"/>
  <c r="J51" i="6"/>
  <c r="K50" i="6"/>
  <c r="J50" i="6"/>
  <c r="I49" i="6"/>
  <c r="H49" i="6"/>
  <c r="G49" i="6"/>
  <c r="F49" i="6"/>
  <c r="E49" i="6"/>
  <c r="D49" i="6"/>
  <c r="C49" i="6"/>
  <c r="K49" i="6"/>
  <c r="K48" i="6"/>
  <c r="J48" i="6"/>
  <c r="K47" i="6"/>
  <c r="J47" i="6"/>
  <c r="K46" i="6"/>
  <c r="J46" i="6"/>
  <c r="K45" i="6"/>
  <c r="J45" i="6"/>
  <c r="I44" i="6"/>
  <c r="H44" i="6"/>
  <c r="G44" i="6"/>
  <c r="F44" i="6"/>
  <c r="E44" i="6"/>
  <c r="D44" i="6"/>
  <c r="C44" i="6"/>
  <c r="K44" i="6" s="1"/>
  <c r="K43" i="6"/>
  <c r="J43" i="6"/>
  <c r="K42" i="6"/>
  <c r="J42" i="6"/>
  <c r="K41" i="6"/>
  <c r="J41" i="6"/>
  <c r="L41" i="6" s="1"/>
  <c r="K40" i="6"/>
  <c r="J40" i="6"/>
  <c r="I39" i="6"/>
  <c r="H39" i="6"/>
  <c r="G39" i="6"/>
  <c r="F39" i="6"/>
  <c r="E39" i="6"/>
  <c r="D39" i="6"/>
  <c r="C39" i="6"/>
  <c r="J39" i="6" s="1"/>
  <c r="L39" i="6" s="1"/>
  <c r="K38" i="6"/>
  <c r="J38" i="6"/>
  <c r="K37" i="6"/>
  <c r="J37" i="6"/>
  <c r="K36" i="6"/>
  <c r="J36" i="6"/>
  <c r="K35" i="6"/>
  <c r="J35" i="6"/>
  <c r="K34" i="6"/>
  <c r="J34" i="6"/>
  <c r="I33" i="6"/>
  <c r="H33" i="6"/>
  <c r="G33" i="6"/>
  <c r="F33" i="6"/>
  <c r="E33" i="6"/>
  <c r="D33" i="6"/>
  <c r="C33" i="6"/>
  <c r="J33" i="6" s="1"/>
  <c r="L33" i="6" s="1"/>
  <c r="K32" i="6"/>
  <c r="J32" i="6"/>
  <c r="K31" i="6"/>
  <c r="J31" i="6"/>
  <c r="L31" i="6" s="1"/>
  <c r="K30" i="6"/>
  <c r="J30" i="6"/>
  <c r="I29" i="6"/>
  <c r="H29" i="6"/>
  <c r="G29" i="6"/>
  <c r="F29" i="6"/>
  <c r="E29" i="6"/>
  <c r="D29" i="6"/>
  <c r="C29" i="6"/>
  <c r="K29" i="6" s="1"/>
  <c r="K28" i="6"/>
  <c r="J28" i="6"/>
  <c r="C27" i="6"/>
  <c r="C56" i="6" s="1"/>
  <c r="C57" i="6" s="1"/>
  <c r="C60" i="6" s="1"/>
  <c r="K26" i="6"/>
  <c r="J26" i="6"/>
  <c r="I25" i="6"/>
  <c r="I27" i="6" s="1"/>
  <c r="H25" i="6"/>
  <c r="H27" i="6" s="1"/>
  <c r="G25" i="6"/>
  <c r="G27" i="6" s="1"/>
  <c r="G56" i="6" s="1"/>
  <c r="G57" i="6" s="1"/>
  <c r="G60" i="6" s="1"/>
  <c r="F25" i="6"/>
  <c r="F27" i="6" s="1"/>
  <c r="E25" i="6"/>
  <c r="E27" i="6" s="1"/>
  <c r="D25" i="6"/>
  <c r="D27" i="6" s="1"/>
  <c r="C25" i="6"/>
  <c r="K24" i="6"/>
  <c r="J24" i="6"/>
  <c r="K23" i="6"/>
  <c r="J23" i="6"/>
  <c r="I22" i="6"/>
  <c r="H22" i="6"/>
  <c r="G22" i="6"/>
  <c r="F22" i="6"/>
  <c r="E22" i="6"/>
  <c r="D22" i="6"/>
  <c r="K22" i="6" s="1"/>
  <c r="C22" i="6"/>
  <c r="K21" i="6"/>
  <c r="J21" i="6"/>
  <c r="K20" i="6"/>
  <c r="J20" i="6"/>
  <c r="K19" i="6"/>
  <c r="J19" i="6"/>
  <c r="L19" i="6" s="1"/>
  <c r="K18" i="6"/>
  <c r="J18" i="6"/>
  <c r="K17" i="6"/>
  <c r="J17" i="6"/>
  <c r="I16" i="6"/>
  <c r="H16" i="6"/>
  <c r="G16" i="6"/>
  <c r="F16" i="6"/>
  <c r="E16" i="6"/>
  <c r="D16" i="6"/>
  <c r="C16" i="6"/>
  <c r="K16" i="6" s="1"/>
  <c r="I15" i="6"/>
  <c r="H15" i="6"/>
  <c r="G15" i="6"/>
  <c r="F15" i="6"/>
  <c r="E15" i="6"/>
  <c r="D15" i="6"/>
  <c r="C15" i="6"/>
  <c r="K14" i="6"/>
  <c r="J14" i="6"/>
  <c r="K13" i="6"/>
  <c r="J13" i="6"/>
  <c r="L13" i="6" s="1"/>
  <c r="K12" i="6"/>
  <c r="J12" i="6"/>
  <c r="K11" i="6"/>
  <c r="J11" i="6"/>
  <c r="J29" i="6" s="1"/>
  <c r="L29" i="6" s="1"/>
  <c r="J9" i="6"/>
  <c r="X59" i="5"/>
  <c r="W59" i="5"/>
  <c r="X58" i="5"/>
  <c r="W58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X54" i="5"/>
  <c r="W54" i="5"/>
  <c r="X53" i="5"/>
  <c r="W53" i="5"/>
  <c r="X52" i="5"/>
  <c r="W52" i="5"/>
  <c r="X51" i="5"/>
  <c r="W51" i="5"/>
  <c r="Y51" i="5" s="1"/>
  <c r="X50" i="5"/>
  <c r="W50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X48" i="5"/>
  <c r="W48" i="5"/>
  <c r="Y48" i="5" s="1"/>
  <c r="X47" i="5"/>
  <c r="W47" i="5"/>
  <c r="X46" i="5"/>
  <c r="W46" i="5"/>
  <c r="X45" i="5"/>
  <c r="W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X43" i="5"/>
  <c r="W43" i="5"/>
  <c r="X42" i="5"/>
  <c r="W42" i="5"/>
  <c r="Y41" i="5"/>
  <c r="X41" i="5"/>
  <c r="W41" i="5"/>
  <c r="X40" i="5"/>
  <c r="W40" i="5"/>
  <c r="W44" i="5" s="1"/>
  <c r="Y44" i="5" s="1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X39" i="5" s="1"/>
  <c r="X38" i="5"/>
  <c r="W38" i="5"/>
  <c r="X37" i="5"/>
  <c r="W37" i="5"/>
  <c r="X36" i="5"/>
  <c r="W36" i="5"/>
  <c r="X35" i="5"/>
  <c r="W35" i="5"/>
  <c r="X34" i="5"/>
  <c r="W34" i="5"/>
  <c r="Y34" i="5" s="1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3" i="5" s="1"/>
  <c r="Y33" i="5" s="1"/>
  <c r="X32" i="5"/>
  <c r="W32" i="5"/>
  <c r="X31" i="5"/>
  <c r="W31" i="5"/>
  <c r="Y31" i="5" s="1"/>
  <c r="X30" i="5"/>
  <c r="W30" i="5"/>
  <c r="W29" i="5"/>
  <c r="Y29" i="5" s="1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X29" i="5" s="1"/>
  <c r="X28" i="5"/>
  <c r="W28" i="5"/>
  <c r="S27" i="5"/>
  <c r="S56" i="5" s="1"/>
  <c r="S57" i="5" s="1"/>
  <c r="S60" i="5" s="1"/>
  <c r="C27" i="5"/>
  <c r="X26" i="5"/>
  <c r="W26" i="5"/>
  <c r="V25" i="5"/>
  <c r="V27" i="5" s="1"/>
  <c r="U25" i="5"/>
  <c r="U27" i="5" s="1"/>
  <c r="T25" i="5"/>
  <c r="T27" i="5" s="1"/>
  <c r="S25" i="5"/>
  <c r="R25" i="5"/>
  <c r="R27" i="5" s="1"/>
  <c r="Q25" i="5"/>
  <c r="Q27" i="5" s="1"/>
  <c r="P25" i="5"/>
  <c r="P27" i="5" s="1"/>
  <c r="O25" i="5"/>
  <c r="O27" i="5" s="1"/>
  <c r="O56" i="5" s="1"/>
  <c r="O57" i="5" s="1"/>
  <c r="O60" i="5" s="1"/>
  <c r="N25" i="5"/>
  <c r="N27" i="5" s="1"/>
  <c r="M25" i="5"/>
  <c r="M27" i="5" s="1"/>
  <c r="L25" i="5"/>
  <c r="L27" i="5" s="1"/>
  <c r="K25" i="5"/>
  <c r="K27" i="5" s="1"/>
  <c r="K56" i="5" s="1"/>
  <c r="K57" i="5" s="1"/>
  <c r="K60" i="5" s="1"/>
  <c r="J25" i="5"/>
  <c r="J27" i="5" s="1"/>
  <c r="I25" i="5"/>
  <c r="I27" i="5" s="1"/>
  <c r="H25" i="5"/>
  <c r="H27" i="5" s="1"/>
  <c r="G25" i="5"/>
  <c r="G27" i="5" s="1"/>
  <c r="G56" i="5" s="1"/>
  <c r="G57" i="5" s="1"/>
  <c r="G60" i="5" s="1"/>
  <c r="F25" i="5"/>
  <c r="F27" i="5" s="1"/>
  <c r="E25" i="5"/>
  <c r="E27" i="5" s="1"/>
  <c r="D25" i="5"/>
  <c r="D27" i="5" s="1"/>
  <c r="C25" i="5"/>
  <c r="X24" i="5"/>
  <c r="W24" i="5"/>
  <c r="Y24" i="5" s="1"/>
  <c r="X23" i="5"/>
  <c r="W23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X21" i="5"/>
  <c r="W21" i="5"/>
  <c r="Y21" i="5" s="1"/>
  <c r="X20" i="5"/>
  <c r="W20" i="5"/>
  <c r="X19" i="5"/>
  <c r="W19" i="5"/>
  <c r="Y19" i="5" s="1"/>
  <c r="X18" i="5"/>
  <c r="W18" i="5"/>
  <c r="X17" i="5"/>
  <c r="W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X14" i="5"/>
  <c r="W14" i="5"/>
  <c r="X13" i="5"/>
  <c r="W13" i="5"/>
  <c r="Y26" i="5" s="1"/>
  <c r="X12" i="5"/>
  <c r="W12" i="5"/>
  <c r="X11" i="5"/>
  <c r="W11" i="5"/>
  <c r="W9" i="5"/>
  <c r="I16" i="7" l="1"/>
  <c r="K20" i="7"/>
  <c r="I22" i="7"/>
  <c r="K22" i="7" s="1"/>
  <c r="K36" i="7"/>
  <c r="K38" i="7"/>
  <c r="K48" i="7"/>
  <c r="K50" i="7"/>
  <c r="I15" i="7"/>
  <c r="K17" i="7"/>
  <c r="K30" i="7"/>
  <c r="I44" i="7"/>
  <c r="K44" i="7" s="1"/>
  <c r="K42" i="7"/>
  <c r="K45" i="7"/>
  <c r="K52" i="7"/>
  <c r="K54" i="7"/>
  <c r="K21" i="7"/>
  <c r="K23" i="7"/>
  <c r="D56" i="7"/>
  <c r="D57" i="7" s="1"/>
  <c r="D60" i="7" s="1"/>
  <c r="H56" i="7"/>
  <c r="H57" i="7" s="1"/>
  <c r="H60" i="7" s="1"/>
  <c r="K32" i="7"/>
  <c r="K37" i="7"/>
  <c r="C56" i="7"/>
  <c r="C57" i="7" s="1"/>
  <c r="C60" i="7" s="1"/>
  <c r="G56" i="7"/>
  <c r="G57" i="7" s="1"/>
  <c r="G60" i="7" s="1"/>
  <c r="K58" i="7"/>
  <c r="J27" i="7"/>
  <c r="I27" i="7"/>
  <c r="K27" i="7" s="1"/>
  <c r="E56" i="7"/>
  <c r="E57" i="7" s="1"/>
  <c r="E60" i="7" s="1"/>
  <c r="F56" i="7"/>
  <c r="F57" i="7" s="1"/>
  <c r="F60" i="7" s="1"/>
  <c r="I49" i="7"/>
  <c r="K49" i="7" s="1"/>
  <c r="K13" i="7"/>
  <c r="K18" i="7"/>
  <c r="J25" i="7"/>
  <c r="J33" i="7"/>
  <c r="J49" i="7"/>
  <c r="I25" i="7"/>
  <c r="K25" i="7" s="1"/>
  <c r="I39" i="7"/>
  <c r="K39" i="7" s="1"/>
  <c r="I55" i="7"/>
  <c r="K55" i="7" s="1"/>
  <c r="L38" i="6"/>
  <c r="L51" i="6"/>
  <c r="L55" i="6"/>
  <c r="L58" i="6"/>
  <c r="K39" i="6"/>
  <c r="L43" i="6"/>
  <c r="L46" i="6"/>
  <c r="L52" i="6"/>
  <c r="L21" i="6"/>
  <c r="L24" i="6"/>
  <c r="L35" i="6"/>
  <c r="L20" i="6"/>
  <c r="L23" i="6"/>
  <c r="K25" i="6"/>
  <c r="L26" i="6"/>
  <c r="L36" i="6"/>
  <c r="J44" i="6"/>
  <c r="L44" i="6" s="1"/>
  <c r="L28" i="6"/>
  <c r="L17" i="6"/>
  <c r="L32" i="6"/>
  <c r="L34" i="6"/>
  <c r="L42" i="6"/>
  <c r="L45" i="6"/>
  <c r="L48" i="6"/>
  <c r="E56" i="6"/>
  <c r="E57" i="6" s="1"/>
  <c r="E60" i="6" s="1"/>
  <c r="I56" i="6"/>
  <c r="I57" i="6" s="1"/>
  <c r="I60" i="6" s="1"/>
  <c r="L53" i="6"/>
  <c r="Y30" i="5"/>
  <c r="Y36" i="5"/>
  <c r="Y42" i="5"/>
  <c r="X44" i="5"/>
  <c r="Y45" i="5"/>
  <c r="Y53" i="5"/>
  <c r="X55" i="5"/>
  <c r="Y58" i="5"/>
  <c r="Y20" i="5"/>
  <c r="X22" i="5"/>
  <c r="Y23" i="5"/>
  <c r="X25" i="5"/>
  <c r="Y32" i="5"/>
  <c r="X49" i="5"/>
  <c r="X15" i="5"/>
  <c r="X16" i="5"/>
  <c r="Y17" i="5"/>
  <c r="Y28" i="5"/>
  <c r="Y35" i="5"/>
  <c r="Y37" i="5"/>
  <c r="Y38" i="5"/>
  <c r="W39" i="5"/>
  <c r="Y39" i="5" s="1"/>
  <c r="Y43" i="5"/>
  <c r="Y46" i="5"/>
  <c r="D56" i="5"/>
  <c r="D57" i="5" s="1"/>
  <c r="D60" i="5" s="1"/>
  <c r="H56" i="5"/>
  <c r="H57" i="5" s="1"/>
  <c r="H60" i="5" s="1"/>
  <c r="L56" i="5"/>
  <c r="L57" i="5" s="1"/>
  <c r="L60" i="5" s="1"/>
  <c r="P56" i="5"/>
  <c r="P57" i="5" s="1"/>
  <c r="P60" i="5" s="1"/>
  <c r="T56" i="5"/>
  <c r="T57" i="5" s="1"/>
  <c r="T60" i="5" s="1"/>
  <c r="Y52" i="5"/>
  <c r="Y59" i="5"/>
  <c r="D56" i="6"/>
  <c r="D57" i="6" s="1"/>
  <c r="D60" i="6" s="1"/>
  <c r="H56" i="6"/>
  <c r="H57" i="6" s="1"/>
  <c r="H60" i="6" s="1"/>
  <c r="K15" i="6"/>
  <c r="F56" i="6"/>
  <c r="F57" i="6" s="1"/>
  <c r="F60" i="6" s="1"/>
  <c r="J27" i="6"/>
  <c r="L27" i="6" s="1"/>
  <c r="K27" i="6"/>
  <c r="L30" i="6"/>
  <c r="L47" i="6"/>
  <c r="L50" i="6"/>
  <c r="L59" i="6"/>
  <c r="J16" i="6"/>
  <c r="J22" i="6"/>
  <c r="L22" i="6" s="1"/>
  <c r="J25" i="6"/>
  <c r="L25" i="6" s="1"/>
  <c r="K33" i="6"/>
  <c r="J49" i="6"/>
  <c r="L49" i="6" s="1"/>
  <c r="J15" i="6"/>
  <c r="L18" i="6"/>
  <c r="L37" i="6"/>
  <c r="L40" i="6"/>
  <c r="L54" i="6"/>
  <c r="E56" i="5"/>
  <c r="E57" i="5" s="1"/>
  <c r="E60" i="5" s="1"/>
  <c r="I56" i="5"/>
  <c r="I57" i="5" s="1"/>
  <c r="I60" i="5" s="1"/>
  <c r="M56" i="5"/>
  <c r="M57" i="5" s="1"/>
  <c r="M60" i="5" s="1"/>
  <c r="Q56" i="5"/>
  <c r="Q57" i="5" s="1"/>
  <c r="Q60" i="5" s="1"/>
  <c r="U56" i="5"/>
  <c r="U57" i="5" s="1"/>
  <c r="U60" i="5" s="1"/>
  <c r="F56" i="5"/>
  <c r="F57" i="5" s="1"/>
  <c r="F60" i="5" s="1"/>
  <c r="J56" i="5"/>
  <c r="J57" i="5" s="1"/>
  <c r="J60" i="5" s="1"/>
  <c r="N56" i="5"/>
  <c r="N57" i="5" s="1"/>
  <c r="N60" i="5" s="1"/>
  <c r="R56" i="5"/>
  <c r="R57" i="5" s="1"/>
  <c r="R60" i="5" s="1"/>
  <c r="V56" i="5"/>
  <c r="V57" i="5" s="1"/>
  <c r="V60" i="5" s="1"/>
  <c r="W27" i="5"/>
  <c r="Y27" i="5" s="1"/>
  <c r="W15" i="5"/>
  <c r="Y18" i="5"/>
  <c r="Y40" i="5"/>
  <c r="Y47" i="5"/>
  <c r="Y50" i="5"/>
  <c r="Y54" i="5"/>
  <c r="W55" i="5"/>
  <c r="Y55" i="5" s="1"/>
  <c r="W49" i="5"/>
  <c r="Y49" i="5" s="1"/>
  <c r="W16" i="5"/>
  <c r="W22" i="5"/>
  <c r="Y22" i="5" s="1"/>
  <c r="W25" i="5"/>
  <c r="Y25" i="5" s="1"/>
  <c r="X27" i="5"/>
  <c r="X33" i="5"/>
  <c r="C56" i="5"/>
  <c r="Y13" i="5"/>
  <c r="J59" i="4"/>
  <c r="I59" i="4"/>
  <c r="J58" i="4"/>
  <c r="I58" i="4"/>
  <c r="H55" i="4"/>
  <c r="G55" i="4"/>
  <c r="F55" i="4"/>
  <c r="E55" i="4"/>
  <c r="D55" i="4"/>
  <c r="C55" i="4"/>
  <c r="J54" i="4"/>
  <c r="I54" i="4"/>
  <c r="J53" i="4"/>
  <c r="I53" i="4"/>
  <c r="K53" i="4" s="1"/>
  <c r="J52" i="4"/>
  <c r="I52" i="4"/>
  <c r="J51" i="4"/>
  <c r="I51" i="4"/>
  <c r="K51" i="4" s="1"/>
  <c r="J50" i="4"/>
  <c r="I50" i="4"/>
  <c r="H49" i="4"/>
  <c r="G49" i="4"/>
  <c r="F49" i="4"/>
  <c r="E49" i="4"/>
  <c r="D49" i="4"/>
  <c r="C49" i="4"/>
  <c r="J48" i="4"/>
  <c r="I48" i="4"/>
  <c r="J47" i="4"/>
  <c r="I47" i="4"/>
  <c r="J46" i="4"/>
  <c r="I46" i="4"/>
  <c r="J45" i="4"/>
  <c r="I45" i="4"/>
  <c r="H44" i="4"/>
  <c r="G44" i="4"/>
  <c r="F44" i="4"/>
  <c r="E44" i="4"/>
  <c r="D44" i="4"/>
  <c r="C44" i="4"/>
  <c r="J43" i="4"/>
  <c r="I43" i="4"/>
  <c r="K43" i="4" s="1"/>
  <c r="J42" i="4"/>
  <c r="I42" i="4"/>
  <c r="J41" i="4"/>
  <c r="I41" i="4"/>
  <c r="I44" i="4" s="1"/>
  <c r="K44" i="4" s="1"/>
  <c r="J40" i="4"/>
  <c r="I40" i="4"/>
  <c r="H39" i="4"/>
  <c r="G39" i="4"/>
  <c r="F39" i="4"/>
  <c r="E39" i="4"/>
  <c r="D39" i="4"/>
  <c r="C39" i="4"/>
  <c r="J38" i="4"/>
  <c r="I38" i="4"/>
  <c r="J37" i="4"/>
  <c r="I37" i="4"/>
  <c r="J36" i="4"/>
  <c r="I36" i="4"/>
  <c r="J35" i="4"/>
  <c r="I35" i="4"/>
  <c r="J34" i="4"/>
  <c r="I34" i="4"/>
  <c r="H33" i="4"/>
  <c r="G33" i="4"/>
  <c r="F33" i="4"/>
  <c r="E33" i="4"/>
  <c r="D33" i="4"/>
  <c r="C33" i="4"/>
  <c r="J33" i="4" s="1"/>
  <c r="J32" i="4"/>
  <c r="I32" i="4"/>
  <c r="J31" i="4"/>
  <c r="I31" i="4"/>
  <c r="J30" i="4"/>
  <c r="I30" i="4"/>
  <c r="H29" i="4"/>
  <c r="G29" i="4"/>
  <c r="F29" i="4"/>
  <c r="E29" i="4"/>
  <c r="D29" i="4"/>
  <c r="C29" i="4"/>
  <c r="J29" i="4" s="1"/>
  <c r="J28" i="4"/>
  <c r="I28" i="4"/>
  <c r="J26" i="4"/>
  <c r="I26" i="4"/>
  <c r="H25" i="4"/>
  <c r="H27" i="4" s="1"/>
  <c r="G25" i="4"/>
  <c r="G27" i="4" s="1"/>
  <c r="F25" i="4"/>
  <c r="F27" i="4" s="1"/>
  <c r="F56" i="4" s="1"/>
  <c r="F57" i="4" s="1"/>
  <c r="F60" i="4" s="1"/>
  <c r="E25" i="4"/>
  <c r="E27" i="4" s="1"/>
  <c r="D25" i="4"/>
  <c r="D27" i="4" s="1"/>
  <c r="C25" i="4"/>
  <c r="C27" i="4" s="1"/>
  <c r="K24" i="4"/>
  <c r="J24" i="4"/>
  <c r="I24" i="4"/>
  <c r="J23" i="4"/>
  <c r="I23" i="4"/>
  <c r="K23" i="4" s="1"/>
  <c r="H22" i="4"/>
  <c r="G22" i="4"/>
  <c r="F22" i="4"/>
  <c r="E22" i="4"/>
  <c r="D22" i="4"/>
  <c r="C22" i="4"/>
  <c r="J21" i="4"/>
  <c r="I21" i="4"/>
  <c r="K21" i="4" s="1"/>
  <c r="J20" i="4"/>
  <c r="I20" i="4"/>
  <c r="J19" i="4"/>
  <c r="I19" i="4"/>
  <c r="J18" i="4"/>
  <c r="I18" i="4"/>
  <c r="K17" i="4"/>
  <c r="J17" i="4"/>
  <c r="I17" i="4"/>
  <c r="H16" i="4"/>
  <c r="G16" i="4"/>
  <c r="F16" i="4"/>
  <c r="E16" i="4"/>
  <c r="D16" i="4"/>
  <c r="C16" i="4"/>
  <c r="J16" i="4"/>
  <c r="H15" i="4"/>
  <c r="G15" i="4"/>
  <c r="F15" i="4"/>
  <c r="E15" i="4"/>
  <c r="D15" i="4"/>
  <c r="C15" i="4"/>
  <c r="J14" i="4"/>
  <c r="I14" i="4"/>
  <c r="J13" i="4"/>
  <c r="I13" i="4"/>
  <c r="K18" i="4" s="1"/>
  <c r="J12" i="4"/>
  <c r="I12" i="4"/>
  <c r="J11" i="4"/>
  <c r="I11" i="4"/>
  <c r="I9" i="4"/>
  <c r="AE59" i="3"/>
  <c r="AD59" i="3"/>
  <c r="AE58" i="3"/>
  <c r="AD58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E54" i="3"/>
  <c r="AD54" i="3"/>
  <c r="AE53" i="3"/>
  <c r="AD53" i="3"/>
  <c r="AF53" i="3" s="1"/>
  <c r="AE52" i="3"/>
  <c r="AD52" i="3"/>
  <c r="AE51" i="3"/>
  <c r="AD51" i="3"/>
  <c r="AE50" i="3"/>
  <c r="AD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E48" i="3"/>
  <c r="AD48" i="3"/>
  <c r="AE47" i="3"/>
  <c r="AD47" i="3"/>
  <c r="AE46" i="3"/>
  <c r="AD46" i="3"/>
  <c r="AF46" i="3" s="1"/>
  <c r="AE45" i="3"/>
  <c r="AD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E43" i="3"/>
  <c r="AD43" i="3"/>
  <c r="AE42" i="3"/>
  <c r="AD42" i="3"/>
  <c r="AE41" i="3"/>
  <c r="AD41" i="3"/>
  <c r="AE40" i="3"/>
  <c r="AD40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E39" i="3" s="1"/>
  <c r="AE38" i="3"/>
  <c r="AD38" i="3"/>
  <c r="AE37" i="3"/>
  <c r="AD37" i="3"/>
  <c r="AE36" i="3"/>
  <c r="AD36" i="3"/>
  <c r="AE35" i="3"/>
  <c r="AD35" i="3"/>
  <c r="AE34" i="3"/>
  <c r="AD34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E32" i="3"/>
  <c r="AD32" i="3"/>
  <c r="AE31" i="3"/>
  <c r="AD31" i="3"/>
  <c r="AE30" i="3"/>
  <c r="AD30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E28" i="3"/>
  <c r="AD28" i="3"/>
  <c r="AF28" i="3" s="1"/>
  <c r="AE26" i="3"/>
  <c r="AD26" i="3"/>
  <c r="AF26" i="3" s="1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E24" i="3"/>
  <c r="AD24" i="3"/>
  <c r="AE23" i="3"/>
  <c r="AD23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E21" i="3"/>
  <c r="AD21" i="3"/>
  <c r="AF21" i="3" s="1"/>
  <c r="AE20" i="3"/>
  <c r="AD20" i="3"/>
  <c r="AE19" i="3"/>
  <c r="AD19" i="3"/>
  <c r="AE18" i="3"/>
  <c r="AD18" i="3"/>
  <c r="AE17" i="3"/>
  <c r="AD17" i="3"/>
  <c r="AF17" i="3" s="1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AE15" i="3" s="1"/>
  <c r="E15" i="3"/>
  <c r="D15" i="3"/>
  <c r="C15" i="3"/>
  <c r="AE14" i="3"/>
  <c r="AD14" i="3"/>
  <c r="AE13" i="3"/>
  <c r="AD13" i="3"/>
  <c r="AF18" i="3" s="1"/>
  <c r="AE12" i="3"/>
  <c r="AD12" i="3"/>
  <c r="AE11" i="3"/>
  <c r="AD11" i="3"/>
  <c r="AD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L59" i="2"/>
  <c r="K59" i="2"/>
  <c r="M58" i="2"/>
  <c r="L58" i="2"/>
  <c r="K58" i="2"/>
  <c r="J55" i="2"/>
  <c r="I55" i="2"/>
  <c r="H55" i="2"/>
  <c r="G55" i="2"/>
  <c r="F55" i="2"/>
  <c r="E55" i="2"/>
  <c r="D55" i="2"/>
  <c r="C55" i="2"/>
  <c r="L54" i="2"/>
  <c r="K54" i="2"/>
  <c r="M54" i="2" s="1"/>
  <c r="L53" i="2"/>
  <c r="K53" i="2"/>
  <c r="L52" i="2"/>
  <c r="K52" i="2"/>
  <c r="L51" i="2"/>
  <c r="K51" i="2"/>
  <c r="L50" i="2"/>
  <c r="K50" i="2"/>
  <c r="J49" i="2"/>
  <c r="I49" i="2"/>
  <c r="H49" i="2"/>
  <c r="H56" i="2" s="1"/>
  <c r="H57" i="2" s="1"/>
  <c r="H60" i="2" s="1"/>
  <c r="G49" i="2"/>
  <c r="F49" i="2"/>
  <c r="E49" i="2"/>
  <c r="D49" i="2"/>
  <c r="D56" i="2" s="1"/>
  <c r="C49" i="2"/>
  <c r="L48" i="2"/>
  <c r="K48" i="2"/>
  <c r="L47" i="2"/>
  <c r="K47" i="2"/>
  <c r="L46" i="2"/>
  <c r="K46" i="2"/>
  <c r="M46" i="2" s="1"/>
  <c r="L45" i="2"/>
  <c r="K45" i="2"/>
  <c r="J44" i="2"/>
  <c r="I44" i="2"/>
  <c r="H44" i="2"/>
  <c r="G44" i="2"/>
  <c r="F44" i="2"/>
  <c r="E44" i="2"/>
  <c r="D44" i="2"/>
  <c r="C44" i="2"/>
  <c r="L43" i="2"/>
  <c r="K43" i="2"/>
  <c r="M43" i="2" s="1"/>
  <c r="L42" i="2"/>
  <c r="K42" i="2"/>
  <c r="L41" i="2"/>
  <c r="K41" i="2"/>
  <c r="K44" i="2" s="1"/>
  <c r="L40" i="2"/>
  <c r="K40" i="2"/>
  <c r="J39" i="2"/>
  <c r="I39" i="2"/>
  <c r="H39" i="2"/>
  <c r="G39" i="2"/>
  <c r="F39" i="2"/>
  <c r="E39" i="2"/>
  <c r="D39" i="2"/>
  <c r="C39" i="2"/>
  <c r="L38" i="2"/>
  <c r="K38" i="2"/>
  <c r="L37" i="2"/>
  <c r="K37" i="2"/>
  <c r="M36" i="2"/>
  <c r="L36" i="2"/>
  <c r="K36" i="2"/>
  <c r="L35" i="2"/>
  <c r="K35" i="2"/>
  <c r="M35" i="2" s="1"/>
  <c r="L34" i="2"/>
  <c r="K34" i="2"/>
  <c r="J33" i="2"/>
  <c r="I33" i="2"/>
  <c r="H33" i="2"/>
  <c r="G33" i="2"/>
  <c r="F33" i="2"/>
  <c r="E33" i="2"/>
  <c r="D33" i="2"/>
  <c r="C33" i="2"/>
  <c r="L32" i="2"/>
  <c r="K32" i="2"/>
  <c r="M32" i="2" s="1"/>
  <c r="L31" i="2"/>
  <c r="K31" i="2"/>
  <c r="L30" i="2"/>
  <c r="K30" i="2"/>
  <c r="M30" i="2" s="1"/>
  <c r="J29" i="2"/>
  <c r="I29" i="2"/>
  <c r="H29" i="2"/>
  <c r="G29" i="2"/>
  <c r="F29" i="2"/>
  <c r="E29" i="2"/>
  <c r="D29" i="2"/>
  <c r="L29" i="2" s="1"/>
  <c r="C29" i="2"/>
  <c r="L28" i="2"/>
  <c r="K28" i="2"/>
  <c r="L26" i="2"/>
  <c r="K26" i="2"/>
  <c r="J25" i="2"/>
  <c r="J27" i="2" s="1"/>
  <c r="I25" i="2"/>
  <c r="I27" i="2" s="1"/>
  <c r="I56" i="2" s="1"/>
  <c r="I57" i="2" s="1"/>
  <c r="I60" i="2" s="1"/>
  <c r="H25" i="2"/>
  <c r="H27" i="2" s="1"/>
  <c r="G25" i="2"/>
  <c r="G27" i="2" s="1"/>
  <c r="F25" i="2"/>
  <c r="E25" i="2"/>
  <c r="E27" i="2" s="1"/>
  <c r="E56" i="2" s="1"/>
  <c r="E57" i="2" s="1"/>
  <c r="E60" i="2" s="1"/>
  <c r="D25" i="2"/>
  <c r="D27" i="2" s="1"/>
  <c r="C25" i="2"/>
  <c r="C27" i="2" s="1"/>
  <c r="L24" i="2"/>
  <c r="K24" i="2"/>
  <c r="M24" i="2" s="1"/>
  <c r="L23" i="2"/>
  <c r="K23" i="2"/>
  <c r="J22" i="2"/>
  <c r="I22" i="2"/>
  <c r="H22" i="2"/>
  <c r="G22" i="2"/>
  <c r="F22" i="2"/>
  <c r="K22" i="2" s="1"/>
  <c r="M22" i="2" s="1"/>
  <c r="E22" i="2"/>
  <c r="D22" i="2"/>
  <c r="C22" i="2"/>
  <c r="M21" i="2"/>
  <c r="L21" i="2"/>
  <c r="K21" i="2"/>
  <c r="L20" i="2"/>
  <c r="K20" i="2"/>
  <c r="M20" i="2" s="1"/>
  <c r="L19" i="2"/>
  <c r="K19" i="2"/>
  <c r="L18" i="2"/>
  <c r="K18" i="2"/>
  <c r="M18" i="2" s="1"/>
  <c r="L17" i="2"/>
  <c r="K17" i="2"/>
  <c r="K16" i="2"/>
  <c r="J16" i="2"/>
  <c r="I16" i="2"/>
  <c r="H16" i="2"/>
  <c r="G16" i="2"/>
  <c r="F16" i="2"/>
  <c r="E16" i="2"/>
  <c r="D16" i="2"/>
  <c r="L16" i="2" s="1"/>
  <c r="C16" i="2"/>
  <c r="J15" i="2"/>
  <c r="I15" i="2"/>
  <c r="H15" i="2"/>
  <c r="G15" i="2"/>
  <c r="F15" i="2"/>
  <c r="E15" i="2"/>
  <c r="D15" i="2"/>
  <c r="L15" i="2" s="1"/>
  <c r="C15" i="2"/>
  <c r="L14" i="2"/>
  <c r="K14" i="2"/>
  <c r="L13" i="2"/>
  <c r="K13" i="2"/>
  <c r="L12" i="2"/>
  <c r="K12" i="2"/>
  <c r="L11" i="2"/>
  <c r="K11" i="2"/>
  <c r="K29" i="2" s="1"/>
  <c r="M29" i="2" s="1"/>
  <c r="K9" i="2"/>
  <c r="AX43" i="1"/>
  <c r="AE55" i="3" l="1"/>
  <c r="I29" i="4"/>
  <c r="K29" i="4" s="1"/>
  <c r="J15" i="4"/>
  <c r="I22" i="4"/>
  <c r="K22" i="4" s="1"/>
  <c r="K34" i="4"/>
  <c r="K36" i="4"/>
  <c r="J55" i="4"/>
  <c r="K46" i="4"/>
  <c r="K48" i="4"/>
  <c r="E56" i="4"/>
  <c r="E57" i="4" s="1"/>
  <c r="E60" i="4" s="1"/>
  <c r="K58" i="4"/>
  <c r="J56" i="7"/>
  <c r="I56" i="7"/>
  <c r="K56" i="7" s="1"/>
  <c r="I16" i="4"/>
  <c r="K20" i="4"/>
  <c r="K26" i="4"/>
  <c r="K30" i="4"/>
  <c r="K32" i="4"/>
  <c r="K38" i="4"/>
  <c r="K41" i="4"/>
  <c r="K45" i="4"/>
  <c r="I55" i="4"/>
  <c r="K55" i="4" s="1"/>
  <c r="J22" i="4"/>
  <c r="K28" i="4"/>
  <c r="K35" i="4"/>
  <c r="K47" i="4"/>
  <c r="K50" i="4"/>
  <c r="K52" i="4"/>
  <c r="K59" i="4"/>
  <c r="K19" i="4"/>
  <c r="K31" i="4"/>
  <c r="K37" i="4"/>
  <c r="K40" i="4"/>
  <c r="K42" i="4"/>
  <c r="K54" i="4"/>
  <c r="J56" i="6"/>
  <c r="L56" i="6" s="1"/>
  <c r="K56" i="6"/>
  <c r="W56" i="5"/>
  <c r="Y56" i="5" s="1"/>
  <c r="C57" i="5"/>
  <c r="X56" i="5"/>
  <c r="AE16" i="3"/>
  <c r="AD55" i="3"/>
  <c r="AF55" i="3" s="1"/>
  <c r="AF58" i="3"/>
  <c r="AD22" i="3"/>
  <c r="AF22" i="3" s="1"/>
  <c r="AE29" i="3"/>
  <c r="AF36" i="3"/>
  <c r="AF38" i="3"/>
  <c r="AF45" i="3"/>
  <c r="AF50" i="3"/>
  <c r="AF52" i="3"/>
  <c r="AF24" i="3"/>
  <c r="U56" i="3"/>
  <c r="U57" i="3" s="1"/>
  <c r="U60" i="3" s="1"/>
  <c r="AF31" i="3"/>
  <c r="E56" i="3"/>
  <c r="E57" i="3" s="1"/>
  <c r="E60" i="3" s="1"/>
  <c r="AD27" i="3"/>
  <c r="AF27" i="3" s="1"/>
  <c r="AD16" i="3"/>
  <c r="AF20" i="3"/>
  <c r="AF35" i="3"/>
  <c r="AF41" i="3"/>
  <c r="AF47" i="3"/>
  <c r="AF54" i="3"/>
  <c r="AE22" i="3"/>
  <c r="AF30" i="3"/>
  <c r="AF32" i="3"/>
  <c r="AF37" i="3"/>
  <c r="AD39" i="3"/>
  <c r="AF39" i="3" s="1"/>
  <c r="AF51" i="3"/>
  <c r="AF19" i="3"/>
  <c r="AF23" i="3"/>
  <c r="AF34" i="3"/>
  <c r="AF40" i="3"/>
  <c r="AF42" i="3"/>
  <c r="AF43" i="3"/>
  <c r="AD44" i="3"/>
  <c r="AF44" i="3" s="1"/>
  <c r="AF48" i="3"/>
  <c r="AF59" i="3"/>
  <c r="M23" i="2"/>
  <c r="K25" i="2"/>
  <c r="M25" i="2" s="1"/>
  <c r="M37" i="2"/>
  <c r="K39" i="2"/>
  <c r="M39" i="2" s="1"/>
  <c r="M40" i="2"/>
  <c r="M42" i="2"/>
  <c r="M48" i="2"/>
  <c r="M51" i="2"/>
  <c r="M59" i="2"/>
  <c r="M19" i="2"/>
  <c r="L22" i="2"/>
  <c r="M26" i="2"/>
  <c r="M28" i="2"/>
  <c r="M31" i="2"/>
  <c r="K33" i="2"/>
  <c r="M33" i="2" s="1"/>
  <c r="M34" i="2"/>
  <c r="L39" i="2"/>
  <c r="L44" i="2"/>
  <c r="M45" i="2"/>
  <c r="K55" i="2"/>
  <c r="M55" i="2" s="1"/>
  <c r="L55" i="2"/>
  <c r="K15" i="2"/>
  <c r="M17" i="2"/>
  <c r="L33" i="2"/>
  <c r="M38" i="2"/>
  <c r="M44" i="2"/>
  <c r="M47" i="2"/>
  <c r="C56" i="2"/>
  <c r="G56" i="2"/>
  <c r="G57" i="2" s="1"/>
  <c r="G60" i="2" s="1"/>
  <c r="M50" i="2"/>
  <c r="M52" i="2"/>
  <c r="M53" i="2"/>
  <c r="I25" i="4"/>
  <c r="K25" i="4" s="1"/>
  <c r="J49" i="4"/>
  <c r="I27" i="4"/>
  <c r="K27" i="4" s="1"/>
  <c r="J27" i="4"/>
  <c r="J39" i="4"/>
  <c r="I39" i="4"/>
  <c r="K39" i="4" s="1"/>
  <c r="J44" i="4"/>
  <c r="C56" i="4"/>
  <c r="C57" i="4" s="1"/>
  <c r="C60" i="4" s="1"/>
  <c r="G56" i="4"/>
  <c r="G57" i="4" s="1"/>
  <c r="G60" i="4" s="1"/>
  <c r="I33" i="4"/>
  <c r="K33" i="4" s="1"/>
  <c r="D56" i="4"/>
  <c r="D57" i="4" s="1"/>
  <c r="D60" i="4" s="1"/>
  <c r="H56" i="4"/>
  <c r="H57" i="4" s="1"/>
  <c r="H60" i="4" s="1"/>
  <c r="K13" i="4"/>
  <c r="J25" i="4"/>
  <c r="I49" i="4"/>
  <c r="K49" i="4" s="1"/>
  <c r="I15" i="4"/>
  <c r="AE27" i="3"/>
  <c r="I56" i="3"/>
  <c r="I57" i="3" s="1"/>
  <c r="I60" i="3" s="1"/>
  <c r="Y56" i="3"/>
  <c r="Y57" i="3" s="1"/>
  <c r="Y60" i="3" s="1"/>
  <c r="AE44" i="3"/>
  <c r="F56" i="3"/>
  <c r="F57" i="3" s="1"/>
  <c r="F60" i="3" s="1"/>
  <c r="J56" i="3"/>
  <c r="J57" i="3" s="1"/>
  <c r="J60" i="3" s="1"/>
  <c r="N56" i="3"/>
  <c r="N57" i="3" s="1"/>
  <c r="N60" i="3" s="1"/>
  <c r="R56" i="3"/>
  <c r="R57" i="3" s="1"/>
  <c r="R60" i="3" s="1"/>
  <c r="V56" i="3"/>
  <c r="V57" i="3" s="1"/>
  <c r="V60" i="3" s="1"/>
  <c r="Z56" i="3"/>
  <c r="Z57" i="3" s="1"/>
  <c r="Z60" i="3" s="1"/>
  <c r="M56" i="3"/>
  <c r="M57" i="3" s="1"/>
  <c r="M60" i="3" s="1"/>
  <c r="AC56" i="3"/>
  <c r="AC57" i="3" s="1"/>
  <c r="AC60" i="3" s="1"/>
  <c r="AD33" i="3"/>
  <c r="AF33" i="3" s="1"/>
  <c r="C56" i="3"/>
  <c r="C57" i="3" s="1"/>
  <c r="C60" i="3" s="1"/>
  <c r="G56" i="3"/>
  <c r="G57" i="3" s="1"/>
  <c r="G60" i="3" s="1"/>
  <c r="K56" i="3"/>
  <c r="K57" i="3" s="1"/>
  <c r="K60" i="3" s="1"/>
  <c r="O56" i="3"/>
  <c r="O57" i="3" s="1"/>
  <c r="O60" i="3" s="1"/>
  <c r="S56" i="3"/>
  <c r="S57" i="3" s="1"/>
  <c r="S60" i="3" s="1"/>
  <c r="W56" i="3"/>
  <c r="W57" i="3" s="1"/>
  <c r="W60" i="3" s="1"/>
  <c r="AA56" i="3"/>
  <c r="AA57" i="3" s="1"/>
  <c r="AA60" i="3" s="1"/>
  <c r="AD29" i="3"/>
  <c r="AF29" i="3" s="1"/>
  <c r="AD25" i="3"/>
  <c r="AF25" i="3" s="1"/>
  <c r="Q56" i="3"/>
  <c r="Q57" i="3" s="1"/>
  <c r="Q60" i="3" s="1"/>
  <c r="AE33" i="3"/>
  <c r="AE49" i="3"/>
  <c r="D56" i="3"/>
  <c r="D57" i="3" s="1"/>
  <c r="D60" i="3" s="1"/>
  <c r="H56" i="3"/>
  <c r="H57" i="3" s="1"/>
  <c r="H60" i="3" s="1"/>
  <c r="L56" i="3"/>
  <c r="L57" i="3" s="1"/>
  <c r="L60" i="3" s="1"/>
  <c r="P56" i="3"/>
  <c r="P57" i="3" s="1"/>
  <c r="P60" i="3" s="1"/>
  <c r="T56" i="3"/>
  <c r="T57" i="3" s="1"/>
  <c r="T60" i="3" s="1"/>
  <c r="X56" i="3"/>
  <c r="X57" i="3" s="1"/>
  <c r="X60" i="3" s="1"/>
  <c r="AB56" i="3"/>
  <c r="AB57" i="3" s="1"/>
  <c r="AB60" i="3" s="1"/>
  <c r="AF13" i="3"/>
  <c r="AE25" i="3"/>
  <c r="AD49" i="3"/>
  <c r="AF49" i="3" s="1"/>
  <c r="AD15" i="3"/>
  <c r="C57" i="2"/>
  <c r="D57" i="2"/>
  <c r="J56" i="2"/>
  <c r="J57" i="2" s="1"/>
  <c r="J60" i="2" s="1"/>
  <c r="M13" i="2"/>
  <c r="L25" i="2"/>
  <c r="F27" i="2"/>
  <c r="K27" i="2" s="1"/>
  <c r="M27" i="2" s="1"/>
  <c r="M41" i="2"/>
  <c r="K49" i="2"/>
  <c r="M49" i="2" s="1"/>
  <c r="L49" i="2"/>
  <c r="AL29" i="1"/>
  <c r="I57" i="7" l="1"/>
  <c r="K57" i="7" s="1"/>
  <c r="J57" i="7"/>
  <c r="K57" i="6"/>
  <c r="J57" i="6"/>
  <c r="L57" i="6" s="1"/>
  <c r="C60" i="5"/>
  <c r="X57" i="5"/>
  <c r="W57" i="5"/>
  <c r="Y57" i="5" s="1"/>
  <c r="I56" i="4"/>
  <c r="K56" i="4" s="1"/>
  <c r="J56" i="4"/>
  <c r="AD56" i="3"/>
  <c r="AF56" i="3" s="1"/>
  <c r="AE56" i="3"/>
  <c r="D60" i="2"/>
  <c r="F56" i="2"/>
  <c r="L27" i="2"/>
  <c r="C60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Y52" i="1"/>
  <c r="AX52" i="1"/>
  <c r="AY51" i="1"/>
  <c r="AX51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Y48" i="1"/>
  <c r="AX48" i="1"/>
  <c r="AY47" i="1"/>
  <c r="AX47" i="1"/>
  <c r="AY46" i="1"/>
  <c r="AX46" i="1"/>
  <c r="AY45" i="1"/>
  <c r="AX45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Y42" i="1"/>
  <c r="AX42" i="1"/>
  <c r="AY41" i="1"/>
  <c r="AX41" i="1"/>
  <c r="AY40" i="1"/>
  <c r="AX40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AY39" i="1" s="1"/>
  <c r="C39" i="1"/>
  <c r="AX39" i="1" s="1"/>
  <c r="AY38" i="1"/>
  <c r="AX38" i="1"/>
  <c r="AY37" i="1"/>
  <c r="AX37" i="1"/>
  <c r="AY36" i="1"/>
  <c r="AX36" i="1"/>
  <c r="AY35" i="1"/>
  <c r="AX35" i="1"/>
  <c r="AY34" i="1"/>
  <c r="AX34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AY33" i="1" s="1"/>
  <c r="C33" i="1"/>
  <c r="AX33" i="1" s="1"/>
  <c r="AY32" i="1"/>
  <c r="AX32" i="1"/>
  <c r="AY31" i="1"/>
  <c r="AX31" i="1"/>
  <c r="AY30" i="1"/>
  <c r="AX30" i="1"/>
  <c r="AW29" i="1"/>
  <c r="AV29" i="1"/>
  <c r="AU29" i="1"/>
  <c r="AT29" i="1"/>
  <c r="AS29" i="1"/>
  <c r="AR29" i="1"/>
  <c r="AQ29" i="1"/>
  <c r="AP29" i="1"/>
  <c r="AO29" i="1"/>
  <c r="AN29" i="1"/>
  <c r="AM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Y29" i="1" s="1"/>
  <c r="C29" i="1"/>
  <c r="AY28" i="1"/>
  <c r="AX28" i="1"/>
  <c r="AY26" i="1"/>
  <c r="AX26" i="1"/>
  <c r="AW25" i="1"/>
  <c r="AW27" i="1" s="1"/>
  <c r="AV25" i="1"/>
  <c r="AV27" i="1" s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Y24" i="1"/>
  <c r="AX24" i="1"/>
  <c r="AY23" i="1"/>
  <c r="AX23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AY22" i="1" s="1"/>
  <c r="C22" i="1"/>
  <c r="AX22" i="1" s="1"/>
  <c r="AY21" i="1"/>
  <c r="AX21" i="1"/>
  <c r="AY20" i="1"/>
  <c r="AX20" i="1"/>
  <c r="AY19" i="1"/>
  <c r="AX19" i="1"/>
  <c r="AY18" i="1"/>
  <c r="AX18" i="1"/>
  <c r="AY17" i="1"/>
  <c r="AX17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Y16" i="1" s="1"/>
  <c r="C16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Y15" i="1" s="1"/>
  <c r="C15" i="1"/>
  <c r="AY14" i="1"/>
  <c r="AX14" i="1"/>
  <c r="AY13" i="1"/>
  <c r="AX13" i="1"/>
  <c r="AY12" i="1"/>
  <c r="AX12" i="1"/>
  <c r="AY11" i="1"/>
  <c r="AX11" i="1"/>
  <c r="AX9" i="1"/>
  <c r="J60" i="7" l="1"/>
  <c r="I60" i="7"/>
  <c r="K60" i="7" s="1"/>
  <c r="J60" i="6"/>
  <c r="L60" i="6" s="1"/>
  <c r="K60" i="6"/>
  <c r="X60" i="5"/>
  <c r="W60" i="5"/>
  <c r="Y60" i="5" s="1"/>
  <c r="J60" i="4"/>
  <c r="J57" i="4"/>
  <c r="I57" i="4"/>
  <c r="K57" i="4" s="1"/>
  <c r="I60" i="4"/>
  <c r="K60" i="4" s="1"/>
  <c r="AE60" i="3"/>
  <c r="AE57" i="3"/>
  <c r="AD57" i="3"/>
  <c r="AF57" i="3" s="1"/>
  <c r="AD60" i="3"/>
  <c r="AF60" i="3" s="1"/>
  <c r="F57" i="2"/>
  <c r="K56" i="2"/>
  <c r="M56" i="2" s="1"/>
  <c r="L56" i="2"/>
  <c r="K55" i="1"/>
  <c r="K56" i="1" s="1"/>
  <c r="S55" i="1"/>
  <c r="S56" i="1" s="1"/>
  <c r="AI55" i="1"/>
  <c r="AI56" i="1" s="1"/>
  <c r="AI57" i="1" s="1"/>
  <c r="AU55" i="1"/>
  <c r="AU56" i="1" s="1"/>
  <c r="AU57" i="1" s="1"/>
  <c r="AA55" i="1"/>
  <c r="AA56" i="1" s="1"/>
  <c r="AQ55" i="1"/>
  <c r="AQ56" i="1" s="1"/>
  <c r="P55" i="1"/>
  <c r="P56" i="1" s="1"/>
  <c r="P57" i="1" s="1"/>
  <c r="T55" i="1"/>
  <c r="T56" i="1" s="1"/>
  <c r="T57" i="1" s="1"/>
  <c r="AB55" i="1"/>
  <c r="AB56" i="1" s="1"/>
  <c r="AF55" i="1"/>
  <c r="AF56" i="1" s="1"/>
  <c r="AF57" i="1" s="1"/>
  <c r="AJ55" i="1"/>
  <c r="AJ56" i="1" s="1"/>
  <c r="AJ57" i="1" s="1"/>
  <c r="AN55" i="1"/>
  <c r="AN56" i="1" s="1"/>
  <c r="AN57" i="1" s="1"/>
  <c r="AV55" i="1"/>
  <c r="AV56" i="1" s="1"/>
  <c r="AV57" i="1" s="1"/>
  <c r="H55" i="1"/>
  <c r="X55" i="1"/>
  <c r="X56" i="1" s="1"/>
  <c r="X57" i="1" s="1"/>
  <c r="G55" i="1"/>
  <c r="G56" i="1" s="1"/>
  <c r="O55" i="1"/>
  <c r="O56" i="1" s="1"/>
  <c r="AE55" i="1"/>
  <c r="AE56" i="1" s="1"/>
  <c r="AE57" i="1" s="1"/>
  <c r="AM55" i="1"/>
  <c r="AM56" i="1" s="1"/>
  <c r="AM57" i="1" s="1"/>
  <c r="L55" i="1"/>
  <c r="L56" i="1" s="1"/>
  <c r="W55" i="1"/>
  <c r="W56" i="1" s="1"/>
  <c r="W57" i="1" s="1"/>
  <c r="AR55" i="1"/>
  <c r="AR56" i="1" s="1"/>
  <c r="E55" i="1"/>
  <c r="E56" i="1" s="1"/>
  <c r="E57" i="1" s="1"/>
  <c r="I55" i="1"/>
  <c r="I56" i="1" s="1"/>
  <c r="M55" i="1"/>
  <c r="M56" i="1" s="1"/>
  <c r="M57" i="1" s="1"/>
  <c r="Q55" i="1"/>
  <c r="Q56" i="1" s="1"/>
  <c r="Q57" i="1" s="1"/>
  <c r="U55" i="1"/>
  <c r="U56" i="1" s="1"/>
  <c r="U57" i="1" s="1"/>
  <c r="Y55" i="1"/>
  <c r="Y56" i="1" s="1"/>
  <c r="Y57" i="1" s="1"/>
  <c r="AC55" i="1"/>
  <c r="AC56" i="1" s="1"/>
  <c r="AC57" i="1" s="1"/>
  <c r="AG55" i="1"/>
  <c r="AG56" i="1" s="1"/>
  <c r="AG57" i="1" s="1"/>
  <c r="AK55" i="1"/>
  <c r="AK56" i="1" s="1"/>
  <c r="AK57" i="1" s="1"/>
  <c r="AO55" i="1"/>
  <c r="AO56" i="1" s="1"/>
  <c r="AX53" i="1"/>
  <c r="AZ53" i="1" s="1"/>
  <c r="AY53" i="1"/>
  <c r="AW55" i="1"/>
  <c r="AW56" i="1" s="1"/>
  <c r="AW57" i="1" s="1"/>
  <c r="AS55" i="1"/>
  <c r="AS56" i="1" s="1"/>
  <c r="AS57" i="1" s="1"/>
  <c r="F55" i="1"/>
  <c r="F56" i="1" s="1"/>
  <c r="F57" i="1" s="1"/>
  <c r="V55" i="1"/>
  <c r="V56" i="1" s="1"/>
  <c r="V57" i="1" s="1"/>
  <c r="AL55" i="1"/>
  <c r="AL56" i="1" s="1"/>
  <c r="AL57" i="1" s="1"/>
  <c r="AX29" i="1"/>
  <c r="AZ29" i="1" s="1"/>
  <c r="AX16" i="1"/>
  <c r="AX15" i="1"/>
  <c r="AZ13" i="1"/>
  <c r="AZ17" i="1"/>
  <c r="AZ18" i="1"/>
  <c r="AZ19" i="1"/>
  <c r="AZ20" i="1"/>
  <c r="AZ21" i="1"/>
  <c r="AZ22" i="1"/>
  <c r="AZ23" i="1"/>
  <c r="AZ24" i="1"/>
  <c r="C27" i="1"/>
  <c r="AX25" i="1"/>
  <c r="AZ25" i="1" s="1"/>
  <c r="D27" i="1"/>
  <c r="AY27" i="1" s="1"/>
  <c r="AY25" i="1"/>
  <c r="AZ26" i="1"/>
  <c r="AZ28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C44" i="1"/>
  <c r="AY44" i="1" s="1"/>
  <c r="AY43" i="1"/>
  <c r="AZ45" i="1"/>
  <c r="AZ46" i="1"/>
  <c r="AZ47" i="1"/>
  <c r="AZ48" i="1"/>
  <c r="AX49" i="1"/>
  <c r="AZ49" i="1" s="1"/>
  <c r="AY49" i="1"/>
  <c r="H56" i="1"/>
  <c r="H57" i="1" s="1"/>
  <c r="C55" i="1"/>
  <c r="D55" i="1"/>
  <c r="AY50" i="1"/>
  <c r="AZ51" i="1"/>
  <c r="AZ52" i="1"/>
  <c r="F60" i="2" l="1"/>
  <c r="K57" i="2"/>
  <c r="M57" i="2" s="1"/>
  <c r="L57" i="2"/>
  <c r="O57" i="1"/>
  <c r="O60" i="1" s="1"/>
  <c r="L57" i="1"/>
  <c r="L60" i="1" s="1"/>
  <c r="G57" i="1"/>
  <c r="G60" i="1" s="1"/>
  <c r="AA57" i="1"/>
  <c r="AA60" i="1" s="1"/>
  <c r="AB57" i="1"/>
  <c r="AB60" i="1" s="1"/>
  <c r="K57" i="1"/>
  <c r="K60" i="1" s="1"/>
  <c r="AO57" i="1"/>
  <c r="AO60" i="1" s="1"/>
  <c r="I57" i="1"/>
  <c r="I60" i="1" s="1"/>
  <c r="AR57" i="1"/>
  <c r="AR60" i="1" s="1"/>
  <c r="AQ57" i="1"/>
  <c r="AQ60" i="1" s="1"/>
  <c r="S57" i="1"/>
  <c r="S60" i="1" s="1"/>
  <c r="W60" i="1"/>
  <c r="Y60" i="1"/>
  <c r="AY59" i="1"/>
  <c r="AX59" i="1"/>
  <c r="AZ59" i="1" s="1"/>
  <c r="AM60" i="1"/>
  <c r="AK60" i="1"/>
  <c r="E60" i="1"/>
  <c r="X60" i="1"/>
  <c r="AN60" i="1"/>
  <c r="AU60" i="1"/>
  <c r="U60" i="1"/>
  <c r="H60" i="1"/>
  <c r="AE60" i="1"/>
  <c r="AI60" i="1"/>
  <c r="AY58" i="1"/>
  <c r="AX58" i="1"/>
  <c r="AZ58" i="1" s="1"/>
  <c r="AL60" i="1"/>
  <c r="V60" i="1"/>
  <c r="F60" i="1"/>
  <c r="AG60" i="1"/>
  <c r="Q60" i="1"/>
  <c r="AS60" i="1"/>
  <c r="AC60" i="1"/>
  <c r="M60" i="1"/>
  <c r="AJ60" i="1"/>
  <c r="T60" i="1"/>
  <c r="AW60" i="1"/>
  <c r="AV60" i="1"/>
  <c r="AF60" i="1"/>
  <c r="P60" i="1"/>
  <c r="AX54" i="1"/>
  <c r="AZ54" i="1" s="1"/>
  <c r="AY54" i="1"/>
  <c r="AP55" i="1"/>
  <c r="AP56" i="1" s="1"/>
  <c r="Z55" i="1"/>
  <c r="Z56" i="1" s="1"/>
  <c r="J55" i="1"/>
  <c r="J56" i="1" s="1"/>
  <c r="AH55" i="1"/>
  <c r="AH56" i="1" s="1"/>
  <c r="R55" i="1"/>
  <c r="R56" i="1" s="1"/>
  <c r="AT55" i="1"/>
  <c r="AT56" i="1" s="1"/>
  <c r="AD55" i="1"/>
  <c r="AD56" i="1" s="1"/>
  <c r="N55" i="1"/>
  <c r="N56" i="1" s="1"/>
  <c r="AX50" i="1"/>
  <c r="AZ50" i="1" s="1"/>
  <c r="D56" i="1"/>
  <c r="D57" i="1" s="1"/>
  <c r="C56" i="1"/>
  <c r="C57" i="1" s="1"/>
  <c r="AZ43" i="1"/>
  <c r="AX44" i="1"/>
  <c r="AZ44" i="1" s="1"/>
  <c r="AX27" i="1"/>
  <c r="AZ27" i="1" s="1"/>
  <c r="L60" i="2" l="1"/>
  <c r="K60" i="2"/>
  <c r="M60" i="2" s="1"/>
  <c r="AT57" i="1"/>
  <c r="AT60" i="1" s="1"/>
  <c r="AP57" i="1"/>
  <c r="AP60" i="1" s="1"/>
  <c r="N57" i="1"/>
  <c r="N60" i="1" s="1"/>
  <c r="AH57" i="1"/>
  <c r="AH60" i="1" s="1"/>
  <c r="Z57" i="1"/>
  <c r="Z60" i="1" s="1"/>
  <c r="R57" i="1"/>
  <c r="R60" i="1" s="1"/>
  <c r="AD57" i="1"/>
  <c r="AD60" i="1" s="1"/>
  <c r="J60" i="1"/>
  <c r="J57" i="1"/>
  <c r="AY55" i="1"/>
  <c r="AX55" i="1"/>
  <c r="AZ55" i="1" s="1"/>
  <c r="AX56" i="1"/>
  <c r="AZ56" i="1" s="1"/>
  <c r="AY56" i="1"/>
  <c r="AX57" i="1" l="1"/>
  <c r="D60" i="1"/>
  <c r="AY60" i="1" s="1"/>
  <c r="AY57" i="1"/>
  <c r="C60" i="1"/>
  <c r="AX60" i="1" s="1"/>
  <c r="AZ60" i="1" s="1"/>
  <c r="AZ57" i="1"/>
</calcChain>
</file>

<file path=xl/sharedStrings.xml><?xml version="1.0" encoding="utf-8"?>
<sst xmlns="http://schemas.openxmlformats.org/spreadsheetml/2006/main" count="1280" uniqueCount="242">
  <si>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</si>
  <si>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</si>
  <si>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</si>
  <si>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</si>
  <si>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</si>
  <si>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</si>
  <si>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</si>
  <si>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</si>
  <si>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</si>
  <si>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1447</t>
  </si>
  <si>
    <t>1170</t>
  </si>
  <si>
    <t>00154</t>
  </si>
  <si>
    <t>01693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</si>
  <si>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</si>
  <si>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</si>
  <si>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</si>
  <si>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</si>
  <si>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</si>
  <si>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</si>
  <si>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</si>
  <si>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</si>
  <si>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</si>
  <si>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A299</t>
  </si>
  <si>
    <t>530</t>
  </si>
  <si>
    <t>885</t>
  </si>
  <si>
    <t>88888</t>
  </si>
  <si>
    <t>99999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</si>
  <si>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</si>
  <si>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</si>
  <si>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</si>
  <si>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</si>
  <si>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</si>
  <si>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</si>
  <si>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</si>
  <si>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</si>
  <si>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</si>
  <si>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</si>
  <si>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</si>
  <si>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</si>
  <si>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</si>
  <si>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</si>
  <si>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2763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</si>
  <si>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</si>
  <si>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</si>
  <si>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</si>
  <si>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</si>
  <si>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</si>
  <si>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</si>
  <si>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</si>
  <si>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</si>
  <si>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</si>
  <si>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</si>
  <si>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</si>
  <si>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</si>
  <si>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</si>
  <si>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</si>
  <si>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</si>
  <si>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</si>
  <si>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</si>
  <si>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</si>
  <si>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</si>
  <si>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</si>
  <si>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</si>
  <si>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</si>
  <si>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</si>
  <si>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</si>
  <si>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</si>
  <si>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</si>
  <si>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</si>
  <si>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</si>
  <si>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</si>
  <si>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</si>
  <si>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</si>
  <si>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</si>
  <si>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</si>
  <si>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</si>
  <si>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</si>
  <si>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</si>
  <si>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</si>
  <si>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</si>
  <si>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</si>
  <si>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</si>
  <si>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</si>
  <si>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</si>
  <si>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</si>
  <si>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</si>
  <si>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</si>
  <si>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</si>
  <si>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</si>
  <si>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</si>
  <si>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</si>
  <si>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</si>
  <si>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</si>
  <si>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</si>
  <si>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</si>
  <si>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</si>
  <si>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</si>
  <si>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</si>
  <si>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</si>
  <si>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</si>
  <si>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</si>
  <si>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</si>
  <si>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</si>
  <si>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</si>
  <si>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</si>
  <si>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</si>
  <si>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</si>
  <si>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</si>
  <si>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</si>
  <si>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</si>
  <si>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</si>
  <si>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</si>
  <si>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</si>
  <si>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</si>
  <si>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</si>
  <si>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</si>
  <si>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</si>
  <si>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</si>
  <si>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</si>
  <si>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</si>
  <si>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</si>
  <si>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</si>
  <si>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</si>
  <si>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</si>
  <si>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</si>
  <si>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</si>
  <si>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</si>
  <si>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</si>
  <si>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</si>
  <si>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</si>
  <si>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</si>
  <si>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</si>
  <si>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</si>
  <si>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</si>
  <si>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</si>
  <si>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</si>
  <si>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</si>
  <si>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</si>
  <si>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</si>
  <si>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</si>
  <si>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</si>
  <si>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</si>
  <si>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</si>
  <si>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</si>
  <si>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</si>
  <si>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</si>
  <si>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</si>
  <si>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</si>
  <si>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</si>
  <si>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</si>
  <si>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</si>
  <si>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</si>
  <si>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</si>
  <si>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</si>
  <si>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</si>
  <si>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</si>
  <si>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ドウヤ</t>
    </rPh>
    <phoneticPr fontId="3"/>
  </si>
  <si>
    <t>小幡</t>
    <rPh sb="0" eb="2">
      <t>オバタ</t>
    </rPh>
    <phoneticPr fontId="3"/>
  </si>
  <si>
    <t>土谷・鈴木(貴)</t>
    <rPh sb="0" eb="2">
      <t>ツチヤ</t>
    </rPh>
    <rPh sb="3" eb="5">
      <t>スズキ</t>
    </rPh>
    <rPh sb="6" eb="7">
      <t>タカ</t>
    </rPh>
    <phoneticPr fontId="3"/>
  </si>
  <si>
    <t>高橋(英)</t>
    <rPh sb="0" eb="2">
      <t>タカハシ</t>
    </rPh>
    <rPh sb="3" eb="4">
      <t>エイ</t>
    </rPh>
    <phoneticPr fontId="3"/>
  </si>
  <si>
    <t>高橋(徹)他2名</t>
    <rPh sb="0" eb="2">
      <t>タカハシ</t>
    </rPh>
    <rPh sb="3" eb="4">
      <t>テツ</t>
    </rPh>
    <rPh sb="5" eb="6">
      <t>タ</t>
    </rPh>
    <rPh sb="7" eb="8">
      <t>メイ</t>
    </rPh>
    <phoneticPr fontId="3"/>
  </si>
  <si>
    <t>齋藤他2名</t>
    <rPh sb="0" eb="2">
      <t>サイトウ</t>
    </rPh>
    <rPh sb="2" eb="3">
      <t>タ</t>
    </rPh>
    <rPh sb="4" eb="5">
      <t>メイ</t>
    </rPh>
    <phoneticPr fontId="3"/>
  </si>
  <si>
    <t>雲藤</t>
    <rPh sb="0" eb="2">
      <t>ウンドウ</t>
    </rPh>
    <phoneticPr fontId="3"/>
  </si>
  <si>
    <t>荒木他3名</t>
    <rPh sb="0" eb="2">
      <t>アラキ</t>
    </rPh>
    <rPh sb="2" eb="3">
      <t>タ</t>
    </rPh>
    <rPh sb="4" eb="5">
      <t>メイ</t>
    </rPh>
    <phoneticPr fontId="3"/>
  </si>
  <si>
    <t>味戸他2名</t>
    <rPh sb="0" eb="1">
      <t>アジ</t>
    </rPh>
    <rPh sb="1" eb="2">
      <t>ト</t>
    </rPh>
    <rPh sb="2" eb="3">
      <t>タ</t>
    </rPh>
    <rPh sb="4" eb="5">
      <t>メイ</t>
    </rPh>
    <phoneticPr fontId="3"/>
  </si>
  <si>
    <t>384-4247</t>
    <phoneticPr fontId="3"/>
  </si>
  <si>
    <t>吉田・菊地</t>
    <rPh sb="0" eb="2">
      <t>ヨシダ</t>
    </rPh>
    <rPh sb="3" eb="5">
      <t>キクチ</t>
    </rPh>
    <phoneticPr fontId="3"/>
  </si>
  <si>
    <t>松本他3名</t>
    <rPh sb="0" eb="2">
      <t>マツモト</t>
    </rPh>
    <rPh sb="2" eb="3">
      <t>タ</t>
    </rPh>
    <rPh sb="4" eb="5">
      <t>メイ</t>
    </rPh>
    <phoneticPr fontId="3"/>
  </si>
  <si>
    <t>小林他3名</t>
    <rPh sb="0" eb="2">
      <t>コバヤシ</t>
    </rPh>
    <rPh sb="2" eb="3">
      <t>タ</t>
    </rPh>
    <rPh sb="4" eb="5">
      <t>メイ</t>
    </rPh>
    <phoneticPr fontId="3"/>
  </si>
  <si>
    <t>山口</t>
    <rPh sb="0" eb="2">
      <t>ヤマグチ</t>
    </rPh>
    <phoneticPr fontId="3"/>
  </si>
  <si>
    <t>佐藤(守)・小田島</t>
    <rPh sb="0" eb="2">
      <t>サトウ</t>
    </rPh>
    <rPh sb="3" eb="4">
      <t>マモル</t>
    </rPh>
    <rPh sb="6" eb="9">
      <t>オダジマ</t>
    </rPh>
    <phoneticPr fontId="3"/>
  </si>
  <si>
    <t>鈴木(富)</t>
    <rPh sb="0" eb="2">
      <t>スズキ</t>
    </rPh>
    <rPh sb="3" eb="4">
      <t>トミ</t>
    </rPh>
    <phoneticPr fontId="3"/>
  </si>
  <si>
    <t>荒木・大平</t>
    <rPh sb="0" eb="2">
      <t>アラキ</t>
    </rPh>
    <rPh sb="3" eb="5">
      <t>オオヒラ</t>
    </rPh>
    <phoneticPr fontId="3"/>
  </si>
  <si>
    <t>大平他2名</t>
    <rPh sb="0" eb="2">
      <t>オオヒラ</t>
    </rPh>
    <rPh sb="2" eb="3">
      <t>タ</t>
    </rPh>
    <rPh sb="4" eb="5">
      <t>メイ</t>
    </rPh>
    <phoneticPr fontId="3"/>
  </si>
  <si>
    <t>鈴木(浩)</t>
    <rPh sb="0" eb="2">
      <t>スズキ</t>
    </rPh>
    <rPh sb="3" eb="4">
      <t>ヒロシ</t>
    </rPh>
    <phoneticPr fontId="3"/>
  </si>
  <si>
    <t>渡邊(浩)他2名</t>
    <rPh sb="0" eb="2">
      <t>ワタナベ</t>
    </rPh>
    <rPh sb="3" eb="4">
      <t>ヒロシ</t>
    </rPh>
    <rPh sb="5" eb="6">
      <t>タ</t>
    </rPh>
    <rPh sb="7" eb="8">
      <t>メイ</t>
    </rPh>
    <phoneticPr fontId="3"/>
  </si>
  <si>
    <t>鈴木(浩)他2名</t>
    <rPh sb="0" eb="2">
      <t>スズキ</t>
    </rPh>
    <rPh sb="3" eb="4">
      <t>ヒロシ</t>
    </rPh>
    <rPh sb="5" eb="6">
      <t>タ</t>
    </rPh>
    <rPh sb="7" eb="8">
      <t>メイ</t>
    </rPh>
    <phoneticPr fontId="3"/>
  </si>
  <si>
    <t>渡邉(進)他2名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</si>
  <si>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吉田・松本</t>
    <rPh sb="0" eb="2">
      <t>ヨシダ</t>
    </rPh>
    <rPh sb="3" eb="5">
      <t>マツモト</t>
    </rPh>
    <phoneticPr fontId="3"/>
  </si>
  <si>
    <t>白井他4名</t>
    <rPh sb="0" eb="2">
      <t>シライ</t>
    </rPh>
    <rPh sb="2" eb="3">
      <t>タ</t>
    </rPh>
    <rPh sb="4" eb="5">
      <t>メイ</t>
    </rPh>
    <phoneticPr fontId="3"/>
  </si>
  <si>
    <t>白井他3名</t>
    <rPh sb="0" eb="2">
      <t>シライ</t>
    </rPh>
    <rPh sb="2" eb="3">
      <t>タ</t>
    </rPh>
    <rPh sb="4" eb="5">
      <t>メイ</t>
    </rPh>
    <phoneticPr fontId="3"/>
  </si>
  <si>
    <t>雲藤他2名</t>
    <rPh sb="0" eb="2">
      <t>ウンドウ</t>
    </rPh>
    <rPh sb="2" eb="3">
      <t>タ</t>
    </rPh>
    <rPh sb="4" eb="5">
      <t>メイ</t>
    </rPh>
    <phoneticPr fontId="3"/>
  </si>
  <si>
    <t>白井他3名</t>
    <rPh sb="0" eb="3">
      <t>シライタ</t>
    </rPh>
    <rPh sb="4" eb="5">
      <t>メイ</t>
    </rPh>
    <phoneticPr fontId="3"/>
  </si>
  <si>
    <t>1825-6070</t>
    <phoneticPr fontId="3"/>
  </si>
  <si>
    <t>1862-5846</t>
    <phoneticPr fontId="3"/>
  </si>
  <si>
    <t>吉田・伊藤(正)</t>
    <rPh sb="0" eb="2">
      <t>ヨシダ</t>
    </rPh>
    <rPh sb="3" eb="5">
      <t>イトウ</t>
    </rPh>
    <rPh sb="6" eb="7">
      <t>マサ</t>
    </rPh>
    <phoneticPr fontId="3"/>
  </si>
  <si>
    <t>伊藤(正)・吉田</t>
    <rPh sb="0" eb="2">
      <t>イトウ</t>
    </rPh>
    <rPh sb="3" eb="4">
      <t>マサ</t>
    </rPh>
    <rPh sb="6" eb="8">
      <t>ヨシダ</t>
    </rPh>
    <phoneticPr fontId="3"/>
  </si>
  <si>
    <t>吉田他2名</t>
    <rPh sb="0" eb="2">
      <t>ヨシダ</t>
    </rPh>
    <rPh sb="2" eb="3">
      <t>タ</t>
    </rPh>
    <rPh sb="4" eb="5">
      <t>メイ</t>
    </rPh>
    <phoneticPr fontId="3"/>
  </si>
  <si>
    <t>菅原他2名</t>
    <rPh sb="0" eb="3">
      <t>スガワラタ</t>
    </rPh>
    <rPh sb="4" eb="5">
      <t>メイ</t>
    </rPh>
    <phoneticPr fontId="3"/>
  </si>
  <si>
    <t>伊藤(正)他2名</t>
    <rPh sb="0" eb="2">
      <t>イトウ</t>
    </rPh>
    <rPh sb="3" eb="4">
      <t>マサ</t>
    </rPh>
    <rPh sb="5" eb="6">
      <t>タ</t>
    </rPh>
    <rPh sb="7" eb="8">
      <t>メイ</t>
    </rPh>
    <phoneticPr fontId="3"/>
  </si>
  <si>
    <t>4108-845</t>
    <phoneticPr fontId="3"/>
  </si>
  <si>
    <t>282-2223</t>
    <phoneticPr fontId="3"/>
  </si>
  <si>
    <t>松井他2名</t>
    <rPh sb="0" eb="2">
      <t>マツイ</t>
    </rPh>
    <rPh sb="2" eb="3">
      <t>タ</t>
    </rPh>
    <rPh sb="4" eb="5">
      <t>メイ</t>
    </rPh>
    <phoneticPr fontId="3"/>
  </si>
  <si>
    <t>河村・櫻木</t>
    <rPh sb="0" eb="2">
      <t>カワムラ</t>
    </rPh>
    <rPh sb="3" eb="5">
      <t>サクラギ</t>
    </rPh>
    <phoneticPr fontId="3"/>
  </si>
  <si>
    <t>松井他3名</t>
    <rPh sb="0" eb="2">
      <t>マツイ</t>
    </rPh>
    <rPh sb="2" eb="3">
      <t>タ</t>
    </rPh>
    <rPh sb="4" eb="5">
      <t>メイ</t>
    </rPh>
    <phoneticPr fontId="3"/>
  </si>
  <si>
    <t>米澤他2名</t>
    <rPh sb="0" eb="2">
      <t>ヨネザワ</t>
    </rPh>
    <rPh sb="2" eb="3">
      <t>タ</t>
    </rPh>
    <rPh sb="4" eb="5">
      <t>メイ</t>
    </rPh>
    <phoneticPr fontId="3"/>
  </si>
  <si>
    <t>櫻木他2名</t>
    <rPh sb="0" eb="2">
      <t>サクラギ</t>
    </rPh>
    <rPh sb="2" eb="3">
      <t>タ</t>
    </rPh>
    <rPh sb="4" eb="5">
      <t>メイ</t>
    </rPh>
    <phoneticPr fontId="3"/>
  </si>
  <si>
    <t>1137-7394</t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</si>
  <si>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</si>
  <si>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</si>
  <si>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2">
      <t>レイワ</t>
    </rPh>
    <rPh sb="2" eb="3">
      <t>ゲン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</si>
  <si>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</si>
  <si>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</si>
  <si>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</si>
  <si>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</si>
  <si>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</si>
  <si>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</si>
  <si>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rPh sb="4" eb="5">
      <t>ネン</t>
    </rPh>
    <rPh sb="7" eb="8">
      <t>ガツ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</si>
  <si>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</si>
  <si>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</si>
  <si>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</si>
  <si>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</si>
  <si>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</si>
  <si>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</si>
  <si>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</si>
  <si>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</si>
  <si>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</si>
  <si>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2">
      <t>レイワ</t>
    </rPh>
    <rPh sb="2" eb="3">
      <t>ゲン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</si>
  <si>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</si>
  <si>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</si>
  <si>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平成30年3月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</si>
  <si>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</si>
  <si>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</si>
  <si>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</si>
  <si>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</si>
  <si>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</si>
  <si>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</si>
  <si>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</si>
  <si>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rPh sb="4" eb="5">
      <t>ネン</t>
    </rPh>
    <rPh sb="7" eb="8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</si>
  <si>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</si>
  <si>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</si>
  <si>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</si>
  <si>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</si>
  <si>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令和3年9月</t>
    <rPh sb="0" eb="2">
      <t>レイワ</t>
    </rPh>
    <rPh sb="3" eb="4">
      <t>ネン</t>
    </rPh>
    <rPh sb="5" eb="6">
      <t>ガツ</t>
    </rPh>
    <phoneticPr fontId="3"/>
  </si>
  <si>
    <t>令和5年2月</t>
    <rPh sb="0" eb="2">
      <t>レイワ</t>
    </rPh>
    <rPh sb="3" eb="4">
      <t>ネン</t>
    </rPh>
    <rPh sb="5" eb="6">
      <t>ガツ</t>
    </rPh>
    <phoneticPr fontId="3"/>
  </si>
  <si>
    <t>平成20年9月</t>
    <rPh sb="0" eb="2">
      <t>ヘイセイ</t>
    </rPh>
    <rPh sb="4" eb="5">
      <t>ネン</t>
    </rPh>
    <rPh sb="6" eb="7">
      <t>ガツ</t>
    </rPh>
    <phoneticPr fontId="3"/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</si>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</sst>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2" fillId="2" borderId="1" xfId="0" applyFont="1" applyFill="1" applyBorder="1" applyAlignment="1">
      <alignment horizontal="center" shrinkToFit="1"/>
    </xf>
    <xf numFmtId="0" fontId="2" fillId="2" borderId="2" xfId="0" applyFont="1" applyFill="1" applyBorder="1" applyAlignment="1">
      <alignment horizontal="center" shrinkToFit="1"/>
    </xf>
    <xf numFmtId="0" fontId="2" fillId="2" borderId="1" xfId="0" applyFont="1" applyFill="1" applyBorder="1" applyAlignment="1">
      <alignment shrinkToFit="1"/>
    </xf>
    <xf numFmtId="0" fontId="2" fillId="2" borderId="2" xfId="0" applyFont="1" applyFill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shrinkToFit="1"/>
    </xf>
    <xf numFmtId="0" fontId="2" fillId="0" borderId="2" xfId="0" applyFont="1" applyBorder="1" applyAlignment="1">
      <alignment shrinkToFit="1"/>
    </xf>
    <xf numFmtId="0" fontId="5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142875</xdr:rowOff>
        </xdr:from>
        <xdr:to>
          <xdr:col>1</xdr:col>
          <xdr:colOff>609600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C3715-40BA-46D5-8CD1-E4B15EAA982A}">
  <sheetPr codeName="Sheet1"/>
  <dimension ref="A2:AZ102"/>
  <sheetViews>
    <sheetView tabSelected="1" workbookViewId="0">
      <selection activeCell="AQ55" sqref="AQ55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30" width="13" style="1" bestFit="1" customWidth="1"/>
    <col min="31" max="34" width="11" style="1" bestFit="1" customWidth="1"/>
    <col min="35" max="37" width="12.25" style="1" bestFit="1" customWidth="1"/>
    <col min="38" max="49" width="11" style="1" bestFit="1" customWidth="1"/>
    <col min="50" max="50" width="13.25" style="1" bestFit="1" customWidth="1"/>
    <col min="51" max="51" width="10" style="1" bestFit="1" customWidth="1"/>
    <col min="52" max="52" width="11" style="1" bestFit="1" customWidth="1"/>
    <col min="53" max="256" width="9" style="1"/>
    <col min="257" max="257" width="2.875" style="1" bestFit="1" customWidth="1"/>
    <col min="258" max="258" width="16.625" style="1" bestFit="1" customWidth="1"/>
    <col min="259" max="259" width="11.375" style="1" bestFit="1" customWidth="1"/>
    <col min="260" max="261" width="14.125" style="1" bestFit="1" customWidth="1"/>
    <col min="262" max="262" width="11.375" style="1" bestFit="1" customWidth="1"/>
    <col min="263" max="265" width="12.5" style="1" bestFit="1" customWidth="1"/>
    <col min="266" max="266" width="11" style="1" bestFit="1" customWidth="1"/>
    <col min="267" max="286" width="13" style="1" bestFit="1" customWidth="1"/>
    <col min="287" max="290" width="11" style="1" bestFit="1" customWidth="1"/>
    <col min="291" max="293" width="12.25" style="1" bestFit="1" customWidth="1"/>
    <col min="294" max="305" width="11" style="1" bestFit="1" customWidth="1"/>
    <col min="306" max="306" width="13.25" style="1" bestFit="1" customWidth="1"/>
    <col min="307" max="307" width="10" style="1" bestFit="1" customWidth="1"/>
    <col min="308" max="308" width="11" style="1" bestFit="1" customWidth="1"/>
    <col min="309" max="512" width="9" style="1"/>
    <col min="513" max="513" width="2.875" style="1" bestFit="1" customWidth="1"/>
    <col min="514" max="514" width="16.625" style="1" bestFit="1" customWidth="1"/>
    <col min="515" max="515" width="11.375" style="1" bestFit="1" customWidth="1"/>
    <col min="516" max="517" width="14.125" style="1" bestFit="1" customWidth="1"/>
    <col min="518" max="518" width="11.375" style="1" bestFit="1" customWidth="1"/>
    <col min="519" max="521" width="12.5" style="1" bestFit="1" customWidth="1"/>
    <col min="522" max="522" width="11" style="1" bestFit="1" customWidth="1"/>
    <col min="523" max="542" width="13" style="1" bestFit="1" customWidth="1"/>
    <col min="543" max="546" width="11" style="1" bestFit="1" customWidth="1"/>
    <col min="547" max="549" width="12.25" style="1" bestFit="1" customWidth="1"/>
    <col min="550" max="561" width="11" style="1" bestFit="1" customWidth="1"/>
    <col min="562" max="562" width="13.25" style="1" bestFit="1" customWidth="1"/>
    <col min="563" max="563" width="10" style="1" bestFit="1" customWidth="1"/>
    <col min="564" max="564" width="11" style="1" bestFit="1" customWidth="1"/>
    <col min="565" max="768" width="9" style="1"/>
    <col min="769" max="769" width="2.875" style="1" bestFit="1" customWidth="1"/>
    <col min="770" max="770" width="16.625" style="1" bestFit="1" customWidth="1"/>
    <col min="771" max="771" width="11.375" style="1" bestFit="1" customWidth="1"/>
    <col min="772" max="773" width="14.125" style="1" bestFit="1" customWidth="1"/>
    <col min="774" max="774" width="11.375" style="1" bestFit="1" customWidth="1"/>
    <col min="775" max="777" width="12.5" style="1" bestFit="1" customWidth="1"/>
    <col min="778" max="778" width="11" style="1" bestFit="1" customWidth="1"/>
    <col min="779" max="798" width="13" style="1" bestFit="1" customWidth="1"/>
    <col min="799" max="802" width="11" style="1" bestFit="1" customWidth="1"/>
    <col min="803" max="805" width="12.25" style="1" bestFit="1" customWidth="1"/>
    <col min="806" max="817" width="11" style="1" bestFit="1" customWidth="1"/>
    <col min="818" max="818" width="13.25" style="1" bestFit="1" customWidth="1"/>
    <col min="819" max="819" width="10" style="1" bestFit="1" customWidth="1"/>
    <col min="820" max="820" width="11" style="1" bestFit="1" customWidth="1"/>
    <col min="821" max="1024" width="9" style="1"/>
    <col min="1025" max="1025" width="2.875" style="1" bestFit="1" customWidth="1"/>
    <col min="1026" max="1026" width="16.625" style="1" bestFit="1" customWidth="1"/>
    <col min="1027" max="1027" width="11.375" style="1" bestFit="1" customWidth="1"/>
    <col min="1028" max="1029" width="14.125" style="1" bestFit="1" customWidth="1"/>
    <col min="1030" max="1030" width="11.375" style="1" bestFit="1" customWidth="1"/>
    <col min="1031" max="1033" width="12.5" style="1" bestFit="1" customWidth="1"/>
    <col min="1034" max="1034" width="11" style="1" bestFit="1" customWidth="1"/>
    <col min="1035" max="1054" width="13" style="1" bestFit="1" customWidth="1"/>
    <col min="1055" max="1058" width="11" style="1" bestFit="1" customWidth="1"/>
    <col min="1059" max="1061" width="12.25" style="1" bestFit="1" customWidth="1"/>
    <col min="1062" max="1073" width="11" style="1" bestFit="1" customWidth="1"/>
    <col min="1074" max="1074" width="13.25" style="1" bestFit="1" customWidth="1"/>
    <col min="1075" max="1075" width="10" style="1" bestFit="1" customWidth="1"/>
    <col min="1076" max="1076" width="11" style="1" bestFit="1" customWidth="1"/>
    <col min="1077" max="1280" width="9" style="1"/>
    <col min="1281" max="1281" width="2.875" style="1" bestFit="1" customWidth="1"/>
    <col min="1282" max="1282" width="16.625" style="1" bestFit="1" customWidth="1"/>
    <col min="1283" max="1283" width="11.375" style="1" bestFit="1" customWidth="1"/>
    <col min="1284" max="1285" width="14.125" style="1" bestFit="1" customWidth="1"/>
    <col min="1286" max="1286" width="11.375" style="1" bestFit="1" customWidth="1"/>
    <col min="1287" max="1289" width="12.5" style="1" bestFit="1" customWidth="1"/>
    <col min="1290" max="1290" width="11" style="1" bestFit="1" customWidth="1"/>
    <col min="1291" max="1310" width="13" style="1" bestFit="1" customWidth="1"/>
    <col min="1311" max="1314" width="11" style="1" bestFit="1" customWidth="1"/>
    <col min="1315" max="1317" width="12.25" style="1" bestFit="1" customWidth="1"/>
    <col min="1318" max="1329" width="11" style="1" bestFit="1" customWidth="1"/>
    <col min="1330" max="1330" width="13.25" style="1" bestFit="1" customWidth="1"/>
    <col min="1331" max="1331" width="10" style="1" bestFit="1" customWidth="1"/>
    <col min="1332" max="1332" width="11" style="1" bestFit="1" customWidth="1"/>
    <col min="1333" max="1536" width="9" style="1"/>
    <col min="1537" max="1537" width="2.875" style="1" bestFit="1" customWidth="1"/>
    <col min="1538" max="1538" width="16.625" style="1" bestFit="1" customWidth="1"/>
    <col min="1539" max="1539" width="11.375" style="1" bestFit="1" customWidth="1"/>
    <col min="1540" max="1541" width="14.125" style="1" bestFit="1" customWidth="1"/>
    <col min="1542" max="1542" width="11.375" style="1" bestFit="1" customWidth="1"/>
    <col min="1543" max="1545" width="12.5" style="1" bestFit="1" customWidth="1"/>
    <col min="1546" max="1546" width="11" style="1" bestFit="1" customWidth="1"/>
    <col min="1547" max="1566" width="13" style="1" bestFit="1" customWidth="1"/>
    <col min="1567" max="1570" width="11" style="1" bestFit="1" customWidth="1"/>
    <col min="1571" max="1573" width="12.25" style="1" bestFit="1" customWidth="1"/>
    <col min="1574" max="1585" width="11" style="1" bestFit="1" customWidth="1"/>
    <col min="1586" max="1586" width="13.25" style="1" bestFit="1" customWidth="1"/>
    <col min="1587" max="1587" width="10" style="1" bestFit="1" customWidth="1"/>
    <col min="1588" max="1588" width="11" style="1" bestFit="1" customWidth="1"/>
    <col min="1589" max="1792" width="9" style="1"/>
    <col min="1793" max="1793" width="2.875" style="1" bestFit="1" customWidth="1"/>
    <col min="1794" max="1794" width="16.625" style="1" bestFit="1" customWidth="1"/>
    <col min="1795" max="1795" width="11.375" style="1" bestFit="1" customWidth="1"/>
    <col min="1796" max="1797" width="14.125" style="1" bestFit="1" customWidth="1"/>
    <col min="1798" max="1798" width="11.375" style="1" bestFit="1" customWidth="1"/>
    <col min="1799" max="1801" width="12.5" style="1" bestFit="1" customWidth="1"/>
    <col min="1802" max="1802" width="11" style="1" bestFit="1" customWidth="1"/>
    <col min="1803" max="1822" width="13" style="1" bestFit="1" customWidth="1"/>
    <col min="1823" max="1826" width="11" style="1" bestFit="1" customWidth="1"/>
    <col min="1827" max="1829" width="12.25" style="1" bestFit="1" customWidth="1"/>
    <col min="1830" max="1841" width="11" style="1" bestFit="1" customWidth="1"/>
    <col min="1842" max="1842" width="13.25" style="1" bestFit="1" customWidth="1"/>
    <col min="1843" max="1843" width="10" style="1" bestFit="1" customWidth="1"/>
    <col min="1844" max="1844" width="11" style="1" bestFit="1" customWidth="1"/>
    <col min="1845" max="2048" width="9" style="1"/>
    <col min="2049" max="2049" width="2.875" style="1" bestFit="1" customWidth="1"/>
    <col min="2050" max="2050" width="16.625" style="1" bestFit="1" customWidth="1"/>
    <col min="2051" max="2051" width="11.375" style="1" bestFit="1" customWidth="1"/>
    <col min="2052" max="2053" width="14.125" style="1" bestFit="1" customWidth="1"/>
    <col min="2054" max="2054" width="11.375" style="1" bestFit="1" customWidth="1"/>
    <col min="2055" max="2057" width="12.5" style="1" bestFit="1" customWidth="1"/>
    <col min="2058" max="2058" width="11" style="1" bestFit="1" customWidth="1"/>
    <col min="2059" max="2078" width="13" style="1" bestFit="1" customWidth="1"/>
    <col min="2079" max="2082" width="11" style="1" bestFit="1" customWidth="1"/>
    <col min="2083" max="2085" width="12.25" style="1" bestFit="1" customWidth="1"/>
    <col min="2086" max="2097" width="11" style="1" bestFit="1" customWidth="1"/>
    <col min="2098" max="2098" width="13.25" style="1" bestFit="1" customWidth="1"/>
    <col min="2099" max="2099" width="10" style="1" bestFit="1" customWidth="1"/>
    <col min="2100" max="2100" width="11" style="1" bestFit="1" customWidth="1"/>
    <col min="2101" max="2304" width="9" style="1"/>
    <col min="2305" max="2305" width="2.875" style="1" bestFit="1" customWidth="1"/>
    <col min="2306" max="2306" width="16.625" style="1" bestFit="1" customWidth="1"/>
    <col min="2307" max="2307" width="11.375" style="1" bestFit="1" customWidth="1"/>
    <col min="2308" max="2309" width="14.125" style="1" bestFit="1" customWidth="1"/>
    <col min="2310" max="2310" width="11.375" style="1" bestFit="1" customWidth="1"/>
    <col min="2311" max="2313" width="12.5" style="1" bestFit="1" customWidth="1"/>
    <col min="2314" max="2314" width="11" style="1" bestFit="1" customWidth="1"/>
    <col min="2315" max="2334" width="13" style="1" bestFit="1" customWidth="1"/>
    <col min="2335" max="2338" width="11" style="1" bestFit="1" customWidth="1"/>
    <col min="2339" max="2341" width="12.25" style="1" bestFit="1" customWidth="1"/>
    <col min="2342" max="2353" width="11" style="1" bestFit="1" customWidth="1"/>
    <col min="2354" max="2354" width="13.25" style="1" bestFit="1" customWidth="1"/>
    <col min="2355" max="2355" width="10" style="1" bestFit="1" customWidth="1"/>
    <col min="2356" max="2356" width="11" style="1" bestFit="1" customWidth="1"/>
    <col min="2357" max="2560" width="9" style="1"/>
    <col min="2561" max="2561" width="2.875" style="1" bestFit="1" customWidth="1"/>
    <col min="2562" max="2562" width="16.625" style="1" bestFit="1" customWidth="1"/>
    <col min="2563" max="2563" width="11.375" style="1" bestFit="1" customWidth="1"/>
    <col min="2564" max="2565" width="14.125" style="1" bestFit="1" customWidth="1"/>
    <col min="2566" max="2566" width="11.375" style="1" bestFit="1" customWidth="1"/>
    <col min="2567" max="2569" width="12.5" style="1" bestFit="1" customWidth="1"/>
    <col min="2570" max="2570" width="11" style="1" bestFit="1" customWidth="1"/>
    <col min="2571" max="2590" width="13" style="1" bestFit="1" customWidth="1"/>
    <col min="2591" max="2594" width="11" style="1" bestFit="1" customWidth="1"/>
    <col min="2595" max="2597" width="12.25" style="1" bestFit="1" customWidth="1"/>
    <col min="2598" max="2609" width="11" style="1" bestFit="1" customWidth="1"/>
    <col min="2610" max="2610" width="13.25" style="1" bestFit="1" customWidth="1"/>
    <col min="2611" max="2611" width="10" style="1" bestFit="1" customWidth="1"/>
    <col min="2612" max="2612" width="11" style="1" bestFit="1" customWidth="1"/>
    <col min="2613" max="2816" width="9" style="1"/>
    <col min="2817" max="2817" width="2.875" style="1" bestFit="1" customWidth="1"/>
    <col min="2818" max="2818" width="16.625" style="1" bestFit="1" customWidth="1"/>
    <col min="2819" max="2819" width="11.375" style="1" bestFit="1" customWidth="1"/>
    <col min="2820" max="2821" width="14.125" style="1" bestFit="1" customWidth="1"/>
    <col min="2822" max="2822" width="11.375" style="1" bestFit="1" customWidth="1"/>
    <col min="2823" max="2825" width="12.5" style="1" bestFit="1" customWidth="1"/>
    <col min="2826" max="2826" width="11" style="1" bestFit="1" customWidth="1"/>
    <col min="2827" max="2846" width="13" style="1" bestFit="1" customWidth="1"/>
    <col min="2847" max="2850" width="11" style="1" bestFit="1" customWidth="1"/>
    <col min="2851" max="2853" width="12.25" style="1" bestFit="1" customWidth="1"/>
    <col min="2854" max="2865" width="11" style="1" bestFit="1" customWidth="1"/>
    <col min="2866" max="2866" width="13.25" style="1" bestFit="1" customWidth="1"/>
    <col min="2867" max="2867" width="10" style="1" bestFit="1" customWidth="1"/>
    <col min="2868" max="2868" width="11" style="1" bestFit="1" customWidth="1"/>
    <col min="2869" max="3072" width="9" style="1"/>
    <col min="3073" max="3073" width="2.875" style="1" bestFit="1" customWidth="1"/>
    <col min="3074" max="3074" width="16.625" style="1" bestFit="1" customWidth="1"/>
    <col min="3075" max="3075" width="11.375" style="1" bestFit="1" customWidth="1"/>
    <col min="3076" max="3077" width="14.125" style="1" bestFit="1" customWidth="1"/>
    <col min="3078" max="3078" width="11.375" style="1" bestFit="1" customWidth="1"/>
    <col min="3079" max="3081" width="12.5" style="1" bestFit="1" customWidth="1"/>
    <col min="3082" max="3082" width="11" style="1" bestFit="1" customWidth="1"/>
    <col min="3083" max="3102" width="13" style="1" bestFit="1" customWidth="1"/>
    <col min="3103" max="3106" width="11" style="1" bestFit="1" customWidth="1"/>
    <col min="3107" max="3109" width="12.25" style="1" bestFit="1" customWidth="1"/>
    <col min="3110" max="3121" width="11" style="1" bestFit="1" customWidth="1"/>
    <col min="3122" max="3122" width="13.25" style="1" bestFit="1" customWidth="1"/>
    <col min="3123" max="3123" width="10" style="1" bestFit="1" customWidth="1"/>
    <col min="3124" max="3124" width="11" style="1" bestFit="1" customWidth="1"/>
    <col min="3125" max="3328" width="9" style="1"/>
    <col min="3329" max="3329" width="2.875" style="1" bestFit="1" customWidth="1"/>
    <col min="3330" max="3330" width="16.625" style="1" bestFit="1" customWidth="1"/>
    <col min="3331" max="3331" width="11.375" style="1" bestFit="1" customWidth="1"/>
    <col min="3332" max="3333" width="14.125" style="1" bestFit="1" customWidth="1"/>
    <col min="3334" max="3334" width="11.375" style="1" bestFit="1" customWidth="1"/>
    <col min="3335" max="3337" width="12.5" style="1" bestFit="1" customWidth="1"/>
    <col min="3338" max="3338" width="11" style="1" bestFit="1" customWidth="1"/>
    <col min="3339" max="3358" width="13" style="1" bestFit="1" customWidth="1"/>
    <col min="3359" max="3362" width="11" style="1" bestFit="1" customWidth="1"/>
    <col min="3363" max="3365" width="12.25" style="1" bestFit="1" customWidth="1"/>
    <col min="3366" max="3377" width="11" style="1" bestFit="1" customWidth="1"/>
    <col min="3378" max="3378" width="13.25" style="1" bestFit="1" customWidth="1"/>
    <col min="3379" max="3379" width="10" style="1" bestFit="1" customWidth="1"/>
    <col min="3380" max="3380" width="11" style="1" bestFit="1" customWidth="1"/>
    <col min="3381" max="3584" width="9" style="1"/>
    <col min="3585" max="3585" width="2.875" style="1" bestFit="1" customWidth="1"/>
    <col min="3586" max="3586" width="16.625" style="1" bestFit="1" customWidth="1"/>
    <col min="3587" max="3587" width="11.375" style="1" bestFit="1" customWidth="1"/>
    <col min="3588" max="3589" width="14.125" style="1" bestFit="1" customWidth="1"/>
    <col min="3590" max="3590" width="11.375" style="1" bestFit="1" customWidth="1"/>
    <col min="3591" max="3593" width="12.5" style="1" bestFit="1" customWidth="1"/>
    <col min="3594" max="3594" width="11" style="1" bestFit="1" customWidth="1"/>
    <col min="3595" max="3614" width="13" style="1" bestFit="1" customWidth="1"/>
    <col min="3615" max="3618" width="11" style="1" bestFit="1" customWidth="1"/>
    <col min="3619" max="3621" width="12.25" style="1" bestFit="1" customWidth="1"/>
    <col min="3622" max="3633" width="11" style="1" bestFit="1" customWidth="1"/>
    <col min="3634" max="3634" width="13.25" style="1" bestFit="1" customWidth="1"/>
    <col min="3635" max="3635" width="10" style="1" bestFit="1" customWidth="1"/>
    <col min="3636" max="3636" width="11" style="1" bestFit="1" customWidth="1"/>
    <col min="3637" max="3840" width="9" style="1"/>
    <col min="3841" max="3841" width="2.875" style="1" bestFit="1" customWidth="1"/>
    <col min="3842" max="3842" width="16.625" style="1" bestFit="1" customWidth="1"/>
    <col min="3843" max="3843" width="11.375" style="1" bestFit="1" customWidth="1"/>
    <col min="3844" max="3845" width="14.125" style="1" bestFit="1" customWidth="1"/>
    <col min="3846" max="3846" width="11.375" style="1" bestFit="1" customWidth="1"/>
    <col min="3847" max="3849" width="12.5" style="1" bestFit="1" customWidth="1"/>
    <col min="3850" max="3850" width="11" style="1" bestFit="1" customWidth="1"/>
    <col min="3851" max="3870" width="13" style="1" bestFit="1" customWidth="1"/>
    <col min="3871" max="3874" width="11" style="1" bestFit="1" customWidth="1"/>
    <col min="3875" max="3877" width="12.25" style="1" bestFit="1" customWidth="1"/>
    <col min="3878" max="3889" width="11" style="1" bestFit="1" customWidth="1"/>
    <col min="3890" max="3890" width="13.25" style="1" bestFit="1" customWidth="1"/>
    <col min="3891" max="3891" width="10" style="1" bestFit="1" customWidth="1"/>
    <col min="3892" max="3892" width="11" style="1" bestFit="1" customWidth="1"/>
    <col min="3893" max="4096" width="9" style="1"/>
    <col min="4097" max="4097" width="2.875" style="1" bestFit="1" customWidth="1"/>
    <col min="4098" max="4098" width="16.625" style="1" bestFit="1" customWidth="1"/>
    <col min="4099" max="4099" width="11.375" style="1" bestFit="1" customWidth="1"/>
    <col min="4100" max="4101" width="14.125" style="1" bestFit="1" customWidth="1"/>
    <col min="4102" max="4102" width="11.375" style="1" bestFit="1" customWidth="1"/>
    <col min="4103" max="4105" width="12.5" style="1" bestFit="1" customWidth="1"/>
    <col min="4106" max="4106" width="11" style="1" bestFit="1" customWidth="1"/>
    <col min="4107" max="4126" width="13" style="1" bestFit="1" customWidth="1"/>
    <col min="4127" max="4130" width="11" style="1" bestFit="1" customWidth="1"/>
    <col min="4131" max="4133" width="12.25" style="1" bestFit="1" customWidth="1"/>
    <col min="4134" max="4145" width="11" style="1" bestFit="1" customWidth="1"/>
    <col min="4146" max="4146" width="13.25" style="1" bestFit="1" customWidth="1"/>
    <col min="4147" max="4147" width="10" style="1" bestFit="1" customWidth="1"/>
    <col min="4148" max="4148" width="11" style="1" bestFit="1" customWidth="1"/>
    <col min="4149" max="4352" width="9" style="1"/>
    <col min="4353" max="4353" width="2.875" style="1" bestFit="1" customWidth="1"/>
    <col min="4354" max="4354" width="16.625" style="1" bestFit="1" customWidth="1"/>
    <col min="4355" max="4355" width="11.375" style="1" bestFit="1" customWidth="1"/>
    <col min="4356" max="4357" width="14.125" style="1" bestFit="1" customWidth="1"/>
    <col min="4358" max="4358" width="11.375" style="1" bestFit="1" customWidth="1"/>
    <col min="4359" max="4361" width="12.5" style="1" bestFit="1" customWidth="1"/>
    <col min="4362" max="4362" width="11" style="1" bestFit="1" customWidth="1"/>
    <col min="4363" max="4382" width="13" style="1" bestFit="1" customWidth="1"/>
    <col min="4383" max="4386" width="11" style="1" bestFit="1" customWidth="1"/>
    <col min="4387" max="4389" width="12.25" style="1" bestFit="1" customWidth="1"/>
    <col min="4390" max="4401" width="11" style="1" bestFit="1" customWidth="1"/>
    <col min="4402" max="4402" width="13.25" style="1" bestFit="1" customWidth="1"/>
    <col min="4403" max="4403" width="10" style="1" bestFit="1" customWidth="1"/>
    <col min="4404" max="4404" width="11" style="1" bestFit="1" customWidth="1"/>
    <col min="4405" max="4608" width="9" style="1"/>
    <col min="4609" max="4609" width="2.875" style="1" bestFit="1" customWidth="1"/>
    <col min="4610" max="4610" width="16.625" style="1" bestFit="1" customWidth="1"/>
    <col min="4611" max="4611" width="11.375" style="1" bestFit="1" customWidth="1"/>
    <col min="4612" max="4613" width="14.125" style="1" bestFit="1" customWidth="1"/>
    <col min="4614" max="4614" width="11.375" style="1" bestFit="1" customWidth="1"/>
    <col min="4615" max="4617" width="12.5" style="1" bestFit="1" customWidth="1"/>
    <col min="4618" max="4618" width="11" style="1" bestFit="1" customWidth="1"/>
    <col min="4619" max="4638" width="13" style="1" bestFit="1" customWidth="1"/>
    <col min="4639" max="4642" width="11" style="1" bestFit="1" customWidth="1"/>
    <col min="4643" max="4645" width="12.25" style="1" bestFit="1" customWidth="1"/>
    <col min="4646" max="4657" width="11" style="1" bestFit="1" customWidth="1"/>
    <col min="4658" max="4658" width="13.25" style="1" bestFit="1" customWidth="1"/>
    <col min="4659" max="4659" width="10" style="1" bestFit="1" customWidth="1"/>
    <col min="4660" max="4660" width="11" style="1" bestFit="1" customWidth="1"/>
    <col min="4661" max="4864" width="9" style="1"/>
    <col min="4865" max="4865" width="2.875" style="1" bestFit="1" customWidth="1"/>
    <col min="4866" max="4866" width="16.625" style="1" bestFit="1" customWidth="1"/>
    <col min="4867" max="4867" width="11.375" style="1" bestFit="1" customWidth="1"/>
    <col min="4868" max="4869" width="14.125" style="1" bestFit="1" customWidth="1"/>
    <col min="4870" max="4870" width="11.375" style="1" bestFit="1" customWidth="1"/>
    <col min="4871" max="4873" width="12.5" style="1" bestFit="1" customWidth="1"/>
    <col min="4874" max="4874" width="11" style="1" bestFit="1" customWidth="1"/>
    <col min="4875" max="4894" width="13" style="1" bestFit="1" customWidth="1"/>
    <col min="4895" max="4898" width="11" style="1" bestFit="1" customWidth="1"/>
    <col min="4899" max="4901" width="12.25" style="1" bestFit="1" customWidth="1"/>
    <col min="4902" max="4913" width="11" style="1" bestFit="1" customWidth="1"/>
    <col min="4914" max="4914" width="13.25" style="1" bestFit="1" customWidth="1"/>
    <col min="4915" max="4915" width="10" style="1" bestFit="1" customWidth="1"/>
    <col min="4916" max="4916" width="11" style="1" bestFit="1" customWidth="1"/>
    <col min="4917" max="5120" width="9" style="1"/>
    <col min="5121" max="5121" width="2.875" style="1" bestFit="1" customWidth="1"/>
    <col min="5122" max="5122" width="16.625" style="1" bestFit="1" customWidth="1"/>
    <col min="5123" max="5123" width="11.375" style="1" bestFit="1" customWidth="1"/>
    <col min="5124" max="5125" width="14.125" style="1" bestFit="1" customWidth="1"/>
    <col min="5126" max="5126" width="11.375" style="1" bestFit="1" customWidth="1"/>
    <col min="5127" max="5129" width="12.5" style="1" bestFit="1" customWidth="1"/>
    <col min="5130" max="5130" width="11" style="1" bestFit="1" customWidth="1"/>
    <col min="5131" max="5150" width="13" style="1" bestFit="1" customWidth="1"/>
    <col min="5151" max="5154" width="11" style="1" bestFit="1" customWidth="1"/>
    <col min="5155" max="5157" width="12.25" style="1" bestFit="1" customWidth="1"/>
    <col min="5158" max="5169" width="11" style="1" bestFit="1" customWidth="1"/>
    <col min="5170" max="5170" width="13.25" style="1" bestFit="1" customWidth="1"/>
    <col min="5171" max="5171" width="10" style="1" bestFit="1" customWidth="1"/>
    <col min="5172" max="5172" width="11" style="1" bestFit="1" customWidth="1"/>
    <col min="5173" max="5376" width="9" style="1"/>
    <col min="5377" max="5377" width="2.875" style="1" bestFit="1" customWidth="1"/>
    <col min="5378" max="5378" width="16.625" style="1" bestFit="1" customWidth="1"/>
    <col min="5379" max="5379" width="11.375" style="1" bestFit="1" customWidth="1"/>
    <col min="5380" max="5381" width="14.125" style="1" bestFit="1" customWidth="1"/>
    <col min="5382" max="5382" width="11.375" style="1" bestFit="1" customWidth="1"/>
    <col min="5383" max="5385" width="12.5" style="1" bestFit="1" customWidth="1"/>
    <col min="5386" max="5386" width="11" style="1" bestFit="1" customWidth="1"/>
    <col min="5387" max="5406" width="13" style="1" bestFit="1" customWidth="1"/>
    <col min="5407" max="5410" width="11" style="1" bestFit="1" customWidth="1"/>
    <col min="5411" max="5413" width="12.25" style="1" bestFit="1" customWidth="1"/>
    <col min="5414" max="5425" width="11" style="1" bestFit="1" customWidth="1"/>
    <col min="5426" max="5426" width="13.25" style="1" bestFit="1" customWidth="1"/>
    <col min="5427" max="5427" width="10" style="1" bestFit="1" customWidth="1"/>
    <col min="5428" max="5428" width="11" style="1" bestFit="1" customWidth="1"/>
    <col min="5429" max="5632" width="9" style="1"/>
    <col min="5633" max="5633" width="2.875" style="1" bestFit="1" customWidth="1"/>
    <col min="5634" max="5634" width="16.625" style="1" bestFit="1" customWidth="1"/>
    <col min="5635" max="5635" width="11.375" style="1" bestFit="1" customWidth="1"/>
    <col min="5636" max="5637" width="14.125" style="1" bestFit="1" customWidth="1"/>
    <col min="5638" max="5638" width="11.375" style="1" bestFit="1" customWidth="1"/>
    <col min="5639" max="5641" width="12.5" style="1" bestFit="1" customWidth="1"/>
    <col min="5642" max="5642" width="11" style="1" bestFit="1" customWidth="1"/>
    <col min="5643" max="5662" width="13" style="1" bestFit="1" customWidth="1"/>
    <col min="5663" max="5666" width="11" style="1" bestFit="1" customWidth="1"/>
    <col min="5667" max="5669" width="12.25" style="1" bestFit="1" customWidth="1"/>
    <col min="5670" max="5681" width="11" style="1" bestFit="1" customWidth="1"/>
    <col min="5682" max="5682" width="13.25" style="1" bestFit="1" customWidth="1"/>
    <col min="5683" max="5683" width="10" style="1" bestFit="1" customWidth="1"/>
    <col min="5684" max="5684" width="11" style="1" bestFit="1" customWidth="1"/>
    <col min="5685" max="5888" width="9" style="1"/>
    <col min="5889" max="5889" width="2.875" style="1" bestFit="1" customWidth="1"/>
    <col min="5890" max="5890" width="16.625" style="1" bestFit="1" customWidth="1"/>
    <col min="5891" max="5891" width="11.375" style="1" bestFit="1" customWidth="1"/>
    <col min="5892" max="5893" width="14.125" style="1" bestFit="1" customWidth="1"/>
    <col min="5894" max="5894" width="11.375" style="1" bestFit="1" customWidth="1"/>
    <col min="5895" max="5897" width="12.5" style="1" bestFit="1" customWidth="1"/>
    <col min="5898" max="5898" width="11" style="1" bestFit="1" customWidth="1"/>
    <col min="5899" max="5918" width="13" style="1" bestFit="1" customWidth="1"/>
    <col min="5919" max="5922" width="11" style="1" bestFit="1" customWidth="1"/>
    <col min="5923" max="5925" width="12.25" style="1" bestFit="1" customWidth="1"/>
    <col min="5926" max="5937" width="11" style="1" bestFit="1" customWidth="1"/>
    <col min="5938" max="5938" width="13.25" style="1" bestFit="1" customWidth="1"/>
    <col min="5939" max="5939" width="10" style="1" bestFit="1" customWidth="1"/>
    <col min="5940" max="5940" width="11" style="1" bestFit="1" customWidth="1"/>
    <col min="5941" max="6144" width="9" style="1"/>
    <col min="6145" max="6145" width="2.875" style="1" bestFit="1" customWidth="1"/>
    <col min="6146" max="6146" width="16.625" style="1" bestFit="1" customWidth="1"/>
    <col min="6147" max="6147" width="11.375" style="1" bestFit="1" customWidth="1"/>
    <col min="6148" max="6149" width="14.125" style="1" bestFit="1" customWidth="1"/>
    <col min="6150" max="6150" width="11.375" style="1" bestFit="1" customWidth="1"/>
    <col min="6151" max="6153" width="12.5" style="1" bestFit="1" customWidth="1"/>
    <col min="6154" max="6154" width="11" style="1" bestFit="1" customWidth="1"/>
    <col min="6155" max="6174" width="13" style="1" bestFit="1" customWidth="1"/>
    <col min="6175" max="6178" width="11" style="1" bestFit="1" customWidth="1"/>
    <col min="6179" max="6181" width="12.25" style="1" bestFit="1" customWidth="1"/>
    <col min="6182" max="6193" width="11" style="1" bestFit="1" customWidth="1"/>
    <col min="6194" max="6194" width="13.25" style="1" bestFit="1" customWidth="1"/>
    <col min="6195" max="6195" width="10" style="1" bestFit="1" customWidth="1"/>
    <col min="6196" max="6196" width="11" style="1" bestFit="1" customWidth="1"/>
    <col min="6197" max="6400" width="9" style="1"/>
    <col min="6401" max="6401" width="2.875" style="1" bestFit="1" customWidth="1"/>
    <col min="6402" max="6402" width="16.625" style="1" bestFit="1" customWidth="1"/>
    <col min="6403" max="6403" width="11.375" style="1" bestFit="1" customWidth="1"/>
    <col min="6404" max="6405" width="14.125" style="1" bestFit="1" customWidth="1"/>
    <col min="6406" max="6406" width="11.375" style="1" bestFit="1" customWidth="1"/>
    <col min="6407" max="6409" width="12.5" style="1" bestFit="1" customWidth="1"/>
    <col min="6410" max="6410" width="11" style="1" bestFit="1" customWidth="1"/>
    <col min="6411" max="6430" width="13" style="1" bestFit="1" customWidth="1"/>
    <col min="6431" max="6434" width="11" style="1" bestFit="1" customWidth="1"/>
    <col min="6435" max="6437" width="12.25" style="1" bestFit="1" customWidth="1"/>
    <col min="6438" max="6449" width="11" style="1" bestFit="1" customWidth="1"/>
    <col min="6450" max="6450" width="13.25" style="1" bestFit="1" customWidth="1"/>
    <col min="6451" max="6451" width="10" style="1" bestFit="1" customWidth="1"/>
    <col min="6452" max="6452" width="11" style="1" bestFit="1" customWidth="1"/>
    <col min="6453" max="6656" width="9" style="1"/>
    <col min="6657" max="6657" width="2.875" style="1" bestFit="1" customWidth="1"/>
    <col min="6658" max="6658" width="16.625" style="1" bestFit="1" customWidth="1"/>
    <col min="6659" max="6659" width="11.375" style="1" bestFit="1" customWidth="1"/>
    <col min="6660" max="6661" width="14.125" style="1" bestFit="1" customWidth="1"/>
    <col min="6662" max="6662" width="11.375" style="1" bestFit="1" customWidth="1"/>
    <col min="6663" max="6665" width="12.5" style="1" bestFit="1" customWidth="1"/>
    <col min="6666" max="6666" width="11" style="1" bestFit="1" customWidth="1"/>
    <col min="6667" max="6686" width="13" style="1" bestFit="1" customWidth="1"/>
    <col min="6687" max="6690" width="11" style="1" bestFit="1" customWidth="1"/>
    <col min="6691" max="6693" width="12.25" style="1" bestFit="1" customWidth="1"/>
    <col min="6694" max="6705" width="11" style="1" bestFit="1" customWidth="1"/>
    <col min="6706" max="6706" width="13.25" style="1" bestFit="1" customWidth="1"/>
    <col min="6707" max="6707" width="10" style="1" bestFit="1" customWidth="1"/>
    <col min="6708" max="6708" width="11" style="1" bestFit="1" customWidth="1"/>
    <col min="6709" max="6912" width="9" style="1"/>
    <col min="6913" max="6913" width="2.875" style="1" bestFit="1" customWidth="1"/>
    <col min="6914" max="6914" width="16.625" style="1" bestFit="1" customWidth="1"/>
    <col min="6915" max="6915" width="11.375" style="1" bestFit="1" customWidth="1"/>
    <col min="6916" max="6917" width="14.125" style="1" bestFit="1" customWidth="1"/>
    <col min="6918" max="6918" width="11.375" style="1" bestFit="1" customWidth="1"/>
    <col min="6919" max="6921" width="12.5" style="1" bestFit="1" customWidth="1"/>
    <col min="6922" max="6922" width="11" style="1" bestFit="1" customWidth="1"/>
    <col min="6923" max="6942" width="13" style="1" bestFit="1" customWidth="1"/>
    <col min="6943" max="6946" width="11" style="1" bestFit="1" customWidth="1"/>
    <col min="6947" max="6949" width="12.25" style="1" bestFit="1" customWidth="1"/>
    <col min="6950" max="6961" width="11" style="1" bestFit="1" customWidth="1"/>
    <col min="6962" max="6962" width="13.25" style="1" bestFit="1" customWidth="1"/>
    <col min="6963" max="6963" width="10" style="1" bestFit="1" customWidth="1"/>
    <col min="6964" max="6964" width="11" style="1" bestFit="1" customWidth="1"/>
    <col min="6965" max="7168" width="9" style="1"/>
    <col min="7169" max="7169" width="2.875" style="1" bestFit="1" customWidth="1"/>
    <col min="7170" max="7170" width="16.625" style="1" bestFit="1" customWidth="1"/>
    <col min="7171" max="7171" width="11.375" style="1" bestFit="1" customWidth="1"/>
    <col min="7172" max="7173" width="14.125" style="1" bestFit="1" customWidth="1"/>
    <col min="7174" max="7174" width="11.375" style="1" bestFit="1" customWidth="1"/>
    <col min="7175" max="7177" width="12.5" style="1" bestFit="1" customWidth="1"/>
    <col min="7178" max="7178" width="11" style="1" bestFit="1" customWidth="1"/>
    <col min="7179" max="7198" width="13" style="1" bestFit="1" customWidth="1"/>
    <col min="7199" max="7202" width="11" style="1" bestFit="1" customWidth="1"/>
    <col min="7203" max="7205" width="12.25" style="1" bestFit="1" customWidth="1"/>
    <col min="7206" max="7217" width="11" style="1" bestFit="1" customWidth="1"/>
    <col min="7218" max="7218" width="13.25" style="1" bestFit="1" customWidth="1"/>
    <col min="7219" max="7219" width="10" style="1" bestFit="1" customWidth="1"/>
    <col min="7220" max="7220" width="11" style="1" bestFit="1" customWidth="1"/>
    <col min="7221" max="7424" width="9" style="1"/>
    <col min="7425" max="7425" width="2.875" style="1" bestFit="1" customWidth="1"/>
    <col min="7426" max="7426" width="16.625" style="1" bestFit="1" customWidth="1"/>
    <col min="7427" max="7427" width="11.375" style="1" bestFit="1" customWidth="1"/>
    <col min="7428" max="7429" width="14.125" style="1" bestFit="1" customWidth="1"/>
    <col min="7430" max="7430" width="11.375" style="1" bestFit="1" customWidth="1"/>
    <col min="7431" max="7433" width="12.5" style="1" bestFit="1" customWidth="1"/>
    <col min="7434" max="7434" width="11" style="1" bestFit="1" customWidth="1"/>
    <col min="7435" max="7454" width="13" style="1" bestFit="1" customWidth="1"/>
    <col min="7455" max="7458" width="11" style="1" bestFit="1" customWidth="1"/>
    <col min="7459" max="7461" width="12.25" style="1" bestFit="1" customWidth="1"/>
    <col min="7462" max="7473" width="11" style="1" bestFit="1" customWidth="1"/>
    <col min="7474" max="7474" width="13.25" style="1" bestFit="1" customWidth="1"/>
    <col min="7475" max="7475" width="10" style="1" bestFit="1" customWidth="1"/>
    <col min="7476" max="7476" width="11" style="1" bestFit="1" customWidth="1"/>
    <col min="7477" max="7680" width="9" style="1"/>
    <col min="7681" max="7681" width="2.875" style="1" bestFit="1" customWidth="1"/>
    <col min="7682" max="7682" width="16.625" style="1" bestFit="1" customWidth="1"/>
    <col min="7683" max="7683" width="11.375" style="1" bestFit="1" customWidth="1"/>
    <col min="7684" max="7685" width="14.125" style="1" bestFit="1" customWidth="1"/>
    <col min="7686" max="7686" width="11.375" style="1" bestFit="1" customWidth="1"/>
    <col min="7687" max="7689" width="12.5" style="1" bestFit="1" customWidth="1"/>
    <col min="7690" max="7690" width="11" style="1" bestFit="1" customWidth="1"/>
    <col min="7691" max="7710" width="13" style="1" bestFit="1" customWidth="1"/>
    <col min="7711" max="7714" width="11" style="1" bestFit="1" customWidth="1"/>
    <col min="7715" max="7717" width="12.25" style="1" bestFit="1" customWidth="1"/>
    <col min="7718" max="7729" width="11" style="1" bestFit="1" customWidth="1"/>
    <col min="7730" max="7730" width="13.25" style="1" bestFit="1" customWidth="1"/>
    <col min="7731" max="7731" width="10" style="1" bestFit="1" customWidth="1"/>
    <col min="7732" max="7732" width="11" style="1" bestFit="1" customWidth="1"/>
    <col min="7733" max="7936" width="9" style="1"/>
    <col min="7937" max="7937" width="2.875" style="1" bestFit="1" customWidth="1"/>
    <col min="7938" max="7938" width="16.625" style="1" bestFit="1" customWidth="1"/>
    <col min="7939" max="7939" width="11.375" style="1" bestFit="1" customWidth="1"/>
    <col min="7940" max="7941" width="14.125" style="1" bestFit="1" customWidth="1"/>
    <col min="7942" max="7942" width="11.375" style="1" bestFit="1" customWidth="1"/>
    <col min="7943" max="7945" width="12.5" style="1" bestFit="1" customWidth="1"/>
    <col min="7946" max="7946" width="11" style="1" bestFit="1" customWidth="1"/>
    <col min="7947" max="7966" width="13" style="1" bestFit="1" customWidth="1"/>
    <col min="7967" max="7970" width="11" style="1" bestFit="1" customWidth="1"/>
    <col min="7971" max="7973" width="12.25" style="1" bestFit="1" customWidth="1"/>
    <col min="7974" max="7985" width="11" style="1" bestFit="1" customWidth="1"/>
    <col min="7986" max="7986" width="13.25" style="1" bestFit="1" customWidth="1"/>
    <col min="7987" max="7987" width="10" style="1" bestFit="1" customWidth="1"/>
    <col min="7988" max="7988" width="11" style="1" bestFit="1" customWidth="1"/>
    <col min="7989" max="8192" width="9" style="1"/>
    <col min="8193" max="8193" width="2.875" style="1" bestFit="1" customWidth="1"/>
    <col min="8194" max="8194" width="16.625" style="1" bestFit="1" customWidth="1"/>
    <col min="8195" max="8195" width="11.375" style="1" bestFit="1" customWidth="1"/>
    <col min="8196" max="8197" width="14.125" style="1" bestFit="1" customWidth="1"/>
    <col min="8198" max="8198" width="11.375" style="1" bestFit="1" customWidth="1"/>
    <col min="8199" max="8201" width="12.5" style="1" bestFit="1" customWidth="1"/>
    <col min="8202" max="8202" width="11" style="1" bestFit="1" customWidth="1"/>
    <col min="8203" max="8222" width="13" style="1" bestFit="1" customWidth="1"/>
    <col min="8223" max="8226" width="11" style="1" bestFit="1" customWidth="1"/>
    <col min="8227" max="8229" width="12.25" style="1" bestFit="1" customWidth="1"/>
    <col min="8230" max="8241" width="11" style="1" bestFit="1" customWidth="1"/>
    <col min="8242" max="8242" width="13.25" style="1" bestFit="1" customWidth="1"/>
    <col min="8243" max="8243" width="10" style="1" bestFit="1" customWidth="1"/>
    <col min="8244" max="8244" width="11" style="1" bestFit="1" customWidth="1"/>
    <col min="8245" max="8448" width="9" style="1"/>
    <col min="8449" max="8449" width="2.875" style="1" bestFit="1" customWidth="1"/>
    <col min="8450" max="8450" width="16.625" style="1" bestFit="1" customWidth="1"/>
    <col min="8451" max="8451" width="11.375" style="1" bestFit="1" customWidth="1"/>
    <col min="8452" max="8453" width="14.125" style="1" bestFit="1" customWidth="1"/>
    <col min="8454" max="8454" width="11.375" style="1" bestFit="1" customWidth="1"/>
    <col min="8455" max="8457" width="12.5" style="1" bestFit="1" customWidth="1"/>
    <col min="8458" max="8458" width="11" style="1" bestFit="1" customWidth="1"/>
    <col min="8459" max="8478" width="13" style="1" bestFit="1" customWidth="1"/>
    <col min="8479" max="8482" width="11" style="1" bestFit="1" customWidth="1"/>
    <col min="8483" max="8485" width="12.25" style="1" bestFit="1" customWidth="1"/>
    <col min="8486" max="8497" width="11" style="1" bestFit="1" customWidth="1"/>
    <col min="8498" max="8498" width="13.25" style="1" bestFit="1" customWidth="1"/>
    <col min="8499" max="8499" width="10" style="1" bestFit="1" customWidth="1"/>
    <col min="8500" max="8500" width="11" style="1" bestFit="1" customWidth="1"/>
    <col min="8501" max="8704" width="9" style="1"/>
    <col min="8705" max="8705" width="2.875" style="1" bestFit="1" customWidth="1"/>
    <col min="8706" max="8706" width="16.625" style="1" bestFit="1" customWidth="1"/>
    <col min="8707" max="8707" width="11.375" style="1" bestFit="1" customWidth="1"/>
    <col min="8708" max="8709" width="14.125" style="1" bestFit="1" customWidth="1"/>
    <col min="8710" max="8710" width="11.375" style="1" bestFit="1" customWidth="1"/>
    <col min="8711" max="8713" width="12.5" style="1" bestFit="1" customWidth="1"/>
    <col min="8714" max="8714" width="11" style="1" bestFit="1" customWidth="1"/>
    <col min="8715" max="8734" width="13" style="1" bestFit="1" customWidth="1"/>
    <col min="8735" max="8738" width="11" style="1" bestFit="1" customWidth="1"/>
    <col min="8739" max="8741" width="12.25" style="1" bestFit="1" customWidth="1"/>
    <col min="8742" max="8753" width="11" style="1" bestFit="1" customWidth="1"/>
    <col min="8754" max="8754" width="13.25" style="1" bestFit="1" customWidth="1"/>
    <col min="8755" max="8755" width="10" style="1" bestFit="1" customWidth="1"/>
    <col min="8756" max="8756" width="11" style="1" bestFit="1" customWidth="1"/>
    <col min="8757" max="8960" width="9" style="1"/>
    <col min="8961" max="8961" width="2.875" style="1" bestFit="1" customWidth="1"/>
    <col min="8962" max="8962" width="16.625" style="1" bestFit="1" customWidth="1"/>
    <col min="8963" max="8963" width="11.375" style="1" bestFit="1" customWidth="1"/>
    <col min="8964" max="8965" width="14.125" style="1" bestFit="1" customWidth="1"/>
    <col min="8966" max="8966" width="11.375" style="1" bestFit="1" customWidth="1"/>
    <col min="8967" max="8969" width="12.5" style="1" bestFit="1" customWidth="1"/>
    <col min="8970" max="8970" width="11" style="1" bestFit="1" customWidth="1"/>
    <col min="8971" max="8990" width="13" style="1" bestFit="1" customWidth="1"/>
    <col min="8991" max="8994" width="11" style="1" bestFit="1" customWidth="1"/>
    <col min="8995" max="8997" width="12.25" style="1" bestFit="1" customWidth="1"/>
    <col min="8998" max="9009" width="11" style="1" bestFit="1" customWidth="1"/>
    <col min="9010" max="9010" width="13.25" style="1" bestFit="1" customWidth="1"/>
    <col min="9011" max="9011" width="10" style="1" bestFit="1" customWidth="1"/>
    <col min="9012" max="9012" width="11" style="1" bestFit="1" customWidth="1"/>
    <col min="9013" max="9216" width="9" style="1"/>
    <col min="9217" max="9217" width="2.875" style="1" bestFit="1" customWidth="1"/>
    <col min="9218" max="9218" width="16.625" style="1" bestFit="1" customWidth="1"/>
    <col min="9219" max="9219" width="11.375" style="1" bestFit="1" customWidth="1"/>
    <col min="9220" max="9221" width="14.125" style="1" bestFit="1" customWidth="1"/>
    <col min="9222" max="9222" width="11.375" style="1" bestFit="1" customWidth="1"/>
    <col min="9223" max="9225" width="12.5" style="1" bestFit="1" customWidth="1"/>
    <col min="9226" max="9226" width="11" style="1" bestFit="1" customWidth="1"/>
    <col min="9227" max="9246" width="13" style="1" bestFit="1" customWidth="1"/>
    <col min="9247" max="9250" width="11" style="1" bestFit="1" customWidth="1"/>
    <col min="9251" max="9253" width="12.25" style="1" bestFit="1" customWidth="1"/>
    <col min="9254" max="9265" width="11" style="1" bestFit="1" customWidth="1"/>
    <col min="9266" max="9266" width="13.25" style="1" bestFit="1" customWidth="1"/>
    <col min="9267" max="9267" width="10" style="1" bestFit="1" customWidth="1"/>
    <col min="9268" max="9268" width="11" style="1" bestFit="1" customWidth="1"/>
    <col min="9269" max="9472" width="9" style="1"/>
    <col min="9473" max="9473" width="2.875" style="1" bestFit="1" customWidth="1"/>
    <col min="9474" max="9474" width="16.625" style="1" bestFit="1" customWidth="1"/>
    <col min="9475" max="9475" width="11.375" style="1" bestFit="1" customWidth="1"/>
    <col min="9476" max="9477" width="14.125" style="1" bestFit="1" customWidth="1"/>
    <col min="9478" max="9478" width="11.375" style="1" bestFit="1" customWidth="1"/>
    <col min="9479" max="9481" width="12.5" style="1" bestFit="1" customWidth="1"/>
    <col min="9482" max="9482" width="11" style="1" bestFit="1" customWidth="1"/>
    <col min="9483" max="9502" width="13" style="1" bestFit="1" customWidth="1"/>
    <col min="9503" max="9506" width="11" style="1" bestFit="1" customWidth="1"/>
    <col min="9507" max="9509" width="12.25" style="1" bestFit="1" customWidth="1"/>
    <col min="9510" max="9521" width="11" style="1" bestFit="1" customWidth="1"/>
    <col min="9522" max="9522" width="13.25" style="1" bestFit="1" customWidth="1"/>
    <col min="9523" max="9523" width="10" style="1" bestFit="1" customWidth="1"/>
    <col min="9524" max="9524" width="11" style="1" bestFit="1" customWidth="1"/>
    <col min="9525" max="9728" width="9" style="1"/>
    <col min="9729" max="9729" width="2.875" style="1" bestFit="1" customWidth="1"/>
    <col min="9730" max="9730" width="16.625" style="1" bestFit="1" customWidth="1"/>
    <col min="9731" max="9731" width="11.375" style="1" bestFit="1" customWidth="1"/>
    <col min="9732" max="9733" width="14.125" style="1" bestFit="1" customWidth="1"/>
    <col min="9734" max="9734" width="11.375" style="1" bestFit="1" customWidth="1"/>
    <col min="9735" max="9737" width="12.5" style="1" bestFit="1" customWidth="1"/>
    <col min="9738" max="9738" width="11" style="1" bestFit="1" customWidth="1"/>
    <col min="9739" max="9758" width="13" style="1" bestFit="1" customWidth="1"/>
    <col min="9759" max="9762" width="11" style="1" bestFit="1" customWidth="1"/>
    <col min="9763" max="9765" width="12.25" style="1" bestFit="1" customWidth="1"/>
    <col min="9766" max="9777" width="11" style="1" bestFit="1" customWidth="1"/>
    <col min="9778" max="9778" width="13.25" style="1" bestFit="1" customWidth="1"/>
    <col min="9779" max="9779" width="10" style="1" bestFit="1" customWidth="1"/>
    <col min="9780" max="9780" width="11" style="1" bestFit="1" customWidth="1"/>
    <col min="9781" max="9984" width="9" style="1"/>
    <col min="9985" max="9985" width="2.875" style="1" bestFit="1" customWidth="1"/>
    <col min="9986" max="9986" width="16.625" style="1" bestFit="1" customWidth="1"/>
    <col min="9987" max="9987" width="11.375" style="1" bestFit="1" customWidth="1"/>
    <col min="9988" max="9989" width="14.125" style="1" bestFit="1" customWidth="1"/>
    <col min="9990" max="9990" width="11.375" style="1" bestFit="1" customWidth="1"/>
    <col min="9991" max="9993" width="12.5" style="1" bestFit="1" customWidth="1"/>
    <col min="9994" max="9994" width="11" style="1" bestFit="1" customWidth="1"/>
    <col min="9995" max="10014" width="13" style="1" bestFit="1" customWidth="1"/>
    <col min="10015" max="10018" width="11" style="1" bestFit="1" customWidth="1"/>
    <col min="10019" max="10021" width="12.25" style="1" bestFit="1" customWidth="1"/>
    <col min="10022" max="10033" width="11" style="1" bestFit="1" customWidth="1"/>
    <col min="10034" max="10034" width="13.25" style="1" bestFit="1" customWidth="1"/>
    <col min="10035" max="10035" width="10" style="1" bestFit="1" customWidth="1"/>
    <col min="10036" max="10036" width="11" style="1" bestFit="1" customWidth="1"/>
    <col min="10037" max="10240" width="9" style="1"/>
    <col min="10241" max="10241" width="2.875" style="1" bestFit="1" customWidth="1"/>
    <col min="10242" max="10242" width="16.625" style="1" bestFit="1" customWidth="1"/>
    <col min="10243" max="10243" width="11.375" style="1" bestFit="1" customWidth="1"/>
    <col min="10244" max="10245" width="14.125" style="1" bestFit="1" customWidth="1"/>
    <col min="10246" max="10246" width="11.375" style="1" bestFit="1" customWidth="1"/>
    <col min="10247" max="10249" width="12.5" style="1" bestFit="1" customWidth="1"/>
    <col min="10250" max="10250" width="11" style="1" bestFit="1" customWidth="1"/>
    <col min="10251" max="10270" width="13" style="1" bestFit="1" customWidth="1"/>
    <col min="10271" max="10274" width="11" style="1" bestFit="1" customWidth="1"/>
    <col min="10275" max="10277" width="12.25" style="1" bestFit="1" customWidth="1"/>
    <col min="10278" max="10289" width="11" style="1" bestFit="1" customWidth="1"/>
    <col min="10290" max="10290" width="13.25" style="1" bestFit="1" customWidth="1"/>
    <col min="10291" max="10291" width="10" style="1" bestFit="1" customWidth="1"/>
    <col min="10292" max="10292" width="11" style="1" bestFit="1" customWidth="1"/>
    <col min="10293" max="10496" width="9" style="1"/>
    <col min="10497" max="10497" width="2.875" style="1" bestFit="1" customWidth="1"/>
    <col min="10498" max="10498" width="16.625" style="1" bestFit="1" customWidth="1"/>
    <col min="10499" max="10499" width="11.375" style="1" bestFit="1" customWidth="1"/>
    <col min="10500" max="10501" width="14.125" style="1" bestFit="1" customWidth="1"/>
    <col min="10502" max="10502" width="11.375" style="1" bestFit="1" customWidth="1"/>
    <col min="10503" max="10505" width="12.5" style="1" bestFit="1" customWidth="1"/>
    <col min="10506" max="10506" width="11" style="1" bestFit="1" customWidth="1"/>
    <col min="10507" max="10526" width="13" style="1" bestFit="1" customWidth="1"/>
    <col min="10527" max="10530" width="11" style="1" bestFit="1" customWidth="1"/>
    <col min="10531" max="10533" width="12.25" style="1" bestFit="1" customWidth="1"/>
    <col min="10534" max="10545" width="11" style="1" bestFit="1" customWidth="1"/>
    <col min="10546" max="10546" width="13.25" style="1" bestFit="1" customWidth="1"/>
    <col min="10547" max="10547" width="10" style="1" bestFit="1" customWidth="1"/>
    <col min="10548" max="10548" width="11" style="1" bestFit="1" customWidth="1"/>
    <col min="10549" max="10752" width="9" style="1"/>
    <col min="10753" max="10753" width="2.875" style="1" bestFit="1" customWidth="1"/>
    <col min="10754" max="10754" width="16.625" style="1" bestFit="1" customWidth="1"/>
    <col min="10755" max="10755" width="11.375" style="1" bestFit="1" customWidth="1"/>
    <col min="10756" max="10757" width="14.125" style="1" bestFit="1" customWidth="1"/>
    <col min="10758" max="10758" width="11.375" style="1" bestFit="1" customWidth="1"/>
    <col min="10759" max="10761" width="12.5" style="1" bestFit="1" customWidth="1"/>
    <col min="10762" max="10762" width="11" style="1" bestFit="1" customWidth="1"/>
    <col min="10763" max="10782" width="13" style="1" bestFit="1" customWidth="1"/>
    <col min="10783" max="10786" width="11" style="1" bestFit="1" customWidth="1"/>
    <col min="10787" max="10789" width="12.25" style="1" bestFit="1" customWidth="1"/>
    <col min="10790" max="10801" width="11" style="1" bestFit="1" customWidth="1"/>
    <col min="10802" max="10802" width="13.25" style="1" bestFit="1" customWidth="1"/>
    <col min="10803" max="10803" width="10" style="1" bestFit="1" customWidth="1"/>
    <col min="10804" max="10804" width="11" style="1" bestFit="1" customWidth="1"/>
    <col min="10805" max="11008" width="9" style="1"/>
    <col min="11009" max="11009" width="2.875" style="1" bestFit="1" customWidth="1"/>
    <col min="11010" max="11010" width="16.625" style="1" bestFit="1" customWidth="1"/>
    <col min="11011" max="11011" width="11.375" style="1" bestFit="1" customWidth="1"/>
    <col min="11012" max="11013" width="14.125" style="1" bestFit="1" customWidth="1"/>
    <col min="11014" max="11014" width="11.375" style="1" bestFit="1" customWidth="1"/>
    <col min="11015" max="11017" width="12.5" style="1" bestFit="1" customWidth="1"/>
    <col min="11018" max="11018" width="11" style="1" bestFit="1" customWidth="1"/>
    <col min="11019" max="11038" width="13" style="1" bestFit="1" customWidth="1"/>
    <col min="11039" max="11042" width="11" style="1" bestFit="1" customWidth="1"/>
    <col min="11043" max="11045" width="12.25" style="1" bestFit="1" customWidth="1"/>
    <col min="11046" max="11057" width="11" style="1" bestFit="1" customWidth="1"/>
    <col min="11058" max="11058" width="13.25" style="1" bestFit="1" customWidth="1"/>
    <col min="11059" max="11059" width="10" style="1" bestFit="1" customWidth="1"/>
    <col min="11060" max="11060" width="11" style="1" bestFit="1" customWidth="1"/>
    <col min="11061" max="11264" width="9" style="1"/>
    <col min="11265" max="11265" width="2.875" style="1" bestFit="1" customWidth="1"/>
    <col min="11266" max="11266" width="16.625" style="1" bestFit="1" customWidth="1"/>
    <col min="11267" max="11267" width="11.375" style="1" bestFit="1" customWidth="1"/>
    <col min="11268" max="11269" width="14.125" style="1" bestFit="1" customWidth="1"/>
    <col min="11270" max="11270" width="11.375" style="1" bestFit="1" customWidth="1"/>
    <col min="11271" max="11273" width="12.5" style="1" bestFit="1" customWidth="1"/>
    <col min="11274" max="11274" width="11" style="1" bestFit="1" customWidth="1"/>
    <col min="11275" max="11294" width="13" style="1" bestFit="1" customWidth="1"/>
    <col min="11295" max="11298" width="11" style="1" bestFit="1" customWidth="1"/>
    <col min="11299" max="11301" width="12.25" style="1" bestFit="1" customWidth="1"/>
    <col min="11302" max="11313" width="11" style="1" bestFit="1" customWidth="1"/>
    <col min="11314" max="11314" width="13.25" style="1" bestFit="1" customWidth="1"/>
    <col min="11315" max="11315" width="10" style="1" bestFit="1" customWidth="1"/>
    <col min="11316" max="11316" width="11" style="1" bestFit="1" customWidth="1"/>
    <col min="11317" max="11520" width="9" style="1"/>
    <col min="11521" max="11521" width="2.875" style="1" bestFit="1" customWidth="1"/>
    <col min="11522" max="11522" width="16.625" style="1" bestFit="1" customWidth="1"/>
    <col min="11523" max="11523" width="11.375" style="1" bestFit="1" customWidth="1"/>
    <col min="11524" max="11525" width="14.125" style="1" bestFit="1" customWidth="1"/>
    <col min="11526" max="11526" width="11.375" style="1" bestFit="1" customWidth="1"/>
    <col min="11527" max="11529" width="12.5" style="1" bestFit="1" customWidth="1"/>
    <col min="11530" max="11530" width="11" style="1" bestFit="1" customWidth="1"/>
    <col min="11531" max="11550" width="13" style="1" bestFit="1" customWidth="1"/>
    <col min="11551" max="11554" width="11" style="1" bestFit="1" customWidth="1"/>
    <col min="11555" max="11557" width="12.25" style="1" bestFit="1" customWidth="1"/>
    <col min="11558" max="11569" width="11" style="1" bestFit="1" customWidth="1"/>
    <col min="11570" max="11570" width="13.25" style="1" bestFit="1" customWidth="1"/>
    <col min="11571" max="11571" width="10" style="1" bestFit="1" customWidth="1"/>
    <col min="11572" max="11572" width="11" style="1" bestFit="1" customWidth="1"/>
    <col min="11573" max="11776" width="9" style="1"/>
    <col min="11777" max="11777" width="2.875" style="1" bestFit="1" customWidth="1"/>
    <col min="11778" max="11778" width="16.625" style="1" bestFit="1" customWidth="1"/>
    <col min="11779" max="11779" width="11.375" style="1" bestFit="1" customWidth="1"/>
    <col min="11780" max="11781" width="14.125" style="1" bestFit="1" customWidth="1"/>
    <col min="11782" max="11782" width="11.375" style="1" bestFit="1" customWidth="1"/>
    <col min="11783" max="11785" width="12.5" style="1" bestFit="1" customWidth="1"/>
    <col min="11786" max="11786" width="11" style="1" bestFit="1" customWidth="1"/>
    <col min="11787" max="11806" width="13" style="1" bestFit="1" customWidth="1"/>
    <col min="11807" max="11810" width="11" style="1" bestFit="1" customWidth="1"/>
    <col min="11811" max="11813" width="12.25" style="1" bestFit="1" customWidth="1"/>
    <col min="11814" max="11825" width="11" style="1" bestFit="1" customWidth="1"/>
    <col min="11826" max="11826" width="13.25" style="1" bestFit="1" customWidth="1"/>
    <col min="11827" max="11827" width="10" style="1" bestFit="1" customWidth="1"/>
    <col min="11828" max="11828" width="11" style="1" bestFit="1" customWidth="1"/>
    <col min="11829" max="12032" width="9" style="1"/>
    <col min="12033" max="12033" width="2.875" style="1" bestFit="1" customWidth="1"/>
    <col min="12034" max="12034" width="16.625" style="1" bestFit="1" customWidth="1"/>
    <col min="12035" max="12035" width="11.375" style="1" bestFit="1" customWidth="1"/>
    <col min="12036" max="12037" width="14.125" style="1" bestFit="1" customWidth="1"/>
    <col min="12038" max="12038" width="11.375" style="1" bestFit="1" customWidth="1"/>
    <col min="12039" max="12041" width="12.5" style="1" bestFit="1" customWidth="1"/>
    <col min="12042" max="12042" width="11" style="1" bestFit="1" customWidth="1"/>
    <col min="12043" max="12062" width="13" style="1" bestFit="1" customWidth="1"/>
    <col min="12063" max="12066" width="11" style="1" bestFit="1" customWidth="1"/>
    <col min="12067" max="12069" width="12.25" style="1" bestFit="1" customWidth="1"/>
    <col min="12070" max="12081" width="11" style="1" bestFit="1" customWidth="1"/>
    <col min="12082" max="12082" width="13.25" style="1" bestFit="1" customWidth="1"/>
    <col min="12083" max="12083" width="10" style="1" bestFit="1" customWidth="1"/>
    <col min="12084" max="12084" width="11" style="1" bestFit="1" customWidth="1"/>
    <col min="12085" max="12288" width="9" style="1"/>
    <col min="12289" max="12289" width="2.875" style="1" bestFit="1" customWidth="1"/>
    <col min="12290" max="12290" width="16.625" style="1" bestFit="1" customWidth="1"/>
    <col min="12291" max="12291" width="11.375" style="1" bestFit="1" customWidth="1"/>
    <col min="12292" max="12293" width="14.125" style="1" bestFit="1" customWidth="1"/>
    <col min="12294" max="12294" width="11.375" style="1" bestFit="1" customWidth="1"/>
    <col min="12295" max="12297" width="12.5" style="1" bestFit="1" customWidth="1"/>
    <col min="12298" max="12298" width="11" style="1" bestFit="1" customWidth="1"/>
    <col min="12299" max="12318" width="13" style="1" bestFit="1" customWidth="1"/>
    <col min="12319" max="12322" width="11" style="1" bestFit="1" customWidth="1"/>
    <col min="12323" max="12325" width="12.25" style="1" bestFit="1" customWidth="1"/>
    <col min="12326" max="12337" width="11" style="1" bestFit="1" customWidth="1"/>
    <col min="12338" max="12338" width="13.25" style="1" bestFit="1" customWidth="1"/>
    <col min="12339" max="12339" width="10" style="1" bestFit="1" customWidth="1"/>
    <col min="12340" max="12340" width="11" style="1" bestFit="1" customWidth="1"/>
    <col min="12341" max="12544" width="9" style="1"/>
    <col min="12545" max="12545" width="2.875" style="1" bestFit="1" customWidth="1"/>
    <col min="12546" max="12546" width="16.625" style="1" bestFit="1" customWidth="1"/>
    <col min="12547" max="12547" width="11.375" style="1" bestFit="1" customWidth="1"/>
    <col min="12548" max="12549" width="14.125" style="1" bestFit="1" customWidth="1"/>
    <col min="12550" max="12550" width="11.375" style="1" bestFit="1" customWidth="1"/>
    <col min="12551" max="12553" width="12.5" style="1" bestFit="1" customWidth="1"/>
    <col min="12554" max="12554" width="11" style="1" bestFit="1" customWidth="1"/>
    <col min="12555" max="12574" width="13" style="1" bestFit="1" customWidth="1"/>
    <col min="12575" max="12578" width="11" style="1" bestFit="1" customWidth="1"/>
    <col min="12579" max="12581" width="12.25" style="1" bestFit="1" customWidth="1"/>
    <col min="12582" max="12593" width="11" style="1" bestFit="1" customWidth="1"/>
    <col min="12594" max="12594" width="13.25" style="1" bestFit="1" customWidth="1"/>
    <col min="12595" max="12595" width="10" style="1" bestFit="1" customWidth="1"/>
    <col min="12596" max="12596" width="11" style="1" bestFit="1" customWidth="1"/>
    <col min="12597" max="12800" width="9" style="1"/>
    <col min="12801" max="12801" width="2.875" style="1" bestFit="1" customWidth="1"/>
    <col min="12802" max="12802" width="16.625" style="1" bestFit="1" customWidth="1"/>
    <col min="12803" max="12803" width="11.375" style="1" bestFit="1" customWidth="1"/>
    <col min="12804" max="12805" width="14.125" style="1" bestFit="1" customWidth="1"/>
    <col min="12806" max="12806" width="11.375" style="1" bestFit="1" customWidth="1"/>
    <col min="12807" max="12809" width="12.5" style="1" bestFit="1" customWidth="1"/>
    <col min="12810" max="12810" width="11" style="1" bestFit="1" customWidth="1"/>
    <col min="12811" max="12830" width="13" style="1" bestFit="1" customWidth="1"/>
    <col min="12831" max="12834" width="11" style="1" bestFit="1" customWidth="1"/>
    <col min="12835" max="12837" width="12.25" style="1" bestFit="1" customWidth="1"/>
    <col min="12838" max="12849" width="11" style="1" bestFit="1" customWidth="1"/>
    <col min="12850" max="12850" width="13.25" style="1" bestFit="1" customWidth="1"/>
    <col min="12851" max="12851" width="10" style="1" bestFit="1" customWidth="1"/>
    <col min="12852" max="12852" width="11" style="1" bestFit="1" customWidth="1"/>
    <col min="12853" max="13056" width="9" style="1"/>
    <col min="13057" max="13057" width="2.875" style="1" bestFit="1" customWidth="1"/>
    <col min="13058" max="13058" width="16.625" style="1" bestFit="1" customWidth="1"/>
    <col min="13059" max="13059" width="11.375" style="1" bestFit="1" customWidth="1"/>
    <col min="13060" max="13061" width="14.125" style="1" bestFit="1" customWidth="1"/>
    <col min="13062" max="13062" width="11.375" style="1" bestFit="1" customWidth="1"/>
    <col min="13063" max="13065" width="12.5" style="1" bestFit="1" customWidth="1"/>
    <col min="13066" max="13066" width="11" style="1" bestFit="1" customWidth="1"/>
    <col min="13067" max="13086" width="13" style="1" bestFit="1" customWidth="1"/>
    <col min="13087" max="13090" width="11" style="1" bestFit="1" customWidth="1"/>
    <col min="13091" max="13093" width="12.25" style="1" bestFit="1" customWidth="1"/>
    <col min="13094" max="13105" width="11" style="1" bestFit="1" customWidth="1"/>
    <col min="13106" max="13106" width="13.25" style="1" bestFit="1" customWidth="1"/>
    <col min="13107" max="13107" width="10" style="1" bestFit="1" customWidth="1"/>
    <col min="13108" max="13108" width="11" style="1" bestFit="1" customWidth="1"/>
    <col min="13109" max="13312" width="9" style="1"/>
    <col min="13313" max="13313" width="2.875" style="1" bestFit="1" customWidth="1"/>
    <col min="13314" max="13314" width="16.625" style="1" bestFit="1" customWidth="1"/>
    <col min="13315" max="13315" width="11.375" style="1" bestFit="1" customWidth="1"/>
    <col min="13316" max="13317" width="14.125" style="1" bestFit="1" customWidth="1"/>
    <col min="13318" max="13318" width="11.375" style="1" bestFit="1" customWidth="1"/>
    <col min="13319" max="13321" width="12.5" style="1" bestFit="1" customWidth="1"/>
    <col min="13322" max="13322" width="11" style="1" bestFit="1" customWidth="1"/>
    <col min="13323" max="13342" width="13" style="1" bestFit="1" customWidth="1"/>
    <col min="13343" max="13346" width="11" style="1" bestFit="1" customWidth="1"/>
    <col min="13347" max="13349" width="12.25" style="1" bestFit="1" customWidth="1"/>
    <col min="13350" max="13361" width="11" style="1" bestFit="1" customWidth="1"/>
    <col min="13362" max="13362" width="13.25" style="1" bestFit="1" customWidth="1"/>
    <col min="13363" max="13363" width="10" style="1" bestFit="1" customWidth="1"/>
    <col min="13364" max="13364" width="11" style="1" bestFit="1" customWidth="1"/>
    <col min="13365" max="13568" width="9" style="1"/>
    <col min="13569" max="13569" width="2.875" style="1" bestFit="1" customWidth="1"/>
    <col min="13570" max="13570" width="16.625" style="1" bestFit="1" customWidth="1"/>
    <col min="13571" max="13571" width="11.375" style="1" bestFit="1" customWidth="1"/>
    <col min="13572" max="13573" width="14.125" style="1" bestFit="1" customWidth="1"/>
    <col min="13574" max="13574" width="11.375" style="1" bestFit="1" customWidth="1"/>
    <col min="13575" max="13577" width="12.5" style="1" bestFit="1" customWidth="1"/>
    <col min="13578" max="13578" width="11" style="1" bestFit="1" customWidth="1"/>
    <col min="13579" max="13598" width="13" style="1" bestFit="1" customWidth="1"/>
    <col min="13599" max="13602" width="11" style="1" bestFit="1" customWidth="1"/>
    <col min="13603" max="13605" width="12.25" style="1" bestFit="1" customWidth="1"/>
    <col min="13606" max="13617" width="11" style="1" bestFit="1" customWidth="1"/>
    <col min="13618" max="13618" width="13.25" style="1" bestFit="1" customWidth="1"/>
    <col min="13619" max="13619" width="10" style="1" bestFit="1" customWidth="1"/>
    <col min="13620" max="13620" width="11" style="1" bestFit="1" customWidth="1"/>
    <col min="13621" max="13824" width="9" style="1"/>
    <col min="13825" max="13825" width="2.875" style="1" bestFit="1" customWidth="1"/>
    <col min="13826" max="13826" width="16.625" style="1" bestFit="1" customWidth="1"/>
    <col min="13827" max="13827" width="11.375" style="1" bestFit="1" customWidth="1"/>
    <col min="13828" max="13829" width="14.125" style="1" bestFit="1" customWidth="1"/>
    <col min="13830" max="13830" width="11.375" style="1" bestFit="1" customWidth="1"/>
    <col min="13831" max="13833" width="12.5" style="1" bestFit="1" customWidth="1"/>
    <col min="13834" max="13834" width="11" style="1" bestFit="1" customWidth="1"/>
    <col min="13835" max="13854" width="13" style="1" bestFit="1" customWidth="1"/>
    <col min="13855" max="13858" width="11" style="1" bestFit="1" customWidth="1"/>
    <col min="13859" max="13861" width="12.25" style="1" bestFit="1" customWidth="1"/>
    <col min="13862" max="13873" width="11" style="1" bestFit="1" customWidth="1"/>
    <col min="13874" max="13874" width="13.25" style="1" bestFit="1" customWidth="1"/>
    <col min="13875" max="13875" width="10" style="1" bestFit="1" customWidth="1"/>
    <col min="13876" max="13876" width="11" style="1" bestFit="1" customWidth="1"/>
    <col min="13877" max="14080" width="9" style="1"/>
    <col min="14081" max="14081" width="2.875" style="1" bestFit="1" customWidth="1"/>
    <col min="14082" max="14082" width="16.625" style="1" bestFit="1" customWidth="1"/>
    <col min="14083" max="14083" width="11.375" style="1" bestFit="1" customWidth="1"/>
    <col min="14084" max="14085" width="14.125" style="1" bestFit="1" customWidth="1"/>
    <col min="14086" max="14086" width="11.375" style="1" bestFit="1" customWidth="1"/>
    <col min="14087" max="14089" width="12.5" style="1" bestFit="1" customWidth="1"/>
    <col min="14090" max="14090" width="11" style="1" bestFit="1" customWidth="1"/>
    <col min="14091" max="14110" width="13" style="1" bestFit="1" customWidth="1"/>
    <col min="14111" max="14114" width="11" style="1" bestFit="1" customWidth="1"/>
    <col min="14115" max="14117" width="12.25" style="1" bestFit="1" customWidth="1"/>
    <col min="14118" max="14129" width="11" style="1" bestFit="1" customWidth="1"/>
    <col min="14130" max="14130" width="13.25" style="1" bestFit="1" customWidth="1"/>
    <col min="14131" max="14131" width="10" style="1" bestFit="1" customWidth="1"/>
    <col min="14132" max="14132" width="11" style="1" bestFit="1" customWidth="1"/>
    <col min="14133" max="14336" width="9" style="1"/>
    <col min="14337" max="14337" width="2.875" style="1" bestFit="1" customWidth="1"/>
    <col min="14338" max="14338" width="16.625" style="1" bestFit="1" customWidth="1"/>
    <col min="14339" max="14339" width="11.375" style="1" bestFit="1" customWidth="1"/>
    <col min="14340" max="14341" width="14.125" style="1" bestFit="1" customWidth="1"/>
    <col min="14342" max="14342" width="11.375" style="1" bestFit="1" customWidth="1"/>
    <col min="14343" max="14345" width="12.5" style="1" bestFit="1" customWidth="1"/>
    <col min="14346" max="14346" width="11" style="1" bestFit="1" customWidth="1"/>
    <col min="14347" max="14366" width="13" style="1" bestFit="1" customWidth="1"/>
    <col min="14367" max="14370" width="11" style="1" bestFit="1" customWidth="1"/>
    <col min="14371" max="14373" width="12.25" style="1" bestFit="1" customWidth="1"/>
    <col min="14374" max="14385" width="11" style="1" bestFit="1" customWidth="1"/>
    <col min="14386" max="14386" width="13.25" style="1" bestFit="1" customWidth="1"/>
    <col min="14387" max="14387" width="10" style="1" bestFit="1" customWidth="1"/>
    <col min="14388" max="14388" width="11" style="1" bestFit="1" customWidth="1"/>
    <col min="14389" max="14592" width="9" style="1"/>
    <col min="14593" max="14593" width="2.875" style="1" bestFit="1" customWidth="1"/>
    <col min="14594" max="14594" width="16.625" style="1" bestFit="1" customWidth="1"/>
    <col min="14595" max="14595" width="11.375" style="1" bestFit="1" customWidth="1"/>
    <col min="14596" max="14597" width="14.125" style="1" bestFit="1" customWidth="1"/>
    <col min="14598" max="14598" width="11.375" style="1" bestFit="1" customWidth="1"/>
    <col min="14599" max="14601" width="12.5" style="1" bestFit="1" customWidth="1"/>
    <col min="14602" max="14602" width="11" style="1" bestFit="1" customWidth="1"/>
    <col min="14603" max="14622" width="13" style="1" bestFit="1" customWidth="1"/>
    <col min="14623" max="14626" width="11" style="1" bestFit="1" customWidth="1"/>
    <col min="14627" max="14629" width="12.25" style="1" bestFit="1" customWidth="1"/>
    <col min="14630" max="14641" width="11" style="1" bestFit="1" customWidth="1"/>
    <col min="14642" max="14642" width="13.25" style="1" bestFit="1" customWidth="1"/>
    <col min="14643" max="14643" width="10" style="1" bestFit="1" customWidth="1"/>
    <col min="14644" max="14644" width="11" style="1" bestFit="1" customWidth="1"/>
    <col min="14645" max="14848" width="9" style="1"/>
    <col min="14849" max="14849" width="2.875" style="1" bestFit="1" customWidth="1"/>
    <col min="14850" max="14850" width="16.625" style="1" bestFit="1" customWidth="1"/>
    <col min="14851" max="14851" width="11.375" style="1" bestFit="1" customWidth="1"/>
    <col min="14852" max="14853" width="14.125" style="1" bestFit="1" customWidth="1"/>
    <col min="14854" max="14854" width="11.375" style="1" bestFit="1" customWidth="1"/>
    <col min="14855" max="14857" width="12.5" style="1" bestFit="1" customWidth="1"/>
    <col min="14858" max="14858" width="11" style="1" bestFit="1" customWidth="1"/>
    <col min="14859" max="14878" width="13" style="1" bestFit="1" customWidth="1"/>
    <col min="14879" max="14882" width="11" style="1" bestFit="1" customWidth="1"/>
    <col min="14883" max="14885" width="12.25" style="1" bestFit="1" customWidth="1"/>
    <col min="14886" max="14897" width="11" style="1" bestFit="1" customWidth="1"/>
    <col min="14898" max="14898" width="13.25" style="1" bestFit="1" customWidth="1"/>
    <col min="14899" max="14899" width="10" style="1" bestFit="1" customWidth="1"/>
    <col min="14900" max="14900" width="11" style="1" bestFit="1" customWidth="1"/>
    <col min="14901" max="15104" width="9" style="1"/>
    <col min="15105" max="15105" width="2.875" style="1" bestFit="1" customWidth="1"/>
    <col min="15106" max="15106" width="16.625" style="1" bestFit="1" customWidth="1"/>
    <col min="15107" max="15107" width="11.375" style="1" bestFit="1" customWidth="1"/>
    <col min="15108" max="15109" width="14.125" style="1" bestFit="1" customWidth="1"/>
    <col min="15110" max="15110" width="11.375" style="1" bestFit="1" customWidth="1"/>
    <col min="15111" max="15113" width="12.5" style="1" bestFit="1" customWidth="1"/>
    <col min="15114" max="15114" width="11" style="1" bestFit="1" customWidth="1"/>
    <col min="15115" max="15134" width="13" style="1" bestFit="1" customWidth="1"/>
    <col min="15135" max="15138" width="11" style="1" bestFit="1" customWidth="1"/>
    <col min="15139" max="15141" width="12.25" style="1" bestFit="1" customWidth="1"/>
    <col min="15142" max="15153" width="11" style="1" bestFit="1" customWidth="1"/>
    <col min="15154" max="15154" width="13.25" style="1" bestFit="1" customWidth="1"/>
    <col min="15155" max="15155" width="10" style="1" bestFit="1" customWidth="1"/>
    <col min="15156" max="15156" width="11" style="1" bestFit="1" customWidth="1"/>
    <col min="15157" max="15360" width="9" style="1"/>
    <col min="15361" max="15361" width="2.875" style="1" bestFit="1" customWidth="1"/>
    <col min="15362" max="15362" width="16.625" style="1" bestFit="1" customWidth="1"/>
    <col min="15363" max="15363" width="11.375" style="1" bestFit="1" customWidth="1"/>
    <col min="15364" max="15365" width="14.125" style="1" bestFit="1" customWidth="1"/>
    <col min="15366" max="15366" width="11.375" style="1" bestFit="1" customWidth="1"/>
    <col min="15367" max="15369" width="12.5" style="1" bestFit="1" customWidth="1"/>
    <col min="15370" max="15370" width="11" style="1" bestFit="1" customWidth="1"/>
    <col min="15371" max="15390" width="13" style="1" bestFit="1" customWidth="1"/>
    <col min="15391" max="15394" width="11" style="1" bestFit="1" customWidth="1"/>
    <col min="15395" max="15397" width="12.25" style="1" bestFit="1" customWidth="1"/>
    <col min="15398" max="15409" width="11" style="1" bestFit="1" customWidth="1"/>
    <col min="15410" max="15410" width="13.25" style="1" bestFit="1" customWidth="1"/>
    <col min="15411" max="15411" width="10" style="1" bestFit="1" customWidth="1"/>
    <col min="15412" max="15412" width="11" style="1" bestFit="1" customWidth="1"/>
    <col min="15413" max="15616" width="9" style="1"/>
    <col min="15617" max="15617" width="2.875" style="1" bestFit="1" customWidth="1"/>
    <col min="15618" max="15618" width="16.625" style="1" bestFit="1" customWidth="1"/>
    <col min="15619" max="15619" width="11.375" style="1" bestFit="1" customWidth="1"/>
    <col min="15620" max="15621" width="14.125" style="1" bestFit="1" customWidth="1"/>
    <col min="15622" max="15622" width="11.375" style="1" bestFit="1" customWidth="1"/>
    <col min="15623" max="15625" width="12.5" style="1" bestFit="1" customWidth="1"/>
    <col min="15626" max="15626" width="11" style="1" bestFit="1" customWidth="1"/>
    <col min="15627" max="15646" width="13" style="1" bestFit="1" customWidth="1"/>
    <col min="15647" max="15650" width="11" style="1" bestFit="1" customWidth="1"/>
    <col min="15651" max="15653" width="12.25" style="1" bestFit="1" customWidth="1"/>
    <col min="15654" max="15665" width="11" style="1" bestFit="1" customWidth="1"/>
    <col min="15666" max="15666" width="13.25" style="1" bestFit="1" customWidth="1"/>
    <col min="15667" max="15667" width="10" style="1" bestFit="1" customWidth="1"/>
    <col min="15668" max="15668" width="11" style="1" bestFit="1" customWidth="1"/>
    <col min="15669" max="15872" width="9" style="1"/>
    <col min="15873" max="15873" width="2.875" style="1" bestFit="1" customWidth="1"/>
    <col min="15874" max="15874" width="16.625" style="1" bestFit="1" customWidth="1"/>
    <col min="15875" max="15875" width="11.375" style="1" bestFit="1" customWidth="1"/>
    <col min="15876" max="15877" width="14.125" style="1" bestFit="1" customWidth="1"/>
    <col min="15878" max="15878" width="11.375" style="1" bestFit="1" customWidth="1"/>
    <col min="15879" max="15881" width="12.5" style="1" bestFit="1" customWidth="1"/>
    <col min="15882" max="15882" width="11" style="1" bestFit="1" customWidth="1"/>
    <col min="15883" max="15902" width="13" style="1" bestFit="1" customWidth="1"/>
    <col min="15903" max="15906" width="11" style="1" bestFit="1" customWidth="1"/>
    <col min="15907" max="15909" width="12.25" style="1" bestFit="1" customWidth="1"/>
    <col min="15910" max="15921" width="11" style="1" bestFit="1" customWidth="1"/>
    <col min="15922" max="15922" width="13.25" style="1" bestFit="1" customWidth="1"/>
    <col min="15923" max="15923" width="10" style="1" bestFit="1" customWidth="1"/>
    <col min="15924" max="15924" width="11" style="1" bestFit="1" customWidth="1"/>
    <col min="15925" max="16128" width="9" style="1"/>
    <col min="16129" max="16129" width="2.875" style="1" bestFit="1" customWidth="1"/>
    <col min="16130" max="16130" width="16.625" style="1" bestFit="1" customWidth="1"/>
    <col min="16131" max="16131" width="11.375" style="1" bestFit="1" customWidth="1"/>
    <col min="16132" max="16133" width="14.125" style="1" bestFit="1" customWidth="1"/>
    <col min="16134" max="16134" width="11.375" style="1" bestFit="1" customWidth="1"/>
    <col min="16135" max="16137" width="12.5" style="1" bestFit="1" customWidth="1"/>
    <col min="16138" max="16138" width="11" style="1" bestFit="1" customWidth="1"/>
    <col min="16139" max="16158" width="13" style="1" bestFit="1" customWidth="1"/>
    <col min="16159" max="16162" width="11" style="1" bestFit="1" customWidth="1"/>
    <col min="16163" max="16165" width="12.25" style="1" bestFit="1" customWidth="1"/>
    <col min="16166" max="16177" width="11" style="1" bestFit="1" customWidth="1"/>
    <col min="16178" max="16178" width="13.25" style="1" bestFit="1" customWidth="1"/>
    <col min="16179" max="16179" width="10" style="1" bestFit="1" customWidth="1"/>
    <col min="16180" max="16180" width="11" style="1" bestFit="1" customWidth="1"/>
    <col min="16181" max="16384" width="9" style="1"/>
  </cols>
  <sheetData>
    <row r="2" spans="1:52" ht="30.75" customHeight="1" x14ac:dyDescent="0.15"/>
    <row r="3" spans="1:52" x14ac:dyDescent="0.15">
      <c r="A3" s="57">
        <v>45627</v>
      </c>
      <c r="B3" s="57"/>
    </row>
    <row r="4" spans="1:52" s="5" customFormat="1" x14ac:dyDescent="0.15">
      <c r="A4" s="50" t="s">
        <v>0</v>
      </c>
      <c r="B4" s="50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26</v>
      </c>
      <c r="AD4" s="2" t="s">
        <v>197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183</v>
      </c>
      <c r="AM4" s="2" t="s">
        <v>184</v>
      </c>
      <c r="AN4" s="2" t="s">
        <v>34</v>
      </c>
      <c r="AO4" s="2" t="s">
        <v>35</v>
      </c>
      <c r="AP4" s="2" t="s">
        <v>36</v>
      </c>
      <c r="AQ4" s="2" t="s">
        <v>37</v>
      </c>
      <c r="AR4" s="2" t="s">
        <v>190</v>
      </c>
      <c r="AS4" s="2" t="s">
        <v>38</v>
      </c>
      <c r="AT4" s="2" t="s">
        <v>39</v>
      </c>
      <c r="AU4" s="2" t="s">
        <v>40</v>
      </c>
      <c r="AV4" s="2" t="s">
        <v>41</v>
      </c>
      <c r="AW4" s="3" t="s">
        <v>191</v>
      </c>
      <c r="AX4" s="3" t="s">
        <v>42</v>
      </c>
      <c r="AY4" s="3" t="s">
        <v>43</v>
      </c>
      <c r="AZ4" s="4" t="s">
        <v>44</v>
      </c>
    </row>
    <row r="5" spans="1:52" s="5" customFormat="1" hidden="1" x14ac:dyDescent="0.15">
      <c r="A5" s="54" t="s">
        <v>45</v>
      </c>
      <c r="B5" s="58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7</v>
      </c>
      <c r="AR5" s="2">
        <v>8</v>
      </c>
      <c r="AS5" s="2">
        <v>8</v>
      </c>
      <c r="AT5" s="2">
        <v>8</v>
      </c>
      <c r="AU5" s="2">
        <v>8</v>
      </c>
      <c r="AV5" s="2">
        <v>8</v>
      </c>
      <c r="AW5" s="3">
        <v>8</v>
      </c>
      <c r="AX5" s="3"/>
      <c r="AY5" s="3"/>
      <c r="AZ5" s="4"/>
    </row>
    <row r="6" spans="1:52" s="5" customFormat="1" hidden="1" x14ac:dyDescent="0.15">
      <c r="A6" s="54" t="s">
        <v>46</v>
      </c>
      <c r="B6" s="58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48</v>
      </c>
      <c r="L6" s="2" t="s">
        <v>48</v>
      </c>
      <c r="M6" s="2" t="s">
        <v>48</v>
      </c>
      <c r="N6" s="2" t="s">
        <v>48</v>
      </c>
      <c r="O6" s="2" t="s">
        <v>48</v>
      </c>
      <c r="P6" s="2" t="s">
        <v>48</v>
      </c>
      <c r="Q6" s="2" t="s">
        <v>48</v>
      </c>
      <c r="R6" s="2" t="s">
        <v>48</v>
      </c>
      <c r="S6" s="2" t="s">
        <v>48</v>
      </c>
      <c r="T6" s="2" t="s">
        <v>48</v>
      </c>
      <c r="U6" s="2" t="s">
        <v>48</v>
      </c>
      <c r="V6" s="2" t="s">
        <v>48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2" t="s">
        <v>48</v>
      </c>
      <c r="AD6" s="2" t="s">
        <v>48</v>
      </c>
      <c r="AE6" s="2" t="s">
        <v>49</v>
      </c>
      <c r="AF6" s="2" t="s">
        <v>49</v>
      </c>
      <c r="AG6" s="2" t="s">
        <v>49</v>
      </c>
      <c r="AH6" s="2" t="s">
        <v>49</v>
      </c>
      <c r="AI6" s="2" t="s">
        <v>49</v>
      </c>
      <c r="AJ6" s="2" t="s">
        <v>49</v>
      </c>
      <c r="AK6" s="2" t="s">
        <v>49</v>
      </c>
      <c r="AL6" s="2" t="s">
        <v>50</v>
      </c>
      <c r="AM6" s="2" t="s">
        <v>50</v>
      </c>
      <c r="AN6" s="2" t="s">
        <v>50</v>
      </c>
      <c r="AO6" s="2" t="s">
        <v>50</v>
      </c>
      <c r="AP6" s="2" t="s">
        <v>50</v>
      </c>
      <c r="AQ6" s="2" t="s">
        <v>50</v>
      </c>
      <c r="AR6" s="2" t="s">
        <v>51</v>
      </c>
      <c r="AS6" s="2" t="s">
        <v>51</v>
      </c>
      <c r="AT6" s="2" t="s">
        <v>51</v>
      </c>
      <c r="AU6" s="2" t="s">
        <v>51</v>
      </c>
      <c r="AV6" s="2" t="s">
        <v>51</v>
      </c>
      <c r="AW6" s="3" t="s">
        <v>51</v>
      </c>
      <c r="AX6" s="3"/>
      <c r="AY6" s="3"/>
      <c r="AZ6" s="4"/>
    </row>
    <row r="7" spans="1:52" s="5" customFormat="1" x14ac:dyDescent="0.15">
      <c r="A7" s="56" t="s">
        <v>52</v>
      </c>
      <c r="B7" s="56"/>
      <c r="C7" s="42" t="s">
        <v>152</v>
      </c>
      <c r="D7" s="42"/>
      <c r="E7" s="42" t="s">
        <v>153</v>
      </c>
      <c r="F7" s="42" t="s">
        <v>154</v>
      </c>
      <c r="G7" s="42" t="s">
        <v>155</v>
      </c>
      <c r="H7" s="42" t="s">
        <v>156</v>
      </c>
      <c r="I7" s="42" t="s">
        <v>157</v>
      </c>
      <c r="J7" s="42"/>
      <c r="K7" s="42" t="s">
        <v>162</v>
      </c>
      <c r="L7" s="42" t="s">
        <v>161</v>
      </c>
      <c r="M7" s="42" t="s">
        <v>164</v>
      </c>
      <c r="N7" s="42" t="s">
        <v>171</v>
      </c>
      <c r="O7" s="42" t="s">
        <v>169</v>
      </c>
      <c r="P7" s="42" t="s">
        <v>163</v>
      </c>
      <c r="Q7" s="42" t="s">
        <v>172</v>
      </c>
      <c r="R7" s="42" t="s">
        <v>166</v>
      </c>
      <c r="S7" s="42" t="s">
        <v>167</v>
      </c>
      <c r="T7" s="42" t="s">
        <v>173</v>
      </c>
      <c r="U7" s="42" t="s">
        <v>168</v>
      </c>
      <c r="V7" s="42" t="s">
        <v>176</v>
      </c>
      <c r="W7" s="42" t="s">
        <v>177</v>
      </c>
      <c r="X7" s="42" t="s">
        <v>174</v>
      </c>
      <c r="Y7" s="42" t="s">
        <v>175</v>
      </c>
      <c r="Z7" s="42" t="s">
        <v>178</v>
      </c>
      <c r="AA7" s="42" t="s">
        <v>181</v>
      </c>
      <c r="AB7" s="42"/>
      <c r="AC7" s="42"/>
      <c r="AD7" s="42"/>
      <c r="AE7" s="42" t="s">
        <v>159</v>
      </c>
      <c r="AF7" s="42" t="s">
        <v>160</v>
      </c>
      <c r="AG7" s="42" t="s">
        <v>158</v>
      </c>
      <c r="AH7" s="42" t="s">
        <v>170</v>
      </c>
      <c r="AI7" s="42" t="s">
        <v>182</v>
      </c>
      <c r="AJ7" s="42" t="s">
        <v>179</v>
      </c>
      <c r="AK7" s="42" t="s">
        <v>180</v>
      </c>
      <c r="AL7" s="42" t="s">
        <v>185</v>
      </c>
      <c r="AM7" s="42" t="s">
        <v>186</v>
      </c>
      <c r="AN7" s="42" t="s">
        <v>187</v>
      </c>
      <c r="AO7" s="42" t="s">
        <v>188</v>
      </c>
      <c r="AP7" s="42" t="s">
        <v>189</v>
      </c>
      <c r="AQ7" s="42"/>
      <c r="AR7" s="42" t="s">
        <v>196</v>
      </c>
      <c r="AS7" s="42" t="s">
        <v>192</v>
      </c>
      <c r="AT7" s="42" t="s">
        <v>193</v>
      </c>
      <c r="AU7" s="42" t="s">
        <v>194</v>
      </c>
      <c r="AV7" s="42" t="s">
        <v>195</v>
      </c>
      <c r="AW7" s="43"/>
      <c r="AX7" s="6"/>
      <c r="AY7" s="6"/>
      <c r="AZ7" s="7"/>
    </row>
    <row r="8" spans="1:52" s="5" customFormat="1" x14ac:dyDescent="0.15">
      <c r="A8" s="56" t="s">
        <v>53</v>
      </c>
      <c r="B8" s="56"/>
      <c r="C8" s="42" t="s">
        <v>198</v>
      </c>
      <c r="D8" s="42"/>
      <c r="E8" s="42" t="s">
        <v>199</v>
      </c>
      <c r="F8" s="42" t="s">
        <v>200</v>
      </c>
      <c r="G8" s="42" t="s">
        <v>201</v>
      </c>
      <c r="H8" s="42" t="s">
        <v>202</v>
      </c>
      <c r="I8" s="42" t="s">
        <v>203</v>
      </c>
      <c r="J8" s="42" t="s">
        <v>204</v>
      </c>
      <c r="K8" s="42" t="s">
        <v>205</v>
      </c>
      <c r="L8" s="42" t="s">
        <v>206</v>
      </c>
      <c r="M8" s="42" t="s">
        <v>207</v>
      </c>
      <c r="N8" s="42" t="s">
        <v>208</v>
      </c>
      <c r="O8" s="42" t="s">
        <v>199</v>
      </c>
      <c r="P8" s="42" t="s">
        <v>209</v>
      </c>
      <c r="Q8" s="42" t="s">
        <v>211</v>
      </c>
      <c r="R8" s="42" t="s">
        <v>210</v>
      </c>
      <c r="S8" s="42" t="s">
        <v>212</v>
      </c>
      <c r="T8" s="42" t="s">
        <v>213</v>
      </c>
      <c r="U8" s="42" t="s">
        <v>214</v>
      </c>
      <c r="V8" s="42" t="s">
        <v>215</v>
      </c>
      <c r="W8" s="42" t="s">
        <v>216</v>
      </c>
      <c r="X8" s="42" t="s">
        <v>211</v>
      </c>
      <c r="Y8" s="42" t="s">
        <v>217</v>
      </c>
      <c r="Z8" s="42" t="s">
        <v>218</v>
      </c>
      <c r="AA8" s="42" t="s">
        <v>219</v>
      </c>
      <c r="AB8" s="42"/>
      <c r="AC8" s="42"/>
      <c r="AD8" s="42" t="s">
        <v>220</v>
      </c>
      <c r="AE8" s="42" t="s">
        <v>221</v>
      </c>
      <c r="AF8" s="42" t="s">
        <v>222</v>
      </c>
      <c r="AG8" s="42" t="s">
        <v>223</v>
      </c>
      <c r="AH8" s="42" t="s">
        <v>224</v>
      </c>
      <c r="AI8" s="42" t="s">
        <v>225</v>
      </c>
      <c r="AJ8" s="42" t="s">
        <v>226</v>
      </c>
      <c r="AK8" s="42" t="s">
        <v>227</v>
      </c>
      <c r="AL8" s="42" t="s">
        <v>228</v>
      </c>
      <c r="AM8" s="42" t="s">
        <v>229</v>
      </c>
      <c r="AN8" s="42" t="s">
        <v>230</v>
      </c>
      <c r="AO8" s="42" t="s">
        <v>201</v>
      </c>
      <c r="AP8" s="42" t="s">
        <v>231</v>
      </c>
      <c r="AQ8" s="42"/>
      <c r="AR8" s="42" t="s">
        <v>223</v>
      </c>
      <c r="AS8" s="42" t="s">
        <v>232</v>
      </c>
      <c r="AT8" s="42" t="s">
        <v>215</v>
      </c>
      <c r="AU8" s="42" t="s">
        <v>233</v>
      </c>
      <c r="AV8" s="42" t="s">
        <v>234</v>
      </c>
      <c r="AW8" s="42" t="s">
        <v>235</v>
      </c>
      <c r="AX8" s="6"/>
      <c r="AY8" s="6"/>
      <c r="AZ8" s="7"/>
    </row>
    <row r="9" spans="1:52" x14ac:dyDescent="0.15">
      <c r="A9" s="52" t="s">
        <v>54</v>
      </c>
      <c r="B9" s="53"/>
      <c r="C9" s="44">
        <v>10</v>
      </c>
      <c r="D9" s="44"/>
      <c r="E9" s="44">
        <v>10</v>
      </c>
      <c r="F9" s="44">
        <v>10</v>
      </c>
      <c r="G9" s="44">
        <v>8</v>
      </c>
      <c r="H9" s="44">
        <v>8</v>
      </c>
      <c r="I9" s="44">
        <v>8</v>
      </c>
      <c r="J9" s="44">
        <v>8</v>
      </c>
      <c r="K9" s="44">
        <v>8</v>
      </c>
      <c r="L9" s="44">
        <v>8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>
        <v>14</v>
      </c>
      <c r="S9" s="44">
        <v>10</v>
      </c>
      <c r="T9" s="44">
        <v>10</v>
      </c>
      <c r="U9" s="44">
        <v>10</v>
      </c>
      <c r="V9" s="44">
        <v>10</v>
      </c>
      <c r="W9" s="44">
        <v>10</v>
      </c>
      <c r="X9" s="44">
        <v>10</v>
      </c>
      <c r="Y9" s="44">
        <v>10</v>
      </c>
      <c r="Z9" s="44">
        <v>10</v>
      </c>
      <c r="AA9" s="44">
        <v>10</v>
      </c>
      <c r="AB9" s="44"/>
      <c r="AC9" s="44"/>
      <c r="AD9" s="44">
        <v>14</v>
      </c>
      <c r="AE9" s="44">
        <v>8</v>
      </c>
      <c r="AF9" s="44">
        <v>8</v>
      </c>
      <c r="AG9" s="44">
        <v>8</v>
      </c>
      <c r="AH9" s="44">
        <v>10</v>
      </c>
      <c r="AI9" s="44">
        <v>10</v>
      </c>
      <c r="AJ9" s="44">
        <v>10</v>
      </c>
      <c r="AK9" s="44">
        <v>10</v>
      </c>
      <c r="AL9" s="44">
        <v>14</v>
      </c>
      <c r="AM9" s="44">
        <v>14</v>
      </c>
      <c r="AN9" s="44">
        <v>8</v>
      </c>
      <c r="AO9" s="44">
        <v>8</v>
      </c>
      <c r="AP9" s="44">
        <v>8</v>
      </c>
      <c r="AQ9" s="44"/>
      <c r="AR9" s="44">
        <v>18</v>
      </c>
      <c r="AS9" s="44">
        <v>8</v>
      </c>
      <c r="AT9" s="44">
        <v>8</v>
      </c>
      <c r="AU9" s="44">
        <v>8</v>
      </c>
      <c r="AV9" s="44">
        <v>8</v>
      </c>
      <c r="AW9" s="45">
        <v>14</v>
      </c>
      <c r="AX9" s="9">
        <f>SUM(C9:AW9)</f>
        <v>426</v>
      </c>
      <c r="AY9" s="9"/>
      <c r="AZ9" s="10"/>
    </row>
    <row r="10" spans="1:52" x14ac:dyDescent="0.15">
      <c r="A10" s="50" t="s">
        <v>55</v>
      </c>
      <c r="B10" s="50"/>
      <c r="C10" s="46" t="s">
        <v>56</v>
      </c>
      <c r="D10" s="46" t="s">
        <v>56</v>
      </c>
      <c r="E10" s="46" t="s">
        <v>56</v>
      </c>
      <c r="F10" s="46" t="s">
        <v>56</v>
      </c>
      <c r="G10" s="46" t="s">
        <v>57</v>
      </c>
      <c r="H10" s="46" t="s">
        <v>57</v>
      </c>
      <c r="I10" s="46" t="s">
        <v>57</v>
      </c>
      <c r="J10" s="47"/>
      <c r="K10" s="47" t="s">
        <v>58</v>
      </c>
      <c r="L10" s="47" t="s">
        <v>59</v>
      </c>
      <c r="M10" s="47" t="s">
        <v>60</v>
      </c>
      <c r="N10" s="47" t="s">
        <v>60</v>
      </c>
      <c r="O10" s="47" t="s">
        <v>60</v>
      </c>
      <c r="P10" s="47" t="s">
        <v>60</v>
      </c>
      <c r="Q10" s="47" t="s">
        <v>60</v>
      </c>
      <c r="R10" s="47" t="s">
        <v>60</v>
      </c>
      <c r="S10" s="47" t="s">
        <v>60</v>
      </c>
      <c r="T10" s="47" t="s">
        <v>60</v>
      </c>
      <c r="U10" s="47" t="s">
        <v>60</v>
      </c>
      <c r="V10" s="47" t="s">
        <v>61</v>
      </c>
      <c r="W10" s="47" t="s">
        <v>61</v>
      </c>
      <c r="X10" s="47" t="s">
        <v>61</v>
      </c>
      <c r="Y10" s="47" t="s">
        <v>61</v>
      </c>
      <c r="Z10" s="47" t="s">
        <v>62</v>
      </c>
      <c r="AA10" s="47" t="s">
        <v>62</v>
      </c>
      <c r="AB10" s="47" t="s">
        <v>63</v>
      </c>
      <c r="AC10" s="47" t="s">
        <v>64</v>
      </c>
      <c r="AD10" s="47"/>
      <c r="AE10" s="47" t="s">
        <v>58</v>
      </c>
      <c r="AF10" s="47" t="s">
        <v>58</v>
      </c>
      <c r="AG10" s="47" t="s">
        <v>59</v>
      </c>
      <c r="AH10" s="47" t="s">
        <v>60</v>
      </c>
      <c r="AI10" s="47" t="s">
        <v>62</v>
      </c>
      <c r="AJ10" s="47" t="s">
        <v>62</v>
      </c>
      <c r="AK10" s="47" t="s">
        <v>62</v>
      </c>
      <c r="AL10" s="47" t="s">
        <v>65</v>
      </c>
      <c r="AM10" s="47" t="s">
        <v>65</v>
      </c>
      <c r="AN10" s="47" t="s">
        <v>63</v>
      </c>
      <c r="AO10" s="47" t="s">
        <v>63</v>
      </c>
      <c r="AP10" s="47" t="s">
        <v>63</v>
      </c>
      <c r="AQ10" s="47"/>
      <c r="AR10" s="47" t="s">
        <v>65</v>
      </c>
      <c r="AS10" s="47" t="s">
        <v>63</v>
      </c>
      <c r="AT10" s="47" t="s">
        <v>63</v>
      </c>
      <c r="AU10" s="47" t="s">
        <v>63</v>
      </c>
      <c r="AV10" s="47" t="s">
        <v>63</v>
      </c>
      <c r="AW10" s="48"/>
      <c r="AX10" s="12"/>
      <c r="AY10" s="12"/>
      <c r="AZ10" s="13"/>
    </row>
    <row r="11" spans="1:52" x14ac:dyDescent="0.15">
      <c r="A11" s="50" t="s">
        <v>66</v>
      </c>
      <c r="B11" s="50"/>
      <c r="C11" s="14">
        <v>5963.0999999999995</v>
      </c>
      <c r="D11" s="14">
        <v>0</v>
      </c>
      <c r="E11" s="14">
        <v>7255.7999999999993</v>
      </c>
      <c r="F11" s="14">
        <v>6206.6</v>
      </c>
      <c r="G11" s="14">
        <v>5441.5999999999995</v>
      </c>
      <c r="H11" s="14">
        <v>5715.8</v>
      </c>
      <c r="I11" s="14">
        <v>2363.8000000000002</v>
      </c>
      <c r="J11" s="14">
        <v>0</v>
      </c>
      <c r="K11" s="14">
        <v>627</v>
      </c>
      <c r="L11" s="14">
        <v>4068</v>
      </c>
      <c r="M11" s="14">
        <v>5433.7000000000007</v>
      </c>
      <c r="N11" s="14">
        <v>4997.8</v>
      </c>
      <c r="O11" s="14">
        <v>5341</v>
      </c>
      <c r="P11" s="14">
        <v>5145.6000000000004</v>
      </c>
      <c r="Q11" s="14">
        <v>1009.8</v>
      </c>
      <c r="R11" s="14">
        <v>5113.1000000000004</v>
      </c>
      <c r="S11" s="14">
        <v>4953</v>
      </c>
      <c r="T11" s="14">
        <v>5386.7</v>
      </c>
      <c r="U11" s="14">
        <v>5635.5</v>
      </c>
      <c r="V11" s="14">
        <v>7328.9</v>
      </c>
      <c r="W11" s="14">
        <v>7468.0999999999995</v>
      </c>
      <c r="X11" s="14">
        <v>89.6</v>
      </c>
      <c r="Y11" s="14">
        <v>7138.1</v>
      </c>
      <c r="Z11" s="14">
        <v>3973</v>
      </c>
      <c r="AA11" s="14">
        <v>4136.2</v>
      </c>
      <c r="AB11" s="14">
        <v>0</v>
      </c>
      <c r="AC11" s="14">
        <v>0</v>
      </c>
      <c r="AD11" s="14">
        <v>0</v>
      </c>
      <c r="AE11" s="14">
        <v>6769</v>
      </c>
      <c r="AF11" s="14">
        <v>6663</v>
      </c>
      <c r="AG11" s="14">
        <v>10384</v>
      </c>
      <c r="AH11" s="14">
        <v>7243</v>
      </c>
      <c r="AI11" s="14">
        <v>4889</v>
      </c>
      <c r="AJ11" s="14">
        <v>3147</v>
      </c>
      <c r="AK11" s="14">
        <v>6255</v>
      </c>
      <c r="AL11" s="14">
        <v>3747.2999999999997</v>
      </c>
      <c r="AM11" s="14">
        <v>1681.7</v>
      </c>
      <c r="AN11" s="14">
        <v>3645.5</v>
      </c>
      <c r="AO11" s="14">
        <v>4192.7</v>
      </c>
      <c r="AP11" s="14">
        <v>1915.5</v>
      </c>
      <c r="AQ11" s="14">
        <v>0</v>
      </c>
      <c r="AR11" s="14">
        <v>3166.1</v>
      </c>
      <c r="AS11" s="14">
        <v>3990</v>
      </c>
      <c r="AT11" s="14">
        <v>918.1</v>
      </c>
      <c r="AU11" s="14">
        <v>4138.2</v>
      </c>
      <c r="AV11" s="14">
        <v>4179.3</v>
      </c>
      <c r="AW11" s="15">
        <v>0</v>
      </c>
      <c r="AX11" s="16">
        <f>SUM(C11:AW11)</f>
        <v>187716.2</v>
      </c>
      <c r="AY11" s="16">
        <f t="shared" ref="AY11:AY42" si="0">AVERAGE(D11:AW11)</f>
        <v>3951.1543478260878</v>
      </c>
      <c r="AZ11" s="13"/>
    </row>
    <row r="12" spans="1:52" x14ac:dyDescent="0.15">
      <c r="A12" s="54" t="s">
        <v>67</v>
      </c>
      <c r="B12" s="55"/>
      <c r="C12" s="18">
        <v>8.6277777777777782</v>
      </c>
      <c r="D12" s="18">
        <v>0</v>
      </c>
      <c r="E12" s="18">
        <v>11.059722222222222</v>
      </c>
      <c r="F12" s="18">
        <v>10.30486111111111</v>
      </c>
      <c r="G12" s="18">
        <v>7.709027777777778</v>
      </c>
      <c r="H12" s="18">
        <v>8.0583333333333336</v>
      </c>
      <c r="I12" s="18">
        <v>3.0041666666666669</v>
      </c>
      <c r="J12" s="18">
        <v>0</v>
      </c>
      <c r="K12" s="18">
        <v>0.74305555555555558</v>
      </c>
      <c r="L12" s="18">
        <v>10.772222222222222</v>
      </c>
      <c r="M12" s="18">
        <v>9.7965277777777775</v>
      </c>
      <c r="N12" s="18">
        <v>9.3673611111111104</v>
      </c>
      <c r="O12" s="18">
        <v>9.59375</v>
      </c>
      <c r="P12" s="18">
        <v>9.2631944444444443</v>
      </c>
      <c r="Q12" s="18">
        <v>3.1229166666666668</v>
      </c>
      <c r="R12" s="18">
        <v>8.593055555555555</v>
      </c>
      <c r="S12" s="18">
        <v>9.5819444444444439</v>
      </c>
      <c r="T12" s="18">
        <v>9.5263888888888886</v>
      </c>
      <c r="U12" s="18">
        <v>9.0527777777777771</v>
      </c>
      <c r="V12" s="18">
        <v>9.5583333333333336</v>
      </c>
      <c r="W12" s="18">
        <v>10.701388888888889</v>
      </c>
      <c r="X12" s="18">
        <v>0.48888888888888887</v>
      </c>
      <c r="Y12" s="18">
        <v>9.03125</v>
      </c>
      <c r="Z12" s="18">
        <v>4.46875</v>
      </c>
      <c r="AA12" s="18">
        <v>5.3493055555555555</v>
      </c>
      <c r="AB12" s="18">
        <v>0</v>
      </c>
      <c r="AC12" s="18">
        <v>0</v>
      </c>
      <c r="AD12" s="18">
        <v>0</v>
      </c>
      <c r="AE12" s="18">
        <v>8.7354166666666675</v>
      </c>
      <c r="AF12" s="18">
        <v>8.1437500000000007</v>
      </c>
      <c r="AG12" s="18">
        <v>12.925000000000001</v>
      </c>
      <c r="AH12" s="18">
        <v>9.7145833333333336</v>
      </c>
      <c r="AI12" s="18">
        <v>9.0472222222222225</v>
      </c>
      <c r="AJ12" s="18">
        <v>6.1909722222222223</v>
      </c>
      <c r="AK12" s="18">
        <v>8.7048611111111107</v>
      </c>
      <c r="AL12" s="18">
        <v>7.7034722222222225</v>
      </c>
      <c r="AM12" s="18">
        <v>2.6847222222222222</v>
      </c>
      <c r="AN12" s="18">
        <v>5.8763888888888891</v>
      </c>
      <c r="AO12" s="18">
        <v>7.7256944444444446</v>
      </c>
      <c r="AP12" s="18">
        <v>2.7250000000000001</v>
      </c>
      <c r="AQ12" s="18">
        <v>0</v>
      </c>
      <c r="AR12" s="18">
        <v>3.9618055555555554</v>
      </c>
      <c r="AS12" s="18">
        <v>5.2951388888888893</v>
      </c>
      <c r="AT12" s="18">
        <v>1.3430555555555554</v>
      </c>
      <c r="AU12" s="18">
        <v>4.9756944444444446</v>
      </c>
      <c r="AV12" s="18">
        <v>8.8840277777777779</v>
      </c>
      <c r="AW12" s="19">
        <v>0</v>
      </c>
      <c r="AX12" s="20">
        <f>SUM(C12:AW12)</f>
        <v>292.41180555555565</v>
      </c>
      <c r="AY12" s="20">
        <f t="shared" si="0"/>
        <v>6.1692179951690838</v>
      </c>
      <c r="AZ12" s="13"/>
    </row>
    <row r="13" spans="1:52" x14ac:dyDescent="0.15">
      <c r="A13" s="50" t="s">
        <v>68</v>
      </c>
      <c r="B13" s="50"/>
      <c r="C13" s="14">
        <v>1326715</v>
      </c>
      <c r="D13" s="14">
        <v>1411133</v>
      </c>
      <c r="E13" s="14">
        <v>1380056</v>
      </c>
      <c r="F13" s="14">
        <v>1318955</v>
      </c>
      <c r="G13" s="14">
        <v>1168600</v>
      </c>
      <c r="H13" s="14">
        <v>1127879</v>
      </c>
      <c r="I13" s="14">
        <v>417900</v>
      </c>
      <c r="J13" s="14">
        <v>0</v>
      </c>
      <c r="K13" s="14">
        <v>148418</v>
      </c>
      <c r="L13" s="14">
        <v>1012438</v>
      </c>
      <c r="M13" s="14">
        <v>1131030</v>
      </c>
      <c r="N13" s="14">
        <v>1111260</v>
      </c>
      <c r="O13" s="14">
        <v>1086300</v>
      </c>
      <c r="P13" s="14">
        <v>1040650</v>
      </c>
      <c r="Q13" s="14">
        <v>238870</v>
      </c>
      <c r="R13" s="14">
        <v>1487990</v>
      </c>
      <c r="S13" s="14">
        <v>1155170</v>
      </c>
      <c r="T13" s="14">
        <v>1053550</v>
      </c>
      <c r="U13" s="14">
        <v>1204650</v>
      </c>
      <c r="V13" s="14">
        <v>1318280</v>
      </c>
      <c r="W13" s="14">
        <v>1340550</v>
      </c>
      <c r="X13" s="14">
        <v>20080</v>
      </c>
      <c r="Y13" s="14">
        <v>1311750</v>
      </c>
      <c r="Z13" s="14">
        <v>932000</v>
      </c>
      <c r="AA13" s="14">
        <v>858735</v>
      </c>
      <c r="AB13" s="14">
        <v>11000</v>
      </c>
      <c r="AC13" s="14">
        <v>42883</v>
      </c>
      <c r="AD13" s="14">
        <v>0</v>
      </c>
      <c r="AE13" s="14">
        <v>1586771</v>
      </c>
      <c r="AF13" s="14">
        <v>1600846</v>
      </c>
      <c r="AG13" s="14">
        <v>2099099</v>
      </c>
      <c r="AH13" s="14">
        <v>1186510</v>
      </c>
      <c r="AI13" s="14">
        <v>1254176</v>
      </c>
      <c r="AJ13" s="14">
        <v>822846</v>
      </c>
      <c r="AK13" s="14">
        <v>1517348</v>
      </c>
      <c r="AL13" s="14">
        <v>1850300</v>
      </c>
      <c r="AM13" s="14">
        <v>568900</v>
      </c>
      <c r="AN13" s="14">
        <v>762600</v>
      </c>
      <c r="AO13" s="14">
        <v>1047700</v>
      </c>
      <c r="AP13" s="14">
        <v>397100</v>
      </c>
      <c r="AQ13" s="14">
        <v>338669</v>
      </c>
      <c r="AR13" s="14">
        <v>693400</v>
      </c>
      <c r="AS13" s="14">
        <v>759700</v>
      </c>
      <c r="AT13" s="14">
        <v>152000</v>
      </c>
      <c r="AU13" s="14">
        <v>724000</v>
      </c>
      <c r="AV13" s="14">
        <v>1168482</v>
      </c>
      <c r="AW13" s="15">
        <v>0</v>
      </c>
      <c r="AX13" s="16">
        <f>SUM(C13:AW13)</f>
        <v>43187289</v>
      </c>
      <c r="AY13" s="16">
        <f t="shared" si="0"/>
        <v>910012.47826086951</v>
      </c>
      <c r="AZ13" s="13">
        <f>AX13/AX13</f>
        <v>1</v>
      </c>
    </row>
    <row r="14" spans="1:52" x14ac:dyDescent="0.15">
      <c r="A14" s="54" t="s">
        <v>69</v>
      </c>
      <c r="B14" s="55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101560</v>
      </c>
      <c r="N14" s="14">
        <v>102600</v>
      </c>
      <c r="O14" s="14">
        <v>127560</v>
      </c>
      <c r="P14" s="14">
        <v>168590</v>
      </c>
      <c r="Q14" s="14">
        <v>0</v>
      </c>
      <c r="R14" s="14">
        <v>0</v>
      </c>
      <c r="S14" s="14">
        <v>72330</v>
      </c>
      <c r="T14" s="14">
        <v>160310</v>
      </c>
      <c r="U14" s="14">
        <v>44840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156570</v>
      </c>
      <c r="AC14" s="14">
        <v>0</v>
      </c>
      <c r="AD14" s="14">
        <v>0</v>
      </c>
      <c r="AE14" s="14">
        <v>0</v>
      </c>
      <c r="AF14" s="14">
        <v>0</v>
      </c>
      <c r="AG14" s="14">
        <v>0</v>
      </c>
      <c r="AH14" s="14">
        <v>94890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4">
        <v>0</v>
      </c>
      <c r="AR14" s="14">
        <v>0</v>
      </c>
      <c r="AS14" s="14">
        <v>0</v>
      </c>
      <c r="AT14" s="14">
        <v>0</v>
      </c>
      <c r="AU14" s="14">
        <v>0</v>
      </c>
      <c r="AV14" s="14">
        <v>0</v>
      </c>
      <c r="AW14" s="15">
        <v>0</v>
      </c>
      <c r="AX14" s="16">
        <f>SUM(C14:AW14)</f>
        <v>1029250</v>
      </c>
      <c r="AY14" s="16">
        <f t="shared" si="0"/>
        <v>22375</v>
      </c>
      <c r="AZ14" s="13"/>
    </row>
    <row r="15" spans="1:52" x14ac:dyDescent="0.15">
      <c r="A15" s="50" t="s">
        <v>70</v>
      </c>
      <c r="B15" s="50"/>
      <c r="C15" s="14">
        <f>SUM(C13/C11)</f>
        <v>222.48746457379553</v>
      </c>
      <c r="D15" s="14" t="e">
        <f t="shared" ref="D15:AW15" si="1">SUM(D13/D11)</f>
        <v>#DIV/0!</v>
      </c>
      <c r="E15" s="14">
        <f t="shared" si="1"/>
        <v>190.20039141100915</v>
      </c>
      <c r="F15" s="14">
        <f t="shared" si="1"/>
        <v>212.50845873747301</v>
      </c>
      <c r="G15" s="14">
        <f t="shared" si="1"/>
        <v>214.75301381946488</v>
      </c>
      <c r="H15" s="14">
        <f t="shared" si="1"/>
        <v>197.3265334686308</v>
      </c>
      <c r="I15" s="14">
        <f t="shared" si="1"/>
        <v>176.79160673491833</v>
      </c>
      <c r="J15" s="14" t="e">
        <f t="shared" si="1"/>
        <v>#DIV/0!</v>
      </c>
      <c r="K15" s="14">
        <f t="shared" si="1"/>
        <v>236.71132376395533</v>
      </c>
      <c r="L15" s="14">
        <f t="shared" si="1"/>
        <v>248.87856440511308</v>
      </c>
      <c r="M15" s="14">
        <f t="shared" si="1"/>
        <v>208.15098367594823</v>
      </c>
      <c r="N15" s="14">
        <f t="shared" si="1"/>
        <v>222.34983392692783</v>
      </c>
      <c r="O15" s="14">
        <f t="shared" si="1"/>
        <v>203.38887848717468</v>
      </c>
      <c r="P15" s="14">
        <f t="shared" si="1"/>
        <v>202.24074937810943</v>
      </c>
      <c r="Q15" s="14">
        <f t="shared" si="1"/>
        <v>236.5517924341454</v>
      </c>
      <c r="R15" s="14">
        <f t="shared" si="1"/>
        <v>291.01523537579942</v>
      </c>
      <c r="S15" s="14">
        <f t="shared" si="1"/>
        <v>233.22632747829599</v>
      </c>
      <c r="T15" s="14">
        <f t="shared" si="1"/>
        <v>195.58356693337294</v>
      </c>
      <c r="U15" s="14">
        <f t="shared" si="1"/>
        <v>213.76097950492414</v>
      </c>
      <c r="V15" s="14">
        <f t="shared" si="1"/>
        <v>179.87419667344349</v>
      </c>
      <c r="W15" s="14">
        <f t="shared" si="1"/>
        <v>179.50348816968173</v>
      </c>
      <c r="X15" s="14">
        <f t="shared" si="1"/>
        <v>224.10714285714286</v>
      </c>
      <c r="Y15" s="14">
        <f t="shared" si="1"/>
        <v>183.76738908112802</v>
      </c>
      <c r="Z15" s="14">
        <f t="shared" si="1"/>
        <v>234.58343820790336</v>
      </c>
      <c r="AA15" s="14">
        <f t="shared" si="1"/>
        <v>207.61447705623519</v>
      </c>
      <c r="AB15" s="14" t="e">
        <f t="shared" si="1"/>
        <v>#DIV/0!</v>
      </c>
      <c r="AC15" s="14" t="e">
        <f t="shared" si="1"/>
        <v>#DIV/0!</v>
      </c>
      <c r="AD15" s="14" t="e">
        <f t="shared" si="1"/>
        <v>#DIV/0!</v>
      </c>
      <c r="AE15" s="14">
        <f t="shared" si="1"/>
        <v>234.41734377308316</v>
      </c>
      <c r="AF15" s="14">
        <f t="shared" si="1"/>
        <v>240.25904247336035</v>
      </c>
      <c r="AG15" s="14">
        <f t="shared" si="1"/>
        <v>202.14743836671803</v>
      </c>
      <c r="AH15" s="14">
        <f t="shared" si="1"/>
        <v>163.81471765842883</v>
      </c>
      <c r="AI15" s="14">
        <f t="shared" si="1"/>
        <v>256.53016976886892</v>
      </c>
      <c r="AJ15" s="14">
        <f t="shared" si="1"/>
        <v>261.46997140133459</v>
      </c>
      <c r="AK15" s="14">
        <f t="shared" si="1"/>
        <v>242.58161470823342</v>
      </c>
      <c r="AL15" s="14">
        <f t="shared" si="1"/>
        <v>493.76884690310362</v>
      </c>
      <c r="AM15" s="14">
        <f t="shared" si="1"/>
        <v>338.28863649878099</v>
      </c>
      <c r="AN15" s="14">
        <f t="shared" si="1"/>
        <v>209.1894116033466</v>
      </c>
      <c r="AO15" s="14">
        <f t="shared" si="1"/>
        <v>249.88670784935724</v>
      </c>
      <c r="AP15" s="14">
        <f t="shared" si="1"/>
        <v>207.3087966588358</v>
      </c>
      <c r="AQ15" s="14" t="e">
        <f t="shared" si="1"/>
        <v>#DIV/0!</v>
      </c>
      <c r="AR15" s="14">
        <f t="shared" si="1"/>
        <v>219.00761188844319</v>
      </c>
      <c r="AS15" s="14">
        <f t="shared" si="1"/>
        <v>190.40100250626566</v>
      </c>
      <c r="AT15" s="14">
        <f t="shared" si="1"/>
        <v>165.55930726500381</v>
      </c>
      <c r="AU15" s="14">
        <f t="shared" si="1"/>
        <v>174.95529457251945</v>
      </c>
      <c r="AV15" s="14">
        <f t="shared" si="1"/>
        <v>279.58796927715167</v>
      </c>
      <c r="AW15" s="15" t="e">
        <f t="shared" si="1"/>
        <v>#DIV/0!</v>
      </c>
      <c r="AX15" s="12">
        <f>SUM(AX13/AX11)</f>
        <v>230.06692549710678</v>
      </c>
      <c r="AY15" s="16" t="e">
        <f t="shared" si="0"/>
        <v>#DIV/0!</v>
      </c>
      <c r="AZ15" s="13"/>
    </row>
    <row r="16" spans="1:52" x14ac:dyDescent="0.15">
      <c r="A16" s="54" t="s">
        <v>71</v>
      </c>
      <c r="B16" s="55"/>
      <c r="C16" s="21">
        <f t="shared" ref="C16:AX16" si="2">C13/(C12*24)</f>
        <v>6407.187701223439</v>
      </c>
      <c r="D16" s="21" t="e">
        <f t="shared" si="2"/>
        <v>#DIV/0!</v>
      </c>
      <c r="E16" s="21">
        <f t="shared" si="2"/>
        <v>5199.2565615973881</v>
      </c>
      <c r="F16" s="21">
        <f t="shared" si="2"/>
        <v>5333.0615270570797</v>
      </c>
      <c r="G16" s="21">
        <f t="shared" si="2"/>
        <v>6316.1877308350595</v>
      </c>
      <c r="H16" s="21">
        <f t="shared" si="2"/>
        <v>5831.8459152016549</v>
      </c>
      <c r="I16" s="21">
        <f t="shared" si="2"/>
        <v>5796.116504854368</v>
      </c>
      <c r="J16" s="21" t="e">
        <f t="shared" si="2"/>
        <v>#DIV/0!</v>
      </c>
      <c r="K16" s="21">
        <f t="shared" si="2"/>
        <v>8322.5046728971956</v>
      </c>
      <c r="L16" s="21">
        <f t="shared" si="2"/>
        <v>3916.0830324909753</v>
      </c>
      <c r="M16" s="21">
        <f t="shared" si="2"/>
        <v>4810.5054228397248</v>
      </c>
      <c r="N16" s="21">
        <f t="shared" si="2"/>
        <v>4942.9609311290678</v>
      </c>
      <c r="O16" s="21">
        <f t="shared" si="2"/>
        <v>4717.9153094462545</v>
      </c>
      <c r="P16" s="21">
        <f t="shared" si="2"/>
        <v>4680.9356023689934</v>
      </c>
      <c r="Q16" s="21">
        <f t="shared" si="2"/>
        <v>3187.0580386924617</v>
      </c>
      <c r="R16" s="21">
        <f t="shared" si="2"/>
        <v>7215.0800064651694</v>
      </c>
      <c r="S16" s="21">
        <f t="shared" si="2"/>
        <v>5023.2062617770698</v>
      </c>
      <c r="T16" s="21">
        <f t="shared" si="2"/>
        <v>4608.0332409972298</v>
      </c>
      <c r="U16" s="21">
        <f t="shared" si="2"/>
        <v>5544.5688861613999</v>
      </c>
      <c r="V16" s="21">
        <f t="shared" si="2"/>
        <v>5746.6434176111597</v>
      </c>
      <c r="W16" s="21">
        <f t="shared" si="2"/>
        <v>5219.5327709279682</v>
      </c>
      <c r="X16" s="21">
        <f t="shared" si="2"/>
        <v>1711.3636363636365</v>
      </c>
      <c r="Y16" s="21">
        <f t="shared" si="2"/>
        <v>6051.9031141868509</v>
      </c>
      <c r="Z16" s="21">
        <f t="shared" si="2"/>
        <v>8689.9766899766892</v>
      </c>
      <c r="AA16" s="21">
        <f t="shared" si="2"/>
        <v>6688.8355186291055</v>
      </c>
      <c r="AB16" s="21" t="e">
        <f t="shared" si="2"/>
        <v>#DIV/0!</v>
      </c>
      <c r="AC16" s="21" t="e">
        <f t="shared" si="2"/>
        <v>#DIV/0!</v>
      </c>
      <c r="AD16" s="21" t="e">
        <f t="shared" si="2"/>
        <v>#DIV/0!</v>
      </c>
      <c r="AE16" s="21">
        <f t="shared" si="2"/>
        <v>7568.6668256618159</v>
      </c>
      <c r="AF16" s="21">
        <f t="shared" si="2"/>
        <v>8190.5653619851619</v>
      </c>
      <c r="AG16" s="21">
        <f t="shared" si="2"/>
        <v>6766.921341070276</v>
      </c>
      <c r="AH16" s="21">
        <f t="shared" si="2"/>
        <v>5089.0413896633072</v>
      </c>
      <c r="AI16" s="21">
        <f t="shared" si="2"/>
        <v>5776.063862450108</v>
      </c>
      <c r="AJ16" s="21">
        <f t="shared" si="2"/>
        <v>5537.9427930454285</v>
      </c>
      <c r="AK16" s="21">
        <f t="shared" si="2"/>
        <v>7262.9341842840049</v>
      </c>
      <c r="AL16" s="21">
        <f t="shared" si="2"/>
        <v>10007.932930677003</v>
      </c>
      <c r="AM16" s="21">
        <f t="shared" si="2"/>
        <v>8829.2809105018096</v>
      </c>
      <c r="AN16" s="21">
        <f t="shared" si="2"/>
        <v>5407.2323327818485</v>
      </c>
      <c r="AO16" s="21">
        <f t="shared" si="2"/>
        <v>5650.5168539325841</v>
      </c>
      <c r="AP16" s="21">
        <f t="shared" si="2"/>
        <v>6071.8654434250757</v>
      </c>
      <c r="AQ16" s="21" t="e">
        <f t="shared" si="2"/>
        <v>#DIV/0!</v>
      </c>
      <c r="AR16" s="21">
        <f t="shared" si="2"/>
        <v>7292.5503943908852</v>
      </c>
      <c r="AS16" s="21">
        <f t="shared" si="2"/>
        <v>5977.9672131147536</v>
      </c>
      <c r="AT16" s="21">
        <f t="shared" si="2"/>
        <v>4715.6153050672183</v>
      </c>
      <c r="AU16" s="21">
        <f t="shared" si="2"/>
        <v>6062.8053035589674</v>
      </c>
      <c r="AV16" s="21">
        <f t="shared" si="2"/>
        <v>5480.2563902133979</v>
      </c>
      <c r="AW16" s="22" t="e">
        <f t="shared" si="2"/>
        <v>#DIV/0!</v>
      </c>
      <c r="AX16" s="23">
        <f t="shared" si="2"/>
        <v>6153.8909880234532</v>
      </c>
      <c r="AY16" s="23" t="e">
        <f t="shared" si="0"/>
        <v>#DIV/0!</v>
      </c>
      <c r="AZ16" s="13"/>
    </row>
    <row r="17" spans="1:52" x14ac:dyDescent="0.15">
      <c r="A17" s="51" t="s">
        <v>72</v>
      </c>
      <c r="B17" s="11" t="s">
        <v>73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43906</v>
      </c>
      <c r="J17" s="14">
        <v>300174</v>
      </c>
      <c r="K17" s="14">
        <v>44688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268100</v>
      </c>
      <c r="R17" s="14">
        <v>58860</v>
      </c>
      <c r="S17" s="14">
        <v>0</v>
      </c>
      <c r="T17" s="14">
        <v>0</v>
      </c>
      <c r="U17" s="14">
        <v>75708</v>
      </c>
      <c r="V17" s="14">
        <v>213500</v>
      </c>
      <c r="W17" s="14">
        <v>51246</v>
      </c>
      <c r="X17" s="14">
        <v>0</v>
      </c>
      <c r="Y17" s="14">
        <v>56375</v>
      </c>
      <c r="Z17" s="14">
        <v>56708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 s="14">
        <v>215200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0</v>
      </c>
      <c r="AP17" s="14">
        <v>48750</v>
      </c>
      <c r="AQ17" s="14">
        <v>0</v>
      </c>
      <c r="AR17" s="14">
        <v>82900</v>
      </c>
      <c r="AS17" s="14">
        <v>271700</v>
      </c>
      <c r="AT17" s="14">
        <v>189600</v>
      </c>
      <c r="AU17" s="14">
        <v>245000</v>
      </c>
      <c r="AV17" s="14">
        <v>349400</v>
      </c>
      <c r="AW17" s="15">
        <v>0</v>
      </c>
      <c r="AX17" s="16">
        <f t="shared" ref="AX17:AX28" si="3">SUM(C17:AW17)</f>
        <v>2628065</v>
      </c>
      <c r="AY17" s="16">
        <f t="shared" si="0"/>
        <v>57131.84782608696</v>
      </c>
      <c r="AZ17" s="13">
        <f>AX17/AX13</f>
        <v>6.0852743037424738E-2</v>
      </c>
    </row>
    <row r="18" spans="1:52" x14ac:dyDescent="0.15">
      <c r="A18" s="51"/>
      <c r="B18" s="11" t="s">
        <v>74</v>
      </c>
      <c r="C18" s="14">
        <v>4025</v>
      </c>
      <c r="D18" s="14">
        <v>0</v>
      </c>
      <c r="E18" s="14">
        <v>4808</v>
      </c>
      <c r="F18" s="14">
        <v>4025</v>
      </c>
      <c r="G18" s="14">
        <v>4025</v>
      </c>
      <c r="H18" s="14">
        <v>4025</v>
      </c>
      <c r="I18" s="14">
        <v>2575</v>
      </c>
      <c r="J18" s="14">
        <v>4808</v>
      </c>
      <c r="K18" s="14">
        <v>4400</v>
      </c>
      <c r="L18" s="14">
        <v>4825</v>
      </c>
      <c r="M18" s="14">
        <v>4025</v>
      </c>
      <c r="N18" s="14">
        <v>4400</v>
      </c>
      <c r="O18" s="14">
        <v>4025</v>
      </c>
      <c r="P18" s="14">
        <v>5250</v>
      </c>
      <c r="Q18" s="14">
        <v>0</v>
      </c>
      <c r="R18" s="14">
        <v>6950</v>
      </c>
      <c r="S18" s="14">
        <v>4400</v>
      </c>
      <c r="T18" s="14">
        <v>4025</v>
      </c>
      <c r="U18" s="14">
        <v>4825</v>
      </c>
      <c r="V18" s="14">
        <v>0</v>
      </c>
      <c r="W18" s="14">
        <v>3633</v>
      </c>
      <c r="X18" s="14">
        <v>0</v>
      </c>
      <c r="Y18" s="14">
        <v>4825</v>
      </c>
      <c r="Z18" s="14">
        <v>4825</v>
      </c>
      <c r="AA18" s="14">
        <v>4825</v>
      </c>
      <c r="AB18" s="14">
        <v>0</v>
      </c>
      <c r="AC18" s="14">
        <v>0</v>
      </c>
      <c r="AD18" s="14">
        <v>7075</v>
      </c>
      <c r="AE18" s="14">
        <v>3241</v>
      </c>
      <c r="AF18" s="14">
        <v>0</v>
      </c>
      <c r="AG18" s="14">
        <v>4417</v>
      </c>
      <c r="AH18" s="14">
        <v>4025</v>
      </c>
      <c r="AI18" s="14">
        <v>4417</v>
      </c>
      <c r="AJ18" s="14">
        <v>4417</v>
      </c>
      <c r="AK18" s="14">
        <v>4825</v>
      </c>
      <c r="AL18" s="14">
        <v>6950</v>
      </c>
      <c r="AM18" s="14">
        <v>7075</v>
      </c>
      <c r="AN18" s="14">
        <v>4025</v>
      </c>
      <c r="AO18" s="14">
        <v>4825</v>
      </c>
      <c r="AP18" s="14">
        <v>2410</v>
      </c>
      <c r="AQ18" s="14">
        <v>0</v>
      </c>
      <c r="AR18" s="14">
        <v>6950</v>
      </c>
      <c r="AS18" s="14">
        <v>0</v>
      </c>
      <c r="AT18" s="14">
        <v>0</v>
      </c>
      <c r="AU18" s="14">
        <v>0</v>
      </c>
      <c r="AV18" s="14">
        <v>0</v>
      </c>
      <c r="AW18" s="15">
        <v>6000</v>
      </c>
      <c r="AX18" s="16">
        <f t="shared" si="3"/>
        <v>164176</v>
      </c>
      <c r="AY18" s="16">
        <f t="shared" si="0"/>
        <v>3481.5434782608695</v>
      </c>
      <c r="AZ18" s="13">
        <f>AX18/AX13</f>
        <v>3.8014889056824106E-3</v>
      </c>
    </row>
    <row r="19" spans="1:52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4">
        <v>0</v>
      </c>
      <c r="AR19" s="14">
        <v>0</v>
      </c>
      <c r="AS19" s="14">
        <v>0</v>
      </c>
      <c r="AT19" s="14">
        <v>0</v>
      </c>
      <c r="AU19" s="14">
        <v>0</v>
      </c>
      <c r="AV19" s="14">
        <v>0</v>
      </c>
      <c r="AW19" s="15">
        <v>0</v>
      </c>
      <c r="AX19" s="16">
        <f t="shared" si="3"/>
        <v>0</v>
      </c>
      <c r="AY19" s="16">
        <f t="shared" si="0"/>
        <v>0</v>
      </c>
      <c r="AZ19" s="13">
        <f>AX19/AX13</f>
        <v>0</v>
      </c>
    </row>
    <row r="20" spans="1:52" x14ac:dyDescent="0.15">
      <c r="A20" s="51"/>
      <c r="B20" s="11" t="s">
        <v>76</v>
      </c>
      <c r="C20" s="14">
        <v>4950</v>
      </c>
      <c r="D20" s="14">
        <v>0</v>
      </c>
      <c r="E20" s="14">
        <v>4766</v>
      </c>
      <c r="F20" s="14">
        <v>4583</v>
      </c>
      <c r="G20" s="14">
        <v>4583</v>
      </c>
      <c r="H20" s="14">
        <v>4774</v>
      </c>
      <c r="I20" s="14">
        <v>4766</v>
      </c>
      <c r="J20" s="14">
        <v>4583</v>
      </c>
      <c r="K20" s="14">
        <v>5133</v>
      </c>
      <c r="L20" s="14">
        <v>4950</v>
      </c>
      <c r="M20" s="14">
        <v>4766</v>
      </c>
      <c r="N20" s="14">
        <v>4950</v>
      </c>
      <c r="O20" s="14">
        <v>4766</v>
      </c>
      <c r="P20" s="14">
        <v>4950</v>
      </c>
      <c r="Q20" s="14">
        <v>0</v>
      </c>
      <c r="R20" s="14">
        <v>8333</v>
      </c>
      <c r="S20" s="14">
        <v>4950</v>
      </c>
      <c r="T20" s="14">
        <v>4583</v>
      </c>
      <c r="U20" s="14">
        <v>4583</v>
      </c>
      <c r="V20" s="14">
        <v>5208</v>
      </c>
      <c r="W20" s="14">
        <v>4766</v>
      </c>
      <c r="X20" s="14">
        <v>0</v>
      </c>
      <c r="Y20" s="14">
        <v>5208</v>
      </c>
      <c r="Z20" s="14">
        <v>5208</v>
      </c>
      <c r="AA20" s="14">
        <v>4767</v>
      </c>
      <c r="AB20" s="14">
        <v>0</v>
      </c>
      <c r="AC20" s="14">
        <v>0</v>
      </c>
      <c r="AD20" s="14">
        <v>0</v>
      </c>
      <c r="AE20" s="14">
        <v>4550</v>
      </c>
      <c r="AF20" s="14">
        <v>4583</v>
      </c>
      <c r="AG20" s="14">
        <v>4766</v>
      </c>
      <c r="AH20" s="14">
        <v>4583</v>
      </c>
      <c r="AI20" s="14">
        <v>4766</v>
      </c>
      <c r="AJ20" s="14">
        <v>4766</v>
      </c>
      <c r="AK20" s="14">
        <v>4950</v>
      </c>
      <c r="AL20" s="14">
        <v>8333</v>
      </c>
      <c r="AM20" s="14">
        <v>9333</v>
      </c>
      <c r="AN20" s="14">
        <v>4583</v>
      </c>
      <c r="AO20" s="14">
        <v>4950</v>
      </c>
      <c r="AP20" s="14">
        <v>4766</v>
      </c>
      <c r="AQ20" s="14">
        <v>0</v>
      </c>
      <c r="AR20" s="14">
        <v>8333</v>
      </c>
      <c r="AS20" s="14">
        <v>4583</v>
      </c>
      <c r="AT20" s="14">
        <v>4583</v>
      </c>
      <c r="AU20" s="14">
        <v>4766</v>
      </c>
      <c r="AV20" s="14">
        <v>0</v>
      </c>
      <c r="AW20" s="15">
        <v>8674</v>
      </c>
      <c r="AX20" s="16">
        <f t="shared" si="3"/>
        <v>205994</v>
      </c>
      <c r="AY20" s="16">
        <f t="shared" si="0"/>
        <v>4370.521739130435</v>
      </c>
      <c r="AZ20" s="13">
        <f>AX20/AX13</f>
        <v>4.7697830720515935E-3</v>
      </c>
    </row>
    <row r="21" spans="1:52" x14ac:dyDescent="0.15">
      <c r="A21" s="51"/>
      <c r="B21" s="11" t="s">
        <v>77</v>
      </c>
      <c r="C21" s="14">
        <v>43755</v>
      </c>
      <c r="D21" s="14">
        <v>0</v>
      </c>
      <c r="E21" s="14">
        <v>28979</v>
      </c>
      <c r="F21" s="14">
        <v>12575</v>
      </c>
      <c r="G21" s="14">
        <v>24305</v>
      </c>
      <c r="H21" s="14">
        <v>51672</v>
      </c>
      <c r="I21" s="14">
        <v>34940</v>
      </c>
      <c r="J21" s="14">
        <v>19729</v>
      </c>
      <c r="K21" s="14">
        <v>26368</v>
      </c>
      <c r="L21" s="14">
        <v>42195</v>
      </c>
      <c r="M21" s="14">
        <v>22013</v>
      </c>
      <c r="N21" s="14">
        <v>37617</v>
      </c>
      <c r="O21" s="14">
        <v>57070</v>
      </c>
      <c r="P21" s="14">
        <v>33485</v>
      </c>
      <c r="Q21" s="14">
        <v>0</v>
      </c>
      <c r="R21" s="14">
        <v>46653</v>
      </c>
      <c r="S21" s="14">
        <v>48980</v>
      </c>
      <c r="T21" s="14">
        <v>35664</v>
      </c>
      <c r="U21" s="14">
        <v>23249</v>
      </c>
      <c r="V21" s="14">
        <v>19417</v>
      </c>
      <c r="W21" s="14">
        <v>28932</v>
      </c>
      <c r="X21" s="14">
        <v>0</v>
      </c>
      <c r="Y21" s="14">
        <v>22121</v>
      </c>
      <c r="Z21" s="14">
        <v>47267</v>
      </c>
      <c r="AA21" s="14">
        <v>46352</v>
      </c>
      <c r="AB21" s="14">
        <v>0</v>
      </c>
      <c r="AC21" s="14">
        <v>0</v>
      </c>
      <c r="AD21" s="14">
        <v>0</v>
      </c>
      <c r="AE21" s="14">
        <v>49238</v>
      </c>
      <c r="AF21" s="14">
        <v>31013</v>
      </c>
      <c r="AG21" s="14">
        <v>49888</v>
      </c>
      <c r="AH21" s="14">
        <v>27811</v>
      </c>
      <c r="AI21" s="14">
        <v>36771</v>
      </c>
      <c r="AJ21" s="14">
        <v>36083</v>
      </c>
      <c r="AK21" s="14">
        <v>49900</v>
      </c>
      <c r="AL21" s="14">
        <v>45533</v>
      </c>
      <c r="AM21" s="14">
        <v>37504</v>
      </c>
      <c r="AN21" s="14">
        <v>27808</v>
      </c>
      <c r="AO21" s="14">
        <v>35758</v>
      </c>
      <c r="AP21" s="14">
        <v>34656</v>
      </c>
      <c r="AQ21" s="14">
        <v>0</v>
      </c>
      <c r="AR21" s="14">
        <v>35621</v>
      </c>
      <c r="AS21" s="14">
        <v>26746</v>
      </c>
      <c r="AT21" s="14">
        <v>31475</v>
      </c>
      <c r="AU21" s="14">
        <v>40944</v>
      </c>
      <c r="AV21" s="14">
        <v>4394</v>
      </c>
      <c r="AW21" s="15">
        <v>15026</v>
      </c>
      <c r="AX21" s="16">
        <f t="shared" si="3"/>
        <v>1369507</v>
      </c>
      <c r="AY21" s="16">
        <f t="shared" si="0"/>
        <v>28820.695652173912</v>
      </c>
      <c r="AZ21" s="13">
        <f>AX21/AX13</f>
        <v>3.17108814123526E-2</v>
      </c>
    </row>
    <row r="22" spans="1:52" x14ac:dyDescent="0.15">
      <c r="A22" s="51"/>
      <c r="B22" s="24" t="s">
        <v>78</v>
      </c>
      <c r="C22" s="25">
        <f t="shared" ref="C22:AW22" si="4">SUM(C17:C21)</f>
        <v>52730</v>
      </c>
      <c r="D22" s="25">
        <f t="shared" si="4"/>
        <v>0</v>
      </c>
      <c r="E22" s="25">
        <f t="shared" si="4"/>
        <v>38553</v>
      </c>
      <c r="F22" s="25">
        <f t="shared" si="4"/>
        <v>77433</v>
      </c>
      <c r="G22" s="25">
        <f t="shared" si="4"/>
        <v>32913</v>
      </c>
      <c r="H22" s="25">
        <f t="shared" si="4"/>
        <v>60471</v>
      </c>
      <c r="I22" s="25">
        <f t="shared" si="4"/>
        <v>86187</v>
      </c>
      <c r="J22" s="25">
        <f t="shared" si="4"/>
        <v>329294</v>
      </c>
      <c r="K22" s="25">
        <f t="shared" si="4"/>
        <v>80589</v>
      </c>
      <c r="L22" s="25">
        <f t="shared" si="4"/>
        <v>51970</v>
      </c>
      <c r="M22" s="25">
        <f t="shared" si="4"/>
        <v>30804</v>
      </c>
      <c r="N22" s="25">
        <f t="shared" si="4"/>
        <v>46967</v>
      </c>
      <c r="O22" s="25">
        <f t="shared" si="4"/>
        <v>65861</v>
      </c>
      <c r="P22" s="25">
        <f t="shared" si="4"/>
        <v>43685</v>
      </c>
      <c r="Q22" s="25">
        <f t="shared" si="4"/>
        <v>268100</v>
      </c>
      <c r="R22" s="25">
        <f t="shared" si="4"/>
        <v>120796</v>
      </c>
      <c r="S22" s="25">
        <f t="shared" si="4"/>
        <v>58330</v>
      </c>
      <c r="T22" s="25">
        <f t="shared" si="4"/>
        <v>44272</v>
      </c>
      <c r="U22" s="25">
        <f t="shared" si="4"/>
        <v>108365</v>
      </c>
      <c r="V22" s="25">
        <f t="shared" si="4"/>
        <v>238125</v>
      </c>
      <c r="W22" s="25">
        <f t="shared" si="4"/>
        <v>88577</v>
      </c>
      <c r="X22" s="25">
        <f t="shared" si="4"/>
        <v>0</v>
      </c>
      <c r="Y22" s="25">
        <f t="shared" si="4"/>
        <v>88529</v>
      </c>
      <c r="Z22" s="25">
        <f t="shared" si="4"/>
        <v>114008</v>
      </c>
      <c r="AA22" s="25">
        <f t="shared" si="4"/>
        <v>55944</v>
      </c>
      <c r="AB22" s="25">
        <f t="shared" si="4"/>
        <v>0</v>
      </c>
      <c r="AC22" s="25">
        <f t="shared" si="4"/>
        <v>0</v>
      </c>
      <c r="AD22" s="25">
        <f t="shared" si="4"/>
        <v>7075</v>
      </c>
      <c r="AE22" s="25">
        <f t="shared" si="4"/>
        <v>57029</v>
      </c>
      <c r="AF22" s="25">
        <f t="shared" si="4"/>
        <v>250796</v>
      </c>
      <c r="AG22" s="25">
        <f t="shared" si="4"/>
        <v>59071</v>
      </c>
      <c r="AH22" s="25">
        <f t="shared" si="4"/>
        <v>36419</v>
      </c>
      <c r="AI22" s="25">
        <f t="shared" si="4"/>
        <v>45954</v>
      </c>
      <c r="AJ22" s="25">
        <f t="shared" si="4"/>
        <v>45266</v>
      </c>
      <c r="AK22" s="25">
        <f t="shared" si="4"/>
        <v>59675</v>
      </c>
      <c r="AL22" s="25">
        <f t="shared" si="4"/>
        <v>60816</v>
      </c>
      <c r="AM22" s="25">
        <f t="shared" si="4"/>
        <v>53912</v>
      </c>
      <c r="AN22" s="25">
        <f t="shared" si="4"/>
        <v>36416</v>
      </c>
      <c r="AO22" s="25">
        <f t="shared" si="4"/>
        <v>45533</v>
      </c>
      <c r="AP22" s="25">
        <f t="shared" si="4"/>
        <v>90582</v>
      </c>
      <c r="AQ22" s="25">
        <f t="shared" si="4"/>
        <v>0</v>
      </c>
      <c r="AR22" s="25">
        <f t="shared" si="4"/>
        <v>133804</v>
      </c>
      <c r="AS22" s="25">
        <f t="shared" si="4"/>
        <v>303029</v>
      </c>
      <c r="AT22" s="25">
        <f t="shared" si="4"/>
        <v>225658</v>
      </c>
      <c r="AU22" s="25">
        <f t="shared" si="4"/>
        <v>290710</v>
      </c>
      <c r="AV22" s="25">
        <f t="shared" si="4"/>
        <v>353794</v>
      </c>
      <c r="AW22" s="26">
        <f t="shared" si="4"/>
        <v>29700</v>
      </c>
      <c r="AX22" s="27">
        <f t="shared" si="3"/>
        <v>4367742</v>
      </c>
      <c r="AY22" s="27">
        <f t="shared" si="0"/>
        <v>93804.608695652176</v>
      </c>
      <c r="AZ22" s="28">
        <f>AX22/AX13</f>
        <v>0.10113489642751135</v>
      </c>
    </row>
    <row r="23" spans="1:52" x14ac:dyDescent="0.15">
      <c r="A23" s="51" t="s">
        <v>79</v>
      </c>
      <c r="B23" s="11" t="s">
        <v>80</v>
      </c>
      <c r="C23" s="14">
        <v>56639</v>
      </c>
      <c r="D23" s="14">
        <v>0</v>
      </c>
      <c r="E23" s="14">
        <v>152360</v>
      </c>
      <c r="F23" s="14">
        <v>49000</v>
      </c>
      <c r="G23" s="14">
        <v>81315</v>
      </c>
      <c r="H23" s="14">
        <v>0</v>
      </c>
      <c r="I23" s="14">
        <v>58723</v>
      </c>
      <c r="J23" s="14">
        <v>0</v>
      </c>
      <c r="K23" s="14">
        <v>10710</v>
      </c>
      <c r="L23" s="14">
        <v>3200</v>
      </c>
      <c r="M23" s="14">
        <v>4536</v>
      </c>
      <c r="N23" s="14">
        <v>150521</v>
      </c>
      <c r="O23" s="14">
        <v>21160</v>
      </c>
      <c r="P23" s="14">
        <v>10360</v>
      </c>
      <c r="Q23" s="14">
        <v>107212</v>
      </c>
      <c r="R23" s="14">
        <v>61580</v>
      </c>
      <c r="S23" s="14">
        <v>135775</v>
      </c>
      <c r="T23" s="14">
        <v>6150</v>
      </c>
      <c r="U23" s="14">
        <v>5460</v>
      </c>
      <c r="V23" s="14">
        <v>22272</v>
      </c>
      <c r="W23" s="14">
        <v>5460</v>
      </c>
      <c r="X23" s="14">
        <v>99682</v>
      </c>
      <c r="Y23" s="14">
        <v>7684</v>
      </c>
      <c r="Z23" s="14">
        <v>139029</v>
      </c>
      <c r="AA23" s="14">
        <v>119035</v>
      </c>
      <c r="AB23" s="14">
        <v>0</v>
      </c>
      <c r="AC23" s="14">
        <v>0</v>
      </c>
      <c r="AD23" s="14">
        <v>0</v>
      </c>
      <c r="AE23" s="14">
        <v>0</v>
      </c>
      <c r="AF23" s="14">
        <v>24610</v>
      </c>
      <c r="AG23" s="14">
        <v>104955</v>
      </c>
      <c r="AH23" s="14">
        <v>100560</v>
      </c>
      <c r="AI23" s="14">
        <v>213050</v>
      </c>
      <c r="AJ23" s="14">
        <v>0</v>
      </c>
      <c r="AK23" s="14">
        <v>1056</v>
      </c>
      <c r="AL23" s="14">
        <v>68065</v>
      </c>
      <c r="AM23" s="14">
        <v>0</v>
      </c>
      <c r="AN23" s="14">
        <v>0</v>
      </c>
      <c r="AO23" s="14">
        <v>0</v>
      </c>
      <c r="AP23" s="14">
        <v>27036</v>
      </c>
      <c r="AQ23" s="14">
        <v>0</v>
      </c>
      <c r="AR23" s="14">
        <v>27420</v>
      </c>
      <c r="AS23" s="14">
        <v>0</v>
      </c>
      <c r="AT23" s="14">
        <v>28800</v>
      </c>
      <c r="AU23" s="14">
        <v>29400</v>
      </c>
      <c r="AV23" s="14">
        <v>33000</v>
      </c>
      <c r="AW23" s="15">
        <v>0</v>
      </c>
      <c r="AX23" s="16">
        <f t="shared" si="3"/>
        <v>1965815</v>
      </c>
      <c r="AY23" s="16">
        <f t="shared" si="0"/>
        <v>41503.82608695652</v>
      </c>
      <c r="AZ23" s="13">
        <f>AX23/AX13</f>
        <v>4.5518370000024774E-2</v>
      </c>
    </row>
    <row r="24" spans="1:52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4">
        <v>0</v>
      </c>
      <c r="AP24" s="14">
        <v>0</v>
      </c>
      <c r="AQ24" s="14">
        <v>0</v>
      </c>
      <c r="AR24" s="14">
        <v>0</v>
      </c>
      <c r="AS24" s="14">
        <v>0</v>
      </c>
      <c r="AT24" s="14">
        <v>0</v>
      </c>
      <c r="AU24" s="14">
        <v>0</v>
      </c>
      <c r="AV24" s="14">
        <v>0</v>
      </c>
      <c r="AW24" s="15">
        <v>0</v>
      </c>
      <c r="AX24" s="16">
        <f t="shared" si="3"/>
        <v>0</v>
      </c>
      <c r="AY24" s="16">
        <f t="shared" si="0"/>
        <v>0</v>
      </c>
      <c r="AZ24" s="13">
        <f>AX24/AX13</f>
        <v>0</v>
      </c>
    </row>
    <row r="25" spans="1:52" x14ac:dyDescent="0.15">
      <c r="A25" s="51"/>
      <c r="B25" s="11" t="s">
        <v>82</v>
      </c>
      <c r="C25" s="14">
        <f t="shared" ref="C25:AW25" si="5">30000*C9/70000*C11</f>
        <v>25556.142857142855</v>
      </c>
      <c r="D25" s="14">
        <f t="shared" si="5"/>
        <v>0</v>
      </c>
      <c r="E25" s="14">
        <f t="shared" si="5"/>
        <v>31096.28571428571</v>
      </c>
      <c r="F25" s="14">
        <f t="shared" si="5"/>
        <v>26599.714285714286</v>
      </c>
      <c r="G25" s="14">
        <f t="shared" si="5"/>
        <v>18656.914285714283</v>
      </c>
      <c r="H25" s="14">
        <f t="shared" si="5"/>
        <v>19597.028571428571</v>
      </c>
      <c r="I25" s="14">
        <f t="shared" si="5"/>
        <v>8104.4571428571435</v>
      </c>
      <c r="J25" s="14">
        <f t="shared" si="5"/>
        <v>0</v>
      </c>
      <c r="K25" s="14">
        <f t="shared" si="5"/>
        <v>2149.7142857142858</v>
      </c>
      <c r="L25" s="14">
        <f t="shared" si="5"/>
        <v>13947.428571428571</v>
      </c>
      <c r="M25" s="14">
        <f t="shared" si="5"/>
        <v>23287.285714285717</v>
      </c>
      <c r="N25" s="14">
        <f t="shared" si="5"/>
        <v>21419.142857142859</v>
      </c>
      <c r="O25" s="14">
        <f t="shared" si="5"/>
        <v>22890</v>
      </c>
      <c r="P25" s="14">
        <f t="shared" si="5"/>
        <v>22052.571428571431</v>
      </c>
      <c r="Q25" s="14">
        <f t="shared" si="5"/>
        <v>4327.7142857142853</v>
      </c>
      <c r="R25" s="14">
        <f t="shared" si="5"/>
        <v>30678.600000000002</v>
      </c>
      <c r="S25" s="14">
        <f t="shared" si="5"/>
        <v>21227.142857142855</v>
      </c>
      <c r="T25" s="14">
        <f t="shared" si="5"/>
        <v>23085.857142857141</v>
      </c>
      <c r="U25" s="14">
        <f t="shared" si="5"/>
        <v>24152.142857142855</v>
      </c>
      <c r="V25" s="14">
        <f t="shared" si="5"/>
        <v>31409.571428571428</v>
      </c>
      <c r="W25" s="14">
        <f t="shared" si="5"/>
        <v>32006.142857142855</v>
      </c>
      <c r="X25" s="14">
        <f t="shared" si="5"/>
        <v>383.99999999999994</v>
      </c>
      <c r="Y25" s="14">
        <f t="shared" si="5"/>
        <v>30591.857142857145</v>
      </c>
      <c r="Z25" s="14">
        <f t="shared" si="5"/>
        <v>17027.142857142855</v>
      </c>
      <c r="AA25" s="14">
        <f t="shared" si="5"/>
        <v>17726.571428571428</v>
      </c>
      <c r="AB25" s="14">
        <f t="shared" si="5"/>
        <v>0</v>
      </c>
      <c r="AC25" s="14">
        <f t="shared" si="5"/>
        <v>0</v>
      </c>
      <c r="AD25" s="14">
        <f t="shared" si="5"/>
        <v>0</v>
      </c>
      <c r="AE25" s="14">
        <f t="shared" si="5"/>
        <v>23208</v>
      </c>
      <c r="AF25" s="14">
        <f t="shared" si="5"/>
        <v>22844.571428571428</v>
      </c>
      <c r="AG25" s="14">
        <f t="shared" si="5"/>
        <v>35602.28571428571</v>
      </c>
      <c r="AH25" s="14">
        <f t="shared" si="5"/>
        <v>31041.428571428569</v>
      </c>
      <c r="AI25" s="14">
        <f t="shared" si="5"/>
        <v>20952.857142857141</v>
      </c>
      <c r="AJ25" s="14">
        <f t="shared" si="5"/>
        <v>13487.142857142857</v>
      </c>
      <c r="AK25" s="14">
        <f t="shared" si="5"/>
        <v>26807.142857142855</v>
      </c>
      <c r="AL25" s="14">
        <f t="shared" si="5"/>
        <v>22483.8</v>
      </c>
      <c r="AM25" s="14">
        <f t="shared" si="5"/>
        <v>10090.200000000001</v>
      </c>
      <c r="AN25" s="14">
        <f t="shared" si="5"/>
        <v>12498.857142857141</v>
      </c>
      <c r="AO25" s="14">
        <f t="shared" si="5"/>
        <v>14374.971428571427</v>
      </c>
      <c r="AP25" s="14">
        <f t="shared" si="5"/>
        <v>6567.4285714285706</v>
      </c>
      <c r="AQ25" s="14">
        <f t="shared" si="5"/>
        <v>0</v>
      </c>
      <c r="AR25" s="14">
        <f t="shared" si="5"/>
        <v>24424.2</v>
      </c>
      <c r="AS25" s="14">
        <f t="shared" si="5"/>
        <v>13680</v>
      </c>
      <c r="AT25" s="14">
        <f t="shared" si="5"/>
        <v>3147.7714285714283</v>
      </c>
      <c r="AU25" s="14">
        <f t="shared" si="5"/>
        <v>14188.114285714284</v>
      </c>
      <c r="AV25" s="14">
        <f t="shared" si="5"/>
        <v>14329.028571428571</v>
      </c>
      <c r="AW25" s="15">
        <f t="shared" si="5"/>
        <v>0</v>
      </c>
      <c r="AX25" s="16">
        <f t="shared" si="3"/>
        <v>777701.22857142834</v>
      </c>
      <c r="AY25" s="16">
        <f t="shared" si="0"/>
        <v>16350.980124223601</v>
      </c>
      <c r="AZ25" s="13">
        <f>AX25/AX13</f>
        <v>1.8007641752447772E-2</v>
      </c>
    </row>
    <row r="26" spans="1:52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5">
        <v>0</v>
      </c>
      <c r="AX26" s="16">
        <f t="shared" si="3"/>
        <v>0</v>
      </c>
      <c r="AY26" s="16">
        <f t="shared" si="0"/>
        <v>0</v>
      </c>
      <c r="AZ26" s="13">
        <f>AX26/AX13</f>
        <v>0</v>
      </c>
    </row>
    <row r="27" spans="1:52" x14ac:dyDescent="0.15">
      <c r="A27" s="51"/>
      <c r="B27" s="24" t="s">
        <v>83</v>
      </c>
      <c r="C27" s="25">
        <f t="shared" ref="C27:AW27" si="6">SUM(C23:C26)</f>
        <v>82195.142857142855</v>
      </c>
      <c r="D27" s="25">
        <f t="shared" si="6"/>
        <v>0</v>
      </c>
      <c r="E27" s="25">
        <f t="shared" si="6"/>
        <v>183456.28571428571</v>
      </c>
      <c r="F27" s="25">
        <f t="shared" si="6"/>
        <v>75599.71428571429</v>
      </c>
      <c r="G27" s="25">
        <f t="shared" si="6"/>
        <v>99971.914285714287</v>
      </c>
      <c r="H27" s="25">
        <f t="shared" si="6"/>
        <v>19597.028571428571</v>
      </c>
      <c r="I27" s="25">
        <f t="shared" si="6"/>
        <v>66827.457142857136</v>
      </c>
      <c r="J27" s="25">
        <f t="shared" si="6"/>
        <v>0</v>
      </c>
      <c r="K27" s="25">
        <f t="shared" si="6"/>
        <v>12859.714285714286</v>
      </c>
      <c r="L27" s="25">
        <f t="shared" si="6"/>
        <v>17147.428571428572</v>
      </c>
      <c r="M27" s="25">
        <f t="shared" si="6"/>
        <v>27823.285714285717</v>
      </c>
      <c r="N27" s="25">
        <f t="shared" si="6"/>
        <v>171940.14285714287</v>
      </c>
      <c r="O27" s="25">
        <f t="shared" si="6"/>
        <v>44050</v>
      </c>
      <c r="P27" s="25">
        <f t="shared" si="6"/>
        <v>32412.571428571431</v>
      </c>
      <c r="Q27" s="25">
        <f t="shared" si="6"/>
        <v>111539.71428571429</v>
      </c>
      <c r="R27" s="25">
        <f t="shared" si="6"/>
        <v>92258.6</v>
      </c>
      <c r="S27" s="25">
        <f t="shared" si="6"/>
        <v>157002.14285714284</v>
      </c>
      <c r="T27" s="25">
        <f t="shared" si="6"/>
        <v>29235.857142857141</v>
      </c>
      <c r="U27" s="25">
        <f t="shared" si="6"/>
        <v>29612.142857142855</v>
      </c>
      <c r="V27" s="25">
        <f t="shared" si="6"/>
        <v>53681.571428571428</v>
      </c>
      <c r="W27" s="25">
        <f t="shared" si="6"/>
        <v>37466.142857142855</v>
      </c>
      <c r="X27" s="25">
        <f t="shared" si="6"/>
        <v>100066</v>
      </c>
      <c r="Y27" s="25">
        <f t="shared" si="6"/>
        <v>38275.857142857145</v>
      </c>
      <c r="Z27" s="25">
        <f t="shared" si="6"/>
        <v>156056.14285714284</v>
      </c>
      <c r="AA27" s="25">
        <f t="shared" si="6"/>
        <v>136761.57142857142</v>
      </c>
      <c r="AB27" s="25">
        <f t="shared" si="6"/>
        <v>0</v>
      </c>
      <c r="AC27" s="25">
        <f t="shared" si="6"/>
        <v>0</v>
      </c>
      <c r="AD27" s="25">
        <f t="shared" si="6"/>
        <v>0</v>
      </c>
      <c r="AE27" s="25">
        <f t="shared" si="6"/>
        <v>23208</v>
      </c>
      <c r="AF27" s="25">
        <f t="shared" si="6"/>
        <v>47454.571428571428</v>
      </c>
      <c r="AG27" s="25">
        <f t="shared" si="6"/>
        <v>140557.28571428571</v>
      </c>
      <c r="AH27" s="25">
        <f t="shared" si="6"/>
        <v>131601.42857142858</v>
      </c>
      <c r="AI27" s="25">
        <f t="shared" si="6"/>
        <v>234002.85714285713</v>
      </c>
      <c r="AJ27" s="25">
        <f t="shared" si="6"/>
        <v>13487.142857142857</v>
      </c>
      <c r="AK27" s="25">
        <f t="shared" si="6"/>
        <v>27863.142857142855</v>
      </c>
      <c r="AL27" s="25">
        <f t="shared" si="6"/>
        <v>90548.800000000003</v>
      </c>
      <c r="AM27" s="25">
        <f t="shared" si="6"/>
        <v>10090.200000000001</v>
      </c>
      <c r="AN27" s="25">
        <f t="shared" si="6"/>
        <v>12498.857142857141</v>
      </c>
      <c r="AO27" s="25">
        <f t="shared" si="6"/>
        <v>14374.971428571427</v>
      </c>
      <c r="AP27" s="25">
        <f t="shared" si="6"/>
        <v>33603.428571428572</v>
      </c>
      <c r="AQ27" s="25">
        <f t="shared" si="6"/>
        <v>0</v>
      </c>
      <c r="AR27" s="25">
        <f t="shared" si="6"/>
        <v>51844.2</v>
      </c>
      <c r="AS27" s="25">
        <f t="shared" si="6"/>
        <v>13680</v>
      </c>
      <c r="AT27" s="25">
        <f t="shared" si="6"/>
        <v>31947.771428571428</v>
      </c>
      <c r="AU27" s="25">
        <f t="shared" si="6"/>
        <v>43588.114285714284</v>
      </c>
      <c r="AV27" s="25">
        <f t="shared" si="6"/>
        <v>47329.028571428571</v>
      </c>
      <c r="AW27" s="26">
        <f t="shared" si="6"/>
        <v>0</v>
      </c>
      <c r="AX27" s="27">
        <f t="shared" si="3"/>
        <v>2743516.2285714285</v>
      </c>
      <c r="AY27" s="27">
        <f t="shared" si="0"/>
        <v>57854.806211180126</v>
      </c>
      <c r="AZ27" s="28">
        <f>AX27/AX13</f>
        <v>6.352601175247255E-2</v>
      </c>
    </row>
    <row r="28" spans="1:52" x14ac:dyDescent="0.15">
      <c r="A28" s="51" t="s">
        <v>84</v>
      </c>
      <c r="B28" s="8" t="s">
        <v>85</v>
      </c>
      <c r="C28" s="29">
        <v>1585</v>
      </c>
      <c r="D28" s="29">
        <v>0</v>
      </c>
      <c r="E28" s="29">
        <v>1834</v>
      </c>
      <c r="F28" s="29">
        <v>2042</v>
      </c>
      <c r="G28" s="29">
        <v>1411</v>
      </c>
      <c r="H28" s="29">
        <v>1399</v>
      </c>
      <c r="I28" s="29">
        <v>644</v>
      </c>
      <c r="J28" s="29">
        <v>0</v>
      </c>
      <c r="K28" s="29">
        <v>170</v>
      </c>
      <c r="L28" s="29">
        <v>1249</v>
      </c>
      <c r="M28" s="29">
        <v>1550</v>
      </c>
      <c r="N28" s="29">
        <v>1389</v>
      </c>
      <c r="O28" s="29">
        <v>1420</v>
      </c>
      <c r="P28" s="29">
        <v>1524</v>
      </c>
      <c r="Q28" s="29">
        <v>462</v>
      </c>
      <c r="R28" s="29">
        <v>2053</v>
      </c>
      <c r="S28" s="29">
        <v>1575</v>
      </c>
      <c r="T28" s="29">
        <v>1567</v>
      </c>
      <c r="U28" s="29">
        <v>1679</v>
      </c>
      <c r="V28" s="29">
        <v>2054</v>
      </c>
      <c r="W28" s="29">
        <v>2092</v>
      </c>
      <c r="X28" s="29">
        <v>211</v>
      </c>
      <c r="Y28" s="29">
        <v>1969</v>
      </c>
      <c r="Z28" s="29">
        <v>950</v>
      </c>
      <c r="AA28" s="29">
        <v>938</v>
      </c>
      <c r="AB28" s="29">
        <v>0</v>
      </c>
      <c r="AC28" s="29">
        <v>0</v>
      </c>
      <c r="AD28" s="29">
        <v>0</v>
      </c>
      <c r="AE28" s="29">
        <v>1817</v>
      </c>
      <c r="AF28" s="29">
        <v>1655</v>
      </c>
      <c r="AG28" s="29">
        <v>2673</v>
      </c>
      <c r="AH28" s="29">
        <v>1830</v>
      </c>
      <c r="AI28" s="29">
        <v>1321</v>
      </c>
      <c r="AJ28" s="29">
        <v>866</v>
      </c>
      <c r="AK28" s="29">
        <v>1375</v>
      </c>
      <c r="AL28" s="29">
        <v>1406</v>
      </c>
      <c r="AM28" s="29">
        <v>720</v>
      </c>
      <c r="AN28" s="29">
        <v>976</v>
      </c>
      <c r="AO28" s="29">
        <v>995</v>
      </c>
      <c r="AP28" s="29">
        <v>384</v>
      </c>
      <c r="AQ28" s="29">
        <v>0</v>
      </c>
      <c r="AR28" s="29">
        <v>1292</v>
      </c>
      <c r="AS28" s="29">
        <v>1176</v>
      </c>
      <c r="AT28" s="29">
        <v>276</v>
      </c>
      <c r="AU28" s="29">
        <v>1137</v>
      </c>
      <c r="AV28" s="29">
        <v>1230</v>
      </c>
      <c r="AW28" s="30">
        <v>0</v>
      </c>
      <c r="AX28" s="31">
        <f t="shared" si="3"/>
        <v>52896</v>
      </c>
      <c r="AY28" s="31">
        <f t="shared" si="0"/>
        <v>1115.4565217391305</v>
      </c>
      <c r="AZ28" s="10">
        <f>AX28/AX13</f>
        <v>1.2248048262533914E-3</v>
      </c>
    </row>
    <row r="29" spans="1:52" x14ac:dyDescent="0.15">
      <c r="A29" s="51"/>
      <c r="B29" s="32" t="s">
        <v>86</v>
      </c>
      <c r="C29" s="33">
        <f t="shared" ref="C29:AX29" si="7">SUM(C11/C28)</f>
        <v>3.7622082018927441</v>
      </c>
      <c r="D29" s="33" t="e">
        <f t="shared" si="7"/>
        <v>#DIV/0!</v>
      </c>
      <c r="E29" s="33">
        <f t="shared" si="7"/>
        <v>3.9562704471101413</v>
      </c>
      <c r="F29" s="33">
        <f t="shared" si="7"/>
        <v>3.0394711067580804</v>
      </c>
      <c r="G29" s="33">
        <f t="shared" si="7"/>
        <v>3.8565556343019129</v>
      </c>
      <c r="H29" s="33">
        <f t="shared" si="7"/>
        <v>4.0856325947105079</v>
      </c>
      <c r="I29" s="33">
        <f t="shared" si="7"/>
        <v>3.6704968944099381</v>
      </c>
      <c r="J29" s="33" t="e">
        <f t="shared" si="7"/>
        <v>#DIV/0!</v>
      </c>
      <c r="K29" s="33">
        <f t="shared" si="7"/>
        <v>3.6882352941176473</v>
      </c>
      <c r="L29" s="33">
        <f t="shared" si="7"/>
        <v>3.2570056044835867</v>
      </c>
      <c r="M29" s="33">
        <f t="shared" si="7"/>
        <v>3.5056129032258068</v>
      </c>
      <c r="N29" s="33">
        <f t="shared" si="7"/>
        <v>3.5981281497480202</v>
      </c>
      <c r="O29" s="33">
        <f t="shared" si="7"/>
        <v>3.7612676056338028</v>
      </c>
      <c r="P29" s="33">
        <f t="shared" si="7"/>
        <v>3.3763779527559059</v>
      </c>
      <c r="Q29" s="33">
        <f t="shared" si="7"/>
        <v>2.1857142857142855</v>
      </c>
      <c r="R29" s="33">
        <f t="shared" si="7"/>
        <v>2.4905504140282515</v>
      </c>
      <c r="S29" s="33">
        <f t="shared" si="7"/>
        <v>3.1447619047619049</v>
      </c>
      <c r="T29" s="33">
        <f t="shared" si="7"/>
        <v>3.4375877472878109</v>
      </c>
      <c r="U29" s="33">
        <f t="shared" si="7"/>
        <v>3.3564621798689696</v>
      </c>
      <c r="V29" s="33">
        <f t="shared" si="7"/>
        <v>3.5681110029211291</v>
      </c>
      <c r="W29" s="33">
        <f t="shared" si="7"/>
        <v>3.5698374760994263</v>
      </c>
      <c r="X29" s="33">
        <f t="shared" si="7"/>
        <v>0.42464454976303317</v>
      </c>
      <c r="Y29" s="33">
        <f t="shared" si="7"/>
        <v>3.6252412392077198</v>
      </c>
      <c r="Z29" s="33">
        <f t="shared" si="7"/>
        <v>4.1821052631578945</v>
      </c>
      <c r="AA29" s="33">
        <f t="shared" si="7"/>
        <v>4.4095948827292109</v>
      </c>
      <c r="AB29" s="33" t="e">
        <f t="shared" si="7"/>
        <v>#DIV/0!</v>
      </c>
      <c r="AC29" s="33" t="e">
        <f t="shared" si="7"/>
        <v>#DIV/0!</v>
      </c>
      <c r="AD29" s="33" t="e">
        <f t="shared" si="7"/>
        <v>#DIV/0!</v>
      </c>
      <c r="AE29" s="33">
        <f t="shared" si="7"/>
        <v>3.7253714914694553</v>
      </c>
      <c r="AF29" s="33">
        <f t="shared" si="7"/>
        <v>4.0259818731117827</v>
      </c>
      <c r="AG29" s="33">
        <f t="shared" si="7"/>
        <v>3.8847736625514404</v>
      </c>
      <c r="AH29" s="33">
        <f t="shared" si="7"/>
        <v>3.9579234972677595</v>
      </c>
      <c r="AI29" s="33">
        <f t="shared" si="7"/>
        <v>3.700984102952309</v>
      </c>
      <c r="AJ29" s="33">
        <f t="shared" si="7"/>
        <v>3.6339491916859123</v>
      </c>
      <c r="AK29" s="33">
        <f t="shared" si="7"/>
        <v>4.5490909090909089</v>
      </c>
      <c r="AL29" s="33">
        <f t="shared" si="7"/>
        <v>2.6652204836415363</v>
      </c>
      <c r="AM29" s="33">
        <f t="shared" si="7"/>
        <v>2.3356944444444445</v>
      </c>
      <c r="AN29" s="33">
        <f t="shared" si="7"/>
        <v>3.7351434426229506</v>
      </c>
      <c r="AO29" s="33">
        <f t="shared" si="7"/>
        <v>4.2137688442211054</v>
      </c>
      <c r="AP29" s="33">
        <f t="shared" si="7"/>
        <v>4.98828125</v>
      </c>
      <c r="AQ29" s="33" t="e">
        <f t="shared" si="7"/>
        <v>#DIV/0!</v>
      </c>
      <c r="AR29" s="33">
        <f t="shared" si="7"/>
        <v>2.4505417956656346</v>
      </c>
      <c r="AS29" s="33">
        <f t="shared" si="7"/>
        <v>3.3928571428571428</v>
      </c>
      <c r="AT29" s="33">
        <f t="shared" si="7"/>
        <v>3.3264492753623189</v>
      </c>
      <c r="AU29" s="33">
        <f t="shared" si="7"/>
        <v>3.6395778364116094</v>
      </c>
      <c r="AV29" s="33">
        <f t="shared" si="7"/>
        <v>3.3978048780487806</v>
      </c>
      <c r="AW29" s="34" t="e">
        <f t="shared" si="7"/>
        <v>#DIV/0!</v>
      </c>
      <c r="AX29" s="35">
        <f t="shared" si="7"/>
        <v>3.548778735632184</v>
      </c>
      <c r="AY29" s="35" t="e">
        <f t="shared" si="0"/>
        <v>#DIV/0!</v>
      </c>
      <c r="AZ29" s="32">
        <f>AX29/AX13</f>
        <v>8.2171833838243107E-8</v>
      </c>
    </row>
    <row r="30" spans="1:52" x14ac:dyDescent="0.15">
      <c r="A30" s="51"/>
      <c r="B30" s="11" t="s">
        <v>87</v>
      </c>
      <c r="C30" s="14">
        <v>193053</v>
      </c>
      <c r="D30" s="14">
        <v>0</v>
      </c>
      <c r="E30" s="14">
        <v>223381</v>
      </c>
      <c r="F30" s="14">
        <v>248716</v>
      </c>
      <c r="G30" s="14">
        <v>171860</v>
      </c>
      <c r="H30" s="14">
        <v>170398</v>
      </c>
      <c r="I30" s="14">
        <v>78439</v>
      </c>
      <c r="J30" s="14">
        <v>0</v>
      </c>
      <c r="K30" s="14">
        <v>19499</v>
      </c>
      <c r="L30" s="14">
        <v>143260</v>
      </c>
      <c r="M30" s="14">
        <v>177785</v>
      </c>
      <c r="N30" s="14">
        <v>159318</v>
      </c>
      <c r="O30" s="14">
        <v>162874</v>
      </c>
      <c r="P30" s="14">
        <v>174803</v>
      </c>
      <c r="Q30" s="14">
        <v>52991</v>
      </c>
      <c r="R30" s="14">
        <v>235479</v>
      </c>
      <c r="S30" s="14">
        <v>180653</v>
      </c>
      <c r="T30" s="14">
        <v>179735</v>
      </c>
      <c r="U30" s="14">
        <v>192581</v>
      </c>
      <c r="V30" s="14">
        <v>235594</v>
      </c>
      <c r="W30" s="14">
        <v>239952</v>
      </c>
      <c r="X30" s="14">
        <v>24202</v>
      </c>
      <c r="Y30" s="14">
        <v>225844</v>
      </c>
      <c r="Z30" s="14">
        <v>108965</v>
      </c>
      <c r="AA30" s="14">
        <v>107589</v>
      </c>
      <c r="AB30" s="14">
        <v>0</v>
      </c>
      <c r="AC30" s="14">
        <v>0</v>
      </c>
      <c r="AD30" s="14">
        <v>0</v>
      </c>
      <c r="AE30" s="14">
        <v>208410</v>
      </c>
      <c r="AF30" s="14">
        <v>189829</v>
      </c>
      <c r="AG30" s="14">
        <v>306593</v>
      </c>
      <c r="AH30" s="14">
        <v>209901</v>
      </c>
      <c r="AI30" s="14">
        <v>151519</v>
      </c>
      <c r="AJ30" s="14">
        <v>99330</v>
      </c>
      <c r="AK30" s="14">
        <v>157713</v>
      </c>
      <c r="AL30" s="14">
        <v>171248</v>
      </c>
      <c r="AM30" s="14">
        <v>87695</v>
      </c>
      <c r="AN30" s="14">
        <v>119222</v>
      </c>
      <c r="AO30" s="14">
        <v>121189</v>
      </c>
      <c r="AP30" s="14">
        <v>46552</v>
      </c>
      <c r="AQ30" s="14">
        <v>0</v>
      </c>
      <c r="AR30" s="14">
        <v>157611</v>
      </c>
      <c r="AS30" s="14">
        <v>143073</v>
      </c>
      <c r="AT30" s="14">
        <v>33753</v>
      </c>
      <c r="AU30" s="14">
        <v>138691</v>
      </c>
      <c r="AV30" s="14">
        <v>149981</v>
      </c>
      <c r="AW30" s="15">
        <v>0</v>
      </c>
      <c r="AX30" s="16">
        <f t="shared" ref="AX30:AX43" si="8">SUM(C30:AW30)</f>
        <v>6199281</v>
      </c>
      <c r="AY30" s="16">
        <f t="shared" si="0"/>
        <v>130570.17391304347</v>
      </c>
      <c r="AZ30" s="13">
        <f>AX30/AX13</f>
        <v>0.14354411086095262</v>
      </c>
    </row>
    <row r="31" spans="1:52" x14ac:dyDescent="0.15">
      <c r="A31" s="51"/>
      <c r="B31" s="11" t="s">
        <v>88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12425</v>
      </c>
      <c r="T31" s="14">
        <v>0</v>
      </c>
      <c r="U31" s="14">
        <v>10650</v>
      </c>
      <c r="V31" s="14">
        <v>11005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9585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5">
        <v>0</v>
      </c>
      <c r="AX31" s="16">
        <f t="shared" si="8"/>
        <v>43665</v>
      </c>
      <c r="AY31" s="16">
        <f t="shared" si="0"/>
        <v>949.23913043478262</v>
      </c>
      <c r="AZ31" s="13">
        <f>AX31/AX13</f>
        <v>1.0110613796573339E-3</v>
      </c>
    </row>
    <row r="32" spans="1:52" x14ac:dyDescent="0.15">
      <c r="A32" s="51"/>
      <c r="B32" s="11" t="s">
        <v>89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4116</v>
      </c>
      <c r="AM32" s="14">
        <v>4072</v>
      </c>
      <c r="AN32" s="14">
        <v>2723</v>
      </c>
      <c r="AO32" s="14">
        <v>3058</v>
      </c>
      <c r="AP32" s="14">
        <v>0</v>
      </c>
      <c r="AQ32" s="14">
        <v>0</v>
      </c>
      <c r="AR32" s="14">
        <v>0</v>
      </c>
      <c r="AS32" s="14">
        <v>0</v>
      </c>
      <c r="AT32" s="14">
        <v>0</v>
      </c>
      <c r="AU32" s="14">
        <v>0</v>
      </c>
      <c r="AV32" s="14">
        <v>0</v>
      </c>
      <c r="AW32" s="15">
        <v>0</v>
      </c>
      <c r="AX32" s="16">
        <f t="shared" si="8"/>
        <v>13969</v>
      </c>
      <c r="AY32" s="16">
        <f t="shared" si="0"/>
        <v>303.67391304347825</v>
      </c>
      <c r="AZ32" s="13">
        <f>AX32/AX13</f>
        <v>3.2345165263788611E-4</v>
      </c>
    </row>
    <row r="33" spans="1:52" x14ac:dyDescent="0.15">
      <c r="A33" s="51"/>
      <c r="B33" s="24" t="s">
        <v>90</v>
      </c>
      <c r="C33" s="25">
        <f>SUM(C30:C32)</f>
        <v>193053</v>
      </c>
      <c r="D33" s="25">
        <f t="shared" ref="D33:AW33" si="9">SUM(D30:D32)</f>
        <v>0</v>
      </c>
      <c r="E33" s="25">
        <f t="shared" si="9"/>
        <v>223381</v>
      </c>
      <c r="F33" s="25">
        <f t="shared" si="9"/>
        <v>248716</v>
      </c>
      <c r="G33" s="25">
        <f t="shared" si="9"/>
        <v>171860</v>
      </c>
      <c r="H33" s="25">
        <f t="shared" si="9"/>
        <v>170398</v>
      </c>
      <c r="I33" s="25">
        <f t="shared" si="9"/>
        <v>78439</v>
      </c>
      <c r="J33" s="25">
        <f t="shared" si="9"/>
        <v>0</v>
      </c>
      <c r="K33" s="25">
        <f t="shared" si="9"/>
        <v>19499</v>
      </c>
      <c r="L33" s="25">
        <f t="shared" si="9"/>
        <v>143260</v>
      </c>
      <c r="M33" s="25">
        <f t="shared" si="9"/>
        <v>177785</v>
      </c>
      <c r="N33" s="25">
        <f t="shared" si="9"/>
        <v>159318</v>
      </c>
      <c r="O33" s="25">
        <f t="shared" si="9"/>
        <v>162874</v>
      </c>
      <c r="P33" s="25">
        <f t="shared" si="9"/>
        <v>174803</v>
      </c>
      <c r="Q33" s="25">
        <f t="shared" si="9"/>
        <v>52991</v>
      </c>
      <c r="R33" s="25">
        <f t="shared" si="9"/>
        <v>235479</v>
      </c>
      <c r="S33" s="25">
        <f t="shared" si="9"/>
        <v>193078</v>
      </c>
      <c r="T33" s="25">
        <f t="shared" si="9"/>
        <v>179735</v>
      </c>
      <c r="U33" s="25">
        <f t="shared" si="9"/>
        <v>203231</v>
      </c>
      <c r="V33" s="25">
        <f t="shared" si="9"/>
        <v>246599</v>
      </c>
      <c r="W33" s="25">
        <f t="shared" si="9"/>
        <v>239952</v>
      </c>
      <c r="X33" s="25">
        <f t="shared" si="9"/>
        <v>24202</v>
      </c>
      <c r="Y33" s="25">
        <f t="shared" si="9"/>
        <v>225844</v>
      </c>
      <c r="Z33" s="25">
        <f t="shared" si="9"/>
        <v>108965</v>
      </c>
      <c r="AA33" s="25">
        <f t="shared" si="9"/>
        <v>107589</v>
      </c>
      <c r="AB33" s="25">
        <f t="shared" si="9"/>
        <v>0</v>
      </c>
      <c r="AC33" s="25">
        <f t="shared" si="9"/>
        <v>0</v>
      </c>
      <c r="AD33" s="25">
        <f t="shared" si="9"/>
        <v>0</v>
      </c>
      <c r="AE33" s="25">
        <f t="shared" si="9"/>
        <v>208410</v>
      </c>
      <c r="AF33" s="25">
        <f t="shared" si="9"/>
        <v>199414</v>
      </c>
      <c r="AG33" s="25">
        <f t="shared" si="9"/>
        <v>306593</v>
      </c>
      <c r="AH33" s="25">
        <f t="shared" si="9"/>
        <v>209901</v>
      </c>
      <c r="AI33" s="25">
        <f t="shared" si="9"/>
        <v>151519</v>
      </c>
      <c r="AJ33" s="25">
        <f t="shared" si="9"/>
        <v>99330</v>
      </c>
      <c r="AK33" s="25">
        <f t="shared" si="9"/>
        <v>157713</v>
      </c>
      <c r="AL33" s="25">
        <f t="shared" si="9"/>
        <v>175364</v>
      </c>
      <c r="AM33" s="25">
        <f t="shared" si="9"/>
        <v>91767</v>
      </c>
      <c r="AN33" s="25">
        <f t="shared" si="9"/>
        <v>121945</v>
      </c>
      <c r="AO33" s="25">
        <f t="shared" si="9"/>
        <v>124247</v>
      </c>
      <c r="AP33" s="25">
        <f t="shared" si="9"/>
        <v>46552</v>
      </c>
      <c r="AQ33" s="25">
        <f t="shared" si="9"/>
        <v>0</v>
      </c>
      <c r="AR33" s="25">
        <f t="shared" si="9"/>
        <v>157611</v>
      </c>
      <c r="AS33" s="25">
        <f t="shared" si="9"/>
        <v>143073</v>
      </c>
      <c r="AT33" s="25">
        <f t="shared" si="9"/>
        <v>33753</v>
      </c>
      <c r="AU33" s="25">
        <f t="shared" si="9"/>
        <v>138691</v>
      </c>
      <c r="AV33" s="25">
        <f t="shared" si="9"/>
        <v>149981</v>
      </c>
      <c r="AW33" s="26">
        <f t="shared" si="9"/>
        <v>0</v>
      </c>
      <c r="AX33" s="27">
        <f t="shared" si="8"/>
        <v>6256915</v>
      </c>
      <c r="AY33" s="27">
        <f t="shared" si="0"/>
        <v>131823.08695652173</v>
      </c>
      <c r="AZ33" s="28">
        <f>AX33/AX13</f>
        <v>0.14487862389324785</v>
      </c>
    </row>
    <row r="34" spans="1:52" x14ac:dyDescent="0.15">
      <c r="A34" s="51" t="s">
        <v>91</v>
      </c>
      <c r="B34" s="11" t="s">
        <v>92</v>
      </c>
      <c r="C34" s="14">
        <v>2008</v>
      </c>
      <c r="D34" s="14">
        <v>0</v>
      </c>
      <c r="E34" s="14">
        <v>2008</v>
      </c>
      <c r="F34" s="14">
        <v>2008</v>
      </c>
      <c r="G34" s="14">
        <v>2365</v>
      </c>
      <c r="H34" s="14">
        <v>2012</v>
      </c>
      <c r="I34" s="14">
        <v>2008</v>
      </c>
      <c r="J34" s="14">
        <v>2008</v>
      </c>
      <c r="K34" s="14">
        <v>2008</v>
      </c>
      <c r="L34" s="14">
        <v>2365</v>
      </c>
      <c r="M34" s="14">
        <v>2008</v>
      </c>
      <c r="N34" s="14">
        <v>2008</v>
      </c>
      <c r="O34" s="14">
        <v>2008</v>
      </c>
      <c r="P34" s="14">
        <v>2008</v>
      </c>
      <c r="Q34" s="14">
        <v>0</v>
      </c>
      <c r="R34" s="14">
        <v>2451</v>
      </c>
      <c r="S34" s="14">
        <v>2008</v>
      </c>
      <c r="T34" s="14">
        <v>2008</v>
      </c>
      <c r="U34" s="14">
        <v>2008</v>
      </c>
      <c r="V34" s="14">
        <v>2008</v>
      </c>
      <c r="W34" s="14">
        <v>2008</v>
      </c>
      <c r="X34" s="14">
        <v>0</v>
      </c>
      <c r="Y34" s="14">
        <v>2008</v>
      </c>
      <c r="Z34" s="14">
        <v>2008</v>
      </c>
      <c r="AA34" s="14">
        <v>2008</v>
      </c>
      <c r="AB34" s="14">
        <v>0</v>
      </c>
      <c r="AC34" s="14">
        <v>0</v>
      </c>
      <c r="AD34" s="14">
        <v>0</v>
      </c>
      <c r="AE34" s="14">
        <v>2008</v>
      </c>
      <c r="AF34" s="14">
        <v>2008</v>
      </c>
      <c r="AG34" s="14">
        <v>2008</v>
      </c>
      <c r="AH34" s="14">
        <v>2008</v>
      </c>
      <c r="AI34" s="14">
        <v>2365</v>
      </c>
      <c r="AJ34" s="14">
        <v>2012</v>
      </c>
      <c r="AK34" s="14">
        <v>2625</v>
      </c>
      <c r="AL34" s="14">
        <v>2451</v>
      </c>
      <c r="AM34" s="14">
        <v>2451</v>
      </c>
      <c r="AN34" s="14">
        <v>2008</v>
      </c>
      <c r="AO34" s="14">
        <v>2008</v>
      </c>
      <c r="AP34" s="14">
        <v>2008</v>
      </c>
      <c r="AQ34" s="14">
        <v>0</v>
      </c>
      <c r="AR34" s="14">
        <v>2451</v>
      </c>
      <c r="AS34" s="14">
        <v>2012</v>
      </c>
      <c r="AT34" s="14">
        <v>2008</v>
      </c>
      <c r="AU34" s="14">
        <v>2008</v>
      </c>
      <c r="AV34" s="14">
        <v>0</v>
      </c>
      <c r="AW34" s="15">
        <v>2451</v>
      </c>
      <c r="AX34" s="16">
        <f t="shared" si="8"/>
        <v>82227</v>
      </c>
      <c r="AY34" s="16">
        <f t="shared" si="0"/>
        <v>1743.891304347826</v>
      </c>
      <c r="AZ34" s="13">
        <f>AX34/AX13</f>
        <v>1.903962992444374E-3</v>
      </c>
    </row>
    <row r="35" spans="1:52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0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0</v>
      </c>
      <c r="AQ35" s="14">
        <v>0</v>
      </c>
      <c r="AR35" s="14">
        <v>0</v>
      </c>
      <c r="AS35" s="14">
        <v>0</v>
      </c>
      <c r="AT35" s="14">
        <v>0</v>
      </c>
      <c r="AU35" s="14">
        <v>0</v>
      </c>
      <c r="AV35" s="14">
        <v>0</v>
      </c>
      <c r="AW35" s="15">
        <v>0</v>
      </c>
      <c r="AX35" s="16">
        <f t="shared" si="8"/>
        <v>0</v>
      </c>
      <c r="AY35" s="16">
        <f t="shared" si="0"/>
        <v>0</v>
      </c>
      <c r="AZ35" s="13">
        <f>AX35/AX13</f>
        <v>0</v>
      </c>
    </row>
    <row r="36" spans="1:52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>
        <v>0</v>
      </c>
      <c r="AI36" s="14">
        <v>0</v>
      </c>
      <c r="AJ36" s="14">
        <v>0</v>
      </c>
      <c r="AK36" s="14">
        <v>0</v>
      </c>
      <c r="AL36" s="14">
        <v>0</v>
      </c>
      <c r="AM36" s="14">
        <v>0</v>
      </c>
      <c r="AN36" s="14">
        <v>0</v>
      </c>
      <c r="AO36" s="14">
        <v>0</v>
      </c>
      <c r="AP36" s="14">
        <v>0</v>
      </c>
      <c r="AQ36" s="14">
        <v>0</v>
      </c>
      <c r="AR36" s="14">
        <v>0</v>
      </c>
      <c r="AS36" s="14">
        <v>0</v>
      </c>
      <c r="AT36" s="14">
        <v>0</v>
      </c>
      <c r="AU36" s="14">
        <v>0</v>
      </c>
      <c r="AV36" s="14">
        <v>0</v>
      </c>
      <c r="AW36" s="15">
        <v>0</v>
      </c>
      <c r="AX36" s="16">
        <f t="shared" si="8"/>
        <v>0</v>
      </c>
      <c r="AY36" s="16">
        <f t="shared" si="0"/>
        <v>0</v>
      </c>
      <c r="AZ36" s="13">
        <f>AX36/AX13</f>
        <v>0</v>
      </c>
    </row>
    <row r="37" spans="1:52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4">
        <v>0</v>
      </c>
      <c r="AW37" s="15">
        <v>0</v>
      </c>
      <c r="AX37" s="16">
        <f t="shared" si="8"/>
        <v>0</v>
      </c>
      <c r="AY37" s="16">
        <f t="shared" si="0"/>
        <v>0</v>
      </c>
      <c r="AZ37" s="13">
        <f>AX37/AX13</f>
        <v>0</v>
      </c>
    </row>
    <row r="38" spans="1:52" x14ac:dyDescent="0.15">
      <c r="A38" s="51"/>
      <c r="B38" s="11" t="s">
        <v>93</v>
      </c>
      <c r="C38" s="14">
        <v>4621</v>
      </c>
      <c r="D38" s="14">
        <v>0</v>
      </c>
      <c r="E38" s="14">
        <v>4621</v>
      </c>
      <c r="F38" s="14">
        <v>7034</v>
      </c>
      <c r="G38" s="14">
        <v>5366</v>
      </c>
      <c r="H38" s="14">
        <v>5366</v>
      </c>
      <c r="I38" s="14">
        <v>5366</v>
      </c>
      <c r="J38" s="14">
        <v>9033</v>
      </c>
      <c r="K38" s="14">
        <v>5366</v>
      </c>
      <c r="L38" s="14">
        <v>5366</v>
      </c>
      <c r="M38" s="14">
        <v>5366</v>
      </c>
      <c r="N38" s="14">
        <v>5366</v>
      </c>
      <c r="O38" s="14">
        <v>5366</v>
      </c>
      <c r="P38" s="14">
        <v>5366</v>
      </c>
      <c r="Q38" s="14">
        <v>10718</v>
      </c>
      <c r="R38" s="14">
        <v>10690</v>
      </c>
      <c r="S38" s="14">
        <v>5366</v>
      </c>
      <c r="T38" s="14">
        <v>5366</v>
      </c>
      <c r="U38" s="14">
        <v>7671</v>
      </c>
      <c r="V38" s="14">
        <v>8639</v>
      </c>
      <c r="W38" s="14">
        <v>5366</v>
      </c>
      <c r="X38" s="14">
        <v>5576</v>
      </c>
      <c r="Y38" s="14">
        <v>7624</v>
      </c>
      <c r="Z38" s="14">
        <v>6832</v>
      </c>
      <c r="AA38" s="14">
        <v>4621</v>
      </c>
      <c r="AB38" s="14">
        <v>0</v>
      </c>
      <c r="AC38" s="14">
        <v>0</v>
      </c>
      <c r="AD38" s="14">
        <v>0</v>
      </c>
      <c r="AE38" s="14">
        <v>5366</v>
      </c>
      <c r="AF38" s="14">
        <v>10370</v>
      </c>
      <c r="AG38" s="14">
        <v>5366</v>
      </c>
      <c r="AH38" s="14">
        <v>5366</v>
      </c>
      <c r="AI38" s="14">
        <v>4621</v>
      </c>
      <c r="AJ38" s="14">
        <v>4621</v>
      </c>
      <c r="AK38" s="14">
        <v>4621</v>
      </c>
      <c r="AL38" s="14">
        <v>10690</v>
      </c>
      <c r="AM38" s="14">
        <v>10690</v>
      </c>
      <c r="AN38" s="14">
        <v>5366</v>
      </c>
      <c r="AO38" s="14">
        <v>5366</v>
      </c>
      <c r="AP38" s="14">
        <v>7978</v>
      </c>
      <c r="AQ38" s="14">
        <v>0</v>
      </c>
      <c r="AR38" s="14">
        <v>10690</v>
      </c>
      <c r="AS38" s="14">
        <v>9667</v>
      </c>
      <c r="AT38" s="14">
        <v>8428</v>
      </c>
      <c r="AU38" s="14">
        <v>12255</v>
      </c>
      <c r="AV38" s="14">
        <v>11103</v>
      </c>
      <c r="AW38" s="15">
        <v>10690</v>
      </c>
      <c r="AX38" s="16">
        <f t="shared" si="8"/>
        <v>295326</v>
      </c>
      <c r="AY38" s="16">
        <f t="shared" si="0"/>
        <v>6319.673913043478</v>
      </c>
      <c r="AZ38" s="13">
        <f>AX38/AX13</f>
        <v>6.838262063636363E-3</v>
      </c>
    </row>
    <row r="39" spans="1:52" x14ac:dyDescent="0.15">
      <c r="A39" s="51"/>
      <c r="B39" s="24" t="s">
        <v>94</v>
      </c>
      <c r="C39" s="25">
        <f t="shared" ref="C39:AW39" si="10">SUM(C34:C38)</f>
        <v>6629</v>
      </c>
      <c r="D39" s="25">
        <f t="shared" si="10"/>
        <v>0</v>
      </c>
      <c r="E39" s="25">
        <f t="shared" si="10"/>
        <v>6629</v>
      </c>
      <c r="F39" s="25">
        <f t="shared" si="10"/>
        <v>9042</v>
      </c>
      <c r="G39" s="25">
        <f t="shared" si="10"/>
        <v>7731</v>
      </c>
      <c r="H39" s="25">
        <f t="shared" si="10"/>
        <v>7378</v>
      </c>
      <c r="I39" s="25">
        <f t="shared" si="10"/>
        <v>7374</v>
      </c>
      <c r="J39" s="25">
        <f t="shared" si="10"/>
        <v>11041</v>
      </c>
      <c r="K39" s="25">
        <f t="shared" si="10"/>
        <v>7374</v>
      </c>
      <c r="L39" s="25">
        <f t="shared" si="10"/>
        <v>7731</v>
      </c>
      <c r="M39" s="25">
        <f t="shared" si="10"/>
        <v>7374</v>
      </c>
      <c r="N39" s="25">
        <f t="shared" si="10"/>
        <v>7374</v>
      </c>
      <c r="O39" s="25">
        <f t="shared" si="10"/>
        <v>7374</v>
      </c>
      <c r="P39" s="25">
        <f t="shared" si="10"/>
        <v>7374</v>
      </c>
      <c r="Q39" s="25">
        <f t="shared" si="10"/>
        <v>10718</v>
      </c>
      <c r="R39" s="25">
        <f t="shared" si="10"/>
        <v>13141</v>
      </c>
      <c r="S39" s="25">
        <f t="shared" si="10"/>
        <v>7374</v>
      </c>
      <c r="T39" s="25">
        <f t="shared" si="10"/>
        <v>7374</v>
      </c>
      <c r="U39" s="25">
        <f t="shared" si="10"/>
        <v>9679</v>
      </c>
      <c r="V39" s="25">
        <f t="shared" si="10"/>
        <v>10647</v>
      </c>
      <c r="W39" s="25">
        <f t="shared" si="10"/>
        <v>7374</v>
      </c>
      <c r="X39" s="25">
        <f t="shared" si="10"/>
        <v>5576</v>
      </c>
      <c r="Y39" s="25">
        <f t="shared" si="10"/>
        <v>9632</v>
      </c>
      <c r="Z39" s="25">
        <f t="shared" si="10"/>
        <v>8840</v>
      </c>
      <c r="AA39" s="25">
        <f t="shared" si="10"/>
        <v>6629</v>
      </c>
      <c r="AB39" s="25">
        <f t="shared" si="10"/>
        <v>0</v>
      </c>
      <c r="AC39" s="25">
        <f t="shared" si="10"/>
        <v>0</v>
      </c>
      <c r="AD39" s="25">
        <f t="shared" si="10"/>
        <v>0</v>
      </c>
      <c r="AE39" s="25">
        <f t="shared" si="10"/>
        <v>7374</v>
      </c>
      <c r="AF39" s="25">
        <f t="shared" si="10"/>
        <v>12378</v>
      </c>
      <c r="AG39" s="25">
        <f t="shared" si="10"/>
        <v>7374</v>
      </c>
      <c r="AH39" s="25">
        <f t="shared" si="10"/>
        <v>7374</v>
      </c>
      <c r="AI39" s="25">
        <f t="shared" si="10"/>
        <v>6986</v>
      </c>
      <c r="AJ39" s="25">
        <f t="shared" si="10"/>
        <v>6633</v>
      </c>
      <c r="AK39" s="25">
        <f t="shared" si="10"/>
        <v>7246</v>
      </c>
      <c r="AL39" s="25">
        <f t="shared" si="10"/>
        <v>13141</v>
      </c>
      <c r="AM39" s="25">
        <f t="shared" si="10"/>
        <v>13141</v>
      </c>
      <c r="AN39" s="25">
        <f t="shared" si="10"/>
        <v>7374</v>
      </c>
      <c r="AO39" s="25">
        <f t="shared" si="10"/>
        <v>7374</v>
      </c>
      <c r="AP39" s="25">
        <f t="shared" si="10"/>
        <v>9986</v>
      </c>
      <c r="AQ39" s="25">
        <f t="shared" si="10"/>
        <v>0</v>
      </c>
      <c r="AR39" s="25">
        <f t="shared" si="10"/>
        <v>13141</v>
      </c>
      <c r="AS39" s="25">
        <f t="shared" si="10"/>
        <v>11679</v>
      </c>
      <c r="AT39" s="25">
        <f t="shared" si="10"/>
        <v>10436</v>
      </c>
      <c r="AU39" s="25">
        <f t="shared" si="10"/>
        <v>14263</v>
      </c>
      <c r="AV39" s="25">
        <f t="shared" si="10"/>
        <v>11103</v>
      </c>
      <c r="AW39" s="26">
        <f t="shared" si="10"/>
        <v>13141</v>
      </c>
      <c r="AX39" s="27">
        <f t="shared" si="8"/>
        <v>377553</v>
      </c>
      <c r="AY39" s="27">
        <f t="shared" si="0"/>
        <v>8063.565217391304</v>
      </c>
      <c r="AZ39" s="28">
        <f>AX39/AX13</f>
        <v>8.7422250560807366E-3</v>
      </c>
    </row>
    <row r="40" spans="1:52" x14ac:dyDescent="0.15">
      <c r="A40" s="51" t="s">
        <v>95</v>
      </c>
      <c r="B40" s="11" t="s">
        <v>96</v>
      </c>
      <c r="C40" s="14">
        <v>175040</v>
      </c>
      <c r="D40" s="14">
        <v>0</v>
      </c>
      <c r="E40" s="14">
        <v>217380</v>
      </c>
      <c r="F40" s="14">
        <v>198810</v>
      </c>
      <c r="G40" s="14">
        <v>212690</v>
      </c>
      <c r="H40" s="14">
        <v>225070</v>
      </c>
      <c r="I40" s="14">
        <v>93530</v>
      </c>
      <c r="J40" s="14">
        <v>0</v>
      </c>
      <c r="K40" s="14">
        <v>11500</v>
      </c>
      <c r="L40" s="14">
        <v>0</v>
      </c>
      <c r="M40" s="14">
        <v>87370</v>
      </c>
      <c r="N40" s="14">
        <v>101970</v>
      </c>
      <c r="O40" s="14">
        <v>83780</v>
      </c>
      <c r="P40" s="14">
        <v>78220</v>
      </c>
      <c r="Q40" s="14">
        <v>3590</v>
      </c>
      <c r="R40" s="14">
        <v>190670</v>
      </c>
      <c r="S40" s="14">
        <v>86660</v>
      </c>
      <c r="T40" s="14">
        <v>74740</v>
      </c>
      <c r="U40" s="14">
        <v>112750</v>
      </c>
      <c r="V40" s="14">
        <v>180340</v>
      </c>
      <c r="W40" s="14">
        <v>162110</v>
      </c>
      <c r="X40" s="14">
        <v>1100</v>
      </c>
      <c r="Y40" s="14">
        <v>196900</v>
      </c>
      <c r="Z40" s="14">
        <v>108790</v>
      </c>
      <c r="AA40" s="14">
        <v>83700</v>
      </c>
      <c r="AB40" s="14">
        <v>0</v>
      </c>
      <c r="AC40" s="14">
        <v>0</v>
      </c>
      <c r="AD40" s="14">
        <v>0</v>
      </c>
      <c r="AE40" s="14">
        <v>119870</v>
      </c>
      <c r="AF40" s="14">
        <v>126410</v>
      </c>
      <c r="AG40" s="14">
        <v>340180</v>
      </c>
      <c r="AH40" s="14">
        <v>166790</v>
      </c>
      <c r="AI40" s="14">
        <v>30990</v>
      </c>
      <c r="AJ40" s="14">
        <v>22490</v>
      </c>
      <c r="AK40" s="14">
        <v>87190</v>
      </c>
      <c r="AL40" s="14">
        <v>104410</v>
      </c>
      <c r="AM40" s="14">
        <v>81220</v>
      </c>
      <c r="AN40" s="14">
        <v>145150</v>
      </c>
      <c r="AO40" s="14">
        <v>171760</v>
      </c>
      <c r="AP40" s="14">
        <v>72440</v>
      </c>
      <c r="AQ40" s="14">
        <v>0</v>
      </c>
      <c r="AR40" s="14">
        <v>89120</v>
      </c>
      <c r="AS40" s="14">
        <v>63730</v>
      </c>
      <c r="AT40" s="14">
        <v>13460</v>
      </c>
      <c r="AU40" s="14">
        <v>84200</v>
      </c>
      <c r="AV40" s="14">
        <v>81750</v>
      </c>
      <c r="AW40" s="15">
        <v>0</v>
      </c>
      <c r="AX40" s="16">
        <f t="shared" si="8"/>
        <v>4487870</v>
      </c>
      <c r="AY40" s="16">
        <f t="shared" si="0"/>
        <v>93757.173913043473</v>
      </c>
      <c r="AZ40" s="13">
        <f>AX40/AX13</f>
        <v>0.10391645560340683</v>
      </c>
    </row>
    <row r="41" spans="1:52" x14ac:dyDescent="0.15">
      <c r="A41" s="51"/>
      <c r="B41" s="11" t="s">
        <v>97</v>
      </c>
      <c r="C41" s="14">
        <v>-95378</v>
      </c>
      <c r="D41" s="14">
        <v>0</v>
      </c>
      <c r="E41" s="14">
        <v>-158981</v>
      </c>
      <c r="F41" s="14">
        <v>-130495</v>
      </c>
      <c r="G41" s="14">
        <v>-111217</v>
      </c>
      <c r="H41" s="14">
        <v>-110315</v>
      </c>
      <c r="I41" s="14">
        <v>-42075</v>
      </c>
      <c r="J41" s="14">
        <v>0</v>
      </c>
      <c r="K41" s="14">
        <v>-11500</v>
      </c>
      <c r="L41" s="14">
        <v>-1440</v>
      </c>
      <c r="M41" s="14">
        <v>-41095</v>
      </c>
      <c r="N41" s="14">
        <v>-41660</v>
      </c>
      <c r="O41" s="14">
        <v>-38343</v>
      </c>
      <c r="P41" s="14">
        <v>-40478</v>
      </c>
      <c r="Q41" s="14">
        <v>-742</v>
      </c>
      <c r="R41" s="14">
        <v>-67979</v>
      </c>
      <c r="S41" s="14">
        <v>-39576</v>
      </c>
      <c r="T41" s="14">
        <v>-31412</v>
      </c>
      <c r="U41" s="14">
        <v>-57634</v>
      </c>
      <c r="V41" s="14">
        <v>-62858</v>
      </c>
      <c r="W41" s="14">
        <v>-73836</v>
      </c>
      <c r="X41" s="14">
        <v>0</v>
      </c>
      <c r="Y41" s="14">
        <v>-46964</v>
      </c>
      <c r="Z41" s="14">
        <v>-79750</v>
      </c>
      <c r="AA41" s="14">
        <v>-79750</v>
      </c>
      <c r="AB41" s="14">
        <v>0</v>
      </c>
      <c r="AC41" s="14">
        <v>0</v>
      </c>
      <c r="AD41" s="14">
        <v>0</v>
      </c>
      <c r="AE41" s="14">
        <v>-119870</v>
      </c>
      <c r="AF41" s="14">
        <v>-121180</v>
      </c>
      <c r="AG41" s="14">
        <v>-103156</v>
      </c>
      <c r="AH41" s="14">
        <v>-3054</v>
      </c>
      <c r="AI41" s="14">
        <v>0</v>
      </c>
      <c r="AJ41" s="14">
        <v>0</v>
      </c>
      <c r="AK41" s="14">
        <v>0</v>
      </c>
      <c r="AL41" s="14">
        <v>-83183</v>
      </c>
      <c r="AM41" s="14">
        <v>-54575</v>
      </c>
      <c r="AN41" s="14">
        <v>-80341</v>
      </c>
      <c r="AO41" s="14">
        <v>-97469</v>
      </c>
      <c r="AP41" s="14">
        <v>-41331</v>
      </c>
      <c r="AQ41" s="14">
        <v>0</v>
      </c>
      <c r="AR41" s="14">
        <v>-8102</v>
      </c>
      <c r="AS41" s="14">
        <v>-5794</v>
      </c>
      <c r="AT41" s="14">
        <v>-1224</v>
      </c>
      <c r="AU41" s="14">
        <v>-7655</v>
      </c>
      <c r="AV41" s="14">
        <v>-15514</v>
      </c>
      <c r="AW41" s="15">
        <v>0</v>
      </c>
      <c r="AX41" s="16">
        <f t="shared" si="8"/>
        <v>-2105926</v>
      </c>
      <c r="AY41" s="16">
        <f t="shared" si="0"/>
        <v>-43707.565217391304</v>
      </c>
      <c r="AZ41" s="13">
        <f>AX41/AX13</f>
        <v>-4.8762634765057836E-2</v>
      </c>
    </row>
    <row r="42" spans="1:52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 s="14">
        <v>0</v>
      </c>
      <c r="AG42" s="14">
        <v>0</v>
      </c>
      <c r="AH42" s="14">
        <v>0</v>
      </c>
      <c r="AI42" s="14">
        <v>0</v>
      </c>
      <c r="AJ42" s="14">
        <v>0</v>
      </c>
      <c r="AK42" s="14">
        <v>0</v>
      </c>
      <c r="AL42" s="14">
        <v>0</v>
      </c>
      <c r="AM42" s="14">
        <v>0</v>
      </c>
      <c r="AN42" s="14">
        <v>0</v>
      </c>
      <c r="AO42" s="14">
        <v>0</v>
      </c>
      <c r="AP42" s="14">
        <v>0</v>
      </c>
      <c r="AQ42" s="14">
        <v>0</v>
      </c>
      <c r="AR42" s="14">
        <v>0</v>
      </c>
      <c r="AS42" s="14">
        <v>0</v>
      </c>
      <c r="AT42" s="14">
        <v>0</v>
      </c>
      <c r="AU42" s="14">
        <v>0</v>
      </c>
      <c r="AV42" s="14">
        <v>0</v>
      </c>
      <c r="AW42" s="15">
        <v>0</v>
      </c>
      <c r="AX42" s="16">
        <f t="shared" si="8"/>
        <v>0</v>
      </c>
      <c r="AY42" s="16">
        <f t="shared" si="0"/>
        <v>0</v>
      </c>
      <c r="AZ42" s="13">
        <f>AX42/AX13</f>
        <v>0</v>
      </c>
    </row>
    <row r="43" spans="1:52" x14ac:dyDescent="0.15">
      <c r="A43" s="51"/>
      <c r="B43" s="11" t="s">
        <v>99</v>
      </c>
      <c r="C43" s="14">
        <v>-56012.800000000003</v>
      </c>
      <c r="D43" s="14">
        <v>0</v>
      </c>
      <c r="E43" s="14">
        <v>-69561.600000000006</v>
      </c>
      <c r="F43" s="14">
        <v>-63619.199999999997</v>
      </c>
      <c r="G43" s="14">
        <v>-68060.800000000003</v>
      </c>
      <c r="H43" s="14">
        <v>-72022.399999999994</v>
      </c>
      <c r="I43" s="14">
        <v>-29929.599999999999</v>
      </c>
      <c r="J43" s="14">
        <v>0</v>
      </c>
      <c r="K43" s="14">
        <v>-3680</v>
      </c>
      <c r="L43" s="14">
        <v>0</v>
      </c>
      <c r="M43" s="14">
        <v>-27958.400000000001</v>
      </c>
      <c r="N43" s="14">
        <v>-32630.400000000001</v>
      </c>
      <c r="O43" s="14">
        <v>-26809.599999999999</v>
      </c>
      <c r="P43" s="14">
        <v>-25030.400000000001</v>
      </c>
      <c r="Q43" s="14">
        <v>-1148.8</v>
      </c>
      <c r="R43" s="14">
        <v>-61014.400000000001</v>
      </c>
      <c r="S43" s="14">
        <v>-27731.200000000001</v>
      </c>
      <c r="T43" s="14">
        <v>-23916.799999999999</v>
      </c>
      <c r="U43" s="14">
        <v>-36080</v>
      </c>
      <c r="V43" s="14">
        <v>-57708.800000000003</v>
      </c>
      <c r="W43" s="14">
        <v>-51875.199999999997</v>
      </c>
      <c r="X43" s="14">
        <v>-352</v>
      </c>
      <c r="Y43" s="14">
        <v>-63008</v>
      </c>
      <c r="Z43" s="14">
        <v>-34812.800000000003</v>
      </c>
      <c r="AA43" s="14">
        <v>-26784</v>
      </c>
      <c r="AB43" s="14">
        <v>0</v>
      </c>
      <c r="AC43" s="14">
        <v>0</v>
      </c>
      <c r="AD43" s="14">
        <v>0</v>
      </c>
      <c r="AE43" s="14">
        <v>-38358.400000000001</v>
      </c>
      <c r="AF43" s="14">
        <v>-40451.199999999997</v>
      </c>
      <c r="AG43" s="14">
        <v>-108857.60000000001</v>
      </c>
      <c r="AH43" s="14">
        <v>-53372.800000000003</v>
      </c>
      <c r="AI43" s="14">
        <v>-9916.7999999999993</v>
      </c>
      <c r="AJ43" s="14">
        <v>-7196.8</v>
      </c>
      <c r="AK43" s="14">
        <v>-27900.799999999999</v>
      </c>
      <c r="AL43" s="14">
        <v>-33411.199999999997</v>
      </c>
      <c r="AM43" s="14">
        <v>-25990.400000000001</v>
      </c>
      <c r="AN43" s="14">
        <v>-46448</v>
      </c>
      <c r="AO43" s="14">
        <v>-54963.199999999997</v>
      </c>
      <c r="AP43" s="14">
        <v>-23180.799999999999</v>
      </c>
      <c r="AQ43" s="14">
        <v>0</v>
      </c>
      <c r="AR43" s="14">
        <v>-28518.400000000001</v>
      </c>
      <c r="AS43" s="14">
        <v>-20393.599999999999</v>
      </c>
      <c r="AT43" s="14">
        <v>-4307.2</v>
      </c>
      <c r="AU43" s="14">
        <v>-26944</v>
      </c>
      <c r="AV43" s="14">
        <v>-26160</v>
      </c>
      <c r="AW43" s="15">
        <v>0</v>
      </c>
      <c r="AX43" s="16">
        <f t="shared" si="8"/>
        <v>-1436118.4</v>
      </c>
      <c r="AY43" s="16">
        <f>AVERAGE(B43:AW43)</f>
        <v>-30555.710638297871</v>
      </c>
      <c r="AZ43" s="13">
        <f>AX43/AX13</f>
        <v>-3.3253265793090181E-2</v>
      </c>
    </row>
    <row r="44" spans="1:52" x14ac:dyDescent="0.15">
      <c r="A44" s="51"/>
      <c r="B44" s="24" t="s">
        <v>100</v>
      </c>
      <c r="C44" s="25">
        <f t="shared" ref="C44:AX44" si="11">SUM(C40:C43)</f>
        <v>23649.199999999997</v>
      </c>
      <c r="D44" s="25">
        <f t="shared" si="11"/>
        <v>0</v>
      </c>
      <c r="E44" s="25">
        <f t="shared" si="11"/>
        <v>-11162.600000000006</v>
      </c>
      <c r="F44" s="25">
        <f t="shared" si="11"/>
        <v>4695.8000000000029</v>
      </c>
      <c r="G44" s="25">
        <f t="shared" si="11"/>
        <v>33412.199999999997</v>
      </c>
      <c r="H44" s="25">
        <f t="shared" si="11"/>
        <v>42732.600000000006</v>
      </c>
      <c r="I44" s="25">
        <f t="shared" si="11"/>
        <v>21525.4</v>
      </c>
      <c r="J44" s="25">
        <f t="shared" si="11"/>
        <v>0</v>
      </c>
      <c r="K44" s="25">
        <f t="shared" si="11"/>
        <v>-3680</v>
      </c>
      <c r="L44" s="25">
        <f t="shared" si="11"/>
        <v>-1440</v>
      </c>
      <c r="M44" s="25">
        <f t="shared" si="11"/>
        <v>18316.599999999999</v>
      </c>
      <c r="N44" s="25">
        <f t="shared" si="11"/>
        <v>27679.599999999999</v>
      </c>
      <c r="O44" s="25">
        <f t="shared" si="11"/>
        <v>18627.400000000001</v>
      </c>
      <c r="P44" s="25">
        <f t="shared" si="11"/>
        <v>12711.599999999999</v>
      </c>
      <c r="Q44" s="25">
        <f t="shared" si="11"/>
        <v>1699.2</v>
      </c>
      <c r="R44" s="25">
        <f t="shared" si="11"/>
        <v>61676.6</v>
      </c>
      <c r="S44" s="25">
        <f t="shared" si="11"/>
        <v>19352.8</v>
      </c>
      <c r="T44" s="25">
        <f t="shared" si="11"/>
        <v>19411.2</v>
      </c>
      <c r="U44" s="25">
        <f t="shared" si="11"/>
        <v>19036</v>
      </c>
      <c r="V44" s="25">
        <f t="shared" si="11"/>
        <v>59773.2</v>
      </c>
      <c r="W44" s="25">
        <f t="shared" si="11"/>
        <v>36398.800000000003</v>
      </c>
      <c r="X44" s="25">
        <f t="shared" si="11"/>
        <v>748</v>
      </c>
      <c r="Y44" s="25">
        <f t="shared" si="11"/>
        <v>86928</v>
      </c>
      <c r="Z44" s="25">
        <f t="shared" si="11"/>
        <v>-5772.8000000000029</v>
      </c>
      <c r="AA44" s="25">
        <f t="shared" si="11"/>
        <v>-22834</v>
      </c>
      <c r="AB44" s="25">
        <f t="shared" si="11"/>
        <v>0</v>
      </c>
      <c r="AC44" s="25">
        <f t="shared" si="11"/>
        <v>0</v>
      </c>
      <c r="AD44" s="25">
        <f t="shared" si="11"/>
        <v>0</v>
      </c>
      <c r="AE44" s="25">
        <f t="shared" si="11"/>
        <v>-38358.400000000001</v>
      </c>
      <c r="AF44" s="25">
        <f t="shared" si="11"/>
        <v>-35221.199999999997</v>
      </c>
      <c r="AG44" s="25">
        <f t="shared" si="11"/>
        <v>128166.39999999999</v>
      </c>
      <c r="AH44" s="25">
        <f t="shared" si="11"/>
        <v>110363.2</v>
      </c>
      <c r="AI44" s="25">
        <f t="shared" si="11"/>
        <v>21073.200000000001</v>
      </c>
      <c r="AJ44" s="25">
        <f t="shared" si="11"/>
        <v>15293.2</v>
      </c>
      <c r="AK44" s="25">
        <f t="shared" si="11"/>
        <v>59289.2</v>
      </c>
      <c r="AL44" s="25">
        <f t="shared" si="11"/>
        <v>-12184.199999999997</v>
      </c>
      <c r="AM44" s="25">
        <f t="shared" si="11"/>
        <v>654.59999999999854</v>
      </c>
      <c r="AN44" s="25">
        <f t="shared" si="11"/>
        <v>18361</v>
      </c>
      <c r="AO44" s="25">
        <f t="shared" si="11"/>
        <v>19327.800000000003</v>
      </c>
      <c r="AP44" s="25">
        <f t="shared" si="11"/>
        <v>7928.2000000000007</v>
      </c>
      <c r="AQ44" s="25">
        <f t="shared" si="11"/>
        <v>0</v>
      </c>
      <c r="AR44" s="25">
        <f t="shared" si="11"/>
        <v>52499.6</v>
      </c>
      <c r="AS44" s="25">
        <f t="shared" si="11"/>
        <v>37542.400000000001</v>
      </c>
      <c r="AT44" s="25">
        <f t="shared" si="11"/>
        <v>7928.8</v>
      </c>
      <c r="AU44" s="25">
        <f t="shared" si="11"/>
        <v>49601</v>
      </c>
      <c r="AV44" s="25">
        <f t="shared" si="11"/>
        <v>40076</v>
      </c>
      <c r="AW44" s="26">
        <f t="shared" si="11"/>
        <v>0</v>
      </c>
      <c r="AX44" s="27">
        <f t="shared" si="11"/>
        <v>945825.60000000009</v>
      </c>
      <c r="AY44" s="27">
        <f>AVERAGE(B44:AW44)</f>
        <v>20123.948936170211</v>
      </c>
      <c r="AZ44" s="28">
        <f>AX44/AX13</f>
        <v>2.1900555045258806E-2</v>
      </c>
    </row>
    <row r="45" spans="1:52" x14ac:dyDescent="0.15">
      <c r="A45" s="51" t="s">
        <v>101</v>
      </c>
      <c r="B45" s="11" t="s">
        <v>102</v>
      </c>
      <c r="C45" s="14">
        <v>380841</v>
      </c>
      <c r="D45" s="14">
        <v>0</v>
      </c>
      <c r="E45" s="14">
        <v>423558</v>
      </c>
      <c r="F45" s="14">
        <v>390757</v>
      </c>
      <c r="G45" s="14">
        <v>371082</v>
      </c>
      <c r="H45" s="14">
        <v>381553</v>
      </c>
      <c r="I45" s="14">
        <v>311101</v>
      </c>
      <c r="J45" s="14">
        <v>0</v>
      </c>
      <c r="K45" s="14">
        <v>27388</v>
      </c>
      <c r="L45" s="14">
        <v>410816</v>
      </c>
      <c r="M45" s="14">
        <v>643612</v>
      </c>
      <c r="N45" s="14">
        <v>314959</v>
      </c>
      <c r="O45" s="14">
        <v>328653</v>
      </c>
      <c r="P45" s="14">
        <v>314960</v>
      </c>
      <c r="Q45" s="14">
        <v>123245</v>
      </c>
      <c r="R45" s="14">
        <v>314959</v>
      </c>
      <c r="S45" s="14">
        <v>383429</v>
      </c>
      <c r="T45" s="14">
        <v>328654</v>
      </c>
      <c r="U45" s="14">
        <v>356041</v>
      </c>
      <c r="V45" s="14">
        <v>301266</v>
      </c>
      <c r="W45" s="14">
        <v>369734</v>
      </c>
      <c r="X45" s="14">
        <v>27388</v>
      </c>
      <c r="Y45" s="14">
        <v>301265</v>
      </c>
      <c r="Z45" s="14">
        <v>150633</v>
      </c>
      <c r="AA45" s="14">
        <v>164326</v>
      </c>
      <c r="AB45" s="14">
        <v>0</v>
      </c>
      <c r="AC45" s="14">
        <v>0</v>
      </c>
      <c r="AD45" s="14">
        <v>0</v>
      </c>
      <c r="AE45" s="14">
        <v>301265</v>
      </c>
      <c r="AF45" s="14">
        <v>314960</v>
      </c>
      <c r="AG45" s="14">
        <v>328654</v>
      </c>
      <c r="AH45" s="14">
        <v>273878</v>
      </c>
      <c r="AI45" s="14">
        <v>342342</v>
      </c>
      <c r="AJ45" s="14">
        <v>219103</v>
      </c>
      <c r="AK45" s="14">
        <v>260184</v>
      </c>
      <c r="AL45" s="14">
        <v>389120</v>
      </c>
      <c r="AM45" s="14">
        <v>111178</v>
      </c>
      <c r="AN45" s="14">
        <v>315002</v>
      </c>
      <c r="AO45" s="14">
        <v>370588</v>
      </c>
      <c r="AP45" s="14">
        <v>111178</v>
      </c>
      <c r="AQ45" s="14">
        <v>0</v>
      </c>
      <c r="AR45" s="14">
        <v>200476</v>
      </c>
      <c r="AS45" s="14">
        <v>260620</v>
      </c>
      <c r="AT45" s="14">
        <v>100238</v>
      </c>
      <c r="AU45" s="14">
        <v>260620</v>
      </c>
      <c r="AV45" s="14">
        <v>461103</v>
      </c>
      <c r="AW45" s="15">
        <v>0</v>
      </c>
      <c r="AX45" s="16">
        <f t="shared" ref="AX45:AX60" si="12">SUM(C45:AW45)</f>
        <v>11740729</v>
      </c>
      <c r="AY45" s="16">
        <f t="shared" ref="AY45:AY60" si="13">AVERAGE(D45:AW45)</f>
        <v>246954.08695652173</v>
      </c>
      <c r="AZ45" s="13">
        <f>AX45/AX13</f>
        <v>0.2718561241480103</v>
      </c>
    </row>
    <row r="46" spans="1:52" x14ac:dyDescent="0.15">
      <c r="A46" s="51"/>
      <c r="B46" s="11" t="s">
        <v>103</v>
      </c>
      <c r="C46" s="14">
        <v>16000</v>
      </c>
      <c r="D46" s="14">
        <v>0</v>
      </c>
      <c r="E46" s="14">
        <v>13500</v>
      </c>
      <c r="F46" s="14">
        <v>14335</v>
      </c>
      <c r="G46" s="14">
        <v>24000</v>
      </c>
      <c r="H46" s="14">
        <v>14335</v>
      </c>
      <c r="I46" s="14">
        <v>0</v>
      </c>
      <c r="J46" s="14">
        <v>0</v>
      </c>
      <c r="K46" s="14">
        <v>1620</v>
      </c>
      <c r="L46" s="14">
        <v>24295</v>
      </c>
      <c r="M46" s="14">
        <v>38062</v>
      </c>
      <c r="N46" s="14">
        <v>18626</v>
      </c>
      <c r="O46" s="14">
        <v>19435</v>
      </c>
      <c r="P46" s="14">
        <v>18626</v>
      </c>
      <c r="Q46" s="14">
        <v>7288</v>
      </c>
      <c r="R46" s="14">
        <v>18625</v>
      </c>
      <c r="S46" s="14">
        <v>22675</v>
      </c>
      <c r="T46" s="14">
        <v>19436</v>
      </c>
      <c r="U46" s="14">
        <v>21056</v>
      </c>
      <c r="V46" s="14">
        <v>17815</v>
      </c>
      <c r="W46" s="14">
        <v>21865</v>
      </c>
      <c r="X46" s="14">
        <v>1620</v>
      </c>
      <c r="Y46" s="14">
        <v>17816</v>
      </c>
      <c r="Z46" s="14">
        <v>8907</v>
      </c>
      <c r="AA46" s="14">
        <v>9717</v>
      </c>
      <c r="AB46" s="14">
        <v>0</v>
      </c>
      <c r="AC46" s="14">
        <v>0</v>
      </c>
      <c r="AD46" s="14">
        <v>0</v>
      </c>
      <c r="AE46" s="14">
        <v>17816</v>
      </c>
      <c r="AF46" s="14">
        <v>18626</v>
      </c>
      <c r="AG46" s="14">
        <v>19435</v>
      </c>
      <c r="AH46" s="14">
        <v>16196</v>
      </c>
      <c r="AI46" s="14">
        <v>20243</v>
      </c>
      <c r="AJ46" s="14">
        <v>12958</v>
      </c>
      <c r="AK46" s="14">
        <v>15386</v>
      </c>
      <c r="AL46" s="14">
        <v>26024</v>
      </c>
      <c r="AM46" s="14">
        <v>7435</v>
      </c>
      <c r="AN46" s="14">
        <v>21067</v>
      </c>
      <c r="AO46" s="14">
        <v>24783</v>
      </c>
      <c r="AP46" s="14">
        <v>7435</v>
      </c>
      <c r="AQ46" s="14">
        <v>0</v>
      </c>
      <c r="AR46" s="14">
        <v>13531</v>
      </c>
      <c r="AS46" s="14">
        <v>17592</v>
      </c>
      <c r="AT46" s="14">
        <v>6766</v>
      </c>
      <c r="AU46" s="14">
        <v>17592</v>
      </c>
      <c r="AV46" s="14">
        <v>31122</v>
      </c>
      <c r="AW46" s="15">
        <v>0</v>
      </c>
      <c r="AX46" s="16">
        <f t="shared" si="12"/>
        <v>663661</v>
      </c>
      <c r="AY46" s="16">
        <f t="shared" si="13"/>
        <v>14079.58695652174</v>
      </c>
      <c r="AZ46" s="13">
        <f>AX46/AX13</f>
        <v>1.5367044687616302E-2</v>
      </c>
    </row>
    <row r="47" spans="1:52" x14ac:dyDescent="0.15">
      <c r="A47" s="51"/>
      <c r="B47" s="11" t="s">
        <v>104</v>
      </c>
      <c r="C47" s="14">
        <v>64744</v>
      </c>
      <c r="D47" s="14">
        <v>0</v>
      </c>
      <c r="E47" s="14">
        <v>64366</v>
      </c>
      <c r="F47" s="14">
        <v>64494</v>
      </c>
      <c r="G47" s="14">
        <v>62926</v>
      </c>
      <c r="H47" s="14">
        <v>58434</v>
      </c>
      <c r="I47" s="14">
        <v>50200</v>
      </c>
      <c r="J47" s="14">
        <v>0</v>
      </c>
      <c r="K47" s="14">
        <v>5058</v>
      </c>
      <c r="L47" s="14">
        <v>75875</v>
      </c>
      <c r="M47" s="14">
        <v>118869</v>
      </c>
      <c r="N47" s="14">
        <v>58170</v>
      </c>
      <c r="O47" s="14">
        <v>60699</v>
      </c>
      <c r="P47" s="14">
        <v>58170</v>
      </c>
      <c r="Q47" s="14">
        <v>22762</v>
      </c>
      <c r="R47" s="14">
        <v>58170</v>
      </c>
      <c r="S47" s="14">
        <v>70816</v>
      </c>
      <c r="T47" s="14">
        <v>60699</v>
      </c>
      <c r="U47" s="14">
        <v>65757</v>
      </c>
      <c r="V47" s="14">
        <v>55641</v>
      </c>
      <c r="W47" s="14">
        <v>68287</v>
      </c>
      <c r="X47" s="14">
        <v>5058</v>
      </c>
      <c r="Y47" s="14">
        <v>55641</v>
      </c>
      <c r="Z47" s="14">
        <v>27820</v>
      </c>
      <c r="AA47" s="14">
        <v>30351</v>
      </c>
      <c r="AB47" s="14">
        <v>0</v>
      </c>
      <c r="AC47" s="14">
        <v>0</v>
      </c>
      <c r="AD47" s="14">
        <v>0</v>
      </c>
      <c r="AE47" s="14">
        <v>55641</v>
      </c>
      <c r="AF47" s="14">
        <v>58170</v>
      </c>
      <c r="AG47" s="14">
        <v>60700</v>
      </c>
      <c r="AH47" s="14">
        <v>50582</v>
      </c>
      <c r="AI47" s="14">
        <v>63233</v>
      </c>
      <c r="AJ47" s="14">
        <v>40465</v>
      </c>
      <c r="AK47" s="14">
        <v>48054</v>
      </c>
      <c r="AL47" s="14">
        <v>65158</v>
      </c>
      <c r="AM47" s="14">
        <v>18617</v>
      </c>
      <c r="AN47" s="14">
        <v>52746</v>
      </c>
      <c r="AO47" s="14">
        <v>62057</v>
      </c>
      <c r="AP47" s="14">
        <v>18616</v>
      </c>
      <c r="AQ47" s="14">
        <v>0</v>
      </c>
      <c r="AR47" s="14">
        <v>35880</v>
      </c>
      <c r="AS47" s="14">
        <v>46645</v>
      </c>
      <c r="AT47" s="14">
        <v>17940</v>
      </c>
      <c r="AU47" s="14">
        <v>46644</v>
      </c>
      <c r="AV47" s="14">
        <v>82527</v>
      </c>
      <c r="AW47" s="15">
        <v>0</v>
      </c>
      <c r="AX47" s="16">
        <f t="shared" si="12"/>
        <v>2086682</v>
      </c>
      <c r="AY47" s="16">
        <f t="shared" si="13"/>
        <v>43955.17391304348</v>
      </c>
      <c r="AZ47" s="13">
        <f>AX47/AX13</f>
        <v>4.8317040692227753E-2</v>
      </c>
    </row>
    <row r="48" spans="1:52" x14ac:dyDescent="0.15">
      <c r="A48" s="51"/>
      <c r="B48" s="11" t="s">
        <v>105</v>
      </c>
      <c r="C48" s="14">
        <v>6000</v>
      </c>
      <c r="D48" s="14">
        <v>0</v>
      </c>
      <c r="E48" s="14">
        <v>6000</v>
      </c>
      <c r="F48" s="14">
        <v>6000</v>
      </c>
      <c r="G48" s="14">
        <v>6000</v>
      </c>
      <c r="H48" s="14">
        <v>6000</v>
      </c>
      <c r="I48" s="14">
        <v>0</v>
      </c>
      <c r="J48" s="14">
        <v>0</v>
      </c>
      <c r="K48" s="14">
        <v>299</v>
      </c>
      <c r="L48" s="14">
        <v>4483</v>
      </c>
      <c r="M48" s="14">
        <v>7025</v>
      </c>
      <c r="N48" s="14">
        <v>3438</v>
      </c>
      <c r="O48" s="14">
        <v>3587</v>
      </c>
      <c r="P48" s="14">
        <v>3437</v>
      </c>
      <c r="Q48" s="14">
        <v>1345</v>
      </c>
      <c r="R48" s="14">
        <v>3438</v>
      </c>
      <c r="S48" s="14">
        <v>4184</v>
      </c>
      <c r="T48" s="14">
        <v>3587</v>
      </c>
      <c r="U48" s="14">
        <v>3885</v>
      </c>
      <c r="V48" s="14">
        <v>3288</v>
      </c>
      <c r="W48" s="14">
        <v>4036</v>
      </c>
      <c r="X48" s="14">
        <v>299</v>
      </c>
      <c r="Y48" s="14">
        <v>3288</v>
      </c>
      <c r="Z48" s="14">
        <v>1644</v>
      </c>
      <c r="AA48" s="14">
        <v>1795</v>
      </c>
      <c r="AB48" s="14">
        <v>0</v>
      </c>
      <c r="AC48" s="14">
        <v>0</v>
      </c>
      <c r="AD48" s="14">
        <v>0</v>
      </c>
      <c r="AE48" s="14">
        <v>3288</v>
      </c>
      <c r="AF48" s="14">
        <v>3437</v>
      </c>
      <c r="AG48" s="14">
        <v>3587</v>
      </c>
      <c r="AH48" s="14">
        <v>2990</v>
      </c>
      <c r="AI48" s="14">
        <v>3740</v>
      </c>
      <c r="AJ48" s="14">
        <v>2391</v>
      </c>
      <c r="AK48" s="14">
        <v>2841</v>
      </c>
      <c r="AL48" s="14">
        <v>2964</v>
      </c>
      <c r="AM48" s="14">
        <v>847</v>
      </c>
      <c r="AN48" s="14">
        <v>2400</v>
      </c>
      <c r="AO48" s="14">
        <v>2825</v>
      </c>
      <c r="AP48" s="14">
        <v>847</v>
      </c>
      <c r="AQ48" s="14">
        <v>0</v>
      </c>
      <c r="AR48" s="14">
        <v>2856</v>
      </c>
      <c r="AS48" s="14">
        <v>3714</v>
      </c>
      <c r="AT48" s="14">
        <v>1428</v>
      </c>
      <c r="AU48" s="14">
        <v>3714</v>
      </c>
      <c r="AV48" s="14">
        <v>6573</v>
      </c>
      <c r="AW48" s="15">
        <v>0</v>
      </c>
      <c r="AX48" s="16">
        <f t="shared" si="12"/>
        <v>133500</v>
      </c>
      <c r="AY48" s="16">
        <f t="shared" si="13"/>
        <v>2771.7391304347825</v>
      </c>
      <c r="AZ48" s="13">
        <f>AX48/AX13</f>
        <v>3.0911873167125633E-3</v>
      </c>
    </row>
    <row r="49" spans="1:52" x14ac:dyDescent="0.15">
      <c r="A49" s="51"/>
      <c r="B49" s="24" t="s">
        <v>106</v>
      </c>
      <c r="C49" s="25">
        <f t="shared" ref="C49:AW49" si="14">SUM(C45:C48)</f>
        <v>467585</v>
      </c>
      <c r="D49" s="25">
        <f t="shared" si="14"/>
        <v>0</v>
      </c>
      <c r="E49" s="25">
        <f t="shared" si="14"/>
        <v>507424</v>
      </c>
      <c r="F49" s="25">
        <f t="shared" si="14"/>
        <v>475586</v>
      </c>
      <c r="G49" s="25">
        <f t="shared" si="14"/>
        <v>464008</v>
      </c>
      <c r="H49" s="25">
        <f t="shared" si="14"/>
        <v>460322</v>
      </c>
      <c r="I49" s="25">
        <f t="shared" si="14"/>
        <v>361301</v>
      </c>
      <c r="J49" s="25">
        <f t="shared" si="14"/>
        <v>0</v>
      </c>
      <c r="K49" s="25">
        <f t="shared" si="14"/>
        <v>34365</v>
      </c>
      <c r="L49" s="25">
        <f t="shared" si="14"/>
        <v>515469</v>
      </c>
      <c r="M49" s="25">
        <f t="shared" si="14"/>
        <v>807568</v>
      </c>
      <c r="N49" s="25">
        <f t="shared" si="14"/>
        <v>395193</v>
      </c>
      <c r="O49" s="25">
        <f t="shared" si="14"/>
        <v>412374</v>
      </c>
      <c r="P49" s="25">
        <f t="shared" si="14"/>
        <v>395193</v>
      </c>
      <c r="Q49" s="25">
        <f t="shared" si="14"/>
        <v>154640</v>
      </c>
      <c r="R49" s="25">
        <f t="shared" si="14"/>
        <v>395192</v>
      </c>
      <c r="S49" s="25">
        <f t="shared" si="14"/>
        <v>481104</v>
      </c>
      <c r="T49" s="25">
        <f t="shared" si="14"/>
        <v>412376</v>
      </c>
      <c r="U49" s="25">
        <f t="shared" si="14"/>
        <v>446739</v>
      </c>
      <c r="V49" s="25">
        <f t="shared" si="14"/>
        <v>378010</v>
      </c>
      <c r="W49" s="25">
        <f t="shared" si="14"/>
        <v>463922</v>
      </c>
      <c r="X49" s="25">
        <f t="shared" si="14"/>
        <v>34365</v>
      </c>
      <c r="Y49" s="25">
        <f t="shared" si="14"/>
        <v>378010</v>
      </c>
      <c r="Z49" s="25">
        <f t="shared" si="14"/>
        <v>189004</v>
      </c>
      <c r="AA49" s="25">
        <f t="shared" si="14"/>
        <v>206189</v>
      </c>
      <c r="AB49" s="25">
        <f t="shared" si="14"/>
        <v>0</v>
      </c>
      <c r="AC49" s="25">
        <f t="shared" si="14"/>
        <v>0</v>
      </c>
      <c r="AD49" s="25">
        <f t="shared" si="14"/>
        <v>0</v>
      </c>
      <c r="AE49" s="25">
        <f t="shared" si="14"/>
        <v>378010</v>
      </c>
      <c r="AF49" s="25">
        <f t="shared" si="14"/>
        <v>395193</v>
      </c>
      <c r="AG49" s="25">
        <f t="shared" si="14"/>
        <v>412376</v>
      </c>
      <c r="AH49" s="25">
        <f t="shared" si="14"/>
        <v>343646</v>
      </c>
      <c r="AI49" s="25">
        <f t="shared" si="14"/>
        <v>429558</v>
      </c>
      <c r="AJ49" s="25">
        <f t="shared" si="14"/>
        <v>274917</v>
      </c>
      <c r="AK49" s="25">
        <f t="shared" si="14"/>
        <v>326465</v>
      </c>
      <c r="AL49" s="25">
        <f t="shared" si="14"/>
        <v>483266</v>
      </c>
      <c r="AM49" s="25">
        <f t="shared" si="14"/>
        <v>138077</v>
      </c>
      <c r="AN49" s="25">
        <f t="shared" si="14"/>
        <v>391215</v>
      </c>
      <c r="AO49" s="25">
        <f t="shared" si="14"/>
        <v>460253</v>
      </c>
      <c r="AP49" s="25">
        <f t="shared" si="14"/>
        <v>138076</v>
      </c>
      <c r="AQ49" s="25">
        <f t="shared" si="14"/>
        <v>0</v>
      </c>
      <c r="AR49" s="25">
        <f t="shared" si="14"/>
        <v>252743</v>
      </c>
      <c r="AS49" s="25">
        <f t="shared" si="14"/>
        <v>328571</v>
      </c>
      <c r="AT49" s="25">
        <f t="shared" si="14"/>
        <v>126372</v>
      </c>
      <c r="AU49" s="25">
        <f t="shared" si="14"/>
        <v>328570</v>
      </c>
      <c r="AV49" s="25">
        <f t="shared" si="14"/>
        <v>581325</v>
      </c>
      <c r="AW49" s="26">
        <f t="shared" si="14"/>
        <v>0</v>
      </c>
      <c r="AX49" s="27">
        <f t="shared" si="12"/>
        <v>14624572</v>
      </c>
      <c r="AY49" s="27">
        <f t="shared" si="13"/>
        <v>307760.58695652173</v>
      </c>
      <c r="AZ49" s="28">
        <f>AX49/AX13</f>
        <v>0.33863139684456695</v>
      </c>
    </row>
    <row r="50" spans="1:52" x14ac:dyDescent="0.15">
      <c r="A50" s="51" t="s">
        <v>107</v>
      </c>
      <c r="B50" s="11" t="s">
        <v>108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6500</v>
      </c>
      <c r="L50" s="14">
        <v>6500</v>
      </c>
      <c r="M50" s="14">
        <v>6500</v>
      </c>
      <c r="N50" s="14">
        <v>6500</v>
      </c>
      <c r="O50" s="14">
        <v>6500</v>
      </c>
      <c r="P50" s="14">
        <v>6500</v>
      </c>
      <c r="Q50" s="14">
        <v>6500</v>
      </c>
      <c r="R50" s="14">
        <v>6500</v>
      </c>
      <c r="S50" s="14">
        <v>6500</v>
      </c>
      <c r="T50" s="14">
        <v>6500</v>
      </c>
      <c r="U50" s="14">
        <v>6500</v>
      </c>
      <c r="V50" s="14">
        <v>6500</v>
      </c>
      <c r="W50" s="14">
        <v>6500</v>
      </c>
      <c r="X50" s="14">
        <v>6500</v>
      </c>
      <c r="Y50" s="14">
        <v>6500</v>
      </c>
      <c r="Z50" s="14">
        <v>6500</v>
      </c>
      <c r="AA50" s="14">
        <v>6500</v>
      </c>
      <c r="AB50" s="14">
        <v>0</v>
      </c>
      <c r="AC50" s="14">
        <v>0</v>
      </c>
      <c r="AD50" s="14">
        <v>6500</v>
      </c>
      <c r="AE50" s="14">
        <v>21428.571428571428</v>
      </c>
      <c r="AF50" s="14">
        <v>21428.571428571428</v>
      </c>
      <c r="AG50" s="14">
        <v>21428.571428571428</v>
      </c>
      <c r="AH50" s="14">
        <v>21428.571428571428</v>
      </c>
      <c r="AI50" s="14">
        <v>21428.571428571428</v>
      </c>
      <c r="AJ50" s="14">
        <v>21428.571428571428</v>
      </c>
      <c r="AK50" s="14">
        <v>21428.571428571428</v>
      </c>
      <c r="AL50" s="14">
        <v>59400</v>
      </c>
      <c r="AM50" s="14">
        <v>59400</v>
      </c>
      <c r="AN50" s="14">
        <v>59400</v>
      </c>
      <c r="AO50" s="14">
        <v>59400</v>
      </c>
      <c r="AP50" s="14">
        <v>59400</v>
      </c>
      <c r="AQ50" s="14">
        <v>0</v>
      </c>
      <c r="AR50" s="14">
        <v>28333.333333333332</v>
      </c>
      <c r="AS50" s="14">
        <v>28333.333333333332</v>
      </c>
      <c r="AT50" s="14">
        <v>28333.333333333332</v>
      </c>
      <c r="AU50" s="14">
        <v>28333.333333333332</v>
      </c>
      <c r="AV50" s="14">
        <v>28333.333333333332</v>
      </c>
      <c r="AW50" s="15">
        <v>28333.333333333332</v>
      </c>
      <c r="AX50" s="16">
        <f t="shared" si="12"/>
        <v>734000.00000000023</v>
      </c>
      <c r="AY50" s="16">
        <f t="shared" si="13"/>
        <v>15956.52173913044</v>
      </c>
      <c r="AZ50" s="13">
        <f>AX50/AX13</f>
        <v>1.6995741501625635E-2</v>
      </c>
    </row>
    <row r="51" spans="1:52" x14ac:dyDescent="0.15">
      <c r="A51" s="51"/>
      <c r="B51" s="11" t="s">
        <v>109</v>
      </c>
      <c r="C51" s="14">
        <v>0</v>
      </c>
      <c r="D51" s="14">
        <v>1338645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4">
        <v>0</v>
      </c>
      <c r="AW51" s="15">
        <v>0</v>
      </c>
      <c r="AX51" s="16">
        <f t="shared" si="12"/>
        <v>1338645</v>
      </c>
      <c r="AY51" s="16">
        <f t="shared" si="13"/>
        <v>29100.978260869564</v>
      </c>
      <c r="AZ51" s="13">
        <f>AX51/AX13</f>
        <v>3.0996273000604414E-2</v>
      </c>
    </row>
    <row r="52" spans="1:52" x14ac:dyDescent="0.15">
      <c r="A52" s="51"/>
      <c r="B52" s="11" t="s">
        <v>110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 s="14">
        <v>0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  <c r="AL52" s="14">
        <v>0</v>
      </c>
      <c r="AM52" s="14">
        <v>307567</v>
      </c>
      <c r="AN52" s="14">
        <v>0</v>
      </c>
      <c r="AO52" s="14">
        <v>0</v>
      </c>
      <c r="AP52" s="14">
        <v>0</v>
      </c>
      <c r="AQ52" s="14">
        <v>0</v>
      </c>
      <c r="AR52" s="14">
        <v>0</v>
      </c>
      <c r="AS52" s="14">
        <v>0</v>
      </c>
      <c r="AT52" s="14">
        <v>0</v>
      </c>
      <c r="AU52" s="14">
        <v>0</v>
      </c>
      <c r="AV52" s="14">
        <v>0</v>
      </c>
      <c r="AW52" s="15">
        <v>0</v>
      </c>
      <c r="AX52" s="16">
        <f t="shared" si="12"/>
        <v>307567</v>
      </c>
      <c r="AY52" s="16">
        <f t="shared" si="13"/>
        <v>6686.239130434783</v>
      </c>
      <c r="AZ52" s="13">
        <f>AX52/AX13</f>
        <v>7.1217019433657902E-3</v>
      </c>
    </row>
    <row r="53" spans="1:52" x14ac:dyDescent="0.15">
      <c r="A53" s="51"/>
      <c r="B53" s="11" t="s">
        <v>111</v>
      </c>
      <c r="C53" s="14">
        <v>99630.857142857145</v>
      </c>
      <c r="D53" s="14">
        <v>0</v>
      </c>
      <c r="E53" s="14">
        <v>99630.857142857145</v>
      </c>
      <c r="F53" s="14">
        <v>99630.857142857145</v>
      </c>
      <c r="G53" s="14">
        <v>99630.857142857145</v>
      </c>
      <c r="H53" s="14">
        <v>99630.857142857145</v>
      </c>
      <c r="I53" s="14">
        <v>99630.857142857145</v>
      </c>
      <c r="J53" s="14">
        <v>99630.857142857145</v>
      </c>
      <c r="K53" s="14">
        <v>91489.722222222219</v>
      </c>
      <c r="L53" s="14">
        <v>91489.722222222219</v>
      </c>
      <c r="M53" s="14">
        <v>91489.722222222219</v>
      </c>
      <c r="N53" s="14">
        <v>91489.722222222219</v>
      </c>
      <c r="O53" s="14">
        <v>91489.722222222219</v>
      </c>
      <c r="P53" s="14">
        <v>91489.722222222219</v>
      </c>
      <c r="Q53" s="14">
        <v>91489.722222222219</v>
      </c>
      <c r="R53" s="14">
        <v>91489.722222222219</v>
      </c>
      <c r="S53" s="14">
        <v>91489.722222222219</v>
      </c>
      <c r="T53" s="14">
        <v>91489.722222222219</v>
      </c>
      <c r="U53" s="14">
        <v>91489.722222222219</v>
      </c>
      <c r="V53" s="14">
        <v>91489.722222222219</v>
      </c>
      <c r="W53" s="14">
        <v>91489.722222222219</v>
      </c>
      <c r="X53" s="14">
        <v>91489.722222222219</v>
      </c>
      <c r="Y53" s="14">
        <v>91489.722222222219</v>
      </c>
      <c r="Z53" s="14">
        <v>91489.722222222219</v>
      </c>
      <c r="AA53" s="14">
        <v>91489.722222222219</v>
      </c>
      <c r="AB53" s="14">
        <v>0</v>
      </c>
      <c r="AC53" s="14">
        <v>0</v>
      </c>
      <c r="AD53" s="14">
        <v>91489.722222222219</v>
      </c>
      <c r="AE53" s="14">
        <v>70633.71428571429</v>
      </c>
      <c r="AF53" s="14">
        <v>70633.71428571429</v>
      </c>
      <c r="AG53" s="14">
        <v>70633.71428571429</v>
      </c>
      <c r="AH53" s="14">
        <v>70633.71428571429</v>
      </c>
      <c r="AI53" s="14">
        <v>70633.71428571429</v>
      </c>
      <c r="AJ53" s="14">
        <v>70633.71428571429</v>
      </c>
      <c r="AK53" s="14">
        <v>70633.71428571429</v>
      </c>
      <c r="AL53" s="14">
        <v>70593.8</v>
      </c>
      <c r="AM53" s="14">
        <v>70593.8</v>
      </c>
      <c r="AN53" s="14">
        <v>70593.8</v>
      </c>
      <c r="AO53" s="14">
        <v>70593.8</v>
      </c>
      <c r="AP53" s="14">
        <v>70593.8</v>
      </c>
      <c r="AQ53" s="14">
        <v>0</v>
      </c>
      <c r="AR53" s="14">
        <v>102000.5</v>
      </c>
      <c r="AS53" s="14">
        <v>102000.5</v>
      </c>
      <c r="AT53" s="14">
        <v>102000.5</v>
      </c>
      <c r="AU53" s="14">
        <v>102000.5</v>
      </c>
      <c r="AV53" s="14">
        <v>102000.5</v>
      </c>
      <c r="AW53" s="15">
        <v>102000.5</v>
      </c>
      <c r="AX53" s="16">
        <f t="shared" si="12"/>
        <v>3803638.9999999977</v>
      </c>
      <c r="AY53" s="16">
        <f t="shared" si="13"/>
        <v>80521.916149068275</v>
      </c>
      <c r="AZ53" s="13">
        <f>AX53/AX13</f>
        <v>8.8073113364443817E-2</v>
      </c>
    </row>
    <row r="54" spans="1:52" x14ac:dyDescent="0.15">
      <c r="A54" s="51"/>
      <c r="B54" s="11" t="s">
        <v>112</v>
      </c>
      <c r="C54" s="14">
        <v>71589.28571428571</v>
      </c>
      <c r="D54" s="14">
        <v>0</v>
      </c>
      <c r="E54" s="14">
        <v>71589.28571428571</v>
      </c>
      <c r="F54" s="14">
        <v>71589.28571428571</v>
      </c>
      <c r="G54" s="14">
        <v>71589.28571428571</v>
      </c>
      <c r="H54" s="14">
        <v>71589.28571428571</v>
      </c>
      <c r="I54" s="14">
        <v>71589.28571428571</v>
      </c>
      <c r="J54" s="14">
        <v>71589.28571428571</v>
      </c>
      <c r="K54" s="14">
        <v>69233.166666666672</v>
      </c>
      <c r="L54" s="14">
        <v>69233.166666666672</v>
      </c>
      <c r="M54" s="14">
        <v>69233.166666666672</v>
      </c>
      <c r="N54" s="14">
        <v>69233.166666666672</v>
      </c>
      <c r="O54" s="14">
        <v>69233.166666666672</v>
      </c>
      <c r="P54" s="14">
        <v>69233.166666666672</v>
      </c>
      <c r="Q54" s="14">
        <v>69233.166666666672</v>
      </c>
      <c r="R54" s="14">
        <v>69233.166666666672</v>
      </c>
      <c r="S54" s="14">
        <v>69233.166666666672</v>
      </c>
      <c r="T54" s="14">
        <v>69233.166666666672</v>
      </c>
      <c r="U54" s="14">
        <v>69233.166666666672</v>
      </c>
      <c r="V54" s="14">
        <v>69233.166666666672</v>
      </c>
      <c r="W54" s="14">
        <v>69233.166666666672</v>
      </c>
      <c r="X54" s="14">
        <v>69233.166666666672</v>
      </c>
      <c r="Y54" s="14">
        <v>69233.166666666672</v>
      </c>
      <c r="Z54" s="14">
        <v>69233.166666666672</v>
      </c>
      <c r="AA54" s="14">
        <v>69233.166666666672</v>
      </c>
      <c r="AB54" s="14">
        <v>0</v>
      </c>
      <c r="AC54" s="14">
        <v>0</v>
      </c>
      <c r="AD54" s="14">
        <v>69233.166666666672</v>
      </c>
      <c r="AE54" s="14">
        <v>69233.142857142855</v>
      </c>
      <c r="AF54" s="14">
        <v>69233.142857142855</v>
      </c>
      <c r="AG54" s="14">
        <v>69233.142857142855</v>
      </c>
      <c r="AH54" s="14">
        <v>69233.142857142855</v>
      </c>
      <c r="AI54" s="14">
        <v>69233.142857142855</v>
      </c>
      <c r="AJ54" s="14">
        <v>69233.142857142855</v>
      </c>
      <c r="AK54" s="14">
        <v>69233.142857142855</v>
      </c>
      <c r="AL54" s="14">
        <v>32773.4</v>
      </c>
      <c r="AM54" s="14">
        <v>32773.4</v>
      </c>
      <c r="AN54" s="14">
        <v>32773.4</v>
      </c>
      <c r="AO54" s="14">
        <v>32773.4</v>
      </c>
      <c r="AP54" s="14">
        <v>32773.4</v>
      </c>
      <c r="AQ54" s="14">
        <v>0</v>
      </c>
      <c r="AR54" s="14">
        <v>245644.83333333334</v>
      </c>
      <c r="AS54" s="14">
        <v>245644.83333333334</v>
      </c>
      <c r="AT54" s="14">
        <v>245644.83333333334</v>
      </c>
      <c r="AU54" s="14">
        <v>245644.83333333334</v>
      </c>
      <c r="AV54" s="14">
        <v>245644.83333333334</v>
      </c>
      <c r="AW54" s="15">
        <v>245644.83333333334</v>
      </c>
      <c r="AX54" s="16">
        <f t="shared" si="12"/>
        <v>3869690.0000000014</v>
      </c>
      <c r="AY54" s="16">
        <f t="shared" si="13"/>
        <v>82567.406832298177</v>
      </c>
      <c r="AZ54" s="13">
        <f>AX54/AX13</f>
        <v>8.9602521704939653E-2</v>
      </c>
    </row>
    <row r="55" spans="1:52" x14ac:dyDescent="0.15">
      <c r="A55" s="51"/>
      <c r="B55" s="24" t="s">
        <v>113</v>
      </c>
      <c r="C55" s="25">
        <f t="shared" ref="C55:AW55" si="15">SUM(C50:C54)</f>
        <v>171220.14285714284</v>
      </c>
      <c r="D55" s="25">
        <f t="shared" si="15"/>
        <v>1338645</v>
      </c>
      <c r="E55" s="25">
        <f t="shared" si="15"/>
        <v>171220.14285714284</v>
      </c>
      <c r="F55" s="25">
        <f t="shared" si="15"/>
        <v>171220.14285714284</v>
      </c>
      <c r="G55" s="25">
        <f t="shared" si="15"/>
        <v>171220.14285714284</v>
      </c>
      <c r="H55" s="25">
        <f t="shared" si="15"/>
        <v>171220.14285714284</v>
      </c>
      <c r="I55" s="25">
        <f t="shared" si="15"/>
        <v>171220.14285714284</v>
      </c>
      <c r="J55" s="25">
        <f t="shared" si="15"/>
        <v>171220.14285714284</v>
      </c>
      <c r="K55" s="25">
        <f t="shared" si="15"/>
        <v>167222.88888888888</v>
      </c>
      <c r="L55" s="25">
        <f t="shared" si="15"/>
        <v>167222.88888888888</v>
      </c>
      <c r="M55" s="25">
        <f t="shared" si="15"/>
        <v>167222.88888888888</v>
      </c>
      <c r="N55" s="25">
        <f t="shared" si="15"/>
        <v>167222.88888888888</v>
      </c>
      <c r="O55" s="25">
        <f t="shared" si="15"/>
        <v>167222.88888888888</v>
      </c>
      <c r="P55" s="25">
        <f t="shared" si="15"/>
        <v>167222.88888888888</v>
      </c>
      <c r="Q55" s="25">
        <f t="shared" si="15"/>
        <v>167222.88888888888</v>
      </c>
      <c r="R55" s="25">
        <f t="shared" si="15"/>
        <v>167222.88888888888</v>
      </c>
      <c r="S55" s="25">
        <f t="shared" si="15"/>
        <v>167222.88888888888</v>
      </c>
      <c r="T55" s="25">
        <f t="shared" si="15"/>
        <v>167222.88888888888</v>
      </c>
      <c r="U55" s="25">
        <f t="shared" si="15"/>
        <v>167222.88888888888</v>
      </c>
      <c r="V55" s="25">
        <f t="shared" si="15"/>
        <v>167222.88888888888</v>
      </c>
      <c r="W55" s="25">
        <f t="shared" si="15"/>
        <v>167222.88888888888</v>
      </c>
      <c r="X55" s="25">
        <f t="shared" si="15"/>
        <v>167222.88888888888</v>
      </c>
      <c r="Y55" s="25">
        <f t="shared" si="15"/>
        <v>167222.88888888888</v>
      </c>
      <c r="Z55" s="25">
        <f t="shared" si="15"/>
        <v>167222.88888888888</v>
      </c>
      <c r="AA55" s="25">
        <f t="shared" si="15"/>
        <v>167222.88888888888</v>
      </c>
      <c r="AB55" s="25">
        <f t="shared" si="15"/>
        <v>0</v>
      </c>
      <c r="AC55" s="25">
        <f t="shared" si="15"/>
        <v>0</v>
      </c>
      <c r="AD55" s="25">
        <f t="shared" si="15"/>
        <v>167222.88888888888</v>
      </c>
      <c r="AE55" s="25">
        <f t="shared" si="15"/>
        <v>161295.42857142858</v>
      </c>
      <c r="AF55" s="25">
        <f t="shared" si="15"/>
        <v>161295.42857142858</v>
      </c>
      <c r="AG55" s="25">
        <f t="shared" si="15"/>
        <v>161295.42857142858</v>
      </c>
      <c r="AH55" s="25">
        <f t="shared" si="15"/>
        <v>161295.42857142858</v>
      </c>
      <c r="AI55" s="25">
        <f t="shared" si="15"/>
        <v>161295.42857142858</v>
      </c>
      <c r="AJ55" s="25">
        <f t="shared" si="15"/>
        <v>161295.42857142858</v>
      </c>
      <c r="AK55" s="25">
        <f t="shared" si="15"/>
        <v>161295.42857142858</v>
      </c>
      <c r="AL55" s="25">
        <f t="shared" si="15"/>
        <v>162767.20000000001</v>
      </c>
      <c r="AM55" s="25">
        <f t="shared" si="15"/>
        <v>470334.2</v>
      </c>
      <c r="AN55" s="25">
        <f t="shared" si="15"/>
        <v>162767.20000000001</v>
      </c>
      <c r="AO55" s="25">
        <f t="shared" si="15"/>
        <v>162767.20000000001</v>
      </c>
      <c r="AP55" s="25">
        <f t="shared" si="15"/>
        <v>162767.20000000001</v>
      </c>
      <c r="AQ55" s="25">
        <f t="shared" si="15"/>
        <v>0</v>
      </c>
      <c r="AR55" s="25">
        <f t="shared" si="15"/>
        <v>375978.66666666669</v>
      </c>
      <c r="AS55" s="25">
        <f t="shared" si="15"/>
        <v>375978.66666666669</v>
      </c>
      <c r="AT55" s="25">
        <f t="shared" si="15"/>
        <v>375978.66666666669</v>
      </c>
      <c r="AU55" s="25">
        <f t="shared" si="15"/>
        <v>375978.66666666669</v>
      </c>
      <c r="AV55" s="25">
        <f t="shared" si="15"/>
        <v>375978.66666666669</v>
      </c>
      <c r="AW55" s="26">
        <f t="shared" si="15"/>
        <v>375978.66666666669</v>
      </c>
      <c r="AX55" s="27">
        <f t="shared" si="12"/>
        <v>10053540.999999996</v>
      </c>
      <c r="AY55" s="27">
        <f t="shared" si="13"/>
        <v>214833.06211180118</v>
      </c>
      <c r="AZ55" s="28">
        <f>AX55/AX13</f>
        <v>0.23278935151497923</v>
      </c>
    </row>
    <row r="56" spans="1:52" x14ac:dyDescent="0.15">
      <c r="A56" s="50" t="s">
        <v>114</v>
      </c>
      <c r="B56" s="50"/>
      <c r="C56" s="14">
        <f t="shared" ref="C56:AW56" si="16">SUM(C49+C22+C27+C33+C39+C44+C55)</f>
        <v>997061.48571428563</v>
      </c>
      <c r="D56" s="14">
        <f t="shared" si="16"/>
        <v>1338645</v>
      </c>
      <c r="E56" s="14">
        <f t="shared" si="16"/>
        <v>1119500.8285714285</v>
      </c>
      <c r="F56" s="14">
        <f t="shared" si="16"/>
        <v>1062292.6571428571</v>
      </c>
      <c r="G56" s="14">
        <f t="shared" si="16"/>
        <v>981116.25714285707</v>
      </c>
      <c r="H56" s="14">
        <f t="shared" si="16"/>
        <v>932118.77142857143</v>
      </c>
      <c r="I56" s="14">
        <f t="shared" si="16"/>
        <v>792874</v>
      </c>
      <c r="J56" s="14">
        <f t="shared" si="16"/>
        <v>511555.14285714284</v>
      </c>
      <c r="K56" s="14">
        <f t="shared" si="16"/>
        <v>318229.60317460319</v>
      </c>
      <c r="L56" s="14">
        <f t="shared" si="16"/>
        <v>901360.3174603174</v>
      </c>
      <c r="M56" s="14">
        <f t="shared" si="16"/>
        <v>1236893.7746031745</v>
      </c>
      <c r="N56" s="14">
        <f t="shared" si="16"/>
        <v>975694.63174603169</v>
      </c>
      <c r="O56" s="14">
        <f t="shared" si="16"/>
        <v>878383.2888888889</v>
      </c>
      <c r="P56" s="14">
        <f t="shared" si="16"/>
        <v>833402.06031746021</v>
      </c>
      <c r="Q56" s="14">
        <f t="shared" si="16"/>
        <v>766910.80317460315</v>
      </c>
      <c r="R56" s="14">
        <f t="shared" si="16"/>
        <v>1085766.0888888887</v>
      </c>
      <c r="S56" s="14">
        <f t="shared" si="16"/>
        <v>1083463.8317460318</v>
      </c>
      <c r="T56" s="14">
        <f t="shared" si="16"/>
        <v>859626.94603174599</v>
      </c>
      <c r="U56" s="14">
        <f t="shared" si="16"/>
        <v>983885.03174603172</v>
      </c>
      <c r="V56" s="14">
        <f t="shared" si="16"/>
        <v>1154058.6603174603</v>
      </c>
      <c r="W56" s="14">
        <f t="shared" si="16"/>
        <v>1040912.8317460318</v>
      </c>
      <c r="X56" s="14">
        <f t="shared" si="16"/>
        <v>332179.88888888888</v>
      </c>
      <c r="Y56" s="14">
        <f t="shared" si="16"/>
        <v>994441.74603174604</v>
      </c>
      <c r="Z56" s="14">
        <f t="shared" si="16"/>
        <v>738323.23174603167</v>
      </c>
      <c r="AA56" s="14">
        <f t="shared" si="16"/>
        <v>657501.46031746035</v>
      </c>
      <c r="AB56" s="14">
        <f t="shared" si="16"/>
        <v>0</v>
      </c>
      <c r="AC56" s="14">
        <f t="shared" si="16"/>
        <v>0</v>
      </c>
      <c r="AD56" s="14">
        <f t="shared" si="16"/>
        <v>174297.88888888888</v>
      </c>
      <c r="AE56" s="14">
        <f t="shared" si="16"/>
        <v>796968.0285714285</v>
      </c>
      <c r="AF56" s="14">
        <f t="shared" si="16"/>
        <v>1031309.8</v>
      </c>
      <c r="AG56" s="14">
        <f t="shared" si="16"/>
        <v>1215433.1142857142</v>
      </c>
      <c r="AH56" s="14">
        <f t="shared" si="16"/>
        <v>1000600.0571428572</v>
      </c>
      <c r="AI56" s="14">
        <f t="shared" si="16"/>
        <v>1050388.4857142856</v>
      </c>
      <c r="AJ56" s="14">
        <f t="shared" si="16"/>
        <v>616221.77142857143</v>
      </c>
      <c r="AK56" s="14">
        <f t="shared" si="16"/>
        <v>799546.77142857132</v>
      </c>
      <c r="AL56" s="14">
        <f t="shared" si="16"/>
        <v>973718.8</v>
      </c>
      <c r="AM56" s="14">
        <f t="shared" si="16"/>
        <v>777976</v>
      </c>
      <c r="AN56" s="14">
        <f t="shared" si="16"/>
        <v>750577.05714285723</v>
      </c>
      <c r="AO56" s="14">
        <f t="shared" si="16"/>
        <v>833876.9714285715</v>
      </c>
      <c r="AP56" s="14">
        <f t="shared" si="16"/>
        <v>489494.8285714286</v>
      </c>
      <c r="AQ56" s="14">
        <f t="shared" si="16"/>
        <v>0</v>
      </c>
      <c r="AR56" s="14">
        <f t="shared" si="16"/>
        <v>1037621.4666666666</v>
      </c>
      <c r="AS56" s="14">
        <f t="shared" si="16"/>
        <v>1213553.0666666667</v>
      </c>
      <c r="AT56" s="14">
        <f t="shared" si="16"/>
        <v>812074.23809523811</v>
      </c>
      <c r="AU56" s="14">
        <f t="shared" si="16"/>
        <v>1241401.780952381</v>
      </c>
      <c r="AV56" s="14">
        <f t="shared" si="16"/>
        <v>1559586.6952380955</v>
      </c>
      <c r="AW56" s="15">
        <f t="shared" si="16"/>
        <v>418819.66666666669</v>
      </c>
      <c r="AX56" s="16">
        <f t="shared" si="12"/>
        <v>39369664.828571431</v>
      </c>
      <c r="AY56" s="16">
        <f t="shared" si="13"/>
        <v>834187.0291925465</v>
      </c>
      <c r="AZ56" s="13">
        <f>AX56/AX13</f>
        <v>0.91160306053411766</v>
      </c>
    </row>
    <row r="57" spans="1:52" x14ac:dyDescent="0.15">
      <c r="A57" s="50" t="s">
        <v>115</v>
      </c>
      <c r="B57" s="50"/>
      <c r="C57" s="14">
        <f>SUM(C13+C14-C56)</f>
        <v>329653.51428571437</v>
      </c>
      <c r="D57" s="14">
        <f t="shared" ref="D57:AW57" si="17">SUM(D13+D14-D56)</f>
        <v>72488</v>
      </c>
      <c r="E57" s="14">
        <f t="shared" si="17"/>
        <v>260555.17142857146</v>
      </c>
      <c r="F57" s="14">
        <f t="shared" si="17"/>
        <v>256662.34285714291</v>
      </c>
      <c r="G57" s="14">
        <f t="shared" si="17"/>
        <v>187483.74285714293</v>
      </c>
      <c r="H57" s="14">
        <f t="shared" si="17"/>
        <v>195760.22857142857</v>
      </c>
      <c r="I57" s="14">
        <f t="shared" si="17"/>
        <v>-374974</v>
      </c>
      <c r="J57" s="14">
        <f t="shared" si="17"/>
        <v>-511555.14285714284</v>
      </c>
      <c r="K57" s="14">
        <f t="shared" si="17"/>
        <v>-169811.60317460319</v>
      </c>
      <c r="L57" s="14">
        <f t="shared" si="17"/>
        <v>111077.6825396826</v>
      </c>
      <c r="M57" s="14">
        <f t="shared" si="17"/>
        <v>-4303.7746031745337</v>
      </c>
      <c r="N57" s="14">
        <f t="shared" si="17"/>
        <v>238165.36825396831</v>
      </c>
      <c r="O57" s="14">
        <f t="shared" si="17"/>
        <v>335476.7111111111</v>
      </c>
      <c r="P57" s="14">
        <f t="shared" si="17"/>
        <v>375837.93968253979</v>
      </c>
      <c r="Q57" s="14">
        <f t="shared" si="17"/>
        <v>-528040.80317460315</v>
      </c>
      <c r="R57" s="14">
        <f t="shared" si="17"/>
        <v>402223.91111111129</v>
      </c>
      <c r="S57" s="14">
        <f t="shared" si="17"/>
        <v>144036.16825396824</v>
      </c>
      <c r="T57" s="14">
        <f t="shared" si="17"/>
        <v>354233.05396825401</v>
      </c>
      <c r="U57" s="14">
        <f t="shared" si="17"/>
        <v>265604.96825396828</v>
      </c>
      <c r="V57" s="14">
        <f t="shared" si="17"/>
        <v>164221.33968253969</v>
      </c>
      <c r="W57" s="14">
        <f t="shared" si="17"/>
        <v>299637.16825396824</v>
      </c>
      <c r="X57" s="14">
        <f t="shared" si="17"/>
        <v>-312099.88888888888</v>
      </c>
      <c r="Y57" s="14">
        <f t="shared" si="17"/>
        <v>317308.25396825396</v>
      </c>
      <c r="Z57" s="14">
        <f t="shared" si="17"/>
        <v>193676.76825396833</v>
      </c>
      <c r="AA57" s="14">
        <f t="shared" si="17"/>
        <v>201233.53968253965</v>
      </c>
      <c r="AB57" s="14">
        <f t="shared" si="17"/>
        <v>167570</v>
      </c>
      <c r="AC57" s="14">
        <f t="shared" si="17"/>
        <v>42883</v>
      </c>
      <c r="AD57" s="14">
        <f t="shared" si="17"/>
        <v>-174297.88888888888</v>
      </c>
      <c r="AE57" s="14">
        <f t="shared" si="17"/>
        <v>789802.9714285715</v>
      </c>
      <c r="AF57" s="14">
        <f t="shared" si="17"/>
        <v>569536.19999999995</v>
      </c>
      <c r="AG57" s="14">
        <f t="shared" si="17"/>
        <v>883665.88571428577</v>
      </c>
      <c r="AH57" s="14">
        <f t="shared" si="17"/>
        <v>280799.94285714277</v>
      </c>
      <c r="AI57" s="14">
        <f t="shared" si="17"/>
        <v>203787.51428571437</v>
      </c>
      <c r="AJ57" s="14">
        <f t="shared" si="17"/>
        <v>206624.22857142857</v>
      </c>
      <c r="AK57" s="14">
        <f t="shared" si="17"/>
        <v>717801.22857142868</v>
      </c>
      <c r="AL57" s="14">
        <f t="shared" si="17"/>
        <v>876581.2</v>
      </c>
      <c r="AM57" s="14">
        <f t="shared" si="17"/>
        <v>-209076</v>
      </c>
      <c r="AN57" s="14">
        <f t="shared" si="17"/>
        <v>12022.942857142771</v>
      </c>
      <c r="AO57" s="14">
        <f t="shared" si="17"/>
        <v>213823.0285714285</v>
      </c>
      <c r="AP57" s="14">
        <f t="shared" si="17"/>
        <v>-92394.828571428603</v>
      </c>
      <c r="AQ57" s="14">
        <f t="shared" si="17"/>
        <v>338669</v>
      </c>
      <c r="AR57" s="14">
        <f t="shared" si="17"/>
        <v>-344221.46666666656</v>
      </c>
      <c r="AS57" s="14">
        <f t="shared" si="17"/>
        <v>-453853.06666666665</v>
      </c>
      <c r="AT57" s="14">
        <f t="shared" si="17"/>
        <v>-660074.23809523811</v>
      </c>
      <c r="AU57" s="14">
        <f t="shared" si="17"/>
        <v>-517401.78095238097</v>
      </c>
      <c r="AV57" s="14">
        <f t="shared" si="17"/>
        <v>-391104.69523809548</v>
      </c>
      <c r="AW57" s="15">
        <f t="shared" si="17"/>
        <v>-418819.66666666669</v>
      </c>
      <c r="AX57" s="16">
        <f>SUM(C57:AW57)</f>
        <v>4846874.1714285724</v>
      </c>
      <c r="AY57" s="16">
        <f t="shared" si="13"/>
        <v>98200.449068322996</v>
      </c>
      <c r="AZ57" s="13">
        <f>AX57/AX13</f>
        <v>0.11222918325409525</v>
      </c>
    </row>
    <row r="58" spans="1:52" x14ac:dyDescent="0.15">
      <c r="A58" s="50" t="s">
        <v>116</v>
      </c>
      <c r="B58" s="50"/>
      <c r="C58" s="14">
        <v>87826.465116279069</v>
      </c>
      <c r="D58" s="14">
        <v>0</v>
      </c>
      <c r="E58" s="14">
        <v>87826.465116279069</v>
      </c>
      <c r="F58" s="14">
        <v>87826.465116279069</v>
      </c>
      <c r="G58" s="14">
        <v>87826.465116279069</v>
      </c>
      <c r="H58" s="14">
        <v>87826.465116279069</v>
      </c>
      <c r="I58" s="14">
        <v>87826.465116279069</v>
      </c>
      <c r="J58" s="14">
        <v>87826.465116279069</v>
      </c>
      <c r="K58" s="14">
        <v>87826.465116279069</v>
      </c>
      <c r="L58" s="14">
        <v>87826.465116279069</v>
      </c>
      <c r="M58" s="14">
        <v>87826.465116279069</v>
      </c>
      <c r="N58" s="14">
        <v>87826.465116279069</v>
      </c>
      <c r="O58" s="14">
        <v>87826.465116279069</v>
      </c>
      <c r="P58" s="14">
        <v>87826.465116279069</v>
      </c>
      <c r="Q58" s="14">
        <v>87826.465116279069</v>
      </c>
      <c r="R58" s="14">
        <v>87826.465116279069</v>
      </c>
      <c r="S58" s="14">
        <v>87826.465116279069</v>
      </c>
      <c r="T58" s="14">
        <v>87826.465116279069</v>
      </c>
      <c r="U58" s="14">
        <v>87826.465116279069</v>
      </c>
      <c r="V58" s="14">
        <v>87826.465116279069</v>
      </c>
      <c r="W58" s="14">
        <v>87826.465116279069</v>
      </c>
      <c r="X58" s="14">
        <v>87826.465116279069</v>
      </c>
      <c r="Y58" s="14">
        <v>87826.465116279069</v>
      </c>
      <c r="Z58" s="14">
        <v>87826.465116279069</v>
      </c>
      <c r="AA58" s="14">
        <v>87826.465116279069</v>
      </c>
      <c r="AB58" s="14">
        <v>0</v>
      </c>
      <c r="AC58" s="14">
        <v>0</v>
      </c>
      <c r="AD58" s="14">
        <v>87826.465116279069</v>
      </c>
      <c r="AE58" s="14">
        <v>87826.465116279069</v>
      </c>
      <c r="AF58" s="14">
        <v>87826.465116279069</v>
      </c>
      <c r="AG58" s="14">
        <v>87826.465116279069</v>
      </c>
      <c r="AH58" s="14">
        <v>87826.465116279069</v>
      </c>
      <c r="AI58" s="14">
        <v>87826.465116279069</v>
      </c>
      <c r="AJ58" s="14">
        <v>87826.465116279069</v>
      </c>
      <c r="AK58" s="14">
        <v>87826.465116279069</v>
      </c>
      <c r="AL58" s="14">
        <v>87826.465116279069</v>
      </c>
      <c r="AM58" s="14">
        <v>87826.465116279069</v>
      </c>
      <c r="AN58" s="14">
        <v>87826.465116279069</v>
      </c>
      <c r="AO58" s="14">
        <v>87826.465116279069</v>
      </c>
      <c r="AP58" s="14">
        <v>87826.465116279069</v>
      </c>
      <c r="AQ58" s="14">
        <v>0</v>
      </c>
      <c r="AR58" s="14">
        <v>87826.465116279069</v>
      </c>
      <c r="AS58" s="14">
        <v>87826.465116279069</v>
      </c>
      <c r="AT58" s="14">
        <v>87826.465116279069</v>
      </c>
      <c r="AU58" s="14">
        <v>87826.465116279069</v>
      </c>
      <c r="AV58" s="14">
        <v>87826.465116279069</v>
      </c>
      <c r="AW58" s="15">
        <v>87826.465116279069</v>
      </c>
      <c r="AX58" s="16">
        <f t="shared" si="12"/>
        <v>3776538.0000000014</v>
      </c>
      <c r="AY58" s="16">
        <f t="shared" si="13"/>
        <v>80189.381193124398</v>
      </c>
      <c r="AZ58" s="13">
        <f>AX58/AX13</f>
        <v>8.7445590761670675E-2</v>
      </c>
    </row>
    <row r="59" spans="1:52" x14ac:dyDescent="0.15">
      <c r="A59" s="50" t="s">
        <v>117</v>
      </c>
      <c r="B59" s="50"/>
      <c r="C59" s="14">
        <v>42477.813953488374</v>
      </c>
      <c r="D59" s="14">
        <v>0</v>
      </c>
      <c r="E59" s="14">
        <v>42477.813953488374</v>
      </c>
      <c r="F59" s="14">
        <v>42477.813953488374</v>
      </c>
      <c r="G59" s="14">
        <v>42477.813953488374</v>
      </c>
      <c r="H59" s="14">
        <v>42477.813953488374</v>
      </c>
      <c r="I59" s="14">
        <v>42477.813953488374</v>
      </c>
      <c r="J59" s="14">
        <v>42477.813953488374</v>
      </c>
      <c r="K59" s="14">
        <v>42477.813953488374</v>
      </c>
      <c r="L59" s="14">
        <v>42477.813953488374</v>
      </c>
      <c r="M59" s="14">
        <v>42477.813953488374</v>
      </c>
      <c r="N59" s="14">
        <v>42477.813953488374</v>
      </c>
      <c r="O59" s="14">
        <v>42477.813953488374</v>
      </c>
      <c r="P59" s="14">
        <v>42477.813953488374</v>
      </c>
      <c r="Q59" s="14">
        <v>42477.813953488374</v>
      </c>
      <c r="R59" s="14">
        <v>42477.813953488374</v>
      </c>
      <c r="S59" s="14">
        <v>42477.813953488374</v>
      </c>
      <c r="T59" s="14">
        <v>42477.813953488374</v>
      </c>
      <c r="U59" s="14">
        <v>42477.813953488374</v>
      </c>
      <c r="V59" s="14">
        <v>42477.813953488374</v>
      </c>
      <c r="W59" s="14">
        <v>42477.813953488374</v>
      </c>
      <c r="X59" s="14">
        <v>42477.813953488374</v>
      </c>
      <c r="Y59" s="14">
        <v>42477.813953488374</v>
      </c>
      <c r="Z59" s="14">
        <v>42477.813953488374</v>
      </c>
      <c r="AA59" s="14">
        <v>42477.813953488374</v>
      </c>
      <c r="AB59" s="14">
        <v>0</v>
      </c>
      <c r="AC59" s="14">
        <v>0</v>
      </c>
      <c r="AD59" s="14">
        <v>42477.813953488374</v>
      </c>
      <c r="AE59" s="14">
        <v>42477.813953488374</v>
      </c>
      <c r="AF59" s="14">
        <v>42477.813953488374</v>
      </c>
      <c r="AG59" s="14">
        <v>42477.813953488374</v>
      </c>
      <c r="AH59" s="14">
        <v>42477.813953488374</v>
      </c>
      <c r="AI59" s="14">
        <v>42477.813953488374</v>
      </c>
      <c r="AJ59" s="14">
        <v>42477.813953488374</v>
      </c>
      <c r="AK59" s="14">
        <v>42477.813953488374</v>
      </c>
      <c r="AL59" s="14">
        <v>42477.813953488374</v>
      </c>
      <c r="AM59" s="14">
        <v>42477.813953488374</v>
      </c>
      <c r="AN59" s="14">
        <v>42477.813953488374</v>
      </c>
      <c r="AO59" s="14">
        <v>42477.813953488374</v>
      </c>
      <c r="AP59" s="14">
        <v>42477.813953488374</v>
      </c>
      <c r="AQ59" s="14">
        <v>0</v>
      </c>
      <c r="AR59" s="14">
        <v>42477.813953488374</v>
      </c>
      <c r="AS59" s="14">
        <v>42477.813953488374</v>
      </c>
      <c r="AT59" s="14">
        <v>42477.813953488374</v>
      </c>
      <c r="AU59" s="14">
        <v>42477.813953488374</v>
      </c>
      <c r="AV59" s="14">
        <v>42477.813953488374</v>
      </c>
      <c r="AW59" s="15">
        <v>42477.813953488374</v>
      </c>
      <c r="AX59" s="16">
        <f t="shared" si="12"/>
        <v>1826546</v>
      </c>
      <c r="AY59" s="16">
        <f t="shared" si="13"/>
        <v>38784.091001011126</v>
      </c>
      <c r="AZ59" s="13">
        <f>AX59/AX13</f>
        <v>4.2293601712300115E-2</v>
      </c>
    </row>
    <row r="60" spans="1:52" x14ac:dyDescent="0.15">
      <c r="A60" s="50" t="s">
        <v>118</v>
      </c>
      <c r="B60" s="50"/>
      <c r="C60" s="14">
        <f>SUM(C57-(C58+C59))</f>
        <v>199349.23521594692</v>
      </c>
      <c r="D60" s="14">
        <f t="shared" ref="D60:AW60" si="18">SUM(D57-(D58+D59))</f>
        <v>72488</v>
      </c>
      <c r="E60" s="14">
        <f t="shared" si="18"/>
        <v>130250.89235880401</v>
      </c>
      <c r="F60" s="14">
        <f t="shared" si="18"/>
        <v>126358.06378737546</v>
      </c>
      <c r="G60" s="14">
        <f t="shared" si="18"/>
        <v>57179.463787375484</v>
      </c>
      <c r="H60" s="14">
        <f t="shared" si="18"/>
        <v>65455.949501661118</v>
      </c>
      <c r="I60" s="14">
        <f t="shared" si="18"/>
        <v>-505278.27906976745</v>
      </c>
      <c r="J60" s="14">
        <f t="shared" si="18"/>
        <v>-641859.42192691029</v>
      </c>
      <c r="K60" s="14">
        <f t="shared" si="18"/>
        <v>-300115.88224437064</v>
      </c>
      <c r="L60" s="14">
        <f t="shared" si="18"/>
        <v>-19226.596530084847</v>
      </c>
      <c r="M60" s="14">
        <f t="shared" si="18"/>
        <v>-134608.05367294198</v>
      </c>
      <c r="N60" s="14">
        <f t="shared" si="18"/>
        <v>107861.08918420086</v>
      </c>
      <c r="O60" s="14">
        <f t="shared" si="18"/>
        <v>205172.43204134365</v>
      </c>
      <c r="P60" s="14">
        <f t="shared" si="18"/>
        <v>245533.66061277234</v>
      </c>
      <c r="Q60" s="14">
        <f t="shared" si="18"/>
        <v>-658345.0822443706</v>
      </c>
      <c r="R60" s="14">
        <f t="shared" si="18"/>
        <v>271919.63204134384</v>
      </c>
      <c r="S60" s="14">
        <f t="shared" si="18"/>
        <v>13731.889184200787</v>
      </c>
      <c r="T60" s="14">
        <f t="shared" si="18"/>
        <v>223928.77489848656</v>
      </c>
      <c r="U60" s="14">
        <f t="shared" si="18"/>
        <v>135300.68918420083</v>
      </c>
      <c r="V60" s="14">
        <f t="shared" si="18"/>
        <v>33917.060612772242</v>
      </c>
      <c r="W60" s="14">
        <f t="shared" si="18"/>
        <v>169332.88918420079</v>
      </c>
      <c r="X60" s="14">
        <f t="shared" si="18"/>
        <v>-442404.16795865633</v>
      </c>
      <c r="Y60" s="14">
        <f t="shared" si="18"/>
        <v>187003.97489848651</v>
      </c>
      <c r="Z60" s="14">
        <f t="shared" si="18"/>
        <v>63372.48918420088</v>
      </c>
      <c r="AA60" s="14">
        <f t="shared" si="18"/>
        <v>70929.260612772196</v>
      </c>
      <c r="AB60" s="14">
        <f t="shared" si="18"/>
        <v>167570</v>
      </c>
      <c r="AC60" s="14">
        <f t="shared" si="18"/>
        <v>42883</v>
      </c>
      <c r="AD60" s="14">
        <f t="shared" si="18"/>
        <v>-304602.16795865633</v>
      </c>
      <c r="AE60" s="14">
        <f t="shared" si="18"/>
        <v>659498.69235880405</v>
      </c>
      <c r="AF60" s="14">
        <f t="shared" si="18"/>
        <v>439231.9209302325</v>
      </c>
      <c r="AG60" s="14">
        <f t="shared" si="18"/>
        <v>753361.60664451832</v>
      </c>
      <c r="AH60" s="14">
        <f t="shared" si="18"/>
        <v>150495.66378737532</v>
      </c>
      <c r="AI60" s="14">
        <f t="shared" si="18"/>
        <v>73483.235215946916</v>
      </c>
      <c r="AJ60" s="14">
        <f t="shared" si="18"/>
        <v>76319.949501661118</v>
      </c>
      <c r="AK60" s="14">
        <f t="shared" si="18"/>
        <v>587496.94950166123</v>
      </c>
      <c r="AL60" s="14">
        <f t="shared" si="18"/>
        <v>746276.9209302325</v>
      </c>
      <c r="AM60" s="14">
        <f t="shared" si="18"/>
        <v>-339380.27906976745</v>
      </c>
      <c r="AN60" s="14">
        <f t="shared" si="18"/>
        <v>-118281.33621262468</v>
      </c>
      <c r="AO60" s="14">
        <f t="shared" si="18"/>
        <v>83518.749501661048</v>
      </c>
      <c r="AP60" s="14">
        <f t="shared" si="18"/>
        <v>-222699.10764119605</v>
      </c>
      <c r="AQ60" s="14">
        <f t="shared" si="18"/>
        <v>338669</v>
      </c>
      <c r="AR60" s="14">
        <f t="shared" si="18"/>
        <v>-474525.74573643401</v>
      </c>
      <c r="AS60" s="14">
        <f t="shared" si="18"/>
        <v>-584157.3457364341</v>
      </c>
      <c r="AT60" s="14">
        <f t="shared" si="18"/>
        <v>-790378.51716500556</v>
      </c>
      <c r="AU60" s="14">
        <f t="shared" si="18"/>
        <v>-647706.06002214842</v>
      </c>
      <c r="AV60" s="14">
        <f t="shared" si="18"/>
        <v>-521408.97430786293</v>
      </c>
      <c r="AW60" s="15">
        <f t="shared" si="18"/>
        <v>-549123.94573643408</v>
      </c>
      <c r="AX60" s="16">
        <f t="shared" si="12"/>
        <v>-756209.82857142866</v>
      </c>
      <c r="AY60" s="16">
        <f t="shared" si="13"/>
        <v>-20773.023125812517</v>
      </c>
      <c r="AZ60" s="13">
        <f>AX60/AX13</f>
        <v>-1.7510009219875521E-2</v>
      </c>
    </row>
    <row r="61" spans="1:52" x14ac:dyDescent="0.15">
      <c r="A61" s="11"/>
      <c r="B61" s="36" t="s">
        <v>47</v>
      </c>
      <c r="C61" s="36"/>
      <c r="D61" s="36"/>
      <c r="E61" s="36"/>
      <c r="F61" s="36" t="s">
        <v>119</v>
      </c>
      <c r="G61" s="3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</row>
    <row r="62" spans="1:52" x14ac:dyDescent="0.15">
      <c r="A62" s="12"/>
      <c r="B62" s="37"/>
      <c r="C62" s="17" t="s">
        <v>120</v>
      </c>
      <c r="D62" s="2" t="s">
        <v>121</v>
      </c>
      <c r="E62" s="2" t="s">
        <v>122</v>
      </c>
      <c r="F62" s="2" t="s">
        <v>123</v>
      </c>
      <c r="G62" s="2" t="s">
        <v>124</v>
      </c>
      <c r="H62" s="38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1:52" x14ac:dyDescent="0.15">
      <c r="A63" s="12"/>
      <c r="B63" s="39" t="s">
        <v>125</v>
      </c>
      <c r="C63" s="29">
        <v>0</v>
      </c>
      <c r="D63" s="29">
        <v>697416</v>
      </c>
      <c r="E63" s="29">
        <v>501125</v>
      </c>
      <c r="F63" s="29">
        <v>3776538</v>
      </c>
      <c r="G63" s="29">
        <v>1826546</v>
      </c>
      <c r="H63" s="38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1:52" x14ac:dyDescent="0.15">
      <c r="A64" s="12"/>
      <c r="B64" s="40" t="s">
        <v>126</v>
      </c>
      <c r="C64" s="29">
        <v>7</v>
      </c>
      <c r="D64" s="29">
        <v>7</v>
      </c>
      <c r="E64" s="29">
        <v>7</v>
      </c>
      <c r="F64" s="29">
        <v>43</v>
      </c>
      <c r="G64" s="29">
        <v>43</v>
      </c>
      <c r="H64" s="38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1:49" x14ac:dyDescent="0.15">
      <c r="A65" s="12"/>
      <c r="B65" s="40" t="s">
        <v>42</v>
      </c>
      <c r="C65" s="14">
        <f>SUM(C63/C64)</f>
        <v>0</v>
      </c>
      <c r="D65" s="14">
        <f t="shared" ref="D65:G65" si="19">SUM(D63/D64)</f>
        <v>99630.857142857145</v>
      </c>
      <c r="E65" s="14">
        <f t="shared" si="19"/>
        <v>71589.28571428571</v>
      </c>
      <c r="F65" s="14">
        <f t="shared" si="19"/>
        <v>87826.465116279069</v>
      </c>
      <c r="G65" s="14">
        <f t="shared" si="19"/>
        <v>42477.813953488374</v>
      </c>
      <c r="H65" s="38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1:49" x14ac:dyDescent="0.15">
      <c r="A66" s="11"/>
      <c r="B66" s="41" t="s">
        <v>48</v>
      </c>
      <c r="C66" s="41"/>
      <c r="D66" s="41"/>
      <c r="E66" s="41"/>
      <c r="F66" s="41"/>
      <c r="G66" s="4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1:49" x14ac:dyDescent="0.15">
      <c r="A67" s="11"/>
      <c r="B67" s="37"/>
      <c r="C67" s="17" t="s">
        <v>127</v>
      </c>
      <c r="D67" s="2" t="s">
        <v>128</v>
      </c>
      <c r="E67" s="2" t="s">
        <v>129</v>
      </c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1:49" x14ac:dyDescent="0.15">
      <c r="A68" s="11"/>
      <c r="B68" s="39" t="s">
        <v>125</v>
      </c>
      <c r="C68" s="29">
        <v>117000</v>
      </c>
      <c r="D68" s="29">
        <v>1646815</v>
      </c>
      <c r="E68" s="29">
        <v>1246197</v>
      </c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1:49" x14ac:dyDescent="0.15">
      <c r="A69" s="11"/>
      <c r="B69" s="40" t="s">
        <v>126</v>
      </c>
      <c r="C69" s="29">
        <v>18</v>
      </c>
      <c r="D69" s="29">
        <v>18</v>
      </c>
      <c r="E69" s="29">
        <v>18</v>
      </c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1:49" x14ac:dyDescent="0.15">
      <c r="A70" s="11"/>
      <c r="B70" s="40" t="s">
        <v>42</v>
      </c>
      <c r="C70" s="14">
        <f>SUM(C68/C69)</f>
        <v>6500</v>
      </c>
      <c r="D70" s="14">
        <f t="shared" ref="D70:E70" si="20">SUM(D68/D69)</f>
        <v>91489.722222222219</v>
      </c>
      <c r="E70" s="14">
        <f t="shared" si="20"/>
        <v>69233.166666666672</v>
      </c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</row>
    <row r="71" spans="1:49" x14ac:dyDescent="0.15">
      <c r="A71" s="11"/>
      <c r="B71" s="11" t="s">
        <v>130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</row>
    <row r="72" spans="1:49" x14ac:dyDescent="0.15">
      <c r="A72" s="11"/>
      <c r="B72" s="37"/>
      <c r="C72" s="17" t="s">
        <v>131</v>
      </c>
      <c r="D72" s="2" t="s">
        <v>132</v>
      </c>
      <c r="E72" s="2" t="s">
        <v>133</v>
      </c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</row>
    <row r="73" spans="1:49" x14ac:dyDescent="0.15">
      <c r="A73" s="11"/>
      <c r="B73" s="39" t="s">
        <v>125</v>
      </c>
      <c r="C73" s="29"/>
      <c r="D73" s="29"/>
      <c r="E73" s="29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</row>
    <row r="74" spans="1:49" x14ac:dyDescent="0.15">
      <c r="A74" s="11"/>
      <c r="B74" s="40" t="s">
        <v>126</v>
      </c>
      <c r="C74" s="29"/>
      <c r="D74" s="29"/>
      <c r="E74" s="29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</row>
    <row r="75" spans="1:49" x14ac:dyDescent="0.15">
      <c r="A75" s="11"/>
      <c r="B75" s="40" t="s">
        <v>42</v>
      </c>
      <c r="C75" s="14" t="e">
        <f>SUM(C73/C74)</f>
        <v>#DIV/0!</v>
      </c>
      <c r="D75" s="14" t="e">
        <f t="shared" ref="D75:E75" si="21">SUM(D73/D74)</f>
        <v>#DIV/0!</v>
      </c>
      <c r="E75" s="14" t="e">
        <f t="shared" si="21"/>
        <v>#DIV/0!</v>
      </c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</row>
    <row r="76" spans="1:49" x14ac:dyDescent="0.15">
      <c r="A76" s="11"/>
      <c r="B76" s="11" t="s">
        <v>134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</row>
    <row r="77" spans="1:49" x14ac:dyDescent="0.15">
      <c r="A77" s="11"/>
      <c r="B77" s="37"/>
      <c r="C77" s="17" t="s">
        <v>135</v>
      </c>
      <c r="D77" s="2" t="s">
        <v>136</v>
      </c>
      <c r="E77" s="2" t="s">
        <v>137</v>
      </c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</row>
    <row r="78" spans="1:49" x14ac:dyDescent="0.15">
      <c r="A78" s="11"/>
      <c r="B78" s="39" t="s">
        <v>125</v>
      </c>
      <c r="C78" s="29"/>
      <c r="D78" s="29"/>
      <c r="E78" s="29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</row>
    <row r="79" spans="1:49" x14ac:dyDescent="0.15">
      <c r="A79" s="11"/>
      <c r="B79" s="40" t="s">
        <v>126</v>
      </c>
      <c r="C79" s="29"/>
      <c r="D79" s="29"/>
      <c r="E79" s="29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</row>
    <row r="80" spans="1:49" x14ac:dyDescent="0.15">
      <c r="A80" s="11"/>
      <c r="B80" s="40" t="s">
        <v>42</v>
      </c>
      <c r="C80" s="14" t="e">
        <f>SUM(C78/C79)</f>
        <v>#DIV/0!</v>
      </c>
      <c r="D80" s="14" t="e">
        <f t="shared" ref="D80:E80" si="22">SUM(D78/D79)</f>
        <v>#DIV/0!</v>
      </c>
      <c r="E80" s="14" t="e">
        <f t="shared" si="22"/>
        <v>#DIV/0!</v>
      </c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</row>
    <row r="81" spans="1:49" x14ac:dyDescent="0.15">
      <c r="A81" s="11"/>
      <c r="B81" s="11" t="s">
        <v>138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</row>
    <row r="82" spans="1:49" x14ac:dyDescent="0.15">
      <c r="A82" s="11"/>
      <c r="B82" s="37"/>
      <c r="C82" s="17" t="s">
        <v>139</v>
      </c>
      <c r="D82" s="2" t="s">
        <v>140</v>
      </c>
      <c r="E82" s="2" t="s">
        <v>141</v>
      </c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</row>
    <row r="83" spans="1:49" x14ac:dyDescent="0.15">
      <c r="A83" s="11"/>
      <c r="B83" s="39" t="s">
        <v>125</v>
      </c>
      <c r="C83" s="29"/>
      <c r="D83" s="29"/>
      <c r="E83" s="29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</row>
    <row r="84" spans="1:49" x14ac:dyDescent="0.15">
      <c r="A84" s="11"/>
      <c r="B84" s="40" t="s">
        <v>126</v>
      </c>
      <c r="C84" s="29"/>
      <c r="D84" s="29"/>
      <c r="E84" s="29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</row>
    <row r="85" spans="1:49" x14ac:dyDescent="0.15">
      <c r="A85" s="11"/>
      <c r="B85" s="40" t="s">
        <v>42</v>
      </c>
      <c r="C85" s="14" t="e">
        <f>SUM(C83/C84)</f>
        <v>#DIV/0!</v>
      </c>
      <c r="D85" s="14" t="e">
        <f t="shared" ref="D85:E85" si="23">SUM(D83/D84)</f>
        <v>#DIV/0!</v>
      </c>
      <c r="E85" s="14" t="e">
        <f t="shared" si="23"/>
        <v>#DIV/0!</v>
      </c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</row>
    <row r="86" spans="1:49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</row>
    <row r="87" spans="1:49" x14ac:dyDescent="0.15">
      <c r="A87" s="11"/>
      <c r="B87" s="37"/>
      <c r="C87" s="17" t="s">
        <v>142</v>
      </c>
      <c r="D87" s="2" t="s">
        <v>143</v>
      </c>
      <c r="E87" s="2" t="s">
        <v>144</v>
      </c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</row>
    <row r="88" spans="1:49" x14ac:dyDescent="0.15">
      <c r="A88" s="11"/>
      <c r="B88" s="39" t="s">
        <v>125</v>
      </c>
      <c r="C88" s="29">
        <v>150000</v>
      </c>
      <c r="D88" s="29">
        <v>494436</v>
      </c>
      <c r="E88" s="29">
        <v>484632</v>
      </c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</row>
    <row r="89" spans="1:49" x14ac:dyDescent="0.15">
      <c r="B89" s="40" t="s">
        <v>126</v>
      </c>
      <c r="C89" s="29">
        <v>7</v>
      </c>
      <c r="D89" s="29">
        <v>7</v>
      </c>
      <c r="E89" s="29">
        <v>7</v>
      </c>
    </row>
    <row r="90" spans="1:49" x14ac:dyDescent="0.15">
      <c r="B90" s="40" t="s">
        <v>42</v>
      </c>
      <c r="C90" s="14">
        <f>SUM(C88/C89)</f>
        <v>21428.571428571428</v>
      </c>
      <c r="D90" s="14">
        <f t="shared" ref="D90:E90" si="24">SUM(D88/D89)</f>
        <v>70633.71428571429</v>
      </c>
      <c r="E90" s="14">
        <f t="shared" si="24"/>
        <v>69233.142857142855</v>
      </c>
    </row>
    <row r="92" spans="1:49" x14ac:dyDescent="0.15">
      <c r="B92" s="37"/>
      <c r="C92" s="17" t="s">
        <v>145</v>
      </c>
      <c r="D92" s="2" t="s">
        <v>146</v>
      </c>
      <c r="E92" s="2" t="s">
        <v>147</v>
      </c>
    </row>
    <row r="93" spans="1:49" x14ac:dyDescent="0.15">
      <c r="B93" s="39" t="s">
        <v>125</v>
      </c>
      <c r="C93" s="29">
        <v>297000</v>
      </c>
      <c r="D93" s="29">
        <v>352969</v>
      </c>
      <c r="E93" s="29">
        <v>163867</v>
      </c>
    </row>
    <row r="94" spans="1:49" x14ac:dyDescent="0.15">
      <c r="B94" s="40" t="s">
        <v>126</v>
      </c>
      <c r="C94" s="29">
        <v>5</v>
      </c>
      <c r="D94" s="29">
        <v>5</v>
      </c>
      <c r="E94" s="29">
        <v>5</v>
      </c>
    </row>
    <row r="95" spans="1:49" x14ac:dyDescent="0.15">
      <c r="B95" s="40" t="s">
        <v>42</v>
      </c>
      <c r="C95" s="14">
        <f>SUM(C93/C94)</f>
        <v>59400</v>
      </c>
      <c r="D95" s="14">
        <f t="shared" ref="D95:E95" si="25">SUM(D93/D94)</f>
        <v>70593.8</v>
      </c>
      <c r="E95" s="14">
        <f t="shared" si="25"/>
        <v>32773.4</v>
      </c>
    </row>
    <row r="97" spans="2:5" x14ac:dyDescent="0.15">
      <c r="B97" s="37"/>
      <c r="C97" s="17" t="s">
        <v>148</v>
      </c>
      <c r="D97" s="2" t="s">
        <v>149</v>
      </c>
      <c r="E97" s="2" t="s">
        <v>150</v>
      </c>
    </row>
    <row r="98" spans="2:5" x14ac:dyDescent="0.15">
      <c r="B98" s="39" t="s">
        <v>125</v>
      </c>
      <c r="C98" s="29">
        <v>170000</v>
      </c>
      <c r="D98" s="29">
        <v>612003</v>
      </c>
      <c r="E98" s="29">
        <v>1473869</v>
      </c>
    </row>
    <row r="99" spans="2:5" x14ac:dyDescent="0.15">
      <c r="B99" s="40" t="s">
        <v>126</v>
      </c>
      <c r="C99" s="29">
        <v>6</v>
      </c>
      <c r="D99" s="29">
        <v>6</v>
      </c>
      <c r="E99" s="29">
        <v>6</v>
      </c>
    </row>
    <row r="100" spans="2:5" x14ac:dyDescent="0.15">
      <c r="B100" s="40" t="s">
        <v>42</v>
      </c>
      <c r="C100" s="14">
        <f>SUM(C98/C99)</f>
        <v>28333.333333333332</v>
      </c>
      <c r="D100" s="14">
        <f t="shared" ref="D100:E100" si="26">SUM(D98/D99)</f>
        <v>102000.5</v>
      </c>
      <c r="E100" s="14">
        <f t="shared" si="26"/>
        <v>245644.83333333334</v>
      </c>
    </row>
    <row r="102" spans="2:5" x14ac:dyDescent="0.15">
      <c r="B102" s="11" t="s">
        <v>151</v>
      </c>
      <c r="C102" s="8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4BD7-0E91-4403-9B09-835C62999DEB}">
  <sheetPr codeName="Sheet2"/>
  <dimension ref="A2:M102"/>
  <sheetViews>
    <sheetView workbookViewId="0">
      <selection activeCell="K53" sqref="K53:K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7" width="9" style="1"/>
    <col min="218" max="218" width="2.875" style="1" bestFit="1" customWidth="1"/>
    <col min="219" max="219" width="16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6" width="12.5" style="1" bestFit="1" customWidth="1"/>
    <col min="227" max="227" width="11" style="1" bestFit="1" customWidth="1"/>
    <col min="228" max="247" width="13" style="1" bestFit="1" customWidth="1"/>
    <col min="248" max="251" width="11" style="1" bestFit="1" customWidth="1"/>
    <col min="252" max="254" width="12.25" style="1" bestFit="1" customWidth="1"/>
    <col min="255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3" width="9" style="1"/>
    <col min="474" max="474" width="2.875" style="1" bestFit="1" customWidth="1"/>
    <col min="475" max="475" width="16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2" width="12.5" style="1" bestFit="1" customWidth="1"/>
    <col min="483" max="483" width="11" style="1" bestFit="1" customWidth="1"/>
    <col min="484" max="503" width="13" style="1" bestFit="1" customWidth="1"/>
    <col min="504" max="507" width="11" style="1" bestFit="1" customWidth="1"/>
    <col min="508" max="510" width="12.25" style="1" bestFit="1" customWidth="1"/>
    <col min="511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29" width="9" style="1"/>
    <col min="730" max="730" width="2.875" style="1" bestFit="1" customWidth="1"/>
    <col min="731" max="731" width="16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8" width="12.5" style="1" bestFit="1" customWidth="1"/>
    <col min="739" max="739" width="11" style="1" bestFit="1" customWidth="1"/>
    <col min="740" max="759" width="13" style="1" bestFit="1" customWidth="1"/>
    <col min="760" max="763" width="11" style="1" bestFit="1" customWidth="1"/>
    <col min="764" max="766" width="12.25" style="1" bestFit="1" customWidth="1"/>
    <col min="767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5" width="9" style="1"/>
    <col min="986" max="986" width="2.875" style="1" bestFit="1" customWidth="1"/>
    <col min="987" max="987" width="16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4" width="12.5" style="1" bestFit="1" customWidth="1"/>
    <col min="995" max="995" width="11" style="1" bestFit="1" customWidth="1"/>
    <col min="996" max="1015" width="13" style="1" bestFit="1" customWidth="1"/>
    <col min="1016" max="1019" width="11" style="1" bestFit="1" customWidth="1"/>
    <col min="1020" max="1022" width="12.25" style="1" bestFit="1" customWidth="1"/>
    <col min="1023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1" width="9" style="1"/>
    <col min="1242" max="1242" width="2.875" style="1" bestFit="1" customWidth="1"/>
    <col min="1243" max="1243" width="16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0" width="12.5" style="1" bestFit="1" customWidth="1"/>
    <col min="1251" max="1251" width="11" style="1" bestFit="1" customWidth="1"/>
    <col min="1252" max="1271" width="13" style="1" bestFit="1" customWidth="1"/>
    <col min="1272" max="1275" width="11" style="1" bestFit="1" customWidth="1"/>
    <col min="1276" max="1278" width="12.25" style="1" bestFit="1" customWidth="1"/>
    <col min="1279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7" width="9" style="1"/>
    <col min="1498" max="1498" width="2.875" style="1" bestFit="1" customWidth="1"/>
    <col min="1499" max="1499" width="16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6" width="12.5" style="1" bestFit="1" customWidth="1"/>
    <col min="1507" max="1507" width="11" style="1" bestFit="1" customWidth="1"/>
    <col min="1508" max="1527" width="13" style="1" bestFit="1" customWidth="1"/>
    <col min="1528" max="1531" width="11" style="1" bestFit="1" customWidth="1"/>
    <col min="1532" max="1534" width="12.25" style="1" bestFit="1" customWidth="1"/>
    <col min="1535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3" width="9" style="1"/>
    <col min="1754" max="1754" width="2.875" style="1" bestFit="1" customWidth="1"/>
    <col min="1755" max="1755" width="16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2" width="12.5" style="1" bestFit="1" customWidth="1"/>
    <col min="1763" max="1763" width="11" style="1" bestFit="1" customWidth="1"/>
    <col min="1764" max="1783" width="13" style="1" bestFit="1" customWidth="1"/>
    <col min="1784" max="1787" width="11" style="1" bestFit="1" customWidth="1"/>
    <col min="1788" max="1790" width="12.25" style="1" bestFit="1" customWidth="1"/>
    <col min="1791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09" width="9" style="1"/>
    <col min="2010" max="2010" width="2.875" style="1" bestFit="1" customWidth="1"/>
    <col min="2011" max="2011" width="16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8" width="12.5" style="1" bestFit="1" customWidth="1"/>
    <col min="2019" max="2019" width="11" style="1" bestFit="1" customWidth="1"/>
    <col min="2020" max="2039" width="13" style="1" bestFit="1" customWidth="1"/>
    <col min="2040" max="2043" width="11" style="1" bestFit="1" customWidth="1"/>
    <col min="2044" max="2046" width="12.25" style="1" bestFit="1" customWidth="1"/>
    <col min="2047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5" width="9" style="1"/>
    <col min="2266" max="2266" width="2.875" style="1" bestFit="1" customWidth="1"/>
    <col min="2267" max="2267" width="16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4" width="12.5" style="1" bestFit="1" customWidth="1"/>
    <col min="2275" max="2275" width="11" style="1" bestFit="1" customWidth="1"/>
    <col min="2276" max="2295" width="13" style="1" bestFit="1" customWidth="1"/>
    <col min="2296" max="2299" width="11" style="1" bestFit="1" customWidth="1"/>
    <col min="2300" max="2302" width="12.25" style="1" bestFit="1" customWidth="1"/>
    <col min="2303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1" width="9" style="1"/>
    <col min="2522" max="2522" width="2.875" style="1" bestFit="1" customWidth="1"/>
    <col min="2523" max="2523" width="16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0" width="12.5" style="1" bestFit="1" customWidth="1"/>
    <col min="2531" max="2531" width="11" style="1" bestFit="1" customWidth="1"/>
    <col min="2532" max="2551" width="13" style="1" bestFit="1" customWidth="1"/>
    <col min="2552" max="2555" width="11" style="1" bestFit="1" customWidth="1"/>
    <col min="2556" max="2558" width="12.25" style="1" bestFit="1" customWidth="1"/>
    <col min="2559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7" width="9" style="1"/>
    <col min="2778" max="2778" width="2.875" style="1" bestFit="1" customWidth="1"/>
    <col min="2779" max="2779" width="16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6" width="12.5" style="1" bestFit="1" customWidth="1"/>
    <col min="2787" max="2787" width="11" style="1" bestFit="1" customWidth="1"/>
    <col min="2788" max="2807" width="13" style="1" bestFit="1" customWidth="1"/>
    <col min="2808" max="2811" width="11" style="1" bestFit="1" customWidth="1"/>
    <col min="2812" max="2814" width="12.25" style="1" bestFit="1" customWidth="1"/>
    <col min="2815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3" width="9" style="1"/>
    <col min="3034" max="3034" width="2.875" style="1" bestFit="1" customWidth="1"/>
    <col min="3035" max="3035" width="16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2" width="12.5" style="1" bestFit="1" customWidth="1"/>
    <col min="3043" max="3043" width="11" style="1" bestFit="1" customWidth="1"/>
    <col min="3044" max="3063" width="13" style="1" bestFit="1" customWidth="1"/>
    <col min="3064" max="3067" width="11" style="1" bestFit="1" customWidth="1"/>
    <col min="3068" max="3070" width="12.25" style="1" bestFit="1" customWidth="1"/>
    <col min="3071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89" width="9" style="1"/>
    <col min="3290" max="3290" width="2.875" style="1" bestFit="1" customWidth="1"/>
    <col min="3291" max="3291" width="16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8" width="12.5" style="1" bestFit="1" customWidth="1"/>
    <col min="3299" max="3299" width="11" style="1" bestFit="1" customWidth="1"/>
    <col min="3300" max="3319" width="13" style="1" bestFit="1" customWidth="1"/>
    <col min="3320" max="3323" width="11" style="1" bestFit="1" customWidth="1"/>
    <col min="3324" max="3326" width="12.25" style="1" bestFit="1" customWidth="1"/>
    <col min="3327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5" width="9" style="1"/>
    <col min="3546" max="3546" width="2.875" style="1" bestFit="1" customWidth="1"/>
    <col min="3547" max="3547" width="16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4" width="12.5" style="1" bestFit="1" customWidth="1"/>
    <col min="3555" max="3555" width="11" style="1" bestFit="1" customWidth="1"/>
    <col min="3556" max="3575" width="13" style="1" bestFit="1" customWidth="1"/>
    <col min="3576" max="3579" width="11" style="1" bestFit="1" customWidth="1"/>
    <col min="3580" max="3582" width="12.25" style="1" bestFit="1" customWidth="1"/>
    <col min="3583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1" width="9" style="1"/>
    <col min="3802" max="3802" width="2.875" style="1" bestFit="1" customWidth="1"/>
    <col min="3803" max="3803" width="16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0" width="12.5" style="1" bestFit="1" customWidth="1"/>
    <col min="3811" max="3811" width="11" style="1" bestFit="1" customWidth="1"/>
    <col min="3812" max="3831" width="13" style="1" bestFit="1" customWidth="1"/>
    <col min="3832" max="3835" width="11" style="1" bestFit="1" customWidth="1"/>
    <col min="3836" max="3838" width="12.25" style="1" bestFit="1" customWidth="1"/>
    <col min="3839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7" width="9" style="1"/>
    <col min="4058" max="4058" width="2.875" style="1" bestFit="1" customWidth="1"/>
    <col min="4059" max="4059" width="16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6" width="12.5" style="1" bestFit="1" customWidth="1"/>
    <col min="4067" max="4067" width="11" style="1" bestFit="1" customWidth="1"/>
    <col min="4068" max="4087" width="13" style="1" bestFit="1" customWidth="1"/>
    <col min="4088" max="4091" width="11" style="1" bestFit="1" customWidth="1"/>
    <col min="4092" max="4094" width="12.25" style="1" bestFit="1" customWidth="1"/>
    <col min="4095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3" width="9" style="1"/>
    <col min="4314" max="4314" width="2.875" style="1" bestFit="1" customWidth="1"/>
    <col min="4315" max="4315" width="16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2" width="12.5" style="1" bestFit="1" customWidth="1"/>
    <col min="4323" max="4323" width="11" style="1" bestFit="1" customWidth="1"/>
    <col min="4324" max="4343" width="13" style="1" bestFit="1" customWidth="1"/>
    <col min="4344" max="4347" width="11" style="1" bestFit="1" customWidth="1"/>
    <col min="4348" max="4350" width="12.25" style="1" bestFit="1" customWidth="1"/>
    <col min="4351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69" width="9" style="1"/>
    <col min="4570" max="4570" width="2.875" style="1" bestFit="1" customWidth="1"/>
    <col min="4571" max="4571" width="16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8" width="12.5" style="1" bestFit="1" customWidth="1"/>
    <col min="4579" max="4579" width="11" style="1" bestFit="1" customWidth="1"/>
    <col min="4580" max="4599" width="13" style="1" bestFit="1" customWidth="1"/>
    <col min="4600" max="4603" width="11" style="1" bestFit="1" customWidth="1"/>
    <col min="4604" max="4606" width="12.25" style="1" bestFit="1" customWidth="1"/>
    <col min="4607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5" width="9" style="1"/>
    <col min="4826" max="4826" width="2.875" style="1" bestFit="1" customWidth="1"/>
    <col min="4827" max="4827" width="16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4" width="12.5" style="1" bestFit="1" customWidth="1"/>
    <col min="4835" max="4835" width="11" style="1" bestFit="1" customWidth="1"/>
    <col min="4836" max="4855" width="13" style="1" bestFit="1" customWidth="1"/>
    <col min="4856" max="4859" width="11" style="1" bestFit="1" customWidth="1"/>
    <col min="4860" max="4862" width="12.25" style="1" bestFit="1" customWidth="1"/>
    <col min="4863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1" width="9" style="1"/>
    <col min="5082" max="5082" width="2.875" style="1" bestFit="1" customWidth="1"/>
    <col min="5083" max="5083" width="16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0" width="12.5" style="1" bestFit="1" customWidth="1"/>
    <col min="5091" max="5091" width="11" style="1" bestFit="1" customWidth="1"/>
    <col min="5092" max="5111" width="13" style="1" bestFit="1" customWidth="1"/>
    <col min="5112" max="5115" width="11" style="1" bestFit="1" customWidth="1"/>
    <col min="5116" max="5118" width="12.25" style="1" bestFit="1" customWidth="1"/>
    <col min="5119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7" width="9" style="1"/>
    <col min="5338" max="5338" width="2.875" style="1" bestFit="1" customWidth="1"/>
    <col min="5339" max="5339" width="16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6" width="12.5" style="1" bestFit="1" customWidth="1"/>
    <col min="5347" max="5347" width="11" style="1" bestFit="1" customWidth="1"/>
    <col min="5348" max="5367" width="13" style="1" bestFit="1" customWidth="1"/>
    <col min="5368" max="5371" width="11" style="1" bestFit="1" customWidth="1"/>
    <col min="5372" max="5374" width="12.25" style="1" bestFit="1" customWidth="1"/>
    <col min="5375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3" width="9" style="1"/>
    <col min="5594" max="5594" width="2.875" style="1" bestFit="1" customWidth="1"/>
    <col min="5595" max="5595" width="16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2" width="12.5" style="1" bestFit="1" customWidth="1"/>
    <col min="5603" max="5603" width="11" style="1" bestFit="1" customWidth="1"/>
    <col min="5604" max="5623" width="13" style="1" bestFit="1" customWidth="1"/>
    <col min="5624" max="5627" width="11" style="1" bestFit="1" customWidth="1"/>
    <col min="5628" max="5630" width="12.25" style="1" bestFit="1" customWidth="1"/>
    <col min="5631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49" width="9" style="1"/>
    <col min="5850" max="5850" width="2.875" style="1" bestFit="1" customWidth="1"/>
    <col min="5851" max="5851" width="16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8" width="12.5" style="1" bestFit="1" customWidth="1"/>
    <col min="5859" max="5859" width="11" style="1" bestFit="1" customWidth="1"/>
    <col min="5860" max="5879" width="13" style="1" bestFit="1" customWidth="1"/>
    <col min="5880" max="5883" width="11" style="1" bestFit="1" customWidth="1"/>
    <col min="5884" max="5886" width="12.25" style="1" bestFit="1" customWidth="1"/>
    <col min="5887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5" width="9" style="1"/>
    <col min="6106" max="6106" width="2.875" style="1" bestFit="1" customWidth="1"/>
    <col min="6107" max="6107" width="16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4" width="12.5" style="1" bestFit="1" customWidth="1"/>
    <col min="6115" max="6115" width="11" style="1" bestFit="1" customWidth="1"/>
    <col min="6116" max="6135" width="13" style="1" bestFit="1" customWidth="1"/>
    <col min="6136" max="6139" width="11" style="1" bestFit="1" customWidth="1"/>
    <col min="6140" max="6142" width="12.25" style="1" bestFit="1" customWidth="1"/>
    <col min="6143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1" width="9" style="1"/>
    <col min="6362" max="6362" width="2.875" style="1" bestFit="1" customWidth="1"/>
    <col min="6363" max="6363" width="16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0" width="12.5" style="1" bestFit="1" customWidth="1"/>
    <col min="6371" max="6371" width="11" style="1" bestFit="1" customWidth="1"/>
    <col min="6372" max="6391" width="13" style="1" bestFit="1" customWidth="1"/>
    <col min="6392" max="6395" width="11" style="1" bestFit="1" customWidth="1"/>
    <col min="6396" max="6398" width="12.25" style="1" bestFit="1" customWidth="1"/>
    <col min="6399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7" width="9" style="1"/>
    <col min="6618" max="6618" width="2.875" style="1" bestFit="1" customWidth="1"/>
    <col min="6619" max="6619" width="16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6" width="12.5" style="1" bestFit="1" customWidth="1"/>
    <col min="6627" max="6627" width="11" style="1" bestFit="1" customWidth="1"/>
    <col min="6628" max="6647" width="13" style="1" bestFit="1" customWidth="1"/>
    <col min="6648" max="6651" width="11" style="1" bestFit="1" customWidth="1"/>
    <col min="6652" max="6654" width="12.25" style="1" bestFit="1" customWidth="1"/>
    <col min="6655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3" width="9" style="1"/>
    <col min="6874" max="6874" width="2.875" style="1" bestFit="1" customWidth="1"/>
    <col min="6875" max="6875" width="16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2" width="12.5" style="1" bestFit="1" customWidth="1"/>
    <col min="6883" max="6883" width="11" style="1" bestFit="1" customWidth="1"/>
    <col min="6884" max="6903" width="13" style="1" bestFit="1" customWidth="1"/>
    <col min="6904" max="6907" width="11" style="1" bestFit="1" customWidth="1"/>
    <col min="6908" max="6910" width="12.25" style="1" bestFit="1" customWidth="1"/>
    <col min="6911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29" width="9" style="1"/>
    <col min="7130" max="7130" width="2.875" style="1" bestFit="1" customWidth="1"/>
    <col min="7131" max="7131" width="16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8" width="12.5" style="1" bestFit="1" customWidth="1"/>
    <col min="7139" max="7139" width="11" style="1" bestFit="1" customWidth="1"/>
    <col min="7140" max="7159" width="13" style="1" bestFit="1" customWidth="1"/>
    <col min="7160" max="7163" width="11" style="1" bestFit="1" customWidth="1"/>
    <col min="7164" max="7166" width="12.25" style="1" bestFit="1" customWidth="1"/>
    <col min="7167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5" width="9" style="1"/>
    <col min="7386" max="7386" width="2.875" style="1" bestFit="1" customWidth="1"/>
    <col min="7387" max="7387" width="16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4" width="12.5" style="1" bestFit="1" customWidth="1"/>
    <col min="7395" max="7395" width="11" style="1" bestFit="1" customWidth="1"/>
    <col min="7396" max="7415" width="13" style="1" bestFit="1" customWidth="1"/>
    <col min="7416" max="7419" width="11" style="1" bestFit="1" customWidth="1"/>
    <col min="7420" max="7422" width="12.25" style="1" bestFit="1" customWidth="1"/>
    <col min="7423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1" width="9" style="1"/>
    <col min="7642" max="7642" width="2.875" style="1" bestFit="1" customWidth="1"/>
    <col min="7643" max="7643" width="16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0" width="12.5" style="1" bestFit="1" customWidth="1"/>
    <col min="7651" max="7651" width="11" style="1" bestFit="1" customWidth="1"/>
    <col min="7652" max="7671" width="13" style="1" bestFit="1" customWidth="1"/>
    <col min="7672" max="7675" width="11" style="1" bestFit="1" customWidth="1"/>
    <col min="7676" max="7678" width="12.25" style="1" bestFit="1" customWidth="1"/>
    <col min="7679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7" width="9" style="1"/>
    <col min="7898" max="7898" width="2.875" style="1" bestFit="1" customWidth="1"/>
    <col min="7899" max="7899" width="16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6" width="12.5" style="1" bestFit="1" customWidth="1"/>
    <col min="7907" max="7907" width="11" style="1" bestFit="1" customWidth="1"/>
    <col min="7908" max="7927" width="13" style="1" bestFit="1" customWidth="1"/>
    <col min="7928" max="7931" width="11" style="1" bestFit="1" customWidth="1"/>
    <col min="7932" max="7934" width="12.25" style="1" bestFit="1" customWidth="1"/>
    <col min="7935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3" width="9" style="1"/>
    <col min="8154" max="8154" width="2.875" style="1" bestFit="1" customWidth="1"/>
    <col min="8155" max="8155" width="16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2" width="12.5" style="1" bestFit="1" customWidth="1"/>
    <col min="8163" max="8163" width="11" style="1" bestFit="1" customWidth="1"/>
    <col min="8164" max="8183" width="13" style="1" bestFit="1" customWidth="1"/>
    <col min="8184" max="8187" width="11" style="1" bestFit="1" customWidth="1"/>
    <col min="8188" max="8190" width="12.25" style="1" bestFit="1" customWidth="1"/>
    <col min="8191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09" width="9" style="1"/>
    <col min="8410" max="8410" width="2.875" style="1" bestFit="1" customWidth="1"/>
    <col min="8411" max="8411" width="16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8" width="12.5" style="1" bestFit="1" customWidth="1"/>
    <col min="8419" max="8419" width="11" style="1" bestFit="1" customWidth="1"/>
    <col min="8420" max="8439" width="13" style="1" bestFit="1" customWidth="1"/>
    <col min="8440" max="8443" width="11" style="1" bestFit="1" customWidth="1"/>
    <col min="8444" max="8446" width="12.25" style="1" bestFit="1" customWidth="1"/>
    <col min="8447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5" width="9" style="1"/>
    <col min="8666" max="8666" width="2.875" style="1" bestFit="1" customWidth="1"/>
    <col min="8667" max="8667" width="16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4" width="12.5" style="1" bestFit="1" customWidth="1"/>
    <col min="8675" max="8675" width="11" style="1" bestFit="1" customWidth="1"/>
    <col min="8676" max="8695" width="13" style="1" bestFit="1" customWidth="1"/>
    <col min="8696" max="8699" width="11" style="1" bestFit="1" customWidth="1"/>
    <col min="8700" max="8702" width="12.25" style="1" bestFit="1" customWidth="1"/>
    <col min="8703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1" width="9" style="1"/>
    <col min="8922" max="8922" width="2.875" style="1" bestFit="1" customWidth="1"/>
    <col min="8923" max="8923" width="16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0" width="12.5" style="1" bestFit="1" customWidth="1"/>
    <col min="8931" max="8931" width="11" style="1" bestFit="1" customWidth="1"/>
    <col min="8932" max="8951" width="13" style="1" bestFit="1" customWidth="1"/>
    <col min="8952" max="8955" width="11" style="1" bestFit="1" customWidth="1"/>
    <col min="8956" max="8958" width="12.25" style="1" bestFit="1" customWidth="1"/>
    <col min="8959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7" width="9" style="1"/>
    <col min="9178" max="9178" width="2.875" style="1" bestFit="1" customWidth="1"/>
    <col min="9179" max="9179" width="16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6" width="12.5" style="1" bestFit="1" customWidth="1"/>
    <col min="9187" max="9187" width="11" style="1" bestFit="1" customWidth="1"/>
    <col min="9188" max="9207" width="13" style="1" bestFit="1" customWidth="1"/>
    <col min="9208" max="9211" width="11" style="1" bestFit="1" customWidth="1"/>
    <col min="9212" max="9214" width="12.25" style="1" bestFit="1" customWidth="1"/>
    <col min="9215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3" width="9" style="1"/>
    <col min="9434" max="9434" width="2.875" style="1" bestFit="1" customWidth="1"/>
    <col min="9435" max="9435" width="16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2" width="12.5" style="1" bestFit="1" customWidth="1"/>
    <col min="9443" max="9443" width="11" style="1" bestFit="1" customWidth="1"/>
    <col min="9444" max="9463" width="13" style="1" bestFit="1" customWidth="1"/>
    <col min="9464" max="9467" width="11" style="1" bestFit="1" customWidth="1"/>
    <col min="9468" max="9470" width="12.25" style="1" bestFit="1" customWidth="1"/>
    <col min="9471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89" width="9" style="1"/>
    <col min="9690" max="9690" width="2.875" style="1" bestFit="1" customWidth="1"/>
    <col min="9691" max="9691" width="16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8" width="12.5" style="1" bestFit="1" customWidth="1"/>
    <col min="9699" max="9699" width="11" style="1" bestFit="1" customWidth="1"/>
    <col min="9700" max="9719" width="13" style="1" bestFit="1" customWidth="1"/>
    <col min="9720" max="9723" width="11" style="1" bestFit="1" customWidth="1"/>
    <col min="9724" max="9726" width="12.25" style="1" bestFit="1" customWidth="1"/>
    <col min="9727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5" width="9" style="1"/>
    <col min="9946" max="9946" width="2.875" style="1" bestFit="1" customWidth="1"/>
    <col min="9947" max="9947" width="16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4" width="12.5" style="1" bestFit="1" customWidth="1"/>
    <col min="9955" max="9955" width="11" style="1" bestFit="1" customWidth="1"/>
    <col min="9956" max="9975" width="13" style="1" bestFit="1" customWidth="1"/>
    <col min="9976" max="9979" width="11" style="1" bestFit="1" customWidth="1"/>
    <col min="9980" max="9982" width="12.25" style="1" bestFit="1" customWidth="1"/>
    <col min="9983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1" width="9" style="1"/>
    <col min="10202" max="10202" width="2.875" style="1" bestFit="1" customWidth="1"/>
    <col min="10203" max="10203" width="16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0" width="12.5" style="1" bestFit="1" customWidth="1"/>
    <col min="10211" max="10211" width="11" style="1" bestFit="1" customWidth="1"/>
    <col min="10212" max="10231" width="13" style="1" bestFit="1" customWidth="1"/>
    <col min="10232" max="10235" width="11" style="1" bestFit="1" customWidth="1"/>
    <col min="10236" max="10238" width="12.25" style="1" bestFit="1" customWidth="1"/>
    <col min="10239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7" width="9" style="1"/>
    <col min="10458" max="10458" width="2.875" style="1" bestFit="1" customWidth="1"/>
    <col min="10459" max="10459" width="16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6" width="12.5" style="1" bestFit="1" customWidth="1"/>
    <col min="10467" max="10467" width="11" style="1" bestFit="1" customWidth="1"/>
    <col min="10468" max="10487" width="13" style="1" bestFit="1" customWidth="1"/>
    <col min="10488" max="10491" width="11" style="1" bestFit="1" customWidth="1"/>
    <col min="10492" max="10494" width="12.25" style="1" bestFit="1" customWidth="1"/>
    <col min="10495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3" width="9" style="1"/>
    <col min="10714" max="10714" width="2.875" style="1" bestFit="1" customWidth="1"/>
    <col min="10715" max="10715" width="16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2" width="12.5" style="1" bestFit="1" customWidth="1"/>
    <col min="10723" max="10723" width="11" style="1" bestFit="1" customWidth="1"/>
    <col min="10724" max="10743" width="13" style="1" bestFit="1" customWidth="1"/>
    <col min="10744" max="10747" width="11" style="1" bestFit="1" customWidth="1"/>
    <col min="10748" max="10750" width="12.25" style="1" bestFit="1" customWidth="1"/>
    <col min="10751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69" width="9" style="1"/>
    <col min="10970" max="10970" width="2.875" style="1" bestFit="1" customWidth="1"/>
    <col min="10971" max="10971" width="16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8" width="12.5" style="1" bestFit="1" customWidth="1"/>
    <col min="10979" max="10979" width="11" style="1" bestFit="1" customWidth="1"/>
    <col min="10980" max="10999" width="13" style="1" bestFit="1" customWidth="1"/>
    <col min="11000" max="11003" width="11" style="1" bestFit="1" customWidth="1"/>
    <col min="11004" max="11006" width="12.25" style="1" bestFit="1" customWidth="1"/>
    <col min="11007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5" width="9" style="1"/>
    <col min="11226" max="11226" width="2.875" style="1" bestFit="1" customWidth="1"/>
    <col min="11227" max="11227" width="16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4" width="12.5" style="1" bestFit="1" customWidth="1"/>
    <col min="11235" max="11235" width="11" style="1" bestFit="1" customWidth="1"/>
    <col min="11236" max="11255" width="13" style="1" bestFit="1" customWidth="1"/>
    <col min="11256" max="11259" width="11" style="1" bestFit="1" customWidth="1"/>
    <col min="11260" max="11262" width="12.25" style="1" bestFit="1" customWidth="1"/>
    <col min="11263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1" width="9" style="1"/>
    <col min="11482" max="11482" width="2.875" style="1" bestFit="1" customWidth="1"/>
    <col min="11483" max="11483" width="16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0" width="12.5" style="1" bestFit="1" customWidth="1"/>
    <col min="11491" max="11491" width="11" style="1" bestFit="1" customWidth="1"/>
    <col min="11492" max="11511" width="13" style="1" bestFit="1" customWidth="1"/>
    <col min="11512" max="11515" width="11" style="1" bestFit="1" customWidth="1"/>
    <col min="11516" max="11518" width="12.25" style="1" bestFit="1" customWidth="1"/>
    <col min="11519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7" width="9" style="1"/>
    <col min="11738" max="11738" width="2.875" style="1" bestFit="1" customWidth="1"/>
    <col min="11739" max="11739" width="16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6" width="12.5" style="1" bestFit="1" customWidth="1"/>
    <col min="11747" max="11747" width="11" style="1" bestFit="1" customWidth="1"/>
    <col min="11748" max="11767" width="13" style="1" bestFit="1" customWidth="1"/>
    <col min="11768" max="11771" width="11" style="1" bestFit="1" customWidth="1"/>
    <col min="11772" max="11774" width="12.25" style="1" bestFit="1" customWidth="1"/>
    <col min="11775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3" width="9" style="1"/>
    <col min="11994" max="11994" width="2.875" style="1" bestFit="1" customWidth="1"/>
    <col min="11995" max="11995" width="16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2" width="12.5" style="1" bestFit="1" customWidth="1"/>
    <col min="12003" max="12003" width="11" style="1" bestFit="1" customWidth="1"/>
    <col min="12004" max="12023" width="13" style="1" bestFit="1" customWidth="1"/>
    <col min="12024" max="12027" width="11" style="1" bestFit="1" customWidth="1"/>
    <col min="12028" max="12030" width="12.25" style="1" bestFit="1" customWidth="1"/>
    <col min="12031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49" width="9" style="1"/>
    <col min="12250" max="12250" width="2.875" style="1" bestFit="1" customWidth="1"/>
    <col min="12251" max="12251" width="16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8" width="12.5" style="1" bestFit="1" customWidth="1"/>
    <col min="12259" max="12259" width="11" style="1" bestFit="1" customWidth="1"/>
    <col min="12260" max="12279" width="13" style="1" bestFit="1" customWidth="1"/>
    <col min="12280" max="12283" width="11" style="1" bestFit="1" customWidth="1"/>
    <col min="12284" max="12286" width="12.25" style="1" bestFit="1" customWidth="1"/>
    <col min="12287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5" width="9" style="1"/>
    <col min="12506" max="12506" width="2.875" style="1" bestFit="1" customWidth="1"/>
    <col min="12507" max="12507" width="16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4" width="12.5" style="1" bestFit="1" customWidth="1"/>
    <col min="12515" max="12515" width="11" style="1" bestFit="1" customWidth="1"/>
    <col min="12516" max="12535" width="13" style="1" bestFit="1" customWidth="1"/>
    <col min="12536" max="12539" width="11" style="1" bestFit="1" customWidth="1"/>
    <col min="12540" max="12542" width="12.25" style="1" bestFit="1" customWidth="1"/>
    <col min="12543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1" width="9" style="1"/>
    <col min="12762" max="12762" width="2.875" style="1" bestFit="1" customWidth="1"/>
    <col min="12763" max="12763" width="16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0" width="12.5" style="1" bestFit="1" customWidth="1"/>
    <col min="12771" max="12771" width="11" style="1" bestFit="1" customWidth="1"/>
    <col min="12772" max="12791" width="13" style="1" bestFit="1" customWidth="1"/>
    <col min="12792" max="12795" width="11" style="1" bestFit="1" customWidth="1"/>
    <col min="12796" max="12798" width="12.25" style="1" bestFit="1" customWidth="1"/>
    <col min="12799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7" width="9" style="1"/>
    <col min="13018" max="13018" width="2.875" style="1" bestFit="1" customWidth="1"/>
    <col min="13019" max="13019" width="16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6" width="12.5" style="1" bestFit="1" customWidth="1"/>
    <col min="13027" max="13027" width="11" style="1" bestFit="1" customWidth="1"/>
    <col min="13028" max="13047" width="13" style="1" bestFit="1" customWidth="1"/>
    <col min="13048" max="13051" width="11" style="1" bestFit="1" customWidth="1"/>
    <col min="13052" max="13054" width="12.25" style="1" bestFit="1" customWidth="1"/>
    <col min="13055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3" width="9" style="1"/>
    <col min="13274" max="13274" width="2.875" style="1" bestFit="1" customWidth="1"/>
    <col min="13275" max="13275" width="16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2" width="12.5" style="1" bestFit="1" customWidth="1"/>
    <col min="13283" max="13283" width="11" style="1" bestFit="1" customWidth="1"/>
    <col min="13284" max="13303" width="13" style="1" bestFit="1" customWidth="1"/>
    <col min="13304" max="13307" width="11" style="1" bestFit="1" customWidth="1"/>
    <col min="13308" max="13310" width="12.25" style="1" bestFit="1" customWidth="1"/>
    <col min="13311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29" width="9" style="1"/>
    <col min="13530" max="13530" width="2.875" style="1" bestFit="1" customWidth="1"/>
    <col min="13531" max="13531" width="16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8" width="12.5" style="1" bestFit="1" customWidth="1"/>
    <col min="13539" max="13539" width="11" style="1" bestFit="1" customWidth="1"/>
    <col min="13540" max="13559" width="13" style="1" bestFit="1" customWidth="1"/>
    <col min="13560" max="13563" width="11" style="1" bestFit="1" customWidth="1"/>
    <col min="13564" max="13566" width="12.25" style="1" bestFit="1" customWidth="1"/>
    <col min="13567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5" width="9" style="1"/>
    <col min="13786" max="13786" width="2.875" style="1" bestFit="1" customWidth="1"/>
    <col min="13787" max="13787" width="16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4" width="12.5" style="1" bestFit="1" customWidth="1"/>
    <col min="13795" max="13795" width="11" style="1" bestFit="1" customWidth="1"/>
    <col min="13796" max="13815" width="13" style="1" bestFit="1" customWidth="1"/>
    <col min="13816" max="13819" width="11" style="1" bestFit="1" customWidth="1"/>
    <col min="13820" max="13822" width="12.25" style="1" bestFit="1" customWidth="1"/>
    <col min="13823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1" width="9" style="1"/>
    <col min="14042" max="14042" width="2.875" style="1" bestFit="1" customWidth="1"/>
    <col min="14043" max="14043" width="16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0" width="12.5" style="1" bestFit="1" customWidth="1"/>
    <col min="14051" max="14051" width="11" style="1" bestFit="1" customWidth="1"/>
    <col min="14052" max="14071" width="13" style="1" bestFit="1" customWidth="1"/>
    <col min="14072" max="14075" width="11" style="1" bestFit="1" customWidth="1"/>
    <col min="14076" max="14078" width="12.25" style="1" bestFit="1" customWidth="1"/>
    <col min="14079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7" width="9" style="1"/>
    <col min="14298" max="14298" width="2.875" style="1" bestFit="1" customWidth="1"/>
    <col min="14299" max="14299" width="16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6" width="12.5" style="1" bestFit="1" customWidth="1"/>
    <col min="14307" max="14307" width="11" style="1" bestFit="1" customWidth="1"/>
    <col min="14308" max="14327" width="13" style="1" bestFit="1" customWidth="1"/>
    <col min="14328" max="14331" width="11" style="1" bestFit="1" customWidth="1"/>
    <col min="14332" max="14334" width="12.25" style="1" bestFit="1" customWidth="1"/>
    <col min="14335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3" width="9" style="1"/>
    <col min="14554" max="14554" width="2.875" style="1" bestFit="1" customWidth="1"/>
    <col min="14555" max="14555" width="16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2" width="12.5" style="1" bestFit="1" customWidth="1"/>
    <col min="14563" max="14563" width="11" style="1" bestFit="1" customWidth="1"/>
    <col min="14564" max="14583" width="13" style="1" bestFit="1" customWidth="1"/>
    <col min="14584" max="14587" width="11" style="1" bestFit="1" customWidth="1"/>
    <col min="14588" max="14590" width="12.25" style="1" bestFit="1" customWidth="1"/>
    <col min="14591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09" width="9" style="1"/>
    <col min="14810" max="14810" width="2.875" style="1" bestFit="1" customWidth="1"/>
    <col min="14811" max="14811" width="16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8" width="12.5" style="1" bestFit="1" customWidth="1"/>
    <col min="14819" max="14819" width="11" style="1" bestFit="1" customWidth="1"/>
    <col min="14820" max="14839" width="13" style="1" bestFit="1" customWidth="1"/>
    <col min="14840" max="14843" width="11" style="1" bestFit="1" customWidth="1"/>
    <col min="14844" max="14846" width="12.25" style="1" bestFit="1" customWidth="1"/>
    <col min="14847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5" width="9" style="1"/>
    <col min="15066" max="15066" width="2.875" style="1" bestFit="1" customWidth="1"/>
    <col min="15067" max="15067" width="16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4" width="12.5" style="1" bestFit="1" customWidth="1"/>
    <col min="15075" max="15075" width="11" style="1" bestFit="1" customWidth="1"/>
    <col min="15076" max="15095" width="13" style="1" bestFit="1" customWidth="1"/>
    <col min="15096" max="15099" width="11" style="1" bestFit="1" customWidth="1"/>
    <col min="15100" max="15102" width="12.25" style="1" bestFit="1" customWidth="1"/>
    <col min="15103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1" width="9" style="1"/>
    <col min="15322" max="15322" width="2.875" style="1" bestFit="1" customWidth="1"/>
    <col min="15323" max="15323" width="16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0" width="12.5" style="1" bestFit="1" customWidth="1"/>
    <col min="15331" max="15331" width="11" style="1" bestFit="1" customWidth="1"/>
    <col min="15332" max="15351" width="13" style="1" bestFit="1" customWidth="1"/>
    <col min="15352" max="15355" width="11" style="1" bestFit="1" customWidth="1"/>
    <col min="15356" max="15358" width="12.25" style="1" bestFit="1" customWidth="1"/>
    <col min="15359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7" width="9" style="1"/>
    <col min="15578" max="15578" width="2.875" style="1" bestFit="1" customWidth="1"/>
    <col min="15579" max="15579" width="16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6" width="12.5" style="1" bestFit="1" customWidth="1"/>
    <col min="15587" max="15587" width="11" style="1" bestFit="1" customWidth="1"/>
    <col min="15588" max="15607" width="13" style="1" bestFit="1" customWidth="1"/>
    <col min="15608" max="15611" width="11" style="1" bestFit="1" customWidth="1"/>
    <col min="15612" max="15614" width="12.25" style="1" bestFit="1" customWidth="1"/>
    <col min="15615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3" width="9" style="1"/>
    <col min="15834" max="15834" width="2.875" style="1" bestFit="1" customWidth="1"/>
    <col min="15835" max="15835" width="16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2" width="12.5" style="1" bestFit="1" customWidth="1"/>
    <col min="15843" max="15843" width="11" style="1" bestFit="1" customWidth="1"/>
    <col min="15844" max="15863" width="13" style="1" bestFit="1" customWidth="1"/>
    <col min="15864" max="15867" width="11" style="1" bestFit="1" customWidth="1"/>
    <col min="15868" max="15870" width="12.25" style="1" bestFit="1" customWidth="1"/>
    <col min="15871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89" width="9" style="1"/>
    <col min="16090" max="16090" width="2.875" style="1" bestFit="1" customWidth="1"/>
    <col min="16091" max="16091" width="16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8" width="12.5" style="1" bestFit="1" customWidth="1"/>
    <col min="16099" max="16099" width="11" style="1" bestFit="1" customWidth="1"/>
    <col min="16100" max="16119" width="13" style="1" bestFit="1" customWidth="1"/>
    <col min="16120" max="16123" width="11" style="1" bestFit="1" customWidth="1"/>
    <col min="16124" max="16126" width="12.25" style="1" bestFit="1" customWidth="1"/>
    <col min="16127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57">
        <v>45627</v>
      </c>
      <c r="B3" s="57"/>
      <c r="C3" s="49" t="s">
        <v>236</v>
      </c>
    </row>
    <row r="4" spans="1:13" s="5" customFormat="1" x14ac:dyDescent="0.15">
      <c r="A4" s="50" t="s">
        <v>0</v>
      </c>
      <c r="B4" s="50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42</v>
      </c>
      <c r="L4" s="3" t="s">
        <v>43</v>
      </c>
      <c r="M4" s="4" t="s">
        <v>44</v>
      </c>
    </row>
    <row r="5" spans="1:13" s="5" customFormat="1" hidden="1" x14ac:dyDescent="0.15">
      <c r="A5" s="54" t="s">
        <v>45</v>
      </c>
      <c r="B5" s="58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54" t="s">
        <v>46</v>
      </c>
      <c r="B6" s="58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3"/>
      <c r="L6" s="3"/>
      <c r="M6" s="4"/>
    </row>
    <row r="7" spans="1:13" s="5" customFormat="1" x14ac:dyDescent="0.15">
      <c r="A7" s="56" t="s">
        <v>52</v>
      </c>
      <c r="B7" s="56"/>
      <c r="C7" s="42" t="s">
        <v>152</v>
      </c>
      <c r="D7" s="42"/>
      <c r="E7" s="42" t="s">
        <v>153</v>
      </c>
      <c r="F7" s="42" t="s">
        <v>154</v>
      </c>
      <c r="G7" s="42" t="s">
        <v>155</v>
      </c>
      <c r="H7" s="42" t="s">
        <v>156</v>
      </c>
      <c r="I7" s="42" t="s">
        <v>157</v>
      </c>
      <c r="J7" s="42"/>
      <c r="K7" s="6"/>
      <c r="L7" s="6"/>
      <c r="M7" s="7"/>
    </row>
    <row r="8" spans="1:13" s="5" customFormat="1" x14ac:dyDescent="0.15">
      <c r="A8" s="56" t="s">
        <v>53</v>
      </c>
      <c r="B8" s="56"/>
      <c r="C8" s="42" t="s">
        <v>198</v>
      </c>
      <c r="D8" s="42"/>
      <c r="E8" s="42" t="s">
        <v>199</v>
      </c>
      <c r="F8" s="42" t="s">
        <v>200</v>
      </c>
      <c r="G8" s="42" t="s">
        <v>201</v>
      </c>
      <c r="H8" s="42" t="s">
        <v>202</v>
      </c>
      <c r="I8" s="42" t="s">
        <v>203</v>
      </c>
      <c r="J8" s="42" t="s">
        <v>204</v>
      </c>
      <c r="K8" s="6"/>
      <c r="L8" s="6"/>
      <c r="M8" s="7"/>
    </row>
    <row r="9" spans="1:13" x14ac:dyDescent="0.15">
      <c r="A9" s="52" t="s">
        <v>54</v>
      </c>
      <c r="B9" s="53"/>
      <c r="C9" s="44">
        <v>10</v>
      </c>
      <c r="D9" s="44"/>
      <c r="E9" s="44">
        <v>10</v>
      </c>
      <c r="F9" s="44">
        <v>10</v>
      </c>
      <c r="G9" s="44">
        <v>8</v>
      </c>
      <c r="H9" s="44">
        <v>8</v>
      </c>
      <c r="I9" s="44">
        <v>8</v>
      </c>
      <c r="J9" s="44">
        <v>8</v>
      </c>
      <c r="K9" s="9">
        <f>SUM(C9:J9)</f>
        <v>62</v>
      </c>
      <c r="L9" s="9"/>
      <c r="M9" s="10"/>
    </row>
    <row r="10" spans="1:13" x14ac:dyDescent="0.15">
      <c r="A10" s="50" t="s">
        <v>55</v>
      </c>
      <c r="B10" s="50"/>
      <c r="C10" s="46" t="s">
        <v>56</v>
      </c>
      <c r="D10" s="46" t="s">
        <v>56</v>
      </c>
      <c r="E10" s="46" t="s">
        <v>56</v>
      </c>
      <c r="F10" s="46" t="s">
        <v>56</v>
      </c>
      <c r="G10" s="46" t="s">
        <v>57</v>
      </c>
      <c r="H10" s="46" t="s">
        <v>57</v>
      </c>
      <c r="I10" s="46" t="s">
        <v>57</v>
      </c>
      <c r="J10" s="47"/>
      <c r="K10" s="12"/>
      <c r="L10" s="12"/>
      <c r="M10" s="13"/>
    </row>
    <row r="11" spans="1:13" x14ac:dyDescent="0.15">
      <c r="A11" s="50" t="s">
        <v>66</v>
      </c>
      <c r="B11" s="50"/>
      <c r="C11" s="14">
        <v>5963.0999999999995</v>
      </c>
      <c r="D11" s="14">
        <v>0</v>
      </c>
      <c r="E11" s="14">
        <v>7255.7999999999993</v>
      </c>
      <c r="F11" s="14">
        <v>6206.6</v>
      </c>
      <c r="G11" s="14">
        <v>5441.5999999999995</v>
      </c>
      <c r="H11" s="14">
        <v>5715.8</v>
      </c>
      <c r="I11" s="14">
        <v>2363.8000000000002</v>
      </c>
      <c r="J11" s="14">
        <v>0</v>
      </c>
      <c r="K11" s="16">
        <f>SUM(C11:J11)</f>
        <v>32946.699999999997</v>
      </c>
      <c r="L11" s="16">
        <f t="shared" ref="L11:L42" si="0">AVERAGE(D11:J11)</f>
        <v>3854.7999999999997</v>
      </c>
      <c r="M11" s="13"/>
    </row>
    <row r="12" spans="1:13" x14ac:dyDescent="0.15">
      <c r="A12" s="54" t="s">
        <v>67</v>
      </c>
      <c r="B12" s="55"/>
      <c r="C12" s="18">
        <v>8.6277777777777782</v>
      </c>
      <c r="D12" s="18">
        <v>0</v>
      </c>
      <c r="E12" s="18">
        <v>11.059722222222222</v>
      </c>
      <c r="F12" s="18">
        <v>10.30486111111111</v>
      </c>
      <c r="G12" s="18">
        <v>7.709027777777778</v>
      </c>
      <c r="H12" s="18">
        <v>8.0583333333333336</v>
      </c>
      <c r="I12" s="18">
        <v>3.0041666666666669</v>
      </c>
      <c r="J12" s="18">
        <v>0</v>
      </c>
      <c r="K12" s="20">
        <f>SUM(C12:J12)</f>
        <v>48.763888888888893</v>
      </c>
      <c r="L12" s="20">
        <f t="shared" si="0"/>
        <v>5.7337301587301592</v>
      </c>
      <c r="M12" s="13"/>
    </row>
    <row r="13" spans="1:13" x14ac:dyDescent="0.15">
      <c r="A13" s="50" t="s">
        <v>68</v>
      </c>
      <c r="B13" s="50"/>
      <c r="C13" s="14">
        <v>1326715</v>
      </c>
      <c r="D13" s="14">
        <v>1411133</v>
      </c>
      <c r="E13" s="14">
        <v>1380056</v>
      </c>
      <c r="F13" s="14">
        <v>1318955</v>
      </c>
      <c r="G13" s="14">
        <v>1168600</v>
      </c>
      <c r="H13" s="14">
        <v>1127879</v>
      </c>
      <c r="I13" s="14">
        <v>417900</v>
      </c>
      <c r="J13" s="14">
        <v>0</v>
      </c>
      <c r="K13" s="16">
        <f>SUM(C13:J13)</f>
        <v>8151238</v>
      </c>
      <c r="L13" s="16">
        <f t="shared" si="0"/>
        <v>974931.85714285716</v>
      </c>
      <c r="M13" s="13">
        <f>K13/K13</f>
        <v>1</v>
      </c>
    </row>
    <row r="14" spans="1:13" x14ac:dyDescent="0.15">
      <c r="A14" s="54" t="s">
        <v>69</v>
      </c>
      <c r="B14" s="55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6">
        <f>SUM(C14:J14)</f>
        <v>0</v>
      </c>
      <c r="L14" s="16">
        <f t="shared" si="0"/>
        <v>0</v>
      </c>
      <c r="M14" s="13"/>
    </row>
    <row r="15" spans="1:13" x14ac:dyDescent="0.15">
      <c r="A15" s="50" t="s">
        <v>70</v>
      </c>
      <c r="B15" s="50"/>
      <c r="C15" s="14">
        <f>SUM(C13/C11)</f>
        <v>222.48746457379553</v>
      </c>
      <c r="D15" s="14" t="e">
        <f t="shared" ref="D15:J15" si="1">SUM(D13/D11)</f>
        <v>#DIV/0!</v>
      </c>
      <c r="E15" s="14">
        <f t="shared" si="1"/>
        <v>190.20039141100915</v>
      </c>
      <c r="F15" s="14">
        <f t="shared" si="1"/>
        <v>212.50845873747301</v>
      </c>
      <c r="G15" s="14">
        <f t="shared" si="1"/>
        <v>214.75301381946488</v>
      </c>
      <c r="H15" s="14">
        <f t="shared" si="1"/>
        <v>197.3265334686308</v>
      </c>
      <c r="I15" s="14">
        <f t="shared" si="1"/>
        <v>176.79160673491833</v>
      </c>
      <c r="J15" s="14" t="e">
        <f t="shared" si="1"/>
        <v>#DIV/0!</v>
      </c>
      <c r="K15" s="12">
        <f>SUM(K13/K11)</f>
        <v>247.40681160783936</v>
      </c>
      <c r="L15" s="16" t="e">
        <f t="shared" si="0"/>
        <v>#DIV/0!</v>
      </c>
      <c r="M15" s="13"/>
    </row>
    <row r="16" spans="1:13" x14ac:dyDescent="0.15">
      <c r="A16" s="54" t="s">
        <v>71</v>
      </c>
      <c r="B16" s="55"/>
      <c r="C16" s="21">
        <f t="shared" ref="C16:K16" si="2">C13/(C12*24)</f>
        <v>6407.187701223439</v>
      </c>
      <c r="D16" s="21" t="e">
        <f t="shared" si="2"/>
        <v>#DIV/0!</v>
      </c>
      <c r="E16" s="21">
        <f t="shared" si="2"/>
        <v>5199.2565615973881</v>
      </c>
      <c r="F16" s="21">
        <f t="shared" si="2"/>
        <v>5333.0615270570797</v>
      </c>
      <c r="G16" s="21">
        <f t="shared" si="2"/>
        <v>6316.1877308350595</v>
      </c>
      <c r="H16" s="21">
        <f t="shared" si="2"/>
        <v>5831.8459152016549</v>
      </c>
      <c r="I16" s="21">
        <f t="shared" si="2"/>
        <v>5796.116504854368</v>
      </c>
      <c r="J16" s="21" t="e">
        <f t="shared" si="2"/>
        <v>#DIV/0!</v>
      </c>
      <c r="K16" s="23">
        <f t="shared" si="2"/>
        <v>6964.8857875249205</v>
      </c>
      <c r="L16" s="23" t="e">
        <f t="shared" si="0"/>
        <v>#DIV/0!</v>
      </c>
      <c r="M16" s="13"/>
    </row>
    <row r="17" spans="1:13" x14ac:dyDescent="0.15">
      <c r="A17" s="51" t="s">
        <v>72</v>
      </c>
      <c r="B17" s="11" t="s">
        <v>73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43906</v>
      </c>
      <c r="J17" s="14">
        <v>300174</v>
      </c>
      <c r="K17" s="16">
        <f t="shared" ref="K17:K28" si="3">SUM(C17:J17)</f>
        <v>400330</v>
      </c>
      <c r="L17" s="16">
        <f t="shared" si="0"/>
        <v>57190</v>
      </c>
      <c r="M17" s="13">
        <f>K17/K13</f>
        <v>4.9112785076328283E-2</v>
      </c>
    </row>
    <row r="18" spans="1:13" x14ac:dyDescent="0.15">
      <c r="A18" s="51"/>
      <c r="B18" s="11" t="s">
        <v>74</v>
      </c>
      <c r="C18" s="14">
        <v>4025</v>
      </c>
      <c r="D18" s="14">
        <v>0</v>
      </c>
      <c r="E18" s="14">
        <v>4808</v>
      </c>
      <c r="F18" s="14">
        <v>4025</v>
      </c>
      <c r="G18" s="14">
        <v>4025</v>
      </c>
      <c r="H18" s="14">
        <v>4025</v>
      </c>
      <c r="I18" s="14">
        <v>2575</v>
      </c>
      <c r="J18" s="14">
        <v>4808</v>
      </c>
      <c r="K18" s="16">
        <f t="shared" si="3"/>
        <v>28291</v>
      </c>
      <c r="L18" s="16">
        <f t="shared" si="0"/>
        <v>3466.5714285714284</v>
      </c>
      <c r="M18" s="13">
        <f>K18/K13</f>
        <v>3.4707611285549507E-3</v>
      </c>
    </row>
    <row r="19" spans="1:13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6">
        <f t="shared" si="3"/>
        <v>0</v>
      </c>
      <c r="L19" s="16">
        <f t="shared" si="0"/>
        <v>0</v>
      </c>
      <c r="M19" s="13">
        <f>K19/K13</f>
        <v>0</v>
      </c>
    </row>
    <row r="20" spans="1:13" x14ac:dyDescent="0.15">
      <c r="A20" s="51"/>
      <c r="B20" s="11" t="s">
        <v>76</v>
      </c>
      <c r="C20" s="14">
        <v>4950</v>
      </c>
      <c r="D20" s="14">
        <v>0</v>
      </c>
      <c r="E20" s="14">
        <v>4766</v>
      </c>
      <c r="F20" s="14">
        <v>4583</v>
      </c>
      <c r="G20" s="14">
        <v>4583</v>
      </c>
      <c r="H20" s="14">
        <v>4774</v>
      </c>
      <c r="I20" s="14">
        <v>4766</v>
      </c>
      <c r="J20" s="14">
        <v>4583</v>
      </c>
      <c r="K20" s="16">
        <f t="shared" si="3"/>
        <v>33005</v>
      </c>
      <c r="L20" s="16">
        <f t="shared" si="0"/>
        <v>4007.8571428571427</v>
      </c>
      <c r="M20" s="13">
        <f>K20/K13</f>
        <v>4.0490781891045265E-3</v>
      </c>
    </row>
    <row r="21" spans="1:13" x14ac:dyDescent="0.15">
      <c r="A21" s="51"/>
      <c r="B21" s="11" t="s">
        <v>77</v>
      </c>
      <c r="C21" s="14">
        <v>43755</v>
      </c>
      <c r="D21" s="14">
        <v>0</v>
      </c>
      <c r="E21" s="14">
        <v>28979</v>
      </c>
      <c r="F21" s="14">
        <v>12575</v>
      </c>
      <c r="G21" s="14">
        <v>24305</v>
      </c>
      <c r="H21" s="14">
        <v>51672</v>
      </c>
      <c r="I21" s="14">
        <v>34940</v>
      </c>
      <c r="J21" s="14">
        <v>19729</v>
      </c>
      <c r="K21" s="16">
        <f t="shared" si="3"/>
        <v>215955</v>
      </c>
      <c r="L21" s="16">
        <f t="shared" si="0"/>
        <v>24600</v>
      </c>
      <c r="M21" s="13">
        <f>K21/K13</f>
        <v>2.6493521597578184E-2</v>
      </c>
    </row>
    <row r="22" spans="1:13" x14ac:dyDescent="0.15">
      <c r="A22" s="51"/>
      <c r="B22" s="24" t="s">
        <v>78</v>
      </c>
      <c r="C22" s="25">
        <f t="shared" ref="C22:J22" si="4">SUM(C17:C21)</f>
        <v>52730</v>
      </c>
      <c r="D22" s="25">
        <f t="shared" si="4"/>
        <v>0</v>
      </c>
      <c r="E22" s="25">
        <f t="shared" si="4"/>
        <v>38553</v>
      </c>
      <c r="F22" s="25">
        <f t="shared" si="4"/>
        <v>77433</v>
      </c>
      <c r="G22" s="25">
        <f t="shared" si="4"/>
        <v>32913</v>
      </c>
      <c r="H22" s="25">
        <f t="shared" si="4"/>
        <v>60471</v>
      </c>
      <c r="I22" s="25">
        <f t="shared" si="4"/>
        <v>86187</v>
      </c>
      <c r="J22" s="25">
        <f t="shared" si="4"/>
        <v>329294</v>
      </c>
      <c r="K22" s="27">
        <f t="shared" si="3"/>
        <v>677581</v>
      </c>
      <c r="L22" s="27">
        <f t="shared" si="0"/>
        <v>89264.428571428565</v>
      </c>
      <c r="M22" s="28">
        <f>K22/K13</f>
        <v>8.3126145991565939E-2</v>
      </c>
    </row>
    <row r="23" spans="1:13" x14ac:dyDescent="0.15">
      <c r="A23" s="51" t="s">
        <v>79</v>
      </c>
      <c r="B23" s="11" t="s">
        <v>80</v>
      </c>
      <c r="C23" s="14">
        <v>56639</v>
      </c>
      <c r="D23" s="14">
        <v>0</v>
      </c>
      <c r="E23" s="14">
        <v>152360</v>
      </c>
      <c r="F23" s="14">
        <v>49000</v>
      </c>
      <c r="G23" s="14">
        <v>81315</v>
      </c>
      <c r="H23" s="14">
        <v>0</v>
      </c>
      <c r="I23" s="14">
        <v>58723</v>
      </c>
      <c r="J23" s="14">
        <v>0</v>
      </c>
      <c r="K23" s="16">
        <f t="shared" si="3"/>
        <v>398037</v>
      </c>
      <c r="L23" s="16">
        <f t="shared" si="0"/>
        <v>48771.142857142855</v>
      </c>
      <c r="M23" s="13">
        <f>K23/K13</f>
        <v>4.883147811412205E-2</v>
      </c>
    </row>
    <row r="24" spans="1:13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6">
        <f t="shared" si="3"/>
        <v>0</v>
      </c>
      <c r="L24" s="16">
        <f t="shared" si="0"/>
        <v>0</v>
      </c>
      <c r="M24" s="13">
        <f>K24/K13</f>
        <v>0</v>
      </c>
    </row>
    <row r="25" spans="1:13" x14ac:dyDescent="0.15">
      <c r="A25" s="51"/>
      <c r="B25" s="11" t="s">
        <v>82</v>
      </c>
      <c r="C25" s="14">
        <f t="shared" ref="C25:J25" si="5">30000*C9/70000*C11</f>
        <v>25556.142857142855</v>
      </c>
      <c r="D25" s="14">
        <f t="shared" si="5"/>
        <v>0</v>
      </c>
      <c r="E25" s="14">
        <f t="shared" si="5"/>
        <v>31096.28571428571</v>
      </c>
      <c r="F25" s="14">
        <f t="shared" si="5"/>
        <v>26599.714285714286</v>
      </c>
      <c r="G25" s="14">
        <f t="shared" si="5"/>
        <v>18656.914285714283</v>
      </c>
      <c r="H25" s="14">
        <f t="shared" si="5"/>
        <v>19597.028571428571</v>
      </c>
      <c r="I25" s="14">
        <f t="shared" si="5"/>
        <v>8104.4571428571435</v>
      </c>
      <c r="J25" s="14">
        <f t="shared" si="5"/>
        <v>0</v>
      </c>
      <c r="K25" s="16">
        <f t="shared" si="3"/>
        <v>129610.54285714286</v>
      </c>
      <c r="L25" s="16">
        <f t="shared" si="0"/>
        <v>14864.914285714285</v>
      </c>
      <c r="M25" s="13">
        <f>K25/K13</f>
        <v>1.5900718744458555E-2</v>
      </c>
    </row>
    <row r="26" spans="1:13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6">
        <f t="shared" si="3"/>
        <v>0</v>
      </c>
      <c r="L26" s="16">
        <f t="shared" si="0"/>
        <v>0</v>
      </c>
      <c r="M26" s="13">
        <f>K26/K13</f>
        <v>0</v>
      </c>
    </row>
    <row r="27" spans="1:13" x14ac:dyDescent="0.15">
      <c r="A27" s="51"/>
      <c r="B27" s="24" t="s">
        <v>83</v>
      </c>
      <c r="C27" s="25">
        <f t="shared" ref="C27:J27" si="6">SUM(C23:C26)</f>
        <v>82195.142857142855</v>
      </c>
      <c r="D27" s="25">
        <f t="shared" si="6"/>
        <v>0</v>
      </c>
      <c r="E27" s="25">
        <f t="shared" si="6"/>
        <v>183456.28571428571</v>
      </c>
      <c r="F27" s="25">
        <f t="shared" si="6"/>
        <v>75599.71428571429</v>
      </c>
      <c r="G27" s="25">
        <f t="shared" si="6"/>
        <v>99971.914285714287</v>
      </c>
      <c r="H27" s="25">
        <f t="shared" si="6"/>
        <v>19597.028571428571</v>
      </c>
      <c r="I27" s="25">
        <f t="shared" si="6"/>
        <v>66827.457142857136</v>
      </c>
      <c r="J27" s="25">
        <f t="shared" si="6"/>
        <v>0</v>
      </c>
      <c r="K27" s="27">
        <f t="shared" si="3"/>
        <v>527647.54285714286</v>
      </c>
      <c r="L27" s="27">
        <f t="shared" si="0"/>
        <v>63636.057142857135</v>
      </c>
      <c r="M27" s="28">
        <f>K27/K13</f>
        <v>6.4732196858580601E-2</v>
      </c>
    </row>
    <row r="28" spans="1:13" x14ac:dyDescent="0.15">
      <c r="A28" s="51" t="s">
        <v>84</v>
      </c>
      <c r="B28" s="8" t="s">
        <v>85</v>
      </c>
      <c r="C28" s="29">
        <v>1585</v>
      </c>
      <c r="D28" s="29">
        <v>0</v>
      </c>
      <c r="E28" s="29">
        <v>1834</v>
      </c>
      <c r="F28" s="29">
        <v>2042</v>
      </c>
      <c r="G28" s="29">
        <v>1411</v>
      </c>
      <c r="H28" s="29">
        <v>1399</v>
      </c>
      <c r="I28" s="29">
        <v>644</v>
      </c>
      <c r="J28" s="29">
        <v>0</v>
      </c>
      <c r="K28" s="31">
        <f t="shared" si="3"/>
        <v>8915</v>
      </c>
      <c r="L28" s="31">
        <f t="shared" si="0"/>
        <v>1047.1428571428571</v>
      </c>
      <c r="M28" s="10">
        <f>K28/K13</f>
        <v>1.0936988957996319E-3</v>
      </c>
    </row>
    <row r="29" spans="1:13" x14ac:dyDescent="0.15">
      <c r="A29" s="51"/>
      <c r="B29" s="32" t="s">
        <v>86</v>
      </c>
      <c r="C29" s="33">
        <f t="shared" ref="C29:K29" si="7">SUM(C11/C28)</f>
        <v>3.7622082018927441</v>
      </c>
      <c r="D29" s="33" t="e">
        <f t="shared" si="7"/>
        <v>#DIV/0!</v>
      </c>
      <c r="E29" s="33">
        <f t="shared" si="7"/>
        <v>3.9562704471101413</v>
      </c>
      <c r="F29" s="33">
        <f t="shared" si="7"/>
        <v>3.0394711067580804</v>
      </c>
      <c r="G29" s="33">
        <f t="shared" si="7"/>
        <v>3.8565556343019129</v>
      </c>
      <c r="H29" s="33">
        <f t="shared" si="7"/>
        <v>4.0856325947105079</v>
      </c>
      <c r="I29" s="33">
        <f t="shared" si="7"/>
        <v>3.6704968944099381</v>
      </c>
      <c r="J29" s="33" t="e">
        <f t="shared" si="7"/>
        <v>#DIV/0!</v>
      </c>
      <c r="K29" s="35">
        <f t="shared" si="7"/>
        <v>3.6956477846326412</v>
      </c>
      <c r="L29" s="35" t="e">
        <f t="shared" si="0"/>
        <v>#DIV/0!</v>
      </c>
      <c r="M29" s="32">
        <f>K29/K13</f>
        <v>4.5338484591330068E-7</v>
      </c>
    </row>
    <row r="30" spans="1:13" x14ac:dyDescent="0.15">
      <c r="A30" s="51"/>
      <c r="B30" s="11" t="s">
        <v>87</v>
      </c>
      <c r="C30" s="14">
        <v>193053</v>
      </c>
      <c r="D30" s="14">
        <v>0</v>
      </c>
      <c r="E30" s="14">
        <v>223381</v>
      </c>
      <c r="F30" s="14">
        <v>248716</v>
      </c>
      <c r="G30" s="14">
        <v>171860</v>
      </c>
      <c r="H30" s="14">
        <v>170398</v>
      </c>
      <c r="I30" s="14">
        <v>78439</v>
      </c>
      <c r="J30" s="14">
        <v>0</v>
      </c>
      <c r="K30" s="16">
        <f t="shared" ref="K30:K43" si="8">SUM(C30:J30)</f>
        <v>1085847</v>
      </c>
      <c r="L30" s="16">
        <f t="shared" si="0"/>
        <v>127542</v>
      </c>
      <c r="M30" s="13">
        <f>K30/K13</f>
        <v>0.13321252550839516</v>
      </c>
    </row>
    <row r="31" spans="1:13" x14ac:dyDescent="0.15">
      <c r="A31" s="51"/>
      <c r="B31" s="11" t="s">
        <v>88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6">
        <f t="shared" si="8"/>
        <v>0</v>
      </c>
      <c r="L31" s="16">
        <f t="shared" si="0"/>
        <v>0</v>
      </c>
      <c r="M31" s="13">
        <f>K31/K13</f>
        <v>0</v>
      </c>
    </row>
    <row r="32" spans="1:13" x14ac:dyDescent="0.15">
      <c r="A32" s="51"/>
      <c r="B32" s="11" t="s">
        <v>89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6">
        <f t="shared" si="8"/>
        <v>0</v>
      </c>
      <c r="L32" s="16">
        <f t="shared" si="0"/>
        <v>0</v>
      </c>
      <c r="M32" s="13">
        <f>K32/K13</f>
        <v>0</v>
      </c>
    </row>
    <row r="33" spans="1:13" x14ac:dyDescent="0.15">
      <c r="A33" s="51"/>
      <c r="B33" s="24" t="s">
        <v>90</v>
      </c>
      <c r="C33" s="25">
        <f>SUM(C30:C32)</f>
        <v>193053</v>
      </c>
      <c r="D33" s="25">
        <f t="shared" ref="D33:J33" si="9">SUM(D30:D32)</f>
        <v>0</v>
      </c>
      <c r="E33" s="25">
        <f t="shared" si="9"/>
        <v>223381</v>
      </c>
      <c r="F33" s="25">
        <f t="shared" si="9"/>
        <v>248716</v>
      </c>
      <c r="G33" s="25">
        <f t="shared" si="9"/>
        <v>171860</v>
      </c>
      <c r="H33" s="25">
        <f t="shared" si="9"/>
        <v>170398</v>
      </c>
      <c r="I33" s="25">
        <f t="shared" si="9"/>
        <v>78439</v>
      </c>
      <c r="J33" s="25">
        <f t="shared" si="9"/>
        <v>0</v>
      </c>
      <c r="K33" s="27">
        <f t="shared" si="8"/>
        <v>1085847</v>
      </c>
      <c r="L33" s="27">
        <f t="shared" si="0"/>
        <v>127542</v>
      </c>
      <c r="M33" s="28">
        <f>K33/K13</f>
        <v>0.13321252550839516</v>
      </c>
    </row>
    <row r="34" spans="1:13" x14ac:dyDescent="0.15">
      <c r="A34" s="51" t="s">
        <v>91</v>
      </c>
      <c r="B34" s="11" t="s">
        <v>92</v>
      </c>
      <c r="C34" s="14">
        <v>2008</v>
      </c>
      <c r="D34" s="14">
        <v>0</v>
      </c>
      <c r="E34" s="14">
        <v>2008</v>
      </c>
      <c r="F34" s="14">
        <v>2008</v>
      </c>
      <c r="G34" s="14">
        <v>2365</v>
      </c>
      <c r="H34" s="14">
        <v>2012</v>
      </c>
      <c r="I34" s="14">
        <v>2008</v>
      </c>
      <c r="J34" s="14">
        <v>2008</v>
      </c>
      <c r="K34" s="16">
        <f t="shared" si="8"/>
        <v>14417</v>
      </c>
      <c r="L34" s="16">
        <f t="shared" si="0"/>
        <v>1772.7142857142858</v>
      </c>
      <c r="M34" s="13">
        <f>K34/K13</f>
        <v>1.7686883881933026E-3</v>
      </c>
    </row>
    <row r="35" spans="1:13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6">
        <f t="shared" si="8"/>
        <v>0</v>
      </c>
      <c r="L35" s="16">
        <f t="shared" si="0"/>
        <v>0</v>
      </c>
      <c r="M35" s="13">
        <f>K35/K13</f>
        <v>0</v>
      </c>
    </row>
    <row r="36" spans="1:13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6">
        <f t="shared" si="8"/>
        <v>0</v>
      </c>
      <c r="L36" s="16">
        <f t="shared" si="0"/>
        <v>0</v>
      </c>
      <c r="M36" s="13">
        <f>K36/K13</f>
        <v>0</v>
      </c>
    </row>
    <row r="37" spans="1:13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6">
        <f t="shared" si="8"/>
        <v>0</v>
      </c>
      <c r="L37" s="16">
        <f t="shared" si="0"/>
        <v>0</v>
      </c>
      <c r="M37" s="13">
        <f>K37/K13</f>
        <v>0</v>
      </c>
    </row>
    <row r="38" spans="1:13" x14ac:dyDescent="0.15">
      <c r="A38" s="51"/>
      <c r="B38" s="11" t="s">
        <v>93</v>
      </c>
      <c r="C38" s="14">
        <v>4621</v>
      </c>
      <c r="D38" s="14">
        <v>0</v>
      </c>
      <c r="E38" s="14">
        <v>4621</v>
      </c>
      <c r="F38" s="14">
        <v>7034</v>
      </c>
      <c r="G38" s="14">
        <v>5366</v>
      </c>
      <c r="H38" s="14">
        <v>5366</v>
      </c>
      <c r="I38" s="14">
        <v>5366</v>
      </c>
      <c r="J38" s="14">
        <v>9033</v>
      </c>
      <c r="K38" s="16">
        <f t="shared" si="8"/>
        <v>41407</v>
      </c>
      <c r="L38" s="16">
        <f t="shared" si="0"/>
        <v>5255.1428571428569</v>
      </c>
      <c r="M38" s="13">
        <f>K38/K13</f>
        <v>5.0798418596046391E-3</v>
      </c>
    </row>
    <row r="39" spans="1:13" x14ac:dyDescent="0.15">
      <c r="A39" s="51"/>
      <c r="B39" s="24" t="s">
        <v>94</v>
      </c>
      <c r="C39" s="25">
        <f t="shared" ref="C39:J39" si="10">SUM(C34:C38)</f>
        <v>6629</v>
      </c>
      <c r="D39" s="25">
        <f t="shared" si="10"/>
        <v>0</v>
      </c>
      <c r="E39" s="25">
        <f t="shared" si="10"/>
        <v>6629</v>
      </c>
      <c r="F39" s="25">
        <f t="shared" si="10"/>
        <v>9042</v>
      </c>
      <c r="G39" s="25">
        <f t="shared" si="10"/>
        <v>7731</v>
      </c>
      <c r="H39" s="25">
        <f t="shared" si="10"/>
        <v>7378</v>
      </c>
      <c r="I39" s="25">
        <f t="shared" si="10"/>
        <v>7374</v>
      </c>
      <c r="J39" s="25">
        <f t="shared" si="10"/>
        <v>11041</v>
      </c>
      <c r="K39" s="27">
        <f t="shared" si="8"/>
        <v>55824</v>
      </c>
      <c r="L39" s="27">
        <f t="shared" si="0"/>
        <v>7027.8571428571431</v>
      </c>
      <c r="M39" s="28">
        <f>K39/K13</f>
        <v>6.8485302477979421E-3</v>
      </c>
    </row>
    <row r="40" spans="1:13" x14ac:dyDescent="0.15">
      <c r="A40" s="51" t="s">
        <v>95</v>
      </c>
      <c r="B40" s="11" t="s">
        <v>96</v>
      </c>
      <c r="C40" s="14">
        <v>175040</v>
      </c>
      <c r="D40" s="14">
        <v>0</v>
      </c>
      <c r="E40" s="14">
        <v>217380</v>
      </c>
      <c r="F40" s="14">
        <v>198810</v>
      </c>
      <c r="G40" s="14">
        <v>212690</v>
      </c>
      <c r="H40" s="14">
        <v>225070</v>
      </c>
      <c r="I40" s="14">
        <v>93530</v>
      </c>
      <c r="J40" s="14">
        <v>0</v>
      </c>
      <c r="K40" s="16">
        <f t="shared" si="8"/>
        <v>1122520</v>
      </c>
      <c r="L40" s="16">
        <f t="shared" si="0"/>
        <v>135354.28571428571</v>
      </c>
      <c r="M40" s="13">
        <f>K40/K13</f>
        <v>0.1377115966924288</v>
      </c>
    </row>
    <row r="41" spans="1:13" x14ac:dyDescent="0.15">
      <c r="A41" s="51"/>
      <c r="B41" s="11" t="s">
        <v>97</v>
      </c>
      <c r="C41" s="14">
        <v>-95378</v>
      </c>
      <c r="D41" s="14">
        <v>0</v>
      </c>
      <c r="E41" s="14">
        <v>-158981</v>
      </c>
      <c r="F41" s="14">
        <v>-130495</v>
      </c>
      <c r="G41" s="14">
        <v>-111217</v>
      </c>
      <c r="H41" s="14">
        <v>-110315</v>
      </c>
      <c r="I41" s="14">
        <v>-42075</v>
      </c>
      <c r="J41" s="14">
        <v>0</v>
      </c>
      <c r="K41" s="16">
        <f t="shared" si="8"/>
        <v>-648461</v>
      </c>
      <c r="L41" s="16">
        <f t="shared" si="0"/>
        <v>-79011.857142857145</v>
      </c>
      <c r="M41" s="13">
        <f>K41/K13</f>
        <v>-7.9553682520372981E-2</v>
      </c>
    </row>
    <row r="42" spans="1:13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6">
        <f t="shared" si="8"/>
        <v>0</v>
      </c>
      <c r="L42" s="16">
        <f t="shared" si="0"/>
        <v>0</v>
      </c>
      <c r="M42" s="13">
        <f>K42/K13</f>
        <v>0</v>
      </c>
    </row>
    <row r="43" spans="1:13" x14ac:dyDescent="0.15">
      <c r="A43" s="51"/>
      <c r="B43" s="11" t="s">
        <v>99</v>
      </c>
      <c r="C43" s="14">
        <v>-56012.800000000003</v>
      </c>
      <c r="D43" s="14">
        <v>0</v>
      </c>
      <c r="E43" s="14">
        <v>-69561.600000000006</v>
      </c>
      <c r="F43" s="14">
        <v>-63619.199999999997</v>
      </c>
      <c r="G43" s="14">
        <v>-68060.800000000003</v>
      </c>
      <c r="H43" s="14">
        <v>-72022.399999999994</v>
      </c>
      <c r="I43" s="14">
        <v>-29929.599999999999</v>
      </c>
      <c r="J43" s="14">
        <v>0</v>
      </c>
      <c r="K43" s="16">
        <f t="shared" si="8"/>
        <v>-359206.40000000002</v>
      </c>
      <c r="L43" s="16">
        <f>AVERAGE(B43:J43)</f>
        <v>-44900.800000000003</v>
      </c>
      <c r="M43" s="13">
        <f>K43/K13</f>
        <v>-4.4067710941577222E-2</v>
      </c>
    </row>
    <row r="44" spans="1:13" x14ac:dyDescent="0.15">
      <c r="A44" s="51"/>
      <c r="B44" s="24" t="s">
        <v>100</v>
      </c>
      <c r="C44" s="25">
        <f t="shared" ref="C44:K44" si="11">SUM(C40:C43)</f>
        <v>23649.199999999997</v>
      </c>
      <c r="D44" s="25">
        <f t="shared" si="11"/>
        <v>0</v>
      </c>
      <c r="E44" s="25">
        <f t="shared" si="11"/>
        <v>-11162.600000000006</v>
      </c>
      <c r="F44" s="25">
        <f t="shared" si="11"/>
        <v>4695.8000000000029</v>
      </c>
      <c r="G44" s="25">
        <f t="shared" si="11"/>
        <v>33412.199999999997</v>
      </c>
      <c r="H44" s="25">
        <f t="shared" si="11"/>
        <v>42732.600000000006</v>
      </c>
      <c r="I44" s="25">
        <f t="shared" si="11"/>
        <v>21525.4</v>
      </c>
      <c r="J44" s="25">
        <f t="shared" si="11"/>
        <v>0</v>
      </c>
      <c r="K44" s="27">
        <f t="shared" si="11"/>
        <v>114852.59999999998</v>
      </c>
      <c r="L44" s="27">
        <f>AVERAGE(B44:J44)</f>
        <v>14356.575000000001</v>
      </c>
      <c r="M44" s="28">
        <f>K44/K13</f>
        <v>1.4090203230478607E-2</v>
      </c>
    </row>
    <row r="45" spans="1:13" x14ac:dyDescent="0.15">
      <c r="A45" s="51" t="s">
        <v>101</v>
      </c>
      <c r="B45" s="11" t="s">
        <v>102</v>
      </c>
      <c r="C45" s="14">
        <v>380841</v>
      </c>
      <c r="D45" s="14">
        <v>0</v>
      </c>
      <c r="E45" s="14">
        <v>423558</v>
      </c>
      <c r="F45" s="14">
        <v>390757</v>
      </c>
      <c r="G45" s="14">
        <v>371082</v>
      </c>
      <c r="H45" s="14">
        <v>381553</v>
      </c>
      <c r="I45" s="14">
        <v>311101</v>
      </c>
      <c r="J45" s="14">
        <v>0</v>
      </c>
      <c r="K45" s="16">
        <f t="shared" ref="K45:K60" si="12">SUM(C45:J45)</f>
        <v>2258892</v>
      </c>
      <c r="L45" s="16">
        <f t="shared" ref="L45:L60" si="13">AVERAGE(D45:J45)</f>
        <v>268293</v>
      </c>
      <c r="M45" s="13">
        <f>K45/K13</f>
        <v>0.27712256714869571</v>
      </c>
    </row>
    <row r="46" spans="1:13" x14ac:dyDescent="0.15">
      <c r="A46" s="51"/>
      <c r="B46" s="11" t="s">
        <v>103</v>
      </c>
      <c r="C46" s="14">
        <v>16000</v>
      </c>
      <c r="D46" s="14">
        <v>0</v>
      </c>
      <c r="E46" s="14">
        <v>13500</v>
      </c>
      <c r="F46" s="14">
        <v>14335</v>
      </c>
      <c r="G46" s="14">
        <v>24000</v>
      </c>
      <c r="H46" s="14">
        <v>14335</v>
      </c>
      <c r="I46" s="14">
        <v>0</v>
      </c>
      <c r="J46" s="14">
        <v>0</v>
      </c>
      <c r="K46" s="16">
        <f t="shared" si="12"/>
        <v>82170</v>
      </c>
      <c r="L46" s="16">
        <f t="shared" si="13"/>
        <v>9452.8571428571431</v>
      </c>
      <c r="M46" s="13">
        <f>K46/K13</f>
        <v>1.0080677315519433E-2</v>
      </c>
    </row>
    <row r="47" spans="1:13" x14ac:dyDescent="0.15">
      <c r="A47" s="51"/>
      <c r="B47" s="11" t="s">
        <v>104</v>
      </c>
      <c r="C47" s="14">
        <v>64744</v>
      </c>
      <c r="D47" s="14">
        <v>0</v>
      </c>
      <c r="E47" s="14">
        <v>64366</v>
      </c>
      <c r="F47" s="14">
        <v>64494</v>
      </c>
      <c r="G47" s="14">
        <v>62926</v>
      </c>
      <c r="H47" s="14">
        <v>58434</v>
      </c>
      <c r="I47" s="14">
        <v>50200</v>
      </c>
      <c r="J47" s="14">
        <v>0</v>
      </c>
      <c r="K47" s="16">
        <f t="shared" si="12"/>
        <v>365164</v>
      </c>
      <c r="L47" s="16">
        <f t="shared" si="13"/>
        <v>42917.142857142855</v>
      </c>
      <c r="M47" s="13">
        <f>K47/K13</f>
        <v>4.4798593784158923E-2</v>
      </c>
    </row>
    <row r="48" spans="1:13" x14ac:dyDescent="0.15">
      <c r="A48" s="51"/>
      <c r="B48" s="11" t="s">
        <v>105</v>
      </c>
      <c r="C48" s="14">
        <v>6000</v>
      </c>
      <c r="D48" s="14">
        <v>0</v>
      </c>
      <c r="E48" s="14">
        <v>6000</v>
      </c>
      <c r="F48" s="14">
        <v>6000</v>
      </c>
      <c r="G48" s="14">
        <v>6000</v>
      </c>
      <c r="H48" s="14">
        <v>6000</v>
      </c>
      <c r="I48" s="14">
        <v>0</v>
      </c>
      <c r="J48" s="14">
        <v>0</v>
      </c>
      <c r="K48" s="16">
        <f t="shared" si="12"/>
        <v>30000</v>
      </c>
      <c r="L48" s="16">
        <f t="shared" si="13"/>
        <v>3428.5714285714284</v>
      </c>
      <c r="M48" s="13">
        <f>K48/K13</f>
        <v>3.6804225321356095E-3</v>
      </c>
    </row>
    <row r="49" spans="1:13" x14ac:dyDescent="0.15">
      <c r="A49" s="51"/>
      <c r="B49" s="24" t="s">
        <v>106</v>
      </c>
      <c r="C49" s="25">
        <f t="shared" ref="C49:J49" si="14">SUM(C45:C48)</f>
        <v>467585</v>
      </c>
      <c r="D49" s="25">
        <f t="shared" si="14"/>
        <v>0</v>
      </c>
      <c r="E49" s="25">
        <f t="shared" si="14"/>
        <v>507424</v>
      </c>
      <c r="F49" s="25">
        <f t="shared" si="14"/>
        <v>475586</v>
      </c>
      <c r="G49" s="25">
        <f t="shared" si="14"/>
        <v>464008</v>
      </c>
      <c r="H49" s="25">
        <f t="shared" si="14"/>
        <v>460322</v>
      </c>
      <c r="I49" s="25">
        <f t="shared" si="14"/>
        <v>361301</v>
      </c>
      <c r="J49" s="25">
        <f t="shared" si="14"/>
        <v>0</v>
      </c>
      <c r="K49" s="27">
        <f t="shared" si="12"/>
        <v>2736226</v>
      </c>
      <c r="L49" s="27">
        <f t="shared" si="13"/>
        <v>324091.57142857142</v>
      </c>
      <c r="M49" s="28">
        <f>K49/K13</f>
        <v>0.33568226078050967</v>
      </c>
    </row>
    <row r="50" spans="1:13" x14ac:dyDescent="0.15">
      <c r="A50" s="51" t="s">
        <v>107</v>
      </c>
      <c r="B50" s="11" t="s">
        <v>108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6">
        <f t="shared" si="12"/>
        <v>0</v>
      </c>
      <c r="L50" s="16">
        <f t="shared" si="13"/>
        <v>0</v>
      </c>
      <c r="M50" s="13">
        <f>K50/K13</f>
        <v>0</v>
      </c>
    </row>
    <row r="51" spans="1:13" x14ac:dyDescent="0.15">
      <c r="A51" s="51"/>
      <c r="B51" s="11" t="s">
        <v>109</v>
      </c>
      <c r="C51" s="14">
        <v>0</v>
      </c>
      <c r="D51" s="14">
        <v>1338645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6">
        <f t="shared" si="12"/>
        <v>1338645</v>
      </c>
      <c r="L51" s="16">
        <f t="shared" si="13"/>
        <v>191235</v>
      </c>
      <c r="M51" s="13">
        <f>K51/K13</f>
        <v>0.1642259740176891</v>
      </c>
    </row>
    <row r="52" spans="1:13" x14ac:dyDescent="0.15">
      <c r="A52" s="51"/>
      <c r="B52" s="11" t="s">
        <v>110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6">
        <f t="shared" si="12"/>
        <v>0</v>
      </c>
      <c r="L52" s="16">
        <f t="shared" si="13"/>
        <v>0</v>
      </c>
      <c r="M52" s="13">
        <f>K52/K13</f>
        <v>0</v>
      </c>
    </row>
    <row r="53" spans="1:13" x14ac:dyDescent="0.15">
      <c r="A53" s="51"/>
      <c r="B53" s="11" t="s">
        <v>111</v>
      </c>
      <c r="C53" s="14">
        <v>99630.857142857145</v>
      </c>
      <c r="D53" s="14">
        <v>0</v>
      </c>
      <c r="E53" s="14">
        <v>99630.857142857145</v>
      </c>
      <c r="F53" s="14">
        <v>99630.857142857145</v>
      </c>
      <c r="G53" s="14">
        <v>99630.857142857145</v>
      </c>
      <c r="H53" s="14">
        <v>99630.857142857145</v>
      </c>
      <c r="I53" s="14">
        <v>99630.857142857145</v>
      </c>
      <c r="J53" s="14">
        <v>99630.857142857145</v>
      </c>
      <c r="K53" s="16">
        <f t="shared" si="12"/>
        <v>697416</v>
      </c>
      <c r="L53" s="16">
        <f t="shared" si="13"/>
        <v>85397.8775510204</v>
      </c>
      <c r="M53" s="13">
        <f>K53/K13</f>
        <v>8.5559518689062933E-2</v>
      </c>
    </row>
    <row r="54" spans="1:13" x14ac:dyDescent="0.15">
      <c r="A54" s="51"/>
      <c r="B54" s="11" t="s">
        <v>112</v>
      </c>
      <c r="C54" s="14">
        <v>71589.28571428571</v>
      </c>
      <c r="D54" s="14">
        <v>0</v>
      </c>
      <c r="E54" s="14">
        <v>71589.28571428571</v>
      </c>
      <c r="F54" s="14">
        <v>71589.28571428571</v>
      </c>
      <c r="G54" s="14">
        <v>71589.28571428571</v>
      </c>
      <c r="H54" s="14">
        <v>71589.28571428571</v>
      </c>
      <c r="I54" s="14">
        <v>71589.28571428571</v>
      </c>
      <c r="J54" s="14">
        <v>71589.28571428571</v>
      </c>
      <c r="K54" s="16">
        <f t="shared" si="12"/>
        <v>501124.99999999988</v>
      </c>
      <c r="L54" s="16">
        <f t="shared" si="13"/>
        <v>61362.244897959172</v>
      </c>
      <c r="M54" s="13">
        <f>K54/K13</f>
        <v>6.1478391380548558E-2</v>
      </c>
    </row>
    <row r="55" spans="1:13" x14ac:dyDescent="0.15">
      <c r="A55" s="51"/>
      <c r="B55" s="24" t="s">
        <v>113</v>
      </c>
      <c r="C55" s="25">
        <f t="shared" ref="C55:J55" si="15">SUM(C50:C54)</f>
        <v>171220.14285714284</v>
      </c>
      <c r="D55" s="25">
        <f t="shared" si="15"/>
        <v>1338645</v>
      </c>
      <c r="E55" s="25">
        <f t="shared" si="15"/>
        <v>171220.14285714284</v>
      </c>
      <c r="F55" s="25">
        <f t="shared" si="15"/>
        <v>171220.14285714284</v>
      </c>
      <c r="G55" s="25">
        <f t="shared" si="15"/>
        <v>171220.14285714284</v>
      </c>
      <c r="H55" s="25">
        <f t="shared" si="15"/>
        <v>171220.14285714284</v>
      </c>
      <c r="I55" s="25">
        <f t="shared" si="15"/>
        <v>171220.14285714284</v>
      </c>
      <c r="J55" s="25">
        <f t="shared" si="15"/>
        <v>171220.14285714284</v>
      </c>
      <c r="K55" s="27">
        <f t="shared" si="12"/>
        <v>2537185.9999999991</v>
      </c>
      <c r="L55" s="27">
        <f t="shared" si="13"/>
        <v>337995.12244897947</v>
      </c>
      <c r="M55" s="28">
        <f>K55/K13</f>
        <v>0.31126388408730049</v>
      </c>
    </row>
    <row r="56" spans="1:13" x14ac:dyDescent="0.15">
      <c r="A56" s="50" t="s">
        <v>114</v>
      </c>
      <c r="B56" s="50"/>
      <c r="C56" s="14">
        <f t="shared" ref="C56:J56" si="16">SUM(C49+C22+C27+C33+C39+C44+C55)</f>
        <v>997061.48571428563</v>
      </c>
      <c r="D56" s="14">
        <f t="shared" si="16"/>
        <v>1338645</v>
      </c>
      <c r="E56" s="14">
        <f t="shared" si="16"/>
        <v>1119500.8285714285</v>
      </c>
      <c r="F56" s="14">
        <f t="shared" si="16"/>
        <v>1062292.6571428571</v>
      </c>
      <c r="G56" s="14">
        <f t="shared" si="16"/>
        <v>981116.25714285707</v>
      </c>
      <c r="H56" s="14">
        <f t="shared" si="16"/>
        <v>932118.77142857143</v>
      </c>
      <c r="I56" s="14">
        <f t="shared" si="16"/>
        <v>792874</v>
      </c>
      <c r="J56" s="14">
        <f t="shared" si="16"/>
        <v>511555.14285714284</v>
      </c>
      <c r="K56" s="16">
        <f t="shared" si="12"/>
        <v>7735164.1428571418</v>
      </c>
      <c r="L56" s="16">
        <f t="shared" si="13"/>
        <v>962586.09387755091</v>
      </c>
      <c r="M56" s="13">
        <f>K56/K13</f>
        <v>0.94895574670462846</v>
      </c>
    </row>
    <row r="57" spans="1:13" x14ac:dyDescent="0.15">
      <c r="A57" s="50" t="s">
        <v>115</v>
      </c>
      <c r="B57" s="50"/>
      <c r="C57" s="14">
        <f>SUM(C13+C14-C56)</f>
        <v>329653.51428571437</v>
      </c>
      <c r="D57" s="14">
        <f t="shared" ref="D57:J57" si="17">SUM(D13+D14-D56)</f>
        <v>72488</v>
      </c>
      <c r="E57" s="14">
        <f t="shared" si="17"/>
        <v>260555.17142857146</v>
      </c>
      <c r="F57" s="14">
        <f t="shared" si="17"/>
        <v>256662.34285714291</v>
      </c>
      <c r="G57" s="14">
        <f t="shared" si="17"/>
        <v>187483.74285714293</v>
      </c>
      <c r="H57" s="14">
        <f t="shared" si="17"/>
        <v>195760.22857142857</v>
      </c>
      <c r="I57" s="14">
        <f t="shared" si="17"/>
        <v>-374974</v>
      </c>
      <c r="J57" s="14">
        <f t="shared" si="17"/>
        <v>-511555.14285714284</v>
      </c>
      <c r="K57" s="16">
        <f t="shared" si="12"/>
        <v>416073.85714285716</v>
      </c>
      <c r="L57" s="16">
        <f t="shared" si="13"/>
        <v>12345.763265306146</v>
      </c>
      <c r="M57" s="13">
        <f>K57/K13</f>
        <v>5.1044253295371468E-2</v>
      </c>
    </row>
    <row r="58" spans="1:13" x14ac:dyDescent="0.15">
      <c r="A58" s="50" t="s">
        <v>116</v>
      </c>
      <c r="B58" s="50"/>
      <c r="C58" s="14">
        <v>87826.465116279069</v>
      </c>
      <c r="D58" s="14">
        <v>0</v>
      </c>
      <c r="E58" s="14">
        <v>87826.465116279069</v>
      </c>
      <c r="F58" s="14">
        <v>87826.465116279069</v>
      </c>
      <c r="G58" s="14">
        <v>87826.465116279069</v>
      </c>
      <c r="H58" s="14">
        <v>87826.465116279069</v>
      </c>
      <c r="I58" s="14">
        <v>87826.465116279069</v>
      </c>
      <c r="J58" s="14">
        <v>87826.465116279069</v>
      </c>
      <c r="K58" s="16">
        <f t="shared" si="12"/>
        <v>614785.25581395347</v>
      </c>
      <c r="L58" s="16">
        <f t="shared" si="13"/>
        <v>75279.827242524916</v>
      </c>
      <c r="M58" s="13">
        <f>K58/K13</f>
        <v>7.5422316930747635E-2</v>
      </c>
    </row>
    <row r="59" spans="1:13" x14ac:dyDescent="0.15">
      <c r="A59" s="50" t="s">
        <v>117</v>
      </c>
      <c r="B59" s="50"/>
      <c r="C59" s="14">
        <v>42477.813953488374</v>
      </c>
      <c r="D59" s="14">
        <v>0</v>
      </c>
      <c r="E59" s="14">
        <v>42477.813953488374</v>
      </c>
      <c r="F59" s="14">
        <v>42477.813953488374</v>
      </c>
      <c r="G59" s="14">
        <v>42477.813953488374</v>
      </c>
      <c r="H59" s="14">
        <v>42477.813953488374</v>
      </c>
      <c r="I59" s="14">
        <v>42477.813953488374</v>
      </c>
      <c r="J59" s="14">
        <v>42477.813953488374</v>
      </c>
      <c r="K59" s="16">
        <f t="shared" si="12"/>
        <v>297344.69767441862</v>
      </c>
      <c r="L59" s="16">
        <f t="shared" si="13"/>
        <v>36409.554817275748</v>
      </c>
      <c r="M59" s="13">
        <f>K59/K13</f>
        <v>3.6478470837732702E-2</v>
      </c>
    </row>
    <row r="60" spans="1:13" x14ac:dyDescent="0.15">
      <c r="A60" s="50" t="s">
        <v>118</v>
      </c>
      <c r="B60" s="50"/>
      <c r="C60" s="14">
        <f>SUM(C57-(C58+C59))</f>
        <v>199349.23521594692</v>
      </c>
      <c r="D60" s="14">
        <f t="shared" ref="D60:J60" si="18">SUM(D57-(D58+D59))</f>
        <v>72488</v>
      </c>
      <c r="E60" s="14">
        <f t="shared" si="18"/>
        <v>130250.89235880401</v>
      </c>
      <c r="F60" s="14">
        <f t="shared" si="18"/>
        <v>126358.06378737546</v>
      </c>
      <c r="G60" s="14">
        <f t="shared" si="18"/>
        <v>57179.463787375484</v>
      </c>
      <c r="H60" s="14">
        <f t="shared" si="18"/>
        <v>65455.949501661118</v>
      </c>
      <c r="I60" s="14">
        <f t="shared" si="18"/>
        <v>-505278.27906976745</v>
      </c>
      <c r="J60" s="14">
        <f t="shared" si="18"/>
        <v>-641859.42192691029</v>
      </c>
      <c r="K60" s="16">
        <f t="shared" si="12"/>
        <v>-496056.09634551476</v>
      </c>
      <c r="L60" s="16">
        <f t="shared" si="13"/>
        <v>-99343.618794494527</v>
      </c>
      <c r="M60" s="13">
        <f>K60/K13</f>
        <v>-6.0856534473108841E-2</v>
      </c>
    </row>
    <row r="61" spans="1:13" x14ac:dyDescent="0.15">
      <c r="A61" s="11"/>
      <c r="B61" s="36" t="s">
        <v>47</v>
      </c>
      <c r="C61" s="36"/>
      <c r="D61" s="36"/>
      <c r="E61" s="36"/>
      <c r="F61" s="36" t="s">
        <v>119</v>
      </c>
      <c r="G61" s="36"/>
      <c r="H61" s="11"/>
      <c r="I61" s="11"/>
      <c r="J61" s="11"/>
    </row>
    <row r="62" spans="1:13" x14ac:dyDescent="0.15">
      <c r="A62" s="12"/>
      <c r="B62" s="37"/>
      <c r="C62" s="17" t="s">
        <v>120</v>
      </c>
      <c r="D62" s="2" t="s">
        <v>121</v>
      </c>
      <c r="E62" s="2" t="s">
        <v>122</v>
      </c>
      <c r="F62" s="2" t="s">
        <v>123</v>
      </c>
      <c r="G62" s="2" t="s">
        <v>124</v>
      </c>
      <c r="H62" s="38"/>
      <c r="I62" s="11"/>
      <c r="J62" s="11"/>
    </row>
    <row r="63" spans="1:13" x14ac:dyDescent="0.15">
      <c r="A63" s="12"/>
      <c r="B63" s="39" t="s">
        <v>125</v>
      </c>
      <c r="C63" s="29">
        <v>0</v>
      </c>
      <c r="D63" s="29">
        <v>697416</v>
      </c>
      <c r="E63" s="29">
        <v>501125</v>
      </c>
      <c r="F63" s="29">
        <v>3776538</v>
      </c>
      <c r="G63" s="29">
        <v>1826546</v>
      </c>
      <c r="H63" s="38"/>
      <c r="I63" s="11"/>
      <c r="J63" s="11"/>
    </row>
    <row r="64" spans="1:13" x14ac:dyDescent="0.15">
      <c r="A64" s="12"/>
      <c r="B64" s="40" t="s">
        <v>126</v>
      </c>
      <c r="C64" s="29">
        <v>7</v>
      </c>
      <c r="D64" s="29">
        <v>7</v>
      </c>
      <c r="E64" s="29">
        <v>7</v>
      </c>
      <c r="F64" s="29">
        <v>43</v>
      </c>
      <c r="G64" s="29">
        <v>43</v>
      </c>
      <c r="H64" s="38"/>
      <c r="I64" s="11"/>
      <c r="J64" s="11"/>
    </row>
    <row r="65" spans="1:10" x14ac:dyDescent="0.15">
      <c r="A65" s="12"/>
      <c r="B65" s="40" t="s">
        <v>42</v>
      </c>
      <c r="C65" s="14">
        <f>SUM(C63/C64)</f>
        <v>0</v>
      </c>
      <c r="D65" s="14">
        <f t="shared" ref="D65:G65" si="19">SUM(D63/D64)</f>
        <v>99630.857142857145</v>
      </c>
      <c r="E65" s="14">
        <f t="shared" si="19"/>
        <v>71589.28571428571</v>
      </c>
      <c r="F65" s="14">
        <f t="shared" si="19"/>
        <v>87826.465116279069</v>
      </c>
      <c r="G65" s="14">
        <f t="shared" si="19"/>
        <v>42477.813953488374</v>
      </c>
      <c r="H65" s="38"/>
      <c r="I65" s="11"/>
      <c r="J65" s="11"/>
    </row>
    <row r="66" spans="1:10" x14ac:dyDescent="0.15">
      <c r="A66" s="11"/>
      <c r="B66" s="41" t="s">
        <v>48</v>
      </c>
      <c r="C66" s="41"/>
      <c r="D66" s="41"/>
      <c r="E66" s="41"/>
      <c r="F66" s="41"/>
      <c r="G66" s="41"/>
      <c r="H66" s="11"/>
      <c r="I66" s="11"/>
      <c r="J66" s="11"/>
    </row>
    <row r="67" spans="1:10" x14ac:dyDescent="0.15">
      <c r="A67" s="11"/>
      <c r="B67" s="37"/>
      <c r="C67" s="17" t="s">
        <v>127</v>
      </c>
      <c r="D67" s="2" t="s">
        <v>128</v>
      </c>
      <c r="E67" s="2" t="s">
        <v>129</v>
      </c>
      <c r="F67" s="11"/>
      <c r="G67" s="11"/>
      <c r="H67" s="11"/>
      <c r="I67" s="11"/>
      <c r="J67" s="11"/>
    </row>
    <row r="68" spans="1:10" x14ac:dyDescent="0.15">
      <c r="A68" s="11"/>
      <c r="B68" s="39" t="s">
        <v>125</v>
      </c>
      <c r="C68" s="29">
        <v>117000</v>
      </c>
      <c r="D68" s="29">
        <v>1646815</v>
      </c>
      <c r="E68" s="29">
        <v>1246197</v>
      </c>
      <c r="F68" s="11"/>
      <c r="G68" s="11"/>
      <c r="H68" s="11"/>
      <c r="I68" s="11"/>
      <c r="J68" s="11"/>
    </row>
    <row r="69" spans="1:10" x14ac:dyDescent="0.15">
      <c r="A69" s="11"/>
      <c r="B69" s="40" t="s">
        <v>126</v>
      </c>
      <c r="C69" s="29">
        <v>18</v>
      </c>
      <c r="D69" s="29">
        <v>18</v>
      </c>
      <c r="E69" s="29">
        <v>18</v>
      </c>
      <c r="F69" s="11"/>
      <c r="G69" s="11"/>
      <c r="H69" s="11"/>
      <c r="I69" s="11"/>
      <c r="J69" s="11"/>
    </row>
    <row r="70" spans="1:10" x14ac:dyDescent="0.15">
      <c r="A70" s="11"/>
      <c r="B70" s="40" t="s">
        <v>42</v>
      </c>
      <c r="C70" s="14">
        <f>SUM(C68/C69)</f>
        <v>6500</v>
      </c>
      <c r="D70" s="14">
        <f t="shared" ref="D70:E70" si="20">SUM(D68/D69)</f>
        <v>91489.722222222219</v>
      </c>
      <c r="E70" s="14">
        <f t="shared" si="20"/>
        <v>69233.166666666672</v>
      </c>
      <c r="F70" s="11"/>
      <c r="G70" s="11"/>
      <c r="H70" s="11"/>
      <c r="I70" s="11"/>
      <c r="J70" s="11"/>
    </row>
    <row r="71" spans="1:10" x14ac:dyDescent="0.15">
      <c r="A71" s="11"/>
      <c r="B71" s="11" t="s">
        <v>130</v>
      </c>
      <c r="C71" s="11"/>
      <c r="D71" s="11"/>
      <c r="E71" s="11"/>
      <c r="F71" s="11"/>
      <c r="G71" s="11"/>
      <c r="H71" s="11"/>
      <c r="I71" s="11"/>
      <c r="J71" s="11"/>
    </row>
    <row r="72" spans="1:10" x14ac:dyDescent="0.15">
      <c r="A72" s="11"/>
      <c r="B72" s="37"/>
      <c r="C72" s="17" t="s">
        <v>131</v>
      </c>
      <c r="D72" s="2" t="s">
        <v>132</v>
      </c>
      <c r="E72" s="2" t="s">
        <v>133</v>
      </c>
      <c r="F72" s="11"/>
      <c r="G72" s="11"/>
      <c r="H72" s="11"/>
      <c r="I72" s="11"/>
      <c r="J72" s="11"/>
    </row>
    <row r="73" spans="1:10" x14ac:dyDescent="0.15">
      <c r="A73" s="11"/>
      <c r="B73" s="39" t="s">
        <v>125</v>
      </c>
      <c r="C73" s="29"/>
      <c r="D73" s="29"/>
      <c r="E73" s="29"/>
      <c r="F73" s="11"/>
      <c r="G73" s="11"/>
      <c r="H73" s="11"/>
      <c r="I73" s="11"/>
      <c r="J73" s="11"/>
    </row>
    <row r="74" spans="1:10" x14ac:dyDescent="0.15">
      <c r="A74" s="11"/>
      <c r="B74" s="40" t="s">
        <v>126</v>
      </c>
      <c r="C74" s="29"/>
      <c r="D74" s="29"/>
      <c r="E74" s="29"/>
      <c r="F74" s="11"/>
      <c r="G74" s="11"/>
      <c r="H74" s="11"/>
      <c r="I74" s="11"/>
      <c r="J74" s="11"/>
    </row>
    <row r="75" spans="1:10" x14ac:dyDescent="0.15">
      <c r="A75" s="11"/>
      <c r="B75" s="40" t="s">
        <v>42</v>
      </c>
      <c r="C75" s="14" t="e">
        <f>SUM(C73/C74)</f>
        <v>#DIV/0!</v>
      </c>
      <c r="D75" s="14" t="e">
        <f t="shared" ref="D75:E75" si="21">SUM(D73/D74)</f>
        <v>#DIV/0!</v>
      </c>
      <c r="E75" s="14" t="e">
        <f t="shared" si="21"/>
        <v>#DIV/0!</v>
      </c>
      <c r="F75" s="11"/>
      <c r="G75" s="11"/>
      <c r="H75" s="11"/>
      <c r="I75" s="11"/>
      <c r="J75" s="11"/>
    </row>
    <row r="76" spans="1:10" x14ac:dyDescent="0.15">
      <c r="A76" s="11"/>
      <c r="B76" s="11" t="s">
        <v>134</v>
      </c>
      <c r="C76" s="11"/>
      <c r="D76" s="11"/>
      <c r="E76" s="11"/>
      <c r="F76" s="11"/>
      <c r="G76" s="11"/>
      <c r="H76" s="11"/>
      <c r="I76" s="11"/>
      <c r="J76" s="11"/>
    </row>
    <row r="77" spans="1:10" x14ac:dyDescent="0.15">
      <c r="A77" s="11"/>
      <c r="B77" s="37"/>
      <c r="C77" s="17" t="s">
        <v>135</v>
      </c>
      <c r="D77" s="2" t="s">
        <v>136</v>
      </c>
      <c r="E77" s="2" t="s">
        <v>137</v>
      </c>
      <c r="F77" s="11"/>
      <c r="G77" s="11"/>
      <c r="H77" s="11"/>
      <c r="I77" s="11"/>
      <c r="J77" s="11"/>
    </row>
    <row r="78" spans="1:10" x14ac:dyDescent="0.15">
      <c r="A78" s="11"/>
      <c r="B78" s="39" t="s">
        <v>125</v>
      </c>
      <c r="C78" s="29"/>
      <c r="D78" s="29"/>
      <c r="E78" s="29"/>
      <c r="F78" s="11"/>
      <c r="G78" s="11"/>
      <c r="H78" s="11"/>
      <c r="I78" s="11"/>
      <c r="J78" s="11"/>
    </row>
    <row r="79" spans="1:10" x14ac:dyDescent="0.15">
      <c r="A79" s="11"/>
      <c r="B79" s="40" t="s">
        <v>126</v>
      </c>
      <c r="C79" s="29"/>
      <c r="D79" s="29"/>
      <c r="E79" s="29"/>
      <c r="F79" s="11"/>
      <c r="G79" s="11"/>
      <c r="H79" s="11"/>
      <c r="I79" s="11"/>
      <c r="J79" s="11"/>
    </row>
    <row r="80" spans="1:10" x14ac:dyDescent="0.15">
      <c r="A80" s="11"/>
      <c r="B80" s="40" t="s">
        <v>42</v>
      </c>
      <c r="C80" s="14" t="e">
        <f>SUM(C78/C79)</f>
        <v>#DIV/0!</v>
      </c>
      <c r="D80" s="14" t="e">
        <f t="shared" ref="D80:E80" si="22">SUM(D78/D79)</f>
        <v>#DIV/0!</v>
      </c>
      <c r="E80" s="14" t="e">
        <f t="shared" si="22"/>
        <v>#DIV/0!</v>
      </c>
      <c r="F80" s="11"/>
      <c r="G80" s="11"/>
      <c r="H80" s="11"/>
      <c r="I80" s="11"/>
      <c r="J80" s="11"/>
    </row>
    <row r="81" spans="1:10" x14ac:dyDescent="0.15">
      <c r="A81" s="11"/>
      <c r="B81" s="11" t="s">
        <v>138</v>
      </c>
      <c r="C81" s="11"/>
      <c r="D81" s="11"/>
      <c r="E81" s="11"/>
      <c r="F81" s="11"/>
      <c r="G81" s="11"/>
      <c r="H81" s="11"/>
      <c r="I81" s="11"/>
      <c r="J81" s="11"/>
    </row>
    <row r="82" spans="1:10" x14ac:dyDescent="0.15">
      <c r="A82" s="11"/>
      <c r="B82" s="37"/>
      <c r="C82" s="17" t="s">
        <v>139</v>
      </c>
      <c r="D82" s="2" t="s">
        <v>140</v>
      </c>
      <c r="E82" s="2" t="s">
        <v>141</v>
      </c>
      <c r="F82" s="11"/>
      <c r="G82" s="11"/>
      <c r="H82" s="11"/>
      <c r="I82" s="11"/>
      <c r="J82" s="11"/>
    </row>
    <row r="83" spans="1:10" x14ac:dyDescent="0.15">
      <c r="A83" s="11"/>
      <c r="B83" s="39" t="s">
        <v>125</v>
      </c>
      <c r="C83" s="29"/>
      <c r="D83" s="29"/>
      <c r="E83" s="29"/>
      <c r="F83" s="11"/>
      <c r="G83" s="11"/>
      <c r="H83" s="11"/>
      <c r="I83" s="11"/>
      <c r="J83" s="11"/>
    </row>
    <row r="84" spans="1:10" x14ac:dyDescent="0.15">
      <c r="A84" s="11"/>
      <c r="B84" s="40" t="s">
        <v>126</v>
      </c>
      <c r="C84" s="29"/>
      <c r="D84" s="29"/>
      <c r="E84" s="29"/>
      <c r="F84" s="11"/>
      <c r="G84" s="11"/>
      <c r="H84" s="11"/>
      <c r="I84" s="11"/>
      <c r="J84" s="11"/>
    </row>
    <row r="85" spans="1:10" x14ac:dyDescent="0.15">
      <c r="A85" s="11"/>
      <c r="B85" s="40" t="s">
        <v>42</v>
      </c>
      <c r="C85" s="14" t="e">
        <f>SUM(C83/C84)</f>
        <v>#DIV/0!</v>
      </c>
      <c r="D85" s="14" t="e">
        <f t="shared" ref="D85:E85" si="23">SUM(D83/D84)</f>
        <v>#DIV/0!</v>
      </c>
      <c r="E85" s="14" t="e">
        <f t="shared" si="23"/>
        <v>#DIV/0!</v>
      </c>
      <c r="F85" s="11"/>
      <c r="G85" s="11"/>
      <c r="H85" s="11"/>
      <c r="I85" s="11"/>
      <c r="J85" s="11"/>
    </row>
    <row r="86" spans="1:10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</row>
    <row r="87" spans="1:10" x14ac:dyDescent="0.15">
      <c r="A87" s="11"/>
      <c r="B87" s="37"/>
      <c r="C87" s="17" t="s">
        <v>142</v>
      </c>
      <c r="D87" s="2" t="s">
        <v>143</v>
      </c>
      <c r="E87" s="2" t="s">
        <v>144</v>
      </c>
      <c r="F87" s="11"/>
      <c r="G87" s="11"/>
      <c r="H87" s="11"/>
      <c r="I87" s="11"/>
      <c r="J87" s="11"/>
    </row>
    <row r="88" spans="1:10" x14ac:dyDescent="0.15">
      <c r="A88" s="11"/>
      <c r="B88" s="39" t="s">
        <v>125</v>
      </c>
      <c r="C88" s="29">
        <v>150000</v>
      </c>
      <c r="D88" s="29">
        <v>494436</v>
      </c>
      <c r="E88" s="29">
        <v>484632</v>
      </c>
      <c r="F88" s="11"/>
      <c r="G88" s="11"/>
      <c r="H88" s="11"/>
      <c r="I88" s="11"/>
      <c r="J88" s="11"/>
    </row>
    <row r="89" spans="1:10" x14ac:dyDescent="0.15">
      <c r="B89" s="40" t="s">
        <v>126</v>
      </c>
      <c r="C89" s="29">
        <v>7</v>
      </c>
      <c r="D89" s="29">
        <v>7</v>
      </c>
      <c r="E89" s="29">
        <v>7</v>
      </c>
    </row>
    <row r="90" spans="1:10" x14ac:dyDescent="0.15">
      <c r="B90" s="40" t="s">
        <v>42</v>
      </c>
      <c r="C90" s="14">
        <f>SUM(C88/C89)</f>
        <v>21428.571428571428</v>
      </c>
      <c r="D90" s="14">
        <f t="shared" ref="D90:E90" si="24">SUM(D88/D89)</f>
        <v>70633.71428571429</v>
      </c>
      <c r="E90" s="14">
        <f t="shared" si="24"/>
        <v>69233.142857142855</v>
      </c>
    </row>
    <row r="92" spans="1:10" x14ac:dyDescent="0.15">
      <c r="B92" s="37"/>
      <c r="C92" s="17" t="s">
        <v>145</v>
      </c>
      <c r="D92" s="2" t="s">
        <v>146</v>
      </c>
      <c r="E92" s="2" t="s">
        <v>147</v>
      </c>
    </row>
    <row r="93" spans="1:10" x14ac:dyDescent="0.15">
      <c r="B93" s="39" t="s">
        <v>125</v>
      </c>
      <c r="C93" s="29">
        <v>297000</v>
      </c>
      <c r="D93" s="29">
        <v>352969</v>
      </c>
      <c r="E93" s="29">
        <v>163867</v>
      </c>
    </row>
    <row r="94" spans="1:10" x14ac:dyDescent="0.15">
      <c r="B94" s="40" t="s">
        <v>126</v>
      </c>
      <c r="C94" s="29">
        <v>5</v>
      </c>
      <c r="D94" s="29">
        <v>5</v>
      </c>
      <c r="E94" s="29">
        <v>5</v>
      </c>
    </row>
    <row r="95" spans="1:10" x14ac:dyDescent="0.15">
      <c r="B95" s="40" t="s">
        <v>42</v>
      </c>
      <c r="C95" s="14">
        <f>SUM(C93/C94)</f>
        <v>59400</v>
      </c>
      <c r="D95" s="14">
        <f t="shared" ref="D95:E95" si="25">SUM(D93/D94)</f>
        <v>70593.8</v>
      </c>
      <c r="E95" s="14">
        <f t="shared" si="25"/>
        <v>32773.4</v>
      </c>
    </row>
    <row r="97" spans="2:5" x14ac:dyDescent="0.15">
      <c r="B97" s="37"/>
      <c r="C97" s="17" t="s">
        <v>148</v>
      </c>
      <c r="D97" s="2" t="s">
        <v>149</v>
      </c>
      <c r="E97" s="2" t="s">
        <v>150</v>
      </c>
    </row>
    <row r="98" spans="2:5" x14ac:dyDescent="0.15">
      <c r="B98" s="39" t="s">
        <v>125</v>
      </c>
      <c r="C98" s="29">
        <v>170000</v>
      </c>
      <c r="D98" s="29">
        <v>612003</v>
      </c>
      <c r="E98" s="29">
        <v>1473869</v>
      </c>
    </row>
    <row r="99" spans="2:5" x14ac:dyDescent="0.15">
      <c r="B99" s="40" t="s">
        <v>126</v>
      </c>
      <c r="C99" s="29">
        <v>6</v>
      </c>
      <c r="D99" s="29">
        <v>6</v>
      </c>
      <c r="E99" s="29">
        <v>6</v>
      </c>
    </row>
    <row r="100" spans="2:5" x14ac:dyDescent="0.15">
      <c r="B100" s="40" t="s">
        <v>42</v>
      </c>
      <c r="C100" s="14">
        <f>SUM(C98/C99)</f>
        <v>28333.333333333332</v>
      </c>
      <c r="D100" s="14">
        <f t="shared" ref="D100:E100" si="26">SUM(D98/D99)</f>
        <v>102000.5</v>
      </c>
      <c r="E100" s="14">
        <f t="shared" si="26"/>
        <v>245644.83333333334</v>
      </c>
    </row>
    <row r="102" spans="2:5" x14ac:dyDescent="0.15">
      <c r="B102" s="11" t="s">
        <v>151</v>
      </c>
      <c r="C102" s="8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DF934-F659-4200-B3E4-E970DB2EE9EC}">
  <sheetPr codeName="Sheet3"/>
  <dimension ref="A2:AF102"/>
  <sheetViews>
    <sheetView workbookViewId="0">
      <selection activeCell="U55" sqref="U55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6" width="11" style="1" bestFit="1" customWidth="1"/>
    <col min="27" max="29" width="12.25" style="1" bestFit="1" customWidth="1"/>
    <col min="30" max="30" width="13.25" style="1" bestFit="1" customWidth="1"/>
    <col min="31" max="31" width="10" style="1" bestFit="1" customWidth="1"/>
    <col min="32" max="32" width="11" style="1" bestFit="1" customWidth="1"/>
    <col min="33" max="236" width="9" style="1"/>
    <col min="237" max="237" width="2.875" style="1" bestFit="1" customWidth="1"/>
    <col min="238" max="238" width="16.625" style="1" bestFit="1" customWidth="1"/>
    <col min="239" max="239" width="11.375" style="1" bestFit="1" customWidth="1"/>
    <col min="240" max="241" width="14.125" style="1" bestFit="1" customWidth="1"/>
    <col min="242" max="242" width="11.375" style="1" bestFit="1" customWidth="1"/>
    <col min="243" max="245" width="12.5" style="1" bestFit="1" customWidth="1"/>
    <col min="246" max="246" width="11" style="1" bestFit="1" customWidth="1"/>
    <col min="247" max="266" width="13" style="1" bestFit="1" customWidth="1"/>
    <col min="267" max="270" width="11" style="1" bestFit="1" customWidth="1"/>
    <col min="271" max="273" width="12.25" style="1" bestFit="1" customWidth="1"/>
    <col min="274" max="285" width="11" style="1" bestFit="1" customWidth="1"/>
    <col min="286" max="286" width="13.25" style="1" bestFit="1" customWidth="1"/>
    <col min="287" max="287" width="10" style="1" bestFit="1" customWidth="1"/>
    <col min="288" max="288" width="11" style="1" bestFit="1" customWidth="1"/>
    <col min="289" max="492" width="9" style="1"/>
    <col min="493" max="493" width="2.875" style="1" bestFit="1" customWidth="1"/>
    <col min="494" max="494" width="16.625" style="1" bestFit="1" customWidth="1"/>
    <col min="495" max="495" width="11.375" style="1" bestFit="1" customWidth="1"/>
    <col min="496" max="497" width="14.125" style="1" bestFit="1" customWidth="1"/>
    <col min="498" max="498" width="11.375" style="1" bestFit="1" customWidth="1"/>
    <col min="499" max="501" width="12.5" style="1" bestFit="1" customWidth="1"/>
    <col min="502" max="502" width="11" style="1" bestFit="1" customWidth="1"/>
    <col min="503" max="522" width="13" style="1" bestFit="1" customWidth="1"/>
    <col min="523" max="526" width="11" style="1" bestFit="1" customWidth="1"/>
    <col min="527" max="529" width="12.25" style="1" bestFit="1" customWidth="1"/>
    <col min="530" max="541" width="11" style="1" bestFit="1" customWidth="1"/>
    <col min="542" max="542" width="13.25" style="1" bestFit="1" customWidth="1"/>
    <col min="543" max="543" width="10" style="1" bestFit="1" customWidth="1"/>
    <col min="544" max="544" width="11" style="1" bestFit="1" customWidth="1"/>
    <col min="545" max="748" width="9" style="1"/>
    <col min="749" max="749" width="2.875" style="1" bestFit="1" customWidth="1"/>
    <col min="750" max="750" width="16.625" style="1" bestFit="1" customWidth="1"/>
    <col min="751" max="751" width="11.375" style="1" bestFit="1" customWidth="1"/>
    <col min="752" max="753" width="14.125" style="1" bestFit="1" customWidth="1"/>
    <col min="754" max="754" width="11.375" style="1" bestFit="1" customWidth="1"/>
    <col min="755" max="757" width="12.5" style="1" bestFit="1" customWidth="1"/>
    <col min="758" max="758" width="11" style="1" bestFit="1" customWidth="1"/>
    <col min="759" max="778" width="13" style="1" bestFit="1" customWidth="1"/>
    <col min="779" max="782" width="11" style="1" bestFit="1" customWidth="1"/>
    <col min="783" max="785" width="12.25" style="1" bestFit="1" customWidth="1"/>
    <col min="786" max="797" width="11" style="1" bestFit="1" customWidth="1"/>
    <col min="798" max="798" width="13.25" style="1" bestFit="1" customWidth="1"/>
    <col min="799" max="799" width="10" style="1" bestFit="1" customWidth="1"/>
    <col min="800" max="800" width="11" style="1" bestFit="1" customWidth="1"/>
    <col min="801" max="1004" width="9" style="1"/>
    <col min="1005" max="1005" width="2.875" style="1" bestFit="1" customWidth="1"/>
    <col min="1006" max="1006" width="16.625" style="1" bestFit="1" customWidth="1"/>
    <col min="1007" max="1007" width="11.375" style="1" bestFit="1" customWidth="1"/>
    <col min="1008" max="1009" width="14.125" style="1" bestFit="1" customWidth="1"/>
    <col min="1010" max="1010" width="11.375" style="1" bestFit="1" customWidth="1"/>
    <col min="1011" max="1013" width="12.5" style="1" bestFit="1" customWidth="1"/>
    <col min="1014" max="1014" width="11" style="1" bestFit="1" customWidth="1"/>
    <col min="1015" max="1034" width="13" style="1" bestFit="1" customWidth="1"/>
    <col min="1035" max="1038" width="11" style="1" bestFit="1" customWidth="1"/>
    <col min="1039" max="1041" width="12.25" style="1" bestFit="1" customWidth="1"/>
    <col min="1042" max="1053" width="11" style="1" bestFit="1" customWidth="1"/>
    <col min="1054" max="1054" width="13.25" style="1" bestFit="1" customWidth="1"/>
    <col min="1055" max="1055" width="10" style="1" bestFit="1" customWidth="1"/>
    <col min="1056" max="1056" width="11" style="1" bestFit="1" customWidth="1"/>
    <col min="1057" max="1260" width="9" style="1"/>
    <col min="1261" max="1261" width="2.875" style="1" bestFit="1" customWidth="1"/>
    <col min="1262" max="1262" width="16.625" style="1" bestFit="1" customWidth="1"/>
    <col min="1263" max="1263" width="11.375" style="1" bestFit="1" customWidth="1"/>
    <col min="1264" max="1265" width="14.125" style="1" bestFit="1" customWidth="1"/>
    <col min="1266" max="1266" width="11.375" style="1" bestFit="1" customWidth="1"/>
    <col min="1267" max="1269" width="12.5" style="1" bestFit="1" customWidth="1"/>
    <col min="1270" max="1270" width="11" style="1" bestFit="1" customWidth="1"/>
    <col min="1271" max="1290" width="13" style="1" bestFit="1" customWidth="1"/>
    <col min="1291" max="1294" width="11" style="1" bestFit="1" customWidth="1"/>
    <col min="1295" max="1297" width="12.25" style="1" bestFit="1" customWidth="1"/>
    <col min="1298" max="1309" width="11" style="1" bestFit="1" customWidth="1"/>
    <col min="1310" max="1310" width="13.25" style="1" bestFit="1" customWidth="1"/>
    <col min="1311" max="1311" width="10" style="1" bestFit="1" customWidth="1"/>
    <col min="1312" max="1312" width="11" style="1" bestFit="1" customWidth="1"/>
    <col min="1313" max="1516" width="9" style="1"/>
    <col min="1517" max="1517" width="2.875" style="1" bestFit="1" customWidth="1"/>
    <col min="1518" max="1518" width="16.625" style="1" bestFit="1" customWidth="1"/>
    <col min="1519" max="1519" width="11.375" style="1" bestFit="1" customWidth="1"/>
    <col min="1520" max="1521" width="14.125" style="1" bestFit="1" customWidth="1"/>
    <col min="1522" max="1522" width="11.375" style="1" bestFit="1" customWidth="1"/>
    <col min="1523" max="1525" width="12.5" style="1" bestFit="1" customWidth="1"/>
    <col min="1526" max="1526" width="11" style="1" bestFit="1" customWidth="1"/>
    <col min="1527" max="1546" width="13" style="1" bestFit="1" customWidth="1"/>
    <col min="1547" max="1550" width="11" style="1" bestFit="1" customWidth="1"/>
    <col min="1551" max="1553" width="12.25" style="1" bestFit="1" customWidth="1"/>
    <col min="1554" max="1565" width="11" style="1" bestFit="1" customWidth="1"/>
    <col min="1566" max="1566" width="13.25" style="1" bestFit="1" customWidth="1"/>
    <col min="1567" max="1567" width="10" style="1" bestFit="1" customWidth="1"/>
    <col min="1568" max="1568" width="11" style="1" bestFit="1" customWidth="1"/>
    <col min="1569" max="1772" width="9" style="1"/>
    <col min="1773" max="1773" width="2.875" style="1" bestFit="1" customWidth="1"/>
    <col min="1774" max="1774" width="16.625" style="1" bestFit="1" customWidth="1"/>
    <col min="1775" max="1775" width="11.375" style="1" bestFit="1" customWidth="1"/>
    <col min="1776" max="1777" width="14.125" style="1" bestFit="1" customWidth="1"/>
    <col min="1778" max="1778" width="11.375" style="1" bestFit="1" customWidth="1"/>
    <col min="1779" max="1781" width="12.5" style="1" bestFit="1" customWidth="1"/>
    <col min="1782" max="1782" width="11" style="1" bestFit="1" customWidth="1"/>
    <col min="1783" max="1802" width="13" style="1" bestFit="1" customWidth="1"/>
    <col min="1803" max="1806" width="11" style="1" bestFit="1" customWidth="1"/>
    <col min="1807" max="1809" width="12.25" style="1" bestFit="1" customWidth="1"/>
    <col min="1810" max="1821" width="11" style="1" bestFit="1" customWidth="1"/>
    <col min="1822" max="1822" width="13.25" style="1" bestFit="1" customWidth="1"/>
    <col min="1823" max="1823" width="10" style="1" bestFit="1" customWidth="1"/>
    <col min="1824" max="1824" width="11" style="1" bestFit="1" customWidth="1"/>
    <col min="1825" max="2028" width="9" style="1"/>
    <col min="2029" max="2029" width="2.875" style="1" bestFit="1" customWidth="1"/>
    <col min="2030" max="2030" width="16.625" style="1" bestFit="1" customWidth="1"/>
    <col min="2031" max="2031" width="11.375" style="1" bestFit="1" customWidth="1"/>
    <col min="2032" max="2033" width="14.125" style="1" bestFit="1" customWidth="1"/>
    <col min="2034" max="2034" width="11.375" style="1" bestFit="1" customWidth="1"/>
    <col min="2035" max="2037" width="12.5" style="1" bestFit="1" customWidth="1"/>
    <col min="2038" max="2038" width="11" style="1" bestFit="1" customWidth="1"/>
    <col min="2039" max="2058" width="13" style="1" bestFit="1" customWidth="1"/>
    <col min="2059" max="2062" width="11" style="1" bestFit="1" customWidth="1"/>
    <col min="2063" max="2065" width="12.25" style="1" bestFit="1" customWidth="1"/>
    <col min="2066" max="2077" width="11" style="1" bestFit="1" customWidth="1"/>
    <col min="2078" max="2078" width="13.25" style="1" bestFit="1" customWidth="1"/>
    <col min="2079" max="2079" width="10" style="1" bestFit="1" customWidth="1"/>
    <col min="2080" max="2080" width="11" style="1" bestFit="1" customWidth="1"/>
    <col min="2081" max="2284" width="9" style="1"/>
    <col min="2285" max="2285" width="2.875" style="1" bestFit="1" customWidth="1"/>
    <col min="2286" max="2286" width="16.625" style="1" bestFit="1" customWidth="1"/>
    <col min="2287" max="2287" width="11.375" style="1" bestFit="1" customWidth="1"/>
    <col min="2288" max="2289" width="14.125" style="1" bestFit="1" customWidth="1"/>
    <col min="2290" max="2290" width="11.375" style="1" bestFit="1" customWidth="1"/>
    <col min="2291" max="2293" width="12.5" style="1" bestFit="1" customWidth="1"/>
    <col min="2294" max="2294" width="11" style="1" bestFit="1" customWidth="1"/>
    <col min="2295" max="2314" width="13" style="1" bestFit="1" customWidth="1"/>
    <col min="2315" max="2318" width="11" style="1" bestFit="1" customWidth="1"/>
    <col min="2319" max="2321" width="12.25" style="1" bestFit="1" customWidth="1"/>
    <col min="2322" max="2333" width="11" style="1" bestFit="1" customWidth="1"/>
    <col min="2334" max="2334" width="13.25" style="1" bestFit="1" customWidth="1"/>
    <col min="2335" max="2335" width="10" style="1" bestFit="1" customWidth="1"/>
    <col min="2336" max="2336" width="11" style="1" bestFit="1" customWidth="1"/>
    <col min="2337" max="2540" width="9" style="1"/>
    <col min="2541" max="2541" width="2.875" style="1" bestFit="1" customWidth="1"/>
    <col min="2542" max="2542" width="16.625" style="1" bestFit="1" customWidth="1"/>
    <col min="2543" max="2543" width="11.375" style="1" bestFit="1" customWidth="1"/>
    <col min="2544" max="2545" width="14.125" style="1" bestFit="1" customWidth="1"/>
    <col min="2546" max="2546" width="11.375" style="1" bestFit="1" customWidth="1"/>
    <col min="2547" max="2549" width="12.5" style="1" bestFit="1" customWidth="1"/>
    <col min="2550" max="2550" width="11" style="1" bestFit="1" customWidth="1"/>
    <col min="2551" max="2570" width="13" style="1" bestFit="1" customWidth="1"/>
    <col min="2571" max="2574" width="11" style="1" bestFit="1" customWidth="1"/>
    <col min="2575" max="2577" width="12.25" style="1" bestFit="1" customWidth="1"/>
    <col min="2578" max="2589" width="11" style="1" bestFit="1" customWidth="1"/>
    <col min="2590" max="2590" width="13.25" style="1" bestFit="1" customWidth="1"/>
    <col min="2591" max="2591" width="10" style="1" bestFit="1" customWidth="1"/>
    <col min="2592" max="2592" width="11" style="1" bestFit="1" customWidth="1"/>
    <col min="2593" max="2796" width="9" style="1"/>
    <col min="2797" max="2797" width="2.875" style="1" bestFit="1" customWidth="1"/>
    <col min="2798" max="2798" width="16.625" style="1" bestFit="1" customWidth="1"/>
    <col min="2799" max="2799" width="11.375" style="1" bestFit="1" customWidth="1"/>
    <col min="2800" max="2801" width="14.125" style="1" bestFit="1" customWidth="1"/>
    <col min="2802" max="2802" width="11.375" style="1" bestFit="1" customWidth="1"/>
    <col min="2803" max="2805" width="12.5" style="1" bestFit="1" customWidth="1"/>
    <col min="2806" max="2806" width="11" style="1" bestFit="1" customWidth="1"/>
    <col min="2807" max="2826" width="13" style="1" bestFit="1" customWidth="1"/>
    <col min="2827" max="2830" width="11" style="1" bestFit="1" customWidth="1"/>
    <col min="2831" max="2833" width="12.25" style="1" bestFit="1" customWidth="1"/>
    <col min="2834" max="2845" width="11" style="1" bestFit="1" customWidth="1"/>
    <col min="2846" max="2846" width="13.25" style="1" bestFit="1" customWidth="1"/>
    <col min="2847" max="2847" width="10" style="1" bestFit="1" customWidth="1"/>
    <col min="2848" max="2848" width="11" style="1" bestFit="1" customWidth="1"/>
    <col min="2849" max="3052" width="9" style="1"/>
    <col min="3053" max="3053" width="2.875" style="1" bestFit="1" customWidth="1"/>
    <col min="3054" max="3054" width="16.625" style="1" bestFit="1" customWidth="1"/>
    <col min="3055" max="3055" width="11.375" style="1" bestFit="1" customWidth="1"/>
    <col min="3056" max="3057" width="14.125" style="1" bestFit="1" customWidth="1"/>
    <col min="3058" max="3058" width="11.375" style="1" bestFit="1" customWidth="1"/>
    <col min="3059" max="3061" width="12.5" style="1" bestFit="1" customWidth="1"/>
    <col min="3062" max="3062" width="11" style="1" bestFit="1" customWidth="1"/>
    <col min="3063" max="3082" width="13" style="1" bestFit="1" customWidth="1"/>
    <col min="3083" max="3086" width="11" style="1" bestFit="1" customWidth="1"/>
    <col min="3087" max="3089" width="12.25" style="1" bestFit="1" customWidth="1"/>
    <col min="3090" max="3101" width="11" style="1" bestFit="1" customWidth="1"/>
    <col min="3102" max="3102" width="13.25" style="1" bestFit="1" customWidth="1"/>
    <col min="3103" max="3103" width="10" style="1" bestFit="1" customWidth="1"/>
    <col min="3104" max="3104" width="11" style="1" bestFit="1" customWidth="1"/>
    <col min="3105" max="3308" width="9" style="1"/>
    <col min="3309" max="3309" width="2.875" style="1" bestFit="1" customWidth="1"/>
    <col min="3310" max="3310" width="16.625" style="1" bestFit="1" customWidth="1"/>
    <col min="3311" max="3311" width="11.375" style="1" bestFit="1" customWidth="1"/>
    <col min="3312" max="3313" width="14.125" style="1" bestFit="1" customWidth="1"/>
    <col min="3314" max="3314" width="11.375" style="1" bestFit="1" customWidth="1"/>
    <col min="3315" max="3317" width="12.5" style="1" bestFit="1" customWidth="1"/>
    <col min="3318" max="3318" width="11" style="1" bestFit="1" customWidth="1"/>
    <col min="3319" max="3338" width="13" style="1" bestFit="1" customWidth="1"/>
    <col min="3339" max="3342" width="11" style="1" bestFit="1" customWidth="1"/>
    <col min="3343" max="3345" width="12.25" style="1" bestFit="1" customWidth="1"/>
    <col min="3346" max="3357" width="11" style="1" bestFit="1" customWidth="1"/>
    <col min="3358" max="3358" width="13.25" style="1" bestFit="1" customWidth="1"/>
    <col min="3359" max="3359" width="10" style="1" bestFit="1" customWidth="1"/>
    <col min="3360" max="3360" width="11" style="1" bestFit="1" customWidth="1"/>
    <col min="3361" max="3564" width="9" style="1"/>
    <col min="3565" max="3565" width="2.875" style="1" bestFit="1" customWidth="1"/>
    <col min="3566" max="3566" width="16.625" style="1" bestFit="1" customWidth="1"/>
    <col min="3567" max="3567" width="11.375" style="1" bestFit="1" customWidth="1"/>
    <col min="3568" max="3569" width="14.125" style="1" bestFit="1" customWidth="1"/>
    <col min="3570" max="3570" width="11.375" style="1" bestFit="1" customWidth="1"/>
    <col min="3571" max="3573" width="12.5" style="1" bestFit="1" customWidth="1"/>
    <col min="3574" max="3574" width="11" style="1" bestFit="1" customWidth="1"/>
    <col min="3575" max="3594" width="13" style="1" bestFit="1" customWidth="1"/>
    <col min="3595" max="3598" width="11" style="1" bestFit="1" customWidth="1"/>
    <col min="3599" max="3601" width="12.25" style="1" bestFit="1" customWidth="1"/>
    <col min="3602" max="3613" width="11" style="1" bestFit="1" customWidth="1"/>
    <col min="3614" max="3614" width="13.25" style="1" bestFit="1" customWidth="1"/>
    <col min="3615" max="3615" width="10" style="1" bestFit="1" customWidth="1"/>
    <col min="3616" max="3616" width="11" style="1" bestFit="1" customWidth="1"/>
    <col min="3617" max="3820" width="9" style="1"/>
    <col min="3821" max="3821" width="2.875" style="1" bestFit="1" customWidth="1"/>
    <col min="3822" max="3822" width="16.625" style="1" bestFit="1" customWidth="1"/>
    <col min="3823" max="3823" width="11.375" style="1" bestFit="1" customWidth="1"/>
    <col min="3824" max="3825" width="14.125" style="1" bestFit="1" customWidth="1"/>
    <col min="3826" max="3826" width="11.375" style="1" bestFit="1" customWidth="1"/>
    <col min="3827" max="3829" width="12.5" style="1" bestFit="1" customWidth="1"/>
    <col min="3830" max="3830" width="11" style="1" bestFit="1" customWidth="1"/>
    <col min="3831" max="3850" width="13" style="1" bestFit="1" customWidth="1"/>
    <col min="3851" max="3854" width="11" style="1" bestFit="1" customWidth="1"/>
    <col min="3855" max="3857" width="12.25" style="1" bestFit="1" customWidth="1"/>
    <col min="3858" max="3869" width="11" style="1" bestFit="1" customWidth="1"/>
    <col min="3870" max="3870" width="13.25" style="1" bestFit="1" customWidth="1"/>
    <col min="3871" max="3871" width="10" style="1" bestFit="1" customWidth="1"/>
    <col min="3872" max="3872" width="11" style="1" bestFit="1" customWidth="1"/>
    <col min="3873" max="4076" width="9" style="1"/>
    <col min="4077" max="4077" width="2.875" style="1" bestFit="1" customWidth="1"/>
    <col min="4078" max="4078" width="16.625" style="1" bestFit="1" customWidth="1"/>
    <col min="4079" max="4079" width="11.375" style="1" bestFit="1" customWidth="1"/>
    <col min="4080" max="4081" width="14.125" style="1" bestFit="1" customWidth="1"/>
    <col min="4082" max="4082" width="11.375" style="1" bestFit="1" customWidth="1"/>
    <col min="4083" max="4085" width="12.5" style="1" bestFit="1" customWidth="1"/>
    <col min="4086" max="4086" width="11" style="1" bestFit="1" customWidth="1"/>
    <col min="4087" max="4106" width="13" style="1" bestFit="1" customWidth="1"/>
    <col min="4107" max="4110" width="11" style="1" bestFit="1" customWidth="1"/>
    <col min="4111" max="4113" width="12.25" style="1" bestFit="1" customWidth="1"/>
    <col min="4114" max="4125" width="11" style="1" bestFit="1" customWidth="1"/>
    <col min="4126" max="4126" width="13.25" style="1" bestFit="1" customWidth="1"/>
    <col min="4127" max="4127" width="10" style="1" bestFit="1" customWidth="1"/>
    <col min="4128" max="4128" width="11" style="1" bestFit="1" customWidth="1"/>
    <col min="4129" max="4332" width="9" style="1"/>
    <col min="4333" max="4333" width="2.875" style="1" bestFit="1" customWidth="1"/>
    <col min="4334" max="4334" width="16.625" style="1" bestFit="1" customWidth="1"/>
    <col min="4335" max="4335" width="11.375" style="1" bestFit="1" customWidth="1"/>
    <col min="4336" max="4337" width="14.125" style="1" bestFit="1" customWidth="1"/>
    <col min="4338" max="4338" width="11.375" style="1" bestFit="1" customWidth="1"/>
    <col min="4339" max="4341" width="12.5" style="1" bestFit="1" customWidth="1"/>
    <col min="4342" max="4342" width="11" style="1" bestFit="1" customWidth="1"/>
    <col min="4343" max="4362" width="13" style="1" bestFit="1" customWidth="1"/>
    <col min="4363" max="4366" width="11" style="1" bestFit="1" customWidth="1"/>
    <col min="4367" max="4369" width="12.25" style="1" bestFit="1" customWidth="1"/>
    <col min="4370" max="4381" width="11" style="1" bestFit="1" customWidth="1"/>
    <col min="4382" max="4382" width="13.25" style="1" bestFit="1" customWidth="1"/>
    <col min="4383" max="4383" width="10" style="1" bestFit="1" customWidth="1"/>
    <col min="4384" max="4384" width="11" style="1" bestFit="1" customWidth="1"/>
    <col min="4385" max="4588" width="9" style="1"/>
    <col min="4589" max="4589" width="2.875" style="1" bestFit="1" customWidth="1"/>
    <col min="4590" max="4590" width="16.625" style="1" bestFit="1" customWidth="1"/>
    <col min="4591" max="4591" width="11.375" style="1" bestFit="1" customWidth="1"/>
    <col min="4592" max="4593" width="14.125" style="1" bestFit="1" customWidth="1"/>
    <col min="4594" max="4594" width="11.375" style="1" bestFit="1" customWidth="1"/>
    <col min="4595" max="4597" width="12.5" style="1" bestFit="1" customWidth="1"/>
    <col min="4598" max="4598" width="11" style="1" bestFit="1" customWidth="1"/>
    <col min="4599" max="4618" width="13" style="1" bestFit="1" customWidth="1"/>
    <col min="4619" max="4622" width="11" style="1" bestFit="1" customWidth="1"/>
    <col min="4623" max="4625" width="12.25" style="1" bestFit="1" customWidth="1"/>
    <col min="4626" max="4637" width="11" style="1" bestFit="1" customWidth="1"/>
    <col min="4638" max="4638" width="13.25" style="1" bestFit="1" customWidth="1"/>
    <col min="4639" max="4639" width="10" style="1" bestFit="1" customWidth="1"/>
    <col min="4640" max="4640" width="11" style="1" bestFit="1" customWidth="1"/>
    <col min="4641" max="4844" width="9" style="1"/>
    <col min="4845" max="4845" width="2.875" style="1" bestFit="1" customWidth="1"/>
    <col min="4846" max="4846" width="16.625" style="1" bestFit="1" customWidth="1"/>
    <col min="4847" max="4847" width="11.375" style="1" bestFit="1" customWidth="1"/>
    <col min="4848" max="4849" width="14.125" style="1" bestFit="1" customWidth="1"/>
    <col min="4850" max="4850" width="11.375" style="1" bestFit="1" customWidth="1"/>
    <col min="4851" max="4853" width="12.5" style="1" bestFit="1" customWidth="1"/>
    <col min="4854" max="4854" width="11" style="1" bestFit="1" customWidth="1"/>
    <col min="4855" max="4874" width="13" style="1" bestFit="1" customWidth="1"/>
    <col min="4875" max="4878" width="11" style="1" bestFit="1" customWidth="1"/>
    <col min="4879" max="4881" width="12.25" style="1" bestFit="1" customWidth="1"/>
    <col min="4882" max="4893" width="11" style="1" bestFit="1" customWidth="1"/>
    <col min="4894" max="4894" width="13.25" style="1" bestFit="1" customWidth="1"/>
    <col min="4895" max="4895" width="10" style="1" bestFit="1" customWidth="1"/>
    <col min="4896" max="4896" width="11" style="1" bestFit="1" customWidth="1"/>
    <col min="4897" max="5100" width="9" style="1"/>
    <col min="5101" max="5101" width="2.875" style="1" bestFit="1" customWidth="1"/>
    <col min="5102" max="5102" width="16.625" style="1" bestFit="1" customWidth="1"/>
    <col min="5103" max="5103" width="11.375" style="1" bestFit="1" customWidth="1"/>
    <col min="5104" max="5105" width="14.125" style="1" bestFit="1" customWidth="1"/>
    <col min="5106" max="5106" width="11.375" style="1" bestFit="1" customWidth="1"/>
    <col min="5107" max="5109" width="12.5" style="1" bestFit="1" customWidth="1"/>
    <col min="5110" max="5110" width="11" style="1" bestFit="1" customWidth="1"/>
    <col min="5111" max="5130" width="13" style="1" bestFit="1" customWidth="1"/>
    <col min="5131" max="5134" width="11" style="1" bestFit="1" customWidth="1"/>
    <col min="5135" max="5137" width="12.25" style="1" bestFit="1" customWidth="1"/>
    <col min="5138" max="5149" width="11" style="1" bestFit="1" customWidth="1"/>
    <col min="5150" max="5150" width="13.25" style="1" bestFit="1" customWidth="1"/>
    <col min="5151" max="5151" width="10" style="1" bestFit="1" customWidth="1"/>
    <col min="5152" max="5152" width="11" style="1" bestFit="1" customWidth="1"/>
    <col min="5153" max="5356" width="9" style="1"/>
    <col min="5357" max="5357" width="2.875" style="1" bestFit="1" customWidth="1"/>
    <col min="5358" max="5358" width="16.625" style="1" bestFit="1" customWidth="1"/>
    <col min="5359" max="5359" width="11.375" style="1" bestFit="1" customWidth="1"/>
    <col min="5360" max="5361" width="14.125" style="1" bestFit="1" customWidth="1"/>
    <col min="5362" max="5362" width="11.375" style="1" bestFit="1" customWidth="1"/>
    <col min="5363" max="5365" width="12.5" style="1" bestFit="1" customWidth="1"/>
    <col min="5366" max="5366" width="11" style="1" bestFit="1" customWidth="1"/>
    <col min="5367" max="5386" width="13" style="1" bestFit="1" customWidth="1"/>
    <col min="5387" max="5390" width="11" style="1" bestFit="1" customWidth="1"/>
    <col min="5391" max="5393" width="12.25" style="1" bestFit="1" customWidth="1"/>
    <col min="5394" max="5405" width="11" style="1" bestFit="1" customWidth="1"/>
    <col min="5406" max="5406" width="13.25" style="1" bestFit="1" customWidth="1"/>
    <col min="5407" max="5407" width="10" style="1" bestFit="1" customWidth="1"/>
    <col min="5408" max="5408" width="11" style="1" bestFit="1" customWidth="1"/>
    <col min="5409" max="5612" width="9" style="1"/>
    <col min="5613" max="5613" width="2.875" style="1" bestFit="1" customWidth="1"/>
    <col min="5614" max="5614" width="16.625" style="1" bestFit="1" customWidth="1"/>
    <col min="5615" max="5615" width="11.375" style="1" bestFit="1" customWidth="1"/>
    <col min="5616" max="5617" width="14.125" style="1" bestFit="1" customWidth="1"/>
    <col min="5618" max="5618" width="11.375" style="1" bestFit="1" customWidth="1"/>
    <col min="5619" max="5621" width="12.5" style="1" bestFit="1" customWidth="1"/>
    <col min="5622" max="5622" width="11" style="1" bestFit="1" customWidth="1"/>
    <col min="5623" max="5642" width="13" style="1" bestFit="1" customWidth="1"/>
    <col min="5643" max="5646" width="11" style="1" bestFit="1" customWidth="1"/>
    <col min="5647" max="5649" width="12.25" style="1" bestFit="1" customWidth="1"/>
    <col min="5650" max="5661" width="11" style="1" bestFit="1" customWidth="1"/>
    <col min="5662" max="5662" width="13.25" style="1" bestFit="1" customWidth="1"/>
    <col min="5663" max="5663" width="10" style="1" bestFit="1" customWidth="1"/>
    <col min="5664" max="5664" width="11" style="1" bestFit="1" customWidth="1"/>
    <col min="5665" max="5868" width="9" style="1"/>
    <col min="5869" max="5869" width="2.875" style="1" bestFit="1" customWidth="1"/>
    <col min="5870" max="5870" width="16.625" style="1" bestFit="1" customWidth="1"/>
    <col min="5871" max="5871" width="11.375" style="1" bestFit="1" customWidth="1"/>
    <col min="5872" max="5873" width="14.125" style="1" bestFit="1" customWidth="1"/>
    <col min="5874" max="5874" width="11.375" style="1" bestFit="1" customWidth="1"/>
    <col min="5875" max="5877" width="12.5" style="1" bestFit="1" customWidth="1"/>
    <col min="5878" max="5878" width="11" style="1" bestFit="1" customWidth="1"/>
    <col min="5879" max="5898" width="13" style="1" bestFit="1" customWidth="1"/>
    <col min="5899" max="5902" width="11" style="1" bestFit="1" customWidth="1"/>
    <col min="5903" max="5905" width="12.25" style="1" bestFit="1" customWidth="1"/>
    <col min="5906" max="5917" width="11" style="1" bestFit="1" customWidth="1"/>
    <col min="5918" max="5918" width="13.25" style="1" bestFit="1" customWidth="1"/>
    <col min="5919" max="5919" width="10" style="1" bestFit="1" customWidth="1"/>
    <col min="5920" max="5920" width="11" style="1" bestFit="1" customWidth="1"/>
    <col min="5921" max="6124" width="9" style="1"/>
    <col min="6125" max="6125" width="2.875" style="1" bestFit="1" customWidth="1"/>
    <col min="6126" max="6126" width="16.625" style="1" bestFit="1" customWidth="1"/>
    <col min="6127" max="6127" width="11.375" style="1" bestFit="1" customWidth="1"/>
    <col min="6128" max="6129" width="14.125" style="1" bestFit="1" customWidth="1"/>
    <col min="6130" max="6130" width="11.375" style="1" bestFit="1" customWidth="1"/>
    <col min="6131" max="6133" width="12.5" style="1" bestFit="1" customWidth="1"/>
    <col min="6134" max="6134" width="11" style="1" bestFit="1" customWidth="1"/>
    <col min="6135" max="6154" width="13" style="1" bestFit="1" customWidth="1"/>
    <col min="6155" max="6158" width="11" style="1" bestFit="1" customWidth="1"/>
    <col min="6159" max="6161" width="12.25" style="1" bestFit="1" customWidth="1"/>
    <col min="6162" max="6173" width="11" style="1" bestFit="1" customWidth="1"/>
    <col min="6174" max="6174" width="13.25" style="1" bestFit="1" customWidth="1"/>
    <col min="6175" max="6175" width="10" style="1" bestFit="1" customWidth="1"/>
    <col min="6176" max="6176" width="11" style="1" bestFit="1" customWidth="1"/>
    <col min="6177" max="6380" width="9" style="1"/>
    <col min="6381" max="6381" width="2.875" style="1" bestFit="1" customWidth="1"/>
    <col min="6382" max="6382" width="16.625" style="1" bestFit="1" customWidth="1"/>
    <col min="6383" max="6383" width="11.375" style="1" bestFit="1" customWidth="1"/>
    <col min="6384" max="6385" width="14.125" style="1" bestFit="1" customWidth="1"/>
    <col min="6386" max="6386" width="11.375" style="1" bestFit="1" customWidth="1"/>
    <col min="6387" max="6389" width="12.5" style="1" bestFit="1" customWidth="1"/>
    <col min="6390" max="6390" width="11" style="1" bestFit="1" customWidth="1"/>
    <col min="6391" max="6410" width="13" style="1" bestFit="1" customWidth="1"/>
    <col min="6411" max="6414" width="11" style="1" bestFit="1" customWidth="1"/>
    <col min="6415" max="6417" width="12.25" style="1" bestFit="1" customWidth="1"/>
    <col min="6418" max="6429" width="11" style="1" bestFit="1" customWidth="1"/>
    <col min="6430" max="6430" width="13.25" style="1" bestFit="1" customWidth="1"/>
    <col min="6431" max="6431" width="10" style="1" bestFit="1" customWidth="1"/>
    <col min="6432" max="6432" width="11" style="1" bestFit="1" customWidth="1"/>
    <col min="6433" max="6636" width="9" style="1"/>
    <col min="6637" max="6637" width="2.875" style="1" bestFit="1" customWidth="1"/>
    <col min="6638" max="6638" width="16.625" style="1" bestFit="1" customWidth="1"/>
    <col min="6639" max="6639" width="11.375" style="1" bestFit="1" customWidth="1"/>
    <col min="6640" max="6641" width="14.125" style="1" bestFit="1" customWidth="1"/>
    <col min="6642" max="6642" width="11.375" style="1" bestFit="1" customWidth="1"/>
    <col min="6643" max="6645" width="12.5" style="1" bestFit="1" customWidth="1"/>
    <col min="6646" max="6646" width="11" style="1" bestFit="1" customWidth="1"/>
    <col min="6647" max="6666" width="13" style="1" bestFit="1" customWidth="1"/>
    <col min="6667" max="6670" width="11" style="1" bestFit="1" customWidth="1"/>
    <col min="6671" max="6673" width="12.25" style="1" bestFit="1" customWidth="1"/>
    <col min="6674" max="6685" width="11" style="1" bestFit="1" customWidth="1"/>
    <col min="6686" max="6686" width="13.25" style="1" bestFit="1" customWidth="1"/>
    <col min="6687" max="6687" width="10" style="1" bestFit="1" customWidth="1"/>
    <col min="6688" max="6688" width="11" style="1" bestFit="1" customWidth="1"/>
    <col min="6689" max="6892" width="9" style="1"/>
    <col min="6893" max="6893" width="2.875" style="1" bestFit="1" customWidth="1"/>
    <col min="6894" max="6894" width="16.625" style="1" bestFit="1" customWidth="1"/>
    <col min="6895" max="6895" width="11.375" style="1" bestFit="1" customWidth="1"/>
    <col min="6896" max="6897" width="14.125" style="1" bestFit="1" customWidth="1"/>
    <col min="6898" max="6898" width="11.375" style="1" bestFit="1" customWidth="1"/>
    <col min="6899" max="6901" width="12.5" style="1" bestFit="1" customWidth="1"/>
    <col min="6902" max="6902" width="11" style="1" bestFit="1" customWidth="1"/>
    <col min="6903" max="6922" width="13" style="1" bestFit="1" customWidth="1"/>
    <col min="6923" max="6926" width="11" style="1" bestFit="1" customWidth="1"/>
    <col min="6927" max="6929" width="12.25" style="1" bestFit="1" customWidth="1"/>
    <col min="6930" max="6941" width="11" style="1" bestFit="1" customWidth="1"/>
    <col min="6942" max="6942" width="13.25" style="1" bestFit="1" customWidth="1"/>
    <col min="6943" max="6943" width="10" style="1" bestFit="1" customWidth="1"/>
    <col min="6944" max="6944" width="11" style="1" bestFit="1" customWidth="1"/>
    <col min="6945" max="7148" width="9" style="1"/>
    <col min="7149" max="7149" width="2.875" style="1" bestFit="1" customWidth="1"/>
    <col min="7150" max="7150" width="16.625" style="1" bestFit="1" customWidth="1"/>
    <col min="7151" max="7151" width="11.375" style="1" bestFit="1" customWidth="1"/>
    <col min="7152" max="7153" width="14.125" style="1" bestFit="1" customWidth="1"/>
    <col min="7154" max="7154" width="11.375" style="1" bestFit="1" customWidth="1"/>
    <col min="7155" max="7157" width="12.5" style="1" bestFit="1" customWidth="1"/>
    <col min="7158" max="7158" width="11" style="1" bestFit="1" customWidth="1"/>
    <col min="7159" max="7178" width="13" style="1" bestFit="1" customWidth="1"/>
    <col min="7179" max="7182" width="11" style="1" bestFit="1" customWidth="1"/>
    <col min="7183" max="7185" width="12.25" style="1" bestFit="1" customWidth="1"/>
    <col min="7186" max="7197" width="11" style="1" bestFit="1" customWidth="1"/>
    <col min="7198" max="7198" width="13.25" style="1" bestFit="1" customWidth="1"/>
    <col min="7199" max="7199" width="10" style="1" bestFit="1" customWidth="1"/>
    <col min="7200" max="7200" width="11" style="1" bestFit="1" customWidth="1"/>
    <col min="7201" max="7404" width="9" style="1"/>
    <col min="7405" max="7405" width="2.875" style="1" bestFit="1" customWidth="1"/>
    <col min="7406" max="7406" width="16.625" style="1" bestFit="1" customWidth="1"/>
    <col min="7407" max="7407" width="11.375" style="1" bestFit="1" customWidth="1"/>
    <col min="7408" max="7409" width="14.125" style="1" bestFit="1" customWidth="1"/>
    <col min="7410" max="7410" width="11.375" style="1" bestFit="1" customWidth="1"/>
    <col min="7411" max="7413" width="12.5" style="1" bestFit="1" customWidth="1"/>
    <col min="7414" max="7414" width="11" style="1" bestFit="1" customWidth="1"/>
    <col min="7415" max="7434" width="13" style="1" bestFit="1" customWidth="1"/>
    <col min="7435" max="7438" width="11" style="1" bestFit="1" customWidth="1"/>
    <col min="7439" max="7441" width="12.25" style="1" bestFit="1" customWidth="1"/>
    <col min="7442" max="7453" width="11" style="1" bestFit="1" customWidth="1"/>
    <col min="7454" max="7454" width="13.25" style="1" bestFit="1" customWidth="1"/>
    <col min="7455" max="7455" width="10" style="1" bestFit="1" customWidth="1"/>
    <col min="7456" max="7456" width="11" style="1" bestFit="1" customWidth="1"/>
    <col min="7457" max="7660" width="9" style="1"/>
    <col min="7661" max="7661" width="2.875" style="1" bestFit="1" customWidth="1"/>
    <col min="7662" max="7662" width="16.625" style="1" bestFit="1" customWidth="1"/>
    <col min="7663" max="7663" width="11.375" style="1" bestFit="1" customWidth="1"/>
    <col min="7664" max="7665" width="14.125" style="1" bestFit="1" customWidth="1"/>
    <col min="7666" max="7666" width="11.375" style="1" bestFit="1" customWidth="1"/>
    <col min="7667" max="7669" width="12.5" style="1" bestFit="1" customWidth="1"/>
    <col min="7670" max="7670" width="11" style="1" bestFit="1" customWidth="1"/>
    <col min="7671" max="7690" width="13" style="1" bestFit="1" customWidth="1"/>
    <col min="7691" max="7694" width="11" style="1" bestFit="1" customWidth="1"/>
    <col min="7695" max="7697" width="12.25" style="1" bestFit="1" customWidth="1"/>
    <col min="7698" max="7709" width="11" style="1" bestFit="1" customWidth="1"/>
    <col min="7710" max="7710" width="13.25" style="1" bestFit="1" customWidth="1"/>
    <col min="7711" max="7711" width="10" style="1" bestFit="1" customWidth="1"/>
    <col min="7712" max="7712" width="11" style="1" bestFit="1" customWidth="1"/>
    <col min="7713" max="7916" width="9" style="1"/>
    <col min="7917" max="7917" width="2.875" style="1" bestFit="1" customWidth="1"/>
    <col min="7918" max="7918" width="16.625" style="1" bestFit="1" customWidth="1"/>
    <col min="7919" max="7919" width="11.375" style="1" bestFit="1" customWidth="1"/>
    <col min="7920" max="7921" width="14.125" style="1" bestFit="1" customWidth="1"/>
    <col min="7922" max="7922" width="11.375" style="1" bestFit="1" customWidth="1"/>
    <col min="7923" max="7925" width="12.5" style="1" bestFit="1" customWidth="1"/>
    <col min="7926" max="7926" width="11" style="1" bestFit="1" customWidth="1"/>
    <col min="7927" max="7946" width="13" style="1" bestFit="1" customWidth="1"/>
    <col min="7947" max="7950" width="11" style="1" bestFit="1" customWidth="1"/>
    <col min="7951" max="7953" width="12.25" style="1" bestFit="1" customWidth="1"/>
    <col min="7954" max="7965" width="11" style="1" bestFit="1" customWidth="1"/>
    <col min="7966" max="7966" width="13.25" style="1" bestFit="1" customWidth="1"/>
    <col min="7967" max="7967" width="10" style="1" bestFit="1" customWidth="1"/>
    <col min="7968" max="7968" width="11" style="1" bestFit="1" customWidth="1"/>
    <col min="7969" max="8172" width="9" style="1"/>
    <col min="8173" max="8173" width="2.875" style="1" bestFit="1" customWidth="1"/>
    <col min="8174" max="8174" width="16.625" style="1" bestFit="1" customWidth="1"/>
    <col min="8175" max="8175" width="11.375" style="1" bestFit="1" customWidth="1"/>
    <col min="8176" max="8177" width="14.125" style="1" bestFit="1" customWidth="1"/>
    <col min="8178" max="8178" width="11.375" style="1" bestFit="1" customWidth="1"/>
    <col min="8179" max="8181" width="12.5" style="1" bestFit="1" customWidth="1"/>
    <col min="8182" max="8182" width="11" style="1" bestFit="1" customWidth="1"/>
    <col min="8183" max="8202" width="13" style="1" bestFit="1" customWidth="1"/>
    <col min="8203" max="8206" width="11" style="1" bestFit="1" customWidth="1"/>
    <col min="8207" max="8209" width="12.25" style="1" bestFit="1" customWidth="1"/>
    <col min="8210" max="8221" width="11" style="1" bestFit="1" customWidth="1"/>
    <col min="8222" max="8222" width="13.25" style="1" bestFit="1" customWidth="1"/>
    <col min="8223" max="8223" width="10" style="1" bestFit="1" customWidth="1"/>
    <col min="8224" max="8224" width="11" style="1" bestFit="1" customWidth="1"/>
    <col min="8225" max="8428" width="9" style="1"/>
    <col min="8429" max="8429" width="2.875" style="1" bestFit="1" customWidth="1"/>
    <col min="8430" max="8430" width="16.625" style="1" bestFit="1" customWidth="1"/>
    <col min="8431" max="8431" width="11.375" style="1" bestFit="1" customWidth="1"/>
    <col min="8432" max="8433" width="14.125" style="1" bestFit="1" customWidth="1"/>
    <col min="8434" max="8434" width="11.375" style="1" bestFit="1" customWidth="1"/>
    <col min="8435" max="8437" width="12.5" style="1" bestFit="1" customWidth="1"/>
    <col min="8438" max="8438" width="11" style="1" bestFit="1" customWidth="1"/>
    <col min="8439" max="8458" width="13" style="1" bestFit="1" customWidth="1"/>
    <col min="8459" max="8462" width="11" style="1" bestFit="1" customWidth="1"/>
    <col min="8463" max="8465" width="12.25" style="1" bestFit="1" customWidth="1"/>
    <col min="8466" max="8477" width="11" style="1" bestFit="1" customWidth="1"/>
    <col min="8478" max="8478" width="13.25" style="1" bestFit="1" customWidth="1"/>
    <col min="8479" max="8479" width="10" style="1" bestFit="1" customWidth="1"/>
    <col min="8480" max="8480" width="11" style="1" bestFit="1" customWidth="1"/>
    <col min="8481" max="8684" width="9" style="1"/>
    <col min="8685" max="8685" width="2.875" style="1" bestFit="1" customWidth="1"/>
    <col min="8686" max="8686" width="16.625" style="1" bestFit="1" customWidth="1"/>
    <col min="8687" max="8687" width="11.375" style="1" bestFit="1" customWidth="1"/>
    <col min="8688" max="8689" width="14.125" style="1" bestFit="1" customWidth="1"/>
    <col min="8690" max="8690" width="11.375" style="1" bestFit="1" customWidth="1"/>
    <col min="8691" max="8693" width="12.5" style="1" bestFit="1" customWidth="1"/>
    <col min="8694" max="8694" width="11" style="1" bestFit="1" customWidth="1"/>
    <col min="8695" max="8714" width="13" style="1" bestFit="1" customWidth="1"/>
    <col min="8715" max="8718" width="11" style="1" bestFit="1" customWidth="1"/>
    <col min="8719" max="8721" width="12.25" style="1" bestFit="1" customWidth="1"/>
    <col min="8722" max="8733" width="11" style="1" bestFit="1" customWidth="1"/>
    <col min="8734" max="8734" width="13.25" style="1" bestFit="1" customWidth="1"/>
    <col min="8735" max="8735" width="10" style="1" bestFit="1" customWidth="1"/>
    <col min="8736" max="8736" width="11" style="1" bestFit="1" customWidth="1"/>
    <col min="8737" max="8940" width="9" style="1"/>
    <col min="8941" max="8941" width="2.875" style="1" bestFit="1" customWidth="1"/>
    <col min="8942" max="8942" width="16.625" style="1" bestFit="1" customWidth="1"/>
    <col min="8943" max="8943" width="11.375" style="1" bestFit="1" customWidth="1"/>
    <col min="8944" max="8945" width="14.125" style="1" bestFit="1" customWidth="1"/>
    <col min="8946" max="8946" width="11.375" style="1" bestFit="1" customWidth="1"/>
    <col min="8947" max="8949" width="12.5" style="1" bestFit="1" customWidth="1"/>
    <col min="8950" max="8950" width="11" style="1" bestFit="1" customWidth="1"/>
    <col min="8951" max="8970" width="13" style="1" bestFit="1" customWidth="1"/>
    <col min="8971" max="8974" width="11" style="1" bestFit="1" customWidth="1"/>
    <col min="8975" max="8977" width="12.25" style="1" bestFit="1" customWidth="1"/>
    <col min="8978" max="8989" width="11" style="1" bestFit="1" customWidth="1"/>
    <col min="8990" max="8990" width="13.25" style="1" bestFit="1" customWidth="1"/>
    <col min="8991" max="8991" width="10" style="1" bestFit="1" customWidth="1"/>
    <col min="8992" max="8992" width="11" style="1" bestFit="1" customWidth="1"/>
    <col min="8993" max="9196" width="9" style="1"/>
    <col min="9197" max="9197" width="2.875" style="1" bestFit="1" customWidth="1"/>
    <col min="9198" max="9198" width="16.625" style="1" bestFit="1" customWidth="1"/>
    <col min="9199" max="9199" width="11.375" style="1" bestFit="1" customWidth="1"/>
    <col min="9200" max="9201" width="14.125" style="1" bestFit="1" customWidth="1"/>
    <col min="9202" max="9202" width="11.375" style="1" bestFit="1" customWidth="1"/>
    <col min="9203" max="9205" width="12.5" style="1" bestFit="1" customWidth="1"/>
    <col min="9206" max="9206" width="11" style="1" bestFit="1" customWidth="1"/>
    <col min="9207" max="9226" width="13" style="1" bestFit="1" customWidth="1"/>
    <col min="9227" max="9230" width="11" style="1" bestFit="1" customWidth="1"/>
    <col min="9231" max="9233" width="12.25" style="1" bestFit="1" customWidth="1"/>
    <col min="9234" max="9245" width="11" style="1" bestFit="1" customWidth="1"/>
    <col min="9246" max="9246" width="13.25" style="1" bestFit="1" customWidth="1"/>
    <col min="9247" max="9247" width="10" style="1" bestFit="1" customWidth="1"/>
    <col min="9248" max="9248" width="11" style="1" bestFit="1" customWidth="1"/>
    <col min="9249" max="9452" width="9" style="1"/>
    <col min="9453" max="9453" width="2.875" style="1" bestFit="1" customWidth="1"/>
    <col min="9454" max="9454" width="16.625" style="1" bestFit="1" customWidth="1"/>
    <col min="9455" max="9455" width="11.375" style="1" bestFit="1" customWidth="1"/>
    <col min="9456" max="9457" width="14.125" style="1" bestFit="1" customWidth="1"/>
    <col min="9458" max="9458" width="11.375" style="1" bestFit="1" customWidth="1"/>
    <col min="9459" max="9461" width="12.5" style="1" bestFit="1" customWidth="1"/>
    <col min="9462" max="9462" width="11" style="1" bestFit="1" customWidth="1"/>
    <col min="9463" max="9482" width="13" style="1" bestFit="1" customWidth="1"/>
    <col min="9483" max="9486" width="11" style="1" bestFit="1" customWidth="1"/>
    <col min="9487" max="9489" width="12.25" style="1" bestFit="1" customWidth="1"/>
    <col min="9490" max="9501" width="11" style="1" bestFit="1" customWidth="1"/>
    <col min="9502" max="9502" width="13.25" style="1" bestFit="1" customWidth="1"/>
    <col min="9503" max="9503" width="10" style="1" bestFit="1" customWidth="1"/>
    <col min="9504" max="9504" width="11" style="1" bestFit="1" customWidth="1"/>
    <col min="9505" max="9708" width="9" style="1"/>
    <col min="9709" max="9709" width="2.875" style="1" bestFit="1" customWidth="1"/>
    <col min="9710" max="9710" width="16.625" style="1" bestFit="1" customWidth="1"/>
    <col min="9711" max="9711" width="11.375" style="1" bestFit="1" customWidth="1"/>
    <col min="9712" max="9713" width="14.125" style="1" bestFit="1" customWidth="1"/>
    <col min="9714" max="9714" width="11.375" style="1" bestFit="1" customWidth="1"/>
    <col min="9715" max="9717" width="12.5" style="1" bestFit="1" customWidth="1"/>
    <col min="9718" max="9718" width="11" style="1" bestFit="1" customWidth="1"/>
    <col min="9719" max="9738" width="13" style="1" bestFit="1" customWidth="1"/>
    <col min="9739" max="9742" width="11" style="1" bestFit="1" customWidth="1"/>
    <col min="9743" max="9745" width="12.25" style="1" bestFit="1" customWidth="1"/>
    <col min="9746" max="9757" width="11" style="1" bestFit="1" customWidth="1"/>
    <col min="9758" max="9758" width="13.25" style="1" bestFit="1" customWidth="1"/>
    <col min="9759" max="9759" width="10" style="1" bestFit="1" customWidth="1"/>
    <col min="9760" max="9760" width="11" style="1" bestFit="1" customWidth="1"/>
    <col min="9761" max="9964" width="9" style="1"/>
    <col min="9965" max="9965" width="2.875" style="1" bestFit="1" customWidth="1"/>
    <col min="9966" max="9966" width="16.625" style="1" bestFit="1" customWidth="1"/>
    <col min="9967" max="9967" width="11.375" style="1" bestFit="1" customWidth="1"/>
    <col min="9968" max="9969" width="14.125" style="1" bestFit="1" customWidth="1"/>
    <col min="9970" max="9970" width="11.375" style="1" bestFit="1" customWidth="1"/>
    <col min="9971" max="9973" width="12.5" style="1" bestFit="1" customWidth="1"/>
    <col min="9974" max="9974" width="11" style="1" bestFit="1" customWidth="1"/>
    <col min="9975" max="9994" width="13" style="1" bestFit="1" customWidth="1"/>
    <col min="9995" max="9998" width="11" style="1" bestFit="1" customWidth="1"/>
    <col min="9999" max="10001" width="12.25" style="1" bestFit="1" customWidth="1"/>
    <col min="10002" max="10013" width="11" style="1" bestFit="1" customWidth="1"/>
    <col min="10014" max="10014" width="13.25" style="1" bestFit="1" customWidth="1"/>
    <col min="10015" max="10015" width="10" style="1" bestFit="1" customWidth="1"/>
    <col min="10016" max="10016" width="11" style="1" bestFit="1" customWidth="1"/>
    <col min="10017" max="10220" width="9" style="1"/>
    <col min="10221" max="10221" width="2.875" style="1" bestFit="1" customWidth="1"/>
    <col min="10222" max="10222" width="16.625" style="1" bestFit="1" customWidth="1"/>
    <col min="10223" max="10223" width="11.375" style="1" bestFit="1" customWidth="1"/>
    <col min="10224" max="10225" width="14.125" style="1" bestFit="1" customWidth="1"/>
    <col min="10226" max="10226" width="11.375" style="1" bestFit="1" customWidth="1"/>
    <col min="10227" max="10229" width="12.5" style="1" bestFit="1" customWidth="1"/>
    <col min="10230" max="10230" width="11" style="1" bestFit="1" customWidth="1"/>
    <col min="10231" max="10250" width="13" style="1" bestFit="1" customWidth="1"/>
    <col min="10251" max="10254" width="11" style="1" bestFit="1" customWidth="1"/>
    <col min="10255" max="10257" width="12.25" style="1" bestFit="1" customWidth="1"/>
    <col min="10258" max="10269" width="11" style="1" bestFit="1" customWidth="1"/>
    <col min="10270" max="10270" width="13.25" style="1" bestFit="1" customWidth="1"/>
    <col min="10271" max="10271" width="10" style="1" bestFit="1" customWidth="1"/>
    <col min="10272" max="10272" width="11" style="1" bestFit="1" customWidth="1"/>
    <col min="10273" max="10476" width="9" style="1"/>
    <col min="10477" max="10477" width="2.875" style="1" bestFit="1" customWidth="1"/>
    <col min="10478" max="10478" width="16.625" style="1" bestFit="1" customWidth="1"/>
    <col min="10479" max="10479" width="11.375" style="1" bestFit="1" customWidth="1"/>
    <col min="10480" max="10481" width="14.125" style="1" bestFit="1" customWidth="1"/>
    <col min="10482" max="10482" width="11.375" style="1" bestFit="1" customWidth="1"/>
    <col min="10483" max="10485" width="12.5" style="1" bestFit="1" customWidth="1"/>
    <col min="10486" max="10486" width="11" style="1" bestFit="1" customWidth="1"/>
    <col min="10487" max="10506" width="13" style="1" bestFit="1" customWidth="1"/>
    <col min="10507" max="10510" width="11" style="1" bestFit="1" customWidth="1"/>
    <col min="10511" max="10513" width="12.25" style="1" bestFit="1" customWidth="1"/>
    <col min="10514" max="10525" width="11" style="1" bestFit="1" customWidth="1"/>
    <col min="10526" max="10526" width="13.25" style="1" bestFit="1" customWidth="1"/>
    <col min="10527" max="10527" width="10" style="1" bestFit="1" customWidth="1"/>
    <col min="10528" max="10528" width="11" style="1" bestFit="1" customWidth="1"/>
    <col min="10529" max="10732" width="9" style="1"/>
    <col min="10733" max="10733" width="2.875" style="1" bestFit="1" customWidth="1"/>
    <col min="10734" max="10734" width="16.625" style="1" bestFit="1" customWidth="1"/>
    <col min="10735" max="10735" width="11.375" style="1" bestFit="1" customWidth="1"/>
    <col min="10736" max="10737" width="14.125" style="1" bestFit="1" customWidth="1"/>
    <col min="10738" max="10738" width="11.375" style="1" bestFit="1" customWidth="1"/>
    <col min="10739" max="10741" width="12.5" style="1" bestFit="1" customWidth="1"/>
    <col min="10742" max="10742" width="11" style="1" bestFit="1" customWidth="1"/>
    <col min="10743" max="10762" width="13" style="1" bestFit="1" customWidth="1"/>
    <col min="10763" max="10766" width="11" style="1" bestFit="1" customWidth="1"/>
    <col min="10767" max="10769" width="12.25" style="1" bestFit="1" customWidth="1"/>
    <col min="10770" max="10781" width="11" style="1" bestFit="1" customWidth="1"/>
    <col min="10782" max="10782" width="13.25" style="1" bestFit="1" customWidth="1"/>
    <col min="10783" max="10783" width="10" style="1" bestFit="1" customWidth="1"/>
    <col min="10784" max="10784" width="11" style="1" bestFit="1" customWidth="1"/>
    <col min="10785" max="10988" width="9" style="1"/>
    <col min="10989" max="10989" width="2.875" style="1" bestFit="1" customWidth="1"/>
    <col min="10990" max="10990" width="16.625" style="1" bestFit="1" customWidth="1"/>
    <col min="10991" max="10991" width="11.375" style="1" bestFit="1" customWidth="1"/>
    <col min="10992" max="10993" width="14.125" style="1" bestFit="1" customWidth="1"/>
    <col min="10994" max="10994" width="11.375" style="1" bestFit="1" customWidth="1"/>
    <col min="10995" max="10997" width="12.5" style="1" bestFit="1" customWidth="1"/>
    <col min="10998" max="10998" width="11" style="1" bestFit="1" customWidth="1"/>
    <col min="10999" max="11018" width="13" style="1" bestFit="1" customWidth="1"/>
    <col min="11019" max="11022" width="11" style="1" bestFit="1" customWidth="1"/>
    <col min="11023" max="11025" width="12.25" style="1" bestFit="1" customWidth="1"/>
    <col min="11026" max="11037" width="11" style="1" bestFit="1" customWidth="1"/>
    <col min="11038" max="11038" width="13.25" style="1" bestFit="1" customWidth="1"/>
    <col min="11039" max="11039" width="10" style="1" bestFit="1" customWidth="1"/>
    <col min="11040" max="11040" width="11" style="1" bestFit="1" customWidth="1"/>
    <col min="11041" max="11244" width="9" style="1"/>
    <col min="11245" max="11245" width="2.875" style="1" bestFit="1" customWidth="1"/>
    <col min="11246" max="11246" width="16.625" style="1" bestFit="1" customWidth="1"/>
    <col min="11247" max="11247" width="11.375" style="1" bestFit="1" customWidth="1"/>
    <col min="11248" max="11249" width="14.125" style="1" bestFit="1" customWidth="1"/>
    <col min="11250" max="11250" width="11.375" style="1" bestFit="1" customWidth="1"/>
    <col min="11251" max="11253" width="12.5" style="1" bestFit="1" customWidth="1"/>
    <col min="11254" max="11254" width="11" style="1" bestFit="1" customWidth="1"/>
    <col min="11255" max="11274" width="13" style="1" bestFit="1" customWidth="1"/>
    <col min="11275" max="11278" width="11" style="1" bestFit="1" customWidth="1"/>
    <col min="11279" max="11281" width="12.25" style="1" bestFit="1" customWidth="1"/>
    <col min="11282" max="11293" width="11" style="1" bestFit="1" customWidth="1"/>
    <col min="11294" max="11294" width="13.25" style="1" bestFit="1" customWidth="1"/>
    <col min="11295" max="11295" width="10" style="1" bestFit="1" customWidth="1"/>
    <col min="11296" max="11296" width="11" style="1" bestFit="1" customWidth="1"/>
    <col min="11297" max="11500" width="9" style="1"/>
    <col min="11501" max="11501" width="2.875" style="1" bestFit="1" customWidth="1"/>
    <col min="11502" max="11502" width="16.625" style="1" bestFit="1" customWidth="1"/>
    <col min="11503" max="11503" width="11.375" style="1" bestFit="1" customWidth="1"/>
    <col min="11504" max="11505" width="14.125" style="1" bestFit="1" customWidth="1"/>
    <col min="11506" max="11506" width="11.375" style="1" bestFit="1" customWidth="1"/>
    <col min="11507" max="11509" width="12.5" style="1" bestFit="1" customWidth="1"/>
    <col min="11510" max="11510" width="11" style="1" bestFit="1" customWidth="1"/>
    <col min="11511" max="11530" width="13" style="1" bestFit="1" customWidth="1"/>
    <col min="11531" max="11534" width="11" style="1" bestFit="1" customWidth="1"/>
    <col min="11535" max="11537" width="12.25" style="1" bestFit="1" customWidth="1"/>
    <col min="11538" max="11549" width="11" style="1" bestFit="1" customWidth="1"/>
    <col min="11550" max="11550" width="13.25" style="1" bestFit="1" customWidth="1"/>
    <col min="11551" max="11551" width="10" style="1" bestFit="1" customWidth="1"/>
    <col min="11552" max="11552" width="11" style="1" bestFit="1" customWidth="1"/>
    <col min="11553" max="11756" width="9" style="1"/>
    <col min="11757" max="11757" width="2.875" style="1" bestFit="1" customWidth="1"/>
    <col min="11758" max="11758" width="16.625" style="1" bestFit="1" customWidth="1"/>
    <col min="11759" max="11759" width="11.375" style="1" bestFit="1" customWidth="1"/>
    <col min="11760" max="11761" width="14.125" style="1" bestFit="1" customWidth="1"/>
    <col min="11762" max="11762" width="11.375" style="1" bestFit="1" customWidth="1"/>
    <col min="11763" max="11765" width="12.5" style="1" bestFit="1" customWidth="1"/>
    <col min="11766" max="11766" width="11" style="1" bestFit="1" customWidth="1"/>
    <col min="11767" max="11786" width="13" style="1" bestFit="1" customWidth="1"/>
    <col min="11787" max="11790" width="11" style="1" bestFit="1" customWidth="1"/>
    <col min="11791" max="11793" width="12.25" style="1" bestFit="1" customWidth="1"/>
    <col min="11794" max="11805" width="11" style="1" bestFit="1" customWidth="1"/>
    <col min="11806" max="11806" width="13.25" style="1" bestFit="1" customWidth="1"/>
    <col min="11807" max="11807" width="10" style="1" bestFit="1" customWidth="1"/>
    <col min="11808" max="11808" width="11" style="1" bestFit="1" customWidth="1"/>
    <col min="11809" max="12012" width="9" style="1"/>
    <col min="12013" max="12013" width="2.875" style="1" bestFit="1" customWidth="1"/>
    <col min="12014" max="12014" width="16.625" style="1" bestFit="1" customWidth="1"/>
    <col min="12015" max="12015" width="11.375" style="1" bestFit="1" customWidth="1"/>
    <col min="12016" max="12017" width="14.125" style="1" bestFit="1" customWidth="1"/>
    <col min="12018" max="12018" width="11.375" style="1" bestFit="1" customWidth="1"/>
    <col min="12019" max="12021" width="12.5" style="1" bestFit="1" customWidth="1"/>
    <col min="12022" max="12022" width="11" style="1" bestFit="1" customWidth="1"/>
    <col min="12023" max="12042" width="13" style="1" bestFit="1" customWidth="1"/>
    <col min="12043" max="12046" width="11" style="1" bestFit="1" customWidth="1"/>
    <col min="12047" max="12049" width="12.25" style="1" bestFit="1" customWidth="1"/>
    <col min="12050" max="12061" width="11" style="1" bestFit="1" customWidth="1"/>
    <col min="12062" max="12062" width="13.25" style="1" bestFit="1" customWidth="1"/>
    <col min="12063" max="12063" width="10" style="1" bestFit="1" customWidth="1"/>
    <col min="12064" max="12064" width="11" style="1" bestFit="1" customWidth="1"/>
    <col min="12065" max="12268" width="9" style="1"/>
    <col min="12269" max="12269" width="2.875" style="1" bestFit="1" customWidth="1"/>
    <col min="12270" max="12270" width="16.625" style="1" bestFit="1" customWidth="1"/>
    <col min="12271" max="12271" width="11.375" style="1" bestFit="1" customWidth="1"/>
    <col min="12272" max="12273" width="14.125" style="1" bestFit="1" customWidth="1"/>
    <col min="12274" max="12274" width="11.375" style="1" bestFit="1" customWidth="1"/>
    <col min="12275" max="12277" width="12.5" style="1" bestFit="1" customWidth="1"/>
    <col min="12278" max="12278" width="11" style="1" bestFit="1" customWidth="1"/>
    <col min="12279" max="12298" width="13" style="1" bestFit="1" customWidth="1"/>
    <col min="12299" max="12302" width="11" style="1" bestFit="1" customWidth="1"/>
    <col min="12303" max="12305" width="12.25" style="1" bestFit="1" customWidth="1"/>
    <col min="12306" max="12317" width="11" style="1" bestFit="1" customWidth="1"/>
    <col min="12318" max="12318" width="13.25" style="1" bestFit="1" customWidth="1"/>
    <col min="12319" max="12319" width="10" style="1" bestFit="1" customWidth="1"/>
    <col min="12320" max="12320" width="11" style="1" bestFit="1" customWidth="1"/>
    <col min="12321" max="12524" width="9" style="1"/>
    <col min="12525" max="12525" width="2.875" style="1" bestFit="1" customWidth="1"/>
    <col min="12526" max="12526" width="16.625" style="1" bestFit="1" customWidth="1"/>
    <col min="12527" max="12527" width="11.375" style="1" bestFit="1" customWidth="1"/>
    <col min="12528" max="12529" width="14.125" style="1" bestFit="1" customWidth="1"/>
    <col min="12530" max="12530" width="11.375" style="1" bestFit="1" customWidth="1"/>
    <col min="12531" max="12533" width="12.5" style="1" bestFit="1" customWidth="1"/>
    <col min="12534" max="12534" width="11" style="1" bestFit="1" customWidth="1"/>
    <col min="12535" max="12554" width="13" style="1" bestFit="1" customWidth="1"/>
    <col min="12555" max="12558" width="11" style="1" bestFit="1" customWidth="1"/>
    <col min="12559" max="12561" width="12.25" style="1" bestFit="1" customWidth="1"/>
    <col min="12562" max="12573" width="11" style="1" bestFit="1" customWidth="1"/>
    <col min="12574" max="12574" width="13.25" style="1" bestFit="1" customWidth="1"/>
    <col min="12575" max="12575" width="10" style="1" bestFit="1" customWidth="1"/>
    <col min="12576" max="12576" width="11" style="1" bestFit="1" customWidth="1"/>
    <col min="12577" max="12780" width="9" style="1"/>
    <col min="12781" max="12781" width="2.875" style="1" bestFit="1" customWidth="1"/>
    <col min="12782" max="12782" width="16.625" style="1" bestFit="1" customWidth="1"/>
    <col min="12783" max="12783" width="11.375" style="1" bestFit="1" customWidth="1"/>
    <col min="12784" max="12785" width="14.125" style="1" bestFit="1" customWidth="1"/>
    <col min="12786" max="12786" width="11.375" style="1" bestFit="1" customWidth="1"/>
    <col min="12787" max="12789" width="12.5" style="1" bestFit="1" customWidth="1"/>
    <col min="12790" max="12790" width="11" style="1" bestFit="1" customWidth="1"/>
    <col min="12791" max="12810" width="13" style="1" bestFit="1" customWidth="1"/>
    <col min="12811" max="12814" width="11" style="1" bestFit="1" customWidth="1"/>
    <col min="12815" max="12817" width="12.25" style="1" bestFit="1" customWidth="1"/>
    <col min="12818" max="12829" width="11" style="1" bestFit="1" customWidth="1"/>
    <col min="12830" max="12830" width="13.25" style="1" bestFit="1" customWidth="1"/>
    <col min="12831" max="12831" width="10" style="1" bestFit="1" customWidth="1"/>
    <col min="12832" max="12832" width="11" style="1" bestFit="1" customWidth="1"/>
    <col min="12833" max="13036" width="9" style="1"/>
    <col min="13037" max="13037" width="2.875" style="1" bestFit="1" customWidth="1"/>
    <col min="13038" max="13038" width="16.625" style="1" bestFit="1" customWidth="1"/>
    <col min="13039" max="13039" width="11.375" style="1" bestFit="1" customWidth="1"/>
    <col min="13040" max="13041" width="14.125" style="1" bestFit="1" customWidth="1"/>
    <col min="13042" max="13042" width="11.375" style="1" bestFit="1" customWidth="1"/>
    <col min="13043" max="13045" width="12.5" style="1" bestFit="1" customWidth="1"/>
    <col min="13046" max="13046" width="11" style="1" bestFit="1" customWidth="1"/>
    <col min="13047" max="13066" width="13" style="1" bestFit="1" customWidth="1"/>
    <col min="13067" max="13070" width="11" style="1" bestFit="1" customWidth="1"/>
    <col min="13071" max="13073" width="12.25" style="1" bestFit="1" customWidth="1"/>
    <col min="13074" max="13085" width="11" style="1" bestFit="1" customWidth="1"/>
    <col min="13086" max="13086" width="13.25" style="1" bestFit="1" customWidth="1"/>
    <col min="13087" max="13087" width="10" style="1" bestFit="1" customWidth="1"/>
    <col min="13088" max="13088" width="11" style="1" bestFit="1" customWidth="1"/>
    <col min="13089" max="13292" width="9" style="1"/>
    <col min="13293" max="13293" width="2.875" style="1" bestFit="1" customWidth="1"/>
    <col min="13294" max="13294" width="16.625" style="1" bestFit="1" customWidth="1"/>
    <col min="13295" max="13295" width="11.375" style="1" bestFit="1" customWidth="1"/>
    <col min="13296" max="13297" width="14.125" style="1" bestFit="1" customWidth="1"/>
    <col min="13298" max="13298" width="11.375" style="1" bestFit="1" customWidth="1"/>
    <col min="13299" max="13301" width="12.5" style="1" bestFit="1" customWidth="1"/>
    <col min="13302" max="13302" width="11" style="1" bestFit="1" customWidth="1"/>
    <col min="13303" max="13322" width="13" style="1" bestFit="1" customWidth="1"/>
    <col min="13323" max="13326" width="11" style="1" bestFit="1" customWidth="1"/>
    <col min="13327" max="13329" width="12.25" style="1" bestFit="1" customWidth="1"/>
    <col min="13330" max="13341" width="11" style="1" bestFit="1" customWidth="1"/>
    <col min="13342" max="13342" width="13.25" style="1" bestFit="1" customWidth="1"/>
    <col min="13343" max="13343" width="10" style="1" bestFit="1" customWidth="1"/>
    <col min="13344" max="13344" width="11" style="1" bestFit="1" customWidth="1"/>
    <col min="13345" max="13548" width="9" style="1"/>
    <col min="13549" max="13549" width="2.875" style="1" bestFit="1" customWidth="1"/>
    <col min="13550" max="13550" width="16.625" style="1" bestFit="1" customWidth="1"/>
    <col min="13551" max="13551" width="11.375" style="1" bestFit="1" customWidth="1"/>
    <col min="13552" max="13553" width="14.125" style="1" bestFit="1" customWidth="1"/>
    <col min="13554" max="13554" width="11.375" style="1" bestFit="1" customWidth="1"/>
    <col min="13555" max="13557" width="12.5" style="1" bestFit="1" customWidth="1"/>
    <col min="13558" max="13558" width="11" style="1" bestFit="1" customWidth="1"/>
    <col min="13559" max="13578" width="13" style="1" bestFit="1" customWidth="1"/>
    <col min="13579" max="13582" width="11" style="1" bestFit="1" customWidth="1"/>
    <col min="13583" max="13585" width="12.25" style="1" bestFit="1" customWidth="1"/>
    <col min="13586" max="13597" width="11" style="1" bestFit="1" customWidth="1"/>
    <col min="13598" max="13598" width="13.25" style="1" bestFit="1" customWidth="1"/>
    <col min="13599" max="13599" width="10" style="1" bestFit="1" customWidth="1"/>
    <col min="13600" max="13600" width="11" style="1" bestFit="1" customWidth="1"/>
    <col min="13601" max="13804" width="9" style="1"/>
    <col min="13805" max="13805" width="2.875" style="1" bestFit="1" customWidth="1"/>
    <col min="13806" max="13806" width="16.625" style="1" bestFit="1" customWidth="1"/>
    <col min="13807" max="13807" width="11.375" style="1" bestFit="1" customWidth="1"/>
    <col min="13808" max="13809" width="14.125" style="1" bestFit="1" customWidth="1"/>
    <col min="13810" max="13810" width="11.375" style="1" bestFit="1" customWidth="1"/>
    <col min="13811" max="13813" width="12.5" style="1" bestFit="1" customWidth="1"/>
    <col min="13814" max="13814" width="11" style="1" bestFit="1" customWidth="1"/>
    <col min="13815" max="13834" width="13" style="1" bestFit="1" customWidth="1"/>
    <col min="13835" max="13838" width="11" style="1" bestFit="1" customWidth="1"/>
    <col min="13839" max="13841" width="12.25" style="1" bestFit="1" customWidth="1"/>
    <col min="13842" max="13853" width="11" style="1" bestFit="1" customWidth="1"/>
    <col min="13854" max="13854" width="13.25" style="1" bestFit="1" customWidth="1"/>
    <col min="13855" max="13855" width="10" style="1" bestFit="1" customWidth="1"/>
    <col min="13856" max="13856" width="11" style="1" bestFit="1" customWidth="1"/>
    <col min="13857" max="14060" width="9" style="1"/>
    <col min="14061" max="14061" width="2.875" style="1" bestFit="1" customWidth="1"/>
    <col min="14062" max="14062" width="16.625" style="1" bestFit="1" customWidth="1"/>
    <col min="14063" max="14063" width="11.375" style="1" bestFit="1" customWidth="1"/>
    <col min="14064" max="14065" width="14.125" style="1" bestFit="1" customWidth="1"/>
    <col min="14066" max="14066" width="11.375" style="1" bestFit="1" customWidth="1"/>
    <col min="14067" max="14069" width="12.5" style="1" bestFit="1" customWidth="1"/>
    <col min="14070" max="14070" width="11" style="1" bestFit="1" customWidth="1"/>
    <col min="14071" max="14090" width="13" style="1" bestFit="1" customWidth="1"/>
    <col min="14091" max="14094" width="11" style="1" bestFit="1" customWidth="1"/>
    <col min="14095" max="14097" width="12.25" style="1" bestFit="1" customWidth="1"/>
    <col min="14098" max="14109" width="11" style="1" bestFit="1" customWidth="1"/>
    <col min="14110" max="14110" width="13.25" style="1" bestFit="1" customWidth="1"/>
    <col min="14111" max="14111" width="10" style="1" bestFit="1" customWidth="1"/>
    <col min="14112" max="14112" width="11" style="1" bestFit="1" customWidth="1"/>
    <col min="14113" max="14316" width="9" style="1"/>
    <col min="14317" max="14317" width="2.875" style="1" bestFit="1" customWidth="1"/>
    <col min="14318" max="14318" width="16.625" style="1" bestFit="1" customWidth="1"/>
    <col min="14319" max="14319" width="11.375" style="1" bestFit="1" customWidth="1"/>
    <col min="14320" max="14321" width="14.125" style="1" bestFit="1" customWidth="1"/>
    <col min="14322" max="14322" width="11.375" style="1" bestFit="1" customWidth="1"/>
    <col min="14323" max="14325" width="12.5" style="1" bestFit="1" customWidth="1"/>
    <col min="14326" max="14326" width="11" style="1" bestFit="1" customWidth="1"/>
    <col min="14327" max="14346" width="13" style="1" bestFit="1" customWidth="1"/>
    <col min="14347" max="14350" width="11" style="1" bestFit="1" customWidth="1"/>
    <col min="14351" max="14353" width="12.25" style="1" bestFit="1" customWidth="1"/>
    <col min="14354" max="14365" width="11" style="1" bestFit="1" customWidth="1"/>
    <col min="14366" max="14366" width="13.25" style="1" bestFit="1" customWidth="1"/>
    <col min="14367" max="14367" width="10" style="1" bestFit="1" customWidth="1"/>
    <col min="14368" max="14368" width="11" style="1" bestFit="1" customWidth="1"/>
    <col min="14369" max="14572" width="9" style="1"/>
    <col min="14573" max="14573" width="2.875" style="1" bestFit="1" customWidth="1"/>
    <col min="14574" max="14574" width="16.625" style="1" bestFit="1" customWidth="1"/>
    <col min="14575" max="14575" width="11.375" style="1" bestFit="1" customWidth="1"/>
    <col min="14576" max="14577" width="14.125" style="1" bestFit="1" customWidth="1"/>
    <col min="14578" max="14578" width="11.375" style="1" bestFit="1" customWidth="1"/>
    <col min="14579" max="14581" width="12.5" style="1" bestFit="1" customWidth="1"/>
    <col min="14582" max="14582" width="11" style="1" bestFit="1" customWidth="1"/>
    <col min="14583" max="14602" width="13" style="1" bestFit="1" customWidth="1"/>
    <col min="14603" max="14606" width="11" style="1" bestFit="1" customWidth="1"/>
    <col min="14607" max="14609" width="12.25" style="1" bestFit="1" customWidth="1"/>
    <col min="14610" max="14621" width="11" style="1" bestFit="1" customWidth="1"/>
    <col min="14622" max="14622" width="13.25" style="1" bestFit="1" customWidth="1"/>
    <col min="14623" max="14623" width="10" style="1" bestFit="1" customWidth="1"/>
    <col min="14624" max="14624" width="11" style="1" bestFit="1" customWidth="1"/>
    <col min="14625" max="14828" width="9" style="1"/>
    <col min="14829" max="14829" width="2.875" style="1" bestFit="1" customWidth="1"/>
    <col min="14830" max="14830" width="16.625" style="1" bestFit="1" customWidth="1"/>
    <col min="14831" max="14831" width="11.375" style="1" bestFit="1" customWidth="1"/>
    <col min="14832" max="14833" width="14.125" style="1" bestFit="1" customWidth="1"/>
    <col min="14834" max="14834" width="11.375" style="1" bestFit="1" customWidth="1"/>
    <col min="14835" max="14837" width="12.5" style="1" bestFit="1" customWidth="1"/>
    <col min="14838" max="14838" width="11" style="1" bestFit="1" customWidth="1"/>
    <col min="14839" max="14858" width="13" style="1" bestFit="1" customWidth="1"/>
    <col min="14859" max="14862" width="11" style="1" bestFit="1" customWidth="1"/>
    <col min="14863" max="14865" width="12.25" style="1" bestFit="1" customWidth="1"/>
    <col min="14866" max="14877" width="11" style="1" bestFit="1" customWidth="1"/>
    <col min="14878" max="14878" width="13.25" style="1" bestFit="1" customWidth="1"/>
    <col min="14879" max="14879" width="10" style="1" bestFit="1" customWidth="1"/>
    <col min="14880" max="14880" width="11" style="1" bestFit="1" customWidth="1"/>
    <col min="14881" max="15084" width="9" style="1"/>
    <col min="15085" max="15085" width="2.875" style="1" bestFit="1" customWidth="1"/>
    <col min="15086" max="15086" width="16.625" style="1" bestFit="1" customWidth="1"/>
    <col min="15087" max="15087" width="11.375" style="1" bestFit="1" customWidth="1"/>
    <col min="15088" max="15089" width="14.125" style="1" bestFit="1" customWidth="1"/>
    <col min="15090" max="15090" width="11.375" style="1" bestFit="1" customWidth="1"/>
    <col min="15091" max="15093" width="12.5" style="1" bestFit="1" customWidth="1"/>
    <col min="15094" max="15094" width="11" style="1" bestFit="1" customWidth="1"/>
    <col min="15095" max="15114" width="13" style="1" bestFit="1" customWidth="1"/>
    <col min="15115" max="15118" width="11" style="1" bestFit="1" customWidth="1"/>
    <col min="15119" max="15121" width="12.25" style="1" bestFit="1" customWidth="1"/>
    <col min="15122" max="15133" width="11" style="1" bestFit="1" customWidth="1"/>
    <col min="15134" max="15134" width="13.25" style="1" bestFit="1" customWidth="1"/>
    <col min="15135" max="15135" width="10" style="1" bestFit="1" customWidth="1"/>
    <col min="15136" max="15136" width="11" style="1" bestFit="1" customWidth="1"/>
    <col min="15137" max="15340" width="9" style="1"/>
    <col min="15341" max="15341" width="2.875" style="1" bestFit="1" customWidth="1"/>
    <col min="15342" max="15342" width="16.625" style="1" bestFit="1" customWidth="1"/>
    <col min="15343" max="15343" width="11.375" style="1" bestFit="1" customWidth="1"/>
    <col min="15344" max="15345" width="14.125" style="1" bestFit="1" customWidth="1"/>
    <col min="15346" max="15346" width="11.375" style="1" bestFit="1" customWidth="1"/>
    <col min="15347" max="15349" width="12.5" style="1" bestFit="1" customWidth="1"/>
    <col min="15350" max="15350" width="11" style="1" bestFit="1" customWidth="1"/>
    <col min="15351" max="15370" width="13" style="1" bestFit="1" customWidth="1"/>
    <col min="15371" max="15374" width="11" style="1" bestFit="1" customWidth="1"/>
    <col min="15375" max="15377" width="12.25" style="1" bestFit="1" customWidth="1"/>
    <col min="15378" max="15389" width="11" style="1" bestFit="1" customWidth="1"/>
    <col min="15390" max="15390" width="13.25" style="1" bestFit="1" customWidth="1"/>
    <col min="15391" max="15391" width="10" style="1" bestFit="1" customWidth="1"/>
    <col min="15392" max="15392" width="11" style="1" bestFit="1" customWidth="1"/>
    <col min="15393" max="15596" width="9" style="1"/>
    <col min="15597" max="15597" width="2.875" style="1" bestFit="1" customWidth="1"/>
    <col min="15598" max="15598" width="16.625" style="1" bestFit="1" customWidth="1"/>
    <col min="15599" max="15599" width="11.375" style="1" bestFit="1" customWidth="1"/>
    <col min="15600" max="15601" width="14.125" style="1" bestFit="1" customWidth="1"/>
    <col min="15602" max="15602" width="11.375" style="1" bestFit="1" customWidth="1"/>
    <col min="15603" max="15605" width="12.5" style="1" bestFit="1" customWidth="1"/>
    <col min="15606" max="15606" width="11" style="1" bestFit="1" customWidth="1"/>
    <col min="15607" max="15626" width="13" style="1" bestFit="1" customWidth="1"/>
    <col min="15627" max="15630" width="11" style="1" bestFit="1" customWidth="1"/>
    <col min="15631" max="15633" width="12.25" style="1" bestFit="1" customWidth="1"/>
    <col min="15634" max="15645" width="11" style="1" bestFit="1" customWidth="1"/>
    <col min="15646" max="15646" width="13.25" style="1" bestFit="1" customWidth="1"/>
    <col min="15647" max="15647" width="10" style="1" bestFit="1" customWidth="1"/>
    <col min="15648" max="15648" width="11" style="1" bestFit="1" customWidth="1"/>
    <col min="15649" max="15852" width="9" style="1"/>
    <col min="15853" max="15853" width="2.875" style="1" bestFit="1" customWidth="1"/>
    <col min="15854" max="15854" width="16.625" style="1" bestFit="1" customWidth="1"/>
    <col min="15855" max="15855" width="11.375" style="1" bestFit="1" customWidth="1"/>
    <col min="15856" max="15857" width="14.125" style="1" bestFit="1" customWidth="1"/>
    <col min="15858" max="15858" width="11.375" style="1" bestFit="1" customWidth="1"/>
    <col min="15859" max="15861" width="12.5" style="1" bestFit="1" customWidth="1"/>
    <col min="15862" max="15862" width="11" style="1" bestFit="1" customWidth="1"/>
    <col min="15863" max="15882" width="13" style="1" bestFit="1" customWidth="1"/>
    <col min="15883" max="15886" width="11" style="1" bestFit="1" customWidth="1"/>
    <col min="15887" max="15889" width="12.25" style="1" bestFit="1" customWidth="1"/>
    <col min="15890" max="15901" width="11" style="1" bestFit="1" customWidth="1"/>
    <col min="15902" max="15902" width="13.25" style="1" bestFit="1" customWidth="1"/>
    <col min="15903" max="15903" width="10" style="1" bestFit="1" customWidth="1"/>
    <col min="15904" max="15904" width="11" style="1" bestFit="1" customWidth="1"/>
    <col min="15905" max="16108" width="9" style="1"/>
    <col min="16109" max="16109" width="2.875" style="1" bestFit="1" customWidth="1"/>
    <col min="16110" max="16110" width="16.625" style="1" bestFit="1" customWidth="1"/>
    <col min="16111" max="16111" width="11.375" style="1" bestFit="1" customWidth="1"/>
    <col min="16112" max="16113" width="14.125" style="1" bestFit="1" customWidth="1"/>
    <col min="16114" max="16114" width="11.375" style="1" bestFit="1" customWidth="1"/>
    <col min="16115" max="16117" width="12.5" style="1" bestFit="1" customWidth="1"/>
    <col min="16118" max="16118" width="11" style="1" bestFit="1" customWidth="1"/>
    <col min="16119" max="16138" width="13" style="1" bestFit="1" customWidth="1"/>
    <col min="16139" max="16142" width="11" style="1" bestFit="1" customWidth="1"/>
    <col min="16143" max="16145" width="12.25" style="1" bestFit="1" customWidth="1"/>
    <col min="16146" max="16157" width="11" style="1" bestFit="1" customWidth="1"/>
    <col min="16158" max="16158" width="13.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 x14ac:dyDescent="0.15"/>
    <row r="3" spans="1:32" ht="17.25" x14ac:dyDescent="0.2">
      <c r="A3" s="57">
        <v>45627</v>
      </c>
      <c r="B3" s="57"/>
      <c r="C3" s="49" t="s">
        <v>237</v>
      </c>
    </row>
    <row r="4" spans="1:32" s="5" customFormat="1" x14ac:dyDescent="0.15">
      <c r="A4" s="50" t="s">
        <v>0</v>
      </c>
      <c r="B4" s="50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15</v>
      </c>
      <c r="J4" s="2" t="s">
        <v>165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26</v>
      </c>
      <c r="V4" s="2" t="s">
        <v>197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2" t="s">
        <v>33</v>
      </c>
      <c r="AD4" s="3" t="s">
        <v>42</v>
      </c>
      <c r="AE4" s="3" t="s">
        <v>43</v>
      </c>
      <c r="AF4" s="4" t="s">
        <v>44</v>
      </c>
    </row>
    <row r="5" spans="1:32" s="5" customFormat="1" hidden="1" x14ac:dyDescent="0.15">
      <c r="A5" s="54" t="s">
        <v>45</v>
      </c>
      <c r="B5" s="58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3"/>
      <c r="AE5" s="3"/>
      <c r="AF5" s="4"/>
    </row>
    <row r="6" spans="1:32" s="5" customFormat="1" hidden="1" x14ac:dyDescent="0.15">
      <c r="A6" s="54" t="s">
        <v>46</v>
      </c>
      <c r="B6" s="58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2" t="s">
        <v>48</v>
      </c>
      <c r="K6" s="2" t="s">
        <v>48</v>
      </c>
      <c r="L6" s="2" t="s">
        <v>48</v>
      </c>
      <c r="M6" s="2" t="s">
        <v>48</v>
      </c>
      <c r="N6" s="2" t="s">
        <v>48</v>
      </c>
      <c r="O6" s="2" t="s">
        <v>48</v>
      </c>
      <c r="P6" s="2" t="s">
        <v>48</v>
      </c>
      <c r="Q6" s="2" t="s">
        <v>48</v>
      </c>
      <c r="R6" s="2" t="s">
        <v>48</v>
      </c>
      <c r="S6" s="2" t="s">
        <v>48</v>
      </c>
      <c r="T6" s="2" t="s">
        <v>48</v>
      </c>
      <c r="U6" s="2" t="s">
        <v>48</v>
      </c>
      <c r="V6" s="2" t="s">
        <v>48</v>
      </c>
      <c r="W6" s="2" t="s">
        <v>49</v>
      </c>
      <c r="X6" s="2" t="s">
        <v>49</v>
      </c>
      <c r="Y6" s="2" t="s">
        <v>49</v>
      </c>
      <c r="Z6" s="2" t="s">
        <v>49</v>
      </c>
      <c r="AA6" s="2" t="s">
        <v>49</v>
      </c>
      <c r="AB6" s="2" t="s">
        <v>49</v>
      </c>
      <c r="AC6" s="2" t="s">
        <v>49</v>
      </c>
      <c r="AD6" s="3"/>
      <c r="AE6" s="3"/>
      <c r="AF6" s="4"/>
    </row>
    <row r="7" spans="1:32" s="5" customFormat="1" x14ac:dyDescent="0.15">
      <c r="A7" s="56" t="s">
        <v>52</v>
      </c>
      <c r="B7" s="56"/>
      <c r="C7" s="42" t="s">
        <v>162</v>
      </c>
      <c r="D7" s="42" t="s">
        <v>161</v>
      </c>
      <c r="E7" s="42" t="s">
        <v>164</v>
      </c>
      <c r="F7" s="42" t="s">
        <v>171</v>
      </c>
      <c r="G7" s="42" t="s">
        <v>169</v>
      </c>
      <c r="H7" s="42" t="s">
        <v>163</v>
      </c>
      <c r="I7" s="42" t="s">
        <v>172</v>
      </c>
      <c r="J7" s="42" t="s">
        <v>166</v>
      </c>
      <c r="K7" s="42" t="s">
        <v>167</v>
      </c>
      <c r="L7" s="42" t="s">
        <v>173</v>
      </c>
      <c r="M7" s="42" t="s">
        <v>168</v>
      </c>
      <c r="N7" s="42" t="s">
        <v>176</v>
      </c>
      <c r="O7" s="42" t="s">
        <v>177</v>
      </c>
      <c r="P7" s="42" t="s">
        <v>174</v>
      </c>
      <c r="Q7" s="42" t="s">
        <v>175</v>
      </c>
      <c r="R7" s="42" t="s">
        <v>178</v>
      </c>
      <c r="S7" s="42" t="s">
        <v>181</v>
      </c>
      <c r="T7" s="42"/>
      <c r="U7" s="42"/>
      <c r="V7" s="42"/>
      <c r="W7" s="42" t="s">
        <v>159</v>
      </c>
      <c r="X7" s="42" t="s">
        <v>160</v>
      </c>
      <c r="Y7" s="42" t="s">
        <v>158</v>
      </c>
      <c r="Z7" s="42" t="s">
        <v>170</v>
      </c>
      <c r="AA7" s="42" t="s">
        <v>182</v>
      </c>
      <c r="AB7" s="42" t="s">
        <v>179</v>
      </c>
      <c r="AC7" s="42" t="s">
        <v>180</v>
      </c>
      <c r="AD7" s="6"/>
      <c r="AE7" s="6"/>
      <c r="AF7" s="7"/>
    </row>
    <row r="8" spans="1:32" s="5" customFormat="1" x14ac:dyDescent="0.15">
      <c r="A8" s="56" t="s">
        <v>53</v>
      </c>
      <c r="B8" s="56"/>
      <c r="C8" s="42" t="s">
        <v>205</v>
      </c>
      <c r="D8" s="42" t="s">
        <v>206</v>
      </c>
      <c r="E8" s="42" t="s">
        <v>207</v>
      </c>
      <c r="F8" s="42" t="s">
        <v>208</v>
      </c>
      <c r="G8" s="42" t="s">
        <v>199</v>
      </c>
      <c r="H8" s="42" t="s">
        <v>209</v>
      </c>
      <c r="I8" s="42" t="s">
        <v>211</v>
      </c>
      <c r="J8" s="42" t="s">
        <v>210</v>
      </c>
      <c r="K8" s="42" t="s">
        <v>212</v>
      </c>
      <c r="L8" s="42" t="s">
        <v>213</v>
      </c>
      <c r="M8" s="42" t="s">
        <v>214</v>
      </c>
      <c r="N8" s="42" t="s">
        <v>215</v>
      </c>
      <c r="O8" s="42" t="s">
        <v>216</v>
      </c>
      <c r="P8" s="42" t="s">
        <v>211</v>
      </c>
      <c r="Q8" s="42" t="s">
        <v>217</v>
      </c>
      <c r="R8" s="42" t="s">
        <v>218</v>
      </c>
      <c r="S8" s="42" t="s">
        <v>219</v>
      </c>
      <c r="T8" s="42"/>
      <c r="U8" s="42"/>
      <c r="V8" s="42" t="s">
        <v>220</v>
      </c>
      <c r="W8" s="42" t="s">
        <v>221</v>
      </c>
      <c r="X8" s="42" t="s">
        <v>222</v>
      </c>
      <c r="Y8" s="42" t="s">
        <v>223</v>
      </c>
      <c r="Z8" s="42" t="s">
        <v>224</v>
      </c>
      <c r="AA8" s="42" t="s">
        <v>225</v>
      </c>
      <c r="AB8" s="42" t="s">
        <v>226</v>
      </c>
      <c r="AC8" s="42" t="s">
        <v>227</v>
      </c>
      <c r="AD8" s="6"/>
      <c r="AE8" s="6"/>
      <c r="AF8" s="7"/>
    </row>
    <row r="9" spans="1:32" x14ac:dyDescent="0.15">
      <c r="A9" s="52" t="s">
        <v>54</v>
      </c>
      <c r="B9" s="53"/>
      <c r="C9" s="44">
        <v>8</v>
      </c>
      <c r="D9" s="44">
        <v>8</v>
      </c>
      <c r="E9" s="44">
        <v>10</v>
      </c>
      <c r="F9" s="44">
        <v>10</v>
      </c>
      <c r="G9" s="44">
        <v>10</v>
      </c>
      <c r="H9" s="44">
        <v>10</v>
      </c>
      <c r="I9" s="44">
        <v>10</v>
      </c>
      <c r="J9" s="44">
        <v>14</v>
      </c>
      <c r="K9" s="44">
        <v>10</v>
      </c>
      <c r="L9" s="44">
        <v>10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>
        <v>10</v>
      </c>
      <c r="S9" s="44">
        <v>10</v>
      </c>
      <c r="T9" s="44"/>
      <c r="U9" s="44"/>
      <c r="V9" s="44">
        <v>14</v>
      </c>
      <c r="W9" s="44">
        <v>8</v>
      </c>
      <c r="X9" s="44">
        <v>8</v>
      </c>
      <c r="Y9" s="44">
        <v>8</v>
      </c>
      <c r="Z9" s="44">
        <v>10</v>
      </c>
      <c r="AA9" s="44">
        <v>10</v>
      </c>
      <c r="AB9" s="44">
        <v>10</v>
      </c>
      <c r="AC9" s="44">
        <v>10</v>
      </c>
      <c r="AD9" s="9">
        <f>SUM(C9:AC9)</f>
        <v>248</v>
      </c>
      <c r="AE9" s="9"/>
      <c r="AF9" s="10"/>
    </row>
    <row r="10" spans="1:32" x14ac:dyDescent="0.15">
      <c r="A10" s="50" t="s">
        <v>55</v>
      </c>
      <c r="B10" s="50"/>
      <c r="C10" s="47" t="s">
        <v>58</v>
      </c>
      <c r="D10" s="47" t="s">
        <v>59</v>
      </c>
      <c r="E10" s="47" t="s">
        <v>60</v>
      </c>
      <c r="F10" s="47" t="s">
        <v>60</v>
      </c>
      <c r="G10" s="47" t="s">
        <v>60</v>
      </c>
      <c r="H10" s="47" t="s">
        <v>60</v>
      </c>
      <c r="I10" s="47" t="s">
        <v>60</v>
      </c>
      <c r="J10" s="47" t="s">
        <v>60</v>
      </c>
      <c r="K10" s="47" t="s">
        <v>60</v>
      </c>
      <c r="L10" s="47" t="s">
        <v>60</v>
      </c>
      <c r="M10" s="47" t="s">
        <v>60</v>
      </c>
      <c r="N10" s="47" t="s">
        <v>61</v>
      </c>
      <c r="O10" s="47" t="s">
        <v>61</v>
      </c>
      <c r="P10" s="47" t="s">
        <v>61</v>
      </c>
      <c r="Q10" s="47" t="s">
        <v>61</v>
      </c>
      <c r="R10" s="47" t="s">
        <v>62</v>
      </c>
      <c r="S10" s="47" t="s">
        <v>62</v>
      </c>
      <c r="T10" s="47" t="s">
        <v>63</v>
      </c>
      <c r="U10" s="47" t="s">
        <v>64</v>
      </c>
      <c r="V10" s="47"/>
      <c r="W10" s="47" t="s">
        <v>58</v>
      </c>
      <c r="X10" s="47" t="s">
        <v>58</v>
      </c>
      <c r="Y10" s="47" t="s">
        <v>59</v>
      </c>
      <c r="Z10" s="47" t="s">
        <v>60</v>
      </c>
      <c r="AA10" s="47" t="s">
        <v>62</v>
      </c>
      <c r="AB10" s="47" t="s">
        <v>62</v>
      </c>
      <c r="AC10" s="47" t="s">
        <v>62</v>
      </c>
      <c r="AD10" s="12"/>
      <c r="AE10" s="12"/>
      <c r="AF10" s="13"/>
    </row>
    <row r="11" spans="1:32" x14ac:dyDescent="0.15">
      <c r="A11" s="50" t="s">
        <v>66</v>
      </c>
      <c r="B11" s="50"/>
      <c r="C11" s="14">
        <v>627</v>
      </c>
      <c r="D11" s="14">
        <v>4068</v>
      </c>
      <c r="E11" s="14">
        <v>5433.7000000000007</v>
      </c>
      <c r="F11" s="14">
        <v>4997.8</v>
      </c>
      <c r="G11" s="14">
        <v>5341</v>
      </c>
      <c r="H11" s="14">
        <v>5145.6000000000004</v>
      </c>
      <c r="I11" s="14">
        <v>1009.8</v>
      </c>
      <c r="J11" s="14">
        <v>5113.1000000000004</v>
      </c>
      <c r="K11" s="14">
        <v>4953</v>
      </c>
      <c r="L11" s="14">
        <v>5386.7</v>
      </c>
      <c r="M11" s="14">
        <v>5635.5</v>
      </c>
      <c r="N11" s="14">
        <v>7328.9</v>
      </c>
      <c r="O11" s="14">
        <v>7468.0999999999995</v>
      </c>
      <c r="P11" s="14">
        <v>89.6</v>
      </c>
      <c r="Q11" s="14">
        <v>7138.1</v>
      </c>
      <c r="R11" s="14">
        <v>3973</v>
      </c>
      <c r="S11" s="14">
        <v>4136.2</v>
      </c>
      <c r="T11" s="14">
        <v>0</v>
      </c>
      <c r="U11" s="14">
        <v>0</v>
      </c>
      <c r="V11" s="14">
        <v>0</v>
      </c>
      <c r="W11" s="14">
        <v>6769</v>
      </c>
      <c r="X11" s="14">
        <v>6663</v>
      </c>
      <c r="Y11" s="14">
        <v>10384</v>
      </c>
      <c r="Z11" s="14">
        <v>7243</v>
      </c>
      <c r="AA11" s="14">
        <v>4889</v>
      </c>
      <c r="AB11" s="14">
        <v>3147</v>
      </c>
      <c r="AC11" s="14">
        <v>6255</v>
      </c>
      <c r="AD11" s="16">
        <f>SUM(C11:AC11)</f>
        <v>123195.09999999999</v>
      </c>
      <c r="AE11" s="16">
        <f t="shared" ref="AE11:AE42" si="0">AVERAGE(C11:AC11)</f>
        <v>4562.781481481481</v>
      </c>
      <c r="AF11" s="13"/>
    </row>
    <row r="12" spans="1:32" x14ac:dyDescent="0.15">
      <c r="A12" s="54" t="s">
        <v>67</v>
      </c>
      <c r="B12" s="55"/>
      <c r="C12" s="18">
        <v>0.74305555555555558</v>
      </c>
      <c r="D12" s="18">
        <v>10.772222222222222</v>
      </c>
      <c r="E12" s="18">
        <v>9.7965277777777775</v>
      </c>
      <c r="F12" s="18">
        <v>9.3673611111111104</v>
      </c>
      <c r="G12" s="18">
        <v>9.59375</v>
      </c>
      <c r="H12" s="18">
        <v>9.2631944444444443</v>
      </c>
      <c r="I12" s="18">
        <v>3.1229166666666668</v>
      </c>
      <c r="J12" s="18">
        <v>8.593055555555555</v>
      </c>
      <c r="K12" s="18">
        <v>9.5819444444444439</v>
      </c>
      <c r="L12" s="18">
        <v>9.5263888888888886</v>
      </c>
      <c r="M12" s="18">
        <v>9.0527777777777771</v>
      </c>
      <c r="N12" s="18">
        <v>9.5583333333333336</v>
      </c>
      <c r="O12" s="18">
        <v>10.701388888888889</v>
      </c>
      <c r="P12" s="18">
        <v>0.48888888888888887</v>
      </c>
      <c r="Q12" s="18">
        <v>9.03125</v>
      </c>
      <c r="R12" s="18">
        <v>4.46875</v>
      </c>
      <c r="S12" s="18">
        <v>5.3493055555555555</v>
      </c>
      <c r="T12" s="18">
        <v>0</v>
      </c>
      <c r="U12" s="18">
        <v>0</v>
      </c>
      <c r="V12" s="18">
        <v>0</v>
      </c>
      <c r="W12" s="18">
        <v>8.7354166666666675</v>
      </c>
      <c r="X12" s="18">
        <v>8.1437500000000007</v>
      </c>
      <c r="Y12" s="18">
        <v>12.925000000000001</v>
      </c>
      <c r="Z12" s="18">
        <v>9.7145833333333336</v>
      </c>
      <c r="AA12" s="18">
        <v>9.0472222222222225</v>
      </c>
      <c r="AB12" s="18">
        <v>6.1909722222222223</v>
      </c>
      <c r="AC12" s="18">
        <v>8.7048611111111107</v>
      </c>
      <c r="AD12" s="20">
        <f>SUM(C12:AC12)</f>
        <v>192.47291666666672</v>
      </c>
      <c r="AE12" s="20">
        <f t="shared" si="0"/>
        <v>7.1286265432098785</v>
      </c>
      <c r="AF12" s="13"/>
    </row>
    <row r="13" spans="1:32" x14ac:dyDescent="0.15">
      <c r="A13" s="50" t="s">
        <v>68</v>
      </c>
      <c r="B13" s="50"/>
      <c r="C13" s="14">
        <v>148418</v>
      </c>
      <c r="D13" s="14">
        <v>1012438</v>
      </c>
      <c r="E13" s="14">
        <v>1131030</v>
      </c>
      <c r="F13" s="14">
        <v>1111260</v>
      </c>
      <c r="G13" s="14">
        <v>1086300</v>
      </c>
      <c r="H13" s="14">
        <v>1040650</v>
      </c>
      <c r="I13" s="14">
        <v>238870</v>
      </c>
      <c r="J13" s="14">
        <v>1487990</v>
      </c>
      <c r="K13" s="14">
        <v>1155170</v>
      </c>
      <c r="L13" s="14">
        <v>1053550</v>
      </c>
      <c r="M13" s="14">
        <v>1204650</v>
      </c>
      <c r="N13" s="14">
        <v>1318280</v>
      </c>
      <c r="O13" s="14">
        <v>1340550</v>
      </c>
      <c r="P13" s="14">
        <v>20080</v>
      </c>
      <c r="Q13" s="14">
        <v>1311750</v>
      </c>
      <c r="R13" s="14">
        <v>932000</v>
      </c>
      <c r="S13" s="14">
        <v>858735</v>
      </c>
      <c r="T13" s="14">
        <v>11000</v>
      </c>
      <c r="U13" s="14">
        <v>42883</v>
      </c>
      <c r="V13" s="14">
        <v>0</v>
      </c>
      <c r="W13" s="14">
        <v>1586771</v>
      </c>
      <c r="X13" s="14">
        <v>1600846</v>
      </c>
      <c r="Y13" s="14">
        <v>2099099</v>
      </c>
      <c r="Z13" s="14">
        <v>1186510</v>
      </c>
      <c r="AA13" s="14">
        <v>1254176</v>
      </c>
      <c r="AB13" s="14">
        <v>822846</v>
      </c>
      <c r="AC13" s="14">
        <v>1517348</v>
      </c>
      <c r="AD13" s="16">
        <f>SUM(C13:AC13)</f>
        <v>26573200</v>
      </c>
      <c r="AE13" s="16">
        <f t="shared" si="0"/>
        <v>984192.59259259258</v>
      </c>
      <c r="AF13" s="13">
        <f>AD13/AD13</f>
        <v>1</v>
      </c>
    </row>
    <row r="14" spans="1:32" x14ac:dyDescent="0.15">
      <c r="A14" s="54" t="s">
        <v>69</v>
      </c>
      <c r="B14" s="55"/>
      <c r="C14" s="14">
        <v>0</v>
      </c>
      <c r="D14" s="14">
        <v>0</v>
      </c>
      <c r="E14" s="14">
        <v>101560</v>
      </c>
      <c r="F14" s="14">
        <v>102600</v>
      </c>
      <c r="G14" s="14">
        <v>127560</v>
      </c>
      <c r="H14" s="14">
        <v>168590</v>
      </c>
      <c r="I14" s="14">
        <v>0</v>
      </c>
      <c r="J14" s="14">
        <v>0</v>
      </c>
      <c r="K14" s="14">
        <v>72330</v>
      </c>
      <c r="L14" s="14">
        <v>160310</v>
      </c>
      <c r="M14" s="14">
        <v>44840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156570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94890</v>
      </c>
      <c r="AA14" s="14">
        <v>0</v>
      </c>
      <c r="AB14" s="14">
        <v>0</v>
      </c>
      <c r="AC14" s="14">
        <v>0</v>
      </c>
      <c r="AD14" s="16">
        <f>SUM(C14:AC14)</f>
        <v>1029250</v>
      </c>
      <c r="AE14" s="16">
        <f t="shared" si="0"/>
        <v>38120.370370370372</v>
      </c>
      <c r="AF14" s="13"/>
    </row>
    <row r="15" spans="1:32" x14ac:dyDescent="0.15">
      <c r="A15" s="50" t="s">
        <v>70</v>
      </c>
      <c r="B15" s="50"/>
      <c r="C15" s="14">
        <f t="shared" ref="C15:AC15" si="1">SUM(C13/C11)</f>
        <v>236.71132376395533</v>
      </c>
      <c r="D15" s="14">
        <f t="shared" si="1"/>
        <v>248.87856440511308</v>
      </c>
      <c r="E15" s="14">
        <f t="shared" si="1"/>
        <v>208.15098367594823</v>
      </c>
      <c r="F15" s="14">
        <f t="shared" si="1"/>
        <v>222.34983392692783</v>
      </c>
      <c r="G15" s="14">
        <f t="shared" si="1"/>
        <v>203.38887848717468</v>
      </c>
      <c r="H15" s="14">
        <f t="shared" si="1"/>
        <v>202.24074937810943</v>
      </c>
      <c r="I15" s="14">
        <f t="shared" si="1"/>
        <v>236.5517924341454</v>
      </c>
      <c r="J15" s="14">
        <f t="shared" si="1"/>
        <v>291.01523537579942</v>
      </c>
      <c r="K15" s="14">
        <f t="shared" si="1"/>
        <v>233.22632747829599</v>
      </c>
      <c r="L15" s="14">
        <f t="shared" si="1"/>
        <v>195.58356693337294</v>
      </c>
      <c r="M15" s="14">
        <f t="shared" si="1"/>
        <v>213.76097950492414</v>
      </c>
      <c r="N15" s="14">
        <f t="shared" si="1"/>
        <v>179.87419667344349</v>
      </c>
      <c r="O15" s="14">
        <f t="shared" si="1"/>
        <v>179.50348816968173</v>
      </c>
      <c r="P15" s="14">
        <f t="shared" si="1"/>
        <v>224.10714285714286</v>
      </c>
      <c r="Q15" s="14">
        <f t="shared" si="1"/>
        <v>183.76738908112802</v>
      </c>
      <c r="R15" s="14">
        <f t="shared" si="1"/>
        <v>234.58343820790336</v>
      </c>
      <c r="S15" s="14">
        <f t="shared" si="1"/>
        <v>207.61447705623519</v>
      </c>
      <c r="T15" s="14" t="e">
        <f t="shared" si="1"/>
        <v>#DIV/0!</v>
      </c>
      <c r="U15" s="14" t="e">
        <f t="shared" si="1"/>
        <v>#DIV/0!</v>
      </c>
      <c r="V15" s="14" t="e">
        <f t="shared" si="1"/>
        <v>#DIV/0!</v>
      </c>
      <c r="W15" s="14">
        <f t="shared" si="1"/>
        <v>234.41734377308316</v>
      </c>
      <c r="X15" s="14">
        <f t="shared" si="1"/>
        <v>240.25904247336035</v>
      </c>
      <c r="Y15" s="14">
        <f t="shared" si="1"/>
        <v>202.14743836671803</v>
      </c>
      <c r="Z15" s="14">
        <f t="shared" si="1"/>
        <v>163.81471765842883</v>
      </c>
      <c r="AA15" s="14">
        <f t="shared" si="1"/>
        <v>256.53016976886892</v>
      </c>
      <c r="AB15" s="14">
        <f t="shared" si="1"/>
        <v>261.46997140133459</v>
      </c>
      <c r="AC15" s="14">
        <f t="shared" si="1"/>
        <v>242.58161470823342</v>
      </c>
      <c r="AD15" s="12">
        <f>SUM(AD13/AD11)</f>
        <v>215.70013742429691</v>
      </c>
      <c r="AE15" s="16" t="e">
        <f t="shared" si="0"/>
        <v>#DIV/0!</v>
      </c>
      <c r="AF15" s="13"/>
    </row>
    <row r="16" spans="1:32" x14ac:dyDescent="0.15">
      <c r="A16" s="54" t="s">
        <v>71</v>
      </c>
      <c r="B16" s="55"/>
      <c r="C16" s="21">
        <f t="shared" ref="C16:AD16" si="2">C13/(C12*24)</f>
        <v>8322.5046728971956</v>
      </c>
      <c r="D16" s="21">
        <f t="shared" si="2"/>
        <v>3916.0830324909753</v>
      </c>
      <c r="E16" s="21">
        <f t="shared" si="2"/>
        <v>4810.5054228397248</v>
      </c>
      <c r="F16" s="21">
        <f t="shared" si="2"/>
        <v>4942.9609311290678</v>
      </c>
      <c r="G16" s="21">
        <f t="shared" si="2"/>
        <v>4717.9153094462545</v>
      </c>
      <c r="H16" s="21">
        <f t="shared" si="2"/>
        <v>4680.9356023689934</v>
      </c>
      <c r="I16" s="21">
        <f t="shared" si="2"/>
        <v>3187.0580386924617</v>
      </c>
      <c r="J16" s="21">
        <f t="shared" si="2"/>
        <v>7215.0800064651694</v>
      </c>
      <c r="K16" s="21">
        <f t="shared" si="2"/>
        <v>5023.2062617770698</v>
      </c>
      <c r="L16" s="21">
        <f t="shared" si="2"/>
        <v>4608.0332409972298</v>
      </c>
      <c r="M16" s="21">
        <f t="shared" si="2"/>
        <v>5544.5688861613999</v>
      </c>
      <c r="N16" s="21">
        <f t="shared" si="2"/>
        <v>5746.6434176111597</v>
      </c>
      <c r="O16" s="21">
        <f t="shared" si="2"/>
        <v>5219.5327709279682</v>
      </c>
      <c r="P16" s="21">
        <f t="shared" si="2"/>
        <v>1711.3636363636365</v>
      </c>
      <c r="Q16" s="21">
        <f t="shared" si="2"/>
        <v>6051.9031141868509</v>
      </c>
      <c r="R16" s="21">
        <f t="shared" si="2"/>
        <v>8689.9766899766892</v>
      </c>
      <c r="S16" s="21">
        <f t="shared" si="2"/>
        <v>6688.8355186291055</v>
      </c>
      <c r="T16" s="21" t="e">
        <f t="shared" si="2"/>
        <v>#DIV/0!</v>
      </c>
      <c r="U16" s="21" t="e">
        <f t="shared" si="2"/>
        <v>#DIV/0!</v>
      </c>
      <c r="V16" s="21" t="e">
        <f t="shared" si="2"/>
        <v>#DIV/0!</v>
      </c>
      <c r="W16" s="21">
        <f t="shared" si="2"/>
        <v>7568.6668256618159</v>
      </c>
      <c r="X16" s="21">
        <f t="shared" si="2"/>
        <v>8190.5653619851619</v>
      </c>
      <c r="Y16" s="21">
        <f t="shared" si="2"/>
        <v>6766.921341070276</v>
      </c>
      <c r="Z16" s="21">
        <f t="shared" si="2"/>
        <v>5089.0413896633072</v>
      </c>
      <c r="AA16" s="21">
        <f t="shared" si="2"/>
        <v>5776.063862450108</v>
      </c>
      <c r="AB16" s="21">
        <f t="shared" si="2"/>
        <v>5537.9427930454285</v>
      </c>
      <c r="AC16" s="21">
        <f t="shared" si="2"/>
        <v>7262.9341842840049</v>
      </c>
      <c r="AD16" s="23">
        <f t="shared" si="2"/>
        <v>5752.5842380421473</v>
      </c>
      <c r="AE16" s="23" t="e">
        <f t="shared" si="0"/>
        <v>#DIV/0!</v>
      </c>
      <c r="AF16" s="13"/>
    </row>
    <row r="17" spans="1:32" x14ac:dyDescent="0.15">
      <c r="A17" s="51" t="s">
        <v>72</v>
      </c>
      <c r="B17" s="11" t="s">
        <v>73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268100</v>
      </c>
      <c r="J17" s="14">
        <v>58860</v>
      </c>
      <c r="K17" s="14">
        <v>0</v>
      </c>
      <c r="L17" s="14">
        <v>0</v>
      </c>
      <c r="M17" s="14">
        <v>75708</v>
      </c>
      <c r="N17" s="14">
        <v>213500</v>
      </c>
      <c r="O17" s="14">
        <v>51246</v>
      </c>
      <c r="P17" s="14">
        <v>0</v>
      </c>
      <c r="Q17" s="14">
        <v>56375</v>
      </c>
      <c r="R17" s="14">
        <v>56708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215200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6">
        <f t="shared" ref="AD17:AD28" si="3">SUM(C17:AC17)</f>
        <v>1040385</v>
      </c>
      <c r="AE17" s="16">
        <f t="shared" si="0"/>
        <v>38532.777777777781</v>
      </c>
      <c r="AF17" s="13">
        <f>AD17/AD13</f>
        <v>3.9151664082609547E-2</v>
      </c>
    </row>
    <row r="18" spans="1:32" x14ac:dyDescent="0.15">
      <c r="A18" s="51"/>
      <c r="B18" s="11" t="s">
        <v>74</v>
      </c>
      <c r="C18" s="14">
        <v>4400</v>
      </c>
      <c r="D18" s="14">
        <v>4825</v>
      </c>
      <c r="E18" s="14">
        <v>4025</v>
      </c>
      <c r="F18" s="14">
        <v>4400</v>
      </c>
      <c r="G18" s="14">
        <v>4025</v>
      </c>
      <c r="H18" s="14">
        <v>5250</v>
      </c>
      <c r="I18" s="14">
        <v>0</v>
      </c>
      <c r="J18" s="14">
        <v>6950</v>
      </c>
      <c r="K18" s="14">
        <v>4400</v>
      </c>
      <c r="L18" s="14">
        <v>4025</v>
      </c>
      <c r="M18" s="14">
        <v>4825</v>
      </c>
      <c r="N18" s="14">
        <v>0</v>
      </c>
      <c r="O18" s="14">
        <v>3633</v>
      </c>
      <c r="P18" s="14">
        <v>0</v>
      </c>
      <c r="Q18" s="14">
        <v>4825</v>
      </c>
      <c r="R18" s="14">
        <v>4825</v>
      </c>
      <c r="S18" s="14">
        <v>4825</v>
      </c>
      <c r="T18" s="14">
        <v>0</v>
      </c>
      <c r="U18" s="14">
        <v>0</v>
      </c>
      <c r="V18" s="14">
        <v>7075</v>
      </c>
      <c r="W18" s="14">
        <v>3241</v>
      </c>
      <c r="X18" s="14">
        <v>0</v>
      </c>
      <c r="Y18" s="14">
        <v>4417</v>
      </c>
      <c r="Z18" s="14">
        <v>4025</v>
      </c>
      <c r="AA18" s="14">
        <v>4417</v>
      </c>
      <c r="AB18" s="14">
        <v>4417</v>
      </c>
      <c r="AC18" s="14">
        <v>4825</v>
      </c>
      <c r="AD18" s="16">
        <f t="shared" si="3"/>
        <v>97650</v>
      </c>
      <c r="AE18" s="16">
        <f t="shared" si="0"/>
        <v>3616.6666666666665</v>
      </c>
      <c r="AF18" s="13">
        <f>AD18/AD13</f>
        <v>3.6747550163322446E-3</v>
      </c>
    </row>
    <row r="19" spans="1:32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6">
        <f t="shared" si="3"/>
        <v>0</v>
      </c>
      <c r="AE19" s="16">
        <f t="shared" si="0"/>
        <v>0</v>
      </c>
      <c r="AF19" s="13">
        <f>AD19/AD13</f>
        <v>0</v>
      </c>
    </row>
    <row r="20" spans="1:32" x14ac:dyDescent="0.15">
      <c r="A20" s="51"/>
      <c r="B20" s="11" t="s">
        <v>76</v>
      </c>
      <c r="C20" s="14">
        <v>5133</v>
      </c>
      <c r="D20" s="14">
        <v>4950</v>
      </c>
      <c r="E20" s="14">
        <v>4766</v>
      </c>
      <c r="F20" s="14">
        <v>4950</v>
      </c>
      <c r="G20" s="14">
        <v>4766</v>
      </c>
      <c r="H20" s="14">
        <v>4950</v>
      </c>
      <c r="I20" s="14">
        <v>0</v>
      </c>
      <c r="J20" s="14">
        <v>8333</v>
      </c>
      <c r="K20" s="14">
        <v>4950</v>
      </c>
      <c r="L20" s="14">
        <v>4583</v>
      </c>
      <c r="M20" s="14">
        <v>4583</v>
      </c>
      <c r="N20" s="14">
        <v>5208</v>
      </c>
      <c r="O20" s="14">
        <v>4766</v>
      </c>
      <c r="P20" s="14">
        <v>0</v>
      </c>
      <c r="Q20" s="14">
        <v>5208</v>
      </c>
      <c r="R20" s="14">
        <v>5208</v>
      </c>
      <c r="S20" s="14">
        <v>4767</v>
      </c>
      <c r="T20" s="14">
        <v>0</v>
      </c>
      <c r="U20" s="14">
        <v>0</v>
      </c>
      <c r="V20" s="14">
        <v>0</v>
      </c>
      <c r="W20" s="14">
        <v>4550</v>
      </c>
      <c r="X20" s="14">
        <v>4583</v>
      </c>
      <c r="Y20" s="14">
        <v>4766</v>
      </c>
      <c r="Z20" s="14">
        <v>4583</v>
      </c>
      <c r="AA20" s="14">
        <v>4766</v>
      </c>
      <c r="AB20" s="14">
        <v>4766</v>
      </c>
      <c r="AC20" s="14">
        <v>4950</v>
      </c>
      <c r="AD20" s="16">
        <f t="shared" si="3"/>
        <v>110085</v>
      </c>
      <c r="AE20" s="16">
        <f t="shared" si="0"/>
        <v>4077.2222222222222</v>
      </c>
      <c r="AF20" s="13">
        <f>AD20/AD13</f>
        <v>4.1427076904550445E-3</v>
      </c>
    </row>
    <row r="21" spans="1:32" x14ac:dyDescent="0.15">
      <c r="A21" s="51"/>
      <c r="B21" s="11" t="s">
        <v>77</v>
      </c>
      <c r="C21" s="14">
        <v>26368</v>
      </c>
      <c r="D21" s="14">
        <v>42195</v>
      </c>
      <c r="E21" s="14">
        <v>22013</v>
      </c>
      <c r="F21" s="14">
        <v>37617</v>
      </c>
      <c r="G21" s="14">
        <v>57070</v>
      </c>
      <c r="H21" s="14">
        <v>33485</v>
      </c>
      <c r="I21" s="14">
        <v>0</v>
      </c>
      <c r="J21" s="14">
        <v>46653</v>
      </c>
      <c r="K21" s="14">
        <v>48980</v>
      </c>
      <c r="L21" s="14">
        <v>35664</v>
      </c>
      <c r="M21" s="14">
        <v>23249</v>
      </c>
      <c r="N21" s="14">
        <v>19417</v>
      </c>
      <c r="O21" s="14">
        <v>28932</v>
      </c>
      <c r="P21" s="14">
        <v>0</v>
      </c>
      <c r="Q21" s="14">
        <v>22121</v>
      </c>
      <c r="R21" s="14">
        <v>47267</v>
      </c>
      <c r="S21" s="14">
        <v>46352</v>
      </c>
      <c r="T21" s="14">
        <v>0</v>
      </c>
      <c r="U21" s="14">
        <v>0</v>
      </c>
      <c r="V21" s="14">
        <v>0</v>
      </c>
      <c r="W21" s="14">
        <v>49238</v>
      </c>
      <c r="X21" s="14">
        <v>31013</v>
      </c>
      <c r="Y21" s="14">
        <v>49888</v>
      </c>
      <c r="Z21" s="14">
        <v>27811</v>
      </c>
      <c r="AA21" s="14">
        <v>36771</v>
      </c>
      <c r="AB21" s="14">
        <v>36083</v>
      </c>
      <c r="AC21" s="14">
        <v>49900</v>
      </c>
      <c r="AD21" s="16">
        <f t="shared" si="3"/>
        <v>818087</v>
      </c>
      <c r="AE21" s="16">
        <f t="shared" si="0"/>
        <v>30299.518518518518</v>
      </c>
      <c r="AF21" s="13">
        <f>AD21/AD13</f>
        <v>3.0786168018906268E-2</v>
      </c>
    </row>
    <row r="22" spans="1:32" x14ac:dyDescent="0.15">
      <c r="A22" s="51"/>
      <c r="B22" s="24" t="s">
        <v>78</v>
      </c>
      <c r="C22" s="25">
        <f t="shared" ref="C22:AC22" si="4">SUM(C17:C21)</f>
        <v>80589</v>
      </c>
      <c r="D22" s="25">
        <f t="shared" si="4"/>
        <v>51970</v>
      </c>
      <c r="E22" s="25">
        <f t="shared" si="4"/>
        <v>30804</v>
      </c>
      <c r="F22" s="25">
        <f t="shared" si="4"/>
        <v>46967</v>
      </c>
      <c r="G22" s="25">
        <f t="shared" si="4"/>
        <v>65861</v>
      </c>
      <c r="H22" s="25">
        <f t="shared" si="4"/>
        <v>43685</v>
      </c>
      <c r="I22" s="25">
        <f t="shared" si="4"/>
        <v>268100</v>
      </c>
      <c r="J22" s="25">
        <f t="shared" si="4"/>
        <v>120796</v>
      </c>
      <c r="K22" s="25">
        <f t="shared" si="4"/>
        <v>58330</v>
      </c>
      <c r="L22" s="25">
        <f t="shared" si="4"/>
        <v>44272</v>
      </c>
      <c r="M22" s="25">
        <f t="shared" si="4"/>
        <v>108365</v>
      </c>
      <c r="N22" s="25">
        <f t="shared" si="4"/>
        <v>238125</v>
      </c>
      <c r="O22" s="25">
        <f t="shared" si="4"/>
        <v>88577</v>
      </c>
      <c r="P22" s="25">
        <f t="shared" si="4"/>
        <v>0</v>
      </c>
      <c r="Q22" s="25">
        <f t="shared" si="4"/>
        <v>88529</v>
      </c>
      <c r="R22" s="25">
        <f t="shared" si="4"/>
        <v>114008</v>
      </c>
      <c r="S22" s="25">
        <f t="shared" si="4"/>
        <v>55944</v>
      </c>
      <c r="T22" s="25">
        <f t="shared" si="4"/>
        <v>0</v>
      </c>
      <c r="U22" s="25">
        <f t="shared" si="4"/>
        <v>0</v>
      </c>
      <c r="V22" s="25">
        <f t="shared" si="4"/>
        <v>7075</v>
      </c>
      <c r="W22" s="25">
        <f t="shared" si="4"/>
        <v>57029</v>
      </c>
      <c r="X22" s="25">
        <f t="shared" si="4"/>
        <v>250796</v>
      </c>
      <c r="Y22" s="25">
        <f t="shared" si="4"/>
        <v>59071</v>
      </c>
      <c r="Z22" s="25">
        <f t="shared" si="4"/>
        <v>36419</v>
      </c>
      <c r="AA22" s="25">
        <f t="shared" si="4"/>
        <v>45954</v>
      </c>
      <c r="AB22" s="25">
        <f t="shared" si="4"/>
        <v>45266</v>
      </c>
      <c r="AC22" s="25">
        <f t="shared" si="4"/>
        <v>59675</v>
      </c>
      <c r="AD22" s="27">
        <f t="shared" si="3"/>
        <v>2066207</v>
      </c>
      <c r="AE22" s="27">
        <f t="shared" si="0"/>
        <v>76526.185185185182</v>
      </c>
      <c r="AF22" s="28">
        <f>AD22/AD13</f>
        <v>7.7755294808303108E-2</v>
      </c>
    </row>
    <row r="23" spans="1:32" x14ac:dyDescent="0.15">
      <c r="A23" s="51" t="s">
        <v>79</v>
      </c>
      <c r="B23" s="11" t="s">
        <v>80</v>
      </c>
      <c r="C23" s="14">
        <v>10710</v>
      </c>
      <c r="D23" s="14">
        <v>3200</v>
      </c>
      <c r="E23" s="14">
        <v>4536</v>
      </c>
      <c r="F23" s="14">
        <v>150521</v>
      </c>
      <c r="G23" s="14">
        <v>21160</v>
      </c>
      <c r="H23" s="14">
        <v>10360</v>
      </c>
      <c r="I23" s="14">
        <v>107212</v>
      </c>
      <c r="J23" s="14">
        <v>61580</v>
      </c>
      <c r="K23" s="14">
        <v>135775</v>
      </c>
      <c r="L23" s="14">
        <v>6150</v>
      </c>
      <c r="M23" s="14">
        <v>5460</v>
      </c>
      <c r="N23" s="14">
        <v>22272</v>
      </c>
      <c r="O23" s="14">
        <v>5460</v>
      </c>
      <c r="P23" s="14">
        <v>99682</v>
      </c>
      <c r="Q23" s="14">
        <v>7684</v>
      </c>
      <c r="R23" s="14">
        <v>139029</v>
      </c>
      <c r="S23" s="14">
        <v>119035</v>
      </c>
      <c r="T23" s="14">
        <v>0</v>
      </c>
      <c r="U23" s="14">
        <v>0</v>
      </c>
      <c r="V23" s="14">
        <v>0</v>
      </c>
      <c r="W23" s="14">
        <v>0</v>
      </c>
      <c r="X23" s="14">
        <v>24610</v>
      </c>
      <c r="Y23" s="14">
        <v>104955</v>
      </c>
      <c r="Z23" s="14">
        <v>100560</v>
      </c>
      <c r="AA23" s="14">
        <v>213050</v>
      </c>
      <c r="AB23" s="14">
        <v>0</v>
      </c>
      <c r="AC23" s="14">
        <v>1056</v>
      </c>
      <c r="AD23" s="16">
        <f t="shared" si="3"/>
        <v>1354057</v>
      </c>
      <c r="AE23" s="16">
        <f t="shared" si="0"/>
        <v>50150.259259259263</v>
      </c>
      <c r="AF23" s="13">
        <f>AD23/AD13</f>
        <v>5.0955737359444857E-2</v>
      </c>
    </row>
    <row r="24" spans="1:32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6">
        <f t="shared" si="3"/>
        <v>0</v>
      </c>
      <c r="AE24" s="16">
        <f t="shared" si="0"/>
        <v>0</v>
      </c>
      <c r="AF24" s="13">
        <f>AD24/AD13</f>
        <v>0</v>
      </c>
    </row>
    <row r="25" spans="1:32" x14ac:dyDescent="0.15">
      <c r="A25" s="51"/>
      <c r="B25" s="11" t="s">
        <v>82</v>
      </c>
      <c r="C25" s="14">
        <f t="shared" ref="C25:AC25" si="5">30000*C9/70000*C11</f>
        <v>2149.7142857142858</v>
      </c>
      <c r="D25" s="14">
        <f t="shared" si="5"/>
        <v>13947.428571428571</v>
      </c>
      <c r="E25" s="14">
        <f t="shared" si="5"/>
        <v>23287.285714285717</v>
      </c>
      <c r="F25" s="14">
        <f t="shared" si="5"/>
        <v>21419.142857142859</v>
      </c>
      <c r="G25" s="14">
        <f t="shared" si="5"/>
        <v>22890</v>
      </c>
      <c r="H25" s="14">
        <f t="shared" si="5"/>
        <v>22052.571428571431</v>
      </c>
      <c r="I25" s="14">
        <f t="shared" si="5"/>
        <v>4327.7142857142853</v>
      </c>
      <c r="J25" s="14">
        <f t="shared" si="5"/>
        <v>30678.600000000002</v>
      </c>
      <c r="K25" s="14">
        <f t="shared" si="5"/>
        <v>21227.142857142855</v>
      </c>
      <c r="L25" s="14">
        <f t="shared" si="5"/>
        <v>23085.857142857141</v>
      </c>
      <c r="M25" s="14">
        <f t="shared" si="5"/>
        <v>24152.142857142855</v>
      </c>
      <c r="N25" s="14">
        <f t="shared" si="5"/>
        <v>31409.571428571428</v>
      </c>
      <c r="O25" s="14">
        <f t="shared" si="5"/>
        <v>32006.142857142855</v>
      </c>
      <c r="P25" s="14">
        <f t="shared" si="5"/>
        <v>383.99999999999994</v>
      </c>
      <c r="Q25" s="14">
        <f t="shared" si="5"/>
        <v>30591.857142857145</v>
      </c>
      <c r="R25" s="14">
        <f t="shared" si="5"/>
        <v>17027.142857142855</v>
      </c>
      <c r="S25" s="14">
        <f t="shared" si="5"/>
        <v>17726.571428571428</v>
      </c>
      <c r="T25" s="14">
        <f t="shared" si="5"/>
        <v>0</v>
      </c>
      <c r="U25" s="14">
        <f t="shared" si="5"/>
        <v>0</v>
      </c>
      <c r="V25" s="14">
        <f t="shared" si="5"/>
        <v>0</v>
      </c>
      <c r="W25" s="14">
        <f t="shared" si="5"/>
        <v>23208</v>
      </c>
      <c r="X25" s="14">
        <f t="shared" si="5"/>
        <v>22844.571428571428</v>
      </c>
      <c r="Y25" s="14">
        <f t="shared" si="5"/>
        <v>35602.28571428571</v>
      </c>
      <c r="Z25" s="14">
        <f t="shared" si="5"/>
        <v>31041.428571428569</v>
      </c>
      <c r="AA25" s="14">
        <f t="shared" si="5"/>
        <v>20952.857142857141</v>
      </c>
      <c r="AB25" s="14">
        <f t="shared" si="5"/>
        <v>13487.142857142857</v>
      </c>
      <c r="AC25" s="14">
        <f t="shared" si="5"/>
        <v>26807.142857142855</v>
      </c>
      <c r="AD25" s="16">
        <f t="shared" si="3"/>
        <v>512306.31428571424</v>
      </c>
      <c r="AE25" s="16">
        <f t="shared" si="0"/>
        <v>18974.307936507936</v>
      </c>
      <c r="AF25" s="13">
        <f>AD25/AD13</f>
        <v>1.9279059890630945E-2</v>
      </c>
    </row>
    <row r="26" spans="1:32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6">
        <f t="shared" si="3"/>
        <v>0</v>
      </c>
      <c r="AE26" s="16">
        <f t="shared" si="0"/>
        <v>0</v>
      </c>
      <c r="AF26" s="13">
        <f>AD26/AD13</f>
        <v>0</v>
      </c>
    </row>
    <row r="27" spans="1:32" x14ac:dyDescent="0.15">
      <c r="A27" s="51"/>
      <c r="B27" s="24" t="s">
        <v>83</v>
      </c>
      <c r="C27" s="25">
        <f t="shared" ref="C27:AC27" si="6">SUM(C23:C26)</f>
        <v>12859.714285714286</v>
      </c>
      <c r="D27" s="25">
        <f t="shared" si="6"/>
        <v>17147.428571428572</v>
      </c>
      <c r="E27" s="25">
        <f t="shared" si="6"/>
        <v>27823.285714285717</v>
      </c>
      <c r="F27" s="25">
        <f t="shared" si="6"/>
        <v>171940.14285714287</v>
      </c>
      <c r="G27" s="25">
        <f t="shared" si="6"/>
        <v>44050</v>
      </c>
      <c r="H27" s="25">
        <f t="shared" si="6"/>
        <v>32412.571428571431</v>
      </c>
      <c r="I27" s="25">
        <f t="shared" si="6"/>
        <v>111539.71428571429</v>
      </c>
      <c r="J27" s="25">
        <f t="shared" si="6"/>
        <v>92258.6</v>
      </c>
      <c r="K27" s="25">
        <f t="shared" si="6"/>
        <v>157002.14285714284</v>
      </c>
      <c r="L27" s="25">
        <f t="shared" si="6"/>
        <v>29235.857142857141</v>
      </c>
      <c r="M27" s="25">
        <f t="shared" si="6"/>
        <v>29612.142857142855</v>
      </c>
      <c r="N27" s="25">
        <f t="shared" si="6"/>
        <v>53681.571428571428</v>
      </c>
      <c r="O27" s="25">
        <f t="shared" si="6"/>
        <v>37466.142857142855</v>
      </c>
      <c r="P27" s="25">
        <f t="shared" si="6"/>
        <v>100066</v>
      </c>
      <c r="Q27" s="25">
        <f t="shared" si="6"/>
        <v>38275.857142857145</v>
      </c>
      <c r="R27" s="25">
        <f t="shared" si="6"/>
        <v>156056.14285714284</v>
      </c>
      <c r="S27" s="25">
        <f t="shared" si="6"/>
        <v>136761.57142857142</v>
      </c>
      <c r="T27" s="25">
        <f t="shared" si="6"/>
        <v>0</v>
      </c>
      <c r="U27" s="25">
        <f t="shared" si="6"/>
        <v>0</v>
      </c>
      <c r="V27" s="25">
        <f t="shared" si="6"/>
        <v>0</v>
      </c>
      <c r="W27" s="25">
        <f t="shared" si="6"/>
        <v>23208</v>
      </c>
      <c r="X27" s="25">
        <f t="shared" si="6"/>
        <v>47454.571428571428</v>
      </c>
      <c r="Y27" s="25">
        <f t="shared" si="6"/>
        <v>140557.28571428571</v>
      </c>
      <c r="Z27" s="25">
        <f t="shared" si="6"/>
        <v>131601.42857142858</v>
      </c>
      <c r="AA27" s="25">
        <f t="shared" si="6"/>
        <v>234002.85714285713</v>
      </c>
      <c r="AB27" s="25">
        <f t="shared" si="6"/>
        <v>13487.142857142857</v>
      </c>
      <c r="AC27" s="25">
        <f t="shared" si="6"/>
        <v>27863.142857142855</v>
      </c>
      <c r="AD27" s="27">
        <f t="shared" si="3"/>
        <v>1866363.3142857142</v>
      </c>
      <c r="AE27" s="27">
        <f t="shared" si="0"/>
        <v>69124.567195767188</v>
      </c>
      <c r="AF27" s="28">
        <f>AD27/AD13</f>
        <v>7.0234797250075795E-2</v>
      </c>
    </row>
    <row r="28" spans="1:32" x14ac:dyDescent="0.15">
      <c r="A28" s="51" t="s">
        <v>84</v>
      </c>
      <c r="B28" s="8" t="s">
        <v>85</v>
      </c>
      <c r="C28" s="29">
        <v>170</v>
      </c>
      <c r="D28" s="29">
        <v>1249</v>
      </c>
      <c r="E28" s="29">
        <v>1550</v>
      </c>
      <c r="F28" s="29">
        <v>1389</v>
      </c>
      <c r="G28" s="29">
        <v>1420</v>
      </c>
      <c r="H28" s="29">
        <v>1524</v>
      </c>
      <c r="I28" s="29">
        <v>462</v>
      </c>
      <c r="J28" s="29">
        <v>2053</v>
      </c>
      <c r="K28" s="29">
        <v>1575</v>
      </c>
      <c r="L28" s="29">
        <v>1567</v>
      </c>
      <c r="M28" s="29">
        <v>1679</v>
      </c>
      <c r="N28" s="29">
        <v>2054</v>
      </c>
      <c r="O28" s="29">
        <v>2092</v>
      </c>
      <c r="P28" s="29">
        <v>211</v>
      </c>
      <c r="Q28" s="29">
        <v>1969</v>
      </c>
      <c r="R28" s="29">
        <v>950</v>
      </c>
      <c r="S28" s="29">
        <v>938</v>
      </c>
      <c r="T28" s="29">
        <v>0</v>
      </c>
      <c r="U28" s="29">
        <v>0</v>
      </c>
      <c r="V28" s="29">
        <v>0</v>
      </c>
      <c r="W28" s="29">
        <v>1817</v>
      </c>
      <c r="X28" s="29">
        <v>1655</v>
      </c>
      <c r="Y28" s="29">
        <v>2673</v>
      </c>
      <c r="Z28" s="29">
        <v>1830</v>
      </c>
      <c r="AA28" s="29">
        <v>1321</v>
      </c>
      <c r="AB28" s="29">
        <v>866</v>
      </c>
      <c r="AC28" s="29">
        <v>1375</v>
      </c>
      <c r="AD28" s="31">
        <f t="shared" si="3"/>
        <v>34389</v>
      </c>
      <c r="AE28" s="31">
        <f t="shared" si="0"/>
        <v>1273.6666666666667</v>
      </c>
      <c r="AF28" s="10">
        <f>AD28/AD13</f>
        <v>1.294123402525853E-3</v>
      </c>
    </row>
    <row r="29" spans="1:32" x14ac:dyDescent="0.15">
      <c r="A29" s="51"/>
      <c r="B29" s="32" t="s">
        <v>86</v>
      </c>
      <c r="C29" s="33">
        <f t="shared" ref="C29:AD29" si="7">SUM(C11/C28)</f>
        <v>3.6882352941176473</v>
      </c>
      <c r="D29" s="33">
        <f t="shared" si="7"/>
        <v>3.2570056044835867</v>
      </c>
      <c r="E29" s="33">
        <f t="shared" si="7"/>
        <v>3.5056129032258068</v>
      </c>
      <c r="F29" s="33">
        <f t="shared" si="7"/>
        <v>3.5981281497480202</v>
      </c>
      <c r="G29" s="33">
        <f t="shared" si="7"/>
        <v>3.7612676056338028</v>
      </c>
      <c r="H29" s="33">
        <f t="shared" si="7"/>
        <v>3.3763779527559059</v>
      </c>
      <c r="I29" s="33">
        <f t="shared" si="7"/>
        <v>2.1857142857142855</v>
      </c>
      <c r="J29" s="33">
        <f t="shared" si="7"/>
        <v>2.4905504140282515</v>
      </c>
      <c r="K29" s="33">
        <f t="shared" si="7"/>
        <v>3.1447619047619049</v>
      </c>
      <c r="L29" s="33">
        <f t="shared" si="7"/>
        <v>3.4375877472878109</v>
      </c>
      <c r="M29" s="33">
        <f t="shared" si="7"/>
        <v>3.3564621798689696</v>
      </c>
      <c r="N29" s="33">
        <f t="shared" si="7"/>
        <v>3.5681110029211291</v>
      </c>
      <c r="O29" s="33">
        <f t="shared" si="7"/>
        <v>3.5698374760994263</v>
      </c>
      <c r="P29" s="33">
        <f t="shared" si="7"/>
        <v>0.42464454976303317</v>
      </c>
      <c r="Q29" s="33">
        <f t="shared" si="7"/>
        <v>3.6252412392077198</v>
      </c>
      <c r="R29" s="33">
        <f t="shared" si="7"/>
        <v>4.1821052631578945</v>
      </c>
      <c r="S29" s="33">
        <f t="shared" si="7"/>
        <v>4.4095948827292109</v>
      </c>
      <c r="T29" s="33" t="e">
        <f t="shared" si="7"/>
        <v>#DIV/0!</v>
      </c>
      <c r="U29" s="33" t="e">
        <f t="shared" si="7"/>
        <v>#DIV/0!</v>
      </c>
      <c r="V29" s="33" t="e">
        <f t="shared" si="7"/>
        <v>#DIV/0!</v>
      </c>
      <c r="W29" s="33">
        <f t="shared" si="7"/>
        <v>3.7253714914694553</v>
      </c>
      <c r="X29" s="33">
        <f t="shared" si="7"/>
        <v>4.0259818731117827</v>
      </c>
      <c r="Y29" s="33">
        <f t="shared" si="7"/>
        <v>3.8847736625514404</v>
      </c>
      <c r="Z29" s="33">
        <f t="shared" si="7"/>
        <v>3.9579234972677595</v>
      </c>
      <c r="AA29" s="33">
        <f t="shared" si="7"/>
        <v>3.700984102952309</v>
      </c>
      <c r="AB29" s="33">
        <f t="shared" si="7"/>
        <v>3.6339491916859123</v>
      </c>
      <c r="AC29" s="33">
        <f t="shared" si="7"/>
        <v>4.5490909090909089</v>
      </c>
      <c r="AD29" s="35">
        <f t="shared" si="7"/>
        <v>3.5823984413620633</v>
      </c>
      <c r="AE29" s="35" t="e">
        <f t="shared" si="0"/>
        <v>#DIV/0!</v>
      </c>
      <c r="AF29" s="32">
        <f>AD29/AD13</f>
        <v>1.3481245922064573E-7</v>
      </c>
    </row>
    <row r="30" spans="1:32" x14ac:dyDescent="0.15">
      <c r="A30" s="51"/>
      <c r="B30" s="11" t="s">
        <v>87</v>
      </c>
      <c r="C30" s="14">
        <v>19499</v>
      </c>
      <c r="D30" s="14">
        <v>143260</v>
      </c>
      <c r="E30" s="14">
        <v>177785</v>
      </c>
      <c r="F30" s="14">
        <v>159318</v>
      </c>
      <c r="G30" s="14">
        <v>162874</v>
      </c>
      <c r="H30" s="14">
        <v>174803</v>
      </c>
      <c r="I30" s="14">
        <v>52991</v>
      </c>
      <c r="J30" s="14">
        <v>235479</v>
      </c>
      <c r="K30" s="14">
        <v>180653</v>
      </c>
      <c r="L30" s="14">
        <v>179735</v>
      </c>
      <c r="M30" s="14">
        <v>192581</v>
      </c>
      <c r="N30" s="14">
        <v>235594</v>
      </c>
      <c r="O30" s="14">
        <v>239952</v>
      </c>
      <c r="P30" s="14">
        <v>24202</v>
      </c>
      <c r="Q30" s="14">
        <v>225844</v>
      </c>
      <c r="R30" s="14">
        <v>108965</v>
      </c>
      <c r="S30" s="14">
        <v>107589</v>
      </c>
      <c r="T30" s="14">
        <v>0</v>
      </c>
      <c r="U30" s="14">
        <v>0</v>
      </c>
      <c r="V30" s="14">
        <v>0</v>
      </c>
      <c r="W30" s="14">
        <v>208410</v>
      </c>
      <c r="X30" s="14">
        <v>189829</v>
      </c>
      <c r="Y30" s="14">
        <v>306593</v>
      </c>
      <c r="Z30" s="14">
        <v>209901</v>
      </c>
      <c r="AA30" s="14">
        <v>151519</v>
      </c>
      <c r="AB30" s="14">
        <v>99330</v>
      </c>
      <c r="AC30" s="14">
        <v>157713</v>
      </c>
      <c r="AD30" s="16">
        <f t="shared" ref="AD30:AD43" si="8">SUM(C30:AC30)</f>
        <v>3944419</v>
      </c>
      <c r="AE30" s="16">
        <f t="shared" si="0"/>
        <v>146089.59259259258</v>
      </c>
      <c r="AF30" s="13">
        <f>AD30/AD13</f>
        <v>0.14843598061204522</v>
      </c>
    </row>
    <row r="31" spans="1:32" x14ac:dyDescent="0.15">
      <c r="A31" s="51"/>
      <c r="B31" s="11" t="s">
        <v>88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12425</v>
      </c>
      <c r="L31" s="14">
        <v>0</v>
      </c>
      <c r="M31" s="14">
        <v>10650</v>
      </c>
      <c r="N31" s="14">
        <v>11005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9585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6">
        <f t="shared" si="8"/>
        <v>43665</v>
      </c>
      <c r="AE31" s="16">
        <f t="shared" si="0"/>
        <v>1617.2222222222222</v>
      </c>
      <c r="AF31" s="13">
        <f>AD31/AD13</f>
        <v>1.6431969051525597E-3</v>
      </c>
    </row>
    <row r="32" spans="1:32" x14ac:dyDescent="0.15">
      <c r="A32" s="51"/>
      <c r="B32" s="11" t="s">
        <v>89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6">
        <f t="shared" si="8"/>
        <v>0</v>
      </c>
      <c r="AE32" s="16">
        <f t="shared" si="0"/>
        <v>0</v>
      </c>
      <c r="AF32" s="13">
        <f>AD32/AD13</f>
        <v>0</v>
      </c>
    </row>
    <row r="33" spans="1:32" x14ac:dyDescent="0.15">
      <c r="A33" s="51"/>
      <c r="B33" s="24" t="s">
        <v>90</v>
      </c>
      <c r="C33" s="25">
        <f t="shared" ref="C33:AC33" si="9">SUM(C30:C32)</f>
        <v>19499</v>
      </c>
      <c r="D33" s="25">
        <f t="shared" si="9"/>
        <v>143260</v>
      </c>
      <c r="E33" s="25">
        <f t="shared" si="9"/>
        <v>177785</v>
      </c>
      <c r="F33" s="25">
        <f t="shared" si="9"/>
        <v>159318</v>
      </c>
      <c r="G33" s="25">
        <f t="shared" si="9"/>
        <v>162874</v>
      </c>
      <c r="H33" s="25">
        <f t="shared" si="9"/>
        <v>174803</v>
      </c>
      <c r="I33" s="25">
        <f t="shared" si="9"/>
        <v>52991</v>
      </c>
      <c r="J33" s="25">
        <f t="shared" si="9"/>
        <v>235479</v>
      </c>
      <c r="K33" s="25">
        <f t="shared" si="9"/>
        <v>193078</v>
      </c>
      <c r="L33" s="25">
        <f t="shared" si="9"/>
        <v>179735</v>
      </c>
      <c r="M33" s="25">
        <f t="shared" si="9"/>
        <v>203231</v>
      </c>
      <c r="N33" s="25">
        <f t="shared" si="9"/>
        <v>246599</v>
      </c>
      <c r="O33" s="25">
        <f t="shared" si="9"/>
        <v>239952</v>
      </c>
      <c r="P33" s="25">
        <f t="shared" si="9"/>
        <v>24202</v>
      </c>
      <c r="Q33" s="25">
        <f t="shared" si="9"/>
        <v>225844</v>
      </c>
      <c r="R33" s="25">
        <f t="shared" si="9"/>
        <v>108965</v>
      </c>
      <c r="S33" s="25">
        <f t="shared" si="9"/>
        <v>107589</v>
      </c>
      <c r="T33" s="25">
        <f t="shared" si="9"/>
        <v>0</v>
      </c>
      <c r="U33" s="25">
        <f t="shared" si="9"/>
        <v>0</v>
      </c>
      <c r="V33" s="25">
        <f t="shared" si="9"/>
        <v>0</v>
      </c>
      <c r="W33" s="25">
        <f t="shared" si="9"/>
        <v>208410</v>
      </c>
      <c r="X33" s="25">
        <f t="shared" si="9"/>
        <v>199414</v>
      </c>
      <c r="Y33" s="25">
        <f t="shared" si="9"/>
        <v>306593</v>
      </c>
      <c r="Z33" s="25">
        <f t="shared" si="9"/>
        <v>209901</v>
      </c>
      <c r="AA33" s="25">
        <f t="shared" si="9"/>
        <v>151519</v>
      </c>
      <c r="AB33" s="25">
        <f t="shared" si="9"/>
        <v>99330</v>
      </c>
      <c r="AC33" s="25">
        <f t="shared" si="9"/>
        <v>157713</v>
      </c>
      <c r="AD33" s="27">
        <f t="shared" si="8"/>
        <v>3988084</v>
      </c>
      <c r="AE33" s="27">
        <f t="shared" si="0"/>
        <v>147706.8148148148</v>
      </c>
      <c r="AF33" s="28">
        <f>AD33/AD13</f>
        <v>0.15007917751719776</v>
      </c>
    </row>
    <row r="34" spans="1:32" x14ac:dyDescent="0.15">
      <c r="A34" s="51" t="s">
        <v>91</v>
      </c>
      <c r="B34" s="11" t="s">
        <v>92</v>
      </c>
      <c r="C34" s="14">
        <v>2008</v>
      </c>
      <c r="D34" s="14">
        <v>2365</v>
      </c>
      <c r="E34" s="14">
        <v>2008</v>
      </c>
      <c r="F34" s="14">
        <v>2008</v>
      </c>
      <c r="G34" s="14">
        <v>2008</v>
      </c>
      <c r="H34" s="14">
        <v>2008</v>
      </c>
      <c r="I34" s="14">
        <v>0</v>
      </c>
      <c r="J34" s="14">
        <v>2451</v>
      </c>
      <c r="K34" s="14">
        <v>2008</v>
      </c>
      <c r="L34" s="14">
        <v>2008</v>
      </c>
      <c r="M34" s="14">
        <v>2008</v>
      </c>
      <c r="N34" s="14">
        <v>2008</v>
      </c>
      <c r="O34" s="14">
        <v>2008</v>
      </c>
      <c r="P34" s="14">
        <v>0</v>
      </c>
      <c r="Q34" s="14">
        <v>2008</v>
      </c>
      <c r="R34" s="14">
        <v>2008</v>
      </c>
      <c r="S34" s="14">
        <v>2008</v>
      </c>
      <c r="T34" s="14">
        <v>0</v>
      </c>
      <c r="U34" s="14">
        <v>0</v>
      </c>
      <c r="V34" s="14">
        <v>0</v>
      </c>
      <c r="W34" s="14">
        <v>2008</v>
      </c>
      <c r="X34" s="14">
        <v>2008</v>
      </c>
      <c r="Y34" s="14">
        <v>2008</v>
      </c>
      <c r="Z34" s="14">
        <v>2008</v>
      </c>
      <c r="AA34" s="14">
        <v>2365</v>
      </c>
      <c r="AB34" s="14">
        <v>2012</v>
      </c>
      <c r="AC34" s="14">
        <v>2625</v>
      </c>
      <c r="AD34" s="16">
        <f t="shared" si="8"/>
        <v>45954</v>
      </c>
      <c r="AE34" s="16">
        <f t="shared" si="0"/>
        <v>1702</v>
      </c>
      <c r="AF34" s="13">
        <f>AD34/AD13</f>
        <v>1.7293363238149715E-3</v>
      </c>
    </row>
    <row r="35" spans="1:32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6">
        <f t="shared" si="8"/>
        <v>0</v>
      </c>
      <c r="AE35" s="16">
        <f t="shared" si="0"/>
        <v>0</v>
      </c>
      <c r="AF35" s="13">
        <f>AD35/AD13</f>
        <v>0</v>
      </c>
    </row>
    <row r="36" spans="1:32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6">
        <f t="shared" si="8"/>
        <v>0</v>
      </c>
      <c r="AE36" s="16">
        <f t="shared" si="0"/>
        <v>0</v>
      </c>
      <c r="AF36" s="13">
        <f>AD36/AD13</f>
        <v>0</v>
      </c>
    </row>
    <row r="37" spans="1:32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6">
        <f t="shared" si="8"/>
        <v>0</v>
      </c>
      <c r="AE37" s="16">
        <f t="shared" si="0"/>
        <v>0</v>
      </c>
      <c r="AF37" s="13">
        <f>AD37/AD13</f>
        <v>0</v>
      </c>
    </row>
    <row r="38" spans="1:32" x14ac:dyDescent="0.15">
      <c r="A38" s="51"/>
      <c r="B38" s="11" t="s">
        <v>93</v>
      </c>
      <c r="C38" s="14">
        <v>5366</v>
      </c>
      <c r="D38" s="14">
        <v>5366</v>
      </c>
      <c r="E38" s="14">
        <v>5366</v>
      </c>
      <c r="F38" s="14">
        <v>5366</v>
      </c>
      <c r="G38" s="14">
        <v>5366</v>
      </c>
      <c r="H38" s="14">
        <v>5366</v>
      </c>
      <c r="I38" s="14">
        <v>10718</v>
      </c>
      <c r="J38" s="14">
        <v>10690</v>
      </c>
      <c r="K38" s="14">
        <v>5366</v>
      </c>
      <c r="L38" s="14">
        <v>5366</v>
      </c>
      <c r="M38" s="14">
        <v>7671</v>
      </c>
      <c r="N38" s="14">
        <v>8639</v>
      </c>
      <c r="O38" s="14">
        <v>5366</v>
      </c>
      <c r="P38" s="14">
        <v>5576</v>
      </c>
      <c r="Q38" s="14">
        <v>7624</v>
      </c>
      <c r="R38" s="14">
        <v>6832</v>
      </c>
      <c r="S38" s="14">
        <v>4621</v>
      </c>
      <c r="T38" s="14">
        <v>0</v>
      </c>
      <c r="U38" s="14">
        <v>0</v>
      </c>
      <c r="V38" s="14">
        <v>0</v>
      </c>
      <c r="W38" s="14">
        <v>5366</v>
      </c>
      <c r="X38" s="14">
        <v>10370</v>
      </c>
      <c r="Y38" s="14">
        <v>5366</v>
      </c>
      <c r="Z38" s="14">
        <v>5366</v>
      </c>
      <c r="AA38" s="14">
        <v>4621</v>
      </c>
      <c r="AB38" s="14">
        <v>4621</v>
      </c>
      <c r="AC38" s="14">
        <v>4621</v>
      </c>
      <c r="AD38" s="16">
        <f t="shared" si="8"/>
        <v>150996</v>
      </c>
      <c r="AE38" s="16">
        <f t="shared" si="0"/>
        <v>5592.4444444444443</v>
      </c>
      <c r="AF38" s="13">
        <f>AD38/AD13</f>
        <v>5.6822663435340866E-3</v>
      </c>
    </row>
    <row r="39" spans="1:32" x14ac:dyDescent="0.15">
      <c r="A39" s="51"/>
      <c r="B39" s="24" t="s">
        <v>94</v>
      </c>
      <c r="C39" s="25">
        <f t="shared" ref="C39:AC39" si="10">SUM(C34:C38)</f>
        <v>7374</v>
      </c>
      <c r="D39" s="25">
        <f t="shared" si="10"/>
        <v>7731</v>
      </c>
      <c r="E39" s="25">
        <f t="shared" si="10"/>
        <v>7374</v>
      </c>
      <c r="F39" s="25">
        <f t="shared" si="10"/>
        <v>7374</v>
      </c>
      <c r="G39" s="25">
        <f t="shared" si="10"/>
        <v>7374</v>
      </c>
      <c r="H39" s="25">
        <f t="shared" si="10"/>
        <v>7374</v>
      </c>
      <c r="I39" s="25">
        <f t="shared" si="10"/>
        <v>10718</v>
      </c>
      <c r="J39" s="25">
        <f t="shared" si="10"/>
        <v>13141</v>
      </c>
      <c r="K39" s="25">
        <f t="shared" si="10"/>
        <v>7374</v>
      </c>
      <c r="L39" s="25">
        <f t="shared" si="10"/>
        <v>7374</v>
      </c>
      <c r="M39" s="25">
        <f t="shared" si="10"/>
        <v>9679</v>
      </c>
      <c r="N39" s="25">
        <f t="shared" si="10"/>
        <v>10647</v>
      </c>
      <c r="O39" s="25">
        <f t="shared" si="10"/>
        <v>7374</v>
      </c>
      <c r="P39" s="25">
        <f t="shared" si="10"/>
        <v>5576</v>
      </c>
      <c r="Q39" s="25">
        <f t="shared" si="10"/>
        <v>9632</v>
      </c>
      <c r="R39" s="25">
        <f t="shared" si="10"/>
        <v>8840</v>
      </c>
      <c r="S39" s="25">
        <f t="shared" si="10"/>
        <v>6629</v>
      </c>
      <c r="T39" s="25">
        <f t="shared" si="10"/>
        <v>0</v>
      </c>
      <c r="U39" s="25">
        <f t="shared" si="10"/>
        <v>0</v>
      </c>
      <c r="V39" s="25">
        <f t="shared" si="10"/>
        <v>0</v>
      </c>
      <c r="W39" s="25">
        <f t="shared" si="10"/>
        <v>7374</v>
      </c>
      <c r="X39" s="25">
        <f t="shared" si="10"/>
        <v>12378</v>
      </c>
      <c r="Y39" s="25">
        <f t="shared" si="10"/>
        <v>7374</v>
      </c>
      <c r="Z39" s="25">
        <f t="shared" si="10"/>
        <v>7374</v>
      </c>
      <c r="AA39" s="25">
        <f t="shared" si="10"/>
        <v>6986</v>
      </c>
      <c r="AB39" s="25">
        <f t="shared" si="10"/>
        <v>6633</v>
      </c>
      <c r="AC39" s="25">
        <f t="shared" si="10"/>
        <v>7246</v>
      </c>
      <c r="AD39" s="27">
        <f t="shared" si="8"/>
        <v>196950</v>
      </c>
      <c r="AE39" s="27">
        <f t="shared" si="0"/>
        <v>7294.4444444444443</v>
      </c>
      <c r="AF39" s="28">
        <f>AD39/AD13</f>
        <v>7.4116026673490586E-3</v>
      </c>
    </row>
    <row r="40" spans="1:32" x14ac:dyDescent="0.15">
      <c r="A40" s="51" t="s">
        <v>95</v>
      </c>
      <c r="B40" s="11" t="s">
        <v>96</v>
      </c>
      <c r="C40" s="14">
        <v>11500</v>
      </c>
      <c r="D40" s="14">
        <v>0</v>
      </c>
      <c r="E40" s="14">
        <v>87370</v>
      </c>
      <c r="F40" s="14">
        <v>101970</v>
      </c>
      <c r="G40" s="14">
        <v>83780</v>
      </c>
      <c r="H40" s="14">
        <v>78220</v>
      </c>
      <c r="I40" s="14">
        <v>3590</v>
      </c>
      <c r="J40" s="14">
        <v>190670</v>
      </c>
      <c r="K40" s="14">
        <v>86660</v>
      </c>
      <c r="L40" s="14">
        <v>74740</v>
      </c>
      <c r="M40" s="14">
        <v>112750</v>
      </c>
      <c r="N40" s="14">
        <v>180340</v>
      </c>
      <c r="O40" s="14">
        <v>162110</v>
      </c>
      <c r="P40" s="14">
        <v>1100</v>
      </c>
      <c r="Q40" s="14">
        <v>196900</v>
      </c>
      <c r="R40" s="14">
        <v>108790</v>
      </c>
      <c r="S40" s="14">
        <v>83700</v>
      </c>
      <c r="T40" s="14">
        <v>0</v>
      </c>
      <c r="U40" s="14">
        <v>0</v>
      </c>
      <c r="V40" s="14">
        <v>0</v>
      </c>
      <c r="W40" s="14">
        <v>119870</v>
      </c>
      <c r="X40" s="14">
        <v>126410</v>
      </c>
      <c r="Y40" s="14">
        <v>340180</v>
      </c>
      <c r="Z40" s="14">
        <v>166790</v>
      </c>
      <c r="AA40" s="14">
        <v>30990</v>
      </c>
      <c r="AB40" s="14">
        <v>22490</v>
      </c>
      <c r="AC40" s="14">
        <v>87190</v>
      </c>
      <c r="AD40" s="16">
        <f t="shared" si="8"/>
        <v>2458110</v>
      </c>
      <c r="AE40" s="16">
        <f t="shared" si="0"/>
        <v>91041.111111111109</v>
      </c>
      <c r="AF40" s="13">
        <f>AD40/AD13</f>
        <v>9.2503349239082988E-2</v>
      </c>
    </row>
    <row r="41" spans="1:32" x14ac:dyDescent="0.15">
      <c r="A41" s="51"/>
      <c r="B41" s="11" t="s">
        <v>97</v>
      </c>
      <c r="C41" s="14">
        <v>-11500</v>
      </c>
      <c r="D41" s="14">
        <v>-1440</v>
      </c>
      <c r="E41" s="14">
        <v>-41095</v>
      </c>
      <c r="F41" s="14">
        <v>-41660</v>
      </c>
      <c r="G41" s="14">
        <v>-38343</v>
      </c>
      <c r="H41" s="14">
        <v>-40478</v>
      </c>
      <c r="I41" s="14">
        <v>-742</v>
      </c>
      <c r="J41" s="14">
        <v>-67979</v>
      </c>
      <c r="K41" s="14">
        <v>-39576</v>
      </c>
      <c r="L41" s="14">
        <v>-31412</v>
      </c>
      <c r="M41" s="14">
        <v>-57634</v>
      </c>
      <c r="N41" s="14">
        <v>-62858</v>
      </c>
      <c r="O41" s="14">
        <v>-73836</v>
      </c>
      <c r="P41" s="14">
        <v>0</v>
      </c>
      <c r="Q41" s="14">
        <v>-46964</v>
      </c>
      <c r="R41" s="14">
        <v>-79750</v>
      </c>
      <c r="S41" s="14">
        <v>-79750</v>
      </c>
      <c r="T41" s="14">
        <v>0</v>
      </c>
      <c r="U41" s="14">
        <v>0</v>
      </c>
      <c r="V41" s="14">
        <v>0</v>
      </c>
      <c r="W41" s="14">
        <v>-119870</v>
      </c>
      <c r="X41" s="14">
        <v>-121180</v>
      </c>
      <c r="Y41" s="14">
        <v>-103156</v>
      </c>
      <c r="Z41" s="14">
        <v>-3054</v>
      </c>
      <c r="AA41" s="14">
        <v>0</v>
      </c>
      <c r="AB41" s="14">
        <v>0</v>
      </c>
      <c r="AC41" s="14">
        <v>0</v>
      </c>
      <c r="AD41" s="16">
        <f t="shared" si="8"/>
        <v>-1062277</v>
      </c>
      <c r="AE41" s="16">
        <f t="shared" si="0"/>
        <v>-39343.592592592591</v>
      </c>
      <c r="AF41" s="13">
        <f>AD41/AD13</f>
        <v>-3.9975501633224449E-2</v>
      </c>
    </row>
    <row r="42" spans="1:32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6">
        <f t="shared" si="8"/>
        <v>0</v>
      </c>
      <c r="AE42" s="16">
        <f t="shared" si="0"/>
        <v>0</v>
      </c>
      <c r="AF42" s="13">
        <f>AD42/AD13</f>
        <v>0</v>
      </c>
    </row>
    <row r="43" spans="1:32" x14ac:dyDescent="0.15">
      <c r="A43" s="51"/>
      <c r="B43" s="11" t="s">
        <v>99</v>
      </c>
      <c r="C43" s="14">
        <v>-3680</v>
      </c>
      <c r="D43" s="14">
        <v>0</v>
      </c>
      <c r="E43" s="14">
        <v>-27958.400000000001</v>
      </c>
      <c r="F43" s="14">
        <v>-32630.400000000001</v>
      </c>
      <c r="G43" s="14">
        <v>-26809.599999999999</v>
      </c>
      <c r="H43" s="14">
        <v>-25030.400000000001</v>
      </c>
      <c r="I43" s="14">
        <v>-1148.8</v>
      </c>
      <c r="J43" s="14">
        <v>-61014.400000000001</v>
      </c>
      <c r="K43" s="14">
        <v>-27731.200000000001</v>
      </c>
      <c r="L43" s="14">
        <v>-23916.799999999999</v>
      </c>
      <c r="M43" s="14">
        <v>-36080</v>
      </c>
      <c r="N43" s="14">
        <v>-57708.800000000003</v>
      </c>
      <c r="O43" s="14">
        <v>-51875.199999999997</v>
      </c>
      <c r="P43" s="14">
        <v>-352</v>
      </c>
      <c r="Q43" s="14">
        <v>-63008</v>
      </c>
      <c r="R43" s="14">
        <v>-34812.800000000003</v>
      </c>
      <c r="S43" s="14">
        <v>-26784</v>
      </c>
      <c r="T43" s="14">
        <v>0</v>
      </c>
      <c r="U43" s="14">
        <v>0</v>
      </c>
      <c r="V43" s="14">
        <v>0</v>
      </c>
      <c r="W43" s="14">
        <v>-38358.400000000001</v>
      </c>
      <c r="X43" s="14">
        <v>-40451.199999999997</v>
      </c>
      <c r="Y43" s="14">
        <v>-108857.60000000001</v>
      </c>
      <c r="Z43" s="14">
        <v>-53372.800000000003</v>
      </c>
      <c r="AA43" s="14">
        <v>-9916.7999999999993</v>
      </c>
      <c r="AB43" s="14">
        <v>-7196.8</v>
      </c>
      <c r="AC43" s="14">
        <v>-27900.799999999999</v>
      </c>
      <c r="AD43" s="16">
        <f t="shared" si="8"/>
        <v>-786595.20000000007</v>
      </c>
      <c r="AE43" s="16">
        <f>AVERAGE(B43:AC43)</f>
        <v>-29133.155555555557</v>
      </c>
      <c r="AF43" s="13">
        <f>AD43/AD13</f>
        <v>-2.9601071756506558E-2</v>
      </c>
    </row>
    <row r="44" spans="1:32" x14ac:dyDescent="0.15">
      <c r="A44" s="51"/>
      <c r="B44" s="24" t="s">
        <v>100</v>
      </c>
      <c r="C44" s="25">
        <f t="shared" ref="C44:AD44" si="11">SUM(C40:C43)</f>
        <v>-3680</v>
      </c>
      <c r="D44" s="25">
        <f t="shared" si="11"/>
        <v>-1440</v>
      </c>
      <c r="E44" s="25">
        <f t="shared" si="11"/>
        <v>18316.599999999999</v>
      </c>
      <c r="F44" s="25">
        <f t="shared" si="11"/>
        <v>27679.599999999999</v>
      </c>
      <c r="G44" s="25">
        <f t="shared" si="11"/>
        <v>18627.400000000001</v>
      </c>
      <c r="H44" s="25">
        <f t="shared" si="11"/>
        <v>12711.599999999999</v>
      </c>
      <c r="I44" s="25">
        <f t="shared" si="11"/>
        <v>1699.2</v>
      </c>
      <c r="J44" s="25">
        <f t="shared" si="11"/>
        <v>61676.6</v>
      </c>
      <c r="K44" s="25">
        <f t="shared" si="11"/>
        <v>19352.8</v>
      </c>
      <c r="L44" s="25">
        <f t="shared" si="11"/>
        <v>19411.2</v>
      </c>
      <c r="M44" s="25">
        <f t="shared" si="11"/>
        <v>19036</v>
      </c>
      <c r="N44" s="25">
        <f t="shared" si="11"/>
        <v>59773.2</v>
      </c>
      <c r="O44" s="25">
        <f t="shared" si="11"/>
        <v>36398.800000000003</v>
      </c>
      <c r="P44" s="25">
        <f t="shared" si="11"/>
        <v>748</v>
      </c>
      <c r="Q44" s="25">
        <f t="shared" si="11"/>
        <v>86928</v>
      </c>
      <c r="R44" s="25">
        <f t="shared" si="11"/>
        <v>-5772.8000000000029</v>
      </c>
      <c r="S44" s="25">
        <f t="shared" si="11"/>
        <v>-22834</v>
      </c>
      <c r="T44" s="25">
        <f t="shared" si="11"/>
        <v>0</v>
      </c>
      <c r="U44" s="25">
        <f t="shared" si="11"/>
        <v>0</v>
      </c>
      <c r="V44" s="25">
        <f t="shared" si="11"/>
        <v>0</v>
      </c>
      <c r="W44" s="25">
        <f t="shared" si="11"/>
        <v>-38358.400000000001</v>
      </c>
      <c r="X44" s="25">
        <f t="shared" si="11"/>
        <v>-35221.199999999997</v>
      </c>
      <c r="Y44" s="25">
        <f t="shared" si="11"/>
        <v>128166.39999999999</v>
      </c>
      <c r="Z44" s="25">
        <f t="shared" si="11"/>
        <v>110363.2</v>
      </c>
      <c r="AA44" s="25">
        <f t="shared" si="11"/>
        <v>21073.200000000001</v>
      </c>
      <c r="AB44" s="25">
        <f t="shared" si="11"/>
        <v>15293.2</v>
      </c>
      <c r="AC44" s="25">
        <f t="shared" si="11"/>
        <v>59289.2</v>
      </c>
      <c r="AD44" s="27">
        <f t="shared" si="11"/>
        <v>609237.79999999993</v>
      </c>
      <c r="AE44" s="27">
        <f>AVERAGE(B44:AC44)</f>
        <v>22564.362962962961</v>
      </c>
      <c r="AF44" s="28">
        <f>AD44/AD13</f>
        <v>2.2926775849351978E-2</v>
      </c>
    </row>
    <row r="45" spans="1:32" x14ac:dyDescent="0.15">
      <c r="A45" s="51" t="s">
        <v>101</v>
      </c>
      <c r="B45" s="11" t="s">
        <v>102</v>
      </c>
      <c r="C45" s="14">
        <v>27388</v>
      </c>
      <c r="D45" s="14">
        <v>410816</v>
      </c>
      <c r="E45" s="14">
        <v>643612</v>
      </c>
      <c r="F45" s="14">
        <v>314959</v>
      </c>
      <c r="G45" s="14">
        <v>328653</v>
      </c>
      <c r="H45" s="14">
        <v>314960</v>
      </c>
      <c r="I45" s="14">
        <v>123245</v>
      </c>
      <c r="J45" s="14">
        <v>314959</v>
      </c>
      <c r="K45" s="14">
        <v>383429</v>
      </c>
      <c r="L45" s="14">
        <v>328654</v>
      </c>
      <c r="M45" s="14">
        <v>356041</v>
      </c>
      <c r="N45" s="14">
        <v>301266</v>
      </c>
      <c r="O45" s="14">
        <v>369734</v>
      </c>
      <c r="P45" s="14">
        <v>27388</v>
      </c>
      <c r="Q45" s="14">
        <v>301265</v>
      </c>
      <c r="R45" s="14">
        <v>150633</v>
      </c>
      <c r="S45" s="14">
        <v>164326</v>
      </c>
      <c r="T45" s="14">
        <v>0</v>
      </c>
      <c r="U45" s="14">
        <v>0</v>
      </c>
      <c r="V45" s="14">
        <v>0</v>
      </c>
      <c r="W45" s="14">
        <v>301265</v>
      </c>
      <c r="X45" s="14">
        <v>314960</v>
      </c>
      <c r="Y45" s="14">
        <v>328654</v>
      </c>
      <c r="Z45" s="14">
        <v>273878</v>
      </c>
      <c r="AA45" s="14">
        <v>342342</v>
      </c>
      <c r="AB45" s="14">
        <v>219103</v>
      </c>
      <c r="AC45" s="14">
        <v>260184</v>
      </c>
      <c r="AD45" s="16">
        <f t="shared" ref="AD45:AD60" si="12">SUM(C45:AC45)</f>
        <v>6901714</v>
      </c>
      <c r="AE45" s="16">
        <f t="shared" ref="AE45:AE60" si="13">AVERAGE(C45:AC45)</f>
        <v>255619.03703703705</v>
      </c>
      <c r="AF45" s="13">
        <f>AD45/AD13</f>
        <v>0.25972460975719897</v>
      </c>
    </row>
    <row r="46" spans="1:32" x14ac:dyDescent="0.15">
      <c r="A46" s="51"/>
      <c r="B46" s="11" t="s">
        <v>103</v>
      </c>
      <c r="C46" s="14">
        <v>1620</v>
      </c>
      <c r="D46" s="14">
        <v>24295</v>
      </c>
      <c r="E46" s="14">
        <v>38062</v>
      </c>
      <c r="F46" s="14">
        <v>18626</v>
      </c>
      <c r="G46" s="14">
        <v>19435</v>
      </c>
      <c r="H46" s="14">
        <v>18626</v>
      </c>
      <c r="I46" s="14">
        <v>7288</v>
      </c>
      <c r="J46" s="14">
        <v>18625</v>
      </c>
      <c r="K46" s="14">
        <v>22675</v>
      </c>
      <c r="L46" s="14">
        <v>19436</v>
      </c>
      <c r="M46" s="14">
        <v>21056</v>
      </c>
      <c r="N46" s="14">
        <v>17815</v>
      </c>
      <c r="O46" s="14">
        <v>21865</v>
      </c>
      <c r="P46" s="14">
        <v>1620</v>
      </c>
      <c r="Q46" s="14">
        <v>17816</v>
      </c>
      <c r="R46" s="14">
        <v>8907</v>
      </c>
      <c r="S46" s="14">
        <v>9717</v>
      </c>
      <c r="T46" s="14">
        <v>0</v>
      </c>
      <c r="U46" s="14">
        <v>0</v>
      </c>
      <c r="V46" s="14">
        <v>0</v>
      </c>
      <c r="W46" s="14">
        <v>17816</v>
      </c>
      <c r="X46" s="14">
        <v>18626</v>
      </c>
      <c r="Y46" s="14">
        <v>19435</v>
      </c>
      <c r="Z46" s="14">
        <v>16196</v>
      </c>
      <c r="AA46" s="14">
        <v>20243</v>
      </c>
      <c r="AB46" s="14">
        <v>12958</v>
      </c>
      <c r="AC46" s="14">
        <v>15386</v>
      </c>
      <c r="AD46" s="16">
        <f t="shared" si="12"/>
        <v>408144</v>
      </c>
      <c r="AE46" s="16">
        <f t="shared" si="13"/>
        <v>15116.444444444445</v>
      </c>
      <c r="AF46" s="13">
        <f>AD46/AD13</f>
        <v>1.5359234115575091E-2</v>
      </c>
    </row>
    <row r="47" spans="1:32" x14ac:dyDescent="0.15">
      <c r="A47" s="51"/>
      <c r="B47" s="11" t="s">
        <v>104</v>
      </c>
      <c r="C47" s="14">
        <v>5058</v>
      </c>
      <c r="D47" s="14">
        <v>75875</v>
      </c>
      <c r="E47" s="14">
        <v>118869</v>
      </c>
      <c r="F47" s="14">
        <v>58170</v>
      </c>
      <c r="G47" s="14">
        <v>60699</v>
      </c>
      <c r="H47" s="14">
        <v>58170</v>
      </c>
      <c r="I47" s="14">
        <v>22762</v>
      </c>
      <c r="J47" s="14">
        <v>58170</v>
      </c>
      <c r="K47" s="14">
        <v>70816</v>
      </c>
      <c r="L47" s="14">
        <v>60699</v>
      </c>
      <c r="M47" s="14">
        <v>65757</v>
      </c>
      <c r="N47" s="14">
        <v>55641</v>
      </c>
      <c r="O47" s="14">
        <v>68287</v>
      </c>
      <c r="P47" s="14">
        <v>5058</v>
      </c>
      <c r="Q47" s="14">
        <v>55641</v>
      </c>
      <c r="R47" s="14">
        <v>27820</v>
      </c>
      <c r="S47" s="14">
        <v>30351</v>
      </c>
      <c r="T47" s="14">
        <v>0</v>
      </c>
      <c r="U47" s="14">
        <v>0</v>
      </c>
      <c r="V47" s="14">
        <v>0</v>
      </c>
      <c r="W47" s="14">
        <v>55641</v>
      </c>
      <c r="X47" s="14">
        <v>58170</v>
      </c>
      <c r="Y47" s="14">
        <v>60700</v>
      </c>
      <c r="Z47" s="14">
        <v>50582</v>
      </c>
      <c r="AA47" s="14">
        <v>63233</v>
      </c>
      <c r="AB47" s="14">
        <v>40465</v>
      </c>
      <c r="AC47" s="14">
        <v>48054</v>
      </c>
      <c r="AD47" s="16">
        <f t="shared" si="12"/>
        <v>1274688</v>
      </c>
      <c r="AE47" s="16">
        <f t="shared" si="13"/>
        <v>47210.666666666664</v>
      </c>
      <c r="AF47" s="13">
        <f>AD47/AD13</f>
        <v>4.7968931103517833E-2</v>
      </c>
    </row>
    <row r="48" spans="1:32" x14ac:dyDescent="0.15">
      <c r="A48" s="51"/>
      <c r="B48" s="11" t="s">
        <v>105</v>
      </c>
      <c r="C48" s="14">
        <v>299</v>
      </c>
      <c r="D48" s="14">
        <v>4483</v>
      </c>
      <c r="E48" s="14">
        <v>7025</v>
      </c>
      <c r="F48" s="14">
        <v>3438</v>
      </c>
      <c r="G48" s="14">
        <v>3587</v>
      </c>
      <c r="H48" s="14">
        <v>3437</v>
      </c>
      <c r="I48" s="14">
        <v>1345</v>
      </c>
      <c r="J48" s="14">
        <v>3438</v>
      </c>
      <c r="K48" s="14">
        <v>4184</v>
      </c>
      <c r="L48" s="14">
        <v>3587</v>
      </c>
      <c r="M48" s="14">
        <v>3885</v>
      </c>
      <c r="N48" s="14">
        <v>3288</v>
      </c>
      <c r="O48" s="14">
        <v>4036</v>
      </c>
      <c r="P48" s="14">
        <v>299</v>
      </c>
      <c r="Q48" s="14">
        <v>3288</v>
      </c>
      <c r="R48" s="14">
        <v>1644</v>
      </c>
      <c r="S48" s="14">
        <v>1795</v>
      </c>
      <c r="T48" s="14">
        <v>0</v>
      </c>
      <c r="U48" s="14">
        <v>0</v>
      </c>
      <c r="V48" s="14">
        <v>0</v>
      </c>
      <c r="W48" s="14">
        <v>3288</v>
      </c>
      <c r="X48" s="14">
        <v>3437</v>
      </c>
      <c r="Y48" s="14">
        <v>3587</v>
      </c>
      <c r="Z48" s="14">
        <v>2990</v>
      </c>
      <c r="AA48" s="14">
        <v>3740</v>
      </c>
      <c r="AB48" s="14">
        <v>2391</v>
      </c>
      <c r="AC48" s="14">
        <v>2841</v>
      </c>
      <c r="AD48" s="16">
        <f t="shared" si="12"/>
        <v>75332</v>
      </c>
      <c r="AE48" s="16">
        <f t="shared" si="13"/>
        <v>2790.0740740740739</v>
      </c>
      <c r="AF48" s="13">
        <f>AD48/AD13</f>
        <v>2.8348862763987776E-3</v>
      </c>
    </row>
    <row r="49" spans="1:32" x14ac:dyDescent="0.15">
      <c r="A49" s="51"/>
      <c r="B49" s="24" t="s">
        <v>106</v>
      </c>
      <c r="C49" s="25">
        <f t="shared" ref="C49:AC49" si="14">SUM(C45:C48)</f>
        <v>34365</v>
      </c>
      <c r="D49" s="25">
        <f t="shared" si="14"/>
        <v>515469</v>
      </c>
      <c r="E49" s="25">
        <f t="shared" si="14"/>
        <v>807568</v>
      </c>
      <c r="F49" s="25">
        <f t="shared" si="14"/>
        <v>395193</v>
      </c>
      <c r="G49" s="25">
        <f t="shared" si="14"/>
        <v>412374</v>
      </c>
      <c r="H49" s="25">
        <f t="shared" si="14"/>
        <v>395193</v>
      </c>
      <c r="I49" s="25">
        <f t="shared" si="14"/>
        <v>154640</v>
      </c>
      <c r="J49" s="25">
        <f t="shared" si="14"/>
        <v>395192</v>
      </c>
      <c r="K49" s="25">
        <f t="shared" si="14"/>
        <v>481104</v>
      </c>
      <c r="L49" s="25">
        <f t="shared" si="14"/>
        <v>412376</v>
      </c>
      <c r="M49" s="25">
        <f t="shared" si="14"/>
        <v>446739</v>
      </c>
      <c r="N49" s="25">
        <f t="shared" si="14"/>
        <v>378010</v>
      </c>
      <c r="O49" s="25">
        <f t="shared" si="14"/>
        <v>463922</v>
      </c>
      <c r="P49" s="25">
        <f t="shared" si="14"/>
        <v>34365</v>
      </c>
      <c r="Q49" s="25">
        <f t="shared" si="14"/>
        <v>378010</v>
      </c>
      <c r="R49" s="25">
        <f t="shared" si="14"/>
        <v>189004</v>
      </c>
      <c r="S49" s="25">
        <f t="shared" si="14"/>
        <v>206189</v>
      </c>
      <c r="T49" s="25">
        <f t="shared" si="14"/>
        <v>0</v>
      </c>
      <c r="U49" s="25">
        <f t="shared" si="14"/>
        <v>0</v>
      </c>
      <c r="V49" s="25">
        <f t="shared" si="14"/>
        <v>0</v>
      </c>
      <c r="W49" s="25">
        <f t="shared" si="14"/>
        <v>378010</v>
      </c>
      <c r="X49" s="25">
        <f t="shared" si="14"/>
        <v>395193</v>
      </c>
      <c r="Y49" s="25">
        <f t="shared" si="14"/>
        <v>412376</v>
      </c>
      <c r="Z49" s="25">
        <f t="shared" si="14"/>
        <v>343646</v>
      </c>
      <c r="AA49" s="25">
        <f t="shared" si="14"/>
        <v>429558</v>
      </c>
      <c r="AB49" s="25">
        <f t="shared" si="14"/>
        <v>274917</v>
      </c>
      <c r="AC49" s="25">
        <f t="shared" si="14"/>
        <v>326465</v>
      </c>
      <c r="AD49" s="27">
        <f t="shared" si="12"/>
        <v>8659878</v>
      </c>
      <c r="AE49" s="27">
        <f t="shared" si="13"/>
        <v>320736.22222222225</v>
      </c>
      <c r="AF49" s="28">
        <f>AD49/AD13</f>
        <v>0.3258876612526907</v>
      </c>
    </row>
    <row r="50" spans="1:32" x14ac:dyDescent="0.15">
      <c r="A50" s="51" t="s">
        <v>107</v>
      </c>
      <c r="B50" s="11" t="s">
        <v>108</v>
      </c>
      <c r="C50" s="14">
        <v>6500</v>
      </c>
      <c r="D50" s="14">
        <v>6500</v>
      </c>
      <c r="E50" s="14">
        <v>6500</v>
      </c>
      <c r="F50" s="14">
        <v>6500</v>
      </c>
      <c r="G50" s="14">
        <v>6500</v>
      </c>
      <c r="H50" s="14">
        <v>6500</v>
      </c>
      <c r="I50" s="14">
        <v>6500</v>
      </c>
      <c r="J50" s="14">
        <v>6500</v>
      </c>
      <c r="K50" s="14">
        <v>6500</v>
      </c>
      <c r="L50" s="14">
        <v>6500</v>
      </c>
      <c r="M50" s="14">
        <v>6500</v>
      </c>
      <c r="N50" s="14">
        <v>6500</v>
      </c>
      <c r="O50" s="14">
        <v>6500</v>
      </c>
      <c r="P50" s="14">
        <v>6500</v>
      </c>
      <c r="Q50" s="14">
        <v>6500</v>
      </c>
      <c r="R50" s="14">
        <v>6500</v>
      </c>
      <c r="S50" s="14">
        <v>6500</v>
      </c>
      <c r="T50" s="14">
        <v>0</v>
      </c>
      <c r="U50" s="14">
        <v>0</v>
      </c>
      <c r="V50" s="14">
        <v>6500</v>
      </c>
      <c r="W50" s="14">
        <v>21428.571428571428</v>
      </c>
      <c r="X50" s="14">
        <v>21428.571428571428</v>
      </c>
      <c r="Y50" s="14">
        <v>21428.571428571428</v>
      </c>
      <c r="Z50" s="14">
        <v>21428.571428571428</v>
      </c>
      <c r="AA50" s="14">
        <v>21428.571428571428</v>
      </c>
      <c r="AB50" s="14">
        <v>21428.571428571428</v>
      </c>
      <c r="AC50" s="14">
        <v>21428.571428571428</v>
      </c>
      <c r="AD50" s="16">
        <f t="shared" si="12"/>
        <v>266999.99999999994</v>
      </c>
      <c r="AE50" s="16">
        <f t="shared" si="13"/>
        <v>9888.8888888888869</v>
      </c>
      <c r="AF50" s="13">
        <f>AD50/AD13</f>
        <v>1.0047717248957594E-2</v>
      </c>
    </row>
    <row r="51" spans="1:32" x14ac:dyDescent="0.15">
      <c r="A51" s="51"/>
      <c r="B51" s="11" t="s">
        <v>109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6">
        <f t="shared" si="12"/>
        <v>0</v>
      </c>
      <c r="AE51" s="16">
        <f t="shared" si="13"/>
        <v>0</v>
      </c>
      <c r="AF51" s="13">
        <f>AD51/AD13</f>
        <v>0</v>
      </c>
    </row>
    <row r="52" spans="1:32" x14ac:dyDescent="0.15">
      <c r="A52" s="51"/>
      <c r="B52" s="11" t="s">
        <v>110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6">
        <f t="shared" si="12"/>
        <v>0</v>
      </c>
      <c r="AE52" s="16">
        <f t="shared" si="13"/>
        <v>0</v>
      </c>
      <c r="AF52" s="13">
        <f>AD52/AD13</f>
        <v>0</v>
      </c>
    </row>
    <row r="53" spans="1:32" x14ac:dyDescent="0.15">
      <c r="A53" s="51"/>
      <c r="B53" s="11" t="s">
        <v>111</v>
      </c>
      <c r="C53" s="14">
        <v>91489.722222222219</v>
      </c>
      <c r="D53" s="14">
        <v>91489.722222222219</v>
      </c>
      <c r="E53" s="14">
        <v>91489.722222222219</v>
      </c>
      <c r="F53" s="14">
        <v>91489.722222222219</v>
      </c>
      <c r="G53" s="14">
        <v>91489.722222222219</v>
      </c>
      <c r="H53" s="14">
        <v>91489.722222222219</v>
      </c>
      <c r="I53" s="14">
        <v>91489.722222222219</v>
      </c>
      <c r="J53" s="14">
        <v>91489.722222222219</v>
      </c>
      <c r="K53" s="14">
        <v>91489.722222222219</v>
      </c>
      <c r="L53" s="14">
        <v>91489.722222222219</v>
      </c>
      <c r="M53" s="14">
        <v>91489.722222222219</v>
      </c>
      <c r="N53" s="14">
        <v>91489.722222222219</v>
      </c>
      <c r="O53" s="14">
        <v>91489.722222222219</v>
      </c>
      <c r="P53" s="14">
        <v>91489.722222222219</v>
      </c>
      <c r="Q53" s="14">
        <v>91489.722222222219</v>
      </c>
      <c r="R53" s="14">
        <v>91489.722222222219</v>
      </c>
      <c r="S53" s="14">
        <v>91489.722222222219</v>
      </c>
      <c r="T53" s="14">
        <v>0</v>
      </c>
      <c r="U53" s="14">
        <v>0</v>
      </c>
      <c r="V53" s="14">
        <v>91489.722222222219</v>
      </c>
      <c r="W53" s="14">
        <v>70633.71428571429</v>
      </c>
      <c r="X53" s="14">
        <v>70633.71428571429</v>
      </c>
      <c r="Y53" s="14">
        <v>70633.71428571429</v>
      </c>
      <c r="Z53" s="14">
        <v>70633.71428571429</v>
      </c>
      <c r="AA53" s="14">
        <v>70633.71428571429</v>
      </c>
      <c r="AB53" s="14">
        <v>70633.71428571429</v>
      </c>
      <c r="AC53" s="14">
        <v>70633.71428571429</v>
      </c>
      <c r="AD53" s="16">
        <f t="shared" si="12"/>
        <v>2141251.0000000005</v>
      </c>
      <c r="AE53" s="16">
        <f t="shared" si="13"/>
        <v>79305.592592592613</v>
      </c>
      <c r="AF53" s="13">
        <f>AD53/AD13</f>
        <v>8.057934309755696E-2</v>
      </c>
    </row>
    <row r="54" spans="1:32" x14ac:dyDescent="0.15">
      <c r="A54" s="51"/>
      <c r="B54" s="11" t="s">
        <v>112</v>
      </c>
      <c r="C54" s="14">
        <v>69233.166666666672</v>
      </c>
      <c r="D54" s="14">
        <v>69233.166666666672</v>
      </c>
      <c r="E54" s="14">
        <v>69233.166666666672</v>
      </c>
      <c r="F54" s="14">
        <v>69233.166666666672</v>
      </c>
      <c r="G54" s="14">
        <v>69233.166666666672</v>
      </c>
      <c r="H54" s="14">
        <v>69233.166666666672</v>
      </c>
      <c r="I54" s="14">
        <v>69233.166666666672</v>
      </c>
      <c r="J54" s="14">
        <v>69233.166666666672</v>
      </c>
      <c r="K54" s="14">
        <v>69233.166666666672</v>
      </c>
      <c r="L54" s="14">
        <v>69233.166666666672</v>
      </c>
      <c r="M54" s="14">
        <v>69233.166666666672</v>
      </c>
      <c r="N54" s="14">
        <v>69233.166666666672</v>
      </c>
      <c r="O54" s="14">
        <v>69233.166666666672</v>
      </c>
      <c r="P54" s="14">
        <v>69233.166666666672</v>
      </c>
      <c r="Q54" s="14">
        <v>69233.166666666672</v>
      </c>
      <c r="R54" s="14">
        <v>69233.166666666672</v>
      </c>
      <c r="S54" s="14">
        <v>69233.166666666672</v>
      </c>
      <c r="T54" s="14">
        <v>0</v>
      </c>
      <c r="U54" s="14">
        <v>0</v>
      </c>
      <c r="V54" s="14">
        <v>69233.166666666672</v>
      </c>
      <c r="W54" s="14">
        <v>69233.142857142855</v>
      </c>
      <c r="X54" s="14">
        <v>69233.142857142855</v>
      </c>
      <c r="Y54" s="14">
        <v>69233.142857142855</v>
      </c>
      <c r="Z54" s="14">
        <v>69233.142857142855</v>
      </c>
      <c r="AA54" s="14">
        <v>69233.142857142855</v>
      </c>
      <c r="AB54" s="14">
        <v>69233.142857142855</v>
      </c>
      <c r="AC54" s="14">
        <v>69233.142857142855</v>
      </c>
      <c r="AD54" s="16">
        <f t="shared" si="12"/>
        <v>1730829.0000000007</v>
      </c>
      <c r="AE54" s="16">
        <f t="shared" si="13"/>
        <v>64104.777777777803</v>
      </c>
      <c r="AF54" s="13">
        <f>AD54/AD13</f>
        <v>6.5134383514217353E-2</v>
      </c>
    </row>
    <row r="55" spans="1:32" x14ac:dyDescent="0.15">
      <c r="A55" s="51"/>
      <c r="B55" s="24" t="s">
        <v>113</v>
      </c>
      <c r="C55" s="25">
        <f t="shared" ref="C55:AC55" si="15">SUM(C50:C54)</f>
        <v>167222.88888888888</v>
      </c>
      <c r="D55" s="25">
        <f t="shared" si="15"/>
        <v>167222.88888888888</v>
      </c>
      <c r="E55" s="25">
        <f t="shared" si="15"/>
        <v>167222.88888888888</v>
      </c>
      <c r="F55" s="25">
        <f t="shared" si="15"/>
        <v>167222.88888888888</v>
      </c>
      <c r="G55" s="25">
        <f t="shared" si="15"/>
        <v>167222.88888888888</v>
      </c>
      <c r="H55" s="25">
        <f t="shared" si="15"/>
        <v>167222.88888888888</v>
      </c>
      <c r="I55" s="25">
        <f t="shared" si="15"/>
        <v>167222.88888888888</v>
      </c>
      <c r="J55" s="25">
        <f t="shared" si="15"/>
        <v>167222.88888888888</v>
      </c>
      <c r="K55" s="25">
        <f t="shared" si="15"/>
        <v>167222.88888888888</v>
      </c>
      <c r="L55" s="25">
        <f t="shared" si="15"/>
        <v>167222.88888888888</v>
      </c>
      <c r="M55" s="25">
        <f t="shared" si="15"/>
        <v>167222.88888888888</v>
      </c>
      <c r="N55" s="25">
        <f t="shared" si="15"/>
        <v>167222.88888888888</v>
      </c>
      <c r="O55" s="25">
        <f t="shared" si="15"/>
        <v>167222.88888888888</v>
      </c>
      <c r="P55" s="25">
        <f t="shared" si="15"/>
        <v>167222.88888888888</v>
      </c>
      <c r="Q55" s="25">
        <f t="shared" si="15"/>
        <v>167222.88888888888</v>
      </c>
      <c r="R55" s="25">
        <f t="shared" si="15"/>
        <v>167222.88888888888</v>
      </c>
      <c r="S55" s="25">
        <f t="shared" si="15"/>
        <v>167222.88888888888</v>
      </c>
      <c r="T55" s="25">
        <f t="shared" si="15"/>
        <v>0</v>
      </c>
      <c r="U55" s="25">
        <f t="shared" si="15"/>
        <v>0</v>
      </c>
      <c r="V55" s="25">
        <f t="shared" si="15"/>
        <v>167222.88888888888</v>
      </c>
      <c r="W55" s="25">
        <f t="shared" si="15"/>
        <v>161295.42857142858</v>
      </c>
      <c r="X55" s="25">
        <f t="shared" si="15"/>
        <v>161295.42857142858</v>
      </c>
      <c r="Y55" s="25">
        <f t="shared" si="15"/>
        <v>161295.42857142858</v>
      </c>
      <c r="Z55" s="25">
        <f t="shared" si="15"/>
        <v>161295.42857142858</v>
      </c>
      <c r="AA55" s="25">
        <f t="shared" si="15"/>
        <v>161295.42857142858</v>
      </c>
      <c r="AB55" s="25">
        <f t="shared" si="15"/>
        <v>161295.42857142858</v>
      </c>
      <c r="AC55" s="25">
        <f t="shared" si="15"/>
        <v>161295.42857142858</v>
      </c>
      <c r="AD55" s="27">
        <f t="shared" si="12"/>
        <v>4139080.0000000014</v>
      </c>
      <c r="AE55" s="27">
        <f t="shared" si="13"/>
        <v>153299.2592592593</v>
      </c>
      <c r="AF55" s="28">
        <f>AD55/AD13</f>
        <v>0.15576144386073193</v>
      </c>
    </row>
    <row r="56" spans="1:32" x14ac:dyDescent="0.15">
      <c r="A56" s="50" t="s">
        <v>114</v>
      </c>
      <c r="B56" s="50"/>
      <c r="C56" s="14">
        <f t="shared" ref="C56:AC56" si="16">SUM(C49+C22+C27+C33+C39+C44+C55)</f>
        <v>318229.60317460319</v>
      </c>
      <c r="D56" s="14">
        <f t="shared" si="16"/>
        <v>901360.3174603174</v>
      </c>
      <c r="E56" s="14">
        <f t="shared" si="16"/>
        <v>1236893.7746031745</v>
      </c>
      <c r="F56" s="14">
        <f t="shared" si="16"/>
        <v>975694.63174603169</v>
      </c>
      <c r="G56" s="14">
        <f t="shared" si="16"/>
        <v>878383.2888888889</v>
      </c>
      <c r="H56" s="14">
        <f t="shared" si="16"/>
        <v>833402.06031746021</v>
      </c>
      <c r="I56" s="14">
        <f t="shared" si="16"/>
        <v>766910.80317460315</v>
      </c>
      <c r="J56" s="14">
        <f t="shared" si="16"/>
        <v>1085766.0888888887</v>
      </c>
      <c r="K56" s="14">
        <f t="shared" si="16"/>
        <v>1083463.8317460318</v>
      </c>
      <c r="L56" s="14">
        <f t="shared" si="16"/>
        <v>859626.94603174599</v>
      </c>
      <c r="M56" s="14">
        <f t="shared" si="16"/>
        <v>983885.03174603172</v>
      </c>
      <c r="N56" s="14">
        <f t="shared" si="16"/>
        <v>1154058.6603174603</v>
      </c>
      <c r="O56" s="14">
        <f t="shared" si="16"/>
        <v>1040912.8317460318</v>
      </c>
      <c r="P56" s="14">
        <f t="shared" si="16"/>
        <v>332179.88888888888</v>
      </c>
      <c r="Q56" s="14">
        <f t="shared" si="16"/>
        <v>994441.74603174604</v>
      </c>
      <c r="R56" s="14">
        <f t="shared" si="16"/>
        <v>738323.23174603167</v>
      </c>
      <c r="S56" s="14">
        <f t="shared" si="16"/>
        <v>657501.46031746035</v>
      </c>
      <c r="T56" s="14">
        <f t="shared" si="16"/>
        <v>0</v>
      </c>
      <c r="U56" s="14">
        <f t="shared" si="16"/>
        <v>0</v>
      </c>
      <c r="V56" s="14">
        <f t="shared" si="16"/>
        <v>174297.88888888888</v>
      </c>
      <c r="W56" s="14">
        <f t="shared" si="16"/>
        <v>796968.0285714285</v>
      </c>
      <c r="X56" s="14">
        <f t="shared" si="16"/>
        <v>1031309.8</v>
      </c>
      <c r="Y56" s="14">
        <f t="shared" si="16"/>
        <v>1215433.1142857142</v>
      </c>
      <c r="Z56" s="14">
        <f t="shared" si="16"/>
        <v>1000600.0571428572</v>
      </c>
      <c r="AA56" s="14">
        <f t="shared" si="16"/>
        <v>1050388.4857142856</v>
      </c>
      <c r="AB56" s="14">
        <f t="shared" si="16"/>
        <v>616221.77142857143</v>
      </c>
      <c r="AC56" s="14">
        <f t="shared" si="16"/>
        <v>799546.77142857132</v>
      </c>
      <c r="AD56" s="16">
        <f t="shared" si="12"/>
        <v>21525800.114285711</v>
      </c>
      <c r="AE56" s="16">
        <f t="shared" si="13"/>
        <v>797251.85608465597</v>
      </c>
      <c r="AF56" s="13">
        <f>AD56/AD13</f>
        <v>0.81005675320570014</v>
      </c>
    </row>
    <row r="57" spans="1:32" x14ac:dyDescent="0.15">
      <c r="A57" s="50" t="s">
        <v>115</v>
      </c>
      <c r="B57" s="50"/>
      <c r="C57" s="14">
        <f t="shared" ref="C57:AC57" si="17">SUM(C13+C14-C56)</f>
        <v>-169811.60317460319</v>
      </c>
      <c r="D57" s="14">
        <f t="shared" si="17"/>
        <v>111077.6825396826</v>
      </c>
      <c r="E57" s="14">
        <f t="shared" si="17"/>
        <v>-4303.7746031745337</v>
      </c>
      <c r="F57" s="14">
        <f t="shared" si="17"/>
        <v>238165.36825396831</v>
      </c>
      <c r="G57" s="14">
        <f t="shared" si="17"/>
        <v>335476.7111111111</v>
      </c>
      <c r="H57" s="14">
        <f t="shared" si="17"/>
        <v>375837.93968253979</v>
      </c>
      <c r="I57" s="14">
        <f t="shared" si="17"/>
        <v>-528040.80317460315</v>
      </c>
      <c r="J57" s="14">
        <f t="shared" si="17"/>
        <v>402223.91111111129</v>
      </c>
      <c r="K57" s="14">
        <f t="shared" si="17"/>
        <v>144036.16825396824</v>
      </c>
      <c r="L57" s="14">
        <f t="shared" si="17"/>
        <v>354233.05396825401</v>
      </c>
      <c r="M57" s="14">
        <f t="shared" si="17"/>
        <v>265604.96825396828</v>
      </c>
      <c r="N57" s="14">
        <f t="shared" si="17"/>
        <v>164221.33968253969</v>
      </c>
      <c r="O57" s="14">
        <f t="shared" si="17"/>
        <v>299637.16825396824</v>
      </c>
      <c r="P57" s="14">
        <f t="shared" si="17"/>
        <v>-312099.88888888888</v>
      </c>
      <c r="Q57" s="14">
        <f t="shared" si="17"/>
        <v>317308.25396825396</v>
      </c>
      <c r="R57" s="14">
        <f t="shared" si="17"/>
        <v>193676.76825396833</v>
      </c>
      <c r="S57" s="14">
        <f t="shared" si="17"/>
        <v>201233.53968253965</v>
      </c>
      <c r="T57" s="14">
        <f t="shared" si="17"/>
        <v>167570</v>
      </c>
      <c r="U57" s="14">
        <f t="shared" si="17"/>
        <v>42883</v>
      </c>
      <c r="V57" s="14">
        <f t="shared" si="17"/>
        <v>-174297.88888888888</v>
      </c>
      <c r="W57" s="14">
        <f t="shared" si="17"/>
        <v>789802.9714285715</v>
      </c>
      <c r="X57" s="14">
        <f t="shared" si="17"/>
        <v>569536.19999999995</v>
      </c>
      <c r="Y57" s="14">
        <f t="shared" si="17"/>
        <v>883665.88571428577</v>
      </c>
      <c r="Z57" s="14">
        <f t="shared" si="17"/>
        <v>280799.94285714277</v>
      </c>
      <c r="AA57" s="14">
        <f t="shared" si="17"/>
        <v>203787.51428571437</v>
      </c>
      <c r="AB57" s="14">
        <f t="shared" si="17"/>
        <v>206624.22857142857</v>
      </c>
      <c r="AC57" s="14">
        <f t="shared" si="17"/>
        <v>717801.22857142868</v>
      </c>
      <c r="AD57" s="16">
        <f t="shared" si="12"/>
        <v>6076649.8857142869</v>
      </c>
      <c r="AE57" s="16">
        <f t="shared" si="13"/>
        <v>225061.10687830692</v>
      </c>
      <c r="AF57" s="13">
        <f>AD57/AD13</f>
        <v>0.228675879672538</v>
      </c>
    </row>
    <row r="58" spans="1:32" x14ac:dyDescent="0.15">
      <c r="A58" s="50" t="s">
        <v>116</v>
      </c>
      <c r="B58" s="50"/>
      <c r="C58" s="14">
        <v>87826.465116279069</v>
      </c>
      <c r="D58" s="14">
        <v>87826.465116279069</v>
      </c>
      <c r="E58" s="14">
        <v>87826.465116279069</v>
      </c>
      <c r="F58" s="14">
        <v>87826.465116279069</v>
      </c>
      <c r="G58" s="14">
        <v>87826.465116279069</v>
      </c>
      <c r="H58" s="14">
        <v>87826.465116279069</v>
      </c>
      <c r="I58" s="14">
        <v>87826.465116279069</v>
      </c>
      <c r="J58" s="14">
        <v>87826.465116279069</v>
      </c>
      <c r="K58" s="14">
        <v>87826.465116279069</v>
      </c>
      <c r="L58" s="14">
        <v>87826.465116279069</v>
      </c>
      <c r="M58" s="14">
        <v>87826.465116279069</v>
      </c>
      <c r="N58" s="14">
        <v>87826.465116279069</v>
      </c>
      <c r="O58" s="14">
        <v>87826.465116279069</v>
      </c>
      <c r="P58" s="14">
        <v>87826.465116279069</v>
      </c>
      <c r="Q58" s="14">
        <v>87826.465116279069</v>
      </c>
      <c r="R58" s="14">
        <v>87826.465116279069</v>
      </c>
      <c r="S58" s="14">
        <v>87826.465116279069</v>
      </c>
      <c r="T58" s="14">
        <v>0</v>
      </c>
      <c r="U58" s="14">
        <v>0</v>
      </c>
      <c r="V58" s="14">
        <v>87826.465116279069</v>
      </c>
      <c r="W58" s="14">
        <v>87826.465116279069</v>
      </c>
      <c r="X58" s="14">
        <v>87826.465116279069</v>
      </c>
      <c r="Y58" s="14">
        <v>87826.465116279069</v>
      </c>
      <c r="Z58" s="14">
        <v>87826.465116279069</v>
      </c>
      <c r="AA58" s="14">
        <v>87826.465116279069</v>
      </c>
      <c r="AB58" s="14">
        <v>87826.465116279069</v>
      </c>
      <c r="AC58" s="14">
        <v>87826.465116279069</v>
      </c>
      <c r="AD58" s="16">
        <f t="shared" si="12"/>
        <v>2195661.6279069758</v>
      </c>
      <c r="AE58" s="16">
        <f t="shared" si="13"/>
        <v>81320.801033591692</v>
      </c>
      <c r="AF58" s="13">
        <f>AD58/AD13</f>
        <v>8.2626918395487775E-2</v>
      </c>
    </row>
    <row r="59" spans="1:32" x14ac:dyDescent="0.15">
      <c r="A59" s="50" t="s">
        <v>117</v>
      </c>
      <c r="B59" s="50"/>
      <c r="C59" s="14">
        <v>42477.813953488374</v>
      </c>
      <c r="D59" s="14">
        <v>42477.813953488374</v>
      </c>
      <c r="E59" s="14">
        <v>42477.813953488374</v>
      </c>
      <c r="F59" s="14">
        <v>42477.813953488374</v>
      </c>
      <c r="G59" s="14">
        <v>42477.813953488374</v>
      </c>
      <c r="H59" s="14">
        <v>42477.813953488374</v>
      </c>
      <c r="I59" s="14">
        <v>42477.813953488374</v>
      </c>
      <c r="J59" s="14">
        <v>42477.813953488374</v>
      </c>
      <c r="K59" s="14">
        <v>42477.813953488374</v>
      </c>
      <c r="L59" s="14">
        <v>42477.813953488374</v>
      </c>
      <c r="M59" s="14">
        <v>42477.813953488374</v>
      </c>
      <c r="N59" s="14">
        <v>42477.813953488374</v>
      </c>
      <c r="O59" s="14">
        <v>42477.813953488374</v>
      </c>
      <c r="P59" s="14">
        <v>42477.813953488374</v>
      </c>
      <c r="Q59" s="14">
        <v>42477.813953488374</v>
      </c>
      <c r="R59" s="14">
        <v>42477.813953488374</v>
      </c>
      <c r="S59" s="14">
        <v>42477.813953488374</v>
      </c>
      <c r="T59" s="14">
        <v>0</v>
      </c>
      <c r="U59" s="14">
        <v>0</v>
      </c>
      <c r="V59" s="14">
        <v>42477.813953488374</v>
      </c>
      <c r="W59" s="14">
        <v>42477.813953488374</v>
      </c>
      <c r="X59" s="14">
        <v>42477.813953488374</v>
      </c>
      <c r="Y59" s="14">
        <v>42477.813953488374</v>
      </c>
      <c r="Z59" s="14">
        <v>42477.813953488374</v>
      </c>
      <c r="AA59" s="14">
        <v>42477.813953488374</v>
      </c>
      <c r="AB59" s="14">
        <v>42477.813953488374</v>
      </c>
      <c r="AC59" s="14">
        <v>42477.813953488374</v>
      </c>
      <c r="AD59" s="16">
        <f t="shared" si="12"/>
        <v>1061945.3488372094</v>
      </c>
      <c r="AE59" s="16">
        <f t="shared" si="13"/>
        <v>39331.309216192938</v>
      </c>
      <c r="AF59" s="13">
        <f>AD59/AD13</f>
        <v>3.9963020969894833E-2</v>
      </c>
    </row>
    <row r="60" spans="1:32" x14ac:dyDescent="0.15">
      <c r="A60" s="50" t="s">
        <v>118</v>
      </c>
      <c r="B60" s="50"/>
      <c r="C60" s="14">
        <f t="shared" ref="C60:AC60" si="18">SUM(C57-(C58+C59))</f>
        <v>-300115.88224437064</v>
      </c>
      <c r="D60" s="14">
        <f t="shared" si="18"/>
        <v>-19226.596530084847</v>
      </c>
      <c r="E60" s="14">
        <f t="shared" si="18"/>
        <v>-134608.05367294198</v>
      </c>
      <c r="F60" s="14">
        <f t="shared" si="18"/>
        <v>107861.08918420086</v>
      </c>
      <c r="G60" s="14">
        <f t="shared" si="18"/>
        <v>205172.43204134365</v>
      </c>
      <c r="H60" s="14">
        <f t="shared" si="18"/>
        <v>245533.66061277234</v>
      </c>
      <c r="I60" s="14">
        <f t="shared" si="18"/>
        <v>-658345.0822443706</v>
      </c>
      <c r="J60" s="14">
        <f t="shared" si="18"/>
        <v>271919.63204134384</v>
      </c>
      <c r="K60" s="14">
        <f t="shared" si="18"/>
        <v>13731.889184200787</v>
      </c>
      <c r="L60" s="14">
        <f t="shared" si="18"/>
        <v>223928.77489848656</v>
      </c>
      <c r="M60" s="14">
        <f t="shared" si="18"/>
        <v>135300.68918420083</v>
      </c>
      <c r="N60" s="14">
        <f t="shared" si="18"/>
        <v>33917.060612772242</v>
      </c>
      <c r="O60" s="14">
        <f t="shared" si="18"/>
        <v>169332.88918420079</v>
      </c>
      <c r="P60" s="14">
        <f t="shared" si="18"/>
        <v>-442404.16795865633</v>
      </c>
      <c r="Q60" s="14">
        <f t="shared" si="18"/>
        <v>187003.97489848651</v>
      </c>
      <c r="R60" s="14">
        <f t="shared" si="18"/>
        <v>63372.48918420088</v>
      </c>
      <c r="S60" s="14">
        <f t="shared" si="18"/>
        <v>70929.260612772196</v>
      </c>
      <c r="T60" s="14">
        <f t="shared" si="18"/>
        <v>167570</v>
      </c>
      <c r="U60" s="14">
        <f t="shared" si="18"/>
        <v>42883</v>
      </c>
      <c r="V60" s="14">
        <f t="shared" si="18"/>
        <v>-304602.16795865633</v>
      </c>
      <c r="W60" s="14">
        <f t="shared" si="18"/>
        <v>659498.69235880405</v>
      </c>
      <c r="X60" s="14">
        <f t="shared" si="18"/>
        <v>439231.9209302325</v>
      </c>
      <c r="Y60" s="14">
        <f t="shared" si="18"/>
        <v>753361.60664451832</v>
      </c>
      <c r="Z60" s="14">
        <f t="shared" si="18"/>
        <v>150495.66378737532</v>
      </c>
      <c r="AA60" s="14">
        <f t="shared" si="18"/>
        <v>73483.235215946916</v>
      </c>
      <c r="AB60" s="14">
        <f t="shared" si="18"/>
        <v>76319.949501661118</v>
      </c>
      <c r="AC60" s="14">
        <f t="shared" si="18"/>
        <v>587496.94950166123</v>
      </c>
      <c r="AD60" s="16">
        <f t="shared" si="12"/>
        <v>2819042.9089700999</v>
      </c>
      <c r="AE60" s="16">
        <f t="shared" si="13"/>
        <v>104408.99662852222</v>
      </c>
      <c r="AF60" s="13">
        <f>AD60/AD13</f>
        <v>0.10608594030715532</v>
      </c>
    </row>
    <row r="61" spans="1:32" x14ac:dyDescent="0.15">
      <c r="A61" s="11"/>
      <c r="B61" s="36" t="s">
        <v>47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</row>
    <row r="62" spans="1:32" x14ac:dyDescent="0.15">
      <c r="A62" s="12"/>
      <c r="B62" s="3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</row>
    <row r="63" spans="1:32" x14ac:dyDescent="0.15">
      <c r="A63" s="12"/>
      <c r="B63" s="39" t="s">
        <v>125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</row>
    <row r="64" spans="1:32" x14ac:dyDescent="0.15">
      <c r="A64" s="12"/>
      <c r="B64" s="40" t="s">
        <v>126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</row>
    <row r="65" spans="1:29" x14ac:dyDescent="0.15">
      <c r="A65" s="12"/>
      <c r="B65" s="40" t="s">
        <v>42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</row>
    <row r="66" spans="1:29" x14ac:dyDescent="0.15">
      <c r="A66" s="11"/>
      <c r="B66" s="41" t="s">
        <v>48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</row>
    <row r="67" spans="1:29" x14ac:dyDescent="0.15">
      <c r="A67" s="11"/>
      <c r="B67" s="3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</row>
    <row r="68" spans="1:29" x14ac:dyDescent="0.15">
      <c r="A68" s="11"/>
      <c r="B68" s="39" t="s">
        <v>125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</row>
    <row r="69" spans="1:29" x14ac:dyDescent="0.15">
      <c r="A69" s="11"/>
      <c r="B69" s="40" t="s">
        <v>126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</row>
    <row r="70" spans="1:29" x14ac:dyDescent="0.15">
      <c r="A70" s="11"/>
      <c r="B70" s="40" t="s">
        <v>42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</row>
    <row r="71" spans="1:29" x14ac:dyDescent="0.15">
      <c r="A71" s="11"/>
      <c r="B71" s="11" t="s">
        <v>130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</row>
    <row r="72" spans="1:29" x14ac:dyDescent="0.15">
      <c r="A72" s="11"/>
      <c r="B72" s="3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</row>
    <row r="73" spans="1:29" x14ac:dyDescent="0.15">
      <c r="A73" s="11"/>
      <c r="B73" s="39" t="s">
        <v>125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</row>
    <row r="74" spans="1:29" x14ac:dyDescent="0.15">
      <c r="A74" s="11"/>
      <c r="B74" s="40" t="s">
        <v>126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</row>
    <row r="75" spans="1:29" x14ac:dyDescent="0.15">
      <c r="A75" s="11"/>
      <c r="B75" s="40" t="s">
        <v>42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</row>
    <row r="76" spans="1:29" x14ac:dyDescent="0.15">
      <c r="A76" s="11"/>
      <c r="B76" s="11" t="s">
        <v>134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</row>
    <row r="77" spans="1:29" x14ac:dyDescent="0.15">
      <c r="A77" s="11"/>
      <c r="B77" s="3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</row>
    <row r="78" spans="1:29" x14ac:dyDescent="0.15">
      <c r="A78" s="11"/>
      <c r="B78" s="39" t="s">
        <v>125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</row>
    <row r="79" spans="1:29" x14ac:dyDescent="0.15">
      <c r="A79" s="11"/>
      <c r="B79" s="40" t="s">
        <v>126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</row>
    <row r="80" spans="1:29" x14ac:dyDescent="0.15">
      <c r="A80" s="11"/>
      <c r="B80" s="40" t="s">
        <v>42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</row>
    <row r="81" spans="1:29" x14ac:dyDescent="0.15">
      <c r="A81" s="11"/>
      <c r="B81" s="11" t="s">
        <v>138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</row>
    <row r="82" spans="1:29" x14ac:dyDescent="0.15">
      <c r="A82" s="11"/>
      <c r="B82" s="3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</row>
    <row r="83" spans="1:29" x14ac:dyDescent="0.15">
      <c r="A83" s="11"/>
      <c r="B83" s="39" t="s">
        <v>125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</row>
    <row r="84" spans="1:29" x14ac:dyDescent="0.15">
      <c r="A84" s="11"/>
      <c r="B84" s="40" t="s">
        <v>126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</row>
    <row r="85" spans="1:29" x14ac:dyDescent="0.15">
      <c r="A85" s="11"/>
      <c r="B85" s="40" t="s">
        <v>42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</row>
    <row r="86" spans="1:29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</row>
    <row r="87" spans="1:29" x14ac:dyDescent="0.15">
      <c r="A87" s="11"/>
      <c r="B87" s="3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</row>
    <row r="88" spans="1:29" x14ac:dyDescent="0.15">
      <c r="A88" s="11"/>
      <c r="B88" s="39" t="s">
        <v>125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</row>
    <row r="89" spans="1:29" x14ac:dyDescent="0.15">
      <c r="B89" s="40" t="s">
        <v>126</v>
      </c>
    </row>
    <row r="90" spans="1:29" x14ac:dyDescent="0.15">
      <c r="B90" s="40" t="s">
        <v>42</v>
      </c>
    </row>
    <row r="92" spans="1:29" x14ac:dyDescent="0.15">
      <c r="B92" s="37"/>
    </row>
    <row r="93" spans="1:29" x14ac:dyDescent="0.15">
      <c r="B93" s="39" t="s">
        <v>125</v>
      </c>
    </row>
    <row r="94" spans="1:29" x14ac:dyDescent="0.15">
      <c r="B94" s="40" t="s">
        <v>126</v>
      </c>
    </row>
    <row r="95" spans="1:29" x14ac:dyDescent="0.15">
      <c r="B95" s="40" t="s">
        <v>42</v>
      </c>
    </row>
    <row r="97" spans="2:2" x14ac:dyDescent="0.15">
      <c r="B97" s="37"/>
    </row>
    <row r="98" spans="2:2" x14ac:dyDescent="0.15">
      <c r="B98" s="39" t="s">
        <v>125</v>
      </c>
    </row>
    <row r="99" spans="2:2" x14ac:dyDescent="0.15">
      <c r="B99" s="40" t="s">
        <v>126</v>
      </c>
    </row>
    <row r="100" spans="2:2" x14ac:dyDescent="0.15">
      <c r="B100" s="40" t="s">
        <v>42</v>
      </c>
    </row>
    <row r="102" spans="2:2" x14ac:dyDescent="0.15">
      <c r="B102" s="11" t="s">
        <v>151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D9CE-33E5-4E07-AFC8-8DB56BC46782}">
  <sheetPr codeName="Sheet5"/>
  <dimension ref="A2:Y102"/>
  <sheetViews>
    <sheetView workbookViewId="0">
      <selection activeCell="W50" sqref="W50:W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3" width="13.25" style="1" bestFit="1" customWidth="1"/>
    <col min="24" max="24" width="10" style="1" bestFit="1" customWidth="1"/>
    <col min="25" max="25" width="11" style="1" bestFit="1" customWidth="1"/>
    <col min="26" max="229" width="9" style="1"/>
    <col min="230" max="230" width="2.875" style="1" bestFit="1" customWidth="1"/>
    <col min="231" max="231" width="16.625" style="1" bestFit="1" customWidth="1"/>
    <col min="232" max="232" width="11.375" style="1" bestFit="1" customWidth="1"/>
    <col min="233" max="234" width="14.125" style="1" bestFit="1" customWidth="1"/>
    <col min="235" max="235" width="11.375" style="1" bestFit="1" customWidth="1"/>
    <col min="236" max="238" width="12.5" style="1" bestFit="1" customWidth="1"/>
    <col min="239" max="239" width="11" style="1" bestFit="1" customWidth="1"/>
    <col min="240" max="259" width="13" style="1" bestFit="1" customWidth="1"/>
    <col min="260" max="263" width="11" style="1" bestFit="1" customWidth="1"/>
    <col min="264" max="266" width="12.25" style="1" bestFit="1" customWidth="1"/>
    <col min="267" max="278" width="11" style="1" bestFit="1" customWidth="1"/>
    <col min="279" max="279" width="13.25" style="1" bestFit="1" customWidth="1"/>
    <col min="280" max="280" width="10" style="1" bestFit="1" customWidth="1"/>
    <col min="281" max="281" width="11" style="1" bestFit="1" customWidth="1"/>
    <col min="282" max="485" width="9" style="1"/>
    <col min="486" max="486" width="2.875" style="1" bestFit="1" customWidth="1"/>
    <col min="487" max="487" width="16.625" style="1" bestFit="1" customWidth="1"/>
    <col min="488" max="488" width="11.375" style="1" bestFit="1" customWidth="1"/>
    <col min="489" max="490" width="14.125" style="1" bestFit="1" customWidth="1"/>
    <col min="491" max="491" width="11.375" style="1" bestFit="1" customWidth="1"/>
    <col min="492" max="494" width="12.5" style="1" bestFit="1" customWidth="1"/>
    <col min="495" max="495" width="11" style="1" bestFit="1" customWidth="1"/>
    <col min="496" max="515" width="13" style="1" bestFit="1" customWidth="1"/>
    <col min="516" max="519" width="11" style="1" bestFit="1" customWidth="1"/>
    <col min="520" max="522" width="12.25" style="1" bestFit="1" customWidth="1"/>
    <col min="523" max="534" width="11" style="1" bestFit="1" customWidth="1"/>
    <col min="535" max="535" width="13.25" style="1" bestFit="1" customWidth="1"/>
    <col min="536" max="536" width="10" style="1" bestFit="1" customWidth="1"/>
    <col min="537" max="537" width="11" style="1" bestFit="1" customWidth="1"/>
    <col min="538" max="741" width="9" style="1"/>
    <col min="742" max="742" width="2.875" style="1" bestFit="1" customWidth="1"/>
    <col min="743" max="743" width="16.625" style="1" bestFit="1" customWidth="1"/>
    <col min="744" max="744" width="11.375" style="1" bestFit="1" customWidth="1"/>
    <col min="745" max="746" width="14.125" style="1" bestFit="1" customWidth="1"/>
    <col min="747" max="747" width="11.375" style="1" bestFit="1" customWidth="1"/>
    <col min="748" max="750" width="12.5" style="1" bestFit="1" customWidth="1"/>
    <col min="751" max="751" width="11" style="1" bestFit="1" customWidth="1"/>
    <col min="752" max="771" width="13" style="1" bestFit="1" customWidth="1"/>
    <col min="772" max="775" width="11" style="1" bestFit="1" customWidth="1"/>
    <col min="776" max="778" width="12.25" style="1" bestFit="1" customWidth="1"/>
    <col min="779" max="790" width="11" style="1" bestFit="1" customWidth="1"/>
    <col min="791" max="791" width="13.25" style="1" bestFit="1" customWidth="1"/>
    <col min="792" max="792" width="10" style="1" bestFit="1" customWidth="1"/>
    <col min="793" max="793" width="11" style="1" bestFit="1" customWidth="1"/>
    <col min="794" max="997" width="9" style="1"/>
    <col min="998" max="998" width="2.875" style="1" bestFit="1" customWidth="1"/>
    <col min="999" max="999" width="16.625" style="1" bestFit="1" customWidth="1"/>
    <col min="1000" max="1000" width="11.375" style="1" bestFit="1" customWidth="1"/>
    <col min="1001" max="1002" width="14.125" style="1" bestFit="1" customWidth="1"/>
    <col min="1003" max="1003" width="11.375" style="1" bestFit="1" customWidth="1"/>
    <col min="1004" max="1006" width="12.5" style="1" bestFit="1" customWidth="1"/>
    <col min="1007" max="1007" width="11" style="1" bestFit="1" customWidth="1"/>
    <col min="1008" max="1027" width="13" style="1" bestFit="1" customWidth="1"/>
    <col min="1028" max="1031" width="11" style="1" bestFit="1" customWidth="1"/>
    <col min="1032" max="1034" width="12.25" style="1" bestFit="1" customWidth="1"/>
    <col min="1035" max="1046" width="11" style="1" bestFit="1" customWidth="1"/>
    <col min="1047" max="1047" width="13.25" style="1" bestFit="1" customWidth="1"/>
    <col min="1048" max="1048" width="10" style="1" bestFit="1" customWidth="1"/>
    <col min="1049" max="1049" width="11" style="1" bestFit="1" customWidth="1"/>
    <col min="1050" max="1253" width="9" style="1"/>
    <col min="1254" max="1254" width="2.875" style="1" bestFit="1" customWidth="1"/>
    <col min="1255" max="1255" width="16.625" style="1" bestFit="1" customWidth="1"/>
    <col min="1256" max="1256" width="11.375" style="1" bestFit="1" customWidth="1"/>
    <col min="1257" max="1258" width="14.125" style="1" bestFit="1" customWidth="1"/>
    <col min="1259" max="1259" width="11.375" style="1" bestFit="1" customWidth="1"/>
    <col min="1260" max="1262" width="12.5" style="1" bestFit="1" customWidth="1"/>
    <col min="1263" max="1263" width="11" style="1" bestFit="1" customWidth="1"/>
    <col min="1264" max="1283" width="13" style="1" bestFit="1" customWidth="1"/>
    <col min="1284" max="1287" width="11" style="1" bestFit="1" customWidth="1"/>
    <col min="1288" max="1290" width="12.25" style="1" bestFit="1" customWidth="1"/>
    <col min="1291" max="1302" width="11" style="1" bestFit="1" customWidth="1"/>
    <col min="1303" max="1303" width="13.25" style="1" bestFit="1" customWidth="1"/>
    <col min="1304" max="1304" width="10" style="1" bestFit="1" customWidth="1"/>
    <col min="1305" max="1305" width="11" style="1" bestFit="1" customWidth="1"/>
    <col min="1306" max="1509" width="9" style="1"/>
    <col min="1510" max="1510" width="2.875" style="1" bestFit="1" customWidth="1"/>
    <col min="1511" max="1511" width="16.625" style="1" bestFit="1" customWidth="1"/>
    <col min="1512" max="1512" width="11.375" style="1" bestFit="1" customWidth="1"/>
    <col min="1513" max="1514" width="14.125" style="1" bestFit="1" customWidth="1"/>
    <col min="1515" max="1515" width="11.375" style="1" bestFit="1" customWidth="1"/>
    <col min="1516" max="1518" width="12.5" style="1" bestFit="1" customWidth="1"/>
    <col min="1519" max="1519" width="11" style="1" bestFit="1" customWidth="1"/>
    <col min="1520" max="1539" width="13" style="1" bestFit="1" customWidth="1"/>
    <col min="1540" max="1543" width="11" style="1" bestFit="1" customWidth="1"/>
    <col min="1544" max="1546" width="12.25" style="1" bestFit="1" customWidth="1"/>
    <col min="1547" max="1558" width="11" style="1" bestFit="1" customWidth="1"/>
    <col min="1559" max="1559" width="13.25" style="1" bestFit="1" customWidth="1"/>
    <col min="1560" max="1560" width="10" style="1" bestFit="1" customWidth="1"/>
    <col min="1561" max="1561" width="11" style="1" bestFit="1" customWidth="1"/>
    <col min="1562" max="1765" width="9" style="1"/>
    <col min="1766" max="1766" width="2.875" style="1" bestFit="1" customWidth="1"/>
    <col min="1767" max="1767" width="16.625" style="1" bestFit="1" customWidth="1"/>
    <col min="1768" max="1768" width="11.375" style="1" bestFit="1" customWidth="1"/>
    <col min="1769" max="1770" width="14.125" style="1" bestFit="1" customWidth="1"/>
    <col min="1771" max="1771" width="11.375" style="1" bestFit="1" customWidth="1"/>
    <col min="1772" max="1774" width="12.5" style="1" bestFit="1" customWidth="1"/>
    <col min="1775" max="1775" width="11" style="1" bestFit="1" customWidth="1"/>
    <col min="1776" max="1795" width="13" style="1" bestFit="1" customWidth="1"/>
    <col min="1796" max="1799" width="11" style="1" bestFit="1" customWidth="1"/>
    <col min="1800" max="1802" width="12.25" style="1" bestFit="1" customWidth="1"/>
    <col min="1803" max="1814" width="11" style="1" bestFit="1" customWidth="1"/>
    <col min="1815" max="1815" width="13.25" style="1" bestFit="1" customWidth="1"/>
    <col min="1816" max="1816" width="10" style="1" bestFit="1" customWidth="1"/>
    <col min="1817" max="1817" width="11" style="1" bestFit="1" customWidth="1"/>
    <col min="1818" max="2021" width="9" style="1"/>
    <col min="2022" max="2022" width="2.875" style="1" bestFit="1" customWidth="1"/>
    <col min="2023" max="2023" width="16.625" style="1" bestFit="1" customWidth="1"/>
    <col min="2024" max="2024" width="11.375" style="1" bestFit="1" customWidth="1"/>
    <col min="2025" max="2026" width="14.125" style="1" bestFit="1" customWidth="1"/>
    <col min="2027" max="2027" width="11.375" style="1" bestFit="1" customWidth="1"/>
    <col min="2028" max="2030" width="12.5" style="1" bestFit="1" customWidth="1"/>
    <col min="2031" max="2031" width="11" style="1" bestFit="1" customWidth="1"/>
    <col min="2032" max="2051" width="13" style="1" bestFit="1" customWidth="1"/>
    <col min="2052" max="2055" width="11" style="1" bestFit="1" customWidth="1"/>
    <col min="2056" max="2058" width="12.25" style="1" bestFit="1" customWidth="1"/>
    <col min="2059" max="2070" width="11" style="1" bestFit="1" customWidth="1"/>
    <col min="2071" max="2071" width="13.25" style="1" bestFit="1" customWidth="1"/>
    <col min="2072" max="2072" width="10" style="1" bestFit="1" customWidth="1"/>
    <col min="2073" max="2073" width="11" style="1" bestFit="1" customWidth="1"/>
    <col min="2074" max="2277" width="9" style="1"/>
    <col min="2278" max="2278" width="2.875" style="1" bestFit="1" customWidth="1"/>
    <col min="2279" max="2279" width="16.625" style="1" bestFit="1" customWidth="1"/>
    <col min="2280" max="2280" width="11.375" style="1" bestFit="1" customWidth="1"/>
    <col min="2281" max="2282" width="14.125" style="1" bestFit="1" customWidth="1"/>
    <col min="2283" max="2283" width="11.375" style="1" bestFit="1" customWidth="1"/>
    <col min="2284" max="2286" width="12.5" style="1" bestFit="1" customWidth="1"/>
    <col min="2287" max="2287" width="11" style="1" bestFit="1" customWidth="1"/>
    <col min="2288" max="2307" width="13" style="1" bestFit="1" customWidth="1"/>
    <col min="2308" max="2311" width="11" style="1" bestFit="1" customWidth="1"/>
    <col min="2312" max="2314" width="12.25" style="1" bestFit="1" customWidth="1"/>
    <col min="2315" max="2326" width="11" style="1" bestFit="1" customWidth="1"/>
    <col min="2327" max="2327" width="13.25" style="1" bestFit="1" customWidth="1"/>
    <col min="2328" max="2328" width="10" style="1" bestFit="1" customWidth="1"/>
    <col min="2329" max="2329" width="11" style="1" bestFit="1" customWidth="1"/>
    <col min="2330" max="2533" width="9" style="1"/>
    <col min="2534" max="2534" width="2.875" style="1" bestFit="1" customWidth="1"/>
    <col min="2535" max="2535" width="16.625" style="1" bestFit="1" customWidth="1"/>
    <col min="2536" max="2536" width="11.375" style="1" bestFit="1" customWidth="1"/>
    <col min="2537" max="2538" width="14.125" style="1" bestFit="1" customWidth="1"/>
    <col min="2539" max="2539" width="11.375" style="1" bestFit="1" customWidth="1"/>
    <col min="2540" max="2542" width="12.5" style="1" bestFit="1" customWidth="1"/>
    <col min="2543" max="2543" width="11" style="1" bestFit="1" customWidth="1"/>
    <col min="2544" max="2563" width="13" style="1" bestFit="1" customWidth="1"/>
    <col min="2564" max="2567" width="11" style="1" bestFit="1" customWidth="1"/>
    <col min="2568" max="2570" width="12.25" style="1" bestFit="1" customWidth="1"/>
    <col min="2571" max="2582" width="11" style="1" bestFit="1" customWidth="1"/>
    <col min="2583" max="2583" width="13.25" style="1" bestFit="1" customWidth="1"/>
    <col min="2584" max="2584" width="10" style="1" bestFit="1" customWidth="1"/>
    <col min="2585" max="2585" width="11" style="1" bestFit="1" customWidth="1"/>
    <col min="2586" max="2789" width="9" style="1"/>
    <col min="2790" max="2790" width="2.875" style="1" bestFit="1" customWidth="1"/>
    <col min="2791" max="2791" width="16.625" style="1" bestFit="1" customWidth="1"/>
    <col min="2792" max="2792" width="11.375" style="1" bestFit="1" customWidth="1"/>
    <col min="2793" max="2794" width="14.125" style="1" bestFit="1" customWidth="1"/>
    <col min="2795" max="2795" width="11.375" style="1" bestFit="1" customWidth="1"/>
    <col min="2796" max="2798" width="12.5" style="1" bestFit="1" customWidth="1"/>
    <col min="2799" max="2799" width="11" style="1" bestFit="1" customWidth="1"/>
    <col min="2800" max="2819" width="13" style="1" bestFit="1" customWidth="1"/>
    <col min="2820" max="2823" width="11" style="1" bestFit="1" customWidth="1"/>
    <col min="2824" max="2826" width="12.25" style="1" bestFit="1" customWidth="1"/>
    <col min="2827" max="2838" width="11" style="1" bestFit="1" customWidth="1"/>
    <col min="2839" max="2839" width="13.25" style="1" bestFit="1" customWidth="1"/>
    <col min="2840" max="2840" width="10" style="1" bestFit="1" customWidth="1"/>
    <col min="2841" max="2841" width="11" style="1" bestFit="1" customWidth="1"/>
    <col min="2842" max="3045" width="9" style="1"/>
    <col min="3046" max="3046" width="2.875" style="1" bestFit="1" customWidth="1"/>
    <col min="3047" max="3047" width="16.625" style="1" bestFit="1" customWidth="1"/>
    <col min="3048" max="3048" width="11.375" style="1" bestFit="1" customWidth="1"/>
    <col min="3049" max="3050" width="14.125" style="1" bestFit="1" customWidth="1"/>
    <col min="3051" max="3051" width="11.375" style="1" bestFit="1" customWidth="1"/>
    <col min="3052" max="3054" width="12.5" style="1" bestFit="1" customWidth="1"/>
    <col min="3055" max="3055" width="11" style="1" bestFit="1" customWidth="1"/>
    <col min="3056" max="3075" width="13" style="1" bestFit="1" customWidth="1"/>
    <col min="3076" max="3079" width="11" style="1" bestFit="1" customWidth="1"/>
    <col min="3080" max="3082" width="12.25" style="1" bestFit="1" customWidth="1"/>
    <col min="3083" max="3094" width="11" style="1" bestFit="1" customWidth="1"/>
    <col min="3095" max="3095" width="13.25" style="1" bestFit="1" customWidth="1"/>
    <col min="3096" max="3096" width="10" style="1" bestFit="1" customWidth="1"/>
    <col min="3097" max="3097" width="11" style="1" bestFit="1" customWidth="1"/>
    <col min="3098" max="3301" width="9" style="1"/>
    <col min="3302" max="3302" width="2.875" style="1" bestFit="1" customWidth="1"/>
    <col min="3303" max="3303" width="16.625" style="1" bestFit="1" customWidth="1"/>
    <col min="3304" max="3304" width="11.375" style="1" bestFit="1" customWidth="1"/>
    <col min="3305" max="3306" width="14.125" style="1" bestFit="1" customWidth="1"/>
    <col min="3307" max="3307" width="11.375" style="1" bestFit="1" customWidth="1"/>
    <col min="3308" max="3310" width="12.5" style="1" bestFit="1" customWidth="1"/>
    <col min="3311" max="3311" width="11" style="1" bestFit="1" customWidth="1"/>
    <col min="3312" max="3331" width="13" style="1" bestFit="1" customWidth="1"/>
    <col min="3332" max="3335" width="11" style="1" bestFit="1" customWidth="1"/>
    <col min="3336" max="3338" width="12.25" style="1" bestFit="1" customWidth="1"/>
    <col min="3339" max="3350" width="11" style="1" bestFit="1" customWidth="1"/>
    <col min="3351" max="3351" width="13.25" style="1" bestFit="1" customWidth="1"/>
    <col min="3352" max="3352" width="10" style="1" bestFit="1" customWidth="1"/>
    <col min="3353" max="3353" width="11" style="1" bestFit="1" customWidth="1"/>
    <col min="3354" max="3557" width="9" style="1"/>
    <col min="3558" max="3558" width="2.875" style="1" bestFit="1" customWidth="1"/>
    <col min="3559" max="3559" width="16.625" style="1" bestFit="1" customWidth="1"/>
    <col min="3560" max="3560" width="11.375" style="1" bestFit="1" customWidth="1"/>
    <col min="3561" max="3562" width="14.125" style="1" bestFit="1" customWidth="1"/>
    <col min="3563" max="3563" width="11.375" style="1" bestFit="1" customWidth="1"/>
    <col min="3564" max="3566" width="12.5" style="1" bestFit="1" customWidth="1"/>
    <col min="3567" max="3567" width="11" style="1" bestFit="1" customWidth="1"/>
    <col min="3568" max="3587" width="13" style="1" bestFit="1" customWidth="1"/>
    <col min="3588" max="3591" width="11" style="1" bestFit="1" customWidth="1"/>
    <col min="3592" max="3594" width="12.25" style="1" bestFit="1" customWidth="1"/>
    <col min="3595" max="3606" width="11" style="1" bestFit="1" customWidth="1"/>
    <col min="3607" max="3607" width="13.25" style="1" bestFit="1" customWidth="1"/>
    <col min="3608" max="3608" width="10" style="1" bestFit="1" customWidth="1"/>
    <col min="3609" max="3609" width="11" style="1" bestFit="1" customWidth="1"/>
    <col min="3610" max="3813" width="9" style="1"/>
    <col min="3814" max="3814" width="2.875" style="1" bestFit="1" customWidth="1"/>
    <col min="3815" max="3815" width="16.625" style="1" bestFit="1" customWidth="1"/>
    <col min="3816" max="3816" width="11.375" style="1" bestFit="1" customWidth="1"/>
    <col min="3817" max="3818" width="14.125" style="1" bestFit="1" customWidth="1"/>
    <col min="3819" max="3819" width="11.375" style="1" bestFit="1" customWidth="1"/>
    <col min="3820" max="3822" width="12.5" style="1" bestFit="1" customWidth="1"/>
    <col min="3823" max="3823" width="11" style="1" bestFit="1" customWidth="1"/>
    <col min="3824" max="3843" width="13" style="1" bestFit="1" customWidth="1"/>
    <col min="3844" max="3847" width="11" style="1" bestFit="1" customWidth="1"/>
    <col min="3848" max="3850" width="12.25" style="1" bestFit="1" customWidth="1"/>
    <col min="3851" max="3862" width="11" style="1" bestFit="1" customWidth="1"/>
    <col min="3863" max="3863" width="13.25" style="1" bestFit="1" customWidth="1"/>
    <col min="3864" max="3864" width="10" style="1" bestFit="1" customWidth="1"/>
    <col min="3865" max="3865" width="11" style="1" bestFit="1" customWidth="1"/>
    <col min="3866" max="4069" width="9" style="1"/>
    <col min="4070" max="4070" width="2.875" style="1" bestFit="1" customWidth="1"/>
    <col min="4071" max="4071" width="16.625" style="1" bestFit="1" customWidth="1"/>
    <col min="4072" max="4072" width="11.375" style="1" bestFit="1" customWidth="1"/>
    <col min="4073" max="4074" width="14.125" style="1" bestFit="1" customWidth="1"/>
    <col min="4075" max="4075" width="11.375" style="1" bestFit="1" customWidth="1"/>
    <col min="4076" max="4078" width="12.5" style="1" bestFit="1" customWidth="1"/>
    <col min="4079" max="4079" width="11" style="1" bestFit="1" customWidth="1"/>
    <col min="4080" max="4099" width="13" style="1" bestFit="1" customWidth="1"/>
    <col min="4100" max="4103" width="11" style="1" bestFit="1" customWidth="1"/>
    <col min="4104" max="4106" width="12.25" style="1" bestFit="1" customWidth="1"/>
    <col min="4107" max="4118" width="11" style="1" bestFit="1" customWidth="1"/>
    <col min="4119" max="4119" width="13.25" style="1" bestFit="1" customWidth="1"/>
    <col min="4120" max="4120" width="10" style="1" bestFit="1" customWidth="1"/>
    <col min="4121" max="4121" width="11" style="1" bestFit="1" customWidth="1"/>
    <col min="4122" max="4325" width="9" style="1"/>
    <col min="4326" max="4326" width="2.875" style="1" bestFit="1" customWidth="1"/>
    <col min="4327" max="4327" width="16.625" style="1" bestFit="1" customWidth="1"/>
    <col min="4328" max="4328" width="11.375" style="1" bestFit="1" customWidth="1"/>
    <col min="4329" max="4330" width="14.125" style="1" bestFit="1" customWidth="1"/>
    <col min="4331" max="4331" width="11.375" style="1" bestFit="1" customWidth="1"/>
    <col min="4332" max="4334" width="12.5" style="1" bestFit="1" customWidth="1"/>
    <col min="4335" max="4335" width="11" style="1" bestFit="1" customWidth="1"/>
    <col min="4336" max="4355" width="13" style="1" bestFit="1" customWidth="1"/>
    <col min="4356" max="4359" width="11" style="1" bestFit="1" customWidth="1"/>
    <col min="4360" max="4362" width="12.25" style="1" bestFit="1" customWidth="1"/>
    <col min="4363" max="4374" width="11" style="1" bestFit="1" customWidth="1"/>
    <col min="4375" max="4375" width="13.25" style="1" bestFit="1" customWidth="1"/>
    <col min="4376" max="4376" width="10" style="1" bestFit="1" customWidth="1"/>
    <col min="4377" max="4377" width="11" style="1" bestFit="1" customWidth="1"/>
    <col min="4378" max="4581" width="9" style="1"/>
    <col min="4582" max="4582" width="2.875" style="1" bestFit="1" customWidth="1"/>
    <col min="4583" max="4583" width="16.625" style="1" bestFit="1" customWidth="1"/>
    <col min="4584" max="4584" width="11.375" style="1" bestFit="1" customWidth="1"/>
    <col min="4585" max="4586" width="14.125" style="1" bestFit="1" customWidth="1"/>
    <col min="4587" max="4587" width="11.375" style="1" bestFit="1" customWidth="1"/>
    <col min="4588" max="4590" width="12.5" style="1" bestFit="1" customWidth="1"/>
    <col min="4591" max="4591" width="11" style="1" bestFit="1" customWidth="1"/>
    <col min="4592" max="4611" width="13" style="1" bestFit="1" customWidth="1"/>
    <col min="4612" max="4615" width="11" style="1" bestFit="1" customWidth="1"/>
    <col min="4616" max="4618" width="12.25" style="1" bestFit="1" customWidth="1"/>
    <col min="4619" max="4630" width="11" style="1" bestFit="1" customWidth="1"/>
    <col min="4631" max="4631" width="13.25" style="1" bestFit="1" customWidth="1"/>
    <col min="4632" max="4632" width="10" style="1" bestFit="1" customWidth="1"/>
    <col min="4633" max="4633" width="11" style="1" bestFit="1" customWidth="1"/>
    <col min="4634" max="4837" width="9" style="1"/>
    <col min="4838" max="4838" width="2.875" style="1" bestFit="1" customWidth="1"/>
    <col min="4839" max="4839" width="16.625" style="1" bestFit="1" customWidth="1"/>
    <col min="4840" max="4840" width="11.375" style="1" bestFit="1" customWidth="1"/>
    <col min="4841" max="4842" width="14.125" style="1" bestFit="1" customWidth="1"/>
    <col min="4843" max="4843" width="11.375" style="1" bestFit="1" customWidth="1"/>
    <col min="4844" max="4846" width="12.5" style="1" bestFit="1" customWidth="1"/>
    <col min="4847" max="4847" width="11" style="1" bestFit="1" customWidth="1"/>
    <col min="4848" max="4867" width="13" style="1" bestFit="1" customWidth="1"/>
    <col min="4868" max="4871" width="11" style="1" bestFit="1" customWidth="1"/>
    <col min="4872" max="4874" width="12.25" style="1" bestFit="1" customWidth="1"/>
    <col min="4875" max="4886" width="11" style="1" bestFit="1" customWidth="1"/>
    <col min="4887" max="4887" width="13.25" style="1" bestFit="1" customWidth="1"/>
    <col min="4888" max="4888" width="10" style="1" bestFit="1" customWidth="1"/>
    <col min="4889" max="4889" width="11" style="1" bestFit="1" customWidth="1"/>
    <col min="4890" max="5093" width="9" style="1"/>
    <col min="5094" max="5094" width="2.875" style="1" bestFit="1" customWidth="1"/>
    <col min="5095" max="5095" width="16.625" style="1" bestFit="1" customWidth="1"/>
    <col min="5096" max="5096" width="11.375" style="1" bestFit="1" customWidth="1"/>
    <col min="5097" max="5098" width="14.125" style="1" bestFit="1" customWidth="1"/>
    <col min="5099" max="5099" width="11.375" style="1" bestFit="1" customWidth="1"/>
    <col min="5100" max="5102" width="12.5" style="1" bestFit="1" customWidth="1"/>
    <col min="5103" max="5103" width="11" style="1" bestFit="1" customWidth="1"/>
    <col min="5104" max="5123" width="13" style="1" bestFit="1" customWidth="1"/>
    <col min="5124" max="5127" width="11" style="1" bestFit="1" customWidth="1"/>
    <col min="5128" max="5130" width="12.25" style="1" bestFit="1" customWidth="1"/>
    <col min="5131" max="5142" width="11" style="1" bestFit="1" customWidth="1"/>
    <col min="5143" max="5143" width="13.25" style="1" bestFit="1" customWidth="1"/>
    <col min="5144" max="5144" width="10" style="1" bestFit="1" customWidth="1"/>
    <col min="5145" max="5145" width="11" style="1" bestFit="1" customWidth="1"/>
    <col min="5146" max="5349" width="9" style="1"/>
    <col min="5350" max="5350" width="2.875" style="1" bestFit="1" customWidth="1"/>
    <col min="5351" max="5351" width="16.625" style="1" bestFit="1" customWidth="1"/>
    <col min="5352" max="5352" width="11.375" style="1" bestFit="1" customWidth="1"/>
    <col min="5353" max="5354" width="14.125" style="1" bestFit="1" customWidth="1"/>
    <col min="5355" max="5355" width="11.375" style="1" bestFit="1" customWidth="1"/>
    <col min="5356" max="5358" width="12.5" style="1" bestFit="1" customWidth="1"/>
    <col min="5359" max="5359" width="11" style="1" bestFit="1" customWidth="1"/>
    <col min="5360" max="5379" width="13" style="1" bestFit="1" customWidth="1"/>
    <col min="5380" max="5383" width="11" style="1" bestFit="1" customWidth="1"/>
    <col min="5384" max="5386" width="12.25" style="1" bestFit="1" customWidth="1"/>
    <col min="5387" max="5398" width="11" style="1" bestFit="1" customWidth="1"/>
    <col min="5399" max="5399" width="13.25" style="1" bestFit="1" customWidth="1"/>
    <col min="5400" max="5400" width="10" style="1" bestFit="1" customWidth="1"/>
    <col min="5401" max="5401" width="11" style="1" bestFit="1" customWidth="1"/>
    <col min="5402" max="5605" width="9" style="1"/>
    <col min="5606" max="5606" width="2.875" style="1" bestFit="1" customWidth="1"/>
    <col min="5607" max="5607" width="16.625" style="1" bestFit="1" customWidth="1"/>
    <col min="5608" max="5608" width="11.375" style="1" bestFit="1" customWidth="1"/>
    <col min="5609" max="5610" width="14.125" style="1" bestFit="1" customWidth="1"/>
    <col min="5611" max="5611" width="11.375" style="1" bestFit="1" customWidth="1"/>
    <col min="5612" max="5614" width="12.5" style="1" bestFit="1" customWidth="1"/>
    <col min="5615" max="5615" width="11" style="1" bestFit="1" customWidth="1"/>
    <col min="5616" max="5635" width="13" style="1" bestFit="1" customWidth="1"/>
    <col min="5636" max="5639" width="11" style="1" bestFit="1" customWidth="1"/>
    <col min="5640" max="5642" width="12.25" style="1" bestFit="1" customWidth="1"/>
    <col min="5643" max="5654" width="11" style="1" bestFit="1" customWidth="1"/>
    <col min="5655" max="5655" width="13.25" style="1" bestFit="1" customWidth="1"/>
    <col min="5656" max="5656" width="10" style="1" bestFit="1" customWidth="1"/>
    <col min="5657" max="5657" width="11" style="1" bestFit="1" customWidth="1"/>
    <col min="5658" max="5861" width="9" style="1"/>
    <col min="5862" max="5862" width="2.875" style="1" bestFit="1" customWidth="1"/>
    <col min="5863" max="5863" width="16.625" style="1" bestFit="1" customWidth="1"/>
    <col min="5864" max="5864" width="11.375" style="1" bestFit="1" customWidth="1"/>
    <col min="5865" max="5866" width="14.125" style="1" bestFit="1" customWidth="1"/>
    <col min="5867" max="5867" width="11.375" style="1" bestFit="1" customWidth="1"/>
    <col min="5868" max="5870" width="12.5" style="1" bestFit="1" customWidth="1"/>
    <col min="5871" max="5871" width="11" style="1" bestFit="1" customWidth="1"/>
    <col min="5872" max="5891" width="13" style="1" bestFit="1" customWidth="1"/>
    <col min="5892" max="5895" width="11" style="1" bestFit="1" customWidth="1"/>
    <col min="5896" max="5898" width="12.25" style="1" bestFit="1" customWidth="1"/>
    <col min="5899" max="5910" width="11" style="1" bestFit="1" customWidth="1"/>
    <col min="5911" max="5911" width="13.25" style="1" bestFit="1" customWidth="1"/>
    <col min="5912" max="5912" width="10" style="1" bestFit="1" customWidth="1"/>
    <col min="5913" max="5913" width="11" style="1" bestFit="1" customWidth="1"/>
    <col min="5914" max="6117" width="9" style="1"/>
    <col min="6118" max="6118" width="2.875" style="1" bestFit="1" customWidth="1"/>
    <col min="6119" max="6119" width="16.625" style="1" bestFit="1" customWidth="1"/>
    <col min="6120" max="6120" width="11.375" style="1" bestFit="1" customWidth="1"/>
    <col min="6121" max="6122" width="14.125" style="1" bestFit="1" customWidth="1"/>
    <col min="6123" max="6123" width="11.375" style="1" bestFit="1" customWidth="1"/>
    <col min="6124" max="6126" width="12.5" style="1" bestFit="1" customWidth="1"/>
    <col min="6127" max="6127" width="11" style="1" bestFit="1" customWidth="1"/>
    <col min="6128" max="6147" width="13" style="1" bestFit="1" customWidth="1"/>
    <col min="6148" max="6151" width="11" style="1" bestFit="1" customWidth="1"/>
    <col min="6152" max="6154" width="12.25" style="1" bestFit="1" customWidth="1"/>
    <col min="6155" max="6166" width="11" style="1" bestFit="1" customWidth="1"/>
    <col min="6167" max="6167" width="13.25" style="1" bestFit="1" customWidth="1"/>
    <col min="6168" max="6168" width="10" style="1" bestFit="1" customWidth="1"/>
    <col min="6169" max="6169" width="11" style="1" bestFit="1" customWidth="1"/>
    <col min="6170" max="6373" width="9" style="1"/>
    <col min="6374" max="6374" width="2.875" style="1" bestFit="1" customWidth="1"/>
    <col min="6375" max="6375" width="16.625" style="1" bestFit="1" customWidth="1"/>
    <col min="6376" max="6376" width="11.375" style="1" bestFit="1" customWidth="1"/>
    <col min="6377" max="6378" width="14.125" style="1" bestFit="1" customWidth="1"/>
    <col min="6379" max="6379" width="11.375" style="1" bestFit="1" customWidth="1"/>
    <col min="6380" max="6382" width="12.5" style="1" bestFit="1" customWidth="1"/>
    <col min="6383" max="6383" width="11" style="1" bestFit="1" customWidth="1"/>
    <col min="6384" max="6403" width="13" style="1" bestFit="1" customWidth="1"/>
    <col min="6404" max="6407" width="11" style="1" bestFit="1" customWidth="1"/>
    <col min="6408" max="6410" width="12.25" style="1" bestFit="1" customWidth="1"/>
    <col min="6411" max="6422" width="11" style="1" bestFit="1" customWidth="1"/>
    <col min="6423" max="6423" width="13.25" style="1" bestFit="1" customWidth="1"/>
    <col min="6424" max="6424" width="10" style="1" bestFit="1" customWidth="1"/>
    <col min="6425" max="6425" width="11" style="1" bestFit="1" customWidth="1"/>
    <col min="6426" max="6629" width="9" style="1"/>
    <col min="6630" max="6630" width="2.875" style="1" bestFit="1" customWidth="1"/>
    <col min="6631" max="6631" width="16.625" style="1" bestFit="1" customWidth="1"/>
    <col min="6632" max="6632" width="11.375" style="1" bestFit="1" customWidth="1"/>
    <col min="6633" max="6634" width="14.125" style="1" bestFit="1" customWidth="1"/>
    <col min="6635" max="6635" width="11.375" style="1" bestFit="1" customWidth="1"/>
    <col min="6636" max="6638" width="12.5" style="1" bestFit="1" customWidth="1"/>
    <col min="6639" max="6639" width="11" style="1" bestFit="1" customWidth="1"/>
    <col min="6640" max="6659" width="13" style="1" bestFit="1" customWidth="1"/>
    <col min="6660" max="6663" width="11" style="1" bestFit="1" customWidth="1"/>
    <col min="6664" max="6666" width="12.25" style="1" bestFit="1" customWidth="1"/>
    <col min="6667" max="6678" width="11" style="1" bestFit="1" customWidth="1"/>
    <col min="6679" max="6679" width="13.25" style="1" bestFit="1" customWidth="1"/>
    <col min="6680" max="6680" width="10" style="1" bestFit="1" customWidth="1"/>
    <col min="6681" max="6681" width="11" style="1" bestFit="1" customWidth="1"/>
    <col min="6682" max="6885" width="9" style="1"/>
    <col min="6886" max="6886" width="2.875" style="1" bestFit="1" customWidth="1"/>
    <col min="6887" max="6887" width="16.625" style="1" bestFit="1" customWidth="1"/>
    <col min="6888" max="6888" width="11.375" style="1" bestFit="1" customWidth="1"/>
    <col min="6889" max="6890" width="14.125" style="1" bestFit="1" customWidth="1"/>
    <col min="6891" max="6891" width="11.375" style="1" bestFit="1" customWidth="1"/>
    <col min="6892" max="6894" width="12.5" style="1" bestFit="1" customWidth="1"/>
    <col min="6895" max="6895" width="11" style="1" bestFit="1" customWidth="1"/>
    <col min="6896" max="6915" width="13" style="1" bestFit="1" customWidth="1"/>
    <col min="6916" max="6919" width="11" style="1" bestFit="1" customWidth="1"/>
    <col min="6920" max="6922" width="12.25" style="1" bestFit="1" customWidth="1"/>
    <col min="6923" max="6934" width="11" style="1" bestFit="1" customWidth="1"/>
    <col min="6935" max="6935" width="13.25" style="1" bestFit="1" customWidth="1"/>
    <col min="6936" max="6936" width="10" style="1" bestFit="1" customWidth="1"/>
    <col min="6937" max="6937" width="11" style="1" bestFit="1" customWidth="1"/>
    <col min="6938" max="7141" width="9" style="1"/>
    <col min="7142" max="7142" width="2.875" style="1" bestFit="1" customWidth="1"/>
    <col min="7143" max="7143" width="16.625" style="1" bestFit="1" customWidth="1"/>
    <col min="7144" max="7144" width="11.375" style="1" bestFit="1" customWidth="1"/>
    <col min="7145" max="7146" width="14.125" style="1" bestFit="1" customWidth="1"/>
    <col min="7147" max="7147" width="11.375" style="1" bestFit="1" customWidth="1"/>
    <col min="7148" max="7150" width="12.5" style="1" bestFit="1" customWidth="1"/>
    <col min="7151" max="7151" width="11" style="1" bestFit="1" customWidth="1"/>
    <col min="7152" max="7171" width="13" style="1" bestFit="1" customWidth="1"/>
    <col min="7172" max="7175" width="11" style="1" bestFit="1" customWidth="1"/>
    <col min="7176" max="7178" width="12.25" style="1" bestFit="1" customWidth="1"/>
    <col min="7179" max="7190" width="11" style="1" bestFit="1" customWidth="1"/>
    <col min="7191" max="7191" width="13.25" style="1" bestFit="1" customWidth="1"/>
    <col min="7192" max="7192" width="10" style="1" bestFit="1" customWidth="1"/>
    <col min="7193" max="7193" width="11" style="1" bestFit="1" customWidth="1"/>
    <col min="7194" max="7397" width="9" style="1"/>
    <col min="7398" max="7398" width="2.875" style="1" bestFit="1" customWidth="1"/>
    <col min="7399" max="7399" width="16.625" style="1" bestFit="1" customWidth="1"/>
    <col min="7400" max="7400" width="11.375" style="1" bestFit="1" customWidth="1"/>
    <col min="7401" max="7402" width="14.125" style="1" bestFit="1" customWidth="1"/>
    <col min="7403" max="7403" width="11.375" style="1" bestFit="1" customWidth="1"/>
    <col min="7404" max="7406" width="12.5" style="1" bestFit="1" customWidth="1"/>
    <col min="7407" max="7407" width="11" style="1" bestFit="1" customWidth="1"/>
    <col min="7408" max="7427" width="13" style="1" bestFit="1" customWidth="1"/>
    <col min="7428" max="7431" width="11" style="1" bestFit="1" customWidth="1"/>
    <col min="7432" max="7434" width="12.25" style="1" bestFit="1" customWidth="1"/>
    <col min="7435" max="7446" width="11" style="1" bestFit="1" customWidth="1"/>
    <col min="7447" max="7447" width="13.25" style="1" bestFit="1" customWidth="1"/>
    <col min="7448" max="7448" width="10" style="1" bestFit="1" customWidth="1"/>
    <col min="7449" max="7449" width="11" style="1" bestFit="1" customWidth="1"/>
    <col min="7450" max="7653" width="9" style="1"/>
    <col min="7654" max="7654" width="2.875" style="1" bestFit="1" customWidth="1"/>
    <col min="7655" max="7655" width="16.625" style="1" bestFit="1" customWidth="1"/>
    <col min="7656" max="7656" width="11.375" style="1" bestFit="1" customWidth="1"/>
    <col min="7657" max="7658" width="14.125" style="1" bestFit="1" customWidth="1"/>
    <col min="7659" max="7659" width="11.375" style="1" bestFit="1" customWidth="1"/>
    <col min="7660" max="7662" width="12.5" style="1" bestFit="1" customWidth="1"/>
    <col min="7663" max="7663" width="11" style="1" bestFit="1" customWidth="1"/>
    <col min="7664" max="7683" width="13" style="1" bestFit="1" customWidth="1"/>
    <col min="7684" max="7687" width="11" style="1" bestFit="1" customWidth="1"/>
    <col min="7688" max="7690" width="12.25" style="1" bestFit="1" customWidth="1"/>
    <col min="7691" max="7702" width="11" style="1" bestFit="1" customWidth="1"/>
    <col min="7703" max="7703" width="13.25" style="1" bestFit="1" customWidth="1"/>
    <col min="7704" max="7704" width="10" style="1" bestFit="1" customWidth="1"/>
    <col min="7705" max="7705" width="11" style="1" bestFit="1" customWidth="1"/>
    <col min="7706" max="7909" width="9" style="1"/>
    <col min="7910" max="7910" width="2.875" style="1" bestFit="1" customWidth="1"/>
    <col min="7911" max="7911" width="16.625" style="1" bestFit="1" customWidth="1"/>
    <col min="7912" max="7912" width="11.375" style="1" bestFit="1" customWidth="1"/>
    <col min="7913" max="7914" width="14.125" style="1" bestFit="1" customWidth="1"/>
    <col min="7915" max="7915" width="11.375" style="1" bestFit="1" customWidth="1"/>
    <col min="7916" max="7918" width="12.5" style="1" bestFit="1" customWidth="1"/>
    <col min="7919" max="7919" width="11" style="1" bestFit="1" customWidth="1"/>
    <col min="7920" max="7939" width="13" style="1" bestFit="1" customWidth="1"/>
    <col min="7940" max="7943" width="11" style="1" bestFit="1" customWidth="1"/>
    <col min="7944" max="7946" width="12.25" style="1" bestFit="1" customWidth="1"/>
    <col min="7947" max="7958" width="11" style="1" bestFit="1" customWidth="1"/>
    <col min="7959" max="7959" width="13.25" style="1" bestFit="1" customWidth="1"/>
    <col min="7960" max="7960" width="10" style="1" bestFit="1" customWidth="1"/>
    <col min="7961" max="7961" width="11" style="1" bestFit="1" customWidth="1"/>
    <col min="7962" max="8165" width="9" style="1"/>
    <col min="8166" max="8166" width="2.875" style="1" bestFit="1" customWidth="1"/>
    <col min="8167" max="8167" width="16.625" style="1" bestFit="1" customWidth="1"/>
    <col min="8168" max="8168" width="11.375" style="1" bestFit="1" customWidth="1"/>
    <col min="8169" max="8170" width="14.125" style="1" bestFit="1" customWidth="1"/>
    <col min="8171" max="8171" width="11.375" style="1" bestFit="1" customWidth="1"/>
    <col min="8172" max="8174" width="12.5" style="1" bestFit="1" customWidth="1"/>
    <col min="8175" max="8175" width="11" style="1" bestFit="1" customWidth="1"/>
    <col min="8176" max="8195" width="13" style="1" bestFit="1" customWidth="1"/>
    <col min="8196" max="8199" width="11" style="1" bestFit="1" customWidth="1"/>
    <col min="8200" max="8202" width="12.25" style="1" bestFit="1" customWidth="1"/>
    <col min="8203" max="8214" width="11" style="1" bestFit="1" customWidth="1"/>
    <col min="8215" max="8215" width="13.25" style="1" bestFit="1" customWidth="1"/>
    <col min="8216" max="8216" width="10" style="1" bestFit="1" customWidth="1"/>
    <col min="8217" max="8217" width="11" style="1" bestFit="1" customWidth="1"/>
    <col min="8218" max="8421" width="9" style="1"/>
    <col min="8422" max="8422" width="2.875" style="1" bestFit="1" customWidth="1"/>
    <col min="8423" max="8423" width="16.625" style="1" bestFit="1" customWidth="1"/>
    <col min="8424" max="8424" width="11.375" style="1" bestFit="1" customWidth="1"/>
    <col min="8425" max="8426" width="14.125" style="1" bestFit="1" customWidth="1"/>
    <col min="8427" max="8427" width="11.375" style="1" bestFit="1" customWidth="1"/>
    <col min="8428" max="8430" width="12.5" style="1" bestFit="1" customWidth="1"/>
    <col min="8431" max="8431" width="11" style="1" bestFit="1" customWidth="1"/>
    <col min="8432" max="8451" width="13" style="1" bestFit="1" customWidth="1"/>
    <col min="8452" max="8455" width="11" style="1" bestFit="1" customWidth="1"/>
    <col min="8456" max="8458" width="12.25" style="1" bestFit="1" customWidth="1"/>
    <col min="8459" max="8470" width="11" style="1" bestFit="1" customWidth="1"/>
    <col min="8471" max="8471" width="13.25" style="1" bestFit="1" customWidth="1"/>
    <col min="8472" max="8472" width="10" style="1" bestFit="1" customWidth="1"/>
    <col min="8473" max="8473" width="11" style="1" bestFit="1" customWidth="1"/>
    <col min="8474" max="8677" width="9" style="1"/>
    <col min="8678" max="8678" width="2.875" style="1" bestFit="1" customWidth="1"/>
    <col min="8679" max="8679" width="16.625" style="1" bestFit="1" customWidth="1"/>
    <col min="8680" max="8680" width="11.375" style="1" bestFit="1" customWidth="1"/>
    <col min="8681" max="8682" width="14.125" style="1" bestFit="1" customWidth="1"/>
    <col min="8683" max="8683" width="11.375" style="1" bestFit="1" customWidth="1"/>
    <col min="8684" max="8686" width="12.5" style="1" bestFit="1" customWidth="1"/>
    <col min="8687" max="8687" width="11" style="1" bestFit="1" customWidth="1"/>
    <col min="8688" max="8707" width="13" style="1" bestFit="1" customWidth="1"/>
    <col min="8708" max="8711" width="11" style="1" bestFit="1" customWidth="1"/>
    <col min="8712" max="8714" width="12.25" style="1" bestFit="1" customWidth="1"/>
    <col min="8715" max="8726" width="11" style="1" bestFit="1" customWidth="1"/>
    <col min="8727" max="8727" width="13.25" style="1" bestFit="1" customWidth="1"/>
    <col min="8728" max="8728" width="10" style="1" bestFit="1" customWidth="1"/>
    <col min="8729" max="8729" width="11" style="1" bestFit="1" customWidth="1"/>
    <col min="8730" max="8933" width="9" style="1"/>
    <col min="8934" max="8934" width="2.875" style="1" bestFit="1" customWidth="1"/>
    <col min="8935" max="8935" width="16.625" style="1" bestFit="1" customWidth="1"/>
    <col min="8936" max="8936" width="11.375" style="1" bestFit="1" customWidth="1"/>
    <col min="8937" max="8938" width="14.125" style="1" bestFit="1" customWidth="1"/>
    <col min="8939" max="8939" width="11.375" style="1" bestFit="1" customWidth="1"/>
    <col min="8940" max="8942" width="12.5" style="1" bestFit="1" customWidth="1"/>
    <col min="8943" max="8943" width="11" style="1" bestFit="1" customWidth="1"/>
    <col min="8944" max="8963" width="13" style="1" bestFit="1" customWidth="1"/>
    <col min="8964" max="8967" width="11" style="1" bestFit="1" customWidth="1"/>
    <col min="8968" max="8970" width="12.25" style="1" bestFit="1" customWidth="1"/>
    <col min="8971" max="8982" width="11" style="1" bestFit="1" customWidth="1"/>
    <col min="8983" max="8983" width="13.25" style="1" bestFit="1" customWidth="1"/>
    <col min="8984" max="8984" width="10" style="1" bestFit="1" customWidth="1"/>
    <col min="8985" max="8985" width="11" style="1" bestFit="1" customWidth="1"/>
    <col min="8986" max="9189" width="9" style="1"/>
    <col min="9190" max="9190" width="2.875" style="1" bestFit="1" customWidth="1"/>
    <col min="9191" max="9191" width="16.625" style="1" bestFit="1" customWidth="1"/>
    <col min="9192" max="9192" width="11.375" style="1" bestFit="1" customWidth="1"/>
    <col min="9193" max="9194" width="14.125" style="1" bestFit="1" customWidth="1"/>
    <col min="9195" max="9195" width="11.375" style="1" bestFit="1" customWidth="1"/>
    <col min="9196" max="9198" width="12.5" style="1" bestFit="1" customWidth="1"/>
    <col min="9199" max="9199" width="11" style="1" bestFit="1" customWidth="1"/>
    <col min="9200" max="9219" width="13" style="1" bestFit="1" customWidth="1"/>
    <col min="9220" max="9223" width="11" style="1" bestFit="1" customWidth="1"/>
    <col min="9224" max="9226" width="12.25" style="1" bestFit="1" customWidth="1"/>
    <col min="9227" max="9238" width="11" style="1" bestFit="1" customWidth="1"/>
    <col min="9239" max="9239" width="13.25" style="1" bestFit="1" customWidth="1"/>
    <col min="9240" max="9240" width="10" style="1" bestFit="1" customWidth="1"/>
    <col min="9241" max="9241" width="11" style="1" bestFit="1" customWidth="1"/>
    <col min="9242" max="9445" width="9" style="1"/>
    <col min="9446" max="9446" width="2.875" style="1" bestFit="1" customWidth="1"/>
    <col min="9447" max="9447" width="16.625" style="1" bestFit="1" customWidth="1"/>
    <col min="9448" max="9448" width="11.375" style="1" bestFit="1" customWidth="1"/>
    <col min="9449" max="9450" width="14.125" style="1" bestFit="1" customWidth="1"/>
    <col min="9451" max="9451" width="11.375" style="1" bestFit="1" customWidth="1"/>
    <col min="9452" max="9454" width="12.5" style="1" bestFit="1" customWidth="1"/>
    <col min="9455" max="9455" width="11" style="1" bestFit="1" customWidth="1"/>
    <col min="9456" max="9475" width="13" style="1" bestFit="1" customWidth="1"/>
    <col min="9476" max="9479" width="11" style="1" bestFit="1" customWidth="1"/>
    <col min="9480" max="9482" width="12.25" style="1" bestFit="1" customWidth="1"/>
    <col min="9483" max="9494" width="11" style="1" bestFit="1" customWidth="1"/>
    <col min="9495" max="9495" width="13.25" style="1" bestFit="1" customWidth="1"/>
    <col min="9496" max="9496" width="10" style="1" bestFit="1" customWidth="1"/>
    <col min="9497" max="9497" width="11" style="1" bestFit="1" customWidth="1"/>
    <col min="9498" max="9701" width="9" style="1"/>
    <col min="9702" max="9702" width="2.875" style="1" bestFit="1" customWidth="1"/>
    <col min="9703" max="9703" width="16.625" style="1" bestFit="1" customWidth="1"/>
    <col min="9704" max="9704" width="11.375" style="1" bestFit="1" customWidth="1"/>
    <col min="9705" max="9706" width="14.125" style="1" bestFit="1" customWidth="1"/>
    <col min="9707" max="9707" width="11.375" style="1" bestFit="1" customWidth="1"/>
    <col min="9708" max="9710" width="12.5" style="1" bestFit="1" customWidth="1"/>
    <col min="9711" max="9711" width="11" style="1" bestFit="1" customWidth="1"/>
    <col min="9712" max="9731" width="13" style="1" bestFit="1" customWidth="1"/>
    <col min="9732" max="9735" width="11" style="1" bestFit="1" customWidth="1"/>
    <col min="9736" max="9738" width="12.25" style="1" bestFit="1" customWidth="1"/>
    <col min="9739" max="9750" width="11" style="1" bestFit="1" customWidth="1"/>
    <col min="9751" max="9751" width="13.25" style="1" bestFit="1" customWidth="1"/>
    <col min="9752" max="9752" width="10" style="1" bestFit="1" customWidth="1"/>
    <col min="9753" max="9753" width="11" style="1" bestFit="1" customWidth="1"/>
    <col min="9754" max="9957" width="9" style="1"/>
    <col min="9958" max="9958" width="2.875" style="1" bestFit="1" customWidth="1"/>
    <col min="9959" max="9959" width="16.625" style="1" bestFit="1" customWidth="1"/>
    <col min="9960" max="9960" width="11.375" style="1" bestFit="1" customWidth="1"/>
    <col min="9961" max="9962" width="14.125" style="1" bestFit="1" customWidth="1"/>
    <col min="9963" max="9963" width="11.375" style="1" bestFit="1" customWidth="1"/>
    <col min="9964" max="9966" width="12.5" style="1" bestFit="1" customWidth="1"/>
    <col min="9967" max="9967" width="11" style="1" bestFit="1" customWidth="1"/>
    <col min="9968" max="9987" width="13" style="1" bestFit="1" customWidth="1"/>
    <col min="9988" max="9991" width="11" style="1" bestFit="1" customWidth="1"/>
    <col min="9992" max="9994" width="12.25" style="1" bestFit="1" customWidth="1"/>
    <col min="9995" max="10006" width="11" style="1" bestFit="1" customWidth="1"/>
    <col min="10007" max="10007" width="13.25" style="1" bestFit="1" customWidth="1"/>
    <col min="10008" max="10008" width="10" style="1" bestFit="1" customWidth="1"/>
    <col min="10009" max="10009" width="11" style="1" bestFit="1" customWidth="1"/>
    <col min="10010" max="10213" width="9" style="1"/>
    <col min="10214" max="10214" width="2.875" style="1" bestFit="1" customWidth="1"/>
    <col min="10215" max="10215" width="16.625" style="1" bestFit="1" customWidth="1"/>
    <col min="10216" max="10216" width="11.375" style="1" bestFit="1" customWidth="1"/>
    <col min="10217" max="10218" width="14.125" style="1" bestFit="1" customWidth="1"/>
    <col min="10219" max="10219" width="11.375" style="1" bestFit="1" customWidth="1"/>
    <col min="10220" max="10222" width="12.5" style="1" bestFit="1" customWidth="1"/>
    <col min="10223" max="10223" width="11" style="1" bestFit="1" customWidth="1"/>
    <col min="10224" max="10243" width="13" style="1" bestFit="1" customWidth="1"/>
    <col min="10244" max="10247" width="11" style="1" bestFit="1" customWidth="1"/>
    <col min="10248" max="10250" width="12.25" style="1" bestFit="1" customWidth="1"/>
    <col min="10251" max="10262" width="11" style="1" bestFit="1" customWidth="1"/>
    <col min="10263" max="10263" width="13.25" style="1" bestFit="1" customWidth="1"/>
    <col min="10264" max="10264" width="10" style="1" bestFit="1" customWidth="1"/>
    <col min="10265" max="10265" width="11" style="1" bestFit="1" customWidth="1"/>
    <col min="10266" max="10469" width="9" style="1"/>
    <col min="10470" max="10470" width="2.875" style="1" bestFit="1" customWidth="1"/>
    <col min="10471" max="10471" width="16.625" style="1" bestFit="1" customWidth="1"/>
    <col min="10472" max="10472" width="11.375" style="1" bestFit="1" customWidth="1"/>
    <col min="10473" max="10474" width="14.125" style="1" bestFit="1" customWidth="1"/>
    <col min="10475" max="10475" width="11.375" style="1" bestFit="1" customWidth="1"/>
    <col min="10476" max="10478" width="12.5" style="1" bestFit="1" customWidth="1"/>
    <col min="10479" max="10479" width="11" style="1" bestFit="1" customWidth="1"/>
    <col min="10480" max="10499" width="13" style="1" bestFit="1" customWidth="1"/>
    <col min="10500" max="10503" width="11" style="1" bestFit="1" customWidth="1"/>
    <col min="10504" max="10506" width="12.25" style="1" bestFit="1" customWidth="1"/>
    <col min="10507" max="10518" width="11" style="1" bestFit="1" customWidth="1"/>
    <col min="10519" max="10519" width="13.25" style="1" bestFit="1" customWidth="1"/>
    <col min="10520" max="10520" width="10" style="1" bestFit="1" customWidth="1"/>
    <col min="10521" max="10521" width="11" style="1" bestFit="1" customWidth="1"/>
    <col min="10522" max="10725" width="9" style="1"/>
    <col min="10726" max="10726" width="2.875" style="1" bestFit="1" customWidth="1"/>
    <col min="10727" max="10727" width="16.625" style="1" bestFit="1" customWidth="1"/>
    <col min="10728" max="10728" width="11.375" style="1" bestFit="1" customWidth="1"/>
    <col min="10729" max="10730" width="14.125" style="1" bestFit="1" customWidth="1"/>
    <col min="10731" max="10731" width="11.375" style="1" bestFit="1" customWidth="1"/>
    <col min="10732" max="10734" width="12.5" style="1" bestFit="1" customWidth="1"/>
    <col min="10735" max="10735" width="11" style="1" bestFit="1" customWidth="1"/>
    <col min="10736" max="10755" width="13" style="1" bestFit="1" customWidth="1"/>
    <col min="10756" max="10759" width="11" style="1" bestFit="1" customWidth="1"/>
    <col min="10760" max="10762" width="12.25" style="1" bestFit="1" customWidth="1"/>
    <col min="10763" max="10774" width="11" style="1" bestFit="1" customWidth="1"/>
    <col min="10775" max="10775" width="13.25" style="1" bestFit="1" customWidth="1"/>
    <col min="10776" max="10776" width="10" style="1" bestFit="1" customWidth="1"/>
    <col min="10777" max="10777" width="11" style="1" bestFit="1" customWidth="1"/>
    <col min="10778" max="10981" width="9" style="1"/>
    <col min="10982" max="10982" width="2.875" style="1" bestFit="1" customWidth="1"/>
    <col min="10983" max="10983" width="16.625" style="1" bestFit="1" customWidth="1"/>
    <col min="10984" max="10984" width="11.375" style="1" bestFit="1" customWidth="1"/>
    <col min="10985" max="10986" width="14.125" style="1" bestFit="1" customWidth="1"/>
    <col min="10987" max="10987" width="11.375" style="1" bestFit="1" customWidth="1"/>
    <col min="10988" max="10990" width="12.5" style="1" bestFit="1" customWidth="1"/>
    <col min="10991" max="10991" width="11" style="1" bestFit="1" customWidth="1"/>
    <col min="10992" max="11011" width="13" style="1" bestFit="1" customWidth="1"/>
    <col min="11012" max="11015" width="11" style="1" bestFit="1" customWidth="1"/>
    <col min="11016" max="11018" width="12.25" style="1" bestFit="1" customWidth="1"/>
    <col min="11019" max="11030" width="11" style="1" bestFit="1" customWidth="1"/>
    <col min="11031" max="11031" width="13.25" style="1" bestFit="1" customWidth="1"/>
    <col min="11032" max="11032" width="10" style="1" bestFit="1" customWidth="1"/>
    <col min="11033" max="11033" width="11" style="1" bestFit="1" customWidth="1"/>
    <col min="11034" max="11237" width="9" style="1"/>
    <col min="11238" max="11238" width="2.875" style="1" bestFit="1" customWidth="1"/>
    <col min="11239" max="11239" width="16.625" style="1" bestFit="1" customWidth="1"/>
    <col min="11240" max="11240" width="11.375" style="1" bestFit="1" customWidth="1"/>
    <col min="11241" max="11242" width="14.125" style="1" bestFit="1" customWidth="1"/>
    <col min="11243" max="11243" width="11.375" style="1" bestFit="1" customWidth="1"/>
    <col min="11244" max="11246" width="12.5" style="1" bestFit="1" customWidth="1"/>
    <col min="11247" max="11247" width="11" style="1" bestFit="1" customWidth="1"/>
    <col min="11248" max="11267" width="13" style="1" bestFit="1" customWidth="1"/>
    <col min="11268" max="11271" width="11" style="1" bestFit="1" customWidth="1"/>
    <col min="11272" max="11274" width="12.25" style="1" bestFit="1" customWidth="1"/>
    <col min="11275" max="11286" width="11" style="1" bestFit="1" customWidth="1"/>
    <col min="11287" max="11287" width="13.25" style="1" bestFit="1" customWidth="1"/>
    <col min="11288" max="11288" width="10" style="1" bestFit="1" customWidth="1"/>
    <col min="11289" max="11289" width="11" style="1" bestFit="1" customWidth="1"/>
    <col min="11290" max="11493" width="9" style="1"/>
    <col min="11494" max="11494" width="2.875" style="1" bestFit="1" customWidth="1"/>
    <col min="11495" max="11495" width="16.625" style="1" bestFit="1" customWidth="1"/>
    <col min="11496" max="11496" width="11.375" style="1" bestFit="1" customWidth="1"/>
    <col min="11497" max="11498" width="14.125" style="1" bestFit="1" customWidth="1"/>
    <col min="11499" max="11499" width="11.375" style="1" bestFit="1" customWidth="1"/>
    <col min="11500" max="11502" width="12.5" style="1" bestFit="1" customWidth="1"/>
    <col min="11503" max="11503" width="11" style="1" bestFit="1" customWidth="1"/>
    <col min="11504" max="11523" width="13" style="1" bestFit="1" customWidth="1"/>
    <col min="11524" max="11527" width="11" style="1" bestFit="1" customWidth="1"/>
    <col min="11528" max="11530" width="12.25" style="1" bestFit="1" customWidth="1"/>
    <col min="11531" max="11542" width="11" style="1" bestFit="1" customWidth="1"/>
    <col min="11543" max="11543" width="13.25" style="1" bestFit="1" customWidth="1"/>
    <col min="11544" max="11544" width="10" style="1" bestFit="1" customWidth="1"/>
    <col min="11545" max="11545" width="11" style="1" bestFit="1" customWidth="1"/>
    <col min="11546" max="11749" width="9" style="1"/>
    <col min="11750" max="11750" width="2.875" style="1" bestFit="1" customWidth="1"/>
    <col min="11751" max="11751" width="16.625" style="1" bestFit="1" customWidth="1"/>
    <col min="11752" max="11752" width="11.375" style="1" bestFit="1" customWidth="1"/>
    <col min="11753" max="11754" width="14.125" style="1" bestFit="1" customWidth="1"/>
    <col min="11755" max="11755" width="11.375" style="1" bestFit="1" customWidth="1"/>
    <col min="11756" max="11758" width="12.5" style="1" bestFit="1" customWidth="1"/>
    <col min="11759" max="11759" width="11" style="1" bestFit="1" customWidth="1"/>
    <col min="11760" max="11779" width="13" style="1" bestFit="1" customWidth="1"/>
    <col min="11780" max="11783" width="11" style="1" bestFit="1" customWidth="1"/>
    <col min="11784" max="11786" width="12.25" style="1" bestFit="1" customWidth="1"/>
    <col min="11787" max="11798" width="11" style="1" bestFit="1" customWidth="1"/>
    <col min="11799" max="11799" width="13.25" style="1" bestFit="1" customWidth="1"/>
    <col min="11800" max="11800" width="10" style="1" bestFit="1" customWidth="1"/>
    <col min="11801" max="11801" width="11" style="1" bestFit="1" customWidth="1"/>
    <col min="11802" max="12005" width="9" style="1"/>
    <col min="12006" max="12006" width="2.875" style="1" bestFit="1" customWidth="1"/>
    <col min="12007" max="12007" width="16.625" style="1" bestFit="1" customWidth="1"/>
    <col min="12008" max="12008" width="11.375" style="1" bestFit="1" customWidth="1"/>
    <col min="12009" max="12010" width="14.125" style="1" bestFit="1" customWidth="1"/>
    <col min="12011" max="12011" width="11.375" style="1" bestFit="1" customWidth="1"/>
    <col min="12012" max="12014" width="12.5" style="1" bestFit="1" customWidth="1"/>
    <col min="12015" max="12015" width="11" style="1" bestFit="1" customWidth="1"/>
    <col min="12016" max="12035" width="13" style="1" bestFit="1" customWidth="1"/>
    <col min="12036" max="12039" width="11" style="1" bestFit="1" customWidth="1"/>
    <col min="12040" max="12042" width="12.25" style="1" bestFit="1" customWidth="1"/>
    <col min="12043" max="12054" width="11" style="1" bestFit="1" customWidth="1"/>
    <col min="12055" max="12055" width="13.25" style="1" bestFit="1" customWidth="1"/>
    <col min="12056" max="12056" width="10" style="1" bestFit="1" customWidth="1"/>
    <col min="12057" max="12057" width="11" style="1" bestFit="1" customWidth="1"/>
    <col min="12058" max="12261" width="9" style="1"/>
    <col min="12262" max="12262" width="2.875" style="1" bestFit="1" customWidth="1"/>
    <col min="12263" max="12263" width="16.625" style="1" bestFit="1" customWidth="1"/>
    <col min="12264" max="12264" width="11.375" style="1" bestFit="1" customWidth="1"/>
    <col min="12265" max="12266" width="14.125" style="1" bestFit="1" customWidth="1"/>
    <col min="12267" max="12267" width="11.375" style="1" bestFit="1" customWidth="1"/>
    <col min="12268" max="12270" width="12.5" style="1" bestFit="1" customWidth="1"/>
    <col min="12271" max="12271" width="11" style="1" bestFit="1" customWidth="1"/>
    <col min="12272" max="12291" width="13" style="1" bestFit="1" customWidth="1"/>
    <col min="12292" max="12295" width="11" style="1" bestFit="1" customWidth="1"/>
    <col min="12296" max="12298" width="12.25" style="1" bestFit="1" customWidth="1"/>
    <col min="12299" max="12310" width="11" style="1" bestFit="1" customWidth="1"/>
    <col min="12311" max="12311" width="13.25" style="1" bestFit="1" customWidth="1"/>
    <col min="12312" max="12312" width="10" style="1" bestFit="1" customWidth="1"/>
    <col min="12313" max="12313" width="11" style="1" bestFit="1" customWidth="1"/>
    <col min="12314" max="12517" width="9" style="1"/>
    <col min="12518" max="12518" width="2.875" style="1" bestFit="1" customWidth="1"/>
    <col min="12519" max="12519" width="16.625" style="1" bestFit="1" customWidth="1"/>
    <col min="12520" max="12520" width="11.375" style="1" bestFit="1" customWidth="1"/>
    <col min="12521" max="12522" width="14.125" style="1" bestFit="1" customWidth="1"/>
    <col min="12523" max="12523" width="11.375" style="1" bestFit="1" customWidth="1"/>
    <col min="12524" max="12526" width="12.5" style="1" bestFit="1" customWidth="1"/>
    <col min="12527" max="12527" width="11" style="1" bestFit="1" customWidth="1"/>
    <col min="12528" max="12547" width="13" style="1" bestFit="1" customWidth="1"/>
    <col min="12548" max="12551" width="11" style="1" bestFit="1" customWidth="1"/>
    <col min="12552" max="12554" width="12.25" style="1" bestFit="1" customWidth="1"/>
    <col min="12555" max="12566" width="11" style="1" bestFit="1" customWidth="1"/>
    <col min="12567" max="12567" width="13.25" style="1" bestFit="1" customWidth="1"/>
    <col min="12568" max="12568" width="10" style="1" bestFit="1" customWidth="1"/>
    <col min="12569" max="12569" width="11" style="1" bestFit="1" customWidth="1"/>
    <col min="12570" max="12773" width="9" style="1"/>
    <col min="12774" max="12774" width="2.875" style="1" bestFit="1" customWidth="1"/>
    <col min="12775" max="12775" width="16.625" style="1" bestFit="1" customWidth="1"/>
    <col min="12776" max="12776" width="11.375" style="1" bestFit="1" customWidth="1"/>
    <col min="12777" max="12778" width="14.125" style="1" bestFit="1" customWidth="1"/>
    <col min="12779" max="12779" width="11.375" style="1" bestFit="1" customWidth="1"/>
    <col min="12780" max="12782" width="12.5" style="1" bestFit="1" customWidth="1"/>
    <col min="12783" max="12783" width="11" style="1" bestFit="1" customWidth="1"/>
    <col min="12784" max="12803" width="13" style="1" bestFit="1" customWidth="1"/>
    <col min="12804" max="12807" width="11" style="1" bestFit="1" customWidth="1"/>
    <col min="12808" max="12810" width="12.25" style="1" bestFit="1" customWidth="1"/>
    <col min="12811" max="12822" width="11" style="1" bestFit="1" customWidth="1"/>
    <col min="12823" max="12823" width="13.25" style="1" bestFit="1" customWidth="1"/>
    <col min="12824" max="12824" width="10" style="1" bestFit="1" customWidth="1"/>
    <col min="12825" max="12825" width="11" style="1" bestFit="1" customWidth="1"/>
    <col min="12826" max="13029" width="9" style="1"/>
    <col min="13030" max="13030" width="2.875" style="1" bestFit="1" customWidth="1"/>
    <col min="13031" max="13031" width="16.625" style="1" bestFit="1" customWidth="1"/>
    <col min="13032" max="13032" width="11.375" style="1" bestFit="1" customWidth="1"/>
    <col min="13033" max="13034" width="14.125" style="1" bestFit="1" customWidth="1"/>
    <col min="13035" max="13035" width="11.375" style="1" bestFit="1" customWidth="1"/>
    <col min="13036" max="13038" width="12.5" style="1" bestFit="1" customWidth="1"/>
    <col min="13039" max="13039" width="11" style="1" bestFit="1" customWidth="1"/>
    <col min="13040" max="13059" width="13" style="1" bestFit="1" customWidth="1"/>
    <col min="13060" max="13063" width="11" style="1" bestFit="1" customWidth="1"/>
    <col min="13064" max="13066" width="12.25" style="1" bestFit="1" customWidth="1"/>
    <col min="13067" max="13078" width="11" style="1" bestFit="1" customWidth="1"/>
    <col min="13079" max="13079" width="13.25" style="1" bestFit="1" customWidth="1"/>
    <col min="13080" max="13080" width="10" style="1" bestFit="1" customWidth="1"/>
    <col min="13081" max="13081" width="11" style="1" bestFit="1" customWidth="1"/>
    <col min="13082" max="13285" width="9" style="1"/>
    <col min="13286" max="13286" width="2.875" style="1" bestFit="1" customWidth="1"/>
    <col min="13287" max="13287" width="16.625" style="1" bestFit="1" customWidth="1"/>
    <col min="13288" max="13288" width="11.375" style="1" bestFit="1" customWidth="1"/>
    <col min="13289" max="13290" width="14.125" style="1" bestFit="1" customWidth="1"/>
    <col min="13291" max="13291" width="11.375" style="1" bestFit="1" customWidth="1"/>
    <col min="13292" max="13294" width="12.5" style="1" bestFit="1" customWidth="1"/>
    <col min="13295" max="13295" width="11" style="1" bestFit="1" customWidth="1"/>
    <col min="13296" max="13315" width="13" style="1" bestFit="1" customWidth="1"/>
    <col min="13316" max="13319" width="11" style="1" bestFit="1" customWidth="1"/>
    <col min="13320" max="13322" width="12.25" style="1" bestFit="1" customWidth="1"/>
    <col min="13323" max="13334" width="11" style="1" bestFit="1" customWidth="1"/>
    <col min="13335" max="13335" width="13.25" style="1" bestFit="1" customWidth="1"/>
    <col min="13336" max="13336" width="10" style="1" bestFit="1" customWidth="1"/>
    <col min="13337" max="13337" width="11" style="1" bestFit="1" customWidth="1"/>
    <col min="13338" max="13541" width="9" style="1"/>
    <col min="13542" max="13542" width="2.875" style="1" bestFit="1" customWidth="1"/>
    <col min="13543" max="13543" width="16.625" style="1" bestFit="1" customWidth="1"/>
    <col min="13544" max="13544" width="11.375" style="1" bestFit="1" customWidth="1"/>
    <col min="13545" max="13546" width="14.125" style="1" bestFit="1" customWidth="1"/>
    <col min="13547" max="13547" width="11.375" style="1" bestFit="1" customWidth="1"/>
    <col min="13548" max="13550" width="12.5" style="1" bestFit="1" customWidth="1"/>
    <col min="13551" max="13551" width="11" style="1" bestFit="1" customWidth="1"/>
    <col min="13552" max="13571" width="13" style="1" bestFit="1" customWidth="1"/>
    <col min="13572" max="13575" width="11" style="1" bestFit="1" customWidth="1"/>
    <col min="13576" max="13578" width="12.25" style="1" bestFit="1" customWidth="1"/>
    <col min="13579" max="13590" width="11" style="1" bestFit="1" customWidth="1"/>
    <col min="13591" max="13591" width="13.25" style="1" bestFit="1" customWidth="1"/>
    <col min="13592" max="13592" width="10" style="1" bestFit="1" customWidth="1"/>
    <col min="13593" max="13593" width="11" style="1" bestFit="1" customWidth="1"/>
    <col min="13594" max="13797" width="9" style="1"/>
    <col min="13798" max="13798" width="2.875" style="1" bestFit="1" customWidth="1"/>
    <col min="13799" max="13799" width="16.625" style="1" bestFit="1" customWidth="1"/>
    <col min="13800" max="13800" width="11.375" style="1" bestFit="1" customWidth="1"/>
    <col min="13801" max="13802" width="14.125" style="1" bestFit="1" customWidth="1"/>
    <col min="13803" max="13803" width="11.375" style="1" bestFit="1" customWidth="1"/>
    <col min="13804" max="13806" width="12.5" style="1" bestFit="1" customWidth="1"/>
    <col min="13807" max="13807" width="11" style="1" bestFit="1" customWidth="1"/>
    <col min="13808" max="13827" width="13" style="1" bestFit="1" customWidth="1"/>
    <col min="13828" max="13831" width="11" style="1" bestFit="1" customWidth="1"/>
    <col min="13832" max="13834" width="12.25" style="1" bestFit="1" customWidth="1"/>
    <col min="13835" max="13846" width="11" style="1" bestFit="1" customWidth="1"/>
    <col min="13847" max="13847" width="13.25" style="1" bestFit="1" customWidth="1"/>
    <col min="13848" max="13848" width="10" style="1" bestFit="1" customWidth="1"/>
    <col min="13849" max="13849" width="11" style="1" bestFit="1" customWidth="1"/>
    <col min="13850" max="14053" width="9" style="1"/>
    <col min="14054" max="14054" width="2.875" style="1" bestFit="1" customWidth="1"/>
    <col min="14055" max="14055" width="16.625" style="1" bestFit="1" customWidth="1"/>
    <col min="14056" max="14056" width="11.375" style="1" bestFit="1" customWidth="1"/>
    <col min="14057" max="14058" width="14.125" style="1" bestFit="1" customWidth="1"/>
    <col min="14059" max="14059" width="11.375" style="1" bestFit="1" customWidth="1"/>
    <col min="14060" max="14062" width="12.5" style="1" bestFit="1" customWidth="1"/>
    <col min="14063" max="14063" width="11" style="1" bestFit="1" customWidth="1"/>
    <col min="14064" max="14083" width="13" style="1" bestFit="1" customWidth="1"/>
    <col min="14084" max="14087" width="11" style="1" bestFit="1" customWidth="1"/>
    <col min="14088" max="14090" width="12.25" style="1" bestFit="1" customWidth="1"/>
    <col min="14091" max="14102" width="11" style="1" bestFit="1" customWidth="1"/>
    <col min="14103" max="14103" width="13.25" style="1" bestFit="1" customWidth="1"/>
    <col min="14104" max="14104" width="10" style="1" bestFit="1" customWidth="1"/>
    <col min="14105" max="14105" width="11" style="1" bestFit="1" customWidth="1"/>
    <col min="14106" max="14309" width="9" style="1"/>
    <col min="14310" max="14310" width="2.875" style="1" bestFit="1" customWidth="1"/>
    <col min="14311" max="14311" width="16.625" style="1" bestFit="1" customWidth="1"/>
    <col min="14312" max="14312" width="11.375" style="1" bestFit="1" customWidth="1"/>
    <col min="14313" max="14314" width="14.125" style="1" bestFit="1" customWidth="1"/>
    <col min="14315" max="14315" width="11.375" style="1" bestFit="1" customWidth="1"/>
    <col min="14316" max="14318" width="12.5" style="1" bestFit="1" customWidth="1"/>
    <col min="14319" max="14319" width="11" style="1" bestFit="1" customWidth="1"/>
    <col min="14320" max="14339" width="13" style="1" bestFit="1" customWidth="1"/>
    <col min="14340" max="14343" width="11" style="1" bestFit="1" customWidth="1"/>
    <col min="14344" max="14346" width="12.25" style="1" bestFit="1" customWidth="1"/>
    <col min="14347" max="14358" width="11" style="1" bestFit="1" customWidth="1"/>
    <col min="14359" max="14359" width="13.25" style="1" bestFit="1" customWidth="1"/>
    <col min="14360" max="14360" width="10" style="1" bestFit="1" customWidth="1"/>
    <col min="14361" max="14361" width="11" style="1" bestFit="1" customWidth="1"/>
    <col min="14362" max="14565" width="9" style="1"/>
    <col min="14566" max="14566" width="2.875" style="1" bestFit="1" customWidth="1"/>
    <col min="14567" max="14567" width="16.625" style="1" bestFit="1" customWidth="1"/>
    <col min="14568" max="14568" width="11.375" style="1" bestFit="1" customWidth="1"/>
    <col min="14569" max="14570" width="14.125" style="1" bestFit="1" customWidth="1"/>
    <col min="14571" max="14571" width="11.375" style="1" bestFit="1" customWidth="1"/>
    <col min="14572" max="14574" width="12.5" style="1" bestFit="1" customWidth="1"/>
    <col min="14575" max="14575" width="11" style="1" bestFit="1" customWidth="1"/>
    <col min="14576" max="14595" width="13" style="1" bestFit="1" customWidth="1"/>
    <col min="14596" max="14599" width="11" style="1" bestFit="1" customWidth="1"/>
    <col min="14600" max="14602" width="12.25" style="1" bestFit="1" customWidth="1"/>
    <col min="14603" max="14614" width="11" style="1" bestFit="1" customWidth="1"/>
    <col min="14615" max="14615" width="13.25" style="1" bestFit="1" customWidth="1"/>
    <col min="14616" max="14616" width="10" style="1" bestFit="1" customWidth="1"/>
    <col min="14617" max="14617" width="11" style="1" bestFit="1" customWidth="1"/>
    <col min="14618" max="14821" width="9" style="1"/>
    <col min="14822" max="14822" width="2.875" style="1" bestFit="1" customWidth="1"/>
    <col min="14823" max="14823" width="16.625" style="1" bestFit="1" customWidth="1"/>
    <col min="14824" max="14824" width="11.375" style="1" bestFit="1" customWidth="1"/>
    <col min="14825" max="14826" width="14.125" style="1" bestFit="1" customWidth="1"/>
    <col min="14827" max="14827" width="11.375" style="1" bestFit="1" customWidth="1"/>
    <col min="14828" max="14830" width="12.5" style="1" bestFit="1" customWidth="1"/>
    <col min="14831" max="14831" width="11" style="1" bestFit="1" customWidth="1"/>
    <col min="14832" max="14851" width="13" style="1" bestFit="1" customWidth="1"/>
    <col min="14852" max="14855" width="11" style="1" bestFit="1" customWidth="1"/>
    <col min="14856" max="14858" width="12.25" style="1" bestFit="1" customWidth="1"/>
    <col min="14859" max="14870" width="11" style="1" bestFit="1" customWidth="1"/>
    <col min="14871" max="14871" width="13.25" style="1" bestFit="1" customWidth="1"/>
    <col min="14872" max="14872" width="10" style="1" bestFit="1" customWidth="1"/>
    <col min="14873" max="14873" width="11" style="1" bestFit="1" customWidth="1"/>
    <col min="14874" max="15077" width="9" style="1"/>
    <col min="15078" max="15078" width="2.875" style="1" bestFit="1" customWidth="1"/>
    <col min="15079" max="15079" width="16.625" style="1" bestFit="1" customWidth="1"/>
    <col min="15080" max="15080" width="11.375" style="1" bestFit="1" customWidth="1"/>
    <col min="15081" max="15082" width="14.125" style="1" bestFit="1" customWidth="1"/>
    <col min="15083" max="15083" width="11.375" style="1" bestFit="1" customWidth="1"/>
    <col min="15084" max="15086" width="12.5" style="1" bestFit="1" customWidth="1"/>
    <col min="15087" max="15087" width="11" style="1" bestFit="1" customWidth="1"/>
    <col min="15088" max="15107" width="13" style="1" bestFit="1" customWidth="1"/>
    <col min="15108" max="15111" width="11" style="1" bestFit="1" customWidth="1"/>
    <col min="15112" max="15114" width="12.25" style="1" bestFit="1" customWidth="1"/>
    <col min="15115" max="15126" width="11" style="1" bestFit="1" customWidth="1"/>
    <col min="15127" max="15127" width="13.25" style="1" bestFit="1" customWidth="1"/>
    <col min="15128" max="15128" width="10" style="1" bestFit="1" customWidth="1"/>
    <col min="15129" max="15129" width="11" style="1" bestFit="1" customWidth="1"/>
    <col min="15130" max="15333" width="9" style="1"/>
    <col min="15334" max="15334" width="2.875" style="1" bestFit="1" customWidth="1"/>
    <col min="15335" max="15335" width="16.625" style="1" bestFit="1" customWidth="1"/>
    <col min="15336" max="15336" width="11.375" style="1" bestFit="1" customWidth="1"/>
    <col min="15337" max="15338" width="14.125" style="1" bestFit="1" customWidth="1"/>
    <col min="15339" max="15339" width="11.375" style="1" bestFit="1" customWidth="1"/>
    <col min="15340" max="15342" width="12.5" style="1" bestFit="1" customWidth="1"/>
    <col min="15343" max="15343" width="11" style="1" bestFit="1" customWidth="1"/>
    <col min="15344" max="15363" width="13" style="1" bestFit="1" customWidth="1"/>
    <col min="15364" max="15367" width="11" style="1" bestFit="1" customWidth="1"/>
    <col min="15368" max="15370" width="12.25" style="1" bestFit="1" customWidth="1"/>
    <col min="15371" max="15382" width="11" style="1" bestFit="1" customWidth="1"/>
    <col min="15383" max="15383" width="13.25" style="1" bestFit="1" customWidth="1"/>
    <col min="15384" max="15384" width="10" style="1" bestFit="1" customWidth="1"/>
    <col min="15385" max="15385" width="11" style="1" bestFit="1" customWidth="1"/>
    <col min="15386" max="15589" width="9" style="1"/>
    <col min="15590" max="15590" width="2.875" style="1" bestFit="1" customWidth="1"/>
    <col min="15591" max="15591" width="16.625" style="1" bestFit="1" customWidth="1"/>
    <col min="15592" max="15592" width="11.375" style="1" bestFit="1" customWidth="1"/>
    <col min="15593" max="15594" width="14.125" style="1" bestFit="1" customWidth="1"/>
    <col min="15595" max="15595" width="11.375" style="1" bestFit="1" customWidth="1"/>
    <col min="15596" max="15598" width="12.5" style="1" bestFit="1" customWidth="1"/>
    <col min="15599" max="15599" width="11" style="1" bestFit="1" customWidth="1"/>
    <col min="15600" max="15619" width="13" style="1" bestFit="1" customWidth="1"/>
    <col min="15620" max="15623" width="11" style="1" bestFit="1" customWidth="1"/>
    <col min="15624" max="15626" width="12.25" style="1" bestFit="1" customWidth="1"/>
    <col min="15627" max="15638" width="11" style="1" bestFit="1" customWidth="1"/>
    <col min="15639" max="15639" width="13.25" style="1" bestFit="1" customWidth="1"/>
    <col min="15640" max="15640" width="10" style="1" bestFit="1" customWidth="1"/>
    <col min="15641" max="15641" width="11" style="1" bestFit="1" customWidth="1"/>
    <col min="15642" max="15845" width="9" style="1"/>
    <col min="15846" max="15846" width="2.875" style="1" bestFit="1" customWidth="1"/>
    <col min="15847" max="15847" width="16.625" style="1" bestFit="1" customWidth="1"/>
    <col min="15848" max="15848" width="11.375" style="1" bestFit="1" customWidth="1"/>
    <col min="15849" max="15850" width="14.125" style="1" bestFit="1" customWidth="1"/>
    <col min="15851" max="15851" width="11.375" style="1" bestFit="1" customWidth="1"/>
    <col min="15852" max="15854" width="12.5" style="1" bestFit="1" customWidth="1"/>
    <col min="15855" max="15855" width="11" style="1" bestFit="1" customWidth="1"/>
    <col min="15856" max="15875" width="13" style="1" bestFit="1" customWidth="1"/>
    <col min="15876" max="15879" width="11" style="1" bestFit="1" customWidth="1"/>
    <col min="15880" max="15882" width="12.25" style="1" bestFit="1" customWidth="1"/>
    <col min="15883" max="15894" width="11" style="1" bestFit="1" customWidth="1"/>
    <col min="15895" max="15895" width="13.25" style="1" bestFit="1" customWidth="1"/>
    <col min="15896" max="15896" width="10" style="1" bestFit="1" customWidth="1"/>
    <col min="15897" max="15897" width="11" style="1" bestFit="1" customWidth="1"/>
    <col min="15898" max="16101" width="9" style="1"/>
    <col min="16102" max="16102" width="2.875" style="1" bestFit="1" customWidth="1"/>
    <col min="16103" max="16103" width="16.625" style="1" bestFit="1" customWidth="1"/>
    <col min="16104" max="16104" width="11.375" style="1" bestFit="1" customWidth="1"/>
    <col min="16105" max="16106" width="14.125" style="1" bestFit="1" customWidth="1"/>
    <col min="16107" max="16107" width="11.375" style="1" bestFit="1" customWidth="1"/>
    <col min="16108" max="16110" width="12.5" style="1" bestFit="1" customWidth="1"/>
    <col min="16111" max="16111" width="11" style="1" bestFit="1" customWidth="1"/>
    <col min="16112" max="16131" width="13" style="1" bestFit="1" customWidth="1"/>
    <col min="16132" max="16135" width="11" style="1" bestFit="1" customWidth="1"/>
    <col min="16136" max="16138" width="12.25" style="1" bestFit="1" customWidth="1"/>
    <col min="16139" max="16150" width="11" style="1" bestFit="1" customWidth="1"/>
    <col min="16151" max="16151" width="13.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 x14ac:dyDescent="0.15"/>
    <row r="3" spans="1:25" ht="17.25" x14ac:dyDescent="0.2">
      <c r="A3" s="57">
        <v>45627</v>
      </c>
      <c r="B3" s="57"/>
      <c r="C3" s="49" t="s">
        <v>238</v>
      </c>
    </row>
    <row r="4" spans="1:25" s="5" customFormat="1" x14ac:dyDescent="0.15">
      <c r="A4" s="50" t="s">
        <v>0</v>
      </c>
      <c r="B4" s="50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15</v>
      </c>
      <c r="J4" s="2" t="s">
        <v>165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26</v>
      </c>
      <c r="V4" s="2" t="s">
        <v>197</v>
      </c>
      <c r="W4" s="3" t="s">
        <v>42</v>
      </c>
      <c r="X4" s="3" t="s">
        <v>43</v>
      </c>
      <c r="Y4" s="4" t="s">
        <v>44</v>
      </c>
    </row>
    <row r="5" spans="1:25" s="5" customFormat="1" hidden="1" x14ac:dyDescent="0.15">
      <c r="A5" s="54" t="s">
        <v>45</v>
      </c>
      <c r="B5" s="58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3"/>
      <c r="X5" s="3"/>
      <c r="Y5" s="4"/>
    </row>
    <row r="6" spans="1:25" s="5" customFormat="1" hidden="1" x14ac:dyDescent="0.15">
      <c r="A6" s="54" t="s">
        <v>46</v>
      </c>
      <c r="B6" s="58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2" t="s">
        <v>48</v>
      </c>
      <c r="K6" s="2" t="s">
        <v>48</v>
      </c>
      <c r="L6" s="2" t="s">
        <v>48</v>
      </c>
      <c r="M6" s="2" t="s">
        <v>48</v>
      </c>
      <c r="N6" s="2" t="s">
        <v>48</v>
      </c>
      <c r="O6" s="2" t="s">
        <v>48</v>
      </c>
      <c r="P6" s="2" t="s">
        <v>48</v>
      </c>
      <c r="Q6" s="2" t="s">
        <v>48</v>
      </c>
      <c r="R6" s="2" t="s">
        <v>48</v>
      </c>
      <c r="S6" s="2" t="s">
        <v>48</v>
      </c>
      <c r="T6" s="2" t="s">
        <v>48</v>
      </c>
      <c r="U6" s="2" t="s">
        <v>48</v>
      </c>
      <c r="V6" s="2" t="s">
        <v>48</v>
      </c>
      <c r="W6" s="3"/>
      <c r="X6" s="3"/>
      <c r="Y6" s="4"/>
    </row>
    <row r="7" spans="1:25" s="5" customFormat="1" x14ac:dyDescent="0.15">
      <c r="A7" s="56" t="s">
        <v>52</v>
      </c>
      <c r="B7" s="56"/>
      <c r="C7" s="42" t="s">
        <v>162</v>
      </c>
      <c r="D7" s="42" t="s">
        <v>161</v>
      </c>
      <c r="E7" s="42" t="s">
        <v>164</v>
      </c>
      <c r="F7" s="42" t="s">
        <v>171</v>
      </c>
      <c r="G7" s="42" t="s">
        <v>169</v>
      </c>
      <c r="H7" s="42" t="s">
        <v>163</v>
      </c>
      <c r="I7" s="42" t="s">
        <v>172</v>
      </c>
      <c r="J7" s="42" t="s">
        <v>166</v>
      </c>
      <c r="K7" s="42" t="s">
        <v>167</v>
      </c>
      <c r="L7" s="42" t="s">
        <v>173</v>
      </c>
      <c r="M7" s="42" t="s">
        <v>168</v>
      </c>
      <c r="N7" s="42" t="s">
        <v>176</v>
      </c>
      <c r="O7" s="42" t="s">
        <v>177</v>
      </c>
      <c r="P7" s="42" t="s">
        <v>174</v>
      </c>
      <c r="Q7" s="42" t="s">
        <v>175</v>
      </c>
      <c r="R7" s="42" t="s">
        <v>178</v>
      </c>
      <c r="S7" s="42" t="s">
        <v>181</v>
      </c>
      <c r="T7" s="42"/>
      <c r="U7" s="42"/>
      <c r="V7" s="42"/>
      <c r="W7" s="6"/>
      <c r="X7" s="6"/>
      <c r="Y7" s="7"/>
    </row>
    <row r="8" spans="1:25" s="5" customFormat="1" x14ac:dyDescent="0.15">
      <c r="A8" s="56" t="s">
        <v>53</v>
      </c>
      <c r="B8" s="56"/>
      <c r="C8" s="42" t="s">
        <v>205</v>
      </c>
      <c r="D8" s="42" t="s">
        <v>206</v>
      </c>
      <c r="E8" s="42" t="s">
        <v>207</v>
      </c>
      <c r="F8" s="42" t="s">
        <v>208</v>
      </c>
      <c r="G8" s="42" t="s">
        <v>199</v>
      </c>
      <c r="H8" s="42" t="s">
        <v>209</v>
      </c>
      <c r="I8" s="42" t="s">
        <v>211</v>
      </c>
      <c r="J8" s="42" t="s">
        <v>210</v>
      </c>
      <c r="K8" s="42" t="s">
        <v>212</v>
      </c>
      <c r="L8" s="42" t="s">
        <v>213</v>
      </c>
      <c r="M8" s="42" t="s">
        <v>214</v>
      </c>
      <c r="N8" s="42" t="s">
        <v>215</v>
      </c>
      <c r="O8" s="42" t="s">
        <v>216</v>
      </c>
      <c r="P8" s="42" t="s">
        <v>211</v>
      </c>
      <c r="Q8" s="42" t="s">
        <v>217</v>
      </c>
      <c r="R8" s="42" t="s">
        <v>218</v>
      </c>
      <c r="S8" s="42" t="s">
        <v>219</v>
      </c>
      <c r="T8" s="42"/>
      <c r="U8" s="42"/>
      <c r="V8" s="42" t="s">
        <v>220</v>
      </c>
      <c r="W8" s="6"/>
      <c r="X8" s="6"/>
      <c r="Y8" s="7"/>
    </row>
    <row r="9" spans="1:25" x14ac:dyDescent="0.15">
      <c r="A9" s="52" t="s">
        <v>54</v>
      </c>
      <c r="B9" s="53"/>
      <c r="C9" s="44">
        <v>8</v>
      </c>
      <c r="D9" s="44">
        <v>8</v>
      </c>
      <c r="E9" s="44">
        <v>10</v>
      </c>
      <c r="F9" s="44">
        <v>10</v>
      </c>
      <c r="G9" s="44">
        <v>10</v>
      </c>
      <c r="H9" s="44">
        <v>10</v>
      </c>
      <c r="I9" s="44">
        <v>10</v>
      </c>
      <c r="J9" s="44">
        <v>14</v>
      </c>
      <c r="K9" s="44">
        <v>10</v>
      </c>
      <c r="L9" s="44">
        <v>10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>
        <v>10</v>
      </c>
      <c r="S9" s="44">
        <v>10</v>
      </c>
      <c r="T9" s="44"/>
      <c r="U9" s="44"/>
      <c r="V9" s="44">
        <v>14</v>
      </c>
      <c r="W9" s="9">
        <f>SUM(C9:V9)</f>
        <v>184</v>
      </c>
      <c r="X9" s="9"/>
      <c r="Y9" s="10"/>
    </row>
    <row r="10" spans="1:25" x14ac:dyDescent="0.15">
      <c r="A10" s="50" t="s">
        <v>55</v>
      </c>
      <c r="B10" s="50"/>
      <c r="C10" s="47" t="s">
        <v>58</v>
      </c>
      <c r="D10" s="47" t="s">
        <v>59</v>
      </c>
      <c r="E10" s="47" t="s">
        <v>60</v>
      </c>
      <c r="F10" s="47" t="s">
        <v>60</v>
      </c>
      <c r="G10" s="47" t="s">
        <v>60</v>
      </c>
      <c r="H10" s="47" t="s">
        <v>60</v>
      </c>
      <c r="I10" s="47" t="s">
        <v>60</v>
      </c>
      <c r="J10" s="47" t="s">
        <v>60</v>
      </c>
      <c r="K10" s="47" t="s">
        <v>60</v>
      </c>
      <c r="L10" s="47" t="s">
        <v>60</v>
      </c>
      <c r="M10" s="47" t="s">
        <v>60</v>
      </c>
      <c r="N10" s="47" t="s">
        <v>61</v>
      </c>
      <c r="O10" s="47" t="s">
        <v>61</v>
      </c>
      <c r="P10" s="47" t="s">
        <v>61</v>
      </c>
      <c r="Q10" s="47" t="s">
        <v>61</v>
      </c>
      <c r="R10" s="47" t="s">
        <v>62</v>
      </c>
      <c r="S10" s="47" t="s">
        <v>62</v>
      </c>
      <c r="T10" s="47" t="s">
        <v>63</v>
      </c>
      <c r="U10" s="47" t="s">
        <v>64</v>
      </c>
      <c r="V10" s="47"/>
      <c r="W10" s="12"/>
      <c r="X10" s="12"/>
      <c r="Y10" s="13"/>
    </row>
    <row r="11" spans="1:25" x14ac:dyDescent="0.15">
      <c r="A11" s="50" t="s">
        <v>66</v>
      </c>
      <c r="B11" s="50"/>
      <c r="C11" s="14">
        <v>627</v>
      </c>
      <c r="D11" s="14">
        <v>4068</v>
      </c>
      <c r="E11" s="14">
        <v>5433.7000000000007</v>
      </c>
      <c r="F11" s="14">
        <v>4997.8</v>
      </c>
      <c r="G11" s="14">
        <v>5341</v>
      </c>
      <c r="H11" s="14">
        <v>5145.6000000000004</v>
      </c>
      <c r="I11" s="14">
        <v>1009.8</v>
      </c>
      <c r="J11" s="14">
        <v>5113.1000000000004</v>
      </c>
      <c r="K11" s="14">
        <v>4953</v>
      </c>
      <c r="L11" s="14">
        <v>5386.7</v>
      </c>
      <c r="M11" s="14">
        <v>5635.5</v>
      </c>
      <c r="N11" s="14">
        <v>7328.9</v>
      </c>
      <c r="O11" s="14">
        <v>7468.0999999999995</v>
      </c>
      <c r="P11" s="14">
        <v>89.6</v>
      </c>
      <c r="Q11" s="14">
        <v>7138.1</v>
      </c>
      <c r="R11" s="14">
        <v>3973</v>
      </c>
      <c r="S11" s="14">
        <v>4136.2</v>
      </c>
      <c r="T11" s="14">
        <v>0</v>
      </c>
      <c r="U11" s="14">
        <v>0</v>
      </c>
      <c r="V11" s="14">
        <v>0</v>
      </c>
      <c r="W11" s="16">
        <f>SUM(C11:V11)</f>
        <v>77845.099999999991</v>
      </c>
      <c r="X11" s="16">
        <f t="shared" ref="X11:X42" si="0">AVERAGE(C11:V11)</f>
        <v>3892.2549999999997</v>
      </c>
      <c r="Y11" s="13"/>
    </row>
    <row r="12" spans="1:25" x14ac:dyDescent="0.15">
      <c r="A12" s="54" t="s">
        <v>67</v>
      </c>
      <c r="B12" s="55"/>
      <c r="C12" s="18">
        <v>0.74305555555555558</v>
      </c>
      <c r="D12" s="18">
        <v>10.772222222222222</v>
      </c>
      <c r="E12" s="18">
        <v>9.7965277777777775</v>
      </c>
      <c r="F12" s="18">
        <v>9.3673611111111104</v>
      </c>
      <c r="G12" s="18">
        <v>9.59375</v>
      </c>
      <c r="H12" s="18">
        <v>9.2631944444444443</v>
      </c>
      <c r="I12" s="18">
        <v>3.1229166666666668</v>
      </c>
      <c r="J12" s="18">
        <v>8.593055555555555</v>
      </c>
      <c r="K12" s="18">
        <v>9.5819444444444439</v>
      </c>
      <c r="L12" s="18">
        <v>9.5263888888888886</v>
      </c>
      <c r="M12" s="18">
        <v>9.0527777777777771</v>
      </c>
      <c r="N12" s="18">
        <v>9.5583333333333336</v>
      </c>
      <c r="O12" s="18">
        <v>10.701388888888889</v>
      </c>
      <c r="P12" s="18">
        <v>0.48888888888888887</v>
      </c>
      <c r="Q12" s="18">
        <v>9.03125</v>
      </c>
      <c r="R12" s="18">
        <v>4.46875</v>
      </c>
      <c r="S12" s="18">
        <v>5.3493055555555555</v>
      </c>
      <c r="T12" s="18">
        <v>0</v>
      </c>
      <c r="U12" s="18">
        <v>0</v>
      </c>
      <c r="V12" s="18">
        <v>0</v>
      </c>
      <c r="W12" s="20">
        <f>SUM(C12:V12)</f>
        <v>129.01111111111112</v>
      </c>
      <c r="X12" s="20">
        <f t="shared" si="0"/>
        <v>6.4505555555555558</v>
      </c>
      <c r="Y12" s="13"/>
    </row>
    <row r="13" spans="1:25" x14ac:dyDescent="0.15">
      <c r="A13" s="50" t="s">
        <v>68</v>
      </c>
      <c r="B13" s="50"/>
      <c r="C13" s="14">
        <v>148418</v>
      </c>
      <c r="D13" s="14">
        <v>1012438</v>
      </c>
      <c r="E13" s="14">
        <v>1131030</v>
      </c>
      <c r="F13" s="14">
        <v>1111260</v>
      </c>
      <c r="G13" s="14">
        <v>1086300</v>
      </c>
      <c r="H13" s="14">
        <v>1040650</v>
      </c>
      <c r="I13" s="14">
        <v>238870</v>
      </c>
      <c r="J13" s="14">
        <v>1487990</v>
      </c>
      <c r="K13" s="14">
        <v>1155170</v>
      </c>
      <c r="L13" s="14">
        <v>1053550</v>
      </c>
      <c r="M13" s="14">
        <v>1204650</v>
      </c>
      <c r="N13" s="14">
        <v>1318280</v>
      </c>
      <c r="O13" s="14">
        <v>1340550</v>
      </c>
      <c r="P13" s="14">
        <v>20080</v>
      </c>
      <c r="Q13" s="14">
        <v>1311750</v>
      </c>
      <c r="R13" s="14">
        <v>932000</v>
      </c>
      <c r="S13" s="14">
        <v>858735</v>
      </c>
      <c r="T13" s="14">
        <v>11000</v>
      </c>
      <c r="U13" s="14">
        <v>42883</v>
      </c>
      <c r="V13" s="14">
        <v>0</v>
      </c>
      <c r="W13" s="16">
        <f>SUM(C13:V13)</f>
        <v>16505604</v>
      </c>
      <c r="X13" s="16">
        <f t="shared" si="0"/>
        <v>825280.2</v>
      </c>
      <c r="Y13" s="13">
        <f>W13/W13</f>
        <v>1</v>
      </c>
    </row>
    <row r="14" spans="1:25" x14ac:dyDescent="0.15">
      <c r="A14" s="54" t="s">
        <v>69</v>
      </c>
      <c r="B14" s="55"/>
      <c r="C14" s="14">
        <v>0</v>
      </c>
      <c r="D14" s="14">
        <v>0</v>
      </c>
      <c r="E14" s="14">
        <v>101560</v>
      </c>
      <c r="F14" s="14">
        <v>102600</v>
      </c>
      <c r="G14" s="14">
        <v>127560</v>
      </c>
      <c r="H14" s="14">
        <v>168590</v>
      </c>
      <c r="I14" s="14">
        <v>0</v>
      </c>
      <c r="J14" s="14">
        <v>0</v>
      </c>
      <c r="K14" s="14">
        <v>72330</v>
      </c>
      <c r="L14" s="14">
        <v>160310</v>
      </c>
      <c r="M14" s="14">
        <v>44840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156570</v>
      </c>
      <c r="U14" s="14">
        <v>0</v>
      </c>
      <c r="V14" s="14">
        <v>0</v>
      </c>
      <c r="W14" s="16">
        <f>SUM(C14:V14)</f>
        <v>934360</v>
      </c>
      <c r="X14" s="16">
        <f t="shared" si="0"/>
        <v>46718</v>
      </c>
      <c r="Y14" s="13"/>
    </row>
    <row r="15" spans="1:25" x14ac:dyDescent="0.15">
      <c r="A15" s="50" t="s">
        <v>70</v>
      </c>
      <c r="B15" s="50"/>
      <c r="C15" s="14">
        <f t="shared" ref="C15:V15" si="1">SUM(C13/C11)</f>
        <v>236.71132376395533</v>
      </c>
      <c r="D15" s="14">
        <f t="shared" si="1"/>
        <v>248.87856440511308</v>
      </c>
      <c r="E15" s="14">
        <f t="shared" si="1"/>
        <v>208.15098367594823</v>
      </c>
      <c r="F15" s="14">
        <f t="shared" si="1"/>
        <v>222.34983392692783</v>
      </c>
      <c r="G15" s="14">
        <f t="shared" si="1"/>
        <v>203.38887848717468</v>
      </c>
      <c r="H15" s="14">
        <f t="shared" si="1"/>
        <v>202.24074937810943</v>
      </c>
      <c r="I15" s="14">
        <f t="shared" si="1"/>
        <v>236.5517924341454</v>
      </c>
      <c r="J15" s="14">
        <f t="shared" si="1"/>
        <v>291.01523537579942</v>
      </c>
      <c r="K15" s="14">
        <f t="shared" si="1"/>
        <v>233.22632747829599</v>
      </c>
      <c r="L15" s="14">
        <f t="shared" si="1"/>
        <v>195.58356693337294</v>
      </c>
      <c r="M15" s="14">
        <f t="shared" si="1"/>
        <v>213.76097950492414</v>
      </c>
      <c r="N15" s="14">
        <f t="shared" si="1"/>
        <v>179.87419667344349</v>
      </c>
      <c r="O15" s="14">
        <f t="shared" si="1"/>
        <v>179.50348816968173</v>
      </c>
      <c r="P15" s="14">
        <f t="shared" si="1"/>
        <v>224.10714285714286</v>
      </c>
      <c r="Q15" s="14">
        <f t="shared" si="1"/>
        <v>183.76738908112802</v>
      </c>
      <c r="R15" s="14">
        <f t="shared" si="1"/>
        <v>234.58343820790336</v>
      </c>
      <c r="S15" s="14">
        <f t="shared" si="1"/>
        <v>207.61447705623519</v>
      </c>
      <c r="T15" s="14" t="e">
        <f t="shared" si="1"/>
        <v>#DIV/0!</v>
      </c>
      <c r="U15" s="14" t="e">
        <f t="shared" si="1"/>
        <v>#DIV/0!</v>
      </c>
      <c r="V15" s="14" t="e">
        <f t="shared" si="1"/>
        <v>#DIV/0!</v>
      </c>
      <c r="W15" s="12">
        <f>SUM(W13/W11)</f>
        <v>212.03138026670916</v>
      </c>
      <c r="X15" s="16" t="e">
        <f t="shared" si="0"/>
        <v>#DIV/0!</v>
      </c>
      <c r="Y15" s="13"/>
    </row>
    <row r="16" spans="1:25" x14ac:dyDescent="0.15">
      <c r="A16" s="54" t="s">
        <v>71</v>
      </c>
      <c r="B16" s="55"/>
      <c r="C16" s="21">
        <f t="shared" ref="C16:W16" si="2">C13/(C12*24)</f>
        <v>8322.5046728971956</v>
      </c>
      <c r="D16" s="21">
        <f t="shared" si="2"/>
        <v>3916.0830324909753</v>
      </c>
      <c r="E16" s="21">
        <f t="shared" si="2"/>
        <v>4810.5054228397248</v>
      </c>
      <c r="F16" s="21">
        <f t="shared" si="2"/>
        <v>4942.9609311290678</v>
      </c>
      <c r="G16" s="21">
        <f t="shared" si="2"/>
        <v>4717.9153094462545</v>
      </c>
      <c r="H16" s="21">
        <f t="shared" si="2"/>
        <v>4680.9356023689934</v>
      </c>
      <c r="I16" s="21">
        <f t="shared" si="2"/>
        <v>3187.0580386924617</v>
      </c>
      <c r="J16" s="21">
        <f t="shared" si="2"/>
        <v>7215.0800064651694</v>
      </c>
      <c r="K16" s="21">
        <f t="shared" si="2"/>
        <v>5023.2062617770698</v>
      </c>
      <c r="L16" s="21">
        <f t="shared" si="2"/>
        <v>4608.0332409972298</v>
      </c>
      <c r="M16" s="21">
        <f t="shared" si="2"/>
        <v>5544.5688861613999</v>
      </c>
      <c r="N16" s="21">
        <f t="shared" si="2"/>
        <v>5746.6434176111597</v>
      </c>
      <c r="O16" s="21">
        <f t="shared" si="2"/>
        <v>5219.5327709279682</v>
      </c>
      <c r="P16" s="21">
        <f t="shared" si="2"/>
        <v>1711.3636363636365</v>
      </c>
      <c r="Q16" s="21">
        <f t="shared" si="2"/>
        <v>6051.9031141868509</v>
      </c>
      <c r="R16" s="21">
        <f t="shared" si="2"/>
        <v>8689.9766899766892</v>
      </c>
      <c r="S16" s="21">
        <f t="shared" si="2"/>
        <v>6688.8355186291055</v>
      </c>
      <c r="T16" s="21" t="e">
        <f t="shared" si="2"/>
        <v>#DIV/0!</v>
      </c>
      <c r="U16" s="21" t="e">
        <f t="shared" si="2"/>
        <v>#DIV/0!</v>
      </c>
      <c r="V16" s="21" t="e">
        <f t="shared" si="2"/>
        <v>#DIV/0!</v>
      </c>
      <c r="W16" s="23">
        <f t="shared" si="2"/>
        <v>5330.8082852467487</v>
      </c>
      <c r="X16" s="23" t="e">
        <f t="shared" si="0"/>
        <v>#DIV/0!</v>
      </c>
      <c r="Y16" s="13"/>
    </row>
    <row r="17" spans="1:25" x14ac:dyDescent="0.15">
      <c r="A17" s="51" t="s">
        <v>72</v>
      </c>
      <c r="B17" s="11" t="s">
        <v>73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268100</v>
      </c>
      <c r="J17" s="14">
        <v>58860</v>
      </c>
      <c r="K17" s="14">
        <v>0</v>
      </c>
      <c r="L17" s="14">
        <v>0</v>
      </c>
      <c r="M17" s="14">
        <v>75708</v>
      </c>
      <c r="N17" s="14">
        <v>213500</v>
      </c>
      <c r="O17" s="14">
        <v>51246</v>
      </c>
      <c r="P17" s="14">
        <v>0</v>
      </c>
      <c r="Q17" s="14">
        <v>56375</v>
      </c>
      <c r="R17" s="14">
        <v>56708</v>
      </c>
      <c r="S17" s="14">
        <v>0</v>
      </c>
      <c r="T17" s="14">
        <v>0</v>
      </c>
      <c r="U17" s="14">
        <v>0</v>
      </c>
      <c r="V17" s="14">
        <v>0</v>
      </c>
      <c r="W17" s="16">
        <f t="shared" ref="W17:W28" si="3">SUM(C17:V17)</f>
        <v>825185</v>
      </c>
      <c r="X17" s="16">
        <f t="shared" si="0"/>
        <v>41259.25</v>
      </c>
      <c r="Y17" s="13">
        <f>W17/W13</f>
        <v>4.9994232261963874E-2</v>
      </c>
    </row>
    <row r="18" spans="1:25" x14ac:dyDescent="0.15">
      <c r="A18" s="51"/>
      <c r="B18" s="11" t="s">
        <v>74</v>
      </c>
      <c r="C18" s="14">
        <v>4400</v>
      </c>
      <c r="D18" s="14">
        <v>4825</v>
      </c>
      <c r="E18" s="14">
        <v>4025</v>
      </c>
      <c r="F18" s="14">
        <v>4400</v>
      </c>
      <c r="G18" s="14">
        <v>4025</v>
      </c>
      <c r="H18" s="14">
        <v>5250</v>
      </c>
      <c r="I18" s="14">
        <v>0</v>
      </c>
      <c r="J18" s="14">
        <v>6950</v>
      </c>
      <c r="K18" s="14">
        <v>4400</v>
      </c>
      <c r="L18" s="14">
        <v>4025</v>
      </c>
      <c r="M18" s="14">
        <v>4825</v>
      </c>
      <c r="N18" s="14">
        <v>0</v>
      </c>
      <c r="O18" s="14">
        <v>3633</v>
      </c>
      <c r="P18" s="14">
        <v>0</v>
      </c>
      <c r="Q18" s="14">
        <v>4825</v>
      </c>
      <c r="R18" s="14">
        <v>4825</v>
      </c>
      <c r="S18" s="14">
        <v>4825</v>
      </c>
      <c r="T18" s="14">
        <v>0</v>
      </c>
      <c r="U18" s="14">
        <v>0</v>
      </c>
      <c r="V18" s="14">
        <v>7075</v>
      </c>
      <c r="W18" s="16">
        <f t="shared" si="3"/>
        <v>72308</v>
      </c>
      <c r="X18" s="16">
        <f t="shared" si="0"/>
        <v>3615.4</v>
      </c>
      <c r="Y18" s="13">
        <f>W18/W13</f>
        <v>4.3808151461770199E-3</v>
      </c>
    </row>
    <row r="19" spans="1:25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6">
        <f t="shared" si="3"/>
        <v>0</v>
      </c>
      <c r="X19" s="16">
        <f t="shared" si="0"/>
        <v>0</v>
      </c>
      <c r="Y19" s="13">
        <f>W19/W13</f>
        <v>0</v>
      </c>
    </row>
    <row r="20" spans="1:25" x14ac:dyDescent="0.15">
      <c r="A20" s="51"/>
      <c r="B20" s="11" t="s">
        <v>76</v>
      </c>
      <c r="C20" s="14">
        <v>5133</v>
      </c>
      <c r="D20" s="14">
        <v>4950</v>
      </c>
      <c r="E20" s="14">
        <v>4766</v>
      </c>
      <c r="F20" s="14">
        <v>4950</v>
      </c>
      <c r="G20" s="14">
        <v>4766</v>
      </c>
      <c r="H20" s="14">
        <v>4950</v>
      </c>
      <c r="I20" s="14">
        <v>0</v>
      </c>
      <c r="J20" s="14">
        <v>8333</v>
      </c>
      <c r="K20" s="14">
        <v>4950</v>
      </c>
      <c r="L20" s="14">
        <v>4583</v>
      </c>
      <c r="M20" s="14">
        <v>4583</v>
      </c>
      <c r="N20" s="14">
        <v>5208</v>
      </c>
      <c r="O20" s="14">
        <v>4766</v>
      </c>
      <c r="P20" s="14">
        <v>0</v>
      </c>
      <c r="Q20" s="14">
        <v>5208</v>
      </c>
      <c r="R20" s="14">
        <v>5208</v>
      </c>
      <c r="S20" s="14">
        <v>4767</v>
      </c>
      <c r="T20" s="14">
        <v>0</v>
      </c>
      <c r="U20" s="14">
        <v>0</v>
      </c>
      <c r="V20" s="14">
        <v>0</v>
      </c>
      <c r="W20" s="16">
        <f t="shared" si="3"/>
        <v>77121</v>
      </c>
      <c r="X20" s="16">
        <f t="shared" si="0"/>
        <v>3856.05</v>
      </c>
      <c r="Y20" s="13">
        <f>W20/W13</f>
        <v>4.6724130786125733E-3</v>
      </c>
    </row>
    <row r="21" spans="1:25" x14ac:dyDescent="0.15">
      <c r="A21" s="51"/>
      <c r="B21" s="11" t="s">
        <v>77</v>
      </c>
      <c r="C21" s="14">
        <v>26368</v>
      </c>
      <c r="D21" s="14">
        <v>42195</v>
      </c>
      <c r="E21" s="14">
        <v>22013</v>
      </c>
      <c r="F21" s="14">
        <v>37617</v>
      </c>
      <c r="G21" s="14">
        <v>57070</v>
      </c>
      <c r="H21" s="14">
        <v>33485</v>
      </c>
      <c r="I21" s="14">
        <v>0</v>
      </c>
      <c r="J21" s="14">
        <v>46653</v>
      </c>
      <c r="K21" s="14">
        <v>48980</v>
      </c>
      <c r="L21" s="14">
        <v>35664</v>
      </c>
      <c r="M21" s="14">
        <v>23249</v>
      </c>
      <c r="N21" s="14">
        <v>19417</v>
      </c>
      <c r="O21" s="14">
        <v>28932</v>
      </c>
      <c r="P21" s="14">
        <v>0</v>
      </c>
      <c r="Q21" s="14">
        <v>22121</v>
      </c>
      <c r="R21" s="14">
        <v>47267</v>
      </c>
      <c r="S21" s="14">
        <v>46352</v>
      </c>
      <c r="T21" s="14">
        <v>0</v>
      </c>
      <c r="U21" s="14">
        <v>0</v>
      </c>
      <c r="V21" s="14">
        <v>0</v>
      </c>
      <c r="W21" s="16">
        <f t="shared" si="3"/>
        <v>537383</v>
      </c>
      <c r="X21" s="16">
        <f t="shared" si="0"/>
        <v>26869.15</v>
      </c>
      <c r="Y21" s="13">
        <f>W21/W13</f>
        <v>3.2557608918764802E-2</v>
      </c>
    </row>
    <row r="22" spans="1:25" x14ac:dyDescent="0.15">
      <c r="A22" s="51"/>
      <c r="B22" s="24" t="s">
        <v>78</v>
      </c>
      <c r="C22" s="25">
        <f t="shared" ref="C22:V22" si="4">SUM(C17:C21)</f>
        <v>80589</v>
      </c>
      <c r="D22" s="25">
        <f t="shared" si="4"/>
        <v>51970</v>
      </c>
      <c r="E22" s="25">
        <f t="shared" si="4"/>
        <v>30804</v>
      </c>
      <c r="F22" s="25">
        <f t="shared" si="4"/>
        <v>46967</v>
      </c>
      <c r="G22" s="25">
        <f t="shared" si="4"/>
        <v>65861</v>
      </c>
      <c r="H22" s="25">
        <f t="shared" si="4"/>
        <v>43685</v>
      </c>
      <c r="I22" s="25">
        <f t="shared" si="4"/>
        <v>268100</v>
      </c>
      <c r="J22" s="25">
        <f t="shared" si="4"/>
        <v>120796</v>
      </c>
      <c r="K22" s="25">
        <f t="shared" si="4"/>
        <v>58330</v>
      </c>
      <c r="L22" s="25">
        <f t="shared" si="4"/>
        <v>44272</v>
      </c>
      <c r="M22" s="25">
        <f t="shared" si="4"/>
        <v>108365</v>
      </c>
      <c r="N22" s="25">
        <f t="shared" si="4"/>
        <v>238125</v>
      </c>
      <c r="O22" s="25">
        <f t="shared" si="4"/>
        <v>88577</v>
      </c>
      <c r="P22" s="25">
        <f t="shared" si="4"/>
        <v>0</v>
      </c>
      <c r="Q22" s="25">
        <f t="shared" si="4"/>
        <v>88529</v>
      </c>
      <c r="R22" s="25">
        <f t="shared" si="4"/>
        <v>114008</v>
      </c>
      <c r="S22" s="25">
        <f t="shared" si="4"/>
        <v>55944</v>
      </c>
      <c r="T22" s="25">
        <f t="shared" si="4"/>
        <v>0</v>
      </c>
      <c r="U22" s="25">
        <f t="shared" si="4"/>
        <v>0</v>
      </c>
      <c r="V22" s="25">
        <f t="shared" si="4"/>
        <v>7075</v>
      </c>
      <c r="W22" s="27">
        <f t="shared" si="3"/>
        <v>1511997</v>
      </c>
      <c r="X22" s="27">
        <f t="shared" si="0"/>
        <v>75599.850000000006</v>
      </c>
      <c r="Y22" s="28">
        <f>W22/W13</f>
        <v>9.1605069405518269E-2</v>
      </c>
    </row>
    <row r="23" spans="1:25" x14ac:dyDescent="0.15">
      <c r="A23" s="51" t="s">
        <v>79</v>
      </c>
      <c r="B23" s="11" t="s">
        <v>80</v>
      </c>
      <c r="C23" s="14">
        <v>10710</v>
      </c>
      <c r="D23" s="14">
        <v>3200</v>
      </c>
      <c r="E23" s="14">
        <v>4536</v>
      </c>
      <c r="F23" s="14">
        <v>150521</v>
      </c>
      <c r="G23" s="14">
        <v>21160</v>
      </c>
      <c r="H23" s="14">
        <v>10360</v>
      </c>
      <c r="I23" s="14">
        <v>107212</v>
      </c>
      <c r="J23" s="14">
        <v>61580</v>
      </c>
      <c r="K23" s="14">
        <v>135775</v>
      </c>
      <c r="L23" s="14">
        <v>6150</v>
      </c>
      <c r="M23" s="14">
        <v>5460</v>
      </c>
      <c r="N23" s="14">
        <v>22272</v>
      </c>
      <c r="O23" s="14">
        <v>5460</v>
      </c>
      <c r="P23" s="14">
        <v>99682</v>
      </c>
      <c r="Q23" s="14">
        <v>7684</v>
      </c>
      <c r="R23" s="14">
        <v>139029</v>
      </c>
      <c r="S23" s="14">
        <v>119035</v>
      </c>
      <c r="T23" s="14">
        <v>0</v>
      </c>
      <c r="U23" s="14">
        <v>0</v>
      </c>
      <c r="V23" s="14">
        <v>0</v>
      </c>
      <c r="W23" s="16">
        <f t="shared" si="3"/>
        <v>909826</v>
      </c>
      <c r="X23" s="16">
        <f t="shared" si="0"/>
        <v>45491.3</v>
      </c>
      <c r="Y23" s="13">
        <f>W23/W13</f>
        <v>5.5122248177043386E-2</v>
      </c>
    </row>
    <row r="24" spans="1:25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6">
        <f t="shared" si="3"/>
        <v>0</v>
      </c>
      <c r="X24" s="16">
        <f t="shared" si="0"/>
        <v>0</v>
      </c>
      <c r="Y24" s="13">
        <f>W24/W13</f>
        <v>0</v>
      </c>
    </row>
    <row r="25" spans="1:25" x14ac:dyDescent="0.15">
      <c r="A25" s="51"/>
      <c r="B25" s="11" t="s">
        <v>82</v>
      </c>
      <c r="C25" s="14">
        <f t="shared" ref="C25:V25" si="5">30000*C9/70000*C11</f>
        <v>2149.7142857142858</v>
      </c>
      <c r="D25" s="14">
        <f t="shared" si="5"/>
        <v>13947.428571428571</v>
      </c>
      <c r="E25" s="14">
        <f t="shared" si="5"/>
        <v>23287.285714285717</v>
      </c>
      <c r="F25" s="14">
        <f t="shared" si="5"/>
        <v>21419.142857142859</v>
      </c>
      <c r="G25" s="14">
        <f t="shared" si="5"/>
        <v>22890</v>
      </c>
      <c r="H25" s="14">
        <f t="shared" si="5"/>
        <v>22052.571428571431</v>
      </c>
      <c r="I25" s="14">
        <f t="shared" si="5"/>
        <v>4327.7142857142853</v>
      </c>
      <c r="J25" s="14">
        <f t="shared" si="5"/>
        <v>30678.600000000002</v>
      </c>
      <c r="K25" s="14">
        <f t="shared" si="5"/>
        <v>21227.142857142855</v>
      </c>
      <c r="L25" s="14">
        <f t="shared" si="5"/>
        <v>23085.857142857141</v>
      </c>
      <c r="M25" s="14">
        <f t="shared" si="5"/>
        <v>24152.142857142855</v>
      </c>
      <c r="N25" s="14">
        <f t="shared" si="5"/>
        <v>31409.571428571428</v>
      </c>
      <c r="O25" s="14">
        <f t="shared" si="5"/>
        <v>32006.142857142855</v>
      </c>
      <c r="P25" s="14">
        <f t="shared" si="5"/>
        <v>383.99999999999994</v>
      </c>
      <c r="Q25" s="14">
        <f t="shared" si="5"/>
        <v>30591.857142857145</v>
      </c>
      <c r="R25" s="14">
        <f t="shared" si="5"/>
        <v>17027.142857142855</v>
      </c>
      <c r="S25" s="14">
        <f t="shared" si="5"/>
        <v>17726.571428571428</v>
      </c>
      <c r="T25" s="14">
        <f t="shared" si="5"/>
        <v>0</v>
      </c>
      <c r="U25" s="14">
        <f t="shared" si="5"/>
        <v>0</v>
      </c>
      <c r="V25" s="14">
        <f t="shared" si="5"/>
        <v>0</v>
      </c>
      <c r="W25" s="16">
        <f t="shared" si="3"/>
        <v>338362.88571428572</v>
      </c>
      <c r="X25" s="16">
        <f t="shared" si="0"/>
        <v>16918.144285714287</v>
      </c>
      <c r="Y25" s="13">
        <f>W25/W13</f>
        <v>2.0499879054064651E-2</v>
      </c>
    </row>
    <row r="26" spans="1:25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6">
        <f t="shared" si="3"/>
        <v>0</v>
      </c>
      <c r="X26" s="16">
        <f t="shared" si="0"/>
        <v>0</v>
      </c>
      <c r="Y26" s="13">
        <f>W26/W13</f>
        <v>0</v>
      </c>
    </row>
    <row r="27" spans="1:25" x14ac:dyDescent="0.15">
      <c r="A27" s="51"/>
      <c r="B27" s="24" t="s">
        <v>83</v>
      </c>
      <c r="C27" s="25">
        <f t="shared" ref="C27:V27" si="6">SUM(C23:C26)</f>
        <v>12859.714285714286</v>
      </c>
      <c r="D27" s="25">
        <f t="shared" si="6"/>
        <v>17147.428571428572</v>
      </c>
      <c r="E27" s="25">
        <f t="shared" si="6"/>
        <v>27823.285714285717</v>
      </c>
      <c r="F27" s="25">
        <f t="shared" si="6"/>
        <v>171940.14285714287</v>
      </c>
      <c r="G27" s="25">
        <f t="shared" si="6"/>
        <v>44050</v>
      </c>
      <c r="H27" s="25">
        <f t="shared" si="6"/>
        <v>32412.571428571431</v>
      </c>
      <c r="I27" s="25">
        <f t="shared" si="6"/>
        <v>111539.71428571429</v>
      </c>
      <c r="J27" s="25">
        <f t="shared" si="6"/>
        <v>92258.6</v>
      </c>
      <c r="K27" s="25">
        <f t="shared" si="6"/>
        <v>157002.14285714284</v>
      </c>
      <c r="L27" s="25">
        <f t="shared" si="6"/>
        <v>29235.857142857141</v>
      </c>
      <c r="M27" s="25">
        <f t="shared" si="6"/>
        <v>29612.142857142855</v>
      </c>
      <c r="N27" s="25">
        <f t="shared" si="6"/>
        <v>53681.571428571428</v>
      </c>
      <c r="O27" s="25">
        <f t="shared" si="6"/>
        <v>37466.142857142855</v>
      </c>
      <c r="P27" s="25">
        <f t="shared" si="6"/>
        <v>100066</v>
      </c>
      <c r="Q27" s="25">
        <f t="shared" si="6"/>
        <v>38275.857142857145</v>
      </c>
      <c r="R27" s="25">
        <f t="shared" si="6"/>
        <v>156056.14285714284</v>
      </c>
      <c r="S27" s="25">
        <f t="shared" si="6"/>
        <v>136761.57142857142</v>
      </c>
      <c r="T27" s="25">
        <f t="shared" si="6"/>
        <v>0</v>
      </c>
      <c r="U27" s="25">
        <f t="shared" si="6"/>
        <v>0</v>
      </c>
      <c r="V27" s="25">
        <f t="shared" si="6"/>
        <v>0</v>
      </c>
      <c r="W27" s="27">
        <f t="shared" si="3"/>
        <v>1248188.8857142855</v>
      </c>
      <c r="X27" s="27">
        <f t="shared" si="0"/>
        <v>62409.444285714279</v>
      </c>
      <c r="Y27" s="28">
        <f>W27/W13</f>
        <v>7.5622127231108019E-2</v>
      </c>
    </row>
    <row r="28" spans="1:25" x14ac:dyDescent="0.15">
      <c r="A28" s="51" t="s">
        <v>84</v>
      </c>
      <c r="B28" s="8" t="s">
        <v>85</v>
      </c>
      <c r="C28" s="29">
        <v>170</v>
      </c>
      <c r="D28" s="29">
        <v>1249</v>
      </c>
      <c r="E28" s="29">
        <v>1550</v>
      </c>
      <c r="F28" s="29">
        <v>1389</v>
      </c>
      <c r="G28" s="29">
        <v>1420</v>
      </c>
      <c r="H28" s="29">
        <v>1524</v>
      </c>
      <c r="I28" s="29">
        <v>462</v>
      </c>
      <c r="J28" s="29">
        <v>2053</v>
      </c>
      <c r="K28" s="29">
        <v>1575</v>
      </c>
      <c r="L28" s="29">
        <v>1567</v>
      </c>
      <c r="M28" s="29">
        <v>1679</v>
      </c>
      <c r="N28" s="29">
        <v>2054</v>
      </c>
      <c r="O28" s="29">
        <v>2092</v>
      </c>
      <c r="P28" s="29">
        <v>211</v>
      </c>
      <c r="Q28" s="29">
        <v>1969</v>
      </c>
      <c r="R28" s="29">
        <v>950</v>
      </c>
      <c r="S28" s="29">
        <v>938</v>
      </c>
      <c r="T28" s="29">
        <v>0</v>
      </c>
      <c r="U28" s="29">
        <v>0</v>
      </c>
      <c r="V28" s="29">
        <v>0</v>
      </c>
      <c r="W28" s="31">
        <f t="shared" si="3"/>
        <v>22852</v>
      </c>
      <c r="X28" s="31">
        <f t="shared" si="0"/>
        <v>1142.5999999999999</v>
      </c>
      <c r="Y28" s="10">
        <f>W28/W13</f>
        <v>1.3844994706040446E-3</v>
      </c>
    </row>
    <row r="29" spans="1:25" x14ac:dyDescent="0.15">
      <c r="A29" s="51"/>
      <c r="B29" s="32" t="s">
        <v>86</v>
      </c>
      <c r="C29" s="33">
        <f t="shared" ref="C29:W29" si="7">SUM(C11/C28)</f>
        <v>3.6882352941176473</v>
      </c>
      <c r="D29" s="33">
        <f t="shared" si="7"/>
        <v>3.2570056044835867</v>
      </c>
      <c r="E29" s="33">
        <f t="shared" si="7"/>
        <v>3.5056129032258068</v>
      </c>
      <c r="F29" s="33">
        <f t="shared" si="7"/>
        <v>3.5981281497480202</v>
      </c>
      <c r="G29" s="33">
        <f t="shared" si="7"/>
        <v>3.7612676056338028</v>
      </c>
      <c r="H29" s="33">
        <f t="shared" si="7"/>
        <v>3.3763779527559059</v>
      </c>
      <c r="I29" s="33">
        <f t="shared" si="7"/>
        <v>2.1857142857142855</v>
      </c>
      <c r="J29" s="33">
        <f t="shared" si="7"/>
        <v>2.4905504140282515</v>
      </c>
      <c r="K29" s="33">
        <f t="shared" si="7"/>
        <v>3.1447619047619049</v>
      </c>
      <c r="L29" s="33">
        <f t="shared" si="7"/>
        <v>3.4375877472878109</v>
      </c>
      <c r="M29" s="33">
        <f t="shared" si="7"/>
        <v>3.3564621798689696</v>
      </c>
      <c r="N29" s="33">
        <f t="shared" si="7"/>
        <v>3.5681110029211291</v>
      </c>
      <c r="O29" s="33">
        <f t="shared" si="7"/>
        <v>3.5698374760994263</v>
      </c>
      <c r="P29" s="33">
        <f t="shared" si="7"/>
        <v>0.42464454976303317</v>
      </c>
      <c r="Q29" s="33">
        <f t="shared" si="7"/>
        <v>3.6252412392077198</v>
      </c>
      <c r="R29" s="33">
        <f t="shared" si="7"/>
        <v>4.1821052631578945</v>
      </c>
      <c r="S29" s="33">
        <f t="shared" si="7"/>
        <v>4.4095948827292109</v>
      </c>
      <c r="T29" s="33" t="e">
        <f t="shared" si="7"/>
        <v>#DIV/0!</v>
      </c>
      <c r="U29" s="33" t="e">
        <f t="shared" si="7"/>
        <v>#DIV/0!</v>
      </c>
      <c r="V29" s="33" t="e">
        <f t="shared" si="7"/>
        <v>#DIV/0!</v>
      </c>
      <c r="W29" s="35">
        <f t="shared" si="7"/>
        <v>3.4064895851566597</v>
      </c>
      <c r="X29" s="35" t="e">
        <f t="shared" si="0"/>
        <v>#DIV/0!</v>
      </c>
      <c r="Y29" s="32">
        <f>W29/W13</f>
        <v>2.063838188021874E-7</v>
      </c>
    </row>
    <row r="30" spans="1:25" x14ac:dyDescent="0.15">
      <c r="A30" s="51"/>
      <c r="B30" s="11" t="s">
        <v>87</v>
      </c>
      <c r="C30" s="14">
        <v>19499</v>
      </c>
      <c r="D30" s="14">
        <v>143260</v>
      </c>
      <c r="E30" s="14">
        <v>177785</v>
      </c>
      <c r="F30" s="14">
        <v>159318</v>
      </c>
      <c r="G30" s="14">
        <v>162874</v>
      </c>
      <c r="H30" s="14">
        <v>174803</v>
      </c>
      <c r="I30" s="14">
        <v>52991</v>
      </c>
      <c r="J30" s="14">
        <v>235479</v>
      </c>
      <c r="K30" s="14">
        <v>180653</v>
      </c>
      <c r="L30" s="14">
        <v>179735</v>
      </c>
      <c r="M30" s="14">
        <v>192581</v>
      </c>
      <c r="N30" s="14">
        <v>235594</v>
      </c>
      <c r="O30" s="14">
        <v>239952</v>
      </c>
      <c r="P30" s="14">
        <v>24202</v>
      </c>
      <c r="Q30" s="14">
        <v>225844</v>
      </c>
      <c r="R30" s="14">
        <v>108965</v>
      </c>
      <c r="S30" s="14">
        <v>107589</v>
      </c>
      <c r="T30" s="14">
        <v>0</v>
      </c>
      <c r="U30" s="14">
        <v>0</v>
      </c>
      <c r="V30" s="14">
        <v>0</v>
      </c>
      <c r="W30" s="16">
        <f t="shared" ref="W30:W43" si="8">SUM(C30:V30)</f>
        <v>2621124</v>
      </c>
      <c r="X30" s="16">
        <f t="shared" si="0"/>
        <v>131056.2</v>
      </c>
      <c r="Y30" s="13">
        <f>W30/W13</f>
        <v>0.15880206504409047</v>
      </c>
    </row>
    <row r="31" spans="1:25" x14ac:dyDescent="0.15">
      <c r="A31" s="51"/>
      <c r="B31" s="11" t="s">
        <v>88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12425</v>
      </c>
      <c r="L31" s="14">
        <v>0</v>
      </c>
      <c r="M31" s="14">
        <v>10650</v>
      </c>
      <c r="N31" s="14">
        <v>11005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6">
        <f t="shared" si="8"/>
        <v>34080</v>
      </c>
      <c r="X31" s="16">
        <f t="shared" si="0"/>
        <v>1704</v>
      </c>
      <c r="Y31" s="13">
        <f>W31/W13</f>
        <v>2.0647532801586661E-3</v>
      </c>
    </row>
    <row r="32" spans="1:25" x14ac:dyDescent="0.15">
      <c r="A32" s="51"/>
      <c r="B32" s="11" t="s">
        <v>89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6">
        <f t="shared" si="8"/>
        <v>0</v>
      </c>
      <c r="X32" s="16">
        <f t="shared" si="0"/>
        <v>0</v>
      </c>
      <c r="Y32" s="13">
        <f>W32/W13</f>
        <v>0</v>
      </c>
    </row>
    <row r="33" spans="1:25" x14ac:dyDescent="0.15">
      <c r="A33" s="51"/>
      <c r="B33" s="24" t="s">
        <v>90</v>
      </c>
      <c r="C33" s="25">
        <f t="shared" ref="C33:V33" si="9">SUM(C30:C32)</f>
        <v>19499</v>
      </c>
      <c r="D33" s="25">
        <f t="shared" si="9"/>
        <v>143260</v>
      </c>
      <c r="E33" s="25">
        <f t="shared" si="9"/>
        <v>177785</v>
      </c>
      <c r="F33" s="25">
        <f t="shared" si="9"/>
        <v>159318</v>
      </c>
      <c r="G33" s="25">
        <f t="shared" si="9"/>
        <v>162874</v>
      </c>
      <c r="H33" s="25">
        <f t="shared" si="9"/>
        <v>174803</v>
      </c>
      <c r="I33" s="25">
        <f t="shared" si="9"/>
        <v>52991</v>
      </c>
      <c r="J33" s="25">
        <f t="shared" si="9"/>
        <v>235479</v>
      </c>
      <c r="K33" s="25">
        <f t="shared" si="9"/>
        <v>193078</v>
      </c>
      <c r="L33" s="25">
        <f t="shared" si="9"/>
        <v>179735</v>
      </c>
      <c r="M33" s="25">
        <f t="shared" si="9"/>
        <v>203231</v>
      </c>
      <c r="N33" s="25">
        <f t="shared" si="9"/>
        <v>246599</v>
      </c>
      <c r="O33" s="25">
        <f t="shared" si="9"/>
        <v>239952</v>
      </c>
      <c r="P33" s="25">
        <f t="shared" si="9"/>
        <v>24202</v>
      </c>
      <c r="Q33" s="25">
        <f t="shared" si="9"/>
        <v>225844</v>
      </c>
      <c r="R33" s="25">
        <f t="shared" si="9"/>
        <v>108965</v>
      </c>
      <c r="S33" s="25">
        <f t="shared" si="9"/>
        <v>107589</v>
      </c>
      <c r="T33" s="25">
        <f t="shared" si="9"/>
        <v>0</v>
      </c>
      <c r="U33" s="25">
        <f t="shared" si="9"/>
        <v>0</v>
      </c>
      <c r="V33" s="25">
        <f t="shared" si="9"/>
        <v>0</v>
      </c>
      <c r="W33" s="27">
        <f t="shared" si="8"/>
        <v>2655204</v>
      </c>
      <c r="X33" s="27">
        <f t="shared" si="0"/>
        <v>132760.20000000001</v>
      </c>
      <c r="Y33" s="28">
        <f>W33/W13</f>
        <v>0.16086681832424915</v>
      </c>
    </row>
    <row r="34" spans="1:25" x14ac:dyDescent="0.15">
      <c r="A34" s="51" t="s">
        <v>91</v>
      </c>
      <c r="B34" s="11" t="s">
        <v>92</v>
      </c>
      <c r="C34" s="14">
        <v>2008</v>
      </c>
      <c r="D34" s="14">
        <v>2365</v>
      </c>
      <c r="E34" s="14">
        <v>2008</v>
      </c>
      <c r="F34" s="14">
        <v>2008</v>
      </c>
      <c r="G34" s="14">
        <v>2008</v>
      </c>
      <c r="H34" s="14">
        <v>2008</v>
      </c>
      <c r="I34" s="14">
        <v>0</v>
      </c>
      <c r="J34" s="14">
        <v>2451</v>
      </c>
      <c r="K34" s="14">
        <v>2008</v>
      </c>
      <c r="L34" s="14">
        <v>2008</v>
      </c>
      <c r="M34" s="14">
        <v>2008</v>
      </c>
      <c r="N34" s="14">
        <v>2008</v>
      </c>
      <c r="O34" s="14">
        <v>2008</v>
      </c>
      <c r="P34" s="14">
        <v>0</v>
      </c>
      <c r="Q34" s="14">
        <v>2008</v>
      </c>
      <c r="R34" s="14">
        <v>2008</v>
      </c>
      <c r="S34" s="14">
        <v>2008</v>
      </c>
      <c r="T34" s="14">
        <v>0</v>
      </c>
      <c r="U34" s="14">
        <v>0</v>
      </c>
      <c r="V34" s="14">
        <v>0</v>
      </c>
      <c r="W34" s="16">
        <f t="shared" si="8"/>
        <v>30920</v>
      </c>
      <c r="X34" s="16">
        <f t="shared" si="0"/>
        <v>1546</v>
      </c>
      <c r="Y34" s="13">
        <f>W34/W13</f>
        <v>1.8733031520688367E-3</v>
      </c>
    </row>
    <row r="35" spans="1:25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6">
        <f t="shared" si="8"/>
        <v>0</v>
      </c>
      <c r="X35" s="16">
        <f t="shared" si="0"/>
        <v>0</v>
      </c>
      <c r="Y35" s="13">
        <f>W35/W13</f>
        <v>0</v>
      </c>
    </row>
    <row r="36" spans="1:25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6">
        <f t="shared" si="8"/>
        <v>0</v>
      </c>
      <c r="X36" s="16">
        <f t="shared" si="0"/>
        <v>0</v>
      </c>
      <c r="Y36" s="13">
        <f>W36/W13</f>
        <v>0</v>
      </c>
    </row>
    <row r="37" spans="1:25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6">
        <f t="shared" si="8"/>
        <v>0</v>
      </c>
      <c r="X37" s="16">
        <f t="shared" si="0"/>
        <v>0</v>
      </c>
      <c r="Y37" s="13">
        <f>W37/W13</f>
        <v>0</v>
      </c>
    </row>
    <row r="38" spans="1:25" x14ac:dyDescent="0.15">
      <c r="A38" s="51"/>
      <c r="B38" s="11" t="s">
        <v>93</v>
      </c>
      <c r="C38" s="14">
        <v>5366</v>
      </c>
      <c r="D38" s="14">
        <v>5366</v>
      </c>
      <c r="E38" s="14">
        <v>5366</v>
      </c>
      <c r="F38" s="14">
        <v>5366</v>
      </c>
      <c r="G38" s="14">
        <v>5366</v>
      </c>
      <c r="H38" s="14">
        <v>5366</v>
      </c>
      <c r="I38" s="14">
        <v>10718</v>
      </c>
      <c r="J38" s="14">
        <v>10690</v>
      </c>
      <c r="K38" s="14">
        <v>5366</v>
      </c>
      <c r="L38" s="14">
        <v>5366</v>
      </c>
      <c r="M38" s="14">
        <v>7671</v>
      </c>
      <c r="N38" s="14">
        <v>8639</v>
      </c>
      <c r="O38" s="14">
        <v>5366</v>
      </c>
      <c r="P38" s="14">
        <v>5576</v>
      </c>
      <c r="Q38" s="14">
        <v>7624</v>
      </c>
      <c r="R38" s="14">
        <v>6832</v>
      </c>
      <c r="S38" s="14">
        <v>4621</v>
      </c>
      <c r="T38" s="14">
        <v>0</v>
      </c>
      <c r="U38" s="14">
        <v>0</v>
      </c>
      <c r="V38" s="14">
        <v>0</v>
      </c>
      <c r="W38" s="16">
        <f t="shared" si="8"/>
        <v>110665</v>
      </c>
      <c r="X38" s="16">
        <f t="shared" si="0"/>
        <v>5533.25</v>
      </c>
      <c r="Y38" s="13">
        <f>W38/W13</f>
        <v>6.7046925395762551E-3</v>
      </c>
    </row>
    <row r="39" spans="1:25" x14ac:dyDescent="0.15">
      <c r="A39" s="51"/>
      <c r="B39" s="24" t="s">
        <v>94</v>
      </c>
      <c r="C39" s="25">
        <f t="shared" ref="C39:V39" si="10">SUM(C34:C38)</f>
        <v>7374</v>
      </c>
      <c r="D39" s="25">
        <f t="shared" si="10"/>
        <v>7731</v>
      </c>
      <c r="E39" s="25">
        <f t="shared" si="10"/>
        <v>7374</v>
      </c>
      <c r="F39" s="25">
        <f t="shared" si="10"/>
        <v>7374</v>
      </c>
      <c r="G39" s="25">
        <f t="shared" si="10"/>
        <v>7374</v>
      </c>
      <c r="H39" s="25">
        <f t="shared" si="10"/>
        <v>7374</v>
      </c>
      <c r="I39" s="25">
        <f t="shared" si="10"/>
        <v>10718</v>
      </c>
      <c r="J39" s="25">
        <f t="shared" si="10"/>
        <v>13141</v>
      </c>
      <c r="K39" s="25">
        <f t="shared" si="10"/>
        <v>7374</v>
      </c>
      <c r="L39" s="25">
        <f t="shared" si="10"/>
        <v>7374</v>
      </c>
      <c r="M39" s="25">
        <f t="shared" si="10"/>
        <v>9679</v>
      </c>
      <c r="N39" s="25">
        <f t="shared" si="10"/>
        <v>10647</v>
      </c>
      <c r="O39" s="25">
        <f t="shared" si="10"/>
        <v>7374</v>
      </c>
      <c r="P39" s="25">
        <f t="shared" si="10"/>
        <v>5576</v>
      </c>
      <c r="Q39" s="25">
        <f t="shared" si="10"/>
        <v>9632</v>
      </c>
      <c r="R39" s="25">
        <f t="shared" si="10"/>
        <v>8840</v>
      </c>
      <c r="S39" s="25">
        <f t="shared" si="10"/>
        <v>6629</v>
      </c>
      <c r="T39" s="25">
        <f t="shared" si="10"/>
        <v>0</v>
      </c>
      <c r="U39" s="25">
        <f t="shared" si="10"/>
        <v>0</v>
      </c>
      <c r="V39" s="25">
        <f t="shared" si="10"/>
        <v>0</v>
      </c>
      <c r="W39" s="27">
        <f t="shared" si="8"/>
        <v>141585</v>
      </c>
      <c r="X39" s="27">
        <f t="shared" si="0"/>
        <v>7079.25</v>
      </c>
      <c r="Y39" s="28">
        <f>W39/W13</f>
        <v>8.5779956916450916E-3</v>
      </c>
    </row>
    <row r="40" spans="1:25" x14ac:dyDescent="0.15">
      <c r="A40" s="51" t="s">
        <v>95</v>
      </c>
      <c r="B40" s="11" t="s">
        <v>96</v>
      </c>
      <c r="C40" s="14">
        <v>11500</v>
      </c>
      <c r="D40" s="14">
        <v>0</v>
      </c>
      <c r="E40" s="14">
        <v>87370</v>
      </c>
      <c r="F40" s="14">
        <v>101970</v>
      </c>
      <c r="G40" s="14">
        <v>83780</v>
      </c>
      <c r="H40" s="14">
        <v>78220</v>
      </c>
      <c r="I40" s="14">
        <v>3590</v>
      </c>
      <c r="J40" s="14">
        <v>190670</v>
      </c>
      <c r="K40" s="14">
        <v>86660</v>
      </c>
      <c r="L40" s="14">
        <v>74740</v>
      </c>
      <c r="M40" s="14">
        <v>112750</v>
      </c>
      <c r="N40" s="14">
        <v>180340</v>
      </c>
      <c r="O40" s="14">
        <v>162110</v>
      </c>
      <c r="P40" s="14">
        <v>1100</v>
      </c>
      <c r="Q40" s="14">
        <v>196900</v>
      </c>
      <c r="R40" s="14">
        <v>108790</v>
      </c>
      <c r="S40" s="14">
        <v>83700</v>
      </c>
      <c r="T40" s="14">
        <v>0</v>
      </c>
      <c r="U40" s="14">
        <v>0</v>
      </c>
      <c r="V40" s="14">
        <v>0</v>
      </c>
      <c r="W40" s="16">
        <f t="shared" si="8"/>
        <v>1564190</v>
      </c>
      <c r="X40" s="16">
        <f t="shared" si="0"/>
        <v>78209.5</v>
      </c>
      <c r="Y40" s="13">
        <f>W40/W13</f>
        <v>9.4767207549629806E-2</v>
      </c>
    </row>
    <row r="41" spans="1:25" x14ac:dyDescent="0.15">
      <c r="A41" s="51"/>
      <c r="B41" s="11" t="s">
        <v>97</v>
      </c>
      <c r="C41" s="14">
        <v>-11500</v>
      </c>
      <c r="D41" s="14">
        <v>-1440</v>
      </c>
      <c r="E41" s="14">
        <v>-41095</v>
      </c>
      <c r="F41" s="14">
        <v>-41660</v>
      </c>
      <c r="G41" s="14">
        <v>-38343</v>
      </c>
      <c r="H41" s="14">
        <v>-40478</v>
      </c>
      <c r="I41" s="14">
        <v>-742</v>
      </c>
      <c r="J41" s="14">
        <v>-67979</v>
      </c>
      <c r="K41" s="14">
        <v>-39576</v>
      </c>
      <c r="L41" s="14">
        <v>-31412</v>
      </c>
      <c r="M41" s="14">
        <v>-57634</v>
      </c>
      <c r="N41" s="14">
        <v>-62858</v>
      </c>
      <c r="O41" s="14">
        <v>-73836</v>
      </c>
      <c r="P41" s="14">
        <v>0</v>
      </c>
      <c r="Q41" s="14">
        <v>-46964</v>
      </c>
      <c r="R41" s="14">
        <v>-79750</v>
      </c>
      <c r="S41" s="14">
        <v>-79750</v>
      </c>
      <c r="T41" s="14">
        <v>0</v>
      </c>
      <c r="U41" s="14">
        <v>0</v>
      </c>
      <c r="V41" s="14">
        <v>0</v>
      </c>
      <c r="W41" s="16">
        <f t="shared" si="8"/>
        <v>-715017</v>
      </c>
      <c r="X41" s="16">
        <f t="shared" si="0"/>
        <v>-35750.85</v>
      </c>
      <c r="Y41" s="13">
        <f>W41/W13</f>
        <v>-4.331965070772327E-2</v>
      </c>
    </row>
    <row r="42" spans="1:25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6">
        <f t="shared" si="8"/>
        <v>0</v>
      </c>
      <c r="X42" s="16">
        <f t="shared" si="0"/>
        <v>0</v>
      </c>
      <c r="Y42" s="13">
        <f>W42/W13</f>
        <v>0</v>
      </c>
    </row>
    <row r="43" spans="1:25" x14ac:dyDescent="0.15">
      <c r="A43" s="51"/>
      <c r="B43" s="11" t="s">
        <v>99</v>
      </c>
      <c r="C43" s="14">
        <v>-3680</v>
      </c>
      <c r="D43" s="14">
        <v>0</v>
      </c>
      <c r="E43" s="14">
        <v>-27958.400000000001</v>
      </c>
      <c r="F43" s="14">
        <v>-32630.400000000001</v>
      </c>
      <c r="G43" s="14">
        <v>-26809.599999999999</v>
      </c>
      <c r="H43" s="14">
        <v>-25030.400000000001</v>
      </c>
      <c r="I43" s="14">
        <v>-1148.8</v>
      </c>
      <c r="J43" s="14">
        <v>-61014.400000000001</v>
      </c>
      <c r="K43" s="14">
        <v>-27731.200000000001</v>
      </c>
      <c r="L43" s="14">
        <v>-23916.799999999999</v>
      </c>
      <c r="M43" s="14">
        <v>-36080</v>
      </c>
      <c r="N43" s="14">
        <v>-57708.800000000003</v>
      </c>
      <c r="O43" s="14">
        <v>-51875.199999999997</v>
      </c>
      <c r="P43" s="14">
        <v>-352</v>
      </c>
      <c r="Q43" s="14">
        <v>-63008</v>
      </c>
      <c r="R43" s="14">
        <v>-34812.800000000003</v>
      </c>
      <c r="S43" s="14">
        <v>-26784</v>
      </c>
      <c r="T43" s="14">
        <v>0</v>
      </c>
      <c r="U43" s="14">
        <v>0</v>
      </c>
      <c r="V43" s="14">
        <v>0</v>
      </c>
      <c r="W43" s="16">
        <f t="shared" si="8"/>
        <v>-500540.8</v>
      </c>
      <c r="X43" s="16">
        <f>AVERAGE(B43:V43)</f>
        <v>-25027.040000000001</v>
      </c>
      <c r="Y43" s="13">
        <f>W43/W13</f>
        <v>-3.032550641588154E-2</v>
      </c>
    </row>
    <row r="44" spans="1:25" x14ac:dyDescent="0.15">
      <c r="A44" s="51"/>
      <c r="B44" s="24" t="s">
        <v>100</v>
      </c>
      <c r="C44" s="25">
        <f t="shared" ref="C44:W44" si="11">SUM(C40:C43)</f>
        <v>-3680</v>
      </c>
      <c r="D44" s="25">
        <f t="shared" si="11"/>
        <v>-1440</v>
      </c>
      <c r="E44" s="25">
        <f t="shared" si="11"/>
        <v>18316.599999999999</v>
      </c>
      <c r="F44" s="25">
        <f t="shared" si="11"/>
        <v>27679.599999999999</v>
      </c>
      <c r="G44" s="25">
        <f t="shared" si="11"/>
        <v>18627.400000000001</v>
      </c>
      <c r="H44" s="25">
        <f t="shared" si="11"/>
        <v>12711.599999999999</v>
      </c>
      <c r="I44" s="25">
        <f t="shared" si="11"/>
        <v>1699.2</v>
      </c>
      <c r="J44" s="25">
        <f t="shared" si="11"/>
        <v>61676.6</v>
      </c>
      <c r="K44" s="25">
        <f t="shared" si="11"/>
        <v>19352.8</v>
      </c>
      <c r="L44" s="25">
        <f t="shared" si="11"/>
        <v>19411.2</v>
      </c>
      <c r="M44" s="25">
        <f t="shared" si="11"/>
        <v>19036</v>
      </c>
      <c r="N44" s="25">
        <f t="shared" si="11"/>
        <v>59773.2</v>
      </c>
      <c r="O44" s="25">
        <f t="shared" si="11"/>
        <v>36398.800000000003</v>
      </c>
      <c r="P44" s="25">
        <f t="shared" si="11"/>
        <v>748</v>
      </c>
      <c r="Q44" s="25">
        <f t="shared" si="11"/>
        <v>86928</v>
      </c>
      <c r="R44" s="25">
        <f t="shared" si="11"/>
        <v>-5772.8000000000029</v>
      </c>
      <c r="S44" s="25">
        <f t="shared" si="11"/>
        <v>-22834</v>
      </c>
      <c r="T44" s="25">
        <f t="shared" si="11"/>
        <v>0</v>
      </c>
      <c r="U44" s="25">
        <f t="shared" si="11"/>
        <v>0</v>
      </c>
      <c r="V44" s="25">
        <f t="shared" si="11"/>
        <v>0</v>
      </c>
      <c r="W44" s="27">
        <f t="shared" si="11"/>
        <v>348632.2</v>
      </c>
      <c r="X44" s="27">
        <f>AVERAGE(B44:V44)</f>
        <v>17431.61</v>
      </c>
      <c r="Y44" s="28">
        <f>W44/W13</f>
        <v>2.1122050426025003E-2</v>
      </c>
    </row>
    <row r="45" spans="1:25" x14ac:dyDescent="0.15">
      <c r="A45" s="51" t="s">
        <v>101</v>
      </c>
      <c r="B45" s="11" t="s">
        <v>102</v>
      </c>
      <c r="C45" s="14">
        <v>27388</v>
      </c>
      <c r="D45" s="14">
        <v>410816</v>
      </c>
      <c r="E45" s="14">
        <v>643612</v>
      </c>
      <c r="F45" s="14">
        <v>314959</v>
      </c>
      <c r="G45" s="14">
        <v>328653</v>
      </c>
      <c r="H45" s="14">
        <v>314960</v>
      </c>
      <c r="I45" s="14">
        <v>123245</v>
      </c>
      <c r="J45" s="14">
        <v>314959</v>
      </c>
      <c r="K45" s="14">
        <v>383429</v>
      </c>
      <c r="L45" s="14">
        <v>328654</v>
      </c>
      <c r="M45" s="14">
        <v>356041</v>
      </c>
      <c r="N45" s="14">
        <v>301266</v>
      </c>
      <c r="O45" s="14">
        <v>369734</v>
      </c>
      <c r="P45" s="14">
        <v>27388</v>
      </c>
      <c r="Q45" s="14">
        <v>301265</v>
      </c>
      <c r="R45" s="14">
        <v>150633</v>
      </c>
      <c r="S45" s="14">
        <v>164326</v>
      </c>
      <c r="T45" s="14">
        <v>0</v>
      </c>
      <c r="U45" s="14">
        <v>0</v>
      </c>
      <c r="V45" s="14">
        <v>0</v>
      </c>
      <c r="W45" s="16">
        <f t="shared" ref="W45:W60" si="12">SUM(C45:V45)</f>
        <v>4861328</v>
      </c>
      <c r="X45" s="16">
        <f t="shared" ref="X45:X60" si="13">AVERAGE(C45:V45)</f>
        <v>243066.4</v>
      </c>
      <c r="Y45" s="13">
        <f>W45/W13</f>
        <v>0.29452590768565634</v>
      </c>
    </row>
    <row r="46" spans="1:25" x14ac:dyDescent="0.15">
      <c r="A46" s="51"/>
      <c r="B46" s="11" t="s">
        <v>103</v>
      </c>
      <c r="C46" s="14">
        <v>1620</v>
      </c>
      <c r="D46" s="14">
        <v>24295</v>
      </c>
      <c r="E46" s="14">
        <v>38062</v>
      </c>
      <c r="F46" s="14">
        <v>18626</v>
      </c>
      <c r="G46" s="14">
        <v>19435</v>
      </c>
      <c r="H46" s="14">
        <v>18626</v>
      </c>
      <c r="I46" s="14">
        <v>7288</v>
      </c>
      <c r="J46" s="14">
        <v>18625</v>
      </c>
      <c r="K46" s="14">
        <v>22675</v>
      </c>
      <c r="L46" s="14">
        <v>19436</v>
      </c>
      <c r="M46" s="14">
        <v>21056</v>
      </c>
      <c r="N46" s="14">
        <v>17815</v>
      </c>
      <c r="O46" s="14">
        <v>21865</v>
      </c>
      <c r="P46" s="14">
        <v>1620</v>
      </c>
      <c r="Q46" s="14">
        <v>17816</v>
      </c>
      <c r="R46" s="14">
        <v>8907</v>
      </c>
      <c r="S46" s="14">
        <v>9717</v>
      </c>
      <c r="T46" s="14">
        <v>0</v>
      </c>
      <c r="U46" s="14">
        <v>0</v>
      </c>
      <c r="V46" s="14">
        <v>0</v>
      </c>
      <c r="W46" s="16">
        <f t="shared" si="12"/>
        <v>287484</v>
      </c>
      <c r="X46" s="16">
        <f t="shared" si="13"/>
        <v>14374.2</v>
      </c>
      <c r="Y46" s="13">
        <f>W46/W13</f>
        <v>1.7417357159422945E-2</v>
      </c>
    </row>
    <row r="47" spans="1:25" x14ac:dyDescent="0.15">
      <c r="A47" s="51"/>
      <c r="B47" s="11" t="s">
        <v>104</v>
      </c>
      <c r="C47" s="14">
        <v>5058</v>
      </c>
      <c r="D47" s="14">
        <v>75875</v>
      </c>
      <c r="E47" s="14">
        <v>118869</v>
      </c>
      <c r="F47" s="14">
        <v>58170</v>
      </c>
      <c r="G47" s="14">
        <v>60699</v>
      </c>
      <c r="H47" s="14">
        <v>58170</v>
      </c>
      <c r="I47" s="14">
        <v>22762</v>
      </c>
      <c r="J47" s="14">
        <v>58170</v>
      </c>
      <c r="K47" s="14">
        <v>70816</v>
      </c>
      <c r="L47" s="14">
        <v>60699</v>
      </c>
      <c r="M47" s="14">
        <v>65757</v>
      </c>
      <c r="N47" s="14">
        <v>55641</v>
      </c>
      <c r="O47" s="14">
        <v>68287</v>
      </c>
      <c r="P47" s="14">
        <v>5058</v>
      </c>
      <c r="Q47" s="14">
        <v>55641</v>
      </c>
      <c r="R47" s="14">
        <v>27820</v>
      </c>
      <c r="S47" s="14">
        <v>30351</v>
      </c>
      <c r="T47" s="14">
        <v>0</v>
      </c>
      <c r="U47" s="14">
        <v>0</v>
      </c>
      <c r="V47" s="14">
        <v>0</v>
      </c>
      <c r="W47" s="16">
        <f t="shared" si="12"/>
        <v>897843</v>
      </c>
      <c r="X47" s="16">
        <f t="shared" si="13"/>
        <v>44892.15</v>
      </c>
      <c r="Y47" s="13">
        <f>W47/W13</f>
        <v>5.4396252327391349E-2</v>
      </c>
    </row>
    <row r="48" spans="1:25" x14ac:dyDescent="0.15">
      <c r="A48" s="51"/>
      <c r="B48" s="11" t="s">
        <v>105</v>
      </c>
      <c r="C48" s="14">
        <v>299</v>
      </c>
      <c r="D48" s="14">
        <v>4483</v>
      </c>
      <c r="E48" s="14">
        <v>7025</v>
      </c>
      <c r="F48" s="14">
        <v>3438</v>
      </c>
      <c r="G48" s="14">
        <v>3587</v>
      </c>
      <c r="H48" s="14">
        <v>3437</v>
      </c>
      <c r="I48" s="14">
        <v>1345</v>
      </c>
      <c r="J48" s="14">
        <v>3438</v>
      </c>
      <c r="K48" s="14">
        <v>4184</v>
      </c>
      <c r="L48" s="14">
        <v>3587</v>
      </c>
      <c r="M48" s="14">
        <v>3885</v>
      </c>
      <c r="N48" s="14">
        <v>3288</v>
      </c>
      <c r="O48" s="14">
        <v>4036</v>
      </c>
      <c r="P48" s="14">
        <v>299</v>
      </c>
      <c r="Q48" s="14">
        <v>3288</v>
      </c>
      <c r="R48" s="14">
        <v>1644</v>
      </c>
      <c r="S48" s="14">
        <v>1795</v>
      </c>
      <c r="T48" s="14">
        <v>0</v>
      </c>
      <c r="U48" s="14">
        <v>0</v>
      </c>
      <c r="V48" s="14">
        <v>0</v>
      </c>
      <c r="W48" s="16">
        <f t="shared" si="12"/>
        <v>53058</v>
      </c>
      <c r="X48" s="16">
        <f t="shared" si="13"/>
        <v>2652.9</v>
      </c>
      <c r="Y48" s="13">
        <f>W48/W13</f>
        <v>3.2145445874019515E-3</v>
      </c>
    </row>
    <row r="49" spans="1:25" x14ac:dyDescent="0.15">
      <c r="A49" s="51"/>
      <c r="B49" s="24" t="s">
        <v>106</v>
      </c>
      <c r="C49" s="25">
        <f t="shared" ref="C49:V49" si="14">SUM(C45:C48)</f>
        <v>34365</v>
      </c>
      <c r="D49" s="25">
        <f t="shared" si="14"/>
        <v>515469</v>
      </c>
      <c r="E49" s="25">
        <f t="shared" si="14"/>
        <v>807568</v>
      </c>
      <c r="F49" s="25">
        <f t="shared" si="14"/>
        <v>395193</v>
      </c>
      <c r="G49" s="25">
        <f t="shared" si="14"/>
        <v>412374</v>
      </c>
      <c r="H49" s="25">
        <f t="shared" si="14"/>
        <v>395193</v>
      </c>
      <c r="I49" s="25">
        <f t="shared" si="14"/>
        <v>154640</v>
      </c>
      <c r="J49" s="25">
        <f t="shared" si="14"/>
        <v>395192</v>
      </c>
      <c r="K49" s="25">
        <f t="shared" si="14"/>
        <v>481104</v>
      </c>
      <c r="L49" s="25">
        <f t="shared" si="14"/>
        <v>412376</v>
      </c>
      <c r="M49" s="25">
        <f t="shared" si="14"/>
        <v>446739</v>
      </c>
      <c r="N49" s="25">
        <f t="shared" si="14"/>
        <v>378010</v>
      </c>
      <c r="O49" s="25">
        <f t="shared" si="14"/>
        <v>463922</v>
      </c>
      <c r="P49" s="25">
        <f t="shared" si="14"/>
        <v>34365</v>
      </c>
      <c r="Q49" s="25">
        <f t="shared" si="14"/>
        <v>378010</v>
      </c>
      <c r="R49" s="25">
        <f t="shared" si="14"/>
        <v>189004</v>
      </c>
      <c r="S49" s="25">
        <f t="shared" si="14"/>
        <v>206189</v>
      </c>
      <c r="T49" s="25">
        <f t="shared" si="14"/>
        <v>0</v>
      </c>
      <c r="U49" s="25">
        <f t="shared" si="14"/>
        <v>0</v>
      </c>
      <c r="V49" s="25">
        <f t="shared" si="14"/>
        <v>0</v>
      </c>
      <c r="W49" s="27">
        <f t="shared" si="12"/>
        <v>6099713</v>
      </c>
      <c r="X49" s="27">
        <f t="shared" si="13"/>
        <v>304985.65000000002</v>
      </c>
      <c r="Y49" s="28">
        <f>W49/W13</f>
        <v>0.3695540617598726</v>
      </c>
    </row>
    <row r="50" spans="1:25" x14ac:dyDescent="0.15">
      <c r="A50" s="51" t="s">
        <v>107</v>
      </c>
      <c r="B50" s="11" t="s">
        <v>108</v>
      </c>
      <c r="C50" s="14">
        <v>6500</v>
      </c>
      <c r="D50" s="14">
        <v>6500</v>
      </c>
      <c r="E50" s="14">
        <v>6500</v>
      </c>
      <c r="F50" s="14">
        <v>6500</v>
      </c>
      <c r="G50" s="14">
        <v>6500</v>
      </c>
      <c r="H50" s="14">
        <v>6500</v>
      </c>
      <c r="I50" s="14">
        <v>6500</v>
      </c>
      <c r="J50" s="14">
        <v>6500</v>
      </c>
      <c r="K50" s="14">
        <v>6500</v>
      </c>
      <c r="L50" s="14">
        <v>6500</v>
      </c>
      <c r="M50" s="14">
        <v>6500</v>
      </c>
      <c r="N50" s="14">
        <v>6500</v>
      </c>
      <c r="O50" s="14">
        <v>6500</v>
      </c>
      <c r="P50" s="14">
        <v>6500</v>
      </c>
      <c r="Q50" s="14">
        <v>6500</v>
      </c>
      <c r="R50" s="14">
        <v>6500</v>
      </c>
      <c r="S50" s="14">
        <v>6500</v>
      </c>
      <c r="T50" s="14">
        <v>0</v>
      </c>
      <c r="U50" s="14">
        <v>0</v>
      </c>
      <c r="V50" s="14">
        <v>6500</v>
      </c>
      <c r="W50" s="16">
        <f t="shared" si="12"/>
        <v>117000</v>
      </c>
      <c r="X50" s="16">
        <f t="shared" si="13"/>
        <v>5850</v>
      </c>
      <c r="Y50" s="13">
        <f>W50/W13</f>
        <v>7.0885015780095054E-3</v>
      </c>
    </row>
    <row r="51" spans="1:25" x14ac:dyDescent="0.15">
      <c r="A51" s="51"/>
      <c r="B51" s="11" t="s">
        <v>109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6">
        <f t="shared" si="12"/>
        <v>0</v>
      </c>
      <c r="X51" s="16">
        <f t="shared" si="13"/>
        <v>0</v>
      </c>
      <c r="Y51" s="13">
        <f>W51/W13</f>
        <v>0</v>
      </c>
    </row>
    <row r="52" spans="1:25" x14ac:dyDescent="0.15">
      <c r="A52" s="51"/>
      <c r="B52" s="11" t="s">
        <v>110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6">
        <f t="shared" si="12"/>
        <v>0</v>
      </c>
      <c r="X52" s="16">
        <f t="shared" si="13"/>
        <v>0</v>
      </c>
      <c r="Y52" s="13">
        <f>W52/W13</f>
        <v>0</v>
      </c>
    </row>
    <row r="53" spans="1:25" x14ac:dyDescent="0.15">
      <c r="A53" s="51"/>
      <c r="B53" s="11" t="s">
        <v>111</v>
      </c>
      <c r="C53" s="14">
        <v>91489.722222222219</v>
      </c>
      <c r="D53" s="14">
        <v>91489.722222222219</v>
      </c>
      <c r="E53" s="14">
        <v>91489.722222222219</v>
      </c>
      <c r="F53" s="14">
        <v>91489.722222222219</v>
      </c>
      <c r="G53" s="14">
        <v>91489.722222222219</v>
      </c>
      <c r="H53" s="14">
        <v>91489.722222222219</v>
      </c>
      <c r="I53" s="14">
        <v>91489.722222222219</v>
      </c>
      <c r="J53" s="14">
        <v>91489.722222222219</v>
      </c>
      <c r="K53" s="14">
        <v>91489.722222222219</v>
      </c>
      <c r="L53" s="14">
        <v>91489.722222222219</v>
      </c>
      <c r="M53" s="14">
        <v>91489.722222222219</v>
      </c>
      <c r="N53" s="14">
        <v>91489.722222222219</v>
      </c>
      <c r="O53" s="14">
        <v>91489.722222222219</v>
      </c>
      <c r="P53" s="14">
        <v>91489.722222222219</v>
      </c>
      <c r="Q53" s="14">
        <v>91489.722222222219</v>
      </c>
      <c r="R53" s="14">
        <v>91489.722222222219</v>
      </c>
      <c r="S53" s="14">
        <v>91489.722222222219</v>
      </c>
      <c r="T53" s="14">
        <v>0</v>
      </c>
      <c r="U53" s="14">
        <v>0</v>
      </c>
      <c r="V53" s="14">
        <v>91489.722222222219</v>
      </c>
      <c r="W53" s="16">
        <f t="shared" si="12"/>
        <v>1646815.0000000002</v>
      </c>
      <c r="X53" s="16">
        <f t="shared" si="13"/>
        <v>82340.750000000015</v>
      </c>
      <c r="Y53" s="13">
        <f>W53/W13</f>
        <v>9.9773083129826703E-2</v>
      </c>
    </row>
    <row r="54" spans="1:25" x14ac:dyDescent="0.15">
      <c r="A54" s="51"/>
      <c r="B54" s="11" t="s">
        <v>112</v>
      </c>
      <c r="C54" s="14">
        <v>69233.166666666672</v>
      </c>
      <c r="D54" s="14">
        <v>69233.166666666672</v>
      </c>
      <c r="E54" s="14">
        <v>69233.166666666672</v>
      </c>
      <c r="F54" s="14">
        <v>69233.166666666672</v>
      </c>
      <c r="G54" s="14">
        <v>69233.166666666672</v>
      </c>
      <c r="H54" s="14">
        <v>69233.166666666672</v>
      </c>
      <c r="I54" s="14">
        <v>69233.166666666672</v>
      </c>
      <c r="J54" s="14">
        <v>69233.166666666672</v>
      </c>
      <c r="K54" s="14">
        <v>69233.166666666672</v>
      </c>
      <c r="L54" s="14">
        <v>69233.166666666672</v>
      </c>
      <c r="M54" s="14">
        <v>69233.166666666672</v>
      </c>
      <c r="N54" s="14">
        <v>69233.166666666672</v>
      </c>
      <c r="O54" s="14">
        <v>69233.166666666672</v>
      </c>
      <c r="P54" s="14">
        <v>69233.166666666672</v>
      </c>
      <c r="Q54" s="14">
        <v>69233.166666666672</v>
      </c>
      <c r="R54" s="14">
        <v>69233.166666666672</v>
      </c>
      <c r="S54" s="14">
        <v>69233.166666666672</v>
      </c>
      <c r="T54" s="14">
        <v>0</v>
      </c>
      <c r="U54" s="14">
        <v>0</v>
      </c>
      <c r="V54" s="14">
        <v>69233.166666666672</v>
      </c>
      <c r="W54" s="16">
        <f t="shared" si="12"/>
        <v>1246197</v>
      </c>
      <c r="X54" s="16">
        <f t="shared" si="13"/>
        <v>62309.85</v>
      </c>
      <c r="Y54" s="13">
        <f>W54/W13</f>
        <v>7.5501447871886423E-2</v>
      </c>
    </row>
    <row r="55" spans="1:25" x14ac:dyDescent="0.15">
      <c r="A55" s="51"/>
      <c r="B55" s="24" t="s">
        <v>113</v>
      </c>
      <c r="C55" s="25">
        <f t="shared" ref="C55:V55" si="15">SUM(C50:C54)</f>
        <v>167222.88888888888</v>
      </c>
      <c r="D55" s="25">
        <f t="shared" si="15"/>
        <v>167222.88888888888</v>
      </c>
      <c r="E55" s="25">
        <f t="shared" si="15"/>
        <v>167222.88888888888</v>
      </c>
      <c r="F55" s="25">
        <f t="shared" si="15"/>
        <v>167222.88888888888</v>
      </c>
      <c r="G55" s="25">
        <f t="shared" si="15"/>
        <v>167222.88888888888</v>
      </c>
      <c r="H55" s="25">
        <f t="shared" si="15"/>
        <v>167222.88888888888</v>
      </c>
      <c r="I55" s="25">
        <f t="shared" si="15"/>
        <v>167222.88888888888</v>
      </c>
      <c r="J55" s="25">
        <f t="shared" si="15"/>
        <v>167222.88888888888</v>
      </c>
      <c r="K55" s="25">
        <f t="shared" si="15"/>
        <v>167222.88888888888</v>
      </c>
      <c r="L55" s="25">
        <f t="shared" si="15"/>
        <v>167222.88888888888</v>
      </c>
      <c r="M55" s="25">
        <f t="shared" si="15"/>
        <v>167222.88888888888</v>
      </c>
      <c r="N55" s="25">
        <f t="shared" si="15"/>
        <v>167222.88888888888</v>
      </c>
      <c r="O55" s="25">
        <f t="shared" si="15"/>
        <v>167222.88888888888</v>
      </c>
      <c r="P55" s="25">
        <f t="shared" si="15"/>
        <v>167222.88888888888</v>
      </c>
      <c r="Q55" s="25">
        <f t="shared" si="15"/>
        <v>167222.88888888888</v>
      </c>
      <c r="R55" s="25">
        <f t="shared" si="15"/>
        <v>167222.88888888888</v>
      </c>
      <c r="S55" s="25">
        <f t="shared" si="15"/>
        <v>167222.88888888888</v>
      </c>
      <c r="T55" s="25">
        <f t="shared" si="15"/>
        <v>0</v>
      </c>
      <c r="U55" s="25">
        <f t="shared" si="15"/>
        <v>0</v>
      </c>
      <c r="V55" s="25">
        <f t="shared" si="15"/>
        <v>167222.88888888888</v>
      </c>
      <c r="W55" s="27">
        <f t="shared" si="12"/>
        <v>3010012.0000000009</v>
      </c>
      <c r="X55" s="27">
        <f t="shared" si="13"/>
        <v>150500.60000000003</v>
      </c>
      <c r="Y55" s="28">
        <f>W55/W13</f>
        <v>0.18236303257972267</v>
      </c>
    </row>
    <row r="56" spans="1:25" x14ac:dyDescent="0.15">
      <c r="A56" s="50" t="s">
        <v>114</v>
      </c>
      <c r="B56" s="50"/>
      <c r="C56" s="14">
        <f t="shared" ref="C56:V56" si="16">SUM(C49+C22+C27+C33+C39+C44+C55)</f>
        <v>318229.60317460319</v>
      </c>
      <c r="D56" s="14">
        <f t="shared" si="16"/>
        <v>901360.3174603174</v>
      </c>
      <c r="E56" s="14">
        <f t="shared" si="16"/>
        <v>1236893.7746031745</v>
      </c>
      <c r="F56" s="14">
        <f t="shared" si="16"/>
        <v>975694.63174603169</v>
      </c>
      <c r="G56" s="14">
        <f t="shared" si="16"/>
        <v>878383.2888888889</v>
      </c>
      <c r="H56" s="14">
        <f t="shared" si="16"/>
        <v>833402.06031746021</v>
      </c>
      <c r="I56" s="14">
        <f t="shared" si="16"/>
        <v>766910.80317460315</v>
      </c>
      <c r="J56" s="14">
        <f t="shared" si="16"/>
        <v>1085766.0888888887</v>
      </c>
      <c r="K56" s="14">
        <f t="shared" si="16"/>
        <v>1083463.8317460318</v>
      </c>
      <c r="L56" s="14">
        <f t="shared" si="16"/>
        <v>859626.94603174599</v>
      </c>
      <c r="M56" s="14">
        <f t="shared" si="16"/>
        <v>983885.03174603172</v>
      </c>
      <c r="N56" s="14">
        <f t="shared" si="16"/>
        <v>1154058.6603174603</v>
      </c>
      <c r="O56" s="14">
        <f t="shared" si="16"/>
        <v>1040912.8317460318</v>
      </c>
      <c r="P56" s="14">
        <f t="shared" si="16"/>
        <v>332179.88888888888</v>
      </c>
      <c r="Q56" s="14">
        <f t="shared" si="16"/>
        <v>994441.74603174604</v>
      </c>
      <c r="R56" s="14">
        <f t="shared" si="16"/>
        <v>738323.23174603167</v>
      </c>
      <c r="S56" s="14">
        <f t="shared" si="16"/>
        <v>657501.46031746035</v>
      </c>
      <c r="T56" s="14">
        <f t="shared" si="16"/>
        <v>0</v>
      </c>
      <c r="U56" s="14">
        <f t="shared" si="16"/>
        <v>0</v>
      </c>
      <c r="V56" s="14">
        <f t="shared" si="16"/>
        <v>174297.88888888888</v>
      </c>
      <c r="W56" s="16">
        <f t="shared" si="12"/>
        <v>15015332.085714284</v>
      </c>
      <c r="X56" s="16">
        <f t="shared" si="13"/>
        <v>750766.60428571422</v>
      </c>
      <c r="Y56" s="13">
        <f>W56/W13</f>
        <v>0.90971115541814063</v>
      </c>
    </row>
    <row r="57" spans="1:25" x14ac:dyDescent="0.15">
      <c r="A57" s="50" t="s">
        <v>115</v>
      </c>
      <c r="B57" s="50"/>
      <c r="C57" s="14">
        <f t="shared" ref="C57:V57" si="17">SUM(C13+C14-C56)</f>
        <v>-169811.60317460319</v>
      </c>
      <c r="D57" s="14">
        <f t="shared" si="17"/>
        <v>111077.6825396826</v>
      </c>
      <c r="E57" s="14">
        <f t="shared" si="17"/>
        <v>-4303.7746031745337</v>
      </c>
      <c r="F57" s="14">
        <f t="shared" si="17"/>
        <v>238165.36825396831</v>
      </c>
      <c r="G57" s="14">
        <f t="shared" si="17"/>
        <v>335476.7111111111</v>
      </c>
      <c r="H57" s="14">
        <f t="shared" si="17"/>
        <v>375837.93968253979</v>
      </c>
      <c r="I57" s="14">
        <f t="shared" si="17"/>
        <v>-528040.80317460315</v>
      </c>
      <c r="J57" s="14">
        <f t="shared" si="17"/>
        <v>402223.91111111129</v>
      </c>
      <c r="K57" s="14">
        <f t="shared" si="17"/>
        <v>144036.16825396824</v>
      </c>
      <c r="L57" s="14">
        <f t="shared" si="17"/>
        <v>354233.05396825401</v>
      </c>
      <c r="M57" s="14">
        <f t="shared" si="17"/>
        <v>265604.96825396828</v>
      </c>
      <c r="N57" s="14">
        <f t="shared" si="17"/>
        <v>164221.33968253969</v>
      </c>
      <c r="O57" s="14">
        <f t="shared" si="17"/>
        <v>299637.16825396824</v>
      </c>
      <c r="P57" s="14">
        <f t="shared" si="17"/>
        <v>-312099.88888888888</v>
      </c>
      <c r="Q57" s="14">
        <f t="shared" si="17"/>
        <v>317308.25396825396</v>
      </c>
      <c r="R57" s="14">
        <f t="shared" si="17"/>
        <v>193676.76825396833</v>
      </c>
      <c r="S57" s="14">
        <f t="shared" si="17"/>
        <v>201233.53968253965</v>
      </c>
      <c r="T57" s="14">
        <f t="shared" si="17"/>
        <v>167570</v>
      </c>
      <c r="U57" s="14">
        <f t="shared" si="17"/>
        <v>42883</v>
      </c>
      <c r="V57" s="14">
        <f t="shared" si="17"/>
        <v>-174297.88888888888</v>
      </c>
      <c r="W57" s="16">
        <f t="shared" si="12"/>
        <v>2424631.9142857147</v>
      </c>
      <c r="X57" s="16">
        <f t="shared" si="13"/>
        <v>121231.59571428574</v>
      </c>
      <c r="Y57" s="13">
        <f>W57/W13</f>
        <v>0.14689749701287602</v>
      </c>
    </row>
    <row r="58" spans="1:25" x14ac:dyDescent="0.15">
      <c r="A58" s="50" t="s">
        <v>116</v>
      </c>
      <c r="B58" s="50"/>
      <c r="C58" s="14">
        <v>87826.465116279069</v>
      </c>
      <c r="D58" s="14">
        <v>87826.465116279069</v>
      </c>
      <c r="E58" s="14">
        <v>87826.465116279069</v>
      </c>
      <c r="F58" s="14">
        <v>87826.465116279069</v>
      </c>
      <c r="G58" s="14">
        <v>87826.465116279069</v>
      </c>
      <c r="H58" s="14">
        <v>87826.465116279069</v>
      </c>
      <c r="I58" s="14">
        <v>87826.465116279069</v>
      </c>
      <c r="J58" s="14">
        <v>87826.465116279069</v>
      </c>
      <c r="K58" s="14">
        <v>87826.465116279069</v>
      </c>
      <c r="L58" s="14">
        <v>87826.465116279069</v>
      </c>
      <c r="M58" s="14">
        <v>87826.465116279069</v>
      </c>
      <c r="N58" s="14">
        <v>87826.465116279069</v>
      </c>
      <c r="O58" s="14">
        <v>87826.465116279069</v>
      </c>
      <c r="P58" s="14">
        <v>87826.465116279069</v>
      </c>
      <c r="Q58" s="14">
        <v>87826.465116279069</v>
      </c>
      <c r="R58" s="14">
        <v>87826.465116279069</v>
      </c>
      <c r="S58" s="14">
        <v>87826.465116279069</v>
      </c>
      <c r="T58" s="14">
        <v>0</v>
      </c>
      <c r="U58" s="14">
        <v>0</v>
      </c>
      <c r="V58" s="14">
        <v>87826.465116279069</v>
      </c>
      <c r="W58" s="16">
        <f t="shared" si="12"/>
        <v>1580876.3720930226</v>
      </c>
      <c r="X58" s="16">
        <f t="shared" si="13"/>
        <v>79043.818604651125</v>
      </c>
      <c r="Y58" s="13">
        <f>W58/W13</f>
        <v>9.5778159471960098E-2</v>
      </c>
    </row>
    <row r="59" spans="1:25" x14ac:dyDescent="0.15">
      <c r="A59" s="50" t="s">
        <v>117</v>
      </c>
      <c r="B59" s="50"/>
      <c r="C59" s="14">
        <v>42477.813953488374</v>
      </c>
      <c r="D59" s="14">
        <v>42477.813953488374</v>
      </c>
      <c r="E59" s="14">
        <v>42477.813953488374</v>
      </c>
      <c r="F59" s="14">
        <v>42477.813953488374</v>
      </c>
      <c r="G59" s="14">
        <v>42477.813953488374</v>
      </c>
      <c r="H59" s="14">
        <v>42477.813953488374</v>
      </c>
      <c r="I59" s="14">
        <v>42477.813953488374</v>
      </c>
      <c r="J59" s="14">
        <v>42477.813953488374</v>
      </c>
      <c r="K59" s="14">
        <v>42477.813953488374</v>
      </c>
      <c r="L59" s="14">
        <v>42477.813953488374</v>
      </c>
      <c r="M59" s="14">
        <v>42477.813953488374</v>
      </c>
      <c r="N59" s="14">
        <v>42477.813953488374</v>
      </c>
      <c r="O59" s="14">
        <v>42477.813953488374</v>
      </c>
      <c r="P59" s="14">
        <v>42477.813953488374</v>
      </c>
      <c r="Q59" s="14">
        <v>42477.813953488374</v>
      </c>
      <c r="R59" s="14">
        <v>42477.813953488374</v>
      </c>
      <c r="S59" s="14">
        <v>42477.813953488374</v>
      </c>
      <c r="T59" s="14">
        <v>0</v>
      </c>
      <c r="U59" s="14">
        <v>0</v>
      </c>
      <c r="V59" s="14">
        <v>42477.813953488374</v>
      </c>
      <c r="W59" s="16">
        <f t="shared" si="12"/>
        <v>764600.65116279072</v>
      </c>
      <c r="X59" s="16">
        <f t="shared" si="13"/>
        <v>38230.032558139537</v>
      </c>
      <c r="Y59" s="13">
        <f>W59/W13</f>
        <v>4.6323700190722537E-2</v>
      </c>
    </row>
    <row r="60" spans="1:25" x14ac:dyDescent="0.15">
      <c r="A60" s="50" t="s">
        <v>118</v>
      </c>
      <c r="B60" s="50"/>
      <c r="C60" s="14">
        <f t="shared" ref="C60:V60" si="18">SUM(C57-(C58+C59))</f>
        <v>-300115.88224437064</v>
      </c>
      <c r="D60" s="14">
        <f t="shared" si="18"/>
        <v>-19226.596530084847</v>
      </c>
      <c r="E60" s="14">
        <f t="shared" si="18"/>
        <v>-134608.05367294198</v>
      </c>
      <c r="F60" s="14">
        <f t="shared" si="18"/>
        <v>107861.08918420086</v>
      </c>
      <c r="G60" s="14">
        <f t="shared" si="18"/>
        <v>205172.43204134365</v>
      </c>
      <c r="H60" s="14">
        <f t="shared" si="18"/>
        <v>245533.66061277234</v>
      </c>
      <c r="I60" s="14">
        <f t="shared" si="18"/>
        <v>-658345.0822443706</v>
      </c>
      <c r="J60" s="14">
        <f t="shared" si="18"/>
        <v>271919.63204134384</v>
      </c>
      <c r="K60" s="14">
        <f t="shared" si="18"/>
        <v>13731.889184200787</v>
      </c>
      <c r="L60" s="14">
        <f t="shared" si="18"/>
        <v>223928.77489848656</v>
      </c>
      <c r="M60" s="14">
        <f t="shared" si="18"/>
        <v>135300.68918420083</v>
      </c>
      <c r="N60" s="14">
        <f t="shared" si="18"/>
        <v>33917.060612772242</v>
      </c>
      <c r="O60" s="14">
        <f t="shared" si="18"/>
        <v>169332.88918420079</v>
      </c>
      <c r="P60" s="14">
        <f t="shared" si="18"/>
        <v>-442404.16795865633</v>
      </c>
      <c r="Q60" s="14">
        <f t="shared" si="18"/>
        <v>187003.97489848651</v>
      </c>
      <c r="R60" s="14">
        <f t="shared" si="18"/>
        <v>63372.48918420088</v>
      </c>
      <c r="S60" s="14">
        <f t="shared" si="18"/>
        <v>70929.260612772196</v>
      </c>
      <c r="T60" s="14">
        <f t="shared" si="18"/>
        <v>167570</v>
      </c>
      <c r="U60" s="14">
        <f t="shared" si="18"/>
        <v>42883</v>
      </c>
      <c r="V60" s="14">
        <f t="shared" si="18"/>
        <v>-304602.16795865633</v>
      </c>
      <c r="W60" s="16">
        <f t="shared" si="12"/>
        <v>79154.891029900755</v>
      </c>
      <c r="X60" s="16">
        <f t="shared" si="13"/>
        <v>3957.7445514950377</v>
      </c>
      <c r="Y60" s="13">
        <f>W60/W13</f>
        <v>4.7956373501933502E-3</v>
      </c>
    </row>
    <row r="61" spans="1:25" x14ac:dyDescent="0.15">
      <c r="A61" s="11"/>
      <c r="B61" s="36" t="s">
        <v>47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</row>
    <row r="62" spans="1:25" x14ac:dyDescent="0.15">
      <c r="A62" s="12"/>
      <c r="B62" s="3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</row>
    <row r="63" spans="1:25" x14ac:dyDescent="0.15">
      <c r="A63" s="12"/>
      <c r="B63" s="39" t="s">
        <v>125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</row>
    <row r="64" spans="1:25" x14ac:dyDescent="0.15">
      <c r="A64" s="12"/>
      <c r="B64" s="40" t="s">
        <v>126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</row>
    <row r="65" spans="1:22" x14ac:dyDescent="0.15">
      <c r="A65" s="12"/>
      <c r="B65" s="40" t="s">
        <v>42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</row>
    <row r="66" spans="1:22" x14ac:dyDescent="0.15">
      <c r="A66" s="11"/>
      <c r="B66" s="41" t="s">
        <v>48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</row>
    <row r="67" spans="1:22" x14ac:dyDescent="0.15">
      <c r="A67" s="11"/>
      <c r="B67" s="3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</row>
    <row r="68" spans="1:22" x14ac:dyDescent="0.15">
      <c r="A68" s="11"/>
      <c r="B68" s="39" t="s">
        <v>125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</row>
    <row r="69" spans="1:22" x14ac:dyDescent="0.15">
      <c r="A69" s="11"/>
      <c r="B69" s="40" t="s">
        <v>126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</row>
    <row r="70" spans="1:22" x14ac:dyDescent="0.15">
      <c r="A70" s="11"/>
      <c r="B70" s="40" t="s">
        <v>42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</row>
    <row r="71" spans="1:22" x14ac:dyDescent="0.15">
      <c r="A71" s="11"/>
      <c r="B71" s="11" t="s">
        <v>130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</row>
    <row r="72" spans="1:22" x14ac:dyDescent="0.15">
      <c r="A72" s="11"/>
      <c r="B72" s="3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</row>
    <row r="73" spans="1:22" x14ac:dyDescent="0.15">
      <c r="A73" s="11"/>
      <c r="B73" s="39" t="s">
        <v>125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</row>
    <row r="74" spans="1:22" x14ac:dyDescent="0.15">
      <c r="A74" s="11"/>
      <c r="B74" s="40" t="s">
        <v>126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</row>
    <row r="75" spans="1:22" x14ac:dyDescent="0.15">
      <c r="A75" s="11"/>
      <c r="B75" s="40" t="s">
        <v>42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</row>
    <row r="76" spans="1:22" x14ac:dyDescent="0.15">
      <c r="A76" s="11"/>
      <c r="B76" s="11" t="s">
        <v>134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</row>
    <row r="77" spans="1:22" x14ac:dyDescent="0.15">
      <c r="A77" s="11"/>
      <c r="B77" s="3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</row>
    <row r="78" spans="1:22" x14ac:dyDescent="0.15">
      <c r="A78" s="11"/>
      <c r="B78" s="39" t="s">
        <v>125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</row>
    <row r="79" spans="1:22" x14ac:dyDescent="0.15">
      <c r="A79" s="11"/>
      <c r="B79" s="40" t="s">
        <v>126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</row>
    <row r="80" spans="1:22" x14ac:dyDescent="0.15">
      <c r="A80" s="11"/>
      <c r="B80" s="40" t="s">
        <v>42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</row>
    <row r="81" spans="1:22" x14ac:dyDescent="0.15">
      <c r="A81" s="11"/>
      <c r="B81" s="11" t="s">
        <v>138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</row>
    <row r="82" spans="1:22" x14ac:dyDescent="0.15">
      <c r="A82" s="11"/>
      <c r="B82" s="3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</row>
    <row r="83" spans="1:22" x14ac:dyDescent="0.15">
      <c r="A83" s="11"/>
      <c r="B83" s="39" t="s">
        <v>125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</row>
    <row r="84" spans="1:22" x14ac:dyDescent="0.15">
      <c r="A84" s="11"/>
      <c r="B84" s="40" t="s">
        <v>126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</row>
    <row r="85" spans="1:22" x14ac:dyDescent="0.15">
      <c r="A85" s="11"/>
      <c r="B85" s="40" t="s">
        <v>42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</row>
    <row r="86" spans="1:22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</row>
    <row r="87" spans="1:22" x14ac:dyDescent="0.15">
      <c r="A87" s="11"/>
      <c r="B87" s="3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</row>
    <row r="88" spans="1:22" x14ac:dyDescent="0.15">
      <c r="A88" s="11"/>
      <c r="B88" s="39" t="s">
        <v>125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</row>
    <row r="89" spans="1:22" x14ac:dyDescent="0.15">
      <c r="B89" s="40" t="s">
        <v>126</v>
      </c>
    </row>
    <row r="90" spans="1:22" x14ac:dyDescent="0.15">
      <c r="B90" s="40" t="s">
        <v>42</v>
      </c>
    </row>
    <row r="92" spans="1:22" x14ac:dyDescent="0.15">
      <c r="B92" s="37"/>
    </row>
    <row r="93" spans="1:22" x14ac:dyDescent="0.15">
      <c r="B93" s="39" t="s">
        <v>125</v>
      </c>
    </row>
    <row r="94" spans="1:22" x14ac:dyDescent="0.15">
      <c r="B94" s="40" t="s">
        <v>126</v>
      </c>
    </row>
    <row r="95" spans="1:22" x14ac:dyDescent="0.15">
      <c r="B95" s="40" t="s">
        <v>42</v>
      </c>
    </row>
    <row r="97" spans="2:2" x14ac:dyDescent="0.15">
      <c r="B97" s="37"/>
    </row>
    <row r="98" spans="2:2" x14ac:dyDescent="0.15">
      <c r="B98" s="39" t="s">
        <v>125</v>
      </c>
    </row>
    <row r="99" spans="2:2" x14ac:dyDescent="0.15">
      <c r="B99" s="40" t="s">
        <v>126</v>
      </c>
    </row>
    <row r="100" spans="2:2" x14ac:dyDescent="0.15">
      <c r="B100" s="40" t="s">
        <v>42</v>
      </c>
    </row>
    <row r="102" spans="2:2" x14ac:dyDescent="0.15">
      <c r="B102" s="11" t="s">
        <v>151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4FE7-14AE-477F-B923-29A9D4193D34}">
  <sheetPr codeName="Sheet6"/>
  <dimension ref="A2:L102"/>
  <sheetViews>
    <sheetView workbookViewId="0">
      <selection activeCell="J13" sqref="J13:J1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6" width="13" style="1" bestFit="1" customWidth="1"/>
    <col min="247" max="250" width="11" style="1" bestFit="1" customWidth="1"/>
    <col min="251" max="253" width="12.25" style="1" bestFit="1" customWidth="1"/>
    <col min="254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2" width="13" style="1" bestFit="1" customWidth="1"/>
    <col min="503" max="506" width="11" style="1" bestFit="1" customWidth="1"/>
    <col min="507" max="509" width="12.25" style="1" bestFit="1" customWidth="1"/>
    <col min="510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8" width="13" style="1" bestFit="1" customWidth="1"/>
    <col min="759" max="762" width="11" style="1" bestFit="1" customWidth="1"/>
    <col min="763" max="765" width="12.25" style="1" bestFit="1" customWidth="1"/>
    <col min="766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4" width="13" style="1" bestFit="1" customWidth="1"/>
    <col min="1015" max="1018" width="11" style="1" bestFit="1" customWidth="1"/>
    <col min="1019" max="1021" width="12.25" style="1" bestFit="1" customWidth="1"/>
    <col min="1022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70" width="13" style="1" bestFit="1" customWidth="1"/>
    <col min="1271" max="1274" width="11" style="1" bestFit="1" customWidth="1"/>
    <col min="1275" max="1277" width="12.25" style="1" bestFit="1" customWidth="1"/>
    <col min="1278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6" width="13" style="1" bestFit="1" customWidth="1"/>
    <col min="1527" max="1530" width="11" style="1" bestFit="1" customWidth="1"/>
    <col min="1531" max="1533" width="12.25" style="1" bestFit="1" customWidth="1"/>
    <col min="1534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2" width="13" style="1" bestFit="1" customWidth="1"/>
    <col min="1783" max="1786" width="11" style="1" bestFit="1" customWidth="1"/>
    <col min="1787" max="1789" width="12.25" style="1" bestFit="1" customWidth="1"/>
    <col min="1790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8" width="13" style="1" bestFit="1" customWidth="1"/>
    <col min="2039" max="2042" width="11" style="1" bestFit="1" customWidth="1"/>
    <col min="2043" max="2045" width="12.25" style="1" bestFit="1" customWidth="1"/>
    <col min="2046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4" width="13" style="1" bestFit="1" customWidth="1"/>
    <col min="2295" max="2298" width="11" style="1" bestFit="1" customWidth="1"/>
    <col min="2299" max="2301" width="12.25" style="1" bestFit="1" customWidth="1"/>
    <col min="2302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50" width="13" style="1" bestFit="1" customWidth="1"/>
    <col min="2551" max="2554" width="11" style="1" bestFit="1" customWidth="1"/>
    <col min="2555" max="2557" width="12.25" style="1" bestFit="1" customWidth="1"/>
    <col min="2558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6" width="13" style="1" bestFit="1" customWidth="1"/>
    <col min="2807" max="2810" width="11" style="1" bestFit="1" customWidth="1"/>
    <col min="2811" max="2813" width="12.25" style="1" bestFit="1" customWidth="1"/>
    <col min="2814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2" width="13" style="1" bestFit="1" customWidth="1"/>
    <col min="3063" max="3066" width="11" style="1" bestFit="1" customWidth="1"/>
    <col min="3067" max="3069" width="12.25" style="1" bestFit="1" customWidth="1"/>
    <col min="3070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8" width="13" style="1" bestFit="1" customWidth="1"/>
    <col min="3319" max="3322" width="11" style="1" bestFit="1" customWidth="1"/>
    <col min="3323" max="3325" width="12.25" style="1" bestFit="1" customWidth="1"/>
    <col min="3326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4" width="13" style="1" bestFit="1" customWidth="1"/>
    <col min="3575" max="3578" width="11" style="1" bestFit="1" customWidth="1"/>
    <col min="3579" max="3581" width="12.25" style="1" bestFit="1" customWidth="1"/>
    <col min="3582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30" width="13" style="1" bestFit="1" customWidth="1"/>
    <col min="3831" max="3834" width="11" style="1" bestFit="1" customWidth="1"/>
    <col min="3835" max="3837" width="12.25" style="1" bestFit="1" customWidth="1"/>
    <col min="3838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6" width="13" style="1" bestFit="1" customWidth="1"/>
    <col min="4087" max="4090" width="11" style="1" bestFit="1" customWidth="1"/>
    <col min="4091" max="4093" width="12.25" style="1" bestFit="1" customWidth="1"/>
    <col min="4094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2" width="13" style="1" bestFit="1" customWidth="1"/>
    <col min="4343" max="4346" width="11" style="1" bestFit="1" customWidth="1"/>
    <col min="4347" max="4349" width="12.25" style="1" bestFit="1" customWidth="1"/>
    <col min="4350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8" width="13" style="1" bestFit="1" customWidth="1"/>
    <col min="4599" max="4602" width="11" style="1" bestFit="1" customWidth="1"/>
    <col min="4603" max="4605" width="12.25" style="1" bestFit="1" customWidth="1"/>
    <col min="4606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4" width="13" style="1" bestFit="1" customWidth="1"/>
    <col min="4855" max="4858" width="11" style="1" bestFit="1" customWidth="1"/>
    <col min="4859" max="4861" width="12.25" style="1" bestFit="1" customWidth="1"/>
    <col min="4862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10" width="13" style="1" bestFit="1" customWidth="1"/>
    <col min="5111" max="5114" width="11" style="1" bestFit="1" customWidth="1"/>
    <col min="5115" max="5117" width="12.25" style="1" bestFit="1" customWidth="1"/>
    <col min="5118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6" width="13" style="1" bestFit="1" customWidth="1"/>
    <col min="5367" max="5370" width="11" style="1" bestFit="1" customWidth="1"/>
    <col min="5371" max="5373" width="12.25" style="1" bestFit="1" customWidth="1"/>
    <col min="5374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2" width="13" style="1" bestFit="1" customWidth="1"/>
    <col min="5623" max="5626" width="11" style="1" bestFit="1" customWidth="1"/>
    <col min="5627" max="5629" width="12.25" style="1" bestFit="1" customWidth="1"/>
    <col min="5630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8" width="13" style="1" bestFit="1" customWidth="1"/>
    <col min="5879" max="5882" width="11" style="1" bestFit="1" customWidth="1"/>
    <col min="5883" max="5885" width="12.25" style="1" bestFit="1" customWidth="1"/>
    <col min="5886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4" width="13" style="1" bestFit="1" customWidth="1"/>
    <col min="6135" max="6138" width="11" style="1" bestFit="1" customWidth="1"/>
    <col min="6139" max="6141" width="12.25" style="1" bestFit="1" customWidth="1"/>
    <col min="6142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90" width="13" style="1" bestFit="1" customWidth="1"/>
    <col min="6391" max="6394" width="11" style="1" bestFit="1" customWidth="1"/>
    <col min="6395" max="6397" width="12.25" style="1" bestFit="1" customWidth="1"/>
    <col min="6398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6" width="13" style="1" bestFit="1" customWidth="1"/>
    <col min="6647" max="6650" width="11" style="1" bestFit="1" customWidth="1"/>
    <col min="6651" max="6653" width="12.25" style="1" bestFit="1" customWidth="1"/>
    <col min="6654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2" width="13" style="1" bestFit="1" customWidth="1"/>
    <col min="6903" max="6906" width="11" style="1" bestFit="1" customWidth="1"/>
    <col min="6907" max="6909" width="12.25" style="1" bestFit="1" customWidth="1"/>
    <col min="6910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8" width="13" style="1" bestFit="1" customWidth="1"/>
    <col min="7159" max="7162" width="11" style="1" bestFit="1" customWidth="1"/>
    <col min="7163" max="7165" width="12.25" style="1" bestFit="1" customWidth="1"/>
    <col min="7166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4" width="13" style="1" bestFit="1" customWidth="1"/>
    <col min="7415" max="7418" width="11" style="1" bestFit="1" customWidth="1"/>
    <col min="7419" max="7421" width="12.25" style="1" bestFit="1" customWidth="1"/>
    <col min="7422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70" width="13" style="1" bestFit="1" customWidth="1"/>
    <col min="7671" max="7674" width="11" style="1" bestFit="1" customWidth="1"/>
    <col min="7675" max="7677" width="12.25" style="1" bestFit="1" customWidth="1"/>
    <col min="7678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6" width="13" style="1" bestFit="1" customWidth="1"/>
    <col min="7927" max="7930" width="11" style="1" bestFit="1" customWidth="1"/>
    <col min="7931" max="7933" width="12.25" style="1" bestFit="1" customWidth="1"/>
    <col min="7934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2" width="13" style="1" bestFit="1" customWidth="1"/>
    <col min="8183" max="8186" width="11" style="1" bestFit="1" customWidth="1"/>
    <col min="8187" max="8189" width="12.25" style="1" bestFit="1" customWidth="1"/>
    <col min="8190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8" width="13" style="1" bestFit="1" customWidth="1"/>
    <col min="8439" max="8442" width="11" style="1" bestFit="1" customWidth="1"/>
    <col min="8443" max="8445" width="12.25" style="1" bestFit="1" customWidth="1"/>
    <col min="8446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4" width="13" style="1" bestFit="1" customWidth="1"/>
    <col min="8695" max="8698" width="11" style="1" bestFit="1" customWidth="1"/>
    <col min="8699" max="8701" width="12.25" style="1" bestFit="1" customWidth="1"/>
    <col min="8702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50" width="13" style="1" bestFit="1" customWidth="1"/>
    <col min="8951" max="8954" width="11" style="1" bestFit="1" customWidth="1"/>
    <col min="8955" max="8957" width="12.25" style="1" bestFit="1" customWidth="1"/>
    <col min="8958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6" width="13" style="1" bestFit="1" customWidth="1"/>
    <col min="9207" max="9210" width="11" style="1" bestFit="1" customWidth="1"/>
    <col min="9211" max="9213" width="12.25" style="1" bestFit="1" customWidth="1"/>
    <col min="9214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2" width="13" style="1" bestFit="1" customWidth="1"/>
    <col min="9463" max="9466" width="11" style="1" bestFit="1" customWidth="1"/>
    <col min="9467" max="9469" width="12.25" style="1" bestFit="1" customWidth="1"/>
    <col min="9470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8" width="13" style="1" bestFit="1" customWidth="1"/>
    <col min="9719" max="9722" width="11" style="1" bestFit="1" customWidth="1"/>
    <col min="9723" max="9725" width="12.25" style="1" bestFit="1" customWidth="1"/>
    <col min="9726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4" width="13" style="1" bestFit="1" customWidth="1"/>
    <col min="9975" max="9978" width="11" style="1" bestFit="1" customWidth="1"/>
    <col min="9979" max="9981" width="12.25" style="1" bestFit="1" customWidth="1"/>
    <col min="9982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30" width="13" style="1" bestFit="1" customWidth="1"/>
    <col min="10231" max="10234" width="11" style="1" bestFit="1" customWidth="1"/>
    <col min="10235" max="10237" width="12.25" style="1" bestFit="1" customWidth="1"/>
    <col min="10238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6" width="13" style="1" bestFit="1" customWidth="1"/>
    <col min="10487" max="10490" width="11" style="1" bestFit="1" customWidth="1"/>
    <col min="10491" max="10493" width="12.25" style="1" bestFit="1" customWidth="1"/>
    <col min="10494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2" width="13" style="1" bestFit="1" customWidth="1"/>
    <col min="10743" max="10746" width="11" style="1" bestFit="1" customWidth="1"/>
    <col min="10747" max="10749" width="12.25" style="1" bestFit="1" customWidth="1"/>
    <col min="10750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8" width="13" style="1" bestFit="1" customWidth="1"/>
    <col min="10999" max="11002" width="11" style="1" bestFit="1" customWidth="1"/>
    <col min="11003" max="11005" width="12.25" style="1" bestFit="1" customWidth="1"/>
    <col min="11006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4" width="13" style="1" bestFit="1" customWidth="1"/>
    <col min="11255" max="11258" width="11" style="1" bestFit="1" customWidth="1"/>
    <col min="11259" max="11261" width="12.25" style="1" bestFit="1" customWidth="1"/>
    <col min="11262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10" width="13" style="1" bestFit="1" customWidth="1"/>
    <col min="11511" max="11514" width="11" style="1" bestFit="1" customWidth="1"/>
    <col min="11515" max="11517" width="12.25" style="1" bestFit="1" customWidth="1"/>
    <col min="11518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6" width="13" style="1" bestFit="1" customWidth="1"/>
    <col min="11767" max="11770" width="11" style="1" bestFit="1" customWidth="1"/>
    <col min="11771" max="11773" width="12.25" style="1" bestFit="1" customWidth="1"/>
    <col min="11774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2" width="13" style="1" bestFit="1" customWidth="1"/>
    <col min="12023" max="12026" width="11" style="1" bestFit="1" customWidth="1"/>
    <col min="12027" max="12029" width="12.25" style="1" bestFit="1" customWidth="1"/>
    <col min="12030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8" width="13" style="1" bestFit="1" customWidth="1"/>
    <col min="12279" max="12282" width="11" style="1" bestFit="1" customWidth="1"/>
    <col min="12283" max="12285" width="12.25" style="1" bestFit="1" customWidth="1"/>
    <col min="12286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4" width="13" style="1" bestFit="1" customWidth="1"/>
    <col min="12535" max="12538" width="11" style="1" bestFit="1" customWidth="1"/>
    <col min="12539" max="12541" width="12.25" style="1" bestFit="1" customWidth="1"/>
    <col min="12542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90" width="13" style="1" bestFit="1" customWidth="1"/>
    <col min="12791" max="12794" width="11" style="1" bestFit="1" customWidth="1"/>
    <col min="12795" max="12797" width="12.25" style="1" bestFit="1" customWidth="1"/>
    <col min="12798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6" width="13" style="1" bestFit="1" customWidth="1"/>
    <col min="13047" max="13050" width="11" style="1" bestFit="1" customWidth="1"/>
    <col min="13051" max="13053" width="12.25" style="1" bestFit="1" customWidth="1"/>
    <col min="13054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2" width="13" style="1" bestFit="1" customWidth="1"/>
    <col min="13303" max="13306" width="11" style="1" bestFit="1" customWidth="1"/>
    <col min="13307" max="13309" width="12.25" style="1" bestFit="1" customWidth="1"/>
    <col min="13310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8" width="13" style="1" bestFit="1" customWidth="1"/>
    <col min="13559" max="13562" width="11" style="1" bestFit="1" customWidth="1"/>
    <col min="13563" max="13565" width="12.25" style="1" bestFit="1" customWidth="1"/>
    <col min="13566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4" width="13" style="1" bestFit="1" customWidth="1"/>
    <col min="13815" max="13818" width="11" style="1" bestFit="1" customWidth="1"/>
    <col min="13819" max="13821" width="12.25" style="1" bestFit="1" customWidth="1"/>
    <col min="13822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70" width="13" style="1" bestFit="1" customWidth="1"/>
    <col min="14071" max="14074" width="11" style="1" bestFit="1" customWidth="1"/>
    <col min="14075" max="14077" width="12.25" style="1" bestFit="1" customWidth="1"/>
    <col min="14078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6" width="13" style="1" bestFit="1" customWidth="1"/>
    <col min="14327" max="14330" width="11" style="1" bestFit="1" customWidth="1"/>
    <col min="14331" max="14333" width="12.25" style="1" bestFit="1" customWidth="1"/>
    <col min="14334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2" width="13" style="1" bestFit="1" customWidth="1"/>
    <col min="14583" max="14586" width="11" style="1" bestFit="1" customWidth="1"/>
    <col min="14587" max="14589" width="12.25" style="1" bestFit="1" customWidth="1"/>
    <col min="14590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8" width="13" style="1" bestFit="1" customWidth="1"/>
    <col min="14839" max="14842" width="11" style="1" bestFit="1" customWidth="1"/>
    <col min="14843" max="14845" width="12.25" style="1" bestFit="1" customWidth="1"/>
    <col min="14846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4" width="13" style="1" bestFit="1" customWidth="1"/>
    <col min="15095" max="15098" width="11" style="1" bestFit="1" customWidth="1"/>
    <col min="15099" max="15101" width="12.25" style="1" bestFit="1" customWidth="1"/>
    <col min="15102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50" width="13" style="1" bestFit="1" customWidth="1"/>
    <col min="15351" max="15354" width="11" style="1" bestFit="1" customWidth="1"/>
    <col min="15355" max="15357" width="12.25" style="1" bestFit="1" customWidth="1"/>
    <col min="15358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6" width="13" style="1" bestFit="1" customWidth="1"/>
    <col min="15607" max="15610" width="11" style="1" bestFit="1" customWidth="1"/>
    <col min="15611" max="15613" width="12.25" style="1" bestFit="1" customWidth="1"/>
    <col min="15614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2" width="13" style="1" bestFit="1" customWidth="1"/>
    <col min="15863" max="15866" width="11" style="1" bestFit="1" customWidth="1"/>
    <col min="15867" max="15869" width="12.25" style="1" bestFit="1" customWidth="1"/>
    <col min="15870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8" width="13" style="1" bestFit="1" customWidth="1"/>
    <col min="16119" max="16122" width="11" style="1" bestFit="1" customWidth="1"/>
    <col min="16123" max="16125" width="12.25" style="1" bestFit="1" customWidth="1"/>
    <col min="16126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57">
        <v>45627</v>
      </c>
      <c r="B3" s="57"/>
      <c r="C3" s="49" t="s">
        <v>239</v>
      </c>
    </row>
    <row r="4" spans="1:12" s="5" customFormat="1" x14ac:dyDescent="0.15">
      <c r="A4" s="50" t="s">
        <v>0</v>
      </c>
      <c r="B4" s="50"/>
      <c r="C4" s="2" t="s">
        <v>27</v>
      </c>
      <c r="D4" s="2" t="s">
        <v>28</v>
      </c>
      <c r="E4" s="2" t="s">
        <v>29</v>
      </c>
      <c r="F4" s="2" t="s">
        <v>30</v>
      </c>
      <c r="G4" s="2" t="s">
        <v>31</v>
      </c>
      <c r="H4" s="2" t="s">
        <v>32</v>
      </c>
      <c r="I4" s="2" t="s">
        <v>33</v>
      </c>
      <c r="J4" s="3" t="s">
        <v>42</v>
      </c>
      <c r="K4" s="3" t="s">
        <v>43</v>
      </c>
      <c r="L4" s="4" t="s">
        <v>44</v>
      </c>
    </row>
    <row r="5" spans="1:12" s="5" customFormat="1" hidden="1" x14ac:dyDescent="0.15">
      <c r="A5" s="54" t="s">
        <v>45</v>
      </c>
      <c r="B5" s="58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54" t="s">
        <v>46</v>
      </c>
      <c r="B6" s="58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2" t="s">
        <v>49</v>
      </c>
      <c r="J6" s="3"/>
      <c r="K6" s="3"/>
      <c r="L6" s="4"/>
    </row>
    <row r="7" spans="1:12" s="5" customFormat="1" x14ac:dyDescent="0.15">
      <c r="A7" s="56" t="s">
        <v>52</v>
      </c>
      <c r="B7" s="56"/>
      <c r="C7" s="42" t="s">
        <v>159</v>
      </c>
      <c r="D7" s="42" t="s">
        <v>160</v>
      </c>
      <c r="E7" s="42" t="s">
        <v>158</v>
      </c>
      <c r="F7" s="42" t="s">
        <v>170</v>
      </c>
      <c r="G7" s="42" t="s">
        <v>182</v>
      </c>
      <c r="H7" s="42" t="s">
        <v>179</v>
      </c>
      <c r="I7" s="42" t="s">
        <v>180</v>
      </c>
      <c r="J7" s="6"/>
      <c r="K7" s="6"/>
      <c r="L7" s="7"/>
    </row>
    <row r="8" spans="1:12" s="5" customFormat="1" x14ac:dyDescent="0.15">
      <c r="A8" s="56" t="s">
        <v>53</v>
      </c>
      <c r="B8" s="56"/>
      <c r="C8" s="42" t="s">
        <v>221</v>
      </c>
      <c r="D8" s="42" t="s">
        <v>222</v>
      </c>
      <c r="E8" s="42" t="s">
        <v>223</v>
      </c>
      <c r="F8" s="42" t="s">
        <v>224</v>
      </c>
      <c r="G8" s="42" t="s">
        <v>225</v>
      </c>
      <c r="H8" s="42" t="s">
        <v>226</v>
      </c>
      <c r="I8" s="42" t="s">
        <v>227</v>
      </c>
      <c r="J8" s="6"/>
      <c r="K8" s="6"/>
      <c r="L8" s="7"/>
    </row>
    <row r="9" spans="1:12" x14ac:dyDescent="0.15">
      <c r="A9" s="52" t="s">
        <v>54</v>
      </c>
      <c r="B9" s="53"/>
      <c r="C9" s="44">
        <v>8</v>
      </c>
      <c r="D9" s="44">
        <v>8</v>
      </c>
      <c r="E9" s="44">
        <v>8</v>
      </c>
      <c r="F9" s="44">
        <v>10</v>
      </c>
      <c r="G9" s="44">
        <v>10</v>
      </c>
      <c r="H9" s="44">
        <v>10</v>
      </c>
      <c r="I9" s="44">
        <v>10</v>
      </c>
      <c r="J9" s="9">
        <f>SUM(C9:I9)</f>
        <v>64</v>
      </c>
      <c r="K9" s="9"/>
      <c r="L9" s="10"/>
    </row>
    <row r="10" spans="1:12" x14ac:dyDescent="0.15">
      <c r="A10" s="50" t="s">
        <v>55</v>
      </c>
      <c r="B10" s="50"/>
      <c r="C10" s="47" t="s">
        <v>58</v>
      </c>
      <c r="D10" s="47" t="s">
        <v>58</v>
      </c>
      <c r="E10" s="47" t="s">
        <v>59</v>
      </c>
      <c r="F10" s="47" t="s">
        <v>60</v>
      </c>
      <c r="G10" s="47" t="s">
        <v>62</v>
      </c>
      <c r="H10" s="47" t="s">
        <v>62</v>
      </c>
      <c r="I10" s="47" t="s">
        <v>62</v>
      </c>
      <c r="J10" s="12"/>
      <c r="K10" s="12"/>
      <c r="L10" s="13"/>
    </row>
    <row r="11" spans="1:12" x14ac:dyDescent="0.15">
      <c r="A11" s="50" t="s">
        <v>66</v>
      </c>
      <c r="B11" s="50"/>
      <c r="C11" s="14">
        <v>6769</v>
      </c>
      <c r="D11" s="14">
        <v>6663</v>
      </c>
      <c r="E11" s="14">
        <v>10384</v>
      </c>
      <c r="F11" s="14">
        <v>7243</v>
      </c>
      <c r="G11" s="14">
        <v>4889</v>
      </c>
      <c r="H11" s="14">
        <v>3147</v>
      </c>
      <c r="I11" s="14">
        <v>6255</v>
      </c>
      <c r="J11" s="16">
        <f>SUM(C11:I11)</f>
        <v>45350</v>
      </c>
      <c r="K11" s="16">
        <f t="shared" ref="K11:K42" si="0">AVERAGE(C11:I11)</f>
        <v>6478.5714285714284</v>
      </c>
      <c r="L11" s="13"/>
    </row>
    <row r="12" spans="1:12" x14ac:dyDescent="0.15">
      <c r="A12" s="54" t="s">
        <v>67</v>
      </c>
      <c r="B12" s="55"/>
      <c r="C12" s="18">
        <v>8.7354166666666675</v>
      </c>
      <c r="D12" s="18">
        <v>8.1437500000000007</v>
      </c>
      <c r="E12" s="18">
        <v>12.925000000000001</v>
      </c>
      <c r="F12" s="18">
        <v>9.7145833333333336</v>
      </c>
      <c r="G12" s="18">
        <v>9.0472222222222225</v>
      </c>
      <c r="H12" s="18">
        <v>6.1909722222222223</v>
      </c>
      <c r="I12" s="18">
        <v>8.7048611111111107</v>
      </c>
      <c r="J12" s="20">
        <f>SUM(C12:I12)</f>
        <v>63.461805555555557</v>
      </c>
      <c r="K12" s="20">
        <f t="shared" si="0"/>
        <v>9.0659722222222232</v>
      </c>
      <c r="L12" s="13"/>
    </row>
    <row r="13" spans="1:12" x14ac:dyDescent="0.15">
      <c r="A13" s="50" t="s">
        <v>68</v>
      </c>
      <c r="B13" s="50"/>
      <c r="C13" s="14">
        <v>1586771</v>
      </c>
      <c r="D13" s="14">
        <v>1600846</v>
      </c>
      <c r="E13" s="14">
        <v>2099099</v>
      </c>
      <c r="F13" s="14">
        <v>1186510</v>
      </c>
      <c r="G13" s="14">
        <v>1254176</v>
      </c>
      <c r="H13" s="14">
        <v>822846</v>
      </c>
      <c r="I13" s="14">
        <v>1517348</v>
      </c>
      <c r="J13" s="16">
        <f>SUM(C13:I13)</f>
        <v>10067596</v>
      </c>
      <c r="K13" s="16">
        <f t="shared" si="0"/>
        <v>1438228</v>
      </c>
      <c r="L13" s="13">
        <f>J13/J13</f>
        <v>1</v>
      </c>
    </row>
    <row r="14" spans="1:12" x14ac:dyDescent="0.15">
      <c r="A14" s="54" t="s">
        <v>69</v>
      </c>
      <c r="B14" s="55"/>
      <c r="C14" s="14">
        <v>0</v>
      </c>
      <c r="D14" s="14">
        <v>0</v>
      </c>
      <c r="E14" s="14">
        <v>0</v>
      </c>
      <c r="F14" s="14">
        <v>94890</v>
      </c>
      <c r="G14" s="14">
        <v>0</v>
      </c>
      <c r="H14" s="14">
        <v>0</v>
      </c>
      <c r="I14" s="14">
        <v>0</v>
      </c>
      <c r="J14" s="16">
        <f>SUM(C14:I14)</f>
        <v>94890</v>
      </c>
      <c r="K14" s="16">
        <f t="shared" si="0"/>
        <v>13555.714285714286</v>
      </c>
      <c r="L14" s="13"/>
    </row>
    <row r="15" spans="1:12" x14ac:dyDescent="0.15">
      <c r="A15" s="50" t="s">
        <v>70</v>
      </c>
      <c r="B15" s="50"/>
      <c r="C15" s="14">
        <f t="shared" ref="C15:I15" si="1">SUM(C13/C11)</f>
        <v>234.41734377308316</v>
      </c>
      <c r="D15" s="14">
        <f t="shared" si="1"/>
        <v>240.25904247336035</v>
      </c>
      <c r="E15" s="14">
        <f t="shared" si="1"/>
        <v>202.14743836671803</v>
      </c>
      <c r="F15" s="14">
        <f t="shared" si="1"/>
        <v>163.81471765842883</v>
      </c>
      <c r="G15" s="14">
        <f t="shared" si="1"/>
        <v>256.53016976886892</v>
      </c>
      <c r="H15" s="14">
        <f t="shared" si="1"/>
        <v>261.46997140133459</v>
      </c>
      <c r="I15" s="14">
        <f t="shared" si="1"/>
        <v>242.58161470823342</v>
      </c>
      <c r="J15" s="12">
        <f>SUM(J13/J11)</f>
        <v>221.99770672546859</v>
      </c>
      <c r="K15" s="16">
        <f t="shared" si="0"/>
        <v>228.74575687857532</v>
      </c>
      <c r="L15" s="13"/>
    </row>
    <row r="16" spans="1:12" x14ac:dyDescent="0.15">
      <c r="A16" s="54" t="s">
        <v>71</v>
      </c>
      <c r="B16" s="55"/>
      <c r="C16" s="21">
        <f t="shared" ref="C16:J16" si="2">C13/(C12*24)</f>
        <v>7568.6668256618159</v>
      </c>
      <c r="D16" s="21">
        <f t="shared" si="2"/>
        <v>8190.5653619851619</v>
      </c>
      <c r="E16" s="21">
        <f t="shared" si="2"/>
        <v>6766.921341070276</v>
      </c>
      <c r="F16" s="21">
        <f t="shared" si="2"/>
        <v>5089.0413896633072</v>
      </c>
      <c r="G16" s="21">
        <f t="shared" si="2"/>
        <v>5776.063862450108</v>
      </c>
      <c r="H16" s="21">
        <f t="shared" si="2"/>
        <v>5537.9427930454285</v>
      </c>
      <c r="I16" s="21">
        <f t="shared" si="2"/>
        <v>7262.9341842840049</v>
      </c>
      <c r="J16" s="23">
        <f t="shared" si="2"/>
        <v>6610.0099578705467</v>
      </c>
      <c r="K16" s="23">
        <f t="shared" si="0"/>
        <v>6598.876536880015</v>
      </c>
      <c r="L16" s="13"/>
    </row>
    <row r="17" spans="1:12" x14ac:dyDescent="0.15">
      <c r="A17" s="51" t="s">
        <v>72</v>
      </c>
      <c r="B17" s="11" t="s">
        <v>73</v>
      </c>
      <c r="C17" s="14">
        <v>0</v>
      </c>
      <c r="D17" s="14">
        <v>215200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6">
        <f t="shared" ref="J17:J28" si="3">SUM(C17:I17)</f>
        <v>215200</v>
      </c>
      <c r="K17" s="16">
        <f t="shared" si="0"/>
        <v>30742.857142857141</v>
      </c>
      <c r="L17" s="13">
        <f>J17/J13</f>
        <v>2.1375510101915095E-2</v>
      </c>
    </row>
    <row r="18" spans="1:12" x14ac:dyDescent="0.15">
      <c r="A18" s="51"/>
      <c r="B18" s="11" t="s">
        <v>74</v>
      </c>
      <c r="C18" s="14">
        <v>3241</v>
      </c>
      <c r="D18" s="14">
        <v>0</v>
      </c>
      <c r="E18" s="14">
        <v>4417</v>
      </c>
      <c r="F18" s="14">
        <v>4025</v>
      </c>
      <c r="G18" s="14">
        <v>4417</v>
      </c>
      <c r="H18" s="14">
        <v>4417</v>
      </c>
      <c r="I18" s="14">
        <v>4825</v>
      </c>
      <c r="J18" s="16">
        <f t="shared" si="3"/>
        <v>25342</v>
      </c>
      <c r="K18" s="16">
        <f t="shared" si="0"/>
        <v>3620.2857142857142</v>
      </c>
      <c r="L18" s="13">
        <f>J18/J13</f>
        <v>2.5171848373732914E-3</v>
      </c>
    </row>
    <row r="19" spans="1:12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6">
        <f t="shared" si="3"/>
        <v>0</v>
      </c>
      <c r="K19" s="16">
        <f t="shared" si="0"/>
        <v>0</v>
      </c>
      <c r="L19" s="13">
        <f>J19/J13</f>
        <v>0</v>
      </c>
    </row>
    <row r="20" spans="1:12" x14ac:dyDescent="0.15">
      <c r="A20" s="51"/>
      <c r="B20" s="11" t="s">
        <v>76</v>
      </c>
      <c r="C20" s="14">
        <v>4550</v>
      </c>
      <c r="D20" s="14">
        <v>4583</v>
      </c>
      <c r="E20" s="14">
        <v>4766</v>
      </c>
      <c r="F20" s="14">
        <v>4583</v>
      </c>
      <c r="G20" s="14">
        <v>4766</v>
      </c>
      <c r="H20" s="14">
        <v>4766</v>
      </c>
      <c r="I20" s="14">
        <v>4950</v>
      </c>
      <c r="J20" s="16">
        <f t="shared" si="3"/>
        <v>32964</v>
      </c>
      <c r="K20" s="16">
        <f t="shared" si="0"/>
        <v>4709.1428571428569</v>
      </c>
      <c r="L20" s="13">
        <f>J20/J13</f>
        <v>3.2742672630089644E-3</v>
      </c>
    </row>
    <row r="21" spans="1:12" x14ac:dyDescent="0.15">
      <c r="A21" s="51"/>
      <c r="B21" s="11" t="s">
        <v>77</v>
      </c>
      <c r="C21" s="14">
        <v>49238</v>
      </c>
      <c r="D21" s="14">
        <v>31013</v>
      </c>
      <c r="E21" s="14">
        <v>49888</v>
      </c>
      <c r="F21" s="14">
        <v>27811</v>
      </c>
      <c r="G21" s="14">
        <v>36771</v>
      </c>
      <c r="H21" s="14">
        <v>36083</v>
      </c>
      <c r="I21" s="14">
        <v>49900</v>
      </c>
      <c r="J21" s="16">
        <f t="shared" si="3"/>
        <v>280704</v>
      </c>
      <c r="K21" s="16">
        <f t="shared" si="0"/>
        <v>40100.571428571428</v>
      </c>
      <c r="L21" s="13">
        <f>J21/J13</f>
        <v>2.7881929310631853E-2</v>
      </c>
    </row>
    <row r="22" spans="1:12" x14ac:dyDescent="0.15">
      <c r="A22" s="51"/>
      <c r="B22" s="24" t="s">
        <v>78</v>
      </c>
      <c r="C22" s="25">
        <f t="shared" ref="C22:I22" si="4">SUM(C17:C21)</f>
        <v>57029</v>
      </c>
      <c r="D22" s="25">
        <f t="shared" si="4"/>
        <v>250796</v>
      </c>
      <c r="E22" s="25">
        <f t="shared" si="4"/>
        <v>59071</v>
      </c>
      <c r="F22" s="25">
        <f t="shared" si="4"/>
        <v>36419</v>
      </c>
      <c r="G22" s="25">
        <f t="shared" si="4"/>
        <v>45954</v>
      </c>
      <c r="H22" s="25">
        <f t="shared" si="4"/>
        <v>45266</v>
      </c>
      <c r="I22" s="25">
        <f t="shared" si="4"/>
        <v>59675</v>
      </c>
      <c r="J22" s="27">
        <f t="shared" si="3"/>
        <v>554210</v>
      </c>
      <c r="K22" s="27">
        <f t="shared" si="0"/>
        <v>79172.857142857145</v>
      </c>
      <c r="L22" s="28">
        <f>J22/J13</f>
        <v>5.5048891512929202E-2</v>
      </c>
    </row>
    <row r="23" spans="1:12" x14ac:dyDescent="0.15">
      <c r="A23" s="51" t="s">
        <v>79</v>
      </c>
      <c r="B23" s="11" t="s">
        <v>80</v>
      </c>
      <c r="C23" s="14">
        <v>0</v>
      </c>
      <c r="D23" s="14">
        <v>24610</v>
      </c>
      <c r="E23" s="14">
        <v>104955</v>
      </c>
      <c r="F23" s="14">
        <v>100560</v>
      </c>
      <c r="G23" s="14">
        <v>213050</v>
      </c>
      <c r="H23" s="14">
        <v>0</v>
      </c>
      <c r="I23" s="14">
        <v>1056</v>
      </c>
      <c r="J23" s="16">
        <f t="shared" si="3"/>
        <v>444231</v>
      </c>
      <c r="K23" s="16">
        <f t="shared" si="0"/>
        <v>63461.571428571428</v>
      </c>
      <c r="L23" s="13">
        <f>J23/J13</f>
        <v>4.4124833773623813E-2</v>
      </c>
    </row>
    <row r="24" spans="1:12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6">
        <f t="shared" si="3"/>
        <v>0</v>
      </c>
      <c r="K24" s="16">
        <f t="shared" si="0"/>
        <v>0</v>
      </c>
      <c r="L24" s="13">
        <f>J24/J13</f>
        <v>0</v>
      </c>
    </row>
    <row r="25" spans="1:12" x14ac:dyDescent="0.15">
      <c r="A25" s="51"/>
      <c r="B25" s="11" t="s">
        <v>82</v>
      </c>
      <c r="C25" s="14">
        <f t="shared" ref="C25:I25" si="5">30000*C9/70000*C11</f>
        <v>23208</v>
      </c>
      <c r="D25" s="14">
        <f t="shared" si="5"/>
        <v>22844.571428571428</v>
      </c>
      <c r="E25" s="14">
        <f t="shared" si="5"/>
        <v>35602.28571428571</v>
      </c>
      <c r="F25" s="14">
        <f t="shared" si="5"/>
        <v>31041.428571428569</v>
      </c>
      <c r="G25" s="14">
        <f t="shared" si="5"/>
        <v>20952.857142857141</v>
      </c>
      <c r="H25" s="14">
        <f t="shared" si="5"/>
        <v>13487.142857142857</v>
      </c>
      <c r="I25" s="14">
        <f t="shared" si="5"/>
        <v>26807.142857142855</v>
      </c>
      <c r="J25" s="16">
        <f t="shared" si="3"/>
        <v>173943.42857142858</v>
      </c>
      <c r="K25" s="16">
        <f t="shared" si="0"/>
        <v>24849.061224489797</v>
      </c>
      <c r="L25" s="13">
        <f>J25/J13</f>
        <v>1.7277553506460586E-2</v>
      </c>
    </row>
    <row r="26" spans="1:12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6">
        <f t="shared" si="3"/>
        <v>0</v>
      </c>
      <c r="K26" s="16">
        <f t="shared" si="0"/>
        <v>0</v>
      </c>
      <c r="L26" s="13">
        <f>J26/J13</f>
        <v>0</v>
      </c>
    </row>
    <row r="27" spans="1:12" x14ac:dyDescent="0.15">
      <c r="A27" s="51"/>
      <c r="B27" s="24" t="s">
        <v>83</v>
      </c>
      <c r="C27" s="25">
        <f t="shared" ref="C27:I27" si="6">SUM(C23:C26)</f>
        <v>23208</v>
      </c>
      <c r="D27" s="25">
        <f t="shared" si="6"/>
        <v>47454.571428571428</v>
      </c>
      <c r="E27" s="25">
        <f t="shared" si="6"/>
        <v>140557.28571428571</v>
      </c>
      <c r="F27" s="25">
        <f t="shared" si="6"/>
        <v>131601.42857142858</v>
      </c>
      <c r="G27" s="25">
        <f t="shared" si="6"/>
        <v>234002.85714285713</v>
      </c>
      <c r="H27" s="25">
        <f t="shared" si="6"/>
        <v>13487.142857142857</v>
      </c>
      <c r="I27" s="25">
        <f t="shared" si="6"/>
        <v>27863.142857142855</v>
      </c>
      <c r="J27" s="27">
        <f t="shared" si="3"/>
        <v>618174.42857142852</v>
      </c>
      <c r="K27" s="27">
        <f t="shared" si="0"/>
        <v>88310.632653061213</v>
      </c>
      <c r="L27" s="28">
        <f>J27/J13</f>
        <v>6.1402387280084396E-2</v>
      </c>
    </row>
    <row r="28" spans="1:12" x14ac:dyDescent="0.15">
      <c r="A28" s="51" t="s">
        <v>84</v>
      </c>
      <c r="B28" s="8" t="s">
        <v>85</v>
      </c>
      <c r="C28" s="29">
        <v>1817</v>
      </c>
      <c r="D28" s="29">
        <v>1655</v>
      </c>
      <c r="E28" s="29">
        <v>2673</v>
      </c>
      <c r="F28" s="29">
        <v>1830</v>
      </c>
      <c r="G28" s="29">
        <v>1321</v>
      </c>
      <c r="H28" s="29">
        <v>866</v>
      </c>
      <c r="I28" s="29">
        <v>1375</v>
      </c>
      <c r="J28" s="31">
        <f t="shared" si="3"/>
        <v>11537</v>
      </c>
      <c r="K28" s="31">
        <f t="shared" si="0"/>
        <v>1648.1428571428571</v>
      </c>
      <c r="L28" s="10">
        <f>J28/J13</f>
        <v>1.1459538106217213E-3</v>
      </c>
    </row>
    <row r="29" spans="1:12" x14ac:dyDescent="0.15">
      <c r="A29" s="51"/>
      <c r="B29" s="32" t="s">
        <v>86</v>
      </c>
      <c r="C29" s="33">
        <f t="shared" ref="C29:J29" si="7">SUM(C11/C28)</f>
        <v>3.7253714914694553</v>
      </c>
      <c r="D29" s="33">
        <f t="shared" si="7"/>
        <v>4.0259818731117827</v>
      </c>
      <c r="E29" s="33">
        <f t="shared" si="7"/>
        <v>3.8847736625514404</v>
      </c>
      <c r="F29" s="33">
        <f t="shared" si="7"/>
        <v>3.9579234972677595</v>
      </c>
      <c r="G29" s="33">
        <f t="shared" si="7"/>
        <v>3.700984102952309</v>
      </c>
      <c r="H29" s="33">
        <f t="shared" si="7"/>
        <v>3.6339491916859123</v>
      </c>
      <c r="I29" s="33">
        <f t="shared" si="7"/>
        <v>4.5490909090909089</v>
      </c>
      <c r="J29" s="35">
        <f t="shared" si="7"/>
        <v>3.9308312386235591</v>
      </c>
      <c r="K29" s="35">
        <f t="shared" si="0"/>
        <v>3.9254392468756518</v>
      </c>
      <c r="L29" s="32">
        <f>J29/J13</f>
        <v>3.9044387941506185E-7</v>
      </c>
    </row>
    <row r="30" spans="1:12" x14ac:dyDescent="0.15">
      <c r="A30" s="51"/>
      <c r="B30" s="11" t="s">
        <v>87</v>
      </c>
      <c r="C30" s="14">
        <v>208410</v>
      </c>
      <c r="D30" s="14">
        <v>189829</v>
      </c>
      <c r="E30" s="14">
        <v>306593</v>
      </c>
      <c r="F30" s="14">
        <v>209901</v>
      </c>
      <c r="G30" s="14">
        <v>151519</v>
      </c>
      <c r="H30" s="14">
        <v>99330</v>
      </c>
      <c r="I30" s="14">
        <v>157713</v>
      </c>
      <c r="J30" s="16">
        <f t="shared" ref="J30:J43" si="8">SUM(C30:I30)</f>
        <v>1323295</v>
      </c>
      <c r="K30" s="16">
        <f t="shared" si="0"/>
        <v>189042.14285714287</v>
      </c>
      <c r="L30" s="13">
        <f>J30/J13</f>
        <v>0.13144101133974784</v>
      </c>
    </row>
    <row r="31" spans="1:12" x14ac:dyDescent="0.15">
      <c r="A31" s="51"/>
      <c r="B31" s="11" t="s">
        <v>88</v>
      </c>
      <c r="C31" s="14">
        <v>0</v>
      </c>
      <c r="D31" s="14">
        <v>9585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6">
        <f t="shared" si="8"/>
        <v>9585</v>
      </c>
      <c r="K31" s="16">
        <f t="shared" si="0"/>
        <v>1369.2857142857142</v>
      </c>
      <c r="L31" s="13">
        <f>J31/J13</f>
        <v>9.5206442531067001E-4</v>
      </c>
    </row>
    <row r="32" spans="1:12" x14ac:dyDescent="0.15">
      <c r="A32" s="51"/>
      <c r="B32" s="11" t="s">
        <v>89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6">
        <f t="shared" si="8"/>
        <v>0</v>
      </c>
      <c r="K32" s="16">
        <f t="shared" si="0"/>
        <v>0</v>
      </c>
      <c r="L32" s="13">
        <f>J32/J13</f>
        <v>0</v>
      </c>
    </row>
    <row r="33" spans="1:12" x14ac:dyDescent="0.15">
      <c r="A33" s="51"/>
      <c r="B33" s="24" t="s">
        <v>90</v>
      </c>
      <c r="C33" s="25">
        <f t="shared" ref="C33:I33" si="9">SUM(C30:C32)</f>
        <v>208410</v>
      </c>
      <c r="D33" s="25">
        <f t="shared" si="9"/>
        <v>199414</v>
      </c>
      <c r="E33" s="25">
        <f t="shared" si="9"/>
        <v>306593</v>
      </c>
      <c r="F33" s="25">
        <f t="shared" si="9"/>
        <v>209901</v>
      </c>
      <c r="G33" s="25">
        <f t="shared" si="9"/>
        <v>151519</v>
      </c>
      <c r="H33" s="25">
        <f t="shared" si="9"/>
        <v>99330</v>
      </c>
      <c r="I33" s="25">
        <f t="shared" si="9"/>
        <v>157713</v>
      </c>
      <c r="J33" s="27">
        <f t="shared" si="8"/>
        <v>1332880</v>
      </c>
      <c r="K33" s="27">
        <f t="shared" si="0"/>
        <v>190411.42857142858</v>
      </c>
      <c r="L33" s="28">
        <f>J33/J13</f>
        <v>0.13239307576505852</v>
      </c>
    </row>
    <row r="34" spans="1:12" x14ac:dyDescent="0.15">
      <c r="A34" s="51" t="s">
        <v>91</v>
      </c>
      <c r="B34" s="11" t="s">
        <v>92</v>
      </c>
      <c r="C34" s="14">
        <v>2008</v>
      </c>
      <c r="D34" s="14">
        <v>2008</v>
      </c>
      <c r="E34" s="14">
        <v>2008</v>
      </c>
      <c r="F34" s="14">
        <v>2008</v>
      </c>
      <c r="G34" s="14">
        <v>2365</v>
      </c>
      <c r="H34" s="14">
        <v>2012</v>
      </c>
      <c r="I34" s="14">
        <v>2625</v>
      </c>
      <c r="J34" s="16">
        <f t="shared" si="8"/>
        <v>15034</v>
      </c>
      <c r="K34" s="16">
        <f t="shared" si="0"/>
        <v>2147.7142857142858</v>
      </c>
      <c r="L34" s="13">
        <f>J34/J13</f>
        <v>1.4933058497778417E-3</v>
      </c>
    </row>
    <row r="35" spans="1:12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6">
        <f t="shared" si="8"/>
        <v>0</v>
      </c>
      <c r="K35" s="16">
        <f t="shared" si="0"/>
        <v>0</v>
      </c>
      <c r="L35" s="13">
        <f>J35/J13</f>
        <v>0</v>
      </c>
    </row>
    <row r="36" spans="1:12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6">
        <f t="shared" si="8"/>
        <v>0</v>
      </c>
      <c r="K36" s="16">
        <f t="shared" si="0"/>
        <v>0</v>
      </c>
      <c r="L36" s="13">
        <f>J36/J13</f>
        <v>0</v>
      </c>
    </row>
    <row r="37" spans="1:12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6">
        <f t="shared" si="8"/>
        <v>0</v>
      </c>
      <c r="K37" s="16">
        <f t="shared" si="0"/>
        <v>0</v>
      </c>
      <c r="L37" s="13">
        <f>J37/J13</f>
        <v>0</v>
      </c>
    </row>
    <row r="38" spans="1:12" x14ac:dyDescent="0.15">
      <c r="A38" s="51"/>
      <c r="B38" s="11" t="s">
        <v>93</v>
      </c>
      <c r="C38" s="14">
        <v>5366</v>
      </c>
      <c r="D38" s="14">
        <v>10370</v>
      </c>
      <c r="E38" s="14">
        <v>5366</v>
      </c>
      <c r="F38" s="14">
        <v>5366</v>
      </c>
      <c r="G38" s="14">
        <v>4621</v>
      </c>
      <c r="H38" s="14">
        <v>4621</v>
      </c>
      <c r="I38" s="14">
        <v>4621</v>
      </c>
      <c r="J38" s="16">
        <f t="shared" si="8"/>
        <v>40331</v>
      </c>
      <c r="K38" s="16">
        <f t="shared" si="0"/>
        <v>5761.5714285714284</v>
      </c>
      <c r="L38" s="13">
        <f>J38/J13</f>
        <v>4.0060209011168104E-3</v>
      </c>
    </row>
    <row r="39" spans="1:12" x14ac:dyDescent="0.15">
      <c r="A39" s="51"/>
      <c r="B39" s="24" t="s">
        <v>94</v>
      </c>
      <c r="C39" s="25">
        <f t="shared" ref="C39:I39" si="10">SUM(C34:C38)</f>
        <v>7374</v>
      </c>
      <c r="D39" s="25">
        <f t="shared" si="10"/>
        <v>12378</v>
      </c>
      <c r="E39" s="25">
        <f t="shared" si="10"/>
        <v>7374</v>
      </c>
      <c r="F39" s="25">
        <f t="shared" si="10"/>
        <v>7374</v>
      </c>
      <c r="G39" s="25">
        <f t="shared" si="10"/>
        <v>6986</v>
      </c>
      <c r="H39" s="25">
        <f t="shared" si="10"/>
        <v>6633</v>
      </c>
      <c r="I39" s="25">
        <f t="shared" si="10"/>
        <v>7246</v>
      </c>
      <c r="J39" s="27">
        <f t="shared" si="8"/>
        <v>55365</v>
      </c>
      <c r="K39" s="27">
        <f t="shared" si="0"/>
        <v>7909.2857142857147</v>
      </c>
      <c r="L39" s="28">
        <f>J39/J13</f>
        <v>5.4993267508946526E-3</v>
      </c>
    </row>
    <row r="40" spans="1:12" x14ac:dyDescent="0.15">
      <c r="A40" s="51" t="s">
        <v>95</v>
      </c>
      <c r="B40" s="11" t="s">
        <v>96</v>
      </c>
      <c r="C40" s="14">
        <v>119870</v>
      </c>
      <c r="D40" s="14">
        <v>126410</v>
      </c>
      <c r="E40" s="14">
        <v>340180</v>
      </c>
      <c r="F40" s="14">
        <v>166790</v>
      </c>
      <c r="G40" s="14">
        <v>30990</v>
      </c>
      <c r="H40" s="14">
        <v>22490</v>
      </c>
      <c r="I40" s="14">
        <v>87190</v>
      </c>
      <c r="J40" s="16">
        <f t="shared" si="8"/>
        <v>893920</v>
      </c>
      <c r="K40" s="16">
        <f t="shared" si="0"/>
        <v>127702.85714285714</v>
      </c>
      <c r="L40" s="13">
        <f>J40/J13</f>
        <v>8.8791802928921665E-2</v>
      </c>
    </row>
    <row r="41" spans="1:12" x14ac:dyDescent="0.15">
      <c r="A41" s="51"/>
      <c r="B41" s="11" t="s">
        <v>97</v>
      </c>
      <c r="C41" s="14">
        <v>-119870</v>
      </c>
      <c r="D41" s="14">
        <v>-121180</v>
      </c>
      <c r="E41" s="14">
        <v>-103156</v>
      </c>
      <c r="F41" s="14">
        <v>-3054</v>
      </c>
      <c r="G41" s="14">
        <v>0</v>
      </c>
      <c r="H41" s="14">
        <v>0</v>
      </c>
      <c r="I41" s="14">
        <v>0</v>
      </c>
      <c r="J41" s="16">
        <f t="shared" si="8"/>
        <v>-347260</v>
      </c>
      <c r="K41" s="16">
        <f t="shared" si="0"/>
        <v>-49608.571428571428</v>
      </c>
      <c r="L41" s="13">
        <f>J41/J13</f>
        <v>-3.4492842183973214E-2</v>
      </c>
    </row>
    <row r="42" spans="1:12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6">
        <f t="shared" si="8"/>
        <v>0</v>
      </c>
      <c r="K42" s="16">
        <f t="shared" si="0"/>
        <v>0</v>
      </c>
      <c r="L42" s="13">
        <f>J42/J13</f>
        <v>0</v>
      </c>
    </row>
    <row r="43" spans="1:12" x14ac:dyDescent="0.15">
      <c r="A43" s="51"/>
      <c r="B43" s="11" t="s">
        <v>99</v>
      </c>
      <c r="C43" s="14">
        <v>-38358.400000000001</v>
      </c>
      <c r="D43" s="14">
        <v>-40451.199999999997</v>
      </c>
      <c r="E43" s="14">
        <v>-108857.60000000001</v>
      </c>
      <c r="F43" s="14">
        <v>-53372.800000000003</v>
      </c>
      <c r="G43" s="14">
        <v>-9916.7999999999993</v>
      </c>
      <c r="H43" s="14">
        <v>-7196.8</v>
      </c>
      <c r="I43" s="14">
        <v>-27900.799999999999</v>
      </c>
      <c r="J43" s="16">
        <f t="shared" si="8"/>
        <v>-286054.39999999997</v>
      </c>
      <c r="K43" s="16">
        <f>AVERAGE(B43:I43)</f>
        <v>-40864.91428571428</v>
      </c>
      <c r="L43" s="13">
        <f>J43/J13</f>
        <v>-2.8413376937254927E-2</v>
      </c>
    </row>
    <row r="44" spans="1:12" x14ac:dyDescent="0.15">
      <c r="A44" s="51"/>
      <c r="B44" s="24" t="s">
        <v>100</v>
      </c>
      <c r="C44" s="25">
        <f t="shared" ref="C44:J44" si="11">SUM(C40:C43)</f>
        <v>-38358.400000000001</v>
      </c>
      <c r="D44" s="25">
        <f t="shared" si="11"/>
        <v>-35221.199999999997</v>
      </c>
      <c r="E44" s="25">
        <f t="shared" si="11"/>
        <v>128166.39999999999</v>
      </c>
      <c r="F44" s="25">
        <f t="shared" si="11"/>
        <v>110363.2</v>
      </c>
      <c r="G44" s="25">
        <f t="shared" si="11"/>
        <v>21073.200000000001</v>
      </c>
      <c r="H44" s="25">
        <f t="shared" si="11"/>
        <v>15293.2</v>
      </c>
      <c r="I44" s="25">
        <f t="shared" si="11"/>
        <v>59289.2</v>
      </c>
      <c r="J44" s="27">
        <f t="shared" si="11"/>
        <v>260605.60000000003</v>
      </c>
      <c r="K44" s="27">
        <f>AVERAGE(B44:I44)</f>
        <v>37229.37142857143</v>
      </c>
      <c r="L44" s="28">
        <f>J44/J13</f>
        <v>2.588558380769352E-2</v>
      </c>
    </row>
    <row r="45" spans="1:12" x14ac:dyDescent="0.15">
      <c r="A45" s="51" t="s">
        <v>101</v>
      </c>
      <c r="B45" s="11" t="s">
        <v>102</v>
      </c>
      <c r="C45" s="14">
        <v>301265</v>
      </c>
      <c r="D45" s="14">
        <v>314960</v>
      </c>
      <c r="E45" s="14">
        <v>328654</v>
      </c>
      <c r="F45" s="14">
        <v>273878</v>
      </c>
      <c r="G45" s="14">
        <v>342342</v>
      </c>
      <c r="H45" s="14">
        <v>219103</v>
      </c>
      <c r="I45" s="14">
        <v>260184</v>
      </c>
      <c r="J45" s="16">
        <f t="shared" ref="J45:J60" si="12">SUM(C45:I45)</f>
        <v>2040386</v>
      </c>
      <c r="K45" s="16">
        <f t="shared" ref="K45:K60" si="13">AVERAGE(C45:I45)</f>
        <v>291483.71428571426</v>
      </c>
      <c r="L45" s="13">
        <f>J45/J13</f>
        <v>0.20266864105393184</v>
      </c>
    </row>
    <row r="46" spans="1:12" x14ac:dyDescent="0.15">
      <c r="A46" s="51"/>
      <c r="B46" s="11" t="s">
        <v>103</v>
      </c>
      <c r="C46" s="14">
        <v>17816</v>
      </c>
      <c r="D46" s="14">
        <v>18626</v>
      </c>
      <c r="E46" s="14">
        <v>19435</v>
      </c>
      <c r="F46" s="14">
        <v>16196</v>
      </c>
      <c r="G46" s="14">
        <v>20243</v>
      </c>
      <c r="H46" s="14">
        <v>12958</v>
      </c>
      <c r="I46" s="14">
        <v>15386</v>
      </c>
      <c r="J46" s="16">
        <f t="shared" si="12"/>
        <v>120660</v>
      </c>
      <c r="K46" s="16">
        <f t="shared" si="13"/>
        <v>17237.142857142859</v>
      </c>
      <c r="L46" s="13">
        <f>J46/J13</f>
        <v>1.1984986286696447E-2</v>
      </c>
    </row>
    <row r="47" spans="1:12" x14ac:dyDescent="0.15">
      <c r="A47" s="51"/>
      <c r="B47" s="11" t="s">
        <v>104</v>
      </c>
      <c r="C47" s="14">
        <v>55641</v>
      </c>
      <c r="D47" s="14">
        <v>58170</v>
      </c>
      <c r="E47" s="14">
        <v>60700</v>
      </c>
      <c r="F47" s="14">
        <v>50582</v>
      </c>
      <c r="G47" s="14">
        <v>63233</v>
      </c>
      <c r="H47" s="14">
        <v>40465</v>
      </c>
      <c r="I47" s="14">
        <v>48054</v>
      </c>
      <c r="J47" s="16">
        <f t="shared" si="12"/>
        <v>376845</v>
      </c>
      <c r="K47" s="16">
        <f t="shared" si="13"/>
        <v>53835</v>
      </c>
      <c r="L47" s="13">
        <f>J47/J13</f>
        <v>3.743147818009384E-2</v>
      </c>
    </row>
    <row r="48" spans="1:12" x14ac:dyDescent="0.15">
      <c r="A48" s="51"/>
      <c r="B48" s="11" t="s">
        <v>105</v>
      </c>
      <c r="C48" s="14">
        <v>3288</v>
      </c>
      <c r="D48" s="14">
        <v>3437</v>
      </c>
      <c r="E48" s="14">
        <v>3587</v>
      </c>
      <c r="F48" s="14">
        <v>2990</v>
      </c>
      <c r="G48" s="14">
        <v>3740</v>
      </c>
      <c r="H48" s="14">
        <v>2391</v>
      </c>
      <c r="I48" s="14">
        <v>2841</v>
      </c>
      <c r="J48" s="16">
        <f t="shared" si="12"/>
        <v>22274</v>
      </c>
      <c r="K48" s="16">
        <f t="shared" si="13"/>
        <v>3182</v>
      </c>
      <c r="L48" s="13">
        <f>J48/J13</f>
        <v>2.2124447584110445E-3</v>
      </c>
    </row>
    <row r="49" spans="1:12" x14ac:dyDescent="0.15">
      <c r="A49" s="51"/>
      <c r="B49" s="24" t="s">
        <v>106</v>
      </c>
      <c r="C49" s="25">
        <f t="shared" ref="C49:I49" si="14">SUM(C45:C48)</f>
        <v>378010</v>
      </c>
      <c r="D49" s="25">
        <f t="shared" si="14"/>
        <v>395193</v>
      </c>
      <c r="E49" s="25">
        <f t="shared" si="14"/>
        <v>412376</v>
      </c>
      <c r="F49" s="25">
        <f t="shared" si="14"/>
        <v>343646</v>
      </c>
      <c r="G49" s="25">
        <f t="shared" si="14"/>
        <v>429558</v>
      </c>
      <c r="H49" s="25">
        <f t="shared" si="14"/>
        <v>274917</v>
      </c>
      <c r="I49" s="25">
        <f t="shared" si="14"/>
        <v>326465</v>
      </c>
      <c r="J49" s="27">
        <f t="shared" si="12"/>
        <v>2560165</v>
      </c>
      <c r="K49" s="27">
        <f t="shared" si="13"/>
        <v>365737.85714285716</v>
      </c>
      <c r="L49" s="28">
        <f>J49/J13</f>
        <v>0.25429755027913314</v>
      </c>
    </row>
    <row r="50" spans="1:12" x14ac:dyDescent="0.15">
      <c r="A50" s="51" t="s">
        <v>107</v>
      </c>
      <c r="B50" s="11" t="s">
        <v>108</v>
      </c>
      <c r="C50" s="14">
        <v>21428.571428571428</v>
      </c>
      <c r="D50" s="14">
        <v>21428.571428571428</v>
      </c>
      <c r="E50" s="14">
        <v>21428.571428571428</v>
      </c>
      <c r="F50" s="14">
        <v>21428.571428571428</v>
      </c>
      <c r="G50" s="14">
        <v>21428.571428571428</v>
      </c>
      <c r="H50" s="14">
        <v>21428.571428571428</v>
      </c>
      <c r="I50" s="14">
        <v>21428.571428571428</v>
      </c>
      <c r="J50" s="16">
        <f t="shared" si="12"/>
        <v>149999.99999999997</v>
      </c>
      <c r="K50" s="16">
        <f t="shared" si="13"/>
        <v>21428.571428571424</v>
      </c>
      <c r="L50" s="13">
        <f>J50/J13</f>
        <v>1.4899286781074645E-2</v>
      </c>
    </row>
    <row r="51" spans="1:12" x14ac:dyDescent="0.15">
      <c r="A51" s="51"/>
      <c r="B51" s="11" t="s">
        <v>109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6">
        <f t="shared" si="12"/>
        <v>0</v>
      </c>
      <c r="K51" s="16">
        <f t="shared" si="13"/>
        <v>0</v>
      </c>
      <c r="L51" s="13">
        <f>J51/J13</f>
        <v>0</v>
      </c>
    </row>
    <row r="52" spans="1:12" x14ac:dyDescent="0.15">
      <c r="A52" s="51"/>
      <c r="B52" s="11" t="s">
        <v>110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6">
        <f t="shared" si="12"/>
        <v>0</v>
      </c>
      <c r="K52" s="16">
        <f t="shared" si="13"/>
        <v>0</v>
      </c>
      <c r="L52" s="13">
        <f>J52/J13</f>
        <v>0</v>
      </c>
    </row>
    <row r="53" spans="1:12" x14ac:dyDescent="0.15">
      <c r="A53" s="51"/>
      <c r="B53" s="11" t="s">
        <v>111</v>
      </c>
      <c r="C53" s="14">
        <v>70633.71428571429</v>
      </c>
      <c r="D53" s="14">
        <v>70633.71428571429</v>
      </c>
      <c r="E53" s="14">
        <v>70633.71428571429</v>
      </c>
      <c r="F53" s="14">
        <v>70633.71428571429</v>
      </c>
      <c r="G53" s="14">
        <v>70633.71428571429</v>
      </c>
      <c r="H53" s="14">
        <v>70633.71428571429</v>
      </c>
      <c r="I53" s="14">
        <v>70633.71428571429</v>
      </c>
      <c r="J53" s="16">
        <f t="shared" si="12"/>
        <v>494436.00000000012</v>
      </c>
      <c r="K53" s="16">
        <f t="shared" si="13"/>
        <v>70633.714285714304</v>
      </c>
      <c r="L53" s="13">
        <f>J53/J13</f>
        <v>4.9111625059249507E-2</v>
      </c>
    </row>
    <row r="54" spans="1:12" x14ac:dyDescent="0.15">
      <c r="A54" s="51"/>
      <c r="B54" s="11" t="s">
        <v>112</v>
      </c>
      <c r="C54" s="14">
        <v>69233.142857142855</v>
      </c>
      <c r="D54" s="14">
        <v>69233.142857142855</v>
      </c>
      <c r="E54" s="14">
        <v>69233.142857142855</v>
      </c>
      <c r="F54" s="14">
        <v>69233.142857142855</v>
      </c>
      <c r="G54" s="14">
        <v>69233.142857142855</v>
      </c>
      <c r="H54" s="14">
        <v>69233.142857142855</v>
      </c>
      <c r="I54" s="14">
        <v>69233.142857142855</v>
      </c>
      <c r="J54" s="16">
        <f t="shared" si="12"/>
        <v>484631.99999999994</v>
      </c>
      <c r="K54" s="16">
        <f t="shared" si="13"/>
        <v>69233.142857142855</v>
      </c>
      <c r="L54" s="13">
        <f>J54/J13</f>
        <v>4.8137807675238453E-2</v>
      </c>
    </row>
    <row r="55" spans="1:12" x14ac:dyDescent="0.15">
      <c r="A55" s="51"/>
      <c r="B55" s="24" t="s">
        <v>113</v>
      </c>
      <c r="C55" s="25">
        <f t="shared" ref="C55:I55" si="15">SUM(C50:C54)</f>
        <v>161295.42857142858</v>
      </c>
      <c r="D55" s="25">
        <f t="shared" si="15"/>
        <v>161295.42857142858</v>
      </c>
      <c r="E55" s="25">
        <f t="shared" si="15"/>
        <v>161295.42857142858</v>
      </c>
      <c r="F55" s="25">
        <f t="shared" si="15"/>
        <v>161295.42857142858</v>
      </c>
      <c r="G55" s="25">
        <f t="shared" si="15"/>
        <v>161295.42857142858</v>
      </c>
      <c r="H55" s="25">
        <f t="shared" si="15"/>
        <v>161295.42857142858</v>
      </c>
      <c r="I55" s="25">
        <f t="shared" si="15"/>
        <v>161295.42857142858</v>
      </c>
      <c r="J55" s="27">
        <f t="shared" si="12"/>
        <v>1129068.0000000002</v>
      </c>
      <c r="K55" s="27">
        <f t="shared" si="13"/>
        <v>161295.42857142861</v>
      </c>
      <c r="L55" s="28">
        <f>J55/J13</f>
        <v>0.11214871951556263</v>
      </c>
    </row>
    <row r="56" spans="1:12" x14ac:dyDescent="0.15">
      <c r="A56" s="50" t="s">
        <v>114</v>
      </c>
      <c r="B56" s="50"/>
      <c r="C56" s="14">
        <f t="shared" ref="C56:I56" si="16">SUM(C49+C22+C27+C33+C39+C44+C55)</f>
        <v>796968.0285714285</v>
      </c>
      <c r="D56" s="14">
        <f t="shared" si="16"/>
        <v>1031309.8</v>
      </c>
      <c r="E56" s="14">
        <f t="shared" si="16"/>
        <v>1215433.1142857142</v>
      </c>
      <c r="F56" s="14">
        <f t="shared" si="16"/>
        <v>1000600.0571428572</v>
      </c>
      <c r="G56" s="14">
        <f t="shared" si="16"/>
        <v>1050388.4857142856</v>
      </c>
      <c r="H56" s="14">
        <f t="shared" si="16"/>
        <v>616221.77142857143</v>
      </c>
      <c r="I56" s="14">
        <f t="shared" si="16"/>
        <v>799546.77142857132</v>
      </c>
      <c r="J56" s="16">
        <f t="shared" si="12"/>
        <v>6510468.0285714278</v>
      </c>
      <c r="K56" s="16">
        <f t="shared" si="13"/>
        <v>930066.86122448964</v>
      </c>
      <c r="L56" s="13">
        <f>J56/J13</f>
        <v>0.64667553491135599</v>
      </c>
    </row>
    <row r="57" spans="1:12" x14ac:dyDescent="0.15">
      <c r="A57" s="50" t="s">
        <v>115</v>
      </c>
      <c r="B57" s="50"/>
      <c r="C57" s="14">
        <f t="shared" ref="C57:I57" si="17">SUM(C13+C14-C56)</f>
        <v>789802.9714285715</v>
      </c>
      <c r="D57" s="14">
        <f t="shared" si="17"/>
        <v>569536.19999999995</v>
      </c>
      <c r="E57" s="14">
        <f t="shared" si="17"/>
        <v>883665.88571428577</v>
      </c>
      <c r="F57" s="14">
        <f t="shared" si="17"/>
        <v>280799.94285714277</v>
      </c>
      <c r="G57" s="14">
        <f t="shared" si="17"/>
        <v>203787.51428571437</v>
      </c>
      <c r="H57" s="14">
        <f t="shared" si="17"/>
        <v>206624.22857142857</v>
      </c>
      <c r="I57" s="14">
        <f t="shared" si="17"/>
        <v>717801.22857142868</v>
      </c>
      <c r="J57" s="16">
        <f t="shared" si="12"/>
        <v>3652017.9714285713</v>
      </c>
      <c r="K57" s="16">
        <f t="shared" si="13"/>
        <v>521716.85306122445</v>
      </c>
      <c r="L57" s="13">
        <f>J57/J13</f>
        <v>0.36274975390635172</v>
      </c>
    </row>
    <row r="58" spans="1:12" x14ac:dyDescent="0.15">
      <c r="A58" s="50" t="s">
        <v>116</v>
      </c>
      <c r="B58" s="50"/>
      <c r="C58" s="14">
        <v>87826.465116279069</v>
      </c>
      <c r="D58" s="14">
        <v>87826.465116279069</v>
      </c>
      <c r="E58" s="14">
        <v>87826.465116279069</v>
      </c>
      <c r="F58" s="14">
        <v>87826.465116279069</v>
      </c>
      <c r="G58" s="14">
        <v>87826.465116279069</v>
      </c>
      <c r="H58" s="14">
        <v>87826.465116279069</v>
      </c>
      <c r="I58" s="14">
        <v>87826.465116279069</v>
      </c>
      <c r="J58" s="16">
        <f t="shared" si="12"/>
        <v>614785.25581395347</v>
      </c>
      <c r="K58" s="16">
        <f t="shared" si="13"/>
        <v>87826.465116279069</v>
      </c>
      <c r="L58" s="13">
        <f>J58/J13</f>
        <v>6.1065745567656218E-2</v>
      </c>
    </row>
    <row r="59" spans="1:12" x14ac:dyDescent="0.15">
      <c r="A59" s="50" t="s">
        <v>117</v>
      </c>
      <c r="B59" s="50"/>
      <c r="C59" s="14">
        <v>42477.813953488374</v>
      </c>
      <c r="D59" s="14">
        <v>42477.813953488374</v>
      </c>
      <c r="E59" s="14">
        <v>42477.813953488374</v>
      </c>
      <c r="F59" s="14">
        <v>42477.813953488374</v>
      </c>
      <c r="G59" s="14">
        <v>42477.813953488374</v>
      </c>
      <c r="H59" s="14">
        <v>42477.813953488374</v>
      </c>
      <c r="I59" s="14">
        <v>42477.813953488374</v>
      </c>
      <c r="J59" s="16">
        <f t="shared" si="12"/>
        <v>297344.69767441862</v>
      </c>
      <c r="K59" s="16">
        <f t="shared" si="13"/>
        <v>42477.813953488374</v>
      </c>
      <c r="L59" s="13">
        <f>J59/J13</f>
        <v>2.953482615655402E-2</v>
      </c>
    </row>
    <row r="60" spans="1:12" x14ac:dyDescent="0.15">
      <c r="A60" s="50" t="s">
        <v>118</v>
      </c>
      <c r="B60" s="50"/>
      <c r="C60" s="14">
        <f t="shared" ref="C60:I60" si="18">SUM(C57-(C58+C59))</f>
        <v>659498.69235880405</v>
      </c>
      <c r="D60" s="14">
        <f t="shared" si="18"/>
        <v>439231.9209302325</v>
      </c>
      <c r="E60" s="14">
        <f t="shared" si="18"/>
        <v>753361.60664451832</v>
      </c>
      <c r="F60" s="14">
        <f t="shared" si="18"/>
        <v>150495.66378737532</v>
      </c>
      <c r="G60" s="14">
        <f t="shared" si="18"/>
        <v>73483.235215946916</v>
      </c>
      <c r="H60" s="14">
        <f t="shared" si="18"/>
        <v>76319.949501661118</v>
      </c>
      <c r="I60" s="14">
        <f t="shared" si="18"/>
        <v>587496.94950166123</v>
      </c>
      <c r="J60" s="16">
        <f t="shared" si="12"/>
        <v>2739888.0179401995</v>
      </c>
      <c r="K60" s="16">
        <f t="shared" si="13"/>
        <v>391412.57399145706</v>
      </c>
      <c r="L60" s="13">
        <f>J60/J13</f>
        <v>0.27214918218214157</v>
      </c>
    </row>
    <row r="61" spans="1:12" x14ac:dyDescent="0.15">
      <c r="A61" s="11"/>
      <c r="B61" s="36" t="s">
        <v>47</v>
      </c>
      <c r="C61" s="11"/>
      <c r="D61" s="11"/>
      <c r="E61" s="11"/>
      <c r="F61" s="11"/>
      <c r="G61" s="11"/>
      <c r="H61" s="11"/>
      <c r="I61" s="11"/>
    </row>
    <row r="62" spans="1:12" x14ac:dyDescent="0.15">
      <c r="A62" s="12"/>
      <c r="B62" s="37"/>
      <c r="C62" s="11"/>
      <c r="D62" s="11"/>
      <c r="E62" s="11"/>
      <c r="F62" s="11"/>
      <c r="G62" s="11"/>
      <c r="H62" s="11"/>
      <c r="I62" s="11"/>
    </row>
    <row r="63" spans="1:12" x14ac:dyDescent="0.15">
      <c r="A63" s="12"/>
      <c r="B63" s="39" t="s">
        <v>125</v>
      </c>
      <c r="C63" s="11"/>
      <c r="D63" s="11"/>
      <c r="E63" s="11"/>
      <c r="F63" s="11"/>
      <c r="G63" s="11"/>
      <c r="H63" s="11"/>
      <c r="I63" s="11"/>
    </row>
    <row r="64" spans="1:12" x14ac:dyDescent="0.15">
      <c r="A64" s="12"/>
      <c r="B64" s="40" t="s">
        <v>126</v>
      </c>
      <c r="C64" s="11"/>
      <c r="D64" s="11"/>
      <c r="E64" s="11"/>
      <c r="F64" s="11"/>
      <c r="G64" s="11"/>
      <c r="H64" s="11"/>
      <c r="I64" s="11"/>
    </row>
    <row r="65" spans="1:9" x14ac:dyDescent="0.15">
      <c r="A65" s="12"/>
      <c r="B65" s="40" t="s">
        <v>42</v>
      </c>
      <c r="C65" s="11"/>
      <c r="D65" s="11"/>
      <c r="E65" s="11"/>
      <c r="F65" s="11"/>
      <c r="G65" s="11"/>
      <c r="H65" s="11"/>
      <c r="I65" s="11"/>
    </row>
    <row r="66" spans="1:9" x14ac:dyDescent="0.15">
      <c r="A66" s="11"/>
      <c r="B66" s="41" t="s">
        <v>48</v>
      </c>
      <c r="C66" s="11"/>
      <c r="D66" s="11"/>
      <c r="E66" s="11"/>
      <c r="F66" s="11"/>
      <c r="G66" s="11"/>
      <c r="H66" s="11"/>
      <c r="I66" s="11"/>
    </row>
    <row r="67" spans="1:9" x14ac:dyDescent="0.15">
      <c r="A67" s="11"/>
      <c r="B67" s="37"/>
      <c r="C67" s="11"/>
      <c r="D67" s="11"/>
      <c r="E67" s="11"/>
      <c r="F67" s="11"/>
      <c r="G67" s="11"/>
      <c r="H67" s="11"/>
      <c r="I67" s="11"/>
    </row>
    <row r="68" spans="1:9" x14ac:dyDescent="0.15">
      <c r="A68" s="11"/>
      <c r="B68" s="39" t="s">
        <v>125</v>
      </c>
      <c r="C68" s="11"/>
      <c r="D68" s="11"/>
      <c r="E68" s="11"/>
      <c r="F68" s="11"/>
      <c r="G68" s="11"/>
      <c r="H68" s="11"/>
      <c r="I68" s="11"/>
    </row>
    <row r="69" spans="1:9" x14ac:dyDescent="0.15">
      <c r="A69" s="11"/>
      <c r="B69" s="40" t="s">
        <v>126</v>
      </c>
      <c r="C69" s="11"/>
      <c r="D69" s="11"/>
      <c r="E69" s="11"/>
      <c r="F69" s="11"/>
      <c r="G69" s="11"/>
      <c r="H69" s="11"/>
      <c r="I69" s="11"/>
    </row>
    <row r="70" spans="1:9" x14ac:dyDescent="0.15">
      <c r="A70" s="11"/>
      <c r="B70" s="40" t="s">
        <v>42</v>
      </c>
      <c r="C70" s="11"/>
      <c r="D70" s="11"/>
      <c r="E70" s="11"/>
      <c r="F70" s="11"/>
      <c r="G70" s="11"/>
      <c r="H70" s="11"/>
      <c r="I70" s="11"/>
    </row>
    <row r="71" spans="1:9" x14ac:dyDescent="0.15">
      <c r="A71" s="11"/>
      <c r="B71" s="11" t="s">
        <v>130</v>
      </c>
      <c r="C71" s="11"/>
      <c r="D71" s="11"/>
      <c r="E71" s="11"/>
      <c r="F71" s="11"/>
      <c r="G71" s="11"/>
      <c r="H71" s="11"/>
      <c r="I71" s="11"/>
    </row>
    <row r="72" spans="1:9" x14ac:dyDescent="0.15">
      <c r="A72" s="11"/>
      <c r="B72" s="37"/>
      <c r="C72" s="11"/>
      <c r="D72" s="11"/>
      <c r="E72" s="11"/>
      <c r="F72" s="11"/>
      <c r="G72" s="11"/>
      <c r="H72" s="11"/>
      <c r="I72" s="11"/>
    </row>
    <row r="73" spans="1:9" x14ac:dyDescent="0.15">
      <c r="A73" s="11"/>
      <c r="B73" s="39" t="s">
        <v>125</v>
      </c>
      <c r="C73" s="11"/>
      <c r="D73" s="11"/>
      <c r="E73" s="11"/>
      <c r="F73" s="11"/>
      <c r="G73" s="11"/>
      <c r="H73" s="11"/>
      <c r="I73" s="11"/>
    </row>
    <row r="74" spans="1:9" x14ac:dyDescent="0.15">
      <c r="A74" s="11"/>
      <c r="B74" s="40" t="s">
        <v>126</v>
      </c>
      <c r="C74" s="11"/>
      <c r="D74" s="11"/>
      <c r="E74" s="11"/>
      <c r="F74" s="11"/>
      <c r="G74" s="11"/>
      <c r="H74" s="11"/>
      <c r="I74" s="11"/>
    </row>
    <row r="75" spans="1:9" x14ac:dyDescent="0.15">
      <c r="A75" s="11"/>
      <c r="B75" s="40" t="s">
        <v>42</v>
      </c>
      <c r="C75" s="11"/>
      <c r="D75" s="11"/>
      <c r="E75" s="11"/>
      <c r="F75" s="11"/>
      <c r="G75" s="11"/>
      <c r="H75" s="11"/>
      <c r="I75" s="11"/>
    </row>
    <row r="76" spans="1:9" x14ac:dyDescent="0.15">
      <c r="A76" s="11"/>
      <c r="B76" s="11" t="s">
        <v>134</v>
      </c>
      <c r="C76" s="11"/>
      <c r="D76" s="11"/>
      <c r="E76" s="11"/>
      <c r="F76" s="11"/>
      <c r="G76" s="11"/>
      <c r="H76" s="11"/>
      <c r="I76" s="11"/>
    </row>
    <row r="77" spans="1:9" x14ac:dyDescent="0.15">
      <c r="A77" s="11"/>
      <c r="B77" s="37"/>
      <c r="C77" s="11"/>
      <c r="D77" s="11"/>
      <c r="E77" s="11"/>
      <c r="F77" s="11"/>
      <c r="G77" s="11"/>
      <c r="H77" s="11"/>
      <c r="I77" s="11"/>
    </row>
    <row r="78" spans="1:9" x14ac:dyDescent="0.15">
      <c r="A78" s="11"/>
      <c r="B78" s="39" t="s">
        <v>125</v>
      </c>
      <c r="C78" s="11"/>
      <c r="D78" s="11"/>
      <c r="E78" s="11"/>
      <c r="F78" s="11"/>
      <c r="G78" s="11"/>
      <c r="H78" s="11"/>
      <c r="I78" s="11"/>
    </row>
    <row r="79" spans="1:9" x14ac:dyDescent="0.15">
      <c r="A79" s="11"/>
      <c r="B79" s="40" t="s">
        <v>126</v>
      </c>
      <c r="C79" s="11"/>
      <c r="D79" s="11"/>
      <c r="E79" s="11"/>
      <c r="F79" s="11"/>
      <c r="G79" s="11"/>
      <c r="H79" s="11"/>
      <c r="I79" s="11"/>
    </row>
    <row r="80" spans="1:9" x14ac:dyDescent="0.15">
      <c r="A80" s="11"/>
      <c r="B80" s="40" t="s">
        <v>42</v>
      </c>
      <c r="C80" s="11"/>
      <c r="D80" s="11"/>
      <c r="E80" s="11"/>
      <c r="F80" s="11"/>
      <c r="G80" s="11"/>
      <c r="H80" s="11"/>
      <c r="I80" s="11"/>
    </row>
    <row r="81" spans="1:9" x14ac:dyDescent="0.15">
      <c r="A81" s="11"/>
      <c r="B81" s="11" t="s">
        <v>138</v>
      </c>
      <c r="C81" s="11"/>
      <c r="D81" s="11"/>
      <c r="E81" s="11"/>
      <c r="F81" s="11"/>
      <c r="G81" s="11"/>
      <c r="H81" s="11"/>
      <c r="I81" s="11"/>
    </row>
    <row r="82" spans="1:9" x14ac:dyDescent="0.15">
      <c r="A82" s="11"/>
      <c r="B82" s="37"/>
      <c r="C82" s="11"/>
      <c r="D82" s="11"/>
      <c r="E82" s="11"/>
      <c r="F82" s="11"/>
      <c r="G82" s="11"/>
      <c r="H82" s="11"/>
      <c r="I82" s="11"/>
    </row>
    <row r="83" spans="1:9" x14ac:dyDescent="0.15">
      <c r="A83" s="11"/>
      <c r="B83" s="39" t="s">
        <v>125</v>
      </c>
      <c r="C83" s="11"/>
      <c r="D83" s="11"/>
      <c r="E83" s="11"/>
      <c r="F83" s="11"/>
      <c r="G83" s="11"/>
      <c r="H83" s="11"/>
      <c r="I83" s="11"/>
    </row>
    <row r="84" spans="1:9" x14ac:dyDescent="0.15">
      <c r="A84" s="11"/>
      <c r="B84" s="40" t="s">
        <v>126</v>
      </c>
      <c r="C84" s="11"/>
      <c r="D84" s="11"/>
      <c r="E84" s="11"/>
      <c r="F84" s="11"/>
      <c r="G84" s="11"/>
      <c r="H84" s="11"/>
      <c r="I84" s="11"/>
    </row>
    <row r="85" spans="1:9" x14ac:dyDescent="0.15">
      <c r="A85" s="11"/>
      <c r="B85" s="40" t="s">
        <v>42</v>
      </c>
      <c r="C85" s="11"/>
      <c r="D85" s="11"/>
      <c r="E85" s="11"/>
      <c r="F85" s="11"/>
      <c r="G85" s="11"/>
      <c r="H85" s="11"/>
      <c r="I85" s="11"/>
    </row>
    <row r="86" spans="1:9" x14ac:dyDescent="0.15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15">
      <c r="A87" s="11"/>
      <c r="B87" s="37"/>
      <c r="C87" s="11"/>
      <c r="D87" s="11"/>
      <c r="E87" s="11"/>
      <c r="F87" s="11"/>
      <c r="G87" s="11"/>
      <c r="H87" s="11"/>
      <c r="I87" s="11"/>
    </row>
    <row r="88" spans="1:9" x14ac:dyDescent="0.15">
      <c r="A88" s="11"/>
      <c r="B88" s="39" t="s">
        <v>125</v>
      </c>
      <c r="C88" s="11"/>
      <c r="D88" s="11"/>
      <c r="E88" s="11"/>
      <c r="F88" s="11"/>
      <c r="G88" s="11"/>
      <c r="H88" s="11"/>
      <c r="I88" s="11"/>
    </row>
    <row r="89" spans="1:9" x14ac:dyDescent="0.15">
      <c r="B89" s="40" t="s">
        <v>126</v>
      </c>
    </row>
    <row r="90" spans="1:9" x14ac:dyDescent="0.15">
      <c r="B90" s="40" t="s">
        <v>42</v>
      </c>
    </row>
    <row r="92" spans="1:9" x14ac:dyDescent="0.15">
      <c r="B92" s="37"/>
    </row>
    <row r="93" spans="1:9" x14ac:dyDescent="0.15">
      <c r="B93" s="39" t="s">
        <v>125</v>
      </c>
    </row>
    <row r="94" spans="1:9" x14ac:dyDescent="0.15">
      <c r="B94" s="40" t="s">
        <v>126</v>
      </c>
    </row>
    <row r="95" spans="1:9" x14ac:dyDescent="0.15">
      <c r="B95" s="40" t="s">
        <v>42</v>
      </c>
    </row>
    <row r="97" spans="2:2" x14ac:dyDescent="0.15">
      <c r="B97" s="37"/>
    </row>
    <row r="98" spans="2:2" x14ac:dyDescent="0.15">
      <c r="B98" s="39" t="s">
        <v>125</v>
      </c>
    </row>
    <row r="99" spans="2:2" x14ac:dyDescent="0.15">
      <c r="B99" s="40" t="s">
        <v>126</v>
      </c>
    </row>
    <row r="100" spans="2:2" x14ac:dyDescent="0.15">
      <c r="B100" s="40" t="s">
        <v>42</v>
      </c>
    </row>
    <row r="102" spans="2:2" x14ac:dyDescent="0.15">
      <c r="B102" s="11" t="s">
        <v>151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2CEFA-4A34-4FFB-BD4A-785CFEA7241C}">
  <sheetPr codeName="Sheet4"/>
  <dimension ref="A2:K102"/>
  <sheetViews>
    <sheetView workbookViewId="0">
      <selection activeCell="I50" sqref="I50:I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5" width="9" style="1"/>
    <col min="216" max="216" width="2.875" style="1" bestFit="1" customWidth="1"/>
    <col min="217" max="217" width="16.625" style="1" bestFit="1" customWidth="1"/>
    <col min="218" max="218" width="11.375" style="1" bestFit="1" customWidth="1"/>
    <col min="219" max="220" width="14.125" style="1" bestFit="1" customWidth="1"/>
    <col min="221" max="221" width="11.375" style="1" bestFit="1" customWidth="1"/>
    <col min="222" max="224" width="12.5" style="1" bestFit="1" customWidth="1"/>
    <col min="225" max="225" width="11" style="1" bestFit="1" customWidth="1"/>
    <col min="226" max="245" width="13" style="1" bestFit="1" customWidth="1"/>
    <col min="246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1" width="9" style="1"/>
    <col min="472" max="472" width="2.875" style="1" bestFit="1" customWidth="1"/>
    <col min="473" max="473" width="16.625" style="1" bestFit="1" customWidth="1"/>
    <col min="474" max="474" width="11.375" style="1" bestFit="1" customWidth="1"/>
    <col min="475" max="476" width="14.125" style="1" bestFit="1" customWidth="1"/>
    <col min="477" max="477" width="11.375" style="1" bestFit="1" customWidth="1"/>
    <col min="478" max="480" width="12.5" style="1" bestFit="1" customWidth="1"/>
    <col min="481" max="481" width="11" style="1" bestFit="1" customWidth="1"/>
    <col min="482" max="501" width="13" style="1" bestFit="1" customWidth="1"/>
    <col min="502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7" width="9" style="1"/>
    <col min="728" max="728" width="2.875" style="1" bestFit="1" customWidth="1"/>
    <col min="729" max="729" width="16.625" style="1" bestFit="1" customWidth="1"/>
    <col min="730" max="730" width="11.375" style="1" bestFit="1" customWidth="1"/>
    <col min="731" max="732" width="14.125" style="1" bestFit="1" customWidth="1"/>
    <col min="733" max="733" width="11.375" style="1" bestFit="1" customWidth="1"/>
    <col min="734" max="736" width="12.5" style="1" bestFit="1" customWidth="1"/>
    <col min="737" max="737" width="11" style="1" bestFit="1" customWidth="1"/>
    <col min="738" max="757" width="13" style="1" bestFit="1" customWidth="1"/>
    <col min="758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3" width="9" style="1"/>
    <col min="984" max="984" width="2.875" style="1" bestFit="1" customWidth="1"/>
    <col min="985" max="985" width="16.625" style="1" bestFit="1" customWidth="1"/>
    <col min="986" max="986" width="11.375" style="1" bestFit="1" customWidth="1"/>
    <col min="987" max="988" width="14.125" style="1" bestFit="1" customWidth="1"/>
    <col min="989" max="989" width="11.375" style="1" bestFit="1" customWidth="1"/>
    <col min="990" max="992" width="12.5" style="1" bestFit="1" customWidth="1"/>
    <col min="993" max="993" width="11" style="1" bestFit="1" customWidth="1"/>
    <col min="994" max="1013" width="13" style="1" bestFit="1" customWidth="1"/>
    <col min="1014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39" width="9" style="1"/>
    <col min="1240" max="1240" width="2.875" style="1" bestFit="1" customWidth="1"/>
    <col min="1241" max="1241" width="16.625" style="1" bestFit="1" customWidth="1"/>
    <col min="1242" max="1242" width="11.375" style="1" bestFit="1" customWidth="1"/>
    <col min="1243" max="1244" width="14.125" style="1" bestFit="1" customWidth="1"/>
    <col min="1245" max="1245" width="11.375" style="1" bestFit="1" customWidth="1"/>
    <col min="1246" max="1248" width="12.5" style="1" bestFit="1" customWidth="1"/>
    <col min="1249" max="1249" width="11" style="1" bestFit="1" customWidth="1"/>
    <col min="1250" max="1269" width="13" style="1" bestFit="1" customWidth="1"/>
    <col min="1270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5" width="9" style="1"/>
    <col min="1496" max="1496" width="2.875" style="1" bestFit="1" customWidth="1"/>
    <col min="1497" max="1497" width="16.625" style="1" bestFit="1" customWidth="1"/>
    <col min="1498" max="1498" width="11.375" style="1" bestFit="1" customWidth="1"/>
    <col min="1499" max="1500" width="14.125" style="1" bestFit="1" customWidth="1"/>
    <col min="1501" max="1501" width="11.375" style="1" bestFit="1" customWidth="1"/>
    <col min="1502" max="1504" width="12.5" style="1" bestFit="1" customWidth="1"/>
    <col min="1505" max="1505" width="11" style="1" bestFit="1" customWidth="1"/>
    <col min="1506" max="1525" width="13" style="1" bestFit="1" customWidth="1"/>
    <col min="1526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1" width="9" style="1"/>
    <col min="1752" max="1752" width="2.875" style="1" bestFit="1" customWidth="1"/>
    <col min="1753" max="1753" width="16.625" style="1" bestFit="1" customWidth="1"/>
    <col min="1754" max="1754" width="11.375" style="1" bestFit="1" customWidth="1"/>
    <col min="1755" max="1756" width="14.125" style="1" bestFit="1" customWidth="1"/>
    <col min="1757" max="1757" width="11.375" style="1" bestFit="1" customWidth="1"/>
    <col min="1758" max="1760" width="12.5" style="1" bestFit="1" customWidth="1"/>
    <col min="1761" max="1761" width="11" style="1" bestFit="1" customWidth="1"/>
    <col min="1762" max="1781" width="13" style="1" bestFit="1" customWidth="1"/>
    <col min="1782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7" width="9" style="1"/>
    <col min="2008" max="2008" width="2.875" style="1" bestFit="1" customWidth="1"/>
    <col min="2009" max="2009" width="16.625" style="1" bestFit="1" customWidth="1"/>
    <col min="2010" max="2010" width="11.375" style="1" bestFit="1" customWidth="1"/>
    <col min="2011" max="2012" width="14.125" style="1" bestFit="1" customWidth="1"/>
    <col min="2013" max="2013" width="11.375" style="1" bestFit="1" customWidth="1"/>
    <col min="2014" max="2016" width="12.5" style="1" bestFit="1" customWidth="1"/>
    <col min="2017" max="2017" width="11" style="1" bestFit="1" customWidth="1"/>
    <col min="2018" max="2037" width="13" style="1" bestFit="1" customWidth="1"/>
    <col min="2038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3" width="9" style="1"/>
    <col min="2264" max="2264" width="2.875" style="1" bestFit="1" customWidth="1"/>
    <col min="2265" max="2265" width="16.625" style="1" bestFit="1" customWidth="1"/>
    <col min="2266" max="2266" width="11.375" style="1" bestFit="1" customWidth="1"/>
    <col min="2267" max="2268" width="14.125" style="1" bestFit="1" customWidth="1"/>
    <col min="2269" max="2269" width="11.375" style="1" bestFit="1" customWidth="1"/>
    <col min="2270" max="2272" width="12.5" style="1" bestFit="1" customWidth="1"/>
    <col min="2273" max="2273" width="11" style="1" bestFit="1" customWidth="1"/>
    <col min="2274" max="2293" width="13" style="1" bestFit="1" customWidth="1"/>
    <col min="2294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19" width="9" style="1"/>
    <col min="2520" max="2520" width="2.875" style="1" bestFit="1" customWidth="1"/>
    <col min="2521" max="2521" width="16.625" style="1" bestFit="1" customWidth="1"/>
    <col min="2522" max="2522" width="11.375" style="1" bestFit="1" customWidth="1"/>
    <col min="2523" max="2524" width="14.125" style="1" bestFit="1" customWidth="1"/>
    <col min="2525" max="2525" width="11.375" style="1" bestFit="1" customWidth="1"/>
    <col min="2526" max="2528" width="12.5" style="1" bestFit="1" customWidth="1"/>
    <col min="2529" max="2529" width="11" style="1" bestFit="1" customWidth="1"/>
    <col min="2530" max="2549" width="13" style="1" bestFit="1" customWidth="1"/>
    <col min="2550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5" width="9" style="1"/>
    <col min="2776" max="2776" width="2.875" style="1" bestFit="1" customWidth="1"/>
    <col min="2777" max="2777" width="16.625" style="1" bestFit="1" customWidth="1"/>
    <col min="2778" max="2778" width="11.375" style="1" bestFit="1" customWidth="1"/>
    <col min="2779" max="2780" width="14.125" style="1" bestFit="1" customWidth="1"/>
    <col min="2781" max="2781" width="11.375" style="1" bestFit="1" customWidth="1"/>
    <col min="2782" max="2784" width="12.5" style="1" bestFit="1" customWidth="1"/>
    <col min="2785" max="2785" width="11" style="1" bestFit="1" customWidth="1"/>
    <col min="2786" max="2805" width="13" style="1" bestFit="1" customWidth="1"/>
    <col min="2806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1" width="9" style="1"/>
    <col min="3032" max="3032" width="2.875" style="1" bestFit="1" customWidth="1"/>
    <col min="3033" max="3033" width="16.625" style="1" bestFit="1" customWidth="1"/>
    <col min="3034" max="3034" width="11.375" style="1" bestFit="1" customWidth="1"/>
    <col min="3035" max="3036" width="14.125" style="1" bestFit="1" customWidth="1"/>
    <col min="3037" max="3037" width="11.375" style="1" bestFit="1" customWidth="1"/>
    <col min="3038" max="3040" width="12.5" style="1" bestFit="1" customWidth="1"/>
    <col min="3041" max="3041" width="11" style="1" bestFit="1" customWidth="1"/>
    <col min="3042" max="3061" width="13" style="1" bestFit="1" customWidth="1"/>
    <col min="3062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7" width="9" style="1"/>
    <col min="3288" max="3288" width="2.875" style="1" bestFit="1" customWidth="1"/>
    <col min="3289" max="3289" width="16.625" style="1" bestFit="1" customWidth="1"/>
    <col min="3290" max="3290" width="11.375" style="1" bestFit="1" customWidth="1"/>
    <col min="3291" max="3292" width="14.125" style="1" bestFit="1" customWidth="1"/>
    <col min="3293" max="3293" width="11.375" style="1" bestFit="1" customWidth="1"/>
    <col min="3294" max="3296" width="12.5" style="1" bestFit="1" customWidth="1"/>
    <col min="3297" max="3297" width="11" style="1" bestFit="1" customWidth="1"/>
    <col min="3298" max="3317" width="13" style="1" bestFit="1" customWidth="1"/>
    <col min="3318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3" width="9" style="1"/>
    <col min="3544" max="3544" width="2.875" style="1" bestFit="1" customWidth="1"/>
    <col min="3545" max="3545" width="16.625" style="1" bestFit="1" customWidth="1"/>
    <col min="3546" max="3546" width="11.375" style="1" bestFit="1" customWidth="1"/>
    <col min="3547" max="3548" width="14.125" style="1" bestFit="1" customWidth="1"/>
    <col min="3549" max="3549" width="11.375" style="1" bestFit="1" customWidth="1"/>
    <col min="3550" max="3552" width="12.5" style="1" bestFit="1" customWidth="1"/>
    <col min="3553" max="3553" width="11" style="1" bestFit="1" customWidth="1"/>
    <col min="3554" max="3573" width="13" style="1" bestFit="1" customWidth="1"/>
    <col min="3574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799" width="9" style="1"/>
    <col min="3800" max="3800" width="2.875" style="1" bestFit="1" customWidth="1"/>
    <col min="3801" max="3801" width="16.625" style="1" bestFit="1" customWidth="1"/>
    <col min="3802" max="3802" width="11.375" style="1" bestFit="1" customWidth="1"/>
    <col min="3803" max="3804" width="14.125" style="1" bestFit="1" customWidth="1"/>
    <col min="3805" max="3805" width="11.375" style="1" bestFit="1" customWidth="1"/>
    <col min="3806" max="3808" width="12.5" style="1" bestFit="1" customWidth="1"/>
    <col min="3809" max="3809" width="11" style="1" bestFit="1" customWidth="1"/>
    <col min="3810" max="3829" width="13" style="1" bestFit="1" customWidth="1"/>
    <col min="3830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5" width="9" style="1"/>
    <col min="4056" max="4056" width="2.875" style="1" bestFit="1" customWidth="1"/>
    <col min="4057" max="4057" width="16.625" style="1" bestFit="1" customWidth="1"/>
    <col min="4058" max="4058" width="11.375" style="1" bestFit="1" customWidth="1"/>
    <col min="4059" max="4060" width="14.125" style="1" bestFit="1" customWidth="1"/>
    <col min="4061" max="4061" width="11.375" style="1" bestFit="1" customWidth="1"/>
    <col min="4062" max="4064" width="12.5" style="1" bestFit="1" customWidth="1"/>
    <col min="4065" max="4065" width="11" style="1" bestFit="1" customWidth="1"/>
    <col min="4066" max="4085" width="13" style="1" bestFit="1" customWidth="1"/>
    <col min="4086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1" width="9" style="1"/>
    <col min="4312" max="4312" width="2.875" style="1" bestFit="1" customWidth="1"/>
    <col min="4313" max="4313" width="16.625" style="1" bestFit="1" customWidth="1"/>
    <col min="4314" max="4314" width="11.375" style="1" bestFit="1" customWidth="1"/>
    <col min="4315" max="4316" width="14.125" style="1" bestFit="1" customWidth="1"/>
    <col min="4317" max="4317" width="11.375" style="1" bestFit="1" customWidth="1"/>
    <col min="4318" max="4320" width="12.5" style="1" bestFit="1" customWidth="1"/>
    <col min="4321" max="4321" width="11" style="1" bestFit="1" customWidth="1"/>
    <col min="4322" max="4341" width="13" style="1" bestFit="1" customWidth="1"/>
    <col min="4342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7" width="9" style="1"/>
    <col min="4568" max="4568" width="2.875" style="1" bestFit="1" customWidth="1"/>
    <col min="4569" max="4569" width="16.625" style="1" bestFit="1" customWidth="1"/>
    <col min="4570" max="4570" width="11.375" style="1" bestFit="1" customWidth="1"/>
    <col min="4571" max="4572" width="14.125" style="1" bestFit="1" customWidth="1"/>
    <col min="4573" max="4573" width="11.375" style="1" bestFit="1" customWidth="1"/>
    <col min="4574" max="4576" width="12.5" style="1" bestFit="1" customWidth="1"/>
    <col min="4577" max="4577" width="11" style="1" bestFit="1" customWidth="1"/>
    <col min="4578" max="4597" width="13" style="1" bestFit="1" customWidth="1"/>
    <col min="4598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3" width="9" style="1"/>
    <col min="4824" max="4824" width="2.875" style="1" bestFit="1" customWidth="1"/>
    <col min="4825" max="4825" width="16.625" style="1" bestFit="1" customWidth="1"/>
    <col min="4826" max="4826" width="11.375" style="1" bestFit="1" customWidth="1"/>
    <col min="4827" max="4828" width="14.125" style="1" bestFit="1" customWidth="1"/>
    <col min="4829" max="4829" width="11.375" style="1" bestFit="1" customWidth="1"/>
    <col min="4830" max="4832" width="12.5" style="1" bestFit="1" customWidth="1"/>
    <col min="4833" max="4833" width="11" style="1" bestFit="1" customWidth="1"/>
    <col min="4834" max="4853" width="13" style="1" bestFit="1" customWidth="1"/>
    <col min="4854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79" width="9" style="1"/>
    <col min="5080" max="5080" width="2.875" style="1" bestFit="1" customWidth="1"/>
    <col min="5081" max="5081" width="16.625" style="1" bestFit="1" customWidth="1"/>
    <col min="5082" max="5082" width="11.375" style="1" bestFit="1" customWidth="1"/>
    <col min="5083" max="5084" width="14.125" style="1" bestFit="1" customWidth="1"/>
    <col min="5085" max="5085" width="11.375" style="1" bestFit="1" customWidth="1"/>
    <col min="5086" max="5088" width="12.5" style="1" bestFit="1" customWidth="1"/>
    <col min="5089" max="5089" width="11" style="1" bestFit="1" customWidth="1"/>
    <col min="5090" max="5109" width="13" style="1" bestFit="1" customWidth="1"/>
    <col min="5110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5" width="9" style="1"/>
    <col min="5336" max="5336" width="2.875" style="1" bestFit="1" customWidth="1"/>
    <col min="5337" max="5337" width="16.625" style="1" bestFit="1" customWidth="1"/>
    <col min="5338" max="5338" width="11.375" style="1" bestFit="1" customWidth="1"/>
    <col min="5339" max="5340" width="14.125" style="1" bestFit="1" customWidth="1"/>
    <col min="5341" max="5341" width="11.375" style="1" bestFit="1" customWidth="1"/>
    <col min="5342" max="5344" width="12.5" style="1" bestFit="1" customWidth="1"/>
    <col min="5345" max="5345" width="11" style="1" bestFit="1" customWidth="1"/>
    <col min="5346" max="5365" width="13" style="1" bestFit="1" customWidth="1"/>
    <col min="5366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1" width="9" style="1"/>
    <col min="5592" max="5592" width="2.875" style="1" bestFit="1" customWidth="1"/>
    <col min="5593" max="5593" width="16.625" style="1" bestFit="1" customWidth="1"/>
    <col min="5594" max="5594" width="11.375" style="1" bestFit="1" customWidth="1"/>
    <col min="5595" max="5596" width="14.125" style="1" bestFit="1" customWidth="1"/>
    <col min="5597" max="5597" width="11.375" style="1" bestFit="1" customWidth="1"/>
    <col min="5598" max="5600" width="12.5" style="1" bestFit="1" customWidth="1"/>
    <col min="5601" max="5601" width="11" style="1" bestFit="1" customWidth="1"/>
    <col min="5602" max="5621" width="13" style="1" bestFit="1" customWidth="1"/>
    <col min="5622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7" width="9" style="1"/>
    <col min="5848" max="5848" width="2.875" style="1" bestFit="1" customWidth="1"/>
    <col min="5849" max="5849" width="16.625" style="1" bestFit="1" customWidth="1"/>
    <col min="5850" max="5850" width="11.375" style="1" bestFit="1" customWidth="1"/>
    <col min="5851" max="5852" width="14.125" style="1" bestFit="1" customWidth="1"/>
    <col min="5853" max="5853" width="11.375" style="1" bestFit="1" customWidth="1"/>
    <col min="5854" max="5856" width="12.5" style="1" bestFit="1" customWidth="1"/>
    <col min="5857" max="5857" width="11" style="1" bestFit="1" customWidth="1"/>
    <col min="5858" max="5877" width="13" style="1" bestFit="1" customWidth="1"/>
    <col min="5878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3" width="9" style="1"/>
    <col min="6104" max="6104" width="2.875" style="1" bestFit="1" customWidth="1"/>
    <col min="6105" max="6105" width="16.625" style="1" bestFit="1" customWidth="1"/>
    <col min="6106" max="6106" width="11.375" style="1" bestFit="1" customWidth="1"/>
    <col min="6107" max="6108" width="14.125" style="1" bestFit="1" customWidth="1"/>
    <col min="6109" max="6109" width="11.375" style="1" bestFit="1" customWidth="1"/>
    <col min="6110" max="6112" width="12.5" style="1" bestFit="1" customWidth="1"/>
    <col min="6113" max="6113" width="11" style="1" bestFit="1" customWidth="1"/>
    <col min="6114" max="6133" width="13" style="1" bestFit="1" customWidth="1"/>
    <col min="6134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59" width="9" style="1"/>
    <col min="6360" max="6360" width="2.875" style="1" bestFit="1" customWidth="1"/>
    <col min="6361" max="6361" width="16.625" style="1" bestFit="1" customWidth="1"/>
    <col min="6362" max="6362" width="11.375" style="1" bestFit="1" customWidth="1"/>
    <col min="6363" max="6364" width="14.125" style="1" bestFit="1" customWidth="1"/>
    <col min="6365" max="6365" width="11.375" style="1" bestFit="1" customWidth="1"/>
    <col min="6366" max="6368" width="12.5" style="1" bestFit="1" customWidth="1"/>
    <col min="6369" max="6369" width="11" style="1" bestFit="1" customWidth="1"/>
    <col min="6370" max="6389" width="13" style="1" bestFit="1" customWidth="1"/>
    <col min="6390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5" width="9" style="1"/>
    <col min="6616" max="6616" width="2.875" style="1" bestFit="1" customWidth="1"/>
    <col min="6617" max="6617" width="16.625" style="1" bestFit="1" customWidth="1"/>
    <col min="6618" max="6618" width="11.375" style="1" bestFit="1" customWidth="1"/>
    <col min="6619" max="6620" width="14.125" style="1" bestFit="1" customWidth="1"/>
    <col min="6621" max="6621" width="11.375" style="1" bestFit="1" customWidth="1"/>
    <col min="6622" max="6624" width="12.5" style="1" bestFit="1" customWidth="1"/>
    <col min="6625" max="6625" width="11" style="1" bestFit="1" customWidth="1"/>
    <col min="6626" max="6645" width="13" style="1" bestFit="1" customWidth="1"/>
    <col min="6646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1" width="9" style="1"/>
    <col min="6872" max="6872" width="2.875" style="1" bestFit="1" customWidth="1"/>
    <col min="6873" max="6873" width="16.625" style="1" bestFit="1" customWidth="1"/>
    <col min="6874" max="6874" width="11.375" style="1" bestFit="1" customWidth="1"/>
    <col min="6875" max="6876" width="14.125" style="1" bestFit="1" customWidth="1"/>
    <col min="6877" max="6877" width="11.375" style="1" bestFit="1" customWidth="1"/>
    <col min="6878" max="6880" width="12.5" style="1" bestFit="1" customWidth="1"/>
    <col min="6881" max="6881" width="11" style="1" bestFit="1" customWidth="1"/>
    <col min="6882" max="6901" width="13" style="1" bestFit="1" customWidth="1"/>
    <col min="6902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7" width="9" style="1"/>
    <col min="7128" max="7128" width="2.875" style="1" bestFit="1" customWidth="1"/>
    <col min="7129" max="7129" width="16.625" style="1" bestFit="1" customWidth="1"/>
    <col min="7130" max="7130" width="11.375" style="1" bestFit="1" customWidth="1"/>
    <col min="7131" max="7132" width="14.125" style="1" bestFit="1" customWidth="1"/>
    <col min="7133" max="7133" width="11.375" style="1" bestFit="1" customWidth="1"/>
    <col min="7134" max="7136" width="12.5" style="1" bestFit="1" customWidth="1"/>
    <col min="7137" max="7137" width="11" style="1" bestFit="1" customWidth="1"/>
    <col min="7138" max="7157" width="13" style="1" bestFit="1" customWidth="1"/>
    <col min="7158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3" width="9" style="1"/>
    <col min="7384" max="7384" width="2.875" style="1" bestFit="1" customWidth="1"/>
    <col min="7385" max="7385" width="16.625" style="1" bestFit="1" customWidth="1"/>
    <col min="7386" max="7386" width="11.375" style="1" bestFit="1" customWidth="1"/>
    <col min="7387" max="7388" width="14.125" style="1" bestFit="1" customWidth="1"/>
    <col min="7389" max="7389" width="11.375" style="1" bestFit="1" customWidth="1"/>
    <col min="7390" max="7392" width="12.5" style="1" bestFit="1" customWidth="1"/>
    <col min="7393" max="7393" width="11" style="1" bestFit="1" customWidth="1"/>
    <col min="7394" max="7413" width="13" style="1" bestFit="1" customWidth="1"/>
    <col min="7414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39" width="9" style="1"/>
    <col min="7640" max="7640" width="2.875" style="1" bestFit="1" customWidth="1"/>
    <col min="7641" max="7641" width="16.625" style="1" bestFit="1" customWidth="1"/>
    <col min="7642" max="7642" width="11.375" style="1" bestFit="1" customWidth="1"/>
    <col min="7643" max="7644" width="14.125" style="1" bestFit="1" customWidth="1"/>
    <col min="7645" max="7645" width="11.375" style="1" bestFit="1" customWidth="1"/>
    <col min="7646" max="7648" width="12.5" style="1" bestFit="1" customWidth="1"/>
    <col min="7649" max="7649" width="11" style="1" bestFit="1" customWidth="1"/>
    <col min="7650" max="7669" width="13" style="1" bestFit="1" customWidth="1"/>
    <col min="7670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5" width="9" style="1"/>
    <col min="7896" max="7896" width="2.875" style="1" bestFit="1" customWidth="1"/>
    <col min="7897" max="7897" width="16.625" style="1" bestFit="1" customWidth="1"/>
    <col min="7898" max="7898" width="11.375" style="1" bestFit="1" customWidth="1"/>
    <col min="7899" max="7900" width="14.125" style="1" bestFit="1" customWidth="1"/>
    <col min="7901" max="7901" width="11.375" style="1" bestFit="1" customWidth="1"/>
    <col min="7902" max="7904" width="12.5" style="1" bestFit="1" customWidth="1"/>
    <col min="7905" max="7905" width="11" style="1" bestFit="1" customWidth="1"/>
    <col min="7906" max="7925" width="13" style="1" bestFit="1" customWidth="1"/>
    <col min="7926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1" width="9" style="1"/>
    <col min="8152" max="8152" width="2.875" style="1" bestFit="1" customWidth="1"/>
    <col min="8153" max="8153" width="16.625" style="1" bestFit="1" customWidth="1"/>
    <col min="8154" max="8154" width="11.375" style="1" bestFit="1" customWidth="1"/>
    <col min="8155" max="8156" width="14.125" style="1" bestFit="1" customWidth="1"/>
    <col min="8157" max="8157" width="11.375" style="1" bestFit="1" customWidth="1"/>
    <col min="8158" max="8160" width="12.5" style="1" bestFit="1" customWidth="1"/>
    <col min="8161" max="8161" width="11" style="1" bestFit="1" customWidth="1"/>
    <col min="8162" max="8181" width="13" style="1" bestFit="1" customWidth="1"/>
    <col min="8182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7" width="9" style="1"/>
    <col min="8408" max="8408" width="2.875" style="1" bestFit="1" customWidth="1"/>
    <col min="8409" max="8409" width="16.625" style="1" bestFit="1" customWidth="1"/>
    <col min="8410" max="8410" width="11.375" style="1" bestFit="1" customWidth="1"/>
    <col min="8411" max="8412" width="14.125" style="1" bestFit="1" customWidth="1"/>
    <col min="8413" max="8413" width="11.375" style="1" bestFit="1" customWidth="1"/>
    <col min="8414" max="8416" width="12.5" style="1" bestFit="1" customWidth="1"/>
    <col min="8417" max="8417" width="11" style="1" bestFit="1" customWidth="1"/>
    <col min="8418" max="8437" width="13" style="1" bestFit="1" customWidth="1"/>
    <col min="8438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3" width="9" style="1"/>
    <col min="8664" max="8664" width="2.875" style="1" bestFit="1" customWidth="1"/>
    <col min="8665" max="8665" width="16.625" style="1" bestFit="1" customWidth="1"/>
    <col min="8666" max="8666" width="11.375" style="1" bestFit="1" customWidth="1"/>
    <col min="8667" max="8668" width="14.125" style="1" bestFit="1" customWidth="1"/>
    <col min="8669" max="8669" width="11.375" style="1" bestFit="1" customWidth="1"/>
    <col min="8670" max="8672" width="12.5" style="1" bestFit="1" customWidth="1"/>
    <col min="8673" max="8673" width="11" style="1" bestFit="1" customWidth="1"/>
    <col min="8674" max="8693" width="13" style="1" bestFit="1" customWidth="1"/>
    <col min="8694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19" width="9" style="1"/>
    <col min="8920" max="8920" width="2.875" style="1" bestFit="1" customWidth="1"/>
    <col min="8921" max="8921" width="16.625" style="1" bestFit="1" customWidth="1"/>
    <col min="8922" max="8922" width="11.375" style="1" bestFit="1" customWidth="1"/>
    <col min="8923" max="8924" width="14.125" style="1" bestFit="1" customWidth="1"/>
    <col min="8925" max="8925" width="11.375" style="1" bestFit="1" customWidth="1"/>
    <col min="8926" max="8928" width="12.5" style="1" bestFit="1" customWidth="1"/>
    <col min="8929" max="8929" width="11" style="1" bestFit="1" customWidth="1"/>
    <col min="8930" max="8949" width="13" style="1" bestFit="1" customWidth="1"/>
    <col min="8950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5" width="9" style="1"/>
    <col min="9176" max="9176" width="2.875" style="1" bestFit="1" customWidth="1"/>
    <col min="9177" max="9177" width="16.625" style="1" bestFit="1" customWidth="1"/>
    <col min="9178" max="9178" width="11.375" style="1" bestFit="1" customWidth="1"/>
    <col min="9179" max="9180" width="14.125" style="1" bestFit="1" customWidth="1"/>
    <col min="9181" max="9181" width="11.375" style="1" bestFit="1" customWidth="1"/>
    <col min="9182" max="9184" width="12.5" style="1" bestFit="1" customWidth="1"/>
    <col min="9185" max="9185" width="11" style="1" bestFit="1" customWidth="1"/>
    <col min="9186" max="9205" width="13" style="1" bestFit="1" customWidth="1"/>
    <col min="9206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1" width="9" style="1"/>
    <col min="9432" max="9432" width="2.875" style="1" bestFit="1" customWidth="1"/>
    <col min="9433" max="9433" width="16.625" style="1" bestFit="1" customWidth="1"/>
    <col min="9434" max="9434" width="11.375" style="1" bestFit="1" customWidth="1"/>
    <col min="9435" max="9436" width="14.125" style="1" bestFit="1" customWidth="1"/>
    <col min="9437" max="9437" width="11.375" style="1" bestFit="1" customWidth="1"/>
    <col min="9438" max="9440" width="12.5" style="1" bestFit="1" customWidth="1"/>
    <col min="9441" max="9441" width="11" style="1" bestFit="1" customWidth="1"/>
    <col min="9442" max="9461" width="13" style="1" bestFit="1" customWidth="1"/>
    <col min="9462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7" width="9" style="1"/>
    <col min="9688" max="9688" width="2.875" style="1" bestFit="1" customWidth="1"/>
    <col min="9689" max="9689" width="16.625" style="1" bestFit="1" customWidth="1"/>
    <col min="9690" max="9690" width="11.375" style="1" bestFit="1" customWidth="1"/>
    <col min="9691" max="9692" width="14.125" style="1" bestFit="1" customWidth="1"/>
    <col min="9693" max="9693" width="11.375" style="1" bestFit="1" customWidth="1"/>
    <col min="9694" max="9696" width="12.5" style="1" bestFit="1" customWidth="1"/>
    <col min="9697" max="9697" width="11" style="1" bestFit="1" customWidth="1"/>
    <col min="9698" max="9717" width="13" style="1" bestFit="1" customWidth="1"/>
    <col min="9718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3" width="9" style="1"/>
    <col min="9944" max="9944" width="2.875" style="1" bestFit="1" customWidth="1"/>
    <col min="9945" max="9945" width="16.625" style="1" bestFit="1" customWidth="1"/>
    <col min="9946" max="9946" width="11.375" style="1" bestFit="1" customWidth="1"/>
    <col min="9947" max="9948" width="14.125" style="1" bestFit="1" customWidth="1"/>
    <col min="9949" max="9949" width="11.375" style="1" bestFit="1" customWidth="1"/>
    <col min="9950" max="9952" width="12.5" style="1" bestFit="1" customWidth="1"/>
    <col min="9953" max="9953" width="11" style="1" bestFit="1" customWidth="1"/>
    <col min="9954" max="9973" width="13" style="1" bestFit="1" customWidth="1"/>
    <col min="9974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199" width="9" style="1"/>
    <col min="10200" max="10200" width="2.875" style="1" bestFit="1" customWidth="1"/>
    <col min="10201" max="10201" width="16.625" style="1" bestFit="1" customWidth="1"/>
    <col min="10202" max="10202" width="11.375" style="1" bestFit="1" customWidth="1"/>
    <col min="10203" max="10204" width="14.125" style="1" bestFit="1" customWidth="1"/>
    <col min="10205" max="10205" width="11.375" style="1" bestFit="1" customWidth="1"/>
    <col min="10206" max="10208" width="12.5" style="1" bestFit="1" customWidth="1"/>
    <col min="10209" max="10209" width="11" style="1" bestFit="1" customWidth="1"/>
    <col min="10210" max="10229" width="13" style="1" bestFit="1" customWidth="1"/>
    <col min="10230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5" width="9" style="1"/>
    <col min="10456" max="10456" width="2.875" style="1" bestFit="1" customWidth="1"/>
    <col min="10457" max="10457" width="16.625" style="1" bestFit="1" customWidth="1"/>
    <col min="10458" max="10458" width="11.375" style="1" bestFit="1" customWidth="1"/>
    <col min="10459" max="10460" width="14.125" style="1" bestFit="1" customWidth="1"/>
    <col min="10461" max="10461" width="11.375" style="1" bestFit="1" customWidth="1"/>
    <col min="10462" max="10464" width="12.5" style="1" bestFit="1" customWidth="1"/>
    <col min="10465" max="10465" width="11" style="1" bestFit="1" customWidth="1"/>
    <col min="10466" max="10485" width="13" style="1" bestFit="1" customWidth="1"/>
    <col min="10486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1" width="9" style="1"/>
    <col min="10712" max="10712" width="2.875" style="1" bestFit="1" customWidth="1"/>
    <col min="10713" max="10713" width="16.625" style="1" bestFit="1" customWidth="1"/>
    <col min="10714" max="10714" width="11.375" style="1" bestFit="1" customWidth="1"/>
    <col min="10715" max="10716" width="14.125" style="1" bestFit="1" customWidth="1"/>
    <col min="10717" max="10717" width="11.375" style="1" bestFit="1" customWidth="1"/>
    <col min="10718" max="10720" width="12.5" style="1" bestFit="1" customWidth="1"/>
    <col min="10721" max="10721" width="11" style="1" bestFit="1" customWidth="1"/>
    <col min="10722" max="10741" width="13" style="1" bestFit="1" customWidth="1"/>
    <col min="10742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7" width="9" style="1"/>
    <col min="10968" max="10968" width="2.875" style="1" bestFit="1" customWidth="1"/>
    <col min="10969" max="10969" width="16.625" style="1" bestFit="1" customWidth="1"/>
    <col min="10970" max="10970" width="11.375" style="1" bestFit="1" customWidth="1"/>
    <col min="10971" max="10972" width="14.125" style="1" bestFit="1" customWidth="1"/>
    <col min="10973" max="10973" width="11.375" style="1" bestFit="1" customWidth="1"/>
    <col min="10974" max="10976" width="12.5" style="1" bestFit="1" customWidth="1"/>
    <col min="10977" max="10977" width="11" style="1" bestFit="1" customWidth="1"/>
    <col min="10978" max="10997" width="13" style="1" bestFit="1" customWidth="1"/>
    <col min="10998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3" width="9" style="1"/>
    <col min="11224" max="11224" width="2.875" style="1" bestFit="1" customWidth="1"/>
    <col min="11225" max="11225" width="16.625" style="1" bestFit="1" customWidth="1"/>
    <col min="11226" max="11226" width="11.375" style="1" bestFit="1" customWidth="1"/>
    <col min="11227" max="11228" width="14.125" style="1" bestFit="1" customWidth="1"/>
    <col min="11229" max="11229" width="11.375" style="1" bestFit="1" customWidth="1"/>
    <col min="11230" max="11232" width="12.5" style="1" bestFit="1" customWidth="1"/>
    <col min="11233" max="11233" width="11" style="1" bestFit="1" customWidth="1"/>
    <col min="11234" max="11253" width="13" style="1" bestFit="1" customWidth="1"/>
    <col min="11254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79" width="9" style="1"/>
    <col min="11480" max="11480" width="2.875" style="1" bestFit="1" customWidth="1"/>
    <col min="11481" max="11481" width="16.625" style="1" bestFit="1" customWidth="1"/>
    <col min="11482" max="11482" width="11.375" style="1" bestFit="1" customWidth="1"/>
    <col min="11483" max="11484" width="14.125" style="1" bestFit="1" customWidth="1"/>
    <col min="11485" max="11485" width="11.375" style="1" bestFit="1" customWidth="1"/>
    <col min="11486" max="11488" width="12.5" style="1" bestFit="1" customWidth="1"/>
    <col min="11489" max="11489" width="11" style="1" bestFit="1" customWidth="1"/>
    <col min="11490" max="11509" width="13" style="1" bestFit="1" customWidth="1"/>
    <col min="11510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5" width="9" style="1"/>
    <col min="11736" max="11736" width="2.875" style="1" bestFit="1" customWidth="1"/>
    <col min="11737" max="11737" width="16.625" style="1" bestFit="1" customWidth="1"/>
    <col min="11738" max="11738" width="11.375" style="1" bestFit="1" customWidth="1"/>
    <col min="11739" max="11740" width="14.125" style="1" bestFit="1" customWidth="1"/>
    <col min="11741" max="11741" width="11.375" style="1" bestFit="1" customWidth="1"/>
    <col min="11742" max="11744" width="12.5" style="1" bestFit="1" customWidth="1"/>
    <col min="11745" max="11745" width="11" style="1" bestFit="1" customWidth="1"/>
    <col min="11746" max="11765" width="13" style="1" bestFit="1" customWidth="1"/>
    <col min="11766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1" width="9" style="1"/>
    <col min="11992" max="11992" width="2.875" style="1" bestFit="1" customWidth="1"/>
    <col min="11993" max="11993" width="16.625" style="1" bestFit="1" customWidth="1"/>
    <col min="11994" max="11994" width="11.375" style="1" bestFit="1" customWidth="1"/>
    <col min="11995" max="11996" width="14.125" style="1" bestFit="1" customWidth="1"/>
    <col min="11997" max="11997" width="11.375" style="1" bestFit="1" customWidth="1"/>
    <col min="11998" max="12000" width="12.5" style="1" bestFit="1" customWidth="1"/>
    <col min="12001" max="12001" width="11" style="1" bestFit="1" customWidth="1"/>
    <col min="12002" max="12021" width="13" style="1" bestFit="1" customWidth="1"/>
    <col min="12022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7" width="9" style="1"/>
    <col min="12248" max="12248" width="2.875" style="1" bestFit="1" customWidth="1"/>
    <col min="12249" max="12249" width="16.625" style="1" bestFit="1" customWidth="1"/>
    <col min="12250" max="12250" width="11.375" style="1" bestFit="1" customWidth="1"/>
    <col min="12251" max="12252" width="14.125" style="1" bestFit="1" customWidth="1"/>
    <col min="12253" max="12253" width="11.375" style="1" bestFit="1" customWidth="1"/>
    <col min="12254" max="12256" width="12.5" style="1" bestFit="1" customWidth="1"/>
    <col min="12257" max="12257" width="11" style="1" bestFit="1" customWidth="1"/>
    <col min="12258" max="12277" width="13" style="1" bestFit="1" customWidth="1"/>
    <col min="12278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3" width="9" style="1"/>
    <col min="12504" max="12504" width="2.875" style="1" bestFit="1" customWidth="1"/>
    <col min="12505" max="12505" width="16.625" style="1" bestFit="1" customWidth="1"/>
    <col min="12506" max="12506" width="11.375" style="1" bestFit="1" customWidth="1"/>
    <col min="12507" max="12508" width="14.125" style="1" bestFit="1" customWidth="1"/>
    <col min="12509" max="12509" width="11.375" style="1" bestFit="1" customWidth="1"/>
    <col min="12510" max="12512" width="12.5" style="1" bestFit="1" customWidth="1"/>
    <col min="12513" max="12513" width="11" style="1" bestFit="1" customWidth="1"/>
    <col min="12514" max="12533" width="13" style="1" bestFit="1" customWidth="1"/>
    <col min="12534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59" width="9" style="1"/>
    <col min="12760" max="12760" width="2.875" style="1" bestFit="1" customWidth="1"/>
    <col min="12761" max="12761" width="16.625" style="1" bestFit="1" customWidth="1"/>
    <col min="12762" max="12762" width="11.375" style="1" bestFit="1" customWidth="1"/>
    <col min="12763" max="12764" width="14.125" style="1" bestFit="1" customWidth="1"/>
    <col min="12765" max="12765" width="11.375" style="1" bestFit="1" customWidth="1"/>
    <col min="12766" max="12768" width="12.5" style="1" bestFit="1" customWidth="1"/>
    <col min="12769" max="12769" width="11" style="1" bestFit="1" customWidth="1"/>
    <col min="12770" max="12789" width="13" style="1" bestFit="1" customWidth="1"/>
    <col min="12790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5" width="9" style="1"/>
    <col min="13016" max="13016" width="2.875" style="1" bestFit="1" customWidth="1"/>
    <col min="13017" max="13017" width="16.625" style="1" bestFit="1" customWidth="1"/>
    <col min="13018" max="13018" width="11.375" style="1" bestFit="1" customWidth="1"/>
    <col min="13019" max="13020" width="14.125" style="1" bestFit="1" customWidth="1"/>
    <col min="13021" max="13021" width="11.375" style="1" bestFit="1" customWidth="1"/>
    <col min="13022" max="13024" width="12.5" style="1" bestFit="1" customWidth="1"/>
    <col min="13025" max="13025" width="11" style="1" bestFit="1" customWidth="1"/>
    <col min="13026" max="13045" width="13" style="1" bestFit="1" customWidth="1"/>
    <col min="13046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1" width="9" style="1"/>
    <col min="13272" max="13272" width="2.875" style="1" bestFit="1" customWidth="1"/>
    <col min="13273" max="13273" width="16.625" style="1" bestFit="1" customWidth="1"/>
    <col min="13274" max="13274" width="11.375" style="1" bestFit="1" customWidth="1"/>
    <col min="13275" max="13276" width="14.125" style="1" bestFit="1" customWidth="1"/>
    <col min="13277" max="13277" width="11.375" style="1" bestFit="1" customWidth="1"/>
    <col min="13278" max="13280" width="12.5" style="1" bestFit="1" customWidth="1"/>
    <col min="13281" max="13281" width="11" style="1" bestFit="1" customWidth="1"/>
    <col min="13282" max="13301" width="13" style="1" bestFit="1" customWidth="1"/>
    <col min="13302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7" width="9" style="1"/>
    <col min="13528" max="13528" width="2.875" style="1" bestFit="1" customWidth="1"/>
    <col min="13529" max="13529" width="16.625" style="1" bestFit="1" customWidth="1"/>
    <col min="13530" max="13530" width="11.375" style="1" bestFit="1" customWidth="1"/>
    <col min="13531" max="13532" width="14.125" style="1" bestFit="1" customWidth="1"/>
    <col min="13533" max="13533" width="11.375" style="1" bestFit="1" customWidth="1"/>
    <col min="13534" max="13536" width="12.5" style="1" bestFit="1" customWidth="1"/>
    <col min="13537" max="13537" width="11" style="1" bestFit="1" customWidth="1"/>
    <col min="13538" max="13557" width="13" style="1" bestFit="1" customWidth="1"/>
    <col min="13558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3" width="9" style="1"/>
    <col min="13784" max="13784" width="2.875" style="1" bestFit="1" customWidth="1"/>
    <col min="13785" max="13785" width="16.625" style="1" bestFit="1" customWidth="1"/>
    <col min="13786" max="13786" width="11.375" style="1" bestFit="1" customWidth="1"/>
    <col min="13787" max="13788" width="14.125" style="1" bestFit="1" customWidth="1"/>
    <col min="13789" max="13789" width="11.375" style="1" bestFit="1" customWidth="1"/>
    <col min="13790" max="13792" width="12.5" style="1" bestFit="1" customWidth="1"/>
    <col min="13793" max="13793" width="11" style="1" bestFit="1" customWidth="1"/>
    <col min="13794" max="13813" width="13" style="1" bestFit="1" customWidth="1"/>
    <col min="13814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39" width="9" style="1"/>
    <col min="14040" max="14040" width="2.875" style="1" bestFit="1" customWidth="1"/>
    <col min="14041" max="14041" width="16.625" style="1" bestFit="1" customWidth="1"/>
    <col min="14042" max="14042" width="11.375" style="1" bestFit="1" customWidth="1"/>
    <col min="14043" max="14044" width="14.125" style="1" bestFit="1" customWidth="1"/>
    <col min="14045" max="14045" width="11.375" style="1" bestFit="1" customWidth="1"/>
    <col min="14046" max="14048" width="12.5" style="1" bestFit="1" customWidth="1"/>
    <col min="14049" max="14049" width="11" style="1" bestFit="1" customWidth="1"/>
    <col min="14050" max="14069" width="13" style="1" bestFit="1" customWidth="1"/>
    <col min="14070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5" width="9" style="1"/>
    <col min="14296" max="14296" width="2.875" style="1" bestFit="1" customWidth="1"/>
    <col min="14297" max="14297" width="16.625" style="1" bestFit="1" customWidth="1"/>
    <col min="14298" max="14298" width="11.375" style="1" bestFit="1" customWidth="1"/>
    <col min="14299" max="14300" width="14.125" style="1" bestFit="1" customWidth="1"/>
    <col min="14301" max="14301" width="11.375" style="1" bestFit="1" customWidth="1"/>
    <col min="14302" max="14304" width="12.5" style="1" bestFit="1" customWidth="1"/>
    <col min="14305" max="14305" width="11" style="1" bestFit="1" customWidth="1"/>
    <col min="14306" max="14325" width="13" style="1" bestFit="1" customWidth="1"/>
    <col min="14326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1" width="9" style="1"/>
    <col min="14552" max="14552" width="2.875" style="1" bestFit="1" customWidth="1"/>
    <col min="14553" max="14553" width="16.625" style="1" bestFit="1" customWidth="1"/>
    <col min="14554" max="14554" width="11.375" style="1" bestFit="1" customWidth="1"/>
    <col min="14555" max="14556" width="14.125" style="1" bestFit="1" customWidth="1"/>
    <col min="14557" max="14557" width="11.375" style="1" bestFit="1" customWidth="1"/>
    <col min="14558" max="14560" width="12.5" style="1" bestFit="1" customWidth="1"/>
    <col min="14561" max="14561" width="11" style="1" bestFit="1" customWidth="1"/>
    <col min="14562" max="14581" width="13" style="1" bestFit="1" customWidth="1"/>
    <col min="14582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7" width="9" style="1"/>
    <col min="14808" max="14808" width="2.875" style="1" bestFit="1" customWidth="1"/>
    <col min="14809" max="14809" width="16.625" style="1" bestFit="1" customWidth="1"/>
    <col min="14810" max="14810" width="11.375" style="1" bestFit="1" customWidth="1"/>
    <col min="14811" max="14812" width="14.125" style="1" bestFit="1" customWidth="1"/>
    <col min="14813" max="14813" width="11.375" style="1" bestFit="1" customWidth="1"/>
    <col min="14814" max="14816" width="12.5" style="1" bestFit="1" customWidth="1"/>
    <col min="14817" max="14817" width="11" style="1" bestFit="1" customWidth="1"/>
    <col min="14818" max="14837" width="13" style="1" bestFit="1" customWidth="1"/>
    <col min="14838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3" width="9" style="1"/>
    <col min="15064" max="15064" width="2.875" style="1" bestFit="1" customWidth="1"/>
    <col min="15065" max="15065" width="16.625" style="1" bestFit="1" customWidth="1"/>
    <col min="15066" max="15066" width="11.375" style="1" bestFit="1" customWidth="1"/>
    <col min="15067" max="15068" width="14.125" style="1" bestFit="1" customWidth="1"/>
    <col min="15069" max="15069" width="11.375" style="1" bestFit="1" customWidth="1"/>
    <col min="15070" max="15072" width="12.5" style="1" bestFit="1" customWidth="1"/>
    <col min="15073" max="15073" width="11" style="1" bestFit="1" customWidth="1"/>
    <col min="15074" max="15093" width="13" style="1" bestFit="1" customWidth="1"/>
    <col min="15094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19" width="9" style="1"/>
    <col min="15320" max="15320" width="2.875" style="1" bestFit="1" customWidth="1"/>
    <col min="15321" max="15321" width="16.625" style="1" bestFit="1" customWidth="1"/>
    <col min="15322" max="15322" width="11.375" style="1" bestFit="1" customWidth="1"/>
    <col min="15323" max="15324" width="14.125" style="1" bestFit="1" customWidth="1"/>
    <col min="15325" max="15325" width="11.375" style="1" bestFit="1" customWidth="1"/>
    <col min="15326" max="15328" width="12.5" style="1" bestFit="1" customWidth="1"/>
    <col min="15329" max="15329" width="11" style="1" bestFit="1" customWidth="1"/>
    <col min="15330" max="15349" width="13" style="1" bestFit="1" customWidth="1"/>
    <col min="15350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5" width="9" style="1"/>
    <col min="15576" max="15576" width="2.875" style="1" bestFit="1" customWidth="1"/>
    <col min="15577" max="15577" width="16.625" style="1" bestFit="1" customWidth="1"/>
    <col min="15578" max="15578" width="11.375" style="1" bestFit="1" customWidth="1"/>
    <col min="15579" max="15580" width="14.125" style="1" bestFit="1" customWidth="1"/>
    <col min="15581" max="15581" width="11.375" style="1" bestFit="1" customWidth="1"/>
    <col min="15582" max="15584" width="12.5" style="1" bestFit="1" customWidth="1"/>
    <col min="15585" max="15585" width="11" style="1" bestFit="1" customWidth="1"/>
    <col min="15586" max="15605" width="13" style="1" bestFit="1" customWidth="1"/>
    <col min="15606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1" width="9" style="1"/>
    <col min="15832" max="15832" width="2.875" style="1" bestFit="1" customWidth="1"/>
    <col min="15833" max="15833" width="16.625" style="1" bestFit="1" customWidth="1"/>
    <col min="15834" max="15834" width="11.375" style="1" bestFit="1" customWidth="1"/>
    <col min="15835" max="15836" width="14.125" style="1" bestFit="1" customWidth="1"/>
    <col min="15837" max="15837" width="11.375" style="1" bestFit="1" customWidth="1"/>
    <col min="15838" max="15840" width="12.5" style="1" bestFit="1" customWidth="1"/>
    <col min="15841" max="15841" width="11" style="1" bestFit="1" customWidth="1"/>
    <col min="15842" max="15861" width="13" style="1" bestFit="1" customWidth="1"/>
    <col min="15862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7" width="9" style="1"/>
    <col min="16088" max="16088" width="2.875" style="1" bestFit="1" customWidth="1"/>
    <col min="16089" max="16089" width="16.625" style="1" bestFit="1" customWidth="1"/>
    <col min="16090" max="16090" width="11.375" style="1" bestFit="1" customWidth="1"/>
    <col min="16091" max="16092" width="14.125" style="1" bestFit="1" customWidth="1"/>
    <col min="16093" max="16093" width="11.375" style="1" bestFit="1" customWidth="1"/>
    <col min="16094" max="16096" width="12.5" style="1" bestFit="1" customWidth="1"/>
    <col min="16097" max="16097" width="11" style="1" bestFit="1" customWidth="1"/>
    <col min="16098" max="16117" width="13" style="1" bestFit="1" customWidth="1"/>
    <col min="16118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7">
        <v>45627</v>
      </c>
      <c r="B3" s="57"/>
      <c r="C3" s="49" t="s">
        <v>240</v>
      </c>
    </row>
    <row r="4" spans="1:11" s="5" customFormat="1" x14ac:dyDescent="0.15">
      <c r="A4" s="50" t="s">
        <v>0</v>
      </c>
      <c r="B4" s="50"/>
      <c r="C4" s="2" t="s">
        <v>183</v>
      </c>
      <c r="D4" s="2" t="s">
        <v>184</v>
      </c>
      <c r="E4" s="2" t="s">
        <v>34</v>
      </c>
      <c r="F4" s="2" t="s">
        <v>35</v>
      </c>
      <c r="G4" s="2" t="s">
        <v>36</v>
      </c>
      <c r="H4" s="2" t="s">
        <v>37</v>
      </c>
      <c r="I4" s="3" t="s">
        <v>42</v>
      </c>
      <c r="J4" s="3" t="s">
        <v>43</v>
      </c>
      <c r="K4" s="4" t="s">
        <v>44</v>
      </c>
    </row>
    <row r="5" spans="1:11" s="5" customFormat="1" hidden="1" x14ac:dyDescent="0.15">
      <c r="A5" s="54" t="s">
        <v>45</v>
      </c>
      <c r="B5" s="58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54" t="s">
        <v>46</v>
      </c>
      <c r="B6" s="58"/>
      <c r="C6" s="2" t="s">
        <v>50</v>
      </c>
      <c r="D6" s="2" t="s">
        <v>50</v>
      </c>
      <c r="E6" s="2" t="s">
        <v>50</v>
      </c>
      <c r="F6" s="2" t="s">
        <v>50</v>
      </c>
      <c r="G6" s="2" t="s">
        <v>50</v>
      </c>
      <c r="H6" s="2" t="s">
        <v>50</v>
      </c>
      <c r="I6" s="3"/>
      <c r="J6" s="3"/>
      <c r="K6" s="4"/>
    </row>
    <row r="7" spans="1:11" s="5" customFormat="1" x14ac:dyDescent="0.15">
      <c r="A7" s="56" t="s">
        <v>52</v>
      </c>
      <c r="B7" s="56"/>
      <c r="C7" s="42" t="s">
        <v>185</v>
      </c>
      <c r="D7" s="42" t="s">
        <v>186</v>
      </c>
      <c r="E7" s="42" t="s">
        <v>187</v>
      </c>
      <c r="F7" s="42" t="s">
        <v>188</v>
      </c>
      <c r="G7" s="42" t="s">
        <v>189</v>
      </c>
      <c r="H7" s="42"/>
      <c r="I7" s="6"/>
      <c r="J7" s="6"/>
      <c r="K7" s="7"/>
    </row>
    <row r="8" spans="1:11" s="5" customFormat="1" x14ac:dyDescent="0.15">
      <c r="A8" s="56" t="s">
        <v>53</v>
      </c>
      <c r="B8" s="56"/>
      <c r="C8" s="42" t="s">
        <v>228</v>
      </c>
      <c r="D8" s="42" t="s">
        <v>229</v>
      </c>
      <c r="E8" s="42" t="s">
        <v>230</v>
      </c>
      <c r="F8" s="42" t="s">
        <v>201</v>
      </c>
      <c r="G8" s="42" t="s">
        <v>231</v>
      </c>
      <c r="H8" s="42"/>
      <c r="I8" s="6"/>
      <c r="J8" s="6"/>
      <c r="K8" s="7"/>
    </row>
    <row r="9" spans="1:11" x14ac:dyDescent="0.15">
      <c r="A9" s="52" t="s">
        <v>54</v>
      </c>
      <c r="B9" s="53"/>
      <c r="C9" s="44">
        <v>14</v>
      </c>
      <c r="D9" s="44">
        <v>14</v>
      </c>
      <c r="E9" s="44">
        <v>8</v>
      </c>
      <c r="F9" s="44">
        <v>8</v>
      </c>
      <c r="G9" s="44">
        <v>8</v>
      </c>
      <c r="H9" s="44"/>
      <c r="I9" s="9">
        <f>SUM(C9:H9)</f>
        <v>52</v>
      </c>
      <c r="J9" s="9"/>
      <c r="K9" s="10"/>
    </row>
    <row r="10" spans="1:11" x14ac:dyDescent="0.15">
      <c r="A10" s="50" t="s">
        <v>55</v>
      </c>
      <c r="B10" s="50"/>
      <c r="C10" s="47" t="s">
        <v>65</v>
      </c>
      <c r="D10" s="47" t="s">
        <v>65</v>
      </c>
      <c r="E10" s="47" t="s">
        <v>63</v>
      </c>
      <c r="F10" s="47" t="s">
        <v>63</v>
      </c>
      <c r="G10" s="47" t="s">
        <v>63</v>
      </c>
      <c r="H10" s="47"/>
      <c r="I10" s="12"/>
      <c r="J10" s="12"/>
      <c r="K10" s="13"/>
    </row>
    <row r="11" spans="1:11" x14ac:dyDescent="0.15">
      <c r="A11" s="50" t="s">
        <v>66</v>
      </c>
      <c r="B11" s="50"/>
      <c r="C11" s="14">
        <v>3747.2999999999997</v>
      </c>
      <c r="D11" s="14">
        <v>1681.7</v>
      </c>
      <c r="E11" s="14">
        <v>3645.5</v>
      </c>
      <c r="F11" s="14">
        <v>4192.7</v>
      </c>
      <c r="G11" s="14">
        <v>1915.5</v>
      </c>
      <c r="H11" s="14">
        <v>0</v>
      </c>
      <c r="I11" s="16">
        <f>SUM(C11:H11)</f>
        <v>15182.7</v>
      </c>
      <c r="J11" s="16">
        <f t="shared" ref="J11:J42" si="0">AVERAGE(C11:H11)</f>
        <v>2530.4500000000003</v>
      </c>
      <c r="K11" s="13"/>
    </row>
    <row r="12" spans="1:11" x14ac:dyDescent="0.15">
      <c r="A12" s="54" t="s">
        <v>67</v>
      </c>
      <c r="B12" s="55"/>
      <c r="C12" s="18">
        <v>7.7034722222222225</v>
      </c>
      <c r="D12" s="18">
        <v>2.6847222222222222</v>
      </c>
      <c r="E12" s="18">
        <v>5.8763888888888891</v>
      </c>
      <c r="F12" s="18">
        <v>7.7256944444444446</v>
      </c>
      <c r="G12" s="18">
        <v>2.7250000000000001</v>
      </c>
      <c r="H12" s="18">
        <v>0</v>
      </c>
      <c r="I12" s="20">
        <f>SUM(C12:H12)</f>
        <v>26.715277777777779</v>
      </c>
      <c r="J12" s="20">
        <f t="shared" si="0"/>
        <v>4.4525462962962967</v>
      </c>
      <c r="K12" s="13"/>
    </row>
    <row r="13" spans="1:11" x14ac:dyDescent="0.15">
      <c r="A13" s="50" t="s">
        <v>68</v>
      </c>
      <c r="B13" s="50"/>
      <c r="C13" s="14">
        <v>1850300</v>
      </c>
      <c r="D13" s="14">
        <v>568900</v>
      </c>
      <c r="E13" s="14">
        <v>762600</v>
      </c>
      <c r="F13" s="14">
        <v>1047700</v>
      </c>
      <c r="G13" s="14">
        <v>397100</v>
      </c>
      <c r="H13" s="14">
        <v>338669</v>
      </c>
      <c r="I13" s="16">
        <f>SUM(C13:H13)</f>
        <v>4965269</v>
      </c>
      <c r="J13" s="16">
        <f t="shared" si="0"/>
        <v>827544.83333333337</v>
      </c>
      <c r="K13" s="13">
        <f>I13/I13</f>
        <v>1</v>
      </c>
    </row>
    <row r="14" spans="1:11" x14ac:dyDescent="0.15">
      <c r="A14" s="54" t="s">
        <v>69</v>
      </c>
      <c r="B14" s="55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6">
        <f>SUM(C14:H14)</f>
        <v>0</v>
      </c>
      <c r="J14" s="16">
        <f t="shared" si="0"/>
        <v>0</v>
      </c>
      <c r="K14" s="13"/>
    </row>
    <row r="15" spans="1:11" x14ac:dyDescent="0.15">
      <c r="A15" s="50" t="s">
        <v>70</v>
      </c>
      <c r="B15" s="50"/>
      <c r="C15" s="14">
        <f t="shared" ref="C15:H15" si="1">SUM(C13/C11)</f>
        <v>493.76884690310362</v>
      </c>
      <c r="D15" s="14">
        <f t="shared" si="1"/>
        <v>338.28863649878099</v>
      </c>
      <c r="E15" s="14">
        <f t="shared" si="1"/>
        <v>209.1894116033466</v>
      </c>
      <c r="F15" s="14">
        <f t="shared" si="1"/>
        <v>249.88670784935724</v>
      </c>
      <c r="G15" s="14">
        <f t="shared" si="1"/>
        <v>207.3087966588358</v>
      </c>
      <c r="H15" s="14" t="e">
        <f t="shared" si="1"/>
        <v>#DIV/0!</v>
      </c>
      <c r="I15" s="12">
        <f>SUM(I13/I11)</f>
        <v>327.03465128073395</v>
      </c>
      <c r="J15" s="16" t="e">
        <f t="shared" si="0"/>
        <v>#DIV/0!</v>
      </c>
      <c r="K15" s="13"/>
    </row>
    <row r="16" spans="1:11" x14ac:dyDescent="0.15">
      <c r="A16" s="54" t="s">
        <v>71</v>
      </c>
      <c r="B16" s="55"/>
      <c r="C16" s="21">
        <f t="shared" ref="C16:I16" si="2">C13/(C12*24)</f>
        <v>10007.932930677003</v>
      </c>
      <c r="D16" s="21">
        <f t="shared" si="2"/>
        <v>8829.2809105018096</v>
      </c>
      <c r="E16" s="21">
        <f t="shared" si="2"/>
        <v>5407.2323327818485</v>
      </c>
      <c r="F16" s="21">
        <f t="shared" si="2"/>
        <v>5650.5168539325841</v>
      </c>
      <c r="G16" s="21">
        <f t="shared" si="2"/>
        <v>6071.8654434250757</v>
      </c>
      <c r="H16" s="21" t="e">
        <f t="shared" si="2"/>
        <v>#DIV/0!</v>
      </c>
      <c r="I16" s="23">
        <f t="shared" si="2"/>
        <v>7744.1159344944099</v>
      </c>
      <c r="J16" s="23" t="e">
        <f t="shared" si="0"/>
        <v>#DIV/0!</v>
      </c>
      <c r="K16" s="13"/>
    </row>
    <row r="17" spans="1:11" x14ac:dyDescent="0.15">
      <c r="A17" s="51" t="s">
        <v>72</v>
      </c>
      <c r="B17" s="11" t="s">
        <v>73</v>
      </c>
      <c r="C17" s="14">
        <v>0</v>
      </c>
      <c r="D17" s="14">
        <v>0</v>
      </c>
      <c r="E17" s="14">
        <v>0</v>
      </c>
      <c r="F17" s="14">
        <v>0</v>
      </c>
      <c r="G17" s="14">
        <v>48750</v>
      </c>
      <c r="H17" s="14">
        <v>0</v>
      </c>
      <c r="I17" s="16">
        <f t="shared" ref="I17:I28" si="3">SUM(C17:H17)</f>
        <v>48750</v>
      </c>
      <c r="J17" s="16">
        <f t="shared" si="0"/>
        <v>8125</v>
      </c>
      <c r="K17" s="13">
        <f>I17/I13</f>
        <v>9.81819917511015E-3</v>
      </c>
    </row>
    <row r="18" spans="1:11" x14ac:dyDescent="0.15">
      <c r="A18" s="51"/>
      <c r="B18" s="11" t="s">
        <v>74</v>
      </c>
      <c r="C18" s="14">
        <v>6950</v>
      </c>
      <c r="D18" s="14">
        <v>7075</v>
      </c>
      <c r="E18" s="14">
        <v>4025</v>
      </c>
      <c r="F18" s="14">
        <v>4825</v>
      </c>
      <c r="G18" s="14">
        <v>2410</v>
      </c>
      <c r="H18" s="14">
        <v>0</v>
      </c>
      <c r="I18" s="16">
        <f t="shared" si="3"/>
        <v>25285</v>
      </c>
      <c r="J18" s="16">
        <f t="shared" si="0"/>
        <v>4214.166666666667</v>
      </c>
      <c r="K18" s="13">
        <f>I18/I13</f>
        <v>5.0923726388237981E-3</v>
      </c>
    </row>
    <row r="19" spans="1:11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6">
        <f t="shared" si="3"/>
        <v>0</v>
      </c>
      <c r="J19" s="16">
        <f t="shared" si="0"/>
        <v>0</v>
      </c>
      <c r="K19" s="13">
        <f>I19/I13</f>
        <v>0</v>
      </c>
    </row>
    <row r="20" spans="1:11" x14ac:dyDescent="0.15">
      <c r="A20" s="51"/>
      <c r="B20" s="11" t="s">
        <v>76</v>
      </c>
      <c r="C20" s="14">
        <v>8333</v>
      </c>
      <c r="D20" s="14">
        <v>9333</v>
      </c>
      <c r="E20" s="14">
        <v>4583</v>
      </c>
      <c r="F20" s="14">
        <v>4950</v>
      </c>
      <c r="G20" s="14">
        <v>4766</v>
      </c>
      <c r="H20" s="14">
        <v>0</v>
      </c>
      <c r="I20" s="16">
        <f t="shared" si="3"/>
        <v>31965</v>
      </c>
      <c r="J20" s="16">
        <f t="shared" si="0"/>
        <v>5327.5</v>
      </c>
      <c r="K20" s="13">
        <f>I20/I13</f>
        <v>6.4377176745106859E-3</v>
      </c>
    </row>
    <row r="21" spans="1:11" x14ac:dyDescent="0.15">
      <c r="A21" s="51"/>
      <c r="B21" s="11" t="s">
        <v>77</v>
      </c>
      <c r="C21" s="14">
        <v>45533</v>
      </c>
      <c r="D21" s="14">
        <v>37504</v>
      </c>
      <c r="E21" s="14">
        <v>27808</v>
      </c>
      <c r="F21" s="14">
        <v>35758</v>
      </c>
      <c r="G21" s="14">
        <v>34656</v>
      </c>
      <c r="H21" s="14">
        <v>0</v>
      </c>
      <c r="I21" s="16">
        <f t="shared" si="3"/>
        <v>181259</v>
      </c>
      <c r="J21" s="16">
        <f t="shared" si="0"/>
        <v>30209.833333333332</v>
      </c>
      <c r="K21" s="13">
        <f>I21/I13</f>
        <v>3.6505373626282887E-2</v>
      </c>
    </row>
    <row r="22" spans="1:11" x14ac:dyDescent="0.15">
      <c r="A22" s="51"/>
      <c r="B22" s="24" t="s">
        <v>78</v>
      </c>
      <c r="C22" s="25">
        <f t="shared" ref="C22:H22" si="4">SUM(C17:C21)</f>
        <v>60816</v>
      </c>
      <c r="D22" s="25">
        <f t="shared" si="4"/>
        <v>53912</v>
      </c>
      <c r="E22" s="25">
        <f t="shared" si="4"/>
        <v>36416</v>
      </c>
      <c r="F22" s="25">
        <f t="shared" si="4"/>
        <v>45533</v>
      </c>
      <c r="G22" s="25">
        <f t="shared" si="4"/>
        <v>90582</v>
      </c>
      <c r="H22" s="25">
        <f t="shared" si="4"/>
        <v>0</v>
      </c>
      <c r="I22" s="27">
        <f t="shared" si="3"/>
        <v>287259</v>
      </c>
      <c r="J22" s="27">
        <f t="shared" si="0"/>
        <v>47876.5</v>
      </c>
      <c r="K22" s="28">
        <f>I22/I13</f>
        <v>5.7853663114727519E-2</v>
      </c>
    </row>
    <row r="23" spans="1:11" x14ac:dyDescent="0.15">
      <c r="A23" s="51" t="s">
        <v>79</v>
      </c>
      <c r="B23" s="11" t="s">
        <v>80</v>
      </c>
      <c r="C23" s="14">
        <v>68065</v>
      </c>
      <c r="D23" s="14">
        <v>0</v>
      </c>
      <c r="E23" s="14">
        <v>0</v>
      </c>
      <c r="F23" s="14">
        <v>0</v>
      </c>
      <c r="G23" s="14">
        <v>27036</v>
      </c>
      <c r="H23" s="14">
        <v>0</v>
      </c>
      <c r="I23" s="16">
        <f t="shared" si="3"/>
        <v>95101</v>
      </c>
      <c r="J23" s="16">
        <f t="shared" si="0"/>
        <v>15850.166666666666</v>
      </c>
      <c r="K23" s="13">
        <f>I23/I13</f>
        <v>1.9153242251326162E-2</v>
      </c>
    </row>
    <row r="24" spans="1:11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6">
        <f t="shared" si="3"/>
        <v>0</v>
      </c>
      <c r="J24" s="16">
        <f t="shared" si="0"/>
        <v>0</v>
      </c>
      <c r="K24" s="13">
        <f>I24/I13</f>
        <v>0</v>
      </c>
    </row>
    <row r="25" spans="1:11" x14ac:dyDescent="0.15">
      <c r="A25" s="51"/>
      <c r="B25" s="11" t="s">
        <v>82</v>
      </c>
      <c r="C25" s="14">
        <f t="shared" ref="C25:H25" si="5">30000*C9/70000*C11</f>
        <v>22483.8</v>
      </c>
      <c r="D25" s="14">
        <f t="shared" si="5"/>
        <v>10090.200000000001</v>
      </c>
      <c r="E25" s="14">
        <f t="shared" si="5"/>
        <v>12498.857142857141</v>
      </c>
      <c r="F25" s="14">
        <f t="shared" si="5"/>
        <v>14374.971428571427</v>
      </c>
      <c r="G25" s="14">
        <f t="shared" si="5"/>
        <v>6567.4285714285706</v>
      </c>
      <c r="H25" s="14">
        <f t="shared" si="5"/>
        <v>0</v>
      </c>
      <c r="I25" s="16">
        <f t="shared" si="3"/>
        <v>66015.257142857139</v>
      </c>
      <c r="J25" s="16">
        <f t="shared" si="0"/>
        <v>11002.542857142857</v>
      </c>
      <c r="K25" s="13">
        <f>I25/I13</f>
        <v>1.329540396358327E-2</v>
      </c>
    </row>
    <row r="26" spans="1:11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6">
        <f t="shared" si="3"/>
        <v>0</v>
      </c>
      <c r="J26" s="16">
        <f t="shared" si="0"/>
        <v>0</v>
      </c>
      <c r="K26" s="13">
        <f>I26/I13</f>
        <v>0</v>
      </c>
    </row>
    <row r="27" spans="1:11" x14ac:dyDescent="0.15">
      <c r="A27" s="51"/>
      <c r="B27" s="24" t="s">
        <v>83</v>
      </c>
      <c r="C27" s="25">
        <f t="shared" ref="C27:H27" si="6">SUM(C23:C26)</f>
        <v>90548.800000000003</v>
      </c>
      <c r="D27" s="25">
        <f t="shared" si="6"/>
        <v>10090.200000000001</v>
      </c>
      <c r="E27" s="25">
        <f t="shared" si="6"/>
        <v>12498.857142857141</v>
      </c>
      <c r="F27" s="25">
        <f t="shared" si="6"/>
        <v>14374.971428571427</v>
      </c>
      <c r="G27" s="25">
        <f t="shared" si="6"/>
        <v>33603.428571428572</v>
      </c>
      <c r="H27" s="25">
        <f t="shared" si="6"/>
        <v>0</v>
      </c>
      <c r="I27" s="27">
        <f t="shared" si="3"/>
        <v>161116.25714285715</v>
      </c>
      <c r="J27" s="27">
        <f t="shared" si="0"/>
        <v>26852.709523809524</v>
      </c>
      <c r="K27" s="28">
        <f>I27/I13</f>
        <v>3.2448646214909435E-2</v>
      </c>
    </row>
    <row r="28" spans="1:11" x14ac:dyDescent="0.15">
      <c r="A28" s="51" t="s">
        <v>84</v>
      </c>
      <c r="B28" s="8" t="s">
        <v>85</v>
      </c>
      <c r="C28" s="29">
        <v>1406</v>
      </c>
      <c r="D28" s="29">
        <v>720</v>
      </c>
      <c r="E28" s="29">
        <v>976</v>
      </c>
      <c r="F28" s="29">
        <v>995</v>
      </c>
      <c r="G28" s="29">
        <v>384</v>
      </c>
      <c r="H28" s="29">
        <v>0</v>
      </c>
      <c r="I28" s="31">
        <f t="shared" si="3"/>
        <v>4481</v>
      </c>
      <c r="J28" s="31">
        <f t="shared" si="0"/>
        <v>746.83333333333337</v>
      </c>
      <c r="K28" s="10">
        <f>I28/I13</f>
        <v>9.0246872828038123E-4</v>
      </c>
    </row>
    <row r="29" spans="1:11" x14ac:dyDescent="0.15">
      <c r="A29" s="51"/>
      <c r="B29" s="32" t="s">
        <v>86</v>
      </c>
      <c r="C29" s="33">
        <f t="shared" ref="C29:I29" si="7">SUM(C11/C28)</f>
        <v>2.6652204836415363</v>
      </c>
      <c r="D29" s="33">
        <f t="shared" si="7"/>
        <v>2.3356944444444445</v>
      </c>
      <c r="E29" s="33">
        <f t="shared" si="7"/>
        <v>3.7351434426229506</v>
      </c>
      <c r="F29" s="33">
        <f t="shared" si="7"/>
        <v>4.2137688442211054</v>
      </c>
      <c r="G29" s="33">
        <f t="shared" si="7"/>
        <v>4.98828125</v>
      </c>
      <c r="H29" s="33" t="e">
        <f t="shared" si="7"/>
        <v>#DIV/0!</v>
      </c>
      <c r="I29" s="35">
        <f t="shared" si="7"/>
        <v>3.3882392323142159</v>
      </c>
      <c r="J29" s="35" t="e">
        <f t="shared" si="0"/>
        <v>#DIV/0!</v>
      </c>
      <c r="K29" s="32">
        <f>I29/I13</f>
        <v>6.8238784893914427E-7</v>
      </c>
    </row>
    <row r="30" spans="1:11" x14ac:dyDescent="0.15">
      <c r="A30" s="51"/>
      <c r="B30" s="11" t="s">
        <v>87</v>
      </c>
      <c r="C30" s="14">
        <v>171248</v>
      </c>
      <c r="D30" s="14">
        <v>87695</v>
      </c>
      <c r="E30" s="14">
        <v>119222</v>
      </c>
      <c r="F30" s="14">
        <v>121189</v>
      </c>
      <c r="G30" s="14">
        <v>46552</v>
      </c>
      <c r="H30" s="14">
        <v>0</v>
      </c>
      <c r="I30" s="16">
        <f t="shared" ref="I30:I43" si="8">SUM(C30:H30)</f>
        <v>545906</v>
      </c>
      <c r="J30" s="16">
        <f t="shared" si="0"/>
        <v>90984.333333333328</v>
      </c>
      <c r="K30" s="13">
        <f>I30/I13</f>
        <v>0.10994489925923449</v>
      </c>
    </row>
    <row r="31" spans="1:11" x14ac:dyDescent="0.15">
      <c r="A31" s="51"/>
      <c r="B31" s="11" t="s">
        <v>88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6">
        <f t="shared" si="8"/>
        <v>0</v>
      </c>
      <c r="J31" s="16">
        <f t="shared" si="0"/>
        <v>0</v>
      </c>
      <c r="K31" s="13">
        <f>I31/I13</f>
        <v>0</v>
      </c>
    </row>
    <row r="32" spans="1:11" x14ac:dyDescent="0.15">
      <c r="A32" s="51"/>
      <c r="B32" s="11" t="s">
        <v>89</v>
      </c>
      <c r="C32" s="14">
        <v>4116</v>
      </c>
      <c r="D32" s="14">
        <v>4072</v>
      </c>
      <c r="E32" s="14">
        <v>2723</v>
      </c>
      <c r="F32" s="14">
        <v>3058</v>
      </c>
      <c r="G32" s="14">
        <v>0</v>
      </c>
      <c r="H32" s="14">
        <v>0</v>
      </c>
      <c r="I32" s="16">
        <f t="shared" si="8"/>
        <v>13969</v>
      </c>
      <c r="J32" s="16">
        <f t="shared" si="0"/>
        <v>2328.1666666666665</v>
      </c>
      <c r="K32" s="13">
        <f>I32/I13</f>
        <v>2.8133420364536139E-3</v>
      </c>
    </row>
    <row r="33" spans="1:11" x14ac:dyDescent="0.15">
      <c r="A33" s="51"/>
      <c r="B33" s="24" t="s">
        <v>90</v>
      </c>
      <c r="C33" s="25">
        <f t="shared" ref="C33:H33" si="9">SUM(C30:C32)</f>
        <v>175364</v>
      </c>
      <c r="D33" s="25">
        <f t="shared" si="9"/>
        <v>91767</v>
      </c>
      <c r="E33" s="25">
        <f t="shared" si="9"/>
        <v>121945</v>
      </c>
      <c r="F33" s="25">
        <f t="shared" si="9"/>
        <v>124247</v>
      </c>
      <c r="G33" s="25">
        <f t="shared" si="9"/>
        <v>46552</v>
      </c>
      <c r="H33" s="25">
        <f t="shared" si="9"/>
        <v>0</v>
      </c>
      <c r="I33" s="27">
        <f t="shared" si="8"/>
        <v>559875</v>
      </c>
      <c r="J33" s="27">
        <f t="shared" si="0"/>
        <v>93312.5</v>
      </c>
      <c r="K33" s="28">
        <f>I33/I13</f>
        <v>0.11275824129568811</v>
      </c>
    </row>
    <row r="34" spans="1:11" x14ac:dyDescent="0.15">
      <c r="A34" s="51" t="s">
        <v>91</v>
      </c>
      <c r="B34" s="11" t="s">
        <v>92</v>
      </c>
      <c r="C34" s="14">
        <v>2451</v>
      </c>
      <c r="D34" s="14">
        <v>2451</v>
      </c>
      <c r="E34" s="14">
        <v>2008</v>
      </c>
      <c r="F34" s="14">
        <v>2008</v>
      </c>
      <c r="G34" s="14">
        <v>2008</v>
      </c>
      <c r="H34" s="14">
        <v>0</v>
      </c>
      <c r="I34" s="16">
        <f t="shared" si="8"/>
        <v>10926</v>
      </c>
      <c r="J34" s="16">
        <f t="shared" si="0"/>
        <v>1821</v>
      </c>
      <c r="K34" s="13">
        <f>I34/I13</f>
        <v>2.2004850089693026E-3</v>
      </c>
    </row>
    <row r="35" spans="1:11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6">
        <f t="shared" si="8"/>
        <v>0</v>
      </c>
      <c r="J35" s="16">
        <f t="shared" si="0"/>
        <v>0</v>
      </c>
      <c r="K35" s="13">
        <f>I35/I13</f>
        <v>0</v>
      </c>
    </row>
    <row r="36" spans="1:11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6">
        <f t="shared" si="8"/>
        <v>0</v>
      </c>
      <c r="J36" s="16">
        <f t="shared" si="0"/>
        <v>0</v>
      </c>
      <c r="K36" s="13">
        <f>I36/I13</f>
        <v>0</v>
      </c>
    </row>
    <row r="37" spans="1:11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6">
        <f t="shared" si="8"/>
        <v>0</v>
      </c>
      <c r="J37" s="16">
        <f t="shared" si="0"/>
        <v>0</v>
      </c>
      <c r="K37" s="13">
        <f>I37/I13</f>
        <v>0</v>
      </c>
    </row>
    <row r="38" spans="1:11" x14ac:dyDescent="0.15">
      <c r="A38" s="51"/>
      <c r="B38" s="11" t="s">
        <v>93</v>
      </c>
      <c r="C38" s="14">
        <v>10690</v>
      </c>
      <c r="D38" s="14">
        <v>10690</v>
      </c>
      <c r="E38" s="14">
        <v>5366</v>
      </c>
      <c r="F38" s="14">
        <v>5366</v>
      </c>
      <c r="G38" s="14">
        <v>7978</v>
      </c>
      <c r="H38" s="14">
        <v>0</v>
      </c>
      <c r="I38" s="16">
        <f t="shared" si="8"/>
        <v>40090</v>
      </c>
      <c r="J38" s="16">
        <f t="shared" si="0"/>
        <v>6681.666666666667</v>
      </c>
      <c r="K38" s="13">
        <f>I38/I13</f>
        <v>8.0740842036957118E-3</v>
      </c>
    </row>
    <row r="39" spans="1:11" x14ac:dyDescent="0.15">
      <c r="A39" s="51"/>
      <c r="B39" s="24" t="s">
        <v>94</v>
      </c>
      <c r="C39" s="25">
        <f t="shared" ref="C39:H39" si="10">SUM(C34:C38)</f>
        <v>13141</v>
      </c>
      <c r="D39" s="25">
        <f t="shared" si="10"/>
        <v>13141</v>
      </c>
      <c r="E39" s="25">
        <f t="shared" si="10"/>
        <v>7374</v>
      </c>
      <c r="F39" s="25">
        <f t="shared" si="10"/>
        <v>7374</v>
      </c>
      <c r="G39" s="25">
        <f t="shared" si="10"/>
        <v>9986</v>
      </c>
      <c r="H39" s="25">
        <f t="shared" si="10"/>
        <v>0</v>
      </c>
      <c r="I39" s="27">
        <f t="shared" si="8"/>
        <v>51016</v>
      </c>
      <c r="J39" s="27">
        <f t="shared" si="0"/>
        <v>8502.6666666666661</v>
      </c>
      <c r="K39" s="28">
        <f>I39/I13</f>
        <v>1.0274569212665013E-2</v>
      </c>
    </row>
    <row r="40" spans="1:11" x14ac:dyDescent="0.15">
      <c r="A40" s="51" t="s">
        <v>95</v>
      </c>
      <c r="B40" s="11" t="s">
        <v>96</v>
      </c>
      <c r="C40" s="14">
        <v>104410</v>
      </c>
      <c r="D40" s="14">
        <v>81220</v>
      </c>
      <c r="E40" s="14">
        <v>145150</v>
      </c>
      <c r="F40" s="14">
        <v>171760</v>
      </c>
      <c r="G40" s="14">
        <v>72440</v>
      </c>
      <c r="H40" s="14">
        <v>0</v>
      </c>
      <c r="I40" s="16">
        <f t="shared" si="8"/>
        <v>574980</v>
      </c>
      <c r="J40" s="16">
        <f t="shared" si="0"/>
        <v>95830</v>
      </c>
      <c r="K40" s="13">
        <f>I40/I13</f>
        <v>0.11580037254779146</v>
      </c>
    </row>
    <row r="41" spans="1:11" x14ac:dyDescent="0.15">
      <c r="A41" s="51"/>
      <c r="B41" s="11" t="s">
        <v>97</v>
      </c>
      <c r="C41" s="14">
        <v>-83183</v>
      </c>
      <c r="D41" s="14">
        <v>-54575</v>
      </c>
      <c r="E41" s="14">
        <v>-80341</v>
      </c>
      <c r="F41" s="14">
        <v>-97469</v>
      </c>
      <c r="G41" s="14">
        <v>-41331</v>
      </c>
      <c r="H41" s="14">
        <v>0</v>
      </c>
      <c r="I41" s="16">
        <f t="shared" si="8"/>
        <v>-356899</v>
      </c>
      <c r="J41" s="16">
        <f t="shared" si="0"/>
        <v>-59483.166666666664</v>
      </c>
      <c r="K41" s="13">
        <f>I41/I13</f>
        <v>-7.1879086510720766E-2</v>
      </c>
    </row>
    <row r="42" spans="1:11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6">
        <f t="shared" si="8"/>
        <v>0</v>
      </c>
      <c r="J42" s="16">
        <f t="shared" si="0"/>
        <v>0</v>
      </c>
      <c r="K42" s="13">
        <f>I42/I13</f>
        <v>0</v>
      </c>
    </row>
    <row r="43" spans="1:11" x14ac:dyDescent="0.15">
      <c r="A43" s="51"/>
      <c r="B43" s="11" t="s">
        <v>99</v>
      </c>
      <c r="C43" s="14">
        <v>-33411.199999999997</v>
      </c>
      <c r="D43" s="14">
        <v>-25990.400000000001</v>
      </c>
      <c r="E43" s="14">
        <v>-46448</v>
      </c>
      <c r="F43" s="14">
        <v>-54963.199999999997</v>
      </c>
      <c r="G43" s="14">
        <v>-23180.799999999999</v>
      </c>
      <c r="H43" s="14">
        <v>0</v>
      </c>
      <c r="I43" s="16">
        <f t="shared" si="8"/>
        <v>-183993.59999999998</v>
      </c>
      <c r="J43" s="16">
        <f>AVERAGE(B43:H43)</f>
        <v>-30665.599999999995</v>
      </c>
      <c r="K43" s="13">
        <f>I43/I13</f>
        <v>-3.7056119215293268E-2</v>
      </c>
    </row>
    <row r="44" spans="1:11" x14ac:dyDescent="0.15">
      <c r="A44" s="51"/>
      <c r="B44" s="24" t="s">
        <v>100</v>
      </c>
      <c r="C44" s="25">
        <f t="shared" ref="C44:I44" si="11">SUM(C40:C43)</f>
        <v>-12184.199999999997</v>
      </c>
      <c r="D44" s="25">
        <f t="shared" si="11"/>
        <v>654.59999999999854</v>
      </c>
      <c r="E44" s="25">
        <f t="shared" si="11"/>
        <v>18361</v>
      </c>
      <c r="F44" s="25">
        <f t="shared" si="11"/>
        <v>19327.800000000003</v>
      </c>
      <c r="G44" s="25">
        <f t="shared" si="11"/>
        <v>7928.2000000000007</v>
      </c>
      <c r="H44" s="25">
        <f t="shared" si="11"/>
        <v>0</v>
      </c>
      <c r="I44" s="27">
        <f t="shared" si="11"/>
        <v>34087.400000000023</v>
      </c>
      <c r="J44" s="27">
        <f>AVERAGE(B44:H44)</f>
        <v>5681.2333333333345</v>
      </c>
      <c r="K44" s="28">
        <f>I44/I13</f>
        <v>6.865166821777435E-3</v>
      </c>
    </row>
    <row r="45" spans="1:11" x14ac:dyDescent="0.15">
      <c r="A45" s="51" t="s">
        <v>101</v>
      </c>
      <c r="B45" s="11" t="s">
        <v>102</v>
      </c>
      <c r="C45" s="14">
        <v>389120</v>
      </c>
      <c r="D45" s="14">
        <v>111178</v>
      </c>
      <c r="E45" s="14">
        <v>315002</v>
      </c>
      <c r="F45" s="14">
        <v>370588</v>
      </c>
      <c r="G45" s="14">
        <v>111178</v>
      </c>
      <c r="H45" s="14">
        <v>0</v>
      </c>
      <c r="I45" s="16">
        <f t="shared" ref="I45:I60" si="12">SUM(C45:H45)</f>
        <v>1297066</v>
      </c>
      <c r="J45" s="16">
        <f t="shared" ref="J45:J60" si="13">AVERAGE(C45:H45)</f>
        <v>216177.66666666666</v>
      </c>
      <c r="K45" s="13">
        <f>I45/I13</f>
        <v>0.26122774012848043</v>
      </c>
    </row>
    <row r="46" spans="1:11" x14ac:dyDescent="0.15">
      <c r="A46" s="51"/>
      <c r="B46" s="11" t="s">
        <v>103</v>
      </c>
      <c r="C46" s="14">
        <v>26024</v>
      </c>
      <c r="D46" s="14">
        <v>7435</v>
      </c>
      <c r="E46" s="14">
        <v>21067</v>
      </c>
      <c r="F46" s="14">
        <v>24783</v>
      </c>
      <c r="G46" s="14">
        <v>7435</v>
      </c>
      <c r="H46" s="14">
        <v>0</v>
      </c>
      <c r="I46" s="16">
        <f t="shared" si="12"/>
        <v>86744</v>
      </c>
      <c r="J46" s="16">
        <f t="shared" si="13"/>
        <v>14457.333333333334</v>
      </c>
      <c r="K46" s="13">
        <f>I46/I13</f>
        <v>1.7470151164015485E-2</v>
      </c>
    </row>
    <row r="47" spans="1:11" x14ac:dyDescent="0.15">
      <c r="A47" s="51"/>
      <c r="B47" s="11" t="s">
        <v>104</v>
      </c>
      <c r="C47" s="14">
        <v>65158</v>
      </c>
      <c r="D47" s="14">
        <v>18617</v>
      </c>
      <c r="E47" s="14">
        <v>52746</v>
      </c>
      <c r="F47" s="14">
        <v>62057</v>
      </c>
      <c r="G47" s="14">
        <v>18616</v>
      </c>
      <c r="H47" s="14">
        <v>0</v>
      </c>
      <c r="I47" s="16">
        <f t="shared" si="12"/>
        <v>217194</v>
      </c>
      <c r="J47" s="16">
        <f t="shared" si="13"/>
        <v>36199</v>
      </c>
      <c r="K47" s="13">
        <f>I47/I13</f>
        <v>4.3742645161823059E-2</v>
      </c>
    </row>
    <row r="48" spans="1:11" x14ac:dyDescent="0.15">
      <c r="A48" s="51"/>
      <c r="B48" s="11" t="s">
        <v>105</v>
      </c>
      <c r="C48" s="14">
        <v>2964</v>
      </c>
      <c r="D48" s="14">
        <v>847</v>
      </c>
      <c r="E48" s="14">
        <v>2400</v>
      </c>
      <c r="F48" s="14">
        <v>2825</v>
      </c>
      <c r="G48" s="14">
        <v>847</v>
      </c>
      <c r="H48" s="14">
        <v>0</v>
      </c>
      <c r="I48" s="16">
        <f t="shared" si="12"/>
        <v>9883</v>
      </c>
      <c r="J48" s="16">
        <f t="shared" si="13"/>
        <v>1647.1666666666667</v>
      </c>
      <c r="K48" s="13">
        <f>I48/I13</f>
        <v>1.9904258963613047E-3</v>
      </c>
    </row>
    <row r="49" spans="1:11" x14ac:dyDescent="0.15">
      <c r="A49" s="51"/>
      <c r="B49" s="24" t="s">
        <v>106</v>
      </c>
      <c r="C49" s="25">
        <f t="shared" ref="C49:H49" si="14">SUM(C45:C48)</f>
        <v>483266</v>
      </c>
      <c r="D49" s="25">
        <f t="shared" si="14"/>
        <v>138077</v>
      </c>
      <c r="E49" s="25">
        <f t="shared" si="14"/>
        <v>391215</v>
      </c>
      <c r="F49" s="25">
        <f t="shared" si="14"/>
        <v>460253</v>
      </c>
      <c r="G49" s="25">
        <f t="shared" si="14"/>
        <v>138076</v>
      </c>
      <c r="H49" s="25">
        <f t="shared" si="14"/>
        <v>0</v>
      </c>
      <c r="I49" s="27">
        <f t="shared" si="12"/>
        <v>1610887</v>
      </c>
      <c r="J49" s="27">
        <f t="shared" si="13"/>
        <v>268481.16666666669</v>
      </c>
      <c r="K49" s="28">
        <f>I49/I13</f>
        <v>0.32443096235068031</v>
      </c>
    </row>
    <row r="50" spans="1:11" x14ac:dyDescent="0.15">
      <c r="A50" s="51" t="s">
        <v>107</v>
      </c>
      <c r="B50" s="11" t="s">
        <v>108</v>
      </c>
      <c r="C50" s="14">
        <v>59400</v>
      </c>
      <c r="D50" s="14">
        <v>59400</v>
      </c>
      <c r="E50" s="14">
        <v>59400</v>
      </c>
      <c r="F50" s="14">
        <v>59400</v>
      </c>
      <c r="G50" s="14">
        <v>59400</v>
      </c>
      <c r="H50" s="14">
        <v>0</v>
      </c>
      <c r="I50" s="16">
        <f t="shared" si="12"/>
        <v>297000</v>
      </c>
      <c r="J50" s="16">
        <f t="shared" si="13"/>
        <v>49500</v>
      </c>
      <c r="K50" s="13">
        <f>I50/I13</f>
        <v>5.9815490359132605E-2</v>
      </c>
    </row>
    <row r="51" spans="1:11" x14ac:dyDescent="0.15">
      <c r="A51" s="51"/>
      <c r="B51" s="11" t="s">
        <v>109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6">
        <f t="shared" si="12"/>
        <v>0</v>
      </c>
      <c r="J51" s="16">
        <f t="shared" si="13"/>
        <v>0</v>
      </c>
      <c r="K51" s="13">
        <f>I51/I13</f>
        <v>0</v>
      </c>
    </row>
    <row r="52" spans="1:11" x14ac:dyDescent="0.15">
      <c r="A52" s="51"/>
      <c r="B52" s="11" t="s">
        <v>110</v>
      </c>
      <c r="C52" s="14">
        <v>0</v>
      </c>
      <c r="D52" s="14">
        <v>307567</v>
      </c>
      <c r="E52" s="14">
        <v>0</v>
      </c>
      <c r="F52" s="14">
        <v>0</v>
      </c>
      <c r="G52" s="14">
        <v>0</v>
      </c>
      <c r="H52" s="14">
        <v>0</v>
      </c>
      <c r="I52" s="16">
        <f t="shared" si="12"/>
        <v>307567</v>
      </c>
      <c r="J52" s="16">
        <f t="shared" si="13"/>
        <v>51261.166666666664</v>
      </c>
      <c r="K52" s="13">
        <f>I52/I13</f>
        <v>6.1943673142381611E-2</v>
      </c>
    </row>
    <row r="53" spans="1:11" x14ac:dyDescent="0.15">
      <c r="A53" s="51"/>
      <c r="B53" s="11" t="s">
        <v>111</v>
      </c>
      <c r="C53" s="14">
        <v>70593.8</v>
      </c>
      <c r="D53" s="14">
        <v>70593.8</v>
      </c>
      <c r="E53" s="14">
        <v>70593.8</v>
      </c>
      <c r="F53" s="14">
        <v>70593.8</v>
      </c>
      <c r="G53" s="14">
        <v>70593.8</v>
      </c>
      <c r="H53" s="14">
        <v>0</v>
      </c>
      <c r="I53" s="16">
        <f t="shared" si="12"/>
        <v>352969</v>
      </c>
      <c r="J53" s="16">
        <f t="shared" si="13"/>
        <v>58828.166666666664</v>
      </c>
      <c r="K53" s="13">
        <f>I53/I13</f>
        <v>7.1087588607988805E-2</v>
      </c>
    </row>
    <row r="54" spans="1:11" x14ac:dyDescent="0.15">
      <c r="A54" s="51"/>
      <c r="B54" s="11" t="s">
        <v>112</v>
      </c>
      <c r="C54" s="14">
        <v>32773.4</v>
      </c>
      <c r="D54" s="14">
        <v>32773.4</v>
      </c>
      <c r="E54" s="14">
        <v>32773.4</v>
      </c>
      <c r="F54" s="14">
        <v>32773.4</v>
      </c>
      <c r="G54" s="14">
        <v>32773.4</v>
      </c>
      <c r="H54" s="14">
        <v>0</v>
      </c>
      <c r="I54" s="16">
        <f t="shared" si="12"/>
        <v>163867</v>
      </c>
      <c r="J54" s="16">
        <f t="shared" si="13"/>
        <v>27311.166666666668</v>
      </c>
      <c r="K54" s="13">
        <f>I54/I13</f>
        <v>3.3002642958518458E-2</v>
      </c>
    </row>
    <row r="55" spans="1:11" x14ac:dyDescent="0.15">
      <c r="A55" s="51"/>
      <c r="B55" s="24" t="s">
        <v>113</v>
      </c>
      <c r="C55" s="25">
        <f t="shared" ref="C55:H55" si="15">SUM(C50:C54)</f>
        <v>162767.20000000001</v>
      </c>
      <c r="D55" s="25">
        <f t="shared" si="15"/>
        <v>470334.2</v>
      </c>
      <c r="E55" s="25">
        <f t="shared" si="15"/>
        <v>162767.20000000001</v>
      </c>
      <c r="F55" s="25">
        <f t="shared" si="15"/>
        <v>162767.20000000001</v>
      </c>
      <c r="G55" s="25">
        <f t="shared" si="15"/>
        <v>162767.20000000001</v>
      </c>
      <c r="H55" s="25">
        <f t="shared" si="15"/>
        <v>0</v>
      </c>
      <c r="I55" s="27">
        <f t="shared" si="12"/>
        <v>1121403</v>
      </c>
      <c r="J55" s="27">
        <f t="shared" si="13"/>
        <v>186900.5</v>
      </c>
      <c r="K55" s="28">
        <f>I55/I13</f>
        <v>0.22584939506802149</v>
      </c>
    </row>
    <row r="56" spans="1:11" x14ac:dyDescent="0.15">
      <c r="A56" s="50" t="s">
        <v>114</v>
      </c>
      <c r="B56" s="50"/>
      <c r="C56" s="14">
        <f t="shared" ref="C56:H56" si="16">SUM(C49+C22+C27+C33+C39+C44+C55)</f>
        <v>973718.8</v>
      </c>
      <c r="D56" s="14">
        <f t="shared" si="16"/>
        <v>777976</v>
      </c>
      <c r="E56" s="14">
        <f t="shared" si="16"/>
        <v>750577.05714285723</v>
      </c>
      <c r="F56" s="14">
        <f t="shared" si="16"/>
        <v>833876.9714285715</v>
      </c>
      <c r="G56" s="14">
        <f t="shared" si="16"/>
        <v>489494.8285714286</v>
      </c>
      <c r="H56" s="14">
        <f t="shared" si="16"/>
        <v>0</v>
      </c>
      <c r="I56" s="16">
        <f t="shared" si="12"/>
        <v>3825643.6571428571</v>
      </c>
      <c r="J56" s="16">
        <f t="shared" si="13"/>
        <v>637607.27619047614</v>
      </c>
      <c r="K56" s="13">
        <f>I56/I13</f>
        <v>0.77048064407846928</v>
      </c>
    </row>
    <row r="57" spans="1:11" x14ac:dyDescent="0.15">
      <c r="A57" s="50" t="s">
        <v>115</v>
      </c>
      <c r="B57" s="50"/>
      <c r="C57" s="14">
        <f t="shared" ref="C57:H57" si="17">SUM(C13+C14-C56)</f>
        <v>876581.2</v>
      </c>
      <c r="D57" s="14">
        <f t="shared" si="17"/>
        <v>-209076</v>
      </c>
      <c r="E57" s="14">
        <f t="shared" si="17"/>
        <v>12022.942857142771</v>
      </c>
      <c r="F57" s="14">
        <f t="shared" si="17"/>
        <v>213823.0285714285</v>
      </c>
      <c r="G57" s="14">
        <f t="shared" si="17"/>
        <v>-92394.828571428603</v>
      </c>
      <c r="H57" s="14">
        <f t="shared" si="17"/>
        <v>338669</v>
      </c>
      <c r="I57" s="16">
        <f t="shared" si="12"/>
        <v>1139625.3428571427</v>
      </c>
      <c r="J57" s="16">
        <f t="shared" si="13"/>
        <v>189937.55714285711</v>
      </c>
      <c r="K57" s="13">
        <f>I57/I13</f>
        <v>0.22951935592153067</v>
      </c>
    </row>
    <row r="58" spans="1:11" x14ac:dyDescent="0.15">
      <c r="A58" s="50" t="s">
        <v>116</v>
      </c>
      <c r="B58" s="50"/>
      <c r="C58" s="14">
        <v>87826.465116279069</v>
      </c>
      <c r="D58" s="14">
        <v>87826.465116279069</v>
      </c>
      <c r="E58" s="14">
        <v>87826.465116279069</v>
      </c>
      <c r="F58" s="14">
        <v>87826.465116279069</v>
      </c>
      <c r="G58" s="14">
        <v>87826.465116279069</v>
      </c>
      <c r="H58" s="14">
        <v>0</v>
      </c>
      <c r="I58" s="16">
        <f t="shared" si="12"/>
        <v>439132.32558139536</v>
      </c>
      <c r="J58" s="16">
        <f t="shared" si="13"/>
        <v>73188.720930232565</v>
      </c>
      <c r="K58" s="13">
        <f>I58/I13</f>
        <v>8.8440792549486308E-2</v>
      </c>
    </row>
    <row r="59" spans="1:11" x14ac:dyDescent="0.15">
      <c r="A59" s="50" t="s">
        <v>117</v>
      </c>
      <c r="B59" s="50"/>
      <c r="C59" s="14">
        <v>42477.813953488374</v>
      </c>
      <c r="D59" s="14">
        <v>42477.813953488374</v>
      </c>
      <c r="E59" s="14">
        <v>42477.813953488374</v>
      </c>
      <c r="F59" s="14">
        <v>42477.813953488374</v>
      </c>
      <c r="G59" s="14">
        <v>42477.813953488374</v>
      </c>
      <c r="H59" s="14">
        <v>0</v>
      </c>
      <c r="I59" s="16">
        <f t="shared" si="12"/>
        <v>212389.06976744186</v>
      </c>
      <c r="J59" s="16">
        <f t="shared" si="13"/>
        <v>35398.178294573641</v>
      </c>
      <c r="K59" s="13">
        <f>I59/I13</f>
        <v>4.2774937222422767E-2</v>
      </c>
    </row>
    <row r="60" spans="1:11" x14ac:dyDescent="0.15">
      <c r="A60" s="50" t="s">
        <v>118</v>
      </c>
      <c r="B60" s="50"/>
      <c r="C60" s="14">
        <f t="shared" ref="C60:H60" si="18">SUM(C57-(C58+C59))</f>
        <v>746276.9209302325</v>
      </c>
      <c r="D60" s="14">
        <f t="shared" si="18"/>
        <v>-339380.27906976745</v>
      </c>
      <c r="E60" s="14">
        <f t="shared" si="18"/>
        <v>-118281.33621262468</v>
      </c>
      <c r="F60" s="14">
        <f t="shared" si="18"/>
        <v>83518.749501661048</v>
      </c>
      <c r="G60" s="14">
        <f t="shared" si="18"/>
        <v>-222699.10764119605</v>
      </c>
      <c r="H60" s="14">
        <f t="shared" si="18"/>
        <v>338669</v>
      </c>
      <c r="I60" s="16">
        <f t="shared" si="12"/>
        <v>488103.94750830537</v>
      </c>
      <c r="J60" s="16">
        <f t="shared" si="13"/>
        <v>81350.6579180509</v>
      </c>
      <c r="K60" s="13">
        <f>I60/I13</f>
        <v>9.830362614962157E-2</v>
      </c>
    </row>
    <row r="61" spans="1:11" x14ac:dyDescent="0.15">
      <c r="A61" s="11"/>
      <c r="B61" s="36" t="s">
        <v>47</v>
      </c>
      <c r="C61" s="11"/>
      <c r="D61" s="11"/>
      <c r="E61" s="11"/>
      <c r="F61" s="11"/>
      <c r="G61" s="11"/>
      <c r="H61" s="11"/>
    </row>
    <row r="62" spans="1:11" x14ac:dyDescent="0.15">
      <c r="A62" s="12"/>
      <c r="B62" s="37"/>
      <c r="C62" s="11"/>
      <c r="D62" s="11"/>
      <c r="E62" s="11"/>
      <c r="F62" s="11"/>
      <c r="G62" s="11"/>
      <c r="H62" s="11"/>
    </row>
    <row r="63" spans="1:11" x14ac:dyDescent="0.15">
      <c r="A63" s="12"/>
      <c r="B63" s="39" t="s">
        <v>125</v>
      </c>
      <c r="C63" s="11"/>
      <c r="D63" s="11"/>
      <c r="E63" s="11"/>
      <c r="F63" s="11"/>
      <c r="G63" s="11"/>
      <c r="H63" s="11"/>
    </row>
    <row r="64" spans="1:11" x14ac:dyDescent="0.15">
      <c r="A64" s="12"/>
      <c r="B64" s="40" t="s">
        <v>126</v>
      </c>
      <c r="C64" s="11"/>
      <c r="D64" s="11"/>
      <c r="E64" s="11"/>
      <c r="F64" s="11"/>
      <c r="G64" s="11"/>
      <c r="H64" s="11"/>
    </row>
    <row r="65" spans="1:8" x14ac:dyDescent="0.15">
      <c r="A65" s="12"/>
      <c r="B65" s="40" t="s">
        <v>42</v>
      </c>
      <c r="C65" s="11"/>
      <c r="D65" s="11"/>
      <c r="E65" s="11"/>
      <c r="F65" s="11"/>
      <c r="G65" s="11"/>
      <c r="H65" s="11"/>
    </row>
    <row r="66" spans="1:8" x14ac:dyDescent="0.15">
      <c r="A66" s="11"/>
      <c r="B66" s="41" t="s">
        <v>48</v>
      </c>
      <c r="C66" s="11"/>
      <c r="D66" s="11"/>
      <c r="E66" s="11"/>
      <c r="F66" s="11"/>
      <c r="G66" s="11"/>
      <c r="H66" s="11"/>
    </row>
    <row r="67" spans="1:8" x14ac:dyDescent="0.15">
      <c r="A67" s="11"/>
      <c r="B67" s="37"/>
      <c r="C67" s="11"/>
      <c r="D67" s="11"/>
      <c r="E67" s="11"/>
      <c r="F67" s="11"/>
      <c r="G67" s="11"/>
      <c r="H67" s="11"/>
    </row>
    <row r="68" spans="1:8" x14ac:dyDescent="0.15">
      <c r="A68" s="11"/>
      <c r="B68" s="39" t="s">
        <v>125</v>
      </c>
      <c r="C68" s="11"/>
      <c r="D68" s="11"/>
      <c r="E68" s="11"/>
      <c r="F68" s="11"/>
      <c r="G68" s="11"/>
      <c r="H68" s="11"/>
    </row>
    <row r="69" spans="1:8" x14ac:dyDescent="0.15">
      <c r="A69" s="11"/>
      <c r="B69" s="40" t="s">
        <v>126</v>
      </c>
      <c r="C69" s="11"/>
      <c r="D69" s="11"/>
      <c r="E69" s="11"/>
      <c r="F69" s="11"/>
      <c r="G69" s="11"/>
      <c r="H69" s="11"/>
    </row>
    <row r="70" spans="1:8" x14ac:dyDescent="0.15">
      <c r="A70" s="11"/>
      <c r="B70" s="40" t="s">
        <v>42</v>
      </c>
      <c r="C70" s="11"/>
      <c r="D70" s="11"/>
      <c r="E70" s="11"/>
      <c r="F70" s="11"/>
      <c r="G70" s="11"/>
      <c r="H70" s="11"/>
    </row>
    <row r="71" spans="1:8" x14ac:dyDescent="0.15">
      <c r="A71" s="11"/>
      <c r="B71" s="11" t="s">
        <v>130</v>
      </c>
      <c r="C71" s="11"/>
      <c r="D71" s="11"/>
      <c r="E71" s="11"/>
      <c r="F71" s="11"/>
      <c r="G71" s="11"/>
      <c r="H71" s="11"/>
    </row>
    <row r="72" spans="1:8" x14ac:dyDescent="0.15">
      <c r="A72" s="11"/>
      <c r="B72" s="37"/>
      <c r="C72" s="11"/>
      <c r="D72" s="11"/>
      <c r="E72" s="11"/>
      <c r="F72" s="11"/>
      <c r="G72" s="11"/>
      <c r="H72" s="11"/>
    </row>
    <row r="73" spans="1:8" x14ac:dyDescent="0.15">
      <c r="A73" s="11"/>
      <c r="B73" s="39" t="s">
        <v>125</v>
      </c>
      <c r="C73" s="11"/>
      <c r="D73" s="11"/>
      <c r="E73" s="11"/>
      <c r="F73" s="11"/>
      <c r="G73" s="11"/>
      <c r="H73" s="11"/>
    </row>
    <row r="74" spans="1:8" x14ac:dyDescent="0.15">
      <c r="A74" s="11"/>
      <c r="B74" s="40" t="s">
        <v>126</v>
      </c>
      <c r="C74" s="11"/>
      <c r="D74" s="11"/>
      <c r="E74" s="11"/>
      <c r="F74" s="11"/>
      <c r="G74" s="11"/>
      <c r="H74" s="11"/>
    </row>
    <row r="75" spans="1:8" x14ac:dyDescent="0.15">
      <c r="A75" s="11"/>
      <c r="B75" s="40" t="s">
        <v>42</v>
      </c>
      <c r="C75" s="11"/>
      <c r="D75" s="11"/>
      <c r="E75" s="11"/>
      <c r="F75" s="11"/>
      <c r="G75" s="11"/>
      <c r="H75" s="11"/>
    </row>
    <row r="76" spans="1:8" x14ac:dyDescent="0.15">
      <c r="A76" s="11"/>
      <c r="B76" s="11" t="s">
        <v>134</v>
      </c>
      <c r="C76" s="11"/>
      <c r="D76" s="11"/>
      <c r="E76" s="11"/>
      <c r="F76" s="11"/>
      <c r="G76" s="11"/>
      <c r="H76" s="11"/>
    </row>
    <row r="77" spans="1:8" x14ac:dyDescent="0.15">
      <c r="A77" s="11"/>
      <c r="B77" s="37"/>
      <c r="C77" s="11"/>
      <c r="D77" s="11"/>
      <c r="E77" s="11"/>
      <c r="F77" s="11"/>
      <c r="G77" s="11"/>
      <c r="H77" s="11"/>
    </row>
    <row r="78" spans="1:8" x14ac:dyDescent="0.15">
      <c r="A78" s="11"/>
      <c r="B78" s="39" t="s">
        <v>125</v>
      </c>
      <c r="C78" s="11"/>
      <c r="D78" s="11"/>
      <c r="E78" s="11"/>
      <c r="F78" s="11"/>
      <c r="G78" s="11"/>
      <c r="H78" s="11"/>
    </row>
    <row r="79" spans="1:8" x14ac:dyDescent="0.15">
      <c r="A79" s="11"/>
      <c r="B79" s="40" t="s">
        <v>126</v>
      </c>
      <c r="C79" s="11"/>
      <c r="D79" s="11"/>
      <c r="E79" s="11"/>
      <c r="F79" s="11"/>
      <c r="G79" s="11"/>
      <c r="H79" s="11"/>
    </row>
    <row r="80" spans="1:8" x14ac:dyDescent="0.15">
      <c r="A80" s="11"/>
      <c r="B80" s="40" t="s">
        <v>42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138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7"/>
      <c r="C82" s="11"/>
      <c r="D82" s="11"/>
      <c r="E82" s="11"/>
      <c r="F82" s="11"/>
      <c r="G82" s="11"/>
      <c r="H82" s="11"/>
    </row>
    <row r="83" spans="1:8" x14ac:dyDescent="0.15">
      <c r="A83" s="11"/>
      <c r="B83" s="39" t="s">
        <v>125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40" t="s">
        <v>126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40" t="s">
        <v>42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/>
      <c r="C86" s="11"/>
      <c r="D86" s="11"/>
      <c r="E86" s="11"/>
      <c r="F86" s="11"/>
      <c r="G86" s="11"/>
      <c r="H86" s="11"/>
    </row>
    <row r="87" spans="1:8" x14ac:dyDescent="0.15">
      <c r="A87" s="11"/>
      <c r="B87" s="37"/>
      <c r="C87" s="11"/>
      <c r="D87" s="11"/>
      <c r="E87" s="11"/>
      <c r="F87" s="11"/>
      <c r="G87" s="11"/>
      <c r="H87" s="11"/>
    </row>
    <row r="88" spans="1:8" x14ac:dyDescent="0.15">
      <c r="A88" s="11"/>
      <c r="B88" s="39" t="s">
        <v>125</v>
      </c>
      <c r="C88" s="11"/>
      <c r="D88" s="11"/>
      <c r="E88" s="11"/>
      <c r="F88" s="11"/>
      <c r="G88" s="11"/>
      <c r="H88" s="11"/>
    </row>
    <row r="89" spans="1:8" x14ac:dyDescent="0.15">
      <c r="B89" s="40" t="s">
        <v>126</v>
      </c>
    </row>
    <row r="90" spans="1:8" x14ac:dyDescent="0.15">
      <c r="B90" s="40" t="s">
        <v>42</v>
      </c>
    </row>
    <row r="92" spans="1:8" x14ac:dyDescent="0.15">
      <c r="B92" s="37"/>
    </row>
    <row r="93" spans="1:8" x14ac:dyDescent="0.15">
      <c r="B93" s="39" t="s">
        <v>125</v>
      </c>
    </row>
    <row r="94" spans="1:8" x14ac:dyDescent="0.15">
      <c r="B94" s="40" t="s">
        <v>126</v>
      </c>
    </row>
    <row r="95" spans="1:8" x14ac:dyDescent="0.15">
      <c r="B95" s="40" t="s">
        <v>42</v>
      </c>
    </row>
    <row r="97" spans="2:2" x14ac:dyDescent="0.15">
      <c r="B97" s="37"/>
    </row>
    <row r="98" spans="2:2" x14ac:dyDescent="0.15">
      <c r="B98" s="39" t="s">
        <v>125</v>
      </c>
    </row>
    <row r="99" spans="2:2" x14ac:dyDescent="0.15">
      <c r="B99" s="40" t="s">
        <v>126</v>
      </c>
    </row>
    <row r="100" spans="2:2" x14ac:dyDescent="0.15">
      <c r="B100" s="40" t="s">
        <v>42</v>
      </c>
    </row>
    <row r="102" spans="2:2" x14ac:dyDescent="0.15">
      <c r="B102" s="11" t="s">
        <v>151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7BCA4-CD4D-4DAB-B3A6-49D6FDE075A0}">
  <sheetPr codeName="Sheet7"/>
  <dimension ref="A2:K102"/>
  <sheetViews>
    <sheetView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5" width="9" style="1"/>
    <col min="216" max="216" width="2.875" style="1" bestFit="1" customWidth="1"/>
    <col min="217" max="217" width="16.625" style="1" bestFit="1" customWidth="1"/>
    <col min="218" max="218" width="11.375" style="1" bestFit="1" customWidth="1"/>
    <col min="219" max="220" width="14.125" style="1" bestFit="1" customWidth="1"/>
    <col min="221" max="221" width="11.375" style="1" bestFit="1" customWidth="1"/>
    <col min="222" max="224" width="12.5" style="1" bestFit="1" customWidth="1"/>
    <col min="225" max="225" width="11" style="1" bestFit="1" customWidth="1"/>
    <col min="226" max="245" width="13" style="1" bestFit="1" customWidth="1"/>
    <col min="246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1" width="9" style="1"/>
    <col min="472" max="472" width="2.875" style="1" bestFit="1" customWidth="1"/>
    <col min="473" max="473" width="16.625" style="1" bestFit="1" customWidth="1"/>
    <col min="474" max="474" width="11.375" style="1" bestFit="1" customWidth="1"/>
    <col min="475" max="476" width="14.125" style="1" bestFit="1" customWidth="1"/>
    <col min="477" max="477" width="11.375" style="1" bestFit="1" customWidth="1"/>
    <col min="478" max="480" width="12.5" style="1" bestFit="1" customWidth="1"/>
    <col min="481" max="481" width="11" style="1" bestFit="1" customWidth="1"/>
    <col min="482" max="501" width="13" style="1" bestFit="1" customWidth="1"/>
    <col min="502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7" width="9" style="1"/>
    <col min="728" max="728" width="2.875" style="1" bestFit="1" customWidth="1"/>
    <col min="729" max="729" width="16.625" style="1" bestFit="1" customWidth="1"/>
    <col min="730" max="730" width="11.375" style="1" bestFit="1" customWidth="1"/>
    <col min="731" max="732" width="14.125" style="1" bestFit="1" customWidth="1"/>
    <col min="733" max="733" width="11.375" style="1" bestFit="1" customWidth="1"/>
    <col min="734" max="736" width="12.5" style="1" bestFit="1" customWidth="1"/>
    <col min="737" max="737" width="11" style="1" bestFit="1" customWidth="1"/>
    <col min="738" max="757" width="13" style="1" bestFit="1" customWidth="1"/>
    <col min="758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3" width="9" style="1"/>
    <col min="984" max="984" width="2.875" style="1" bestFit="1" customWidth="1"/>
    <col min="985" max="985" width="16.625" style="1" bestFit="1" customWidth="1"/>
    <col min="986" max="986" width="11.375" style="1" bestFit="1" customWidth="1"/>
    <col min="987" max="988" width="14.125" style="1" bestFit="1" customWidth="1"/>
    <col min="989" max="989" width="11.375" style="1" bestFit="1" customWidth="1"/>
    <col min="990" max="992" width="12.5" style="1" bestFit="1" customWidth="1"/>
    <col min="993" max="993" width="11" style="1" bestFit="1" customWidth="1"/>
    <col min="994" max="1013" width="13" style="1" bestFit="1" customWidth="1"/>
    <col min="1014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39" width="9" style="1"/>
    <col min="1240" max="1240" width="2.875" style="1" bestFit="1" customWidth="1"/>
    <col min="1241" max="1241" width="16.625" style="1" bestFit="1" customWidth="1"/>
    <col min="1242" max="1242" width="11.375" style="1" bestFit="1" customWidth="1"/>
    <col min="1243" max="1244" width="14.125" style="1" bestFit="1" customWidth="1"/>
    <col min="1245" max="1245" width="11.375" style="1" bestFit="1" customWidth="1"/>
    <col min="1246" max="1248" width="12.5" style="1" bestFit="1" customWidth="1"/>
    <col min="1249" max="1249" width="11" style="1" bestFit="1" customWidth="1"/>
    <col min="1250" max="1269" width="13" style="1" bestFit="1" customWidth="1"/>
    <col min="1270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5" width="9" style="1"/>
    <col min="1496" max="1496" width="2.875" style="1" bestFit="1" customWidth="1"/>
    <col min="1497" max="1497" width="16.625" style="1" bestFit="1" customWidth="1"/>
    <col min="1498" max="1498" width="11.375" style="1" bestFit="1" customWidth="1"/>
    <col min="1499" max="1500" width="14.125" style="1" bestFit="1" customWidth="1"/>
    <col min="1501" max="1501" width="11.375" style="1" bestFit="1" customWidth="1"/>
    <col min="1502" max="1504" width="12.5" style="1" bestFit="1" customWidth="1"/>
    <col min="1505" max="1505" width="11" style="1" bestFit="1" customWidth="1"/>
    <col min="1506" max="1525" width="13" style="1" bestFit="1" customWidth="1"/>
    <col min="1526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1" width="9" style="1"/>
    <col min="1752" max="1752" width="2.875" style="1" bestFit="1" customWidth="1"/>
    <col min="1753" max="1753" width="16.625" style="1" bestFit="1" customWidth="1"/>
    <col min="1754" max="1754" width="11.375" style="1" bestFit="1" customWidth="1"/>
    <col min="1755" max="1756" width="14.125" style="1" bestFit="1" customWidth="1"/>
    <col min="1757" max="1757" width="11.375" style="1" bestFit="1" customWidth="1"/>
    <col min="1758" max="1760" width="12.5" style="1" bestFit="1" customWidth="1"/>
    <col min="1761" max="1761" width="11" style="1" bestFit="1" customWidth="1"/>
    <col min="1762" max="1781" width="13" style="1" bestFit="1" customWidth="1"/>
    <col min="1782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7" width="9" style="1"/>
    <col min="2008" max="2008" width="2.875" style="1" bestFit="1" customWidth="1"/>
    <col min="2009" max="2009" width="16.625" style="1" bestFit="1" customWidth="1"/>
    <col min="2010" max="2010" width="11.375" style="1" bestFit="1" customWidth="1"/>
    <col min="2011" max="2012" width="14.125" style="1" bestFit="1" customWidth="1"/>
    <col min="2013" max="2013" width="11.375" style="1" bestFit="1" customWidth="1"/>
    <col min="2014" max="2016" width="12.5" style="1" bestFit="1" customWidth="1"/>
    <col min="2017" max="2017" width="11" style="1" bestFit="1" customWidth="1"/>
    <col min="2018" max="2037" width="13" style="1" bestFit="1" customWidth="1"/>
    <col min="2038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3" width="9" style="1"/>
    <col min="2264" max="2264" width="2.875" style="1" bestFit="1" customWidth="1"/>
    <col min="2265" max="2265" width="16.625" style="1" bestFit="1" customWidth="1"/>
    <col min="2266" max="2266" width="11.375" style="1" bestFit="1" customWidth="1"/>
    <col min="2267" max="2268" width="14.125" style="1" bestFit="1" customWidth="1"/>
    <col min="2269" max="2269" width="11.375" style="1" bestFit="1" customWidth="1"/>
    <col min="2270" max="2272" width="12.5" style="1" bestFit="1" customWidth="1"/>
    <col min="2273" max="2273" width="11" style="1" bestFit="1" customWidth="1"/>
    <col min="2274" max="2293" width="13" style="1" bestFit="1" customWidth="1"/>
    <col min="2294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19" width="9" style="1"/>
    <col min="2520" max="2520" width="2.875" style="1" bestFit="1" customWidth="1"/>
    <col min="2521" max="2521" width="16.625" style="1" bestFit="1" customWidth="1"/>
    <col min="2522" max="2522" width="11.375" style="1" bestFit="1" customWidth="1"/>
    <col min="2523" max="2524" width="14.125" style="1" bestFit="1" customWidth="1"/>
    <col min="2525" max="2525" width="11.375" style="1" bestFit="1" customWidth="1"/>
    <col min="2526" max="2528" width="12.5" style="1" bestFit="1" customWidth="1"/>
    <col min="2529" max="2529" width="11" style="1" bestFit="1" customWidth="1"/>
    <col min="2530" max="2549" width="13" style="1" bestFit="1" customWidth="1"/>
    <col min="2550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5" width="9" style="1"/>
    <col min="2776" max="2776" width="2.875" style="1" bestFit="1" customWidth="1"/>
    <col min="2777" max="2777" width="16.625" style="1" bestFit="1" customWidth="1"/>
    <col min="2778" max="2778" width="11.375" style="1" bestFit="1" customWidth="1"/>
    <col min="2779" max="2780" width="14.125" style="1" bestFit="1" customWidth="1"/>
    <col min="2781" max="2781" width="11.375" style="1" bestFit="1" customWidth="1"/>
    <col min="2782" max="2784" width="12.5" style="1" bestFit="1" customWidth="1"/>
    <col min="2785" max="2785" width="11" style="1" bestFit="1" customWidth="1"/>
    <col min="2786" max="2805" width="13" style="1" bestFit="1" customWidth="1"/>
    <col min="2806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1" width="9" style="1"/>
    <col min="3032" max="3032" width="2.875" style="1" bestFit="1" customWidth="1"/>
    <col min="3033" max="3033" width="16.625" style="1" bestFit="1" customWidth="1"/>
    <col min="3034" max="3034" width="11.375" style="1" bestFit="1" customWidth="1"/>
    <col min="3035" max="3036" width="14.125" style="1" bestFit="1" customWidth="1"/>
    <col min="3037" max="3037" width="11.375" style="1" bestFit="1" customWidth="1"/>
    <col min="3038" max="3040" width="12.5" style="1" bestFit="1" customWidth="1"/>
    <col min="3041" max="3041" width="11" style="1" bestFit="1" customWidth="1"/>
    <col min="3042" max="3061" width="13" style="1" bestFit="1" customWidth="1"/>
    <col min="3062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7" width="9" style="1"/>
    <col min="3288" max="3288" width="2.875" style="1" bestFit="1" customWidth="1"/>
    <col min="3289" max="3289" width="16.625" style="1" bestFit="1" customWidth="1"/>
    <col min="3290" max="3290" width="11.375" style="1" bestFit="1" customWidth="1"/>
    <col min="3291" max="3292" width="14.125" style="1" bestFit="1" customWidth="1"/>
    <col min="3293" max="3293" width="11.375" style="1" bestFit="1" customWidth="1"/>
    <col min="3294" max="3296" width="12.5" style="1" bestFit="1" customWidth="1"/>
    <col min="3297" max="3297" width="11" style="1" bestFit="1" customWidth="1"/>
    <col min="3298" max="3317" width="13" style="1" bestFit="1" customWidth="1"/>
    <col min="3318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3" width="9" style="1"/>
    <col min="3544" max="3544" width="2.875" style="1" bestFit="1" customWidth="1"/>
    <col min="3545" max="3545" width="16.625" style="1" bestFit="1" customWidth="1"/>
    <col min="3546" max="3546" width="11.375" style="1" bestFit="1" customWidth="1"/>
    <col min="3547" max="3548" width="14.125" style="1" bestFit="1" customWidth="1"/>
    <col min="3549" max="3549" width="11.375" style="1" bestFit="1" customWidth="1"/>
    <col min="3550" max="3552" width="12.5" style="1" bestFit="1" customWidth="1"/>
    <col min="3553" max="3553" width="11" style="1" bestFit="1" customWidth="1"/>
    <col min="3554" max="3573" width="13" style="1" bestFit="1" customWidth="1"/>
    <col min="3574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799" width="9" style="1"/>
    <col min="3800" max="3800" width="2.875" style="1" bestFit="1" customWidth="1"/>
    <col min="3801" max="3801" width="16.625" style="1" bestFit="1" customWidth="1"/>
    <col min="3802" max="3802" width="11.375" style="1" bestFit="1" customWidth="1"/>
    <col min="3803" max="3804" width="14.125" style="1" bestFit="1" customWidth="1"/>
    <col min="3805" max="3805" width="11.375" style="1" bestFit="1" customWidth="1"/>
    <col min="3806" max="3808" width="12.5" style="1" bestFit="1" customWidth="1"/>
    <col min="3809" max="3809" width="11" style="1" bestFit="1" customWidth="1"/>
    <col min="3810" max="3829" width="13" style="1" bestFit="1" customWidth="1"/>
    <col min="3830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5" width="9" style="1"/>
    <col min="4056" max="4056" width="2.875" style="1" bestFit="1" customWidth="1"/>
    <col min="4057" max="4057" width="16.625" style="1" bestFit="1" customWidth="1"/>
    <col min="4058" max="4058" width="11.375" style="1" bestFit="1" customWidth="1"/>
    <col min="4059" max="4060" width="14.125" style="1" bestFit="1" customWidth="1"/>
    <col min="4061" max="4061" width="11.375" style="1" bestFit="1" customWidth="1"/>
    <col min="4062" max="4064" width="12.5" style="1" bestFit="1" customWidth="1"/>
    <col min="4065" max="4065" width="11" style="1" bestFit="1" customWidth="1"/>
    <col min="4066" max="4085" width="13" style="1" bestFit="1" customWidth="1"/>
    <col min="4086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1" width="9" style="1"/>
    <col min="4312" max="4312" width="2.875" style="1" bestFit="1" customWidth="1"/>
    <col min="4313" max="4313" width="16.625" style="1" bestFit="1" customWidth="1"/>
    <col min="4314" max="4314" width="11.375" style="1" bestFit="1" customWidth="1"/>
    <col min="4315" max="4316" width="14.125" style="1" bestFit="1" customWidth="1"/>
    <col min="4317" max="4317" width="11.375" style="1" bestFit="1" customWidth="1"/>
    <col min="4318" max="4320" width="12.5" style="1" bestFit="1" customWidth="1"/>
    <col min="4321" max="4321" width="11" style="1" bestFit="1" customWidth="1"/>
    <col min="4322" max="4341" width="13" style="1" bestFit="1" customWidth="1"/>
    <col min="4342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7" width="9" style="1"/>
    <col min="4568" max="4568" width="2.875" style="1" bestFit="1" customWidth="1"/>
    <col min="4569" max="4569" width="16.625" style="1" bestFit="1" customWidth="1"/>
    <col min="4570" max="4570" width="11.375" style="1" bestFit="1" customWidth="1"/>
    <col min="4571" max="4572" width="14.125" style="1" bestFit="1" customWidth="1"/>
    <col min="4573" max="4573" width="11.375" style="1" bestFit="1" customWidth="1"/>
    <col min="4574" max="4576" width="12.5" style="1" bestFit="1" customWidth="1"/>
    <col min="4577" max="4577" width="11" style="1" bestFit="1" customWidth="1"/>
    <col min="4578" max="4597" width="13" style="1" bestFit="1" customWidth="1"/>
    <col min="4598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3" width="9" style="1"/>
    <col min="4824" max="4824" width="2.875" style="1" bestFit="1" customWidth="1"/>
    <col min="4825" max="4825" width="16.625" style="1" bestFit="1" customWidth="1"/>
    <col min="4826" max="4826" width="11.375" style="1" bestFit="1" customWidth="1"/>
    <col min="4827" max="4828" width="14.125" style="1" bestFit="1" customWidth="1"/>
    <col min="4829" max="4829" width="11.375" style="1" bestFit="1" customWidth="1"/>
    <col min="4830" max="4832" width="12.5" style="1" bestFit="1" customWidth="1"/>
    <col min="4833" max="4833" width="11" style="1" bestFit="1" customWidth="1"/>
    <col min="4834" max="4853" width="13" style="1" bestFit="1" customWidth="1"/>
    <col min="4854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79" width="9" style="1"/>
    <col min="5080" max="5080" width="2.875" style="1" bestFit="1" customWidth="1"/>
    <col min="5081" max="5081" width="16.625" style="1" bestFit="1" customWidth="1"/>
    <col min="5082" max="5082" width="11.375" style="1" bestFit="1" customWidth="1"/>
    <col min="5083" max="5084" width="14.125" style="1" bestFit="1" customWidth="1"/>
    <col min="5085" max="5085" width="11.375" style="1" bestFit="1" customWidth="1"/>
    <col min="5086" max="5088" width="12.5" style="1" bestFit="1" customWidth="1"/>
    <col min="5089" max="5089" width="11" style="1" bestFit="1" customWidth="1"/>
    <col min="5090" max="5109" width="13" style="1" bestFit="1" customWidth="1"/>
    <col min="5110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5" width="9" style="1"/>
    <col min="5336" max="5336" width="2.875" style="1" bestFit="1" customWidth="1"/>
    <col min="5337" max="5337" width="16.625" style="1" bestFit="1" customWidth="1"/>
    <col min="5338" max="5338" width="11.375" style="1" bestFit="1" customWidth="1"/>
    <col min="5339" max="5340" width="14.125" style="1" bestFit="1" customWidth="1"/>
    <col min="5341" max="5341" width="11.375" style="1" bestFit="1" customWidth="1"/>
    <col min="5342" max="5344" width="12.5" style="1" bestFit="1" customWidth="1"/>
    <col min="5345" max="5345" width="11" style="1" bestFit="1" customWidth="1"/>
    <col min="5346" max="5365" width="13" style="1" bestFit="1" customWidth="1"/>
    <col min="5366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1" width="9" style="1"/>
    <col min="5592" max="5592" width="2.875" style="1" bestFit="1" customWidth="1"/>
    <col min="5593" max="5593" width="16.625" style="1" bestFit="1" customWidth="1"/>
    <col min="5594" max="5594" width="11.375" style="1" bestFit="1" customWidth="1"/>
    <col min="5595" max="5596" width="14.125" style="1" bestFit="1" customWidth="1"/>
    <col min="5597" max="5597" width="11.375" style="1" bestFit="1" customWidth="1"/>
    <col min="5598" max="5600" width="12.5" style="1" bestFit="1" customWidth="1"/>
    <col min="5601" max="5601" width="11" style="1" bestFit="1" customWidth="1"/>
    <col min="5602" max="5621" width="13" style="1" bestFit="1" customWidth="1"/>
    <col min="5622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7" width="9" style="1"/>
    <col min="5848" max="5848" width="2.875" style="1" bestFit="1" customWidth="1"/>
    <col min="5849" max="5849" width="16.625" style="1" bestFit="1" customWidth="1"/>
    <col min="5850" max="5850" width="11.375" style="1" bestFit="1" customWidth="1"/>
    <col min="5851" max="5852" width="14.125" style="1" bestFit="1" customWidth="1"/>
    <col min="5853" max="5853" width="11.375" style="1" bestFit="1" customWidth="1"/>
    <col min="5854" max="5856" width="12.5" style="1" bestFit="1" customWidth="1"/>
    <col min="5857" max="5857" width="11" style="1" bestFit="1" customWidth="1"/>
    <col min="5858" max="5877" width="13" style="1" bestFit="1" customWidth="1"/>
    <col min="5878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3" width="9" style="1"/>
    <col min="6104" max="6104" width="2.875" style="1" bestFit="1" customWidth="1"/>
    <col min="6105" max="6105" width="16.625" style="1" bestFit="1" customWidth="1"/>
    <col min="6106" max="6106" width="11.375" style="1" bestFit="1" customWidth="1"/>
    <col min="6107" max="6108" width="14.125" style="1" bestFit="1" customWidth="1"/>
    <col min="6109" max="6109" width="11.375" style="1" bestFit="1" customWidth="1"/>
    <col min="6110" max="6112" width="12.5" style="1" bestFit="1" customWidth="1"/>
    <col min="6113" max="6113" width="11" style="1" bestFit="1" customWidth="1"/>
    <col min="6114" max="6133" width="13" style="1" bestFit="1" customWidth="1"/>
    <col min="6134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59" width="9" style="1"/>
    <col min="6360" max="6360" width="2.875" style="1" bestFit="1" customWidth="1"/>
    <col min="6361" max="6361" width="16.625" style="1" bestFit="1" customWidth="1"/>
    <col min="6362" max="6362" width="11.375" style="1" bestFit="1" customWidth="1"/>
    <col min="6363" max="6364" width="14.125" style="1" bestFit="1" customWidth="1"/>
    <col min="6365" max="6365" width="11.375" style="1" bestFit="1" customWidth="1"/>
    <col min="6366" max="6368" width="12.5" style="1" bestFit="1" customWidth="1"/>
    <col min="6369" max="6369" width="11" style="1" bestFit="1" customWidth="1"/>
    <col min="6370" max="6389" width="13" style="1" bestFit="1" customWidth="1"/>
    <col min="6390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5" width="9" style="1"/>
    <col min="6616" max="6616" width="2.875" style="1" bestFit="1" customWidth="1"/>
    <col min="6617" max="6617" width="16.625" style="1" bestFit="1" customWidth="1"/>
    <col min="6618" max="6618" width="11.375" style="1" bestFit="1" customWidth="1"/>
    <col min="6619" max="6620" width="14.125" style="1" bestFit="1" customWidth="1"/>
    <col min="6621" max="6621" width="11.375" style="1" bestFit="1" customWidth="1"/>
    <col min="6622" max="6624" width="12.5" style="1" bestFit="1" customWidth="1"/>
    <col min="6625" max="6625" width="11" style="1" bestFit="1" customWidth="1"/>
    <col min="6626" max="6645" width="13" style="1" bestFit="1" customWidth="1"/>
    <col min="6646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1" width="9" style="1"/>
    <col min="6872" max="6872" width="2.875" style="1" bestFit="1" customWidth="1"/>
    <col min="6873" max="6873" width="16.625" style="1" bestFit="1" customWidth="1"/>
    <col min="6874" max="6874" width="11.375" style="1" bestFit="1" customWidth="1"/>
    <col min="6875" max="6876" width="14.125" style="1" bestFit="1" customWidth="1"/>
    <col min="6877" max="6877" width="11.375" style="1" bestFit="1" customWidth="1"/>
    <col min="6878" max="6880" width="12.5" style="1" bestFit="1" customWidth="1"/>
    <col min="6881" max="6881" width="11" style="1" bestFit="1" customWidth="1"/>
    <col min="6882" max="6901" width="13" style="1" bestFit="1" customWidth="1"/>
    <col min="6902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7" width="9" style="1"/>
    <col min="7128" max="7128" width="2.875" style="1" bestFit="1" customWidth="1"/>
    <col min="7129" max="7129" width="16.625" style="1" bestFit="1" customWidth="1"/>
    <col min="7130" max="7130" width="11.375" style="1" bestFit="1" customWidth="1"/>
    <col min="7131" max="7132" width="14.125" style="1" bestFit="1" customWidth="1"/>
    <col min="7133" max="7133" width="11.375" style="1" bestFit="1" customWidth="1"/>
    <col min="7134" max="7136" width="12.5" style="1" bestFit="1" customWidth="1"/>
    <col min="7137" max="7137" width="11" style="1" bestFit="1" customWidth="1"/>
    <col min="7138" max="7157" width="13" style="1" bestFit="1" customWidth="1"/>
    <col min="7158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3" width="9" style="1"/>
    <col min="7384" max="7384" width="2.875" style="1" bestFit="1" customWidth="1"/>
    <col min="7385" max="7385" width="16.625" style="1" bestFit="1" customWidth="1"/>
    <col min="7386" max="7386" width="11.375" style="1" bestFit="1" customWidth="1"/>
    <col min="7387" max="7388" width="14.125" style="1" bestFit="1" customWidth="1"/>
    <col min="7389" max="7389" width="11.375" style="1" bestFit="1" customWidth="1"/>
    <col min="7390" max="7392" width="12.5" style="1" bestFit="1" customWidth="1"/>
    <col min="7393" max="7393" width="11" style="1" bestFit="1" customWidth="1"/>
    <col min="7394" max="7413" width="13" style="1" bestFit="1" customWidth="1"/>
    <col min="7414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39" width="9" style="1"/>
    <col min="7640" max="7640" width="2.875" style="1" bestFit="1" customWidth="1"/>
    <col min="7641" max="7641" width="16.625" style="1" bestFit="1" customWidth="1"/>
    <col min="7642" max="7642" width="11.375" style="1" bestFit="1" customWidth="1"/>
    <col min="7643" max="7644" width="14.125" style="1" bestFit="1" customWidth="1"/>
    <col min="7645" max="7645" width="11.375" style="1" bestFit="1" customWidth="1"/>
    <col min="7646" max="7648" width="12.5" style="1" bestFit="1" customWidth="1"/>
    <col min="7649" max="7649" width="11" style="1" bestFit="1" customWidth="1"/>
    <col min="7650" max="7669" width="13" style="1" bestFit="1" customWidth="1"/>
    <col min="7670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5" width="9" style="1"/>
    <col min="7896" max="7896" width="2.875" style="1" bestFit="1" customWidth="1"/>
    <col min="7897" max="7897" width="16.625" style="1" bestFit="1" customWidth="1"/>
    <col min="7898" max="7898" width="11.375" style="1" bestFit="1" customWidth="1"/>
    <col min="7899" max="7900" width="14.125" style="1" bestFit="1" customWidth="1"/>
    <col min="7901" max="7901" width="11.375" style="1" bestFit="1" customWidth="1"/>
    <col min="7902" max="7904" width="12.5" style="1" bestFit="1" customWidth="1"/>
    <col min="7905" max="7905" width="11" style="1" bestFit="1" customWidth="1"/>
    <col min="7906" max="7925" width="13" style="1" bestFit="1" customWidth="1"/>
    <col min="7926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1" width="9" style="1"/>
    <col min="8152" max="8152" width="2.875" style="1" bestFit="1" customWidth="1"/>
    <col min="8153" max="8153" width="16.625" style="1" bestFit="1" customWidth="1"/>
    <col min="8154" max="8154" width="11.375" style="1" bestFit="1" customWidth="1"/>
    <col min="8155" max="8156" width="14.125" style="1" bestFit="1" customWidth="1"/>
    <col min="8157" max="8157" width="11.375" style="1" bestFit="1" customWidth="1"/>
    <col min="8158" max="8160" width="12.5" style="1" bestFit="1" customWidth="1"/>
    <col min="8161" max="8161" width="11" style="1" bestFit="1" customWidth="1"/>
    <col min="8162" max="8181" width="13" style="1" bestFit="1" customWidth="1"/>
    <col min="8182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7" width="9" style="1"/>
    <col min="8408" max="8408" width="2.875" style="1" bestFit="1" customWidth="1"/>
    <col min="8409" max="8409" width="16.625" style="1" bestFit="1" customWidth="1"/>
    <col min="8410" max="8410" width="11.375" style="1" bestFit="1" customWidth="1"/>
    <col min="8411" max="8412" width="14.125" style="1" bestFit="1" customWidth="1"/>
    <col min="8413" max="8413" width="11.375" style="1" bestFit="1" customWidth="1"/>
    <col min="8414" max="8416" width="12.5" style="1" bestFit="1" customWidth="1"/>
    <col min="8417" max="8417" width="11" style="1" bestFit="1" customWidth="1"/>
    <col min="8418" max="8437" width="13" style="1" bestFit="1" customWidth="1"/>
    <col min="8438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3" width="9" style="1"/>
    <col min="8664" max="8664" width="2.875" style="1" bestFit="1" customWidth="1"/>
    <col min="8665" max="8665" width="16.625" style="1" bestFit="1" customWidth="1"/>
    <col min="8666" max="8666" width="11.375" style="1" bestFit="1" customWidth="1"/>
    <col min="8667" max="8668" width="14.125" style="1" bestFit="1" customWidth="1"/>
    <col min="8669" max="8669" width="11.375" style="1" bestFit="1" customWidth="1"/>
    <col min="8670" max="8672" width="12.5" style="1" bestFit="1" customWidth="1"/>
    <col min="8673" max="8673" width="11" style="1" bestFit="1" customWidth="1"/>
    <col min="8674" max="8693" width="13" style="1" bestFit="1" customWidth="1"/>
    <col min="8694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19" width="9" style="1"/>
    <col min="8920" max="8920" width="2.875" style="1" bestFit="1" customWidth="1"/>
    <col min="8921" max="8921" width="16.625" style="1" bestFit="1" customWidth="1"/>
    <col min="8922" max="8922" width="11.375" style="1" bestFit="1" customWidth="1"/>
    <col min="8923" max="8924" width="14.125" style="1" bestFit="1" customWidth="1"/>
    <col min="8925" max="8925" width="11.375" style="1" bestFit="1" customWidth="1"/>
    <col min="8926" max="8928" width="12.5" style="1" bestFit="1" customWidth="1"/>
    <col min="8929" max="8929" width="11" style="1" bestFit="1" customWidth="1"/>
    <col min="8930" max="8949" width="13" style="1" bestFit="1" customWidth="1"/>
    <col min="8950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5" width="9" style="1"/>
    <col min="9176" max="9176" width="2.875" style="1" bestFit="1" customWidth="1"/>
    <col min="9177" max="9177" width="16.625" style="1" bestFit="1" customWidth="1"/>
    <col min="9178" max="9178" width="11.375" style="1" bestFit="1" customWidth="1"/>
    <col min="9179" max="9180" width="14.125" style="1" bestFit="1" customWidth="1"/>
    <col min="9181" max="9181" width="11.375" style="1" bestFit="1" customWidth="1"/>
    <col min="9182" max="9184" width="12.5" style="1" bestFit="1" customWidth="1"/>
    <col min="9185" max="9185" width="11" style="1" bestFit="1" customWidth="1"/>
    <col min="9186" max="9205" width="13" style="1" bestFit="1" customWidth="1"/>
    <col min="9206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1" width="9" style="1"/>
    <col min="9432" max="9432" width="2.875" style="1" bestFit="1" customWidth="1"/>
    <col min="9433" max="9433" width="16.625" style="1" bestFit="1" customWidth="1"/>
    <col min="9434" max="9434" width="11.375" style="1" bestFit="1" customWidth="1"/>
    <col min="9435" max="9436" width="14.125" style="1" bestFit="1" customWidth="1"/>
    <col min="9437" max="9437" width="11.375" style="1" bestFit="1" customWidth="1"/>
    <col min="9438" max="9440" width="12.5" style="1" bestFit="1" customWidth="1"/>
    <col min="9441" max="9441" width="11" style="1" bestFit="1" customWidth="1"/>
    <col min="9442" max="9461" width="13" style="1" bestFit="1" customWidth="1"/>
    <col min="9462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7" width="9" style="1"/>
    <col min="9688" max="9688" width="2.875" style="1" bestFit="1" customWidth="1"/>
    <col min="9689" max="9689" width="16.625" style="1" bestFit="1" customWidth="1"/>
    <col min="9690" max="9690" width="11.375" style="1" bestFit="1" customWidth="1"/>
    <col min="9691" max="9692" width="14.125" style="1" bestFit="1" customWidth="1"/>
    <col min="9693" max="9693" width="11.375" style="1" bestFit="1" customWidth="1"/>
    <col min="9694" max="9696" width="12.5" style="1" bestFit="1" customWidth="1"/>
    <col min="9697" max="9697" width="11" style="1" bestFit="1" customWidth="1"/>
    <col min="9698" max="9717" width="13" style="1" bestFit="1" customWidth="1"/>
    <col min="9718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3" width="9" style="1"/>
    <col min="9944" max="9944" width="2.875" style="1" bestFit="1" customWidth="1"/>
    <col min="9945" max="9945" width="16.625" style="1" bestFit="1" customWidth="1"/>
    <col min="9946" max="9946" width="11.375" style="1" bestFit="1" customWidth="1"/>
    <col min="9947" max="9948" width="14.125" style="1" bestFit="1" customWidth="1"/>
    <col min="9949" max="9949" width="11.375" style="1" bestFit="1" customWidth="1"/>
    <col min="9950" max="9952" width="12.5" style="1" bestFit="1" customWidth="1"/>
    <col min="9953" max="9953" width="11" style="1" bestFit="1" customWidth="1"/>
    <col min="9954" max="9973" width="13" style="1" bestFit="1" customWidth="1"/>
    <col min="9974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199" width="9" style="1"/>
    <col min="10200" max="10200" width="2.875" style="1" bestFit="1" customWidth="1"/>
    <col min="10201" max="10201" width="16.625" style="1" bestFit="1" customWidth="1"/>
    <col min="10202" max="10202" width="11.375" style="1" bestFit="1" customWidth="1"/>
    <col min="10203" max="10204" width="14.125" style="1" bestFit="1" customWidth="1"/>
    <col min="10205" max="10205" width="11.375" style="1" bestFit="1" customWidth="1"/>
    <col min="10206" max="10208" width="12.5" style="1" bestFit="1" customWidth="1"/>
    <col min="10209" max="10209" width="11" style="1" bestFit="1" customWidth="1"/>
    <col min="10210" max="10229" width="13" style="1" bestFit="1" customWidth="1"/>
    <col min="10230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5" width="9" style="1"/>
    <col min="10456" max="10456" width="2.875" style="1" bestFit="1" customWidth="1"/>
    <col min="10457" max="10457" width="16.625" style="1" bestFit="1" customWidth="1"/>
    <col min="10458" max="10458" width="11.375" style="1" bestFit="1" customWidth="1"/>
    <col min="10459" max="10460" width="14.125" style="1" bestFit="1" customWidth="1"/>
    <col min="10461" max="10461" width="11.375" style="1" bestFit="1" customWidth="1"/>
    <col min="10462" max="10464" width="12.5" style="1" bestFit="1" customWidth="1"/>
    <col min="10465" max="10465" width="11" style="1" bestFit="1" customWidth="1"/>
    <col min="10466" max="10485" width="13" style="1" bestFit="1" customWidth="1"/>
    <col min="10486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1" width="9" style="1"/>
    <col min="10712" max="10712" width="2.875" style="1" bestFit="1" customWidth="1"/>
    <col min="10713" max="10713" width="16.625" style="1" bestFit="1" customWidth="1"/>
    <col min="10714" max="10714" width="11.375" style="1" bestFit="1" customWidth="1"/>
    <col min="10715" max="10716" width="14.125" style="1" bestFit="1" customWidth="1"/>
    <col min="10717" max="10717" width="11.375" style="1" bestFit="1" customWidth="1"/>
    <col min="10718" max="10720" width="12.5" style="1" bestFit="1" customWidth="1"/>
    <col min="10721" max="10721" width="11" style="1" bestFit="1" customWidth="1"/>
    <col min="10722" max="10741" width="13" style="1" bestFit="1" customWidth="1"/>
    <col min="10742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7" width="9" style="1"/>
    <col min="10968" max="10968" width="2.875" style="1" bestFit="1" customWidth="1"/>
    <col min="10969" max="10969" width="16.625" style="1" bestFit="1" customWidth="1"/>
    <col min="10970" max="10970" width="11.375" style="1" bestFit="1" customWidth="1"/>
    <col min="10971" max="10972" width="14.125" style="1" bestFit="1" customWidth="1"/>
    <col min="10973" max="10973" width="11.375" style="1" bestFit="1" customWidth="1"/>
    <col min="10974" max="10976" width="12.5" style="1" bestFit="1" customWidth="1"/>
    <col min="10977" max="10977" width="11" style="1" bestFit="1" customWidth="1"/>
    <col min="10978" max="10997" width="13" style="1" bestFit="1" customWidth="1"/>
    <col min="10998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3" width="9" style="1"/>
    <col min="11224" max="11224" width="2.875" style="1" bestFit="1" customWidth="1"/>
    <col min="11225" max="11225" width="16.625" style="1" bestFit="1" customWidth="1"/>
    <col min="11226" max="11226" width="11.375" style="1" bestFit="1" customWidth="1"/>
    <col min="11227" max="11228" width="14.125" style="1" bestFit="1" customWidth="1"/>
    <col min="11229" max="11229" width="11.375" style="1" bestFit="1" customWidth="1"/>
    <col min="11230" max="11232" width="12.5" style="1" bestFit="1" customWidth="1"/>
    <col min="11233" max="11233" width="11" style="1" bestFit="1" customWidth="1"/>
    <col min="11234" max="11253" width="13" style="1" bestFit="1" customWidth="1"/>
    <col min="11254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79" width="9" style="1"/>
    <col min="11480" max="11480" width="2.875" style="1" bestFit="1" customWidth="1"/>
    <col min="11481" max="11481" width="16.625" style="1" bestFit="1" customWidth="1"/>
    <col min="11482" max="11482" width="11.375" style="1" bestFit="1" customWidth="1"/>
    <col min="11483" max="11484" width="14.125" style="1" bestFit="1" customWidth="1"/>
    <col min="11485" max="11485" width="11.375" style="1" bestFit="1" customWidth="1"/>
    <col min="11486" max="11488" width="12.5" style="1" bestFit="1" customWidth="1"/>
    <col min="11489" max="11489" width="11" style="1" bestFit="1" customWidth="1"/>
    <col min="11490" max="11509" width="13" style="1" bestFit="1" customWidth="1"/>
    <col min="11510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5" width="9" style="1"/>
    <col min="11736" max="11736" width="2.875" style="1" bestFit="1" customWidth="1"/>
    <col min="11737" max="11737" width="16.625" style="1" bestFit="1" customWidth="1"/>
    <col min="11738" max="11738" width="11.375" style="1" bestFit="1" customWidth="1"/>
    <col min="11739" max="11740" width="14.125" style="1" bestFit="1" customWidth="1"/>
    <col min="11741" max="11741" width="11.375" style="1" bestFit="1" customWidth="1"/>
    <col min="11742" max="11744" width="12.5" style="1" bestFit="1" customWidth="1"/>
    <col min="11745" max="11745" width="11" style="1" bestFit="1" customWidth="1"/>
    <col min="11746" max="11765" width="13" style="1" bestFit="1" customWidth="1"/>
    <col min="11766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1" width="9" style="1"/>
    <col min="11992" max="11992" width="2.875" style="1" bestFit="1" customWidth="1"/>
    <col min="11993" max="11993" width="16.625" style="1" bestFit="1" customWidth="1"/>
    <col min="11994" max="11994" width="11.375" style="1" bestFit="1" customWidth="1"/>
    <col min="11995" max="11996" width="14.125" style="1" bestFit="1" customWidth="1"/>
    <col min="11997" max="11997" width="11.375" style="1" bestFit="1" customWidth="1"/>
    <col min="11998" max="12000" width="12.5" style="1" bestFit="1" customWidth="1"/>
    <col min="12001" max="12001" width="11" style="1" bestFit="1" customWidth="1"/>
    <col min="12002" max="12021" width="13" style="1" bestFit="1" customWidth="1"/>
    <col min="12022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7" width="9" style="1"/>
    <col min="12248" max="12248" width="2.875" style="1" bestFit="1" customWidth="1"/>
    <col min="12249" max="12249" width="16.625" style="1" bestFit="1" customWidth="1"/>
    <col min="12250" max="12250" width="11.375" style="1" bestFit="1" customWidth="1"/>
    <col min="12251" max="12252" width="14.125" style="1" bestFit="1" customWidth="1"/>
    <col min="12253" max="12253" width="11.375" style="1" bestFit="1" customWidth="1"/>
    <col min="12254" max="12256" width="12.5" style="1" bestFit="1" customWidth="1"/>
    <col min="12257" max="12257" width="11" style="1" bestFit="1" customWidth="1"/>
    <col min="12258" max="12277" width="13" style="1" bestFit="1" customWidth="1"/>
    <col min="12278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3" width="9" style="1"/>
    <col min="12504" max="12504" width="2.875" style="1" bestFit="1" customWidth="1"/>
    <col min="12505" max="12505" width="16.625" style="1" bestFit="1" customWidth="1"/>
    <col min="12506" max="12506" width="11.375" style="1" bestFit="1" customWidth="1"/>
    <col min="12507" max="12508" width="14.125" style="1" bestFit="1" customWidth="1"/>
    <col min="12509" max="12509" width="11.375" style="1" bestFit="1" customWidth="1"/>
    <col min="12510" max="12512" width="12.5" style="1" bestFit="1" customWidth="1"/>
    <col min="12513" max="12513" width="11" style="1" bestFit="1" customWidth="1"/>
    <col min="12514" max="12533" width="13" style="1" bestFit="1" customWidth="1"/>
    <col min="12534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59" width="9" style="1"/>
    <col min="12760" max="12760" width="2.875" style="1" bestFit="1" customWidth="1"/>
    <col min="12761" max="12761" width="16.625" style="1" bestFit="1" customWidth="1"/>
    <col min="12762" max="12762" width="11.375" style="1" bestFit="1" customWidth="1"/>
    <col min="12763" max="12764" width="14.125" style="1" bestFit="1" customWidth="1"/>
    <col min="12765" max="12765" width="11.375" style="1" bestFit="1" customWidth="1"/>
    <col min="12766" max="12768" width="12.5" style="1" bestFit="1" customWidth="1"/>
    <col min="12769" max="12769" width="11" style="1" bestFit="1" customWidth="1"/>
    <col min="12770" max="12789" width="13" style="1" bestFit="1" customWidth="1"/>
    <col min="12790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5" width="9" style="1"/>
    <col min="13016" max="13016" width="2.875" style="1" bestFit="1" customWidth="1"/>
    <col min="13017" max="13017" width="16.625" style="1" bestFit="1" customWidth="1"/>
    <col min="13018" max="13018" width="11.375" style="1" bestFit="1" customWidth="1"/>
    <col min="13019" max="13020" width="14.125" style="1" bestFit="1" customWidth="1"/>
    <col min="13021" max="13021" width="11.375" style="1" bestFit="1" customWidth="1"/>
    <col min="13022" max="13024" width="12.5" style="1" bestFit="1" customWidth="1"/>
    <col min="13025" max="13025" width="11" style="1" bestFit="1" customWidth="1"/>
    <col min="13026" max="13045" width="13" style="1" bestFit="1" customWidth="1"/>
    <col min="13046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1" width="9" style="1"/>
    <col min="13272" max="13272" width="2.875" style="1" bestFit="1" customWidth="1"/>
    <col min="13273" max="13273" width="16.625" style="1" bestFit="1" customWidth="1"/>
    <col min="13274" max="13274" width="11.375" style="1" bestFit="1" customWidth="1"/>
    <col min="13275" max="13276" width="14.125" style="1" bestFit="1" customWidth="1"/>
    <col min="13277" max="13277" width="11.375" style="1" bestFit="1" customWidth="1"/>
    <col min="13278" max="13280" width="12.5" style="1" bestFit="1" customWidth="1"/>
    <col min="13281" max="13281" width="11" style="1" bestFit="1" customWidth="1"/>
    <col min="13282" max="13301" width="13" style="1" bestFit="1" customWidth="1"/>
    <col min="13302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7" width="9" style="1"/>
    <col min="13528" max="13528" width="2.875" style="1" bestFit="1" customWidth="1"/>
    <col min="13529" max="13529" width="16.625" style="1" bestFit="1" customWidth="1"/>
    <col min="13530" max="13530" width="11.375" style="1" bestFit="1" customWidth="1"/>
    <col min="13531" max="13532" width="14.125" style="1" bestFit="1" customWidth="1"/>
    <col min="13533" max="13533" width="11.375" style="1" bestFit="1" customWidth="1"/>
    <col min="13534" max="13536" width="12.5" style="1" bestFit="1" customWidth="1"/>
    <col min="13537" max="13537" width="11" style="1" bestFit="1" customWidth="1"/>
    <col min="13538" max="13557" width="13" style="1" bestFit="1" customWidth="1"/>
    <col min="13558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3" width="9" style="1"/>
    <col min="13784" max="13784" width="2.875" style="1" bestFit="1" customWidth="1"/>
    <col min="13785" max="13785" width="16.625" style="1" bestFit="1" customWidth="1"/>
    <col min="13786" max="13786" width="11.375" style="1" bestFit="1" customWidth="1"/>
    <col min="13787" max="13788" width="14.125" style="1" bestFit="1" customWidth="1"/>
    <col min="13789" max="13789" width="11.375" style="1" bestFit="1" customWidth="1"/>
    <col min="13790" max="13792" width="12.5" style="1" bestFit="1" customWidth="1"/>
    <col min="13793" max="13793" width="11" style="1" bestFit="1" customWidth="1"/>
    <col min="13794" max="13813" width="13" style="1" bestFit="1" customWidth="1"/>
    <col min="13814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39" width="9" style="1"/>
    <col min="14040" max="14040" width="2.875" style="1" bestFit="1" customWidth="1"/>
    <col min="14041" max="14041" width="16.625" style="1" bestFit="1" customWidth="1"/>
    <col min="14042" max="14042" width="11.375" style="1" bestFit="1" customWidth="1"/>
    <col min="14043" max="14044" width="14.125" style="1" bestFit="1" customWidth="1"/>
    <col min="14045" max="14045" width="11.375" style="1" bestFit="1" customWidth="1"/>
    <col min="14046" max="14048" width="12.5" style="1" bestFit="1" customWidth="1"/>
    <col min="14049" max="14049" width="11" style="1" bestFit="1" customWidth="1"/>
    <col min="14050" max="14069" width="13" style="1" bestFit="1" customWidth="1"/>
    <col min="14070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5" width="9" style="1"/>
    <col min="14296" max="14296" width="2.875" style="1" bestFit="1" customWidth="1"/>
    <col min="14297" max="14297" width="16.625" style="1" bestFit="1" customWidth="1"/>
    <col min="14298" max="14298" width="11.375" style="1" bestFit="1" customWidth="1"/>
    <col min="14299" max="14300" width="14.125" style="1" bestFit="1" customWidth="1"/>
    <col min="14301" max="14301" width="11.375" style="1" bestFit="1" customWidth="1"/>
    <col min="14302" max="14304" width="12.5" style="1" bestFit="1" customWidth="1"/>
    <col min="14305" max="14305" width="11" style="1" bestFit="1" customWidth="1"/>
    <col min="14306" max="14325" width="13" style="1" bestFit="1" customWidth="1"/>
    <col min="14326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1" width="9" style="1"/>
    <col min="14552" max="14552" width="2.875" style="1" bestFit="1" customWidth="1"/>
    <col min="14553" max="14553" width="16.625" style="1" bestFit="1" customWidth="1"/>
    <col min="14554" max="14554" width="11.375" style="1" bestFit="1" customWidth="1"/>
    <col min="14555" max="14556" width="14.125" style="1" bestFit="1" customWidth="1"/>
    <col min="14557" max="14557" width="11.375" style="1" bestFit="1" customWidth="1"/>
    <col min="14558" max="14560" width="12.5" style="1" bestFit="1" customWidth="1"/>
    <col min="14561" max="14561" width="11" style="1" bestFit="1" customWidth="1"/>
    <col min="14562" max="14581" width="13" style="1" bestFit="1" customWidth="1"/>
    <col min="14582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7" width="9" style="1"/>
    <col min="14808" max="14808" width="2.875" style="1" bestFit="1" customWidth="1"/>
    <col min="14809" max="14809" width="16.625" style="1" bestFit="1" customWidth="1"/>
    <col min="14810" max="14810" width="11.375" style="1" bestFit="1" customWidth="1"/>
    <col min="14811" max="14812" width="14.125" style="1" bestFit="1" customWidth="1"/>
    <col min="14813" max="14813" width="11.375" style="1" bestFit="1" customWidth="1"/>
    <col min="14814" max="14816" width="12.5" style="1" bestFit="1" customWidth="1"/>
    <col min="14817" max="14817" width="11" style="1" bestFit="1" customWidth="1"/>
    <col min="14818" max="14837" width="13" style="1" bestFit="1" customWidth="1"/>
    <col min="14838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3" width="9" style="1"/>
    <col min="15064" max="15064" width="2.875" style="1" bestFit="1" customWidth="1"/>
    <col min="15065" max="15065" width="16.625" style="1" bestFit="1" customWidth="1"/>
    <col min="15066" max="15066" width="11.375" style="1" bestFit="1" customWidth="1"/>
    <col min="15067" max="15068" width="14.125" style="1" bestFit="1" customWidth="1"/>
    <col min="15069" max="15069" width="11.375" style="1" bestFit="1" customWidth="1"/>
    <col min="15070" max="15072" width="12.5" style="1" bestFit="1" customWidth="1"/>
    <col min="15073" max="15073" width="11" style="1" bestFit="1" customWidth="1"/>
    <col min="15074" max="15093" width="13" style="1" bestFit="1" customWidth="1"/>
    <col min="15094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19" width="9" style="1"/>
    <col min="15320" max="15320" width="2.875" style="1" bestFit="1" customWidth="1"/>
    <col min="15321" max="15321" width="16.625" style="1" bestFit="1" customWidth="1"/>
    <col min="15322" max="15322" width="11.375" style="1" bestFit="1" customWidth="1"/>
    <col min="15323" max="15324" width="14.125" style="1" bestFit="1" customWidth="1"/>
    <col min="15325" max="15325" width="11.375" style="1" bestFit="1" customWidth="1"/>
    <col min="15326" max="15328" width="12.5" style="1" bestFit="1" customWidth="1"/>
    <col min="15329" max="15329" width="11" style="1" bestFit="1" customWidth="1"/>
    <col min="15330" max="15349" width="13" style="1" bestFit="1" customWidth="1"/>
    <col min="15350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5" width="9" style="1"/>
    <col min="15576" max="15576" width="2.875" style="1" bestFit="1" customWidth="1"/>
    <col min="15577" max="15577" width="16.625" style="1" bestFit="1" customWidth="1"/>
    <col min="15578" max="15578" width="11.375" style="1" bestFit="1" customWidth="1"/>
    <col min="15579" max="15580" width="14.125" style="1" bestFit="1" customWidth="1"/>
    <col min="15581" max="15581" width="11.375" style="1" bestFit="1" customWidth="1"/>
    <col min="15582" max="15584" width="12.5" style="1" bestFit="1" customWidth="1"/>
    <col min="15585" max="15585" width="11" style="1" bestFit="1" customWidth="1"/>
    <col min="15586" max="15605" width="13" style="1" bestFit="1" customWidth="1"/>
    <col min="15606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1" width="9" style="1"/>
    <col min="15832" max="15832" width="2.875" style="1" bestFit="1" customWidth="1"/>
    <col min="15833" max="15833" width="16.625" style="1" bestFit="1" customWidth="1"/>
    <col min="15834" max="15834" width="11.375" style="1" bestFit="1" customWidth="1"/>
    <col min="15835" max="15836" width="14.125" style="1" bestFit="1" customWidth="1"/>
    <col min="15837" max="15837" width="11.375" style="1" bestFit="1" customWidth="1"/>
    <col min="15838" max="15840" width="12.5" style="1" bestFit="1" customWidth="1"/>
    <col min="15841" max="15841" width="11" style="1" bestFit="1" customWidth="1"/>
    <col min="15842" max="15861" width="13" style="1" bestFit="1" customWidth="1"/>
    <col min="15862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7" width="9" style="1"/>
    <col min="16088" max="16088" width="2.875" style="1" bestFit="1" customWidth="1"/>
    <col min="16089" max="16089" width="16.625" style="1" bestFit="1" customWidth="1"/>
    <col min="16090" max="16090" width="11.375" style="1" bestFit="1" customWidth="1"/>
    <col min="16091" max="16092" width="14.125" style="1" bestFit="1" customWidth="1"/>
    <col min="16093" max="16093" width="11.375" style="1" bestFit="1" customWidth="1"/>
    <col min="16094" max="16096" width="12.5" style="1" bestFit="1" customWidth="1"/>
    <col min="16097" max="16097" width="11" style="1" bestFit="1" customWidth="1"/>
    <col min="16098" max="16117" width="13" style="1" bestFit="1" customWidth="1"/>
    <col min="16118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7">
        <v>45627</v>
      </c>
      <c r="B3" s="57"/>
      <c r="C3" s="49" t="s">
        <v>241</v>
      </c>
    </row>
    <row r="4" spans="1:11" s="5" customFormat="1" x14ac:dyDescent="0.15">
      <c r="A4" s="50" t="s">
        <v>0</v>
      </c>
      <c r="B4" s="50"/>
      <c r="C4" s="2" t="s">
        <v>190</v>
      </c>
      <c r="D4" s="2" t="s">
        <v>38</v>
      </c>
      <c r="E4" s="2" t="s">
        <v>39</v>
      </c>
      <c r="F4" s="2" t="s">
        <v>40</v>
      </c>
      <c r="G4" s="2" t="s">
        <v>41</v>
      </c>
      <c r="H4" s="3" t="s">
        <v>191</v>
      </c>
      <c r="I4" s="3" t="s">
        <v>42</v>
      </c>
      <c r="J4" s="3" t="s">
        <v>43</v>
      </c>
      <c r="K4" s="4" t="s">
        <v>44</v>
      </c>
    </row>
    <row r="5" spans="1:11" s="5" customFormat="1" hidden="1" x14ac:dyDescent="0.15">
      <c r="A5" s="54" t="s">
        <v>45</v>
      </c>
      <c r="B5" s="58"/>
      <c r="C5" s="2">
        <v>8</v>
      </c>
      <c r="D5" s="2">
        <v>8</v>
      </c>
      <c r="E5" s="2">
        <v>8</v>
      </c>
      <c r="F5" s="2">
        <v>8</v>
      </c>
      <c r="G5" s="2">
        <v>8</v>
      </c>
      <c r="H5" s="3">
        <v>8</v>
      </c>
      <c r="I5" s="3"/>
      <c r="J5" s="3"/>
      <c r="K5" s="4"/>
    </row>
    <row r="6" spans="1:11" s="5" customFormat="1" hidden="1" x14ac:dyDescent="0.15">
      <c r="A6" s="54" t="s">
        <v>46</v>
      </c>
      <c r="B6" s="58"/>
      <c r="C6" s="2" t="s">
        <v>51</v>
      </c>
      <c r="D6" s="2" t="s">
        <v>51</v>
      </c>
      <c r="E6" s="2" t="s">
        <v>51</v>
      </c>
      <c r="F6" s="2" t="s">
        <v>51</v>
      </c>
      <c r="G6" s="2" t="s">
        <v>51</v>
      </c>
      <c r="H6" s="3" t="s">
        <v>51</v>
      </c>
      <c r="I6" s="3"/>
      <c r="J6" s="3"/>
      <c r="K6" s="4"/>
    </row>
    <row r="7" spans="1:11" s="5" customFormat="1" x14ac:dyDescent="0.15">
      <c r="A7" s="56" t="s">
        <v>52</v>
      </c>
      <c r="B7" s="56"/>
      <c r="C7" s="42" t="s">
        <v>196</v>
      </c>
      <c r="D7" s="42" t="s">
        <v>192</v>
      </c>
      <c r="E7" s="42" t="s">
        <v>193</v>
      </c>
      <c r="F7" s="42" t="s">
        <v>194</v>
      </c>
      <c r="G7" s="42" t="s">
        <v>195</v>
      </c>
      <c r="H7" s="43"/>
      <c r="I7" s="6"/>
      <c r="J7" s="6"/>
      <c r="K7" s="7"/>
    </row>
    <row r="8" spans="1:11" s="5" customFormat="1" x14ac:dyDescent="0.15">
      <c r="A8" s="56" t="s">
        <v>53</v>
      </c>
      <c r="B8" s="56"/>
      <c r="C8" s="42" t="s">
        <v>223</v>
      </c>
      <c r="D8" s="42" t="s">
        <v>232</v>
      </c>
      <c r="E8" s="42" t="s">
        <v>215</v>
      </c>
      <c r="F8" s="42" t="s">
        <v>233</v>
      </c>
      <c r="G8" s="42" t="s">
        <v>234</v>
      </c>
      <c r="H8" s="42" t="s">
        <v>235</v>
      </c>
      <c r="I8" s="6"/>
      <c r="J8" s="6"/>
      <c r="K8" s="7"/>
    </row>
    <row r="9" spans="1:11" x14ac:dyDescent="0.15">
      <c r="A9" s="52" t="s">
        <v>54</v>
      </c>
      <c r="B9" s="53"/>
      <c r="C9" s="44">
        <v>18</v>
      </c>
      <c r="D9" s="44">
        <v>8</v>
      </c>
      <c r="E9" s="44">
        <v>8</v>
      </c>
      <c r="F9" s="44">
        <v>8</v>
      </c>
      <c r="G9" s="44">
        <v>8</v>
      </c>
      <c r="H9" s="45">
        <v>14</v>
      </c>
      <c r="I9" s="9">
        <f>SUM(C9:H9)</f>
        <v>64</v>
      </c>
      <c r="J9" s="9"/>
      <c r="K9" s="10"/>
    </row>
    <row r="10" spans="1:11" x14ac:dyDescent="0.15">
      <c r="A10" s="50" t="s">
        <v>55</v>
      </c>
      <c r="B10" s="50"/>
      <c r="C10" s="47" t="s">
        <v>65</v>
      </c>
      <c r="D10" s="47" t="s">
        <v>63</v>
      </c>
      <c r="E10" s="47" t="s">
        <v>63</v>
      </c>
      <c r="F10" s="47" t="s">
        <v>63</v>
      </c>
      <c r="G10" s="47" t="s">
        <v>63</v>
      </c>
      <c r="H10" s="48"/>
      <c r="I10" s="12"/>
      <c r="J10" s="12"/>
      <c r="K10" s="13"/>
    </row>
    <row r="11" spans="1:11" x14ac:dyDescent="0.15">
      <c r="A11" s="50" t="s">
        <v>66</v>
      </c>
      <c r="B11" s="50"/>
      <c r="C11" s="14">
        <v>3166.1</v>
      </c>
      <c r="D11" s="14">
        <v>3990</v>
      </c>
      <c r="E11" s="14">
        <v>918.1</v>
      </c>
      <c r="F11" s="14">
        <v>4138.2</v>
      </c>
      <c r="G11" s="14">
        <v>4179.3</v>
      </c>
      <c r="H11" s="15">
        <v>0</v>
      </c>
      <c r="I11" s="16">
        <f>SUM(C11:H11)</f>
        <v>16391.7</v>
      </c>
      <c r="J11" s="16">
        <f t="shared" ref="J11:J42" si="0">AVERAGE(C11:H11)</f>
        <v>2731.9500000000003</v>
      </c>
      <c r="K11" s="13"/>
    </row>
    <row r="12" spans="1:11" x14ac:dyDescent="0.15">
      <c r="A12" s="54" t="s">
        <v>67</v>
      </c>
      <c r="B12" s="55"/>
      <c r="C12" s="18">
        <v>3.9618055555555554</v>
      </c>
      <c r="D12" s="18">
        <v>5.2951388888888893</v>
      </c>
      <c r="E12" s="18">
        <v>1.3430555555555554</v>
      </c>
      <c r="F12" s="18">
        <v>4.9756944444444446</v>
      </c>
      <c r="G12" s="18">
        <v>8.8840277777777779</v>
      </c>
      <c r="H12" s="19">
        <v>0</v>
      </c>
      <c r="I12" s="20">
        <f>SUM(C12:H12)</f>
        <v>24.459722222222222</v>
      </c>
      <c r="J12" s="20">
        <f t="shared" si="0"/>
        <v>4.0766203703703701</v>
      </c>
      <c r="K12" s="13"/>
    </row>
    <row r="13" spans="1:11" x14ac:dyDescent="0.15">
      <c r="A13" s="50" t="s">
        <v>68</v>
      </c>
      <c r="B13" s="50"/>
      <c r="C13" s="14">
        <v>693400</v>
      </c>
      <c r="D13" s="14">
        <v>759700</v>
      </c>
      <c r="E13" s="14">
        <v>152000</v>
      </c>
      <c r="F13" s="14">
        <v>724000</v>
      </c>
      <c r="G13" s="14">
        <v>1168482</v>
      </c>
      <c r="H13" s="15">
        <v>0</v>
      </c>
      <c r="I13" s="16">
        <f>SUM(C13:H13)</f>
        <v>3497582</v>
      </c>
      <c r="J13" s="16">
        <f t="shared" si="0"/>
        <v>582930.33333333337</v>
      </c>
      <c r="K13" s="13">
        <f>I13/I13</f>
        <v>1</v>
      </c>
    </row>
    <row r="14" spans="1:11" x14ac:dyDescent="0.15">
      <c r="A14" s="54" t="s">
        <v>69</v>
      </c>
      <c r="B14" s="55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5">
        <v>0</v>
      </c>
      <c r="I14" s="16">
        <f>SUM(C14:H14)</f>
        <v>0</v>
      </c>
      <c r="J14" s="16">
        <f t="shared" si="0"/>
        <v>0</v>
      </c>
      <c r="K14" s="13"/>
    </row>
    <row r="15" spans="1:11" x14ac:dyDescent="0.15">
      <c r="A15" s="50" t="s">
        <v>70</v>
      </c>
      <c r="B15" s="50"/>
      <c r="C15" s="14">
        <f t="shared" ref="C15:H15" si="1">SUM(C13/C11)</f>
        <v>219.00761188844319</v>
      </c>
      <c r="D15" s="14">
        <f t="shared" si="1"/>
        <v>190.40100250626566</v>
      </c>
      <c r="E15" s="14">
        <f t="shared" si="1"/>
        <v>165.55930726500381</v>
      </c>
      <c r="F15" s="14">
        <f t="shared" si="1"/>
        <v>174.95529457251945</v>
      </c>
      <c r="G15" s="14">
        <f t="shared" si="1"/>
        <v>279.58796927715167</v>
      </c>
      <c r="H15" s="15" t="e">
        <f t="shared" si="1"/>
        <v>#DIV/0!</v>
      </c>
      <c r="I15" s="12">
        <f>SUM(I13/I11)</f>
        <v>213.37518378203603</v>
      </c>
      <c r="J15" s="16" t="e">
        <f t="shared" si="0"/>
        <v>#DIV/0!</v>
      </c>
      <c r="K15" s="13"/>
    </row>
    <row r="16" spans="1:11" x14ac:dyDescent="0.15">
      <c r="A16" s="54" t="s">
        <v>71</v>
      </c>
      <c r="B16" s="55"/>
      <c r="C16" s="21">
        <f t="shared" ref="C16:I16" si="2">C13/(C12*24)</f>
        <v>7292.5503943908852</v>
      </c>
      <c r="D16" s="21">
        <f t="shared" si="2"/>
        <v>5977.9672131147536</v>
      </c>
      <c r="E16" s="21">
        <f t="shared" si="2"/>
        <v>4715.6153050672183</v>
      </c>
      <c r="F16" s="21">
        <f t="shared" si="2"/>
        <v>6062.8053035589674</v>
      </c>
      <c r="G16" s="21">
        <f t="shared" si="2"/>
        <v>5480.2563902133979</v>
      </c>
      <c r="H16" s="22" t="e">
        <f t="shared" si="2"/>
        <v>#DIV/0!</v>
      </c>
      <c r="I16" s="23">
        <f t="shared" si="2"/>
        <v>5958.0637101811371</v>
      </c>
      <c r="J16" s="23" t="e">
        <f t="shared" si="0"/>
        <v>#DIV/0!</v>
      </c>
      <c r="K16" s="13"/>
    </row>
    <row r="17" spans="1:11" x14ac:dyDescent="0.15">
      <c r="A17" s="51" t="s">
        <v>72</v>
      </c>
      <c r="B17" s="11" t="s">
        <v>73</v>
      </c>
      <c r="C17" s="14">
        <v>82900</v>
      </c>
      <c r="D17" s="14">
        <v>271700</v>
      </c>
      <c r="E17" s="14">
        <v>189600</v>
      </c>
      <c r="F17" s="14">
        <v>245000</v>
      </c>
      <c r="G17" s="14">
        <v>349400</v>
      </c>
      <c r="H17" s="15">
        <v>0</v>
      </c>
      <c r="I17" s="16">
        <f t="shared" ref="I17:I28" si="3">SUM(C17:H17)</f>
        <v>1138600</v>
      </c>
      <c r="J17" s="16">
        <f t="shared" si="0"/>
        <v>189766.66666666666</v>
      </c>
      <c r="K17" s="13">
        <f>I17/I13</f>
        <v>0.32553918678675725</v>
      </c>
    </row>
    <row r="18" spans="1:11" x14ac:dyDescent="0.15">
      <c r="A18" s="51"/>
      <c r="B18" s="11" t="s">
        <v>74</v>
      </c>
      <c r="C18" s="14">
        <v>6950</v>
      </c>
      <c r="D18" s="14">
        <v>0</v>
      </c>
      <c r="E18" s="14">
        <v>0</v>
      </c>
      <c r="F18" s="14">
        <v>0</v>
      </c>
      <c r="G18" s="14">
        <v>0</v>
      </c>
      <c r="H18" s="15">
        <v>6000</v>
      </c>
      <c r="I18" s="16">
        <f t="shared" si="3"/>
        <v>12950</v>
      </c>
      <c r="J18" s="16">
        <f t="shared" si="0"/>
        <v>2158.3333333333335</v>
      </c>
      <c r="K18" s="13">
        <f>I18/I13</f>
        <v>3.7025579385987235E-3</v>
      </c>
    </row>
    <row r="19" spans="1:11" x14ac:dyDescent="0.15">
      <c r="A19" s="51"/>
      <c r="B19" s="11" t="s">
        <v>75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5">
        <v>0</v>
      </c>
      <c r="I19" s="16">
        <f t="shared" si="3"/>
        <v>0</v>
      </c>
      <c r="J19" s="16">
        <f t="shared" si="0"/>
        <v>0</v>
      </c>
      <c r="K19" s="13">
        <f>I19/I13</f>
        <v>0</v>
      </c>
    </row>
    <row r="20" spans="1:11" x14ac:dyDescent="0.15">
      <c r="A20" s="51"/>
      <c r="B20" s="11" t="s">
        <v>76</v>
      </c>
      <c r="C20" s="14">
        <v>8333</v>
      </c>
      <c r="D20" s="14">
        <v>4583</v>
      </c>
      <c r="E20" s="14">
        <v>4583</v>
      </c>
      <c r="F20" s="14">
        <v>4766</v>
      </c>
      <c r="G20" s="14">
        <v>0</v>
      </c>
      <c r="H20" s="15">
        <v>8674</v>
      </c>
      <c r="I20" s="16">
        <f t="shared" si="3"/>
        <v>30939</v>
      </c>
      <c r="J20" s="16">
        <f t="shared" si="0"/>
        <v>5156.5</v>
      </c>
      <c r="K20" s="13">
        <f>I20/I13</f>
        <v>8.8458254874367488E-3</v>
      </c>
    </row>
    <row r="21" spans="1:11" x14ac:dyDescent="0.15">
      <c r="A21" s="51"/>
      <c r="B21" s="11" t="s">
        <v>77</v>
      </c>
      <c r="C21" s="14">
        <v>35621</v>
      </c>
      <c r="D21" s="14">
        <v>26746</v>
      </c>
      <c r="E21" s="14">
        <v>31475</v>
      </c>
      <c r="F21" s="14">
        <v>40944</v>
      </c>
      <c r="G21" s="14">
        <v>4394</v>
      </c>
      <c r="H21" s="15">
        <v>15026</v>
      </c>
      <c r="I21" s="16">
        <f t="shared" si="3"/>
        <v>154206</v>
      </c>
      <c r="J21" s="16">
        <f t="shared" si="0"/>
        <v>25701</v>
      </c>
      <c r="K21" s="13">
        <f>I21/I13</f>
        <v>4.4089316562127778E-2</v>
      </c>
    </row>
    <row r="22" spans="1:11" x14ac:dyDescent="0.15">
      <c r="A22" s="51"/>
      <c r="B22" s="24" t="s">
        <v>78</v>
      </c>
      <c r="C22" s="25">
        <f t="shared" ref="C22:H22" si="4">SUM(C17:C21)</f>
        <v>133804</v>
      </c>
      <c r="D22" s="25">
        <f t="shared" si="4"/>
        <v>303029</v>
      </c>
      <c r="E22" s="25">
        <f t="shared" si="4"/>
        <v>225658</v>
      </c>
      <c r="F22" s="25">
        <f t="shared" si="4"/>
        <v>290710</v>
      </c>
      <c r="G22" s="25">
        <f t="shared" si="4"/>
        <v>353794</v>
      </c>
      <c r="H22" s="26">
        <f t="shared" si="4"/>
        <v>29700</v>
      </c>
      <c r="I22" s="27">
        <f t="shared" si="3"/>
        <v>1336695</v>
      </c>
      <c r="J22" s="27">
        <f t="shared" si="0"/>
        <v>222782.5</v>
      </c>
      <c r="K22" s="28">
        <f>I22/I13</f>
        <v>0.38217688677492051</v>
      </c>
    </row>
    <row r="23" spans="1:11" x14ac:dyDescent="0.15">
      <c r="A23" s="51" t="s">
        <v>79</v>
      </c>
      <c r="B23" s="11" t="s">
        <v>80</v>
      </c>
      <c r="C23" s="14">
        <v>27420</v>
      </c>
      <c r="D23" s="14">
        <v>0</v>
      </c>
      <c r="E23" s="14">
        <v>28800</v>
      </c>
      <c r="F23" s="14">
        <v>29400</v>
      </c>
      <c r="G23" s="14">
        <v>33000</v>
      </c>
      <c r="H23" s="15">
        <v>0</v>
      </c>
      <c r="I23" s="16">
        <f t="shared" si="3"/>
        <v>118620</v>
      </c>
      <c r="J23" s="16">
        <f t="shared" si="0"/>
        <v>19770</v>
      </c>
      <c r="K23" s="13">
        <f>I23/I13</f>
        <v>3.3914858893944445E-2</v>
      </c>
    </row>
    <row r="24" spans="1:11" x14ac:dyDescent="0.15">
      <c r="A24" s="51"/>
      <c r="B24" s="11" t="s">
        <v>81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5">
        <v>0</v>
      </c>
      <c r="I24" s="16">
        <f t="shared" si="3"/>
        <v>0</v>
      </c>
      <c r="J24" s="16">
        <f t="shared" si="0"/>
        <v>0</v>
      </c>
      <c r="K24" s="13">
        <f>I24/I13</f>
        <v>0</v>
      </c>
    </row>
    <row r="25" spans="1:11" x14ac:dyDescent="0.15">
      <c r="A25" s="51"/>
      <c r="B25" s="11" t="s">
        <v>82</v>
      </c>
      <c r="C25" s="14">
        <f t="shared" ref="C25:H25" si="5">30000*C9/70000*C11</f>
        <v>24424.2</v>
      </c>
      <c r="D25" s="14">
        <f t="shared" si="5"/>
        <v>13680</v>
      </c>
      <c r="E25" s="14">
        <f t="shared" si="5"/>
        <v>3147.7714285714283</v>
      </c>
      <c r="F25" s="14">
        <f t="shared" si="5"/>
        <v>14188.114285714284</v>
      </c>
      <c r="G25" s="14">
        <f t="shared" si="5"/>
        <v>14329.028571428571</v>
      </c>
      <c r="H25" s="15">
        <f t="shared" si="5"/>
        <v>0</v>
      </c>
      <c r="I25" s="16">
        <f t="shared" si="3"/>
        <v>69769.114285714284</v>
      </c>
      <c r="J25" s="16">
        <f t="shared" si="0"/>
        <v>11628.185714285713</v>
      </c>
      <c r="K25" s="13">
        <f>I25/I13</f>
        <v>1.9947813742669733E-2</v>
      </c>
    </row>
    <row r="26" spans="1:11" x14ac:dyDescent="0.15">
      <c r="A26" s="51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5">
        <v>0</v>
      </c>
      <c r="I26" s="16">
        <f t="shared" si="3"/>
        <v>0</v>
      </c>
      <c r="J26" s="16">
        <f t="shared" si="0"/>
        <v>0</v>
      </c>
      <c r="K26" s="13">
        <f>I26/I13</f>
        <v>0</v>
      </c>
    </row>
    <row r="27" spans="1:11" x14ac:dyDescent="0.15">
      <c r="A27" s="51"/>
      <c r="B27" s="24" t="s">
        <v>83</v>
      </c>
      <c r="C27" s="25">
        <f t="shared" ref="C27:H27" si="6">SUM(C23:C26)</f>
        <v>51844.2</v>
      </c>
      <c r="D27" s="25">
        <f t="shared" si="6"/>
        <v>13680</v>
      </c>
      <c r="E27" s="25">
        <f t="shared" si="6"/>
        <v>31947.771428571428</v>
      </c>
      <c r="F27" s="25">
        <f t="shared" si="6"/>
        <v>43588.114285714284</v>
      </c>
      <c r="G27" s="25">
        <f t="shared" si="6"/>
        <v>47329.028571428571</v>
      </c>
      <c r="H27" s="26">
        <f t="shared" si="6"/>
        <v>0</v>
      </c>
      <c r="I27" s="27">
        <f t="shared" si="3"/>
        <v>188389.11428571428</v>
      </c>
      <c r="J27" s="27">
        <f t="shared" si="0"/>
        <v>31398.185714285715</v>
      </c>
      <c r="K27" s="28">
        <f>I27/I13</f>
        <v>5.3862672636614178E-2</v>
      </c>
    </row>
    <row r="28" spans="1:11" x14ac:dyDescent="0.15">
      <c r="A28" s="51" t="s">
        <v>84</v>
      </c>
      <c r="B28" s="8" t="s">
        <v>85</v>
      </c>
      <c r="C28" s="29">
        <v>1292</v>
      </c>
      <c r="D28" s="29">
        <v>1176</v>
      </c>
      <c r="E28" s="29">
        <v>276</v>
      </c>
      <c r="F28" s="29">
        <v>1137</v>
      </c>
      <c r="G28" s="29">
        <v>1230</v>
      </c>
      <c r="H28" s="30">
        <v>0</v>
      </c>
      <c r="I28" s="31">
        <f t="shared" si="3"/>
        <v>5111</v>
      </c>
      <c r="J28" s="31">
        <f t="shared" si="0"/>
        <v>851.83333333333337</v>
      </c>
      <c r="K28" s="10">
        <f>I28/I13</f>
        <v>1.4612952605542915E-3</v>
      </c>
    </row>
    <row r="29" spans="1:11" x14ac:dyDescent="0.15">
      <c r="A29" s="51"/>
      <c r="B29" s="32" t="s">
        <v>86</v>
      </c>
      <c r="C29" s="33">
        <f t="shared" ref="C29:I29" si="7">SUM(C11/C28)</f>
        <v>2.4505417956656346</v>
      </c>
      <c r="D29" s="33">
        <f t="shared" si="7"/>
        <v>3.3928571428571428</v>
      </c>
      <c r="E29" s="33">
        <f t="shared" si="7"/>
        <v>3.3264492753623189</v>
      </c>
      <c r="F29" s="33">
        <f t="shared" si="7"/>
        <v>3.6395778364116094</v>
      </c>
      <c r="G29" s="33">
        <f t="shared" si="7"/>
        <v>3.3978048780487806</v>
      </c>
      <c r="H29" s="34" t="e">
        <f t="shared" si="7"/>
        <v>#DIV/0!</v>
      </c>
      <c r="I29" s="35">
        <f t="shared" si="7"/>
        <v>3.2071414595969481</v>
      </c>
      <c r="J29" s="35" t="e">
        <f t="shared" si="0"/>
        <v>#DIV/0!</v>
      </c>
      <c r="K29" s="32">
        <f>I29/I13</f>
        <v>9.1695961941619898E-7</v>
      </c>
    </row>
    <row r="30" spans="1:11" x14ac:dyDescent="0.15">
      <c r="A30" s="51"/>
      <c r="B30" s="11" t="s">
        <v>87</v>
      </c>
      <c r="C30" s="14">
        <v>157611</v>
      </c>
      <c r="D30" s="14">
        <v>143073</v>
      </c>
      <c r="E30" s="14">
        <v>33753</v>
      </c>
      <c r="F30" s="14">
        <v>138691</v>
      </c>
      <c r="G30" s="14">
        <v>149981</v>
      </c>
      <c r="H30" s="15">
        <v>0</v>
      </c>
      <c r="I30" s="16">
        <f t="shared" ref="I30:I43" si="8">SUM(C30:H30)</f>
        <v>623109</v>
      </c>
      <c r="J30" s="16">
        <f t="shared" si="0"/>
        <v>103851.5</v>
      </c>
      <c r="K30" s="13">
        <f>I30/I13</f>
        <v>0.17815422197392369</v>
      </c>
    </row>
    <row r="31" spans="1:11" x14ac:dyDescent="0.15">
      <c r="A31" s="51"/>
      <c r="B31" s="11" t="s">
        <v>88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5">
        <v>0</v>
      </c>
      <c r="I31" s="16">
        <f t="shared" si="8"/>
        <v>0</v>
      </c>
      <c r="J31" s="16">
        <f t="shared" si="0"/>
        <v>0</v>
      </c>
      <c r="K31" s="13">
        <f>I31/I13</f>
        <v>0</v>
      </c>
    </row>
    <row r="32" spans="1:11" x14ac:dyDescent="0.15">
      <c r="A32" s="51"/>
      <c r="B32" s="11" t="s">
        <v>89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5">
        <v>0</v>
      </c>
      <c r="I32" s="16">
        <f t="shared" si="8"/>
        <v>0</v>
      </c>
      <c r="J32" s="16">
        <f t="shared" si="0"/>
        <v>0</v>
      </c>
      <c r="K32" s="13">
        <f>I32/I13</f>
        <v>0</v>
      </c>
    </row>
    <row r="33" spans="1:11" x14ac:dyDescent="0.15">
      <c r="A33" s="51"/>
      <c r="B33" s="24" t="s">
        <v>90</v>
      </c>
      <c r="C33" s="25">
        <f t="shared" ref="C33:H33" si="9">SUM(C30:C32)</f>
        <v>157611</v>
      </c>
      <c r="D33" s="25">
        <f t="shared" si="9"/>
        <v>143073</v>
      </c>
      <c r="E33" s="25">
        <f t="shared" si="9"/>
        <v>33753</v>
      </c>
      <c r="F33" s="25">
        <f t="shared" si="9"/>
        <v>138691</v>
      </c>
      <c r="G33" s="25">
        <f t="shared" si="9"/>
        <v>149981</v>
      </c>
      <c r="H33" s="26">
        <f t="shared" si="9"/>
        <v>0</v>
      </c>
      <c r="I33" s="27">
        <f t="shared" si="8"/>
        <v>623109</v>
      </c>
      <c r="J33" s="27">
        <f t="shared" si="0"/>
        <v>103851.5</v>
      </c>
      <c r="K33" s="28">
        <f>I33/I13</f>
        <v>0.17815422197392369</v>
      </c>
    </row>
    <row r="34" spans="1:11" x14ac:dyDescent="0.15">
      <c r="A34" s="51" t="s">
        <v>91</v>
      </c>
      <c r="B34" s="11" t="s">
        <v>92</v>
      </c>
      <c r="C34" s="14">
        <v>2451</v>
      </c>
      <c r="D34" s="14">
        <v>2012</v>
      </c>
      <c r="E34" s="14">
        <v>2008</v>
      </c>
      <c r="F34" s="14">
        <v>2008</v>
      </c>
      <c r="G34" s="14">
        <v>0</v>
      </c>
      <c r="H34" s="15">
        <v>2451</v>
      </c>
      <c r="I34" s="16">
        <f t="shared" si="8"/>
        <v>10930</v>
      </c>
      <c r="J34" s="16">
        <f t="shared" si="0"/>
        <v>1821.6666666666667</v>
      </c>
      <c r="K34" s="13">
        <f>I34/I13</f>
        <v>3.1250160825393087E-3</v>
      </c>
    </row>
    <row r="35" spans="1:11" x14ac:dyDescent="0.15">
      <c r="A35" s="51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5">
        <v>0</v>
      </c>
      <c r="I35" s="16">
        <f t="shared" si="8"/>
        <v>0</v>
      </c>
      <c r="J35" s="16">
        <f t="shared" si="0"/>
        <v>0</v>
      </c>
      <c r="K35" s="13">
        <f>I35/I13</f>
        <v>0</v>
      </c>
    </row>
    <row r="36" spans="1:11" x14ac:dyDescent="0.15">
      <c r="A36" s="51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5">
        <v>0</v>
      </c>
      <c r="I36" s="16">
        <f t="shared" si="8"/>
        <v>0</v>
      </c>
      <c r="J36" s="16">
        <f t="shared" si="0"/>
        <v>0</v>
      </c>
      <c r="K36" s="13">
        <f>I36/I13</f>
        <v>0</v>
      </c>
    </row>
    <row r="37" spans="1:11" x14ac:dyDescent="0.15">
      <c r="A37" s="51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5">
        <v>0</v>
      </c>
      <c r="I37" s="16">
        <f t="shared" si="8"/>
        <v>0</v>
      </c>
      <c r="J37" s="16">
        <f t="shared" si="0"/>
        <v>0</v>
      </c>
      <c r="K37" s="13">
        <f>I37/I13</f>
        <v>0</v>
      </c>
    </row>
    <row r="38" spans="1:11" x14ac:dyDescent="0.15">
      <c r="A38" s="51"/>
      <c r="B38" s="11" t="s">
        <v>93</v>
      </c>
      <c r="C38" s="14">
        <v>10690</v>
      </c>
      <c r="D38" s="14">
        <v>9667</v>
      </c>
      <c r="E38" s="14">
        <v>8428</v>
      </c>
      <c r="F38" s="14">
        <v>12255</v>
      </c>
      <c r="G38" s="14">
        <v>11103</v>
      </c>
      <c r="H38" s="15">
        <v>10690</v>
      </c>
      <c r="I38" s="16">
        <f t="shared" si="8"/>
        <v>62833</v>
      </c>
      <c r="J38" s="16">
        <f t="shared" si="0"/>
        <v>10472.166666666666</v>
      </c>
      <c r="K38" s="13">
        <f>I38/I13</f>
        <v>1.7964696753357035E-2</v>
      </c>
    </row>
    <row r="39" spans="1:11" x14ac:dyDescent="0.15">
      <c r="A39" s="51"/>
      <c r="B39" s="24" t="s">
        <v>94</v>
      </c>
      <c r="C39" s="25">
        <f t="shared" ref="C39:H39" si="10">SUM(C34:C38)</f>
        <v>13141</v>
      </c>
      <c r="D39" s="25">
        <f t="shared" si="10"/>
        <v>11679</v>
      </c>
      <c r="E39" s="25">
        <f t="shared" si="10"/>
        <v>10436</v>
      </c>
      <c r="F39" s="25">
        <f t="shared" si="10"/>
        <v>14263</v>
      </c>
      <c r="G39" s="25">
        <f t="shared" si="10"/>
        <v>11103</v>
      </c>
      <c r="H39" s="26">
        <f t="shared" si="10"/>
        <v>13141</v>
      </c>
      <c r="I39" s="27">
        <f t="shared" si="8"/>
        <v>73763</v>
      </c>
      <c r="J39" s="27">
        <f t="shared" si="0"/>
        <v>12293.833333333334</v>
      </c>
      <c r="K39" s="28">
        <f>I39/I13</f>
        <v>2.1089712835896342E-2</v>
      </c>
    </row>
    <row r="40" spans="1:11" x14ac:dyDescent="0.15">
      <c r="A40" s="51" t="s">
        <v>95</v>
      </c>
      <c r="B40" s="11" t="s">
        <v>96</v>
      </c>
      <c r="C40" s="14">
        <v>89120</v>
      </c>
      <c r="D40" s="14">
        <v>63730</v>
      </c>
      <c r="E40" s="14">
        <v>13460</v>
      </c>
      <c r="F40" s="14">
        <v>84200</v>
      </c>
      <c r="G40" s="14">
        <v>81750</v>
      </c>
      <c r="H40" s="15">
        <v>0</v>
      </c>
      <c r="I40" s="16">
        <f t="shared" si="8"/>
        <v>332260</v>
      </c>
      <c r="J40" s="16">
        <f t="shared" si="0"/>
        <v>55376.666666666664</v>
      </c>
      <c r="K40" s="13">
        <f>I40/I13</f>
        <v>9.4997057967475818E-2</v>
      </c>
    </row>
    <row r="41" spans="1:11" x14ac:dyDescent="0.15">
      <c r="A41" s="51"/>
      <c r="B41" s="11" t="s">
        <v>97</v>
      </c>
      <c r="C41" s="14">
        <v>-8102</v>
      </c>
      <c r="D41" s="14">
        <v>-5794</v>
      </c>
      <c r="E41" s="14">
        <v>-1224</v>
      </c>
      <c r="F41" s="14">
        <v>-7655</v>
      </c>
      <c r="G41" s="14">
        <v>-15514</v>
      </c>
      <c r="H41" s="15">
        <v>0</v>
      </c>
      <c r="I41" s="16">
        <f t="shared" si="8"/>
        <v>-38289</v>
      </c>
      <c r="J41" s="16">
        <f t="shared" si="0"/>
        <v>-6381.5</v>
      </c>
      <c r="K41" s="13">
        <f>I41/I13</f>
        <v>-1.0947277290425213E-2</v>
      </c>
    </row>
    <row r="42" spans="1:11" x14ac:dyDescent="0.15">
      <c r="A42" s="51"/>
      <c r="B42" s="11" t="s">
        <v>98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5">
        <v>0</v>
      </c>
      <c r="I42" s="16">
        <f t="shared" si="8"/>
        <v>0</v>
      </c>
      <c r="J42" s="16">
        <f t="shared" si="0"/>
        <v>0</v>
      </c>
      <c r="K42" s="13">
        <f>I42/I13</f>
        <v>0</v>
      </c>
    </row>
    <row r="43" spans="1:11" x14ac:dyDescent="0.15">
      <c r="A43" s="51"/>
      <c r="B43" s="11" t="s">
        <v>99</v>
      </c>
      <c r="C43" s="14">
        <v>-28518.400000000001</v>
      </c>
      <c r="D43" s="14">
        <v>-20393.599999999999</v>
      </c>
      <c r="E43" s="14">
        <v>-4307.2</v>
      </c>
      <c r="F43" s="14">
        <v>-26944</v>
      </c>
      <c r="G43" s="14">
        <v>-26160</v>
      </c>
      <c r="H43" s="15">
        <v>0</v>
      </c>
      <c r="I43" s="16">
        <f t="shared" si="8"/>
        <v>-106323.2</v>
      </c>
      <c r="J43" s="16">
        <f>AVERAGE(B43:H43)</f>
        <v>-17720.533333333333</v>
      </c>
      <c r="K43" s="13">
        <f>I43/I13</f>
        <v>-3.039905854959226E-2</v>
      </c>
    </row>
    <row r="44" spans="1:11" x14ac:dyDescent="0.15">
      <c r="A44" s="51"/>
      <c r="B44" s="24" t="s">
        <v>100</v>
      </c>
      <c r="C44" s="25">
        <f t="shared" ref="C44:I44" si="11">SUM(C40:C43)</f>
        <v>52499.6</v>
      </c>
      <c r="D44" s="25">
        <f t="shared" si="11"/>
        <v>37542.400000000001</v>
      </c>
      <c r="E44" s="25">
        <f t="shared" si="11"/>
        <v>7928.8</v>
      </c>
      <c r="F44" s="25">
        <f t="shared" si="11"/>
        <v>49601</v>
      </c>
      <c r="G44" s="25">
        <f t="shared" si="11"/>
        <v>40076</v>
      </c>
      <c r="H44" s="26">
        <f t="shared" si="11"/>
        <v>0</v>
      </c>
      <c r="I44" s="27">
        <f t="shared" si="11"/>
        <v>187647.8</v>
      </c>
      <c r="J44" s="27">
        <f>AVERAGE(B44:H44)</f>
        <v>31274.633333333331</v>
      </c>
      <c r="K44" s="28">
        <f>I44/I13</f>
        <v>5.365072212745834E-2</v>
      </c>
    </row>
    <row r="45" spans="1:11" x14ac:dyDescent="0.15">
      <c r="A45" s="51" t="s">
        <v>101</v>
      </c>
      <c r="B45" s="11" t="s">
        <v>102</v>
      </c>
      <c r="C45" s="14">
        <v>200476</v>
      </c>
      <c r="D45" s="14">
        <v>260620</v>
      </c>
      <c r="E45" s="14">
        <v>100238</v>
      </c>
      <c r="F45" s="14">
        <v>260620</v>
      </c>
      <c r="G45" s="14">
        <v>461103</v>
      </c>
      <c r="H45" s="15">
        <v>0</v>
      </c>
      <c r="I45" s="16">
        <f t="shared" ref="I45:I60" si="12">SUM(C45:H45)</f>
        <v>1283057</v>
      </c>
      <c r="J45" s="16">
        <f t="shared" ref="J45:J60" si="13">AVERAGE(C45:H45)</f>
        <v>213842.83333333334</v>
      </c>
      <c r="K45" s="13">
        <f>I45/I13</f>
        <v>0.36684114911387355</v>
      </c>
    </row>
    <row r="46" spans="1:11" x14ac:dyDescent="0.15">
      <c r="A46" s="51"/>
      <c r="B46" s="11" t="s">
        <v>103</v>
      </c>
      <c r="C46" s="14">
        <v>13531</v>
      </c>
      <c r="D46" s="14">
        <v>17592</v>
      </c>
      <c r="E46" s="14">
        <v>6766</v>
      </c>
      <c r="F46" s="14">
        <v>17592</v>
      </c>
      <c r="G46" s="14">
        <v>31122</v>
      </c>
      <c r="H46" s="15">
        <v>0</v>
      </c>
      <c r="I46" s="16">
        <f t="shared" si="12"/>
        <v>86603</v>
      </c>
      <c r="J46" s="16">
        <f t="shared" si="13"/>
        <v>14433.833333333334</v>
      </c>
      <c r="K46" s="13">
        <f>I46/I13</f>
        <v>2.476082047540272E-2</v>
      </c>
    </row>
    <row r="47" spans="1:11" x14ac:dyDescent="0.15">
      <c r="A47" s="51"/>
      <c r="B47" s="11" t="s">
        <v>104</v>
      </c>
      <c r="C47" s="14">
        <v>35880</v>
      </c>
      <c r="D47" s="14">
        <v>46645</v>
      </c>
      <c r="E47" s="14">
        <v>17940</v>
      </c>
      <c r="F47" s="14">
        <v>46644</v>
      </c>
      <c r="G47" s="14">
        <v>82527</v>
      </c>
      <c r="H47" s="15">
        <v>0</v>
      </c>
      <c r="I47" s="16">
        <f t="shared" si="12"/>
        <v>229636</v>
      </c>
      <c r="J47" s="16">
        <f t="shared" si="13"/>
        <v>38272.666666666664</v>
      </c>
      <c r="K47" s="13">
        <f>I47/I13</f>
        <v>6.5655644385178097E-2</v>
      </c>
    </row>
    <row r="48" spans="1:11" x14ac:dyDescent="0.15">
      <c r="A48" s="51"/>
      <c r="B48" s="11" t="s">
        <v>105</v>
      </c>
      <c r="C48" s="14">
        <v>2856</v>
      </c>
      <c r="D48" s="14">
        <v>3714</v>
      </c>
      <c r="E48" s="14">
        <v>1428</v>
      </c>
      <c r="F48" s="14">
        <v>3714</v>
      </c>
      <c r="G48" s="14">
        <v>6573</v>
      </c>
      <c r="H48" s="15">
        <v>0</v>
      </c>
      <c r="I48" s="16">
        <f t="shared" si="12"/>
        <v>18285</v>
      </c>
      <c r="J48" s="16">
        <f t="shared" si="13"/>
        <v>3047.5</v>
      </c>
      <c r="K48" s="13">
        <f>I48/I13</f>
        <v>5.2278974445774248E-3</v>
      </c>
    </row>
    <row r="49" spans="1:11" x14ac:dyDescent="0.15">
      <c r="A49" s="51"/>
      <c r="B49" s="24" t="s">
        <v>106</v>
      </c>
      <c r="C49" s="25">
        <f t="shared" ref="C49:H49" si="14">SUM(C45:C48)</f>
        <v>252743</v>
      </c>
      <c r="D49" s="25">
        <f t="shared" si="14"/>
        <v>328571</v>
      </c>
      <c r="E49" s="25">
        <f t="shared" si="14"/>
        <v>126372</v>
      </c>
      <c r="F49" s="25">
        <f t="shared" si="14"/>
        <v>328570</v>
      </c>
      <c r="G49" s="25">
        <f t="shared" si="14"/>
        <v>581325</v>
      </c>
      <c r="H49" s="26">
        <f t="shared" si="14"/>
        <v>0</v>
      </c>
      <c r="I49" s="27">
        <f t="shared" si="12"/>
        <v>1617581</v>
      </c>
      <c r="J49" s="27">
        <f t="shared" si="13"/>
        <v>269596.83333333331</v>
      </c>
      <c r="K49" s="28">
        <f>I49/I13</f>
        <v>0.46248551141903177</v>
      </c>
    </row>
    <row r="50" spans="1:11" x14ac:dyDescent="0.15">
      <c r="A50" s="51" t="s">
        <v>107</v>
      </c>
      <c r="B50" s="11" t="s">
        <v>108</v>
      </c>
      <c r="C50" s="14">
        <v>28333.333333333332</v>
      </c>
      <c r="D50" s="14">
        <v>28333.333333333332</v>
      </c>
      <c r="E50" s="14">
        <v>28333.333333333332</v>
      </c>
      <c r="F50" s="14">
        <v>28333.333333333332</v>
      </c>
      <c r="G50" s="14">
        <v>28333.333333333332</v>
      </c>
      <c r="H50" s="15">
        <v>28333.333333333332</v>
      </c>
      <c r="I50" s="16">
        <f t="shared" si="12"/>
        <v>170000</v>
      </c>
      <c r="J50" s="16">
        <f t="shared" si="13"/>
        <v>28333.333333333332</v>
      </c>
      <c r="K50" s="13">
        <f>I50/I13</f>
        <v>4.8605007688168569E-2</v>
      </c>
    </row>
    <row r="51" spans="1:11" x14ac:dyDescent="0.15">
      <c r="A51" s="51"/>
      <c r="B51" s="11" t="s">
        <v>109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5">
        <v>0</v>
      </c>
      <c r="I51" s="16">
        <f t="shared" si="12"/>
        <v>0</v>
      </c>
      <c r="J51" s="16">
        <f t="shared" si="13"/>
        <v>0</v>
      </c>
      <c r="K51" s="13">
        <f>I51/I13</f>
        <v>0</v>
      </c>
    </row>
    <row r="52" spans="1:11" x14ac:dyDescent="0.15">
      <c r="A52" s="51"/>
      <c r="B52" s="11" t="s">
        <v>110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5">
        <v>0</v>
      </c>
      <c r="I52" s="16">
        <f t="shared" si="12"/>
        <v>0</v>
      </c>
      <c r="J52" s="16">
        <f t="shared" si="13"/>
        <v>0</v>
      </c>
      <c r="K52" s="13">
        <f>I52/I13</f>
        <v>0</v>
      </c>
    </row>
    <row r="53" spans="1:11" x14ac:dyDescent="0.15">
      <c r="A53" s="51"/>
      <c r="B53" s="11" t="s">
        <v>111</v>
      </c>
      <c r="C53" s="14">
        <v>102000.5</v>
      </c>
      <c r="D53" s="14">
        <v>102000.5</v>
      </c>
      <c r="E53" s="14">
        <v>102000.5</v>
      </c>
      <c r="F53" s="14">
        <v>102000.5</v>
      </c>
      <c r="G53" s="14">
        <v>102000.5</v>
      </c>
      <c r="H53" s="15">
        <v>102000.5</v>
      </c>
      <c r="I53" s="16">
        <f t="shared" si="12"/>
        <v>612003</v>
      </c>
      <c r="J53" s="16">
        <f t="shared" si="13"/>
        <v>102000.5</v>
      </c>
      <c r="K53" s="13">
        <f>I53/I13</f>
        <v>0.17497888541283663</v>
      </c>
    </row>
    <row r="54" spans="1:11" x14ac:dyDescent="0.15">
      <c r="A54" s="51"/>
      <c r="B54" s="11" t="s">
        <v>112</v>
      </c>
      <c r="C54" s="14">
        <v>245644.83333333334</v>
      </c>
      <c r="D54" s="14">
        <v>245644.83333333334</v>
      </c>
      <c r="E54" s="14">
        <v>245644.83333333334</v>
      </c>
      <c r="F54" s="14">
        <v>245644.83333333334</v>
      </c>
      <c r="G54" s="14">
        <v>245644.83333333334</v>
      </c>
      <c r="H54" s="15">
        <v>245644.83333333334</v>
      </c>
      <c r="I54" s="16">
        <f t="shared" si="12"/>
        <v>1473869</v>
      </c>
      <c r="J54" s="16">
        <f t="shared" si="13"/>
        <v>245644.83333333334</v>
      </c>
      <c r="K54" s="13">
        <f>I54/I13</f>
        <v>0.42139655339031368</v>
      </c>
    </row>
    <row r="55" spans="1:11" x14ac:dyDescent="0.15">
      <c r="A55" s="51"/>
      <c r="B55" s="24" t="s">
        <v>113</v>
      </c>
      <c r="C55" s="25">
        <f t="shared" ref="C55:H55" si="15">SUM(C50:C54)</f>
        <v>375978.66666666669</v>
      </c>
      <c r="D55" s="25">
        <f t="shared" si="15"/>
        <v>375978.66666666669</v>
      </c>
      <c r="E55" s="25">
        <f t="shared" si="15"/>
        <v>375978.66666666669</v>
      </c>
      <c r="F55" s="25">
        <f t="shared" si="15"/>
        <v>375978.66666666669</v>
      </c>
      <c r="G55" s="25">
        <f t="shared" si="15"/>
        <v>375978.66666666669</v>
      </c>
      <c r="H55" s="26">
        <f t="shared" si="15"/>
        <v>375978.66666666669</v>
      </c>
      <c r="I55" s="27">
        <f t="shared" si="12"/>
        <v>2255872</v>
      </c>
      <c r="J55" s="27">
        <f t="shared" si="13"/>
        <v>375978.66666666669</v>
      </c>
      <c r="K55" s="28">
        <f>I55/I13</f>
        <v>0.64498044649131892</v>
      </c>
    </row>
    <row r="56" spans="1:11" x14ac:dyDescent="0.15">
      <c r="A56" s="50" t="s">
        <v>114</v>
      </c>
      <c r="B56" s="50"/>
      <c r="C56" s="14">
        <f t="shared" ref="C56:H56" si="16">SUM(C49+C22+C27+C33+C39+C44+C55)</f>
        <v>1037621.4666666666</v>
      </c>
      <c r="D56" s="14">
        <f t="shared" si="16"/>
        <v>1213553.0666666667</v>
      </c>
      <c r="E56" s="14">
        <f t="shared" si="16"/>
        <v>812074.23809523811</v>
      </c>
      <c r="F56" s="14">
        <f t="shared" si="16"/>
        <v>1241401.780952381</v>
      </c>
      <c r="G56" s="14">
        <f t="shared" si="16"/>
        <v>1559586.6952380955</v>
      </c>
      <c r="H56" s="15">
        <f t="shared" si="16"/>
        <v>418819.66666666669</v>
      </c>
      <c r="I56" s="16">
        <f t="shared" si="12"/>
        <v>6283056.9142857147</v>
      </c>
      <c r="J56" s="16">
        <f t="shared" si="13"/>
        <v>1047176.1523809525</v>
      </c>
      <c r="K56" s="13">
        <f>I56/I13</f>
        <v>1.7964001742591638</v>
      </c>
    </row>
    <row r="57" spans="1:11" x14ac:dyDescent="0.15">
      <c r="A57" s="50" t="s">
        <v>115</v>
      </c>
      <c r="B57" s="50"/>
      <c r="C57" s="14">
        <f t="shared" ref="C57:H57" si="17">SUM(C13+C14-C56)</f>
        <v>-344221.46666666656</v>
      </c>
      <c r="D57" s="14">
        <f t="shared" si="17"/>
        <v>-453853.06666666665</v>
      </c>
      <c r="E57" s="14">
        <f t="shared" si="17"/>
        <v>-660074.23809523811</v>
      </c>
      <c r="F57" s="14">
        <f t="shared" si="17"/>
        <v>-517401.78095238097</v>
      </c>
      <c r="G57" s="14">
        <f t="shared" si="17"/>
        <v>-391104.69523809548</v>
      </c>
      <c r="H57" s="15">
        <f t="shared" si="17"/>
        <v>-418819.66666666669</v>
      </c>
      <c r="I57" s="16">
        <f t="shared" si="12"/>
        <v>-2785474.9142857143</v>
      </c>
      <c r="J57" s="16">
        <f t="shared" si="13"/>
        <v>-464245.81904761906</v>
      </c>
      <c r="K57" s="13">
        <f>I57/I13</f>
        <v>-0.79640017425916365</v>
      </c>
    </row>
    <row r="58" spans="1:11" x14ac:dyDescent="0.15">
      <c r="A58" s="50" t="s">
        <v>116</v>
      </c>
      <c r="B58" s="50"/>
      <c r="C58" s="14">
        <v>87826.465116279069</v>
      </c>
      <c r="D58" s="14">
        <v>87826.465116279069</v>
      </c>
      <c r="E58" s="14">
        <v>87826.465116279069</v>
      </c>
      <c r="F58" s="14">
        <v>87826.465116279069</v>
      </c>
      <c r="G58" s="14">
        <v>87826.465116279069</v>
      </c>
      <c r="H58" s="15">
        <v>87826.465116279069</v>
      </c>
      <c r="I58" s="16">
        <f t="shared" si="12"/>
        <v>526958.79069767438</v>
      </c>
      <c r="J58" s="16">
        <f t="shared" si="13"/>
        <v>87826.465116279069</v>
      </c>
      <c r="K58" s="13">
        <f>I58/I13</f>
        <v>0.15066374160710869</v>
      </c>
    </row>
    <row r="59" spans="1:11" x14ac:dyDescent="0.15">
      <c r="A59" s="50" t="s">
        <v>117</v>
      </c>
      <c r="B59" s="50"/>
      <c r="C59" s="14">
        <v>42477.813953488374</v>
      </c>
      <c r="D59" s="14">
        <v>42477.813953488374</v>
      </c>
      <c r="E59" s="14">
        <v>42477.813953488374</v>
      </c>
      <c r="F59" s="14">
        <v>42477.813953488374</v>
      </c>
      <c r="G59" s="14">
        <v>42477.813953488374</v>
      </c>
      <c r="H59" s="15">
        <v>42477.813953488374</v>
      </c>
      <c r="I59" s="16">
        <f t="shared" si="12"/>
        <v>254866.88372093023</v>
      </c>
      <c r="J59" s="16">
        <f t="shared" si="13"/>
        <v>42477.813953488374</v>
      </c>
      <c r="K59" s="13">
        <f>I59/I13</f>
        <v>7.2869452015972822E-2</v>
      </c>
    </row>
    <row r="60" spans="1:11" x14ac:dyDescent="0.15">
      <c r="A60" s="50" t="s">
        <v>118</v>
      </c>
      <c r="B60" s="50"/>
      <c r="C60" s="14">
        <f t="shared" ref="C60:H60" si="18">SUM(C57-(C58+C59))</f>
        <v>-474525.74573643401</v>
      </c>
      <c r="D60" s="14">
        <f t="shared" si="18"/>
        <v>-584157.3457364341</v>
      </c>
      <c r="E60" s="14">
        <f t="shared" si="18"/>
        <v>-790378.51716500556</v>
      </c>
      <c r="F60" s="14">
        <f t="shared" si="18"/>
        <v>-647706.06002214842</v>
      </c>
      <c r="G60" s="14">
        <f t="shared" si="18"/>
        <v>-521408.97430786293</v>
      </c>
      <c r="H60" s="15">
        <f t="shared" si="18"/>
        <v>-549123.94573643408</v>
      </c>
      <c r="I60" s="16">
        <f t="shared" si="12"/>
        <v>-3567300.5887043187</v>
      </c>
      <c r="J60" s="16">
        <f t="shared" si="13"/>
        <v>-594550.09811738646</v>
      </c>
      <c r="K60" s="13">
        <f>I60/I13</f>
        <v>-1.0199333678822451</v>
      </c>
    </row>
    <row r="61" spans="1:11" x14ac:dyDescent="0.15">
      <c r="A61" s="11"/>
      <c r="B61" s="36" t="s">
        <v>47</v>
      </c>
      <c r="C61" s="11"/>
      <c r="D61" s="11"/>
      <c r="E61" s="11"/>
      <c r="F61" s="11"/>
      <c r="G61" s="11"/>
      <c r="H61" s="11"/>
    </row>
    <row r="62" spans="1:11" x14ac:dyDescent="0.15">
      <c r="A62" s="12"/>
      <c r="B62" s="37"/>
      <c r="C62" s="11"/>
      <c r="D62" s="11"/>
      <c r="E62" s="11"/>
      <c r="F62" s="11"/>
      <c r="G62" s="11"/>
      <c r="H62" s="11"/>
    </row>
    <row r="63" spans="1:11" x14ac:dyDescent="0.15">
      <c r="A63" s="12"/>
      <c r="B63" s="39" t="s">
        <v>125</v>
      </c>
      <c r="C63" s="11"/>
      <c r="D63" s="11"/>
      <c r="E63" s="11"/>
      <c r="F63" s="11"/>
      <c r="G63" s="11"/>
      <c r="H63" s="11"/>
    </row>
    <row r="64" spans="1:11" x14ac:dyDescent="0.15">
      <c r="A64" s="12"/>
      <c r="B64" s="40" t="s">
        <v>126</v>
      </c>
      <c r="C64" s="11"/>
      <c r="D64" s="11"/>
      <c r="E64" s="11"/>
      <c r="F64" s="11"/>
      <c r="G64" s="11"/>
      <c r="H64" s="11"/>
    </row>
    <row r="65" spans="1:8" x14ac:dyDescent="0.15">
      <c r="A65" s="12"/>
      <c r="B65" s="40" t="s">
        <v>42</v>
      </c>
      <c r="C65" s="11"/>
      <c r="D65" s="11"/>
      <c r="E65" s="11"/>
      <c r="F65" s="11"/>
      <c r="G65" s="11"/>
      <c r="H65" s="11"/>
    </row>
    <row r="66" spans="1:8" x14ac:dyDescent="0.15">
      <c r="A66" s="11"/>
      <c r="B66" s="41" t="s">
        <v>48</v>
      </c>
      <c r="C66" s="11"/>
      <c r="D66" s="11"/>
      <c r="E66" s="11"/>
      <c r="F66" s="11"/>
      <c r="G66" s="11"/>
      <c r="H66" s="11"/>
    </row>
    <row r="67" spans="1:8" x14ac:dyDescent="0.15">
      <c r="A67" s="11"/>
      <c r="B67" s="37"/>
      <c r="C67" s="11"/>
      <c r="D67" s="11"/>
      <c r="E67" s="11"/>
      <c r="F67" s="11"/>
      <c r="G67" s="11"/>
      <c r="H67" s="11"/>
    </row>
    <row r="68" spans="1:8" x14ac:dyDescent="0.15">
      <c r="A68" s="11"/>
      <c r="B68" s="39" t="s">
        <v>125</v>
      </c>
      <c r="C68" s="11"/>
      <c r="D68" s="11"/>
      <c r="E68" s="11"/>
      <c r="F68" s="11"/>
      <c r="G68" s="11"/>
      <c r="H68" s="11"/>
    </row>
    <row r="69" spans="1:8" x14ac:dyDescent="0.15">
      <c r="A69" s="11"/>
      <c r="B69" s="40" t="s">
        <v>126</v>
      </c>
      <c r="C69" s="11"/>
      <c r="D69" s="11"/>
      <c r="E69" s="11"/>
      <c r="F69" s="11"/>
      <c r="G69" s="11"/>
      <c r="H69" s="11"/>
    </row>
    <row r="70" spans="1:8" x14ac:dyDescent="0.15">
      <c r="A70" s="11"/>
      <c r="B70" s="40" t="s">
        <v>42</v>
      </c>
      <c r="C70" s="11"/>
      <c r="D70" s="11"/>
      <c r="E70" s="11"/>
      <c r="F70" s="11"/>
      <c r="G70" s="11"/>
      <c r="H70" s="11"/>
    </row>
    <row r="71" spans="1:8" x14ac:dyDescent="0.15">
      <c r="A71" s="11"/>
      <c r="B71" s="11" t="s">
        <v>130</v>
      </c>
      <c r="C71" s="11"/>
      <c r="D71" s="11"/>
      <c r="E71" s="11"/>
      <c r="F71" s="11"/>
      <c r="G71" s="11"/>
      <c r="H71" s="11"/>
    </row>
    <row r="72" spans="1:8" x14ac:dyDescent="0.15">
      <c r="A72" s="11"/>
      <c r="B72" s="37"/>
      <c r="C72" s="11"/>
      <c r="D72" s="11"/>
      <c r="E72" s="11"/>
      <c r="F72" s="11"/>
      <c r="G72" s="11"/>
      <c r="H72" s="11"/>
    </row>
    <row r="73" spans="1:8" x14ac:dyDescent="0.15">
      <c r="A73" s="11"/>
      <c r="B73" s="39" t="s">
        <v>125</v>
      </c>
      <c r="C73" s="11"/>
      <c r="D73" s="11"/>
      <c r="E73" s="11"/>
      <c r="F73" s="11"/>
      <c r="G73" s="11"/>
      <c r="H73" s="11"/>
    </row>
    <row r="74" spans="1:8" x14ac:dyDescent="0.15">
      <c r="A74" s="11"/>
      <c r="B74" s="40" t="s">
        <v>126</v>
      </c>
      <c r="C74" s="11"/>
      <c r="D74" s="11"/>
      <c r="E74" s="11"/>
      <c r="F74" s="11"/>
      <c r="G74" s="11"/>
      <c r="H74" s="11"/>
    </row>
    <row r="75" spans="1:8" x14ac:dyDescent="0.15">
      <c r="A75" s="11"/>
      <c r="B75" s="40" t="s">
        <v>42</v>
      </c>
      <c r="C75" s="11"/>
      <c r="D75" s="11"/>
      <c r="E75" s="11"/>
      <c r="F75" s="11"/>
      <c r="G75" s="11"/>
      <c r="H75" s="11"/>
    </row>
    <row r="76" spans="1:8" x14ac:dyDescent="0.15">
      <c r="A76" s="11"/>
      <c r="B76" s="11" t="s">
        <v>134</v>
      </c>
      <c r="C76" s="11"/>
      <c r="D76" s="11"/>
      <c r="E76" s="11"/>
      <c r="F76" s="11"/>
      <c r="G76" s="11"/>
      <c r="H76" s="11"/>
    </row>
    <row r="77" spans="1:8" x14ac:dyDescent="0.15">
      <c r="A77" s="11"/>
      <c r="B77" s="37"/>
      <c r="C77" s="11"/>
      <c r="D77" s="11"/>
      <c r="E77" s="11"/>
      <c r="F77" s="11"/>
      <c r="G77" s="11"/>
      <c r="H77" s="11"/>
    </row>
    <row r="78" spans="1:8" x14ac:dyDescent="0.15">
      <c r="A78" s="11"/>
      <c r="B78" s="39" t="s">
        <v>125</v>
      </c>
      <c r="C78" s="11"/>
      <c r="D78" s="11"/>
      <c r="E78" s="11"/>
      <c r="F78" s="11"/>
      <c r="G78" s="11"/>
      <c r="H78" s="11"/>
    </row>
    <row r="79" spans="1:8" x14ac:dyDescent="0.15">
      <c r="A79" s="11"/>
      <c r="B79" s="40" t="s">
        <v>126</v>
      </c>
      <c r="C79" s="11"/>
      <c r="D79" s="11"/>
      <c r="E79" s="11"/>
      <c r="F79" s="11"/>
      <c r="G79" s="11"/>
      <c r="H79" s="11"/>
    </row>
    <row r="80" spans="1:8" x14ac:dyDescent="0.15">
      <c r="A80" s="11"/>
      <c r="B80" s="40" t="s">
        <v>42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138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7"/>
      <c r="C82" s="11"/>
      <c r="D82" s="11"/>
      <c r="E82" s="11"/>
      <c r="F82" s="11"/>
      <c r="G82" s="11"/>
      <c r="H82" s="11"/>
    </row>
    <row r="83" spans="1:8" x14ac:dyDescent="0.15">
      <c r="A83" s="11"/>
      <c r="B83" s="39" t="s">
        <v>125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40" t="s">
        <v>126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40" t="s">
        <v>42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/>
      <c r="C86" s="11"/>
      <c r="D86" s="11"/>
      <c r="E86" s="11"/>
      <c r="F86" s="11"/>
      <c r="G86" s="11"/>
      <c r="H86" s="11"/>
    </row>
    <row r="87" spans="1:8" x14ac:dyDescent="0.15">
      <c r="A87" s="11"/>
      <c r="B87" s="37"/>
      <c r="C87" s="11"/>
      <c r="D87" s="11"/>
      <c r="E87" s="11"/>
      <c r="F87" s="11"/>
      <c r="G87" s="11"/>
      <c r="H87" s="11"/>
    </row>
    <row r="88" spans="1:8" x14ac:dyDescent="0.15">
      <c r="A88" s="11"/>
      <c r="B88" s="39" t="s">
        <v>125</v>
      </c>
      <c r="C88" s="11"/>
      <c r="D88" s="11"/>
      <c r="E88" s="11"/>
      <c r="F88" s="11"/>
      <c r="G88" s="11"/>
      <c r="H88" s="11"/>
    </row>
    <row r="89" spans="1:8" x14ac:dyDescent="0.15">
      <c r="B89" s="40" t="s">
        <v>126</v>
      </c>
    </row>
    <row r="90" spans="1:8" x14ac:dyDescent="0.15">
      <c r="B90" s="40" t="s">
        <v>42</v>
      </c>
    </row>
    <row r="92" spans="1:8" x14ac:dyDescent="0.15">
      <c r="B92" s="37"/>
    </row>
    <row r="93" spans="1:8" x14ac:dyDescent="0.15">
      <c r="B93" s="39" t="s">
        <v>125</v>
      </c>
    </row>
    <row r="94" spans="1:8" x14ac:dyDescent="0.15">
      <c r="B94" s="40" t="s">
        <v>126</v>
      </c>
    </row>
    <row r="95" spans="1:8" x14ac:dyDescent="0.15">
      <c r="B95" s="40" t="s">
        <v>42</v>
      </c>
    </row>
    <row r="97" spans="2:2" x14ac:dyDescent="0.15">
      <c r="B97" s="37"/>
    </row>
    <row r="98" spans="2:2" x14ac:dyDescent="0.15">
      <c r="B98" s="39" t="s">
        <v>125</v>
      </c>
    </row>
    <row r="99" spans="2:2" x14ac:dyDescent="0.15">
      <c r="B99" s="40" t="s">
        <v>126</v>
      </c>
    </row>
    <row r="100" spans="2:2" x14ac:dyDescent="0.15">
      <c r="B100" s="40" t="s">
        <v>42</v>
      </c>
    </row>
    <row r="102" spans="2:2" x14ac:dyDescent="0.15">
      <c r="B102" s="11" t="s">
        <v>151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142875</xdr:colOff>
                <xdr:row>0</xdr:row>
                <xdr:rowOff>142875</xdr:rowOff>
              </from>
              <to>
                <xdr:col>1</xdr:col>
                <xdr:colOff>609600</xdr:colOff>
                <xdr:row>1</xdr:row>
                <xdr:rowOff>304800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asada</dc:creator>
  <cp:lastModifiedBy>asada@waka-trans.com</cp:lastModifiedBy>
  <dcterms:created xsi:type="dcterms:W3CDTF">2025-01-27T07:24:19Z</dcterms:created>
  <dcterms:modified xsi:type="dcterms:W3CDTF">2025-01-28T02:00:00Z</dcterms:modified>
</cp:coreProperties>
</file>