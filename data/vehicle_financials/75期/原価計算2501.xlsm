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ada\若林運送 Dropbox\管理部共有フォルダ\経理・財務\原価計算\75期　2024.9～2025.8\R7.1月\"/>
    </mc:Choice>
  </mc:AlternateContent>
  <xr:revisionPtr revIDLastSave="0" documentId="13_ncr:1_{68A3E91C-E322-471C-A7E1-AD119FD9C879}" xr6:coauthVersionLast="47" xr6:coauthVersionMax="47" xr10:uidLastSave="{00000000-0000-0000-0000-000000000000}"/>
  <bookViews>
    <workbookView xWindow="-120" yWindow="-120" windowWidth="29040" windowHeight="15840" xr2:uid="{64411C65-4126-417F-AFBD-C45BBEEF4A46}"/>
  </bookViews>
  <sheets>
    <sheet name="全社" sheetId="1" r:id="rId1"/>
    <sheet name="東京(営)" sheetId="8" r:id="rId2"/>
    <sheet name="東北部門" sheetId="9" r:id="rId3"/>
    <sheet name="小名浜(営)" sheetId="11" r:id="rId4"/>
    <sheet name="仙台(営)" sheetId="12" r:id="rId5"/>
    <sheet name="川崎(営)" sheetId="10" r:id="rId6"/>
    <sheet name="九州(営)" sheetId="13" r:id="rId7"/>
  </sheets>
  <functionGroups builtInGroupCount="19"/>
  <definedNames>
    <definedName name="_xlnm.Print_Area" localSheetId="6">'九州(営)'!$A$1:$J$60</definedName>
    <definedName name="_xlnm.Print_Area" localSheetId="3">'小名浜(営)'!$A$1:$Y$60</definedName>
    <definedName name="_xlnm.Print_Area" localSheetId="4">'仙台(営)'!$A$1:$L$60</definedName>
    <definedName name="_xlnm.Print_Area" localSheetId="5">'川崎(営)'!$A$1:$K$60</definedName>
    <definedName name="_xlnm.Print_Area" localSheetId="0">全社!$A$1:$AT$60</definedName>
    <definedName name="_xlnm.Print_Area" localSheetId="1">'東京(営)'!$A$1:$M$60</definedName>
    <definedName name="_xlnm.Print_Area" localSheetId="2">東北部門!$A$1:$AF$60</definedName>
    <definedName name="_xlnm.Print_Titles" localSheetId="6">'九州(営)'!$A:$B</definedName>
    <definedName name="_xlnm.Print_Titles" localSheetId="3">'小名浜(営)'!$A:$B</definedName>
    <definedName name="_xlnm.Print_Titles" localSheetId="4">'仙台(営)'!$A:$B</definedName>
    <definedName name="_xlnm.Print_Titles" localSheetId="5">'川崎(営)'!$A:$B</definedName>
    <definedName name="_xlnm.Print_Titles" localSheetId="0">全社!$A:$B</definedName>
    <definedName name="_xlnm.Print_Titles" localSheetId="1">'東京(営)'!$A:$B</definedName>
    <definedName name="_xlnm.Print_Titles" localSheetId="2">東北部門!$A:$B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0" i="12" l="1"/>
  <c r="J57" i="12"/>
  <c r="I43" i="10"/>
  <c r="J43" i="12"/>
  <c r="W43" i="11"/>
  <c r="AD43" i="9"/>
  <c r="K43" i="8"/>
  <c r="AR43" i="1"/>
  <c r="T57" i="11"/>
  <c r="H43" i="13"/>
  <c r="I59" i="13"/>
  <c r="H59" i="13"/>
  <c r="I58" i="13"/>
  <c r="H58" i="13"/>
  <c r="G55" i="13"/>
  <c r="F55" i="13"/>
  <c r="E55" i="13"/>
  <c r="D55" i="13"/>
  <c r="I55" i="13" s="1"/>
  <c r="C55" i="13"/>
  <c r="I54" i="13"/>
  <c r="H54" i="13"/>
  <c r="I53" i="13"/>
  <c r="H53" i="13"/>
  <c r="I52" i="13"/>
  <c r="H52" i="13"/>
  <c r="I51" i="13"/>
  <c r="H51" i="13"/>
  <c r="J51" i="13" s="1"/>
  <c r="I50" i="13"/>
  <c r="H50" i="13"/>
  <c r="G49" i="13"/>
  <c r="F49" i="13"/>
  <c r="E49" i="13"/>
  <c r="D49" i="13"/>
  <c r="C49" i="13"/>
  <c r="I49" i="13" s="1"/>
  <c r="I48" i="13"/>
  <c r="H48" i="13"/>
  <c r="I47" i="13"/>
  <c r="H47" i="13"/>
  <c r="I46" i="13"/>
  <c r="H46" i="13"/>
  <c r="I45" i="13"/>
  <c r="H45" i="13"/>
  <c r="G44" i="13"/>
  <c r="F44" i="13"/>
  <c r="E44" i="13"/>
  <c r="D44" i="13"/>
  <c r="C44" i="13"/>
  <c r="I44" i="13" s="1"/>
  <c r="I43" i="13"/>
  <c r="I42" i="13"/>
  <c r="H42" i="13"/>
  <c r="I41" i="13"/>
  <c r="H41" i="13"/>
  <c r="J41" i="13" s="1"/>
  <c r="I40" i="13"/>
  <c r="H40" i="13"/>
  <c r="G39" i="13"/>
  <c r="F39" i="13"/>
  <c r="E39" i="13"/>
  <c r="D39" i="13"/>
  <c r="C39" i="13"/>
  <c r="H39" i="13" s="1"/>
  <c r="J39" i="13" s="1"/>
  <c r="I38" i="13"/>
  <c r="H38" i="13"/>
  <c r="J38" i="13" s="1"/>
  <c r="I37" i="13"/>
  <c r="H37" i="13"/>
  <c r="I36" i="13"/>
  <c r="H36" i="13"/>
  <c r="I35" i="13"/>
  <c r="H35" i="13"/>
  <c r="I34" i="13"/>
  <c r="H34" i="13"/>
  <c r="G33" i="13"/>
  <c r="F33" i="13"/>
  <c r="E33" i="13"/>
  <c r="D33" i="13"/>
  <c r="C33" i="13"/>
  <c r="H33" i="13"/>
  <c r="I32" i="13"/>
  <c r="H32" i="13"/>
  <c r="I31" i="13"/>
  <c r="H31" i="13"/>
  <c r="J31" i="13" s="1"/>
  <c r="I30" i="13"/>
  <c r="H30" i="13"/>
  <c r="G29" i="13"/>
  <c r="F29" i="13"/>
  <c r="E29" i="13"/>
  <c r="D29" i="13"/>
  <c r="C29" i="13"/>
  <c r="I29" i="13" s="1"/>
  <c r="I28" i="13"/>
  <c r="H28" i="13"/>
  <c r="J28" i="13" s="1"/>
  <c r="C27" i="13"/>
  <c r="I26" i="13"/>
  <c r="H26" i="13"/>
  <c r="G25" i="13"/>
  <c r="G27" i="13" s="1"/>
  <c r="F25" i="13"/>
  <c r="F27" i="13" s="1"/>
  <c r="E25" i="13"/>
  <c r="E27" i="13" s="1"/>
  <c r="E56" i="13" s="1"/>
  <c r="E57" i="13" s="1"/>
  <c r="E60" i="13" s="1"/>
  <c r="D25" i="13"/>
  <c r="D27" i="13" s="1"/>
  <c r="C25" i="13"/>
  <c r="I25" i="13" s="1"/>
  <c r="H25" i="13"/>
  <c r="I24" i="13"/>
  <c r="H24" i="13"/>
  <c r="I23" i="13"/>
  <c r="H23" i="13"/>
  <c r="G22" i="13"/>
  <c r="F22" i="13"/>
  <c r="E22" i="13"/>
  <c r="I22" i="13" s="1"/>
  <c r="D22" i="13"/>
  <c r="C22" i="13"/>
  <c r="H22" i="13" s="1"/>
  <c r="J22" i="13" s="1"/>
  <c r="I21" i="13"/>
  <c r="H21" i="13"/>
  <c r="I20" i="13"/>
  <c r="H20" i="13"/>
  <c r="I19" i="13"/>
  <c r="H19" i="13"/>
  <c r="J19" i="13" s="1"/>
  <c r="I18" i="13"/>
  <c r="H18" i="13"/>
  <c r="I17" i="13"/>
  <c r="H17" i="13"/>
  <c r="G16" i="13"/>
  <c r="F16" i="13"/>
  <c r="E16" i="13"/>
  <c r="D16" i="13"/>
  <c r="I16" i="13" s="1"/>
  <c r="C16" i="13"/>
  <c r="G15" i="13"/>
  <c r="F15" i="13"/>
  <c r="E15" i="13"/>
  <c r="D15" i="13"/>
  <c r="C15" i="13"/>
  <c r="I15" i="13"/>
  <c r="I14" i="13"/>
  <c r="H14" i="13"/>
  <c r="I13" i="13"/>
  <c r="H13" i="13"/>
  <c r="J13" i="13" s="1"/>
  <c r="I12" i="13"/>
  <c r="H12" i="13"/>
  <c r="I11" i="13"/>
  <c r="H11" i="13"/>
  <c r="H29" i="13" s="1"/>
  <c r="J29" i="13" s="1"/>
  <c r="H9" i="13"/>
  <c r="K59" i="12"/>
  <c r="J59" i="12"/>
  <c r="K58" i="12"/>
  <c r="J58" i="12"/>
  <c r="I55" i="12"/>
  <c r="H55" i="12"/>
  <c r="G55" i="12"/>
  <c r="F55" i="12"/>
  <c r="E55" i="12"/>
  <c r="D55" i="12"/>
  <c r="C55" i="12"/>
  <c r="K55" i="12"/>
  <c r="K54" i="12"/>
  <c r="J54" i="12"/>
  <c r="K53" i="12"/>
  <c r="J53" i="12"/>
  <c r="K52" i="12"/>
  <c r="J52" i="12"/>
  <c r="K51" i="12"/>
  <c r="J51" i="12"/>
  <c r="K50" i="12"/>
  <c r="J50" i="12"/>
  <c r="I49" i="12"/>
  <c r="I56" i="12" s="1"/>
  <c r="I57" i="12" s="1"/>
  <c r="I60" i="12" s="1"/>
  <c r="H49" i="12"/>
  <c r="G49" i="12"/>
  <c r="F49" i="12"/>
  <c r="E49" i="12"/>
  <c r="E56" i="12" s="1"/>
  <c r="E57" i="12" s="1"/>
  <c r="E60" i="12" s="1"/>
  <c r="D49" i="12"/>
  <c r="C49" i="12"/>
  <c r="K48" i="12"/>
  <c r="J48" i="12"/>
  <c r="K47" i="12"/>
  <c r="J47" i="12"/>
  <c r="K46" i="12"/>
  <c r="J46" i="12"/>
  <c r="K45" i="12"/>
  <c r="J45" i="12"/>
  <c r="I44" i="12"/>
  <c r="H44" i="12"/>
  <c r="G44" i="12"/>
  <c r="F44" i="12"/>
  <c r="E44" i="12"/>
  <c r="D44" i="12"/>
  <c r="C44" i="12"/>
  <c r="K44" i="12"/>
  <c r="K43" i="12"/>
  <c r="K42" i="12"/>
  <c r="J42" i="12"/>
  <c r="K41" i="12"/>
  <c r="J41" i="12"/>
  <c r="L41" i="12" s="1"/>
  <c r="K40" i="12"/>
  <c r="J40" i="12"/>
  <c r="I39" i="12"/>
  <c r="H39" i="12"/>
  <c r="G39" i="12"/>
  <c r="F39" i="12"/>
  <c r="E39" i="12"/>
  <c r="D39" i="12"/>
  <c r="C39" i="12"/>
  <c r="J39" i="12" s="1"/>
  <c r="L39" i="12" s="1"/>
  <c r="K38" i="12"/>
  <c r="J38" i="12"/>
  <c r="K37" i="12"/>
  <c r="J37" i="12"/>
  <c r="K36" i="12"/>
  <c r="J36" i="12"/>
  <c r="K35" i="12"/>
  <c r="J35" i="12"/>
  <c r="K34" i="12"/>
  <c r="J34" i="12"/>
  <c r="I33" i="12"/>
  <c r="H33" i="12"/>
  <c r="G33" i="12"/>
  <c r="F33" i="12"/>
  <c r="E33" i="12"/>
  <c r="D33" i="12"/>
  <c r="C33" i="12"/>
  <c r="J33" i="12" s="1"/>
  <c r="L33" i="12" s="1"/>
  <c r="K32" i="12"/>
  <c r="J32" i="12"/>
  <c r="K31" i="12"/>
  <c r="J31" i="12"/>
  <c r="L31" i="12" s="1"/>
  <c r="K30" i="12"/>
  <c r="J30" i="12"/>
  <c r="I29" i="12"/>
  <c r="H29" i="12"/>
  <c r="G29" i="12"/>
  <c r="F29" i="12"/>
  <c r="E29" i="12"/>
  <c r="D29" i="12"/>
  <c r="K29" i="12" s="1"/>
  <c r="C29" i="12"/>
  <c r="K28" i="12"/>
  <c r="J28" i="12"/>
  <c r="K26" i="12"/>
  <c r="J26" i="12"/>
  <c r="I25" i="12"/>
  <c r="I27" i="12" s="1"/>
  <c r="H25" i="12"/>
  <c r="H27" i="12" s="1"/>
  <c r="G25" i="12"/>
  <c r="G27" i="12" s="1"/>
  <c r="G56" i="12" s="1"/>
  <c r="G57" i="12" s="1"/>
  <c r="G60" i="12" s="1"/>
  <c r="F25" i="12"/>
  <c r="F27" i="12" s="1"/>
  <c r="E25" i="12"/>
  <c r="E27" i="12" s="1"/>
  <c r="D25" i="12"/>
  <c r="D27" i="12" s="1"/>
  <c r="C25" i="12"/>
  <c r="K25" i="12" s="1"/>
  <c r="K24" i="12"/>
  <c r="J24" i="12"/>
  <c r="K23" i="12"/>
  <c r="J23" i="12"/>
  <c r="I22" i="12"/>
  <c r="H22" i="12"/>
  <c r="G22" i="12"/>
  <c r="F22" i="12"/>
  <c r="E22" i="12"/>
  <c r="D22" i="12"/>
  <c r="C22" i="12"/>
  <c r="K22" i="12" s="1"/>
  <c r="K21" i="12"/>
  <c r="J21" i="12"/>
  <c r="K20" i="12"/>
  <c r="J20" i="12"/>
  <c r="K19" i="12"/>
  <c r="J19" i="12"/>
  <c r="L19" i="12" s="1"/>
  <c r="K18" i="12"/>
  <c r="J18" i="12"/>
  <c r="K17" i="12"/>
  <c r="J17" i="12"/>
  <c r="I16" i="12"/>
  <c r="H16" i="12"/>
  <c r="G16" i="12"/>
  <c r="F16" i="12"/>
  <c r="E16" i="12"/>
  <c r="K16" i="12" s="1"/>
  <c r="D16" i="12"/>
  <c r="C16" i="12"/>
  <c r="I15" i="12"/>
  <c r="H15" i="12"/>
  <c r="G15" i="12"/>
  <c r="F15" i="12"/>
  <c r="E15" i="12"/>
  <c r="D15" i="12"/>
  <c r="C15" i="12"/>
  <c r="K15" i="12"/>
  <c r="K14" i="12"/>
  <c r="J14" i="12"/>
  <c r="K13" i="12"/>
  <c r="J13" i="12"/>
  <c r="L52" i="12" s="1"/>
  <c r="K12" i="12"/>
  <c r="J12" i="12"/>
  <c r="K11" i="12"/>
  <c r="J11" i="12"/>
  <c r="J29" i="12" s="1"/>
  <c r="L29" i="12" s="1"/>
  <c r="J9" i="12"/>
  <c r="X59" i="11"/>
  <c r="W59" i="11"/>
  <c r="X58" i="11"/>
  <c r="W58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X54" i="11"/>
  <c r="W54" i="11"/>
  <c r="X53" i="11"/>
  <c r="W53" i="11"/>
  <c r="X52" i="11"/>
  <c r="W52" i="11"/>
  <c r="X51" i="11"/>
  <c r="W51" i="11"/>
  <c r="Y51" i="11" s="1"/>
  <c r="X50" i="11"/>
  <c r="W50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X48" i="11"/>
  <c r="W48" i="11"/>
  <c r="Y48" i="11" s="1"/>
  <c r="X47" i="11"/>
  <c r="W47" i="11"/>
  <c r="X46" i="11"/>
  <c r="W46" i="11"/>
  <c r="X45" i="11"/>
  <c r="W45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X43" i="11"/>
  <c r="X42" i="11"/>
  <c r="W42" i="11"/>
  <c r="Y41" i="11"/>
  <c r="X41" i="11"/>
  <c r="W41" i="11"/>
  <c r="X40" i="11"/>
  <c r="W40" i="11"/>
  <c r="Y43" i="11" s="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X39" i="11" s="1"/>
  <c r="X38" i="11"/>
  <c r="W38" i="11"/>
  <c r="X37" i="11"/>
  <c r="W37" i="11"/>
  <c r="X36" i="11"/>
  <c r="W36" i="11"/>
  <c r="X35" i="11"/>
  <c r="W35" i="11"/>
  <c r="X34" i="11"/>
  <c r="W34" i="11"/>
  <c r="Y34" i="11" s="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W33" i="11" s="1"/>
  <c r="Y33" i="11" s="1"/>
  <c r="X32" i="11"/>
  <c r="W32" i="11"/>
  <c r="X31" i="11"/>
  <c r="W31" i="11"/>
  <c r="Y31" i="11" s="1"/>
  <c r="X30" i="11"/>
  <c r="W30" i="11"/>
  <c r="W29" i="11"/>
  <c r="Y29" i="11" s="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X29" i="11" s="1"/>
  <c r="X28" i="11"/>
  <c r="W28" i="11"/>
  <c r="S27" i="11"/>
  <c r="S56" i="11" s="1"/>
  <c r="S57" i="11" s="1"/>
  <c r="S60" i="11" s="1"/>
  <c r="C27" i="11"/>
  <c r="X26" i="11"/>
  <c r="W26" i="11"/>
  <c r="V25" i="11"/>
  <c r="V27" i="11" s="1"/>
  <c r="U25" i="11"/>
  <c r="U27" i="11" s="1"/>
  <c r="T25" i="11"/>
  <c r="T27" i="11" s="1"/>
  <c r="S25" i="11"/>
  <c r="R25" i="11"/>
  <c r="R27" i="11" s="1"/>
  <c r="Q25" i="11"/>
  <c r="Q27" i="11" s="1"/>
  <c r="P25" i="11"/>
  <c r="P27" i="11" s="1"/>
  <c r="O25" i="11"/>
  <c r="O27" i="11" s="1"/>
  <c r="O56" i="11" s="1"/>
  <c r="O57" i="11" s="1"/>
  <c r="O60" i="11" s="1"/>
  <c r="N25" i="11"/>
  <c r="N27" i="11" s="1"/>
  <c r="M25" i="11"/>
  <c r="M27" i="11" s="1"/>
  <c r="L25" i="11"/>
  <c r="L27" i="11" s="1"/>
  <c r="K25" i="11"/>
  <c r="K27" i="11" s="1"/>
  <c r="K56" i="11" s="1"/>
  <c r="K57" i="11" s="1"/>
  <c r="K60" i="11" s="1"/>
  <c r="J25" i="11"/>
  <c r="J27" i="11" s="1"/>
  <c r="I25" i="11"/>
  <c r="I27" i="11" s="1"/>
  <c r="H25" i="11"/>
  <c r="H27" i="11" s="1"/>
  <c r="G25" i="11"/>
  <c r="G27" i="11" s="1"/>
  <c r="G56" i="11" s="1"/>
  <c r="G57" i="11" s="1"/>
  <c r="G60" i="11" s="1"/>
  <c r="F25" i="11"/>
  <c r="F27" i="11" s="1"/>
  <c r="E25" i="11"/>
  <c r="E27" i="11" s="1"/>
  <c r="D25" i="11"/>
  <c r="C25" i="11"/>
  <c r="X24" i="11"/>
  <c r="W24" i="11"/>
  <c r="Y24" i="11" s="1"/>
  <c r="X23" i="11"/>
  <c r="W23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X21" i="11"/>
  <c r="W21" i="11"/>
  <c r="Y21" i="11" s="1"/>
  <c r="X20" i="11"/>
  <c r="W20" i="11"/>
  <c r="X19" i="11"/>
  <c r="W19" i="11"/>
  <c r="Y19" i="11" s="1"/>
  <c r="X18" i="11"/>
  <c r="W18" i="11"/>
  <c r="X17" i="11"/>
  <c r="W17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X16" i="11" s="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X14" i="11"/>
  <c r="W14" i="11"/>
  <c r="X13" i="11"/>
  <c r="W13" i="11"/>
  <c r="Y13" i="11" s="1"/>
  <c r="X12" i="11"/>
  <c r="W12" i="11"/>
  <c r="X11" i="11"/>
  <c r="W11" i="11"/>
  <c r="W9" i="11"/>
  <c r="J59" i="10"/>
  <c r="I59" i="10"/>
  <c r="J58" i="10"/>
  <c r="I58" i="10"/>
  <c r="H55" i="10"/>
  <c r="G55" i="10"/>
  <c r="F55" i="10"/>
  <c r="E55" i="10"/>
  <c r="D55" i="10"/>
  <c r="C55" i="10"/>
  <c r="J54" i="10"/>
  <c r="I54" i="10"/>
  <c r="J53" i="10"/>
  <c r="I53" i="10"/>
  <c r="J52" i="10"/>
  <c r="I52" i="10"/>
  <c r="J51" i="10"/>
  <c r="I51" i="10"/>
  <c r="J50" i="10"/>
  <c r="I50" i="10"/>
  <c r="H49" i="10"/>
  <c r="G49" i="10"/>
  <c r="F49" i="10"/>
  <c r="E49" i="10"/>
  <c r="D49" i="10"/>
  <c r="C49" i="10"/>
  <c r="J48" i="10"/>
  <c r="I48" i="10"/>
  <c r="J47" i="10"/>
  <c r="I47" i="10"/>
  <c r="J46" i="10"/>
  <c r="I46" i="10"/>
  <c r="J45" i="10"/>
  <c r="I45" i="10"/>
  <c r="H44" i="10"/>
  <c r="G44" i="10"/>
  <c r="F44" i="10"/>
  <c r="E44" i="10"/>
  <c r="D44" i="10"/>
  <c r="C44" i="10"/>
  <c r="J43" i="10"/>
  <c r="J42" i="10"/>
  <c r="I42" i="10"/>
  <c r="J41" i="10"/>
  <c r="I41" i="10"/>
  <c r="J40" i="10"/>
  <c r="I40" i="10"/>
  <c r="H39" i="10"/>
  <c r="G39" i="10"/>
  <c r="F39" i="10"/>
  <c r="E39" i="10"/>
  <c r="D39" i="10"/>
  <c r="C39" i="10"/>
  <c r="J39" i="10" s="1"/>
  <c r="J38" i="10"/>
  <c r="I38" i="10"/>
  <c r="J37" i="10"/>
  <c r="I37" i="10"/>
  <c r="J36" i="10"/>
  <c r="I36" i="10"/>
  <c r="J35" i="10"/>
  <c r="I35" i="10"/>
  <c r="J34" i="10"/>
  <c r="I34" i="10"/>
  <c r="H33" i="10"/>
  <c r="G33" i="10"/>
  <c r="F33" i="10"/>
  <c r="E33" i="10"/>
  <c r="D33" i="10"/>
  <c r="C33" i="10"/>
  <c r="I33" i="10"/>
  <c r="J32" i="10"/>
  <c r="I32" i="10"/>
  <c r="J31" i="10"/>
  <c r="I31" i="10"/>
  <c r="J30" i="10"/>
  <c r="I30" i="10"/>
  <c r="H29" i="10"/>
  <c r="G29" i="10"/>
  <c r="F29" i="10"/>
  <c r="E29" i="10"/>
  <c r="D29" i="10"/>
  <c r="C29" i="10"/>
  <c r="J28" i="10"/>
  <c r="I28" i="10"/>
  <c r="J26" i="10"/>
  <c r="I26" i="10"/>
  <c r="H25" i="10"/>
  <c r="H27" i="10" s="1"/>
  <c r="G25" i="10"/>
  <c r="G27" i="10" s="1"/>
  <c r="F25" i="10"/>
  <c r="F27" i="10" s="1"/>
  <c r="E25" i="10"/>
  <c r="E27" i="10" s="1"/>
  <c r="D25" i="10"/>
  <c r="D27" i="10" s="1"/>
  <c r="C25" i="10"/>
  <c r="C27" i="10" s="1"/>
  <c r="J24" i="10"/>
  <c r="I24" i="10"/>
  <c r="J23" i="10"/>
  <c r="I23" i="10"/>
  <c r="H22" i="10"/>
  <c r="G22" i="10"/>
  <c r="G56" i="10" s="1"/>
  <c r="G57" i="10" s="1"/>
  <c r="G60" i="10" s="1"/>
  <c r="F22" i="10"/>
  <c r="E22" i="10"/>
  <c r="D22" i="10"/>
  <c r="C22" i="10"/>
  <c r="J21" i="10"/>
  <c r="I21" i="10"/>
  <c r="J20" i="10"/>
  <c r="I20" i="10"/>
  <c r="J19" i="10"/>
  <c r="I19" i="10"/>
  <c r="J18" i="10"/>
  <c r="I18" i="10"/>
  <c r="J17" i="10"/>
  <c r="I17" i="10"/>
  <c r="H16" i="10"/>
  <c r="G16" i="10"/>
  <c r="F16" i="10"/>
  <c r="E16" i="10"/>
  <c r="D16" i="10"/>
  <c r="C16" i="10"/>
  <c r="J16" i="10" s="1"/>
  <c r="H15" i="10"/>
  <c r="G15" i="10"/>
  <c r="F15" i="10"/>
  <c r="E15" i="10"/>
  <c r="J15" i="10" s="1"/>
  <c r="D15" i="10"/>
  <c r="C15" i="10"/>
  <c r="J14" i="10"/>
  <c r="I14" i="10"/>
  <c r="J13" i="10"/>
  <c r="I13" i="10"/>
  <c r="K13" i="10" s="1"/>
  <c r="J12" i="10"/>
  <c r="I12" i="10"/>
  <c r="J11" i="10"/>
  <c r="I11" i="10"/>
  <c r="I29" i="10" s="1"/>
  <c r="K29" i="10" s="1"/>
  <c r="I9" i="10"/>
  <c r="AE59" i="9"/>
  <c r="AD59" i="9"/>
  <c r="AE58" i="9"/>
  <c r="AD58" i="9"/>
  <c r="AC55" i="9"/>
  <c r="AB55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E55" i="9"/>
  <c r="D55" i="9"/>
  <c r="C55" i="9"/>
  <c r="AE54" i="9"/>
  <c r="AD54" i="9"/>
  <c r="AF54" i="9" s="1"/>
  <c r="AE53" i="9"/>
  <c r="AD53" i="9"/>
  <c r="AE52" i="9"/>
  <c r="AD52" i="9"/>
  <c r="AE51" i="9"/>
  <c r="AD51" i="9"/>
  <c r="AE50" i="9"/>
  <c r="AD50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E49" i="9"/>
  <c r="D49" i="9"/>
  <c r="C49" i="9"/>
  <c r="AE48" i="9"/>
  <c r="AD48" i="9"/>
  <c r="AE47" i="9"/>
  <c r="AD47" i="9"/>
  <c r="AE46" i="9"/>
  <c r="AD46" i="9"/>
  <c r="AE45" i="9"/>
  <c r="AD45" i="9"/>
  <c r="AC44" i="9"/>
  <c r="AB44" i="9"/>
  <c r="AA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E44" i="9"/>
  <c r="D44" i="9"/>
  <c r="C44" i="9"/>
  <c r="AE43" i="9"/>
  <c r="AF43" i="9"/>
  <c r="AE42" i="9"/>
  <c r="AD42" i="9"/>
  <c r="AE41" i="9"/>
  <c r="AD41" i="9"/>
  <c r="AF41" i="9" s="1"/>
  <c r="AE40" i="9"/>
  <c r="AD40" i="9"/>
  <c r="AC39" i="9"/>
  <c r="AB39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E39" i="9"/>
  <c r="D39" i="9"/>
  <c r="AD39" i="9" s="1"/>
  <c r="AF39" i="9" s="1"/>
  <c r="C39" i="9"/>
  <c r="AE38" i="9"/>
  <c r="AD38" i="9"/>
  <c r="AE37" i="9"/>
  <c r="AD37" i="9"/>
  <c r="AE36" i="9"/>
  <c r="AD36" i="9"/>
  <c r="AE35" i="9"/>
  <c r="AD35" i="9"/>
  <c r="AE34" i="9"/>
  <c r="AD34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E33" i="9"/>
  <c r="D33" i="9"/>
  <c r="C33" i="9"/>
  <c r="AD33" i="9" s="1"/>
  <c r="AF33" i="9" s="1"/>
  <c r="AE32" i="9"/>
  <c r="AD32" i="9"/>
  <c r="AE31" i="9"/>
  <c r="AD31" i="9"/>
  <c r="AE30" i="9"/>
  <c r="AD30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AE28" i="9"/>
  <c r="AD28" i="9"/>
  <c r="AF28" i="9" s="1"/>
  <c r="AE26" i="9"/>
  <c r="AD26" i="9"/>
  <c r="AF26" i="9" s="1"/>
  <c r="AC25" i="9"/>
  <c r="AC27" i="9" s="1"/>
  <c r="AB25" i="9"/>
  <c r="AB27" i="9" s="1"/>
  <c r="AA25" i="9"/>
  <c r="AA27" i="9" s="1"/>
  <c r="Z25" i="9"/>
  <c r="Z27" i="9" s="1"/>
  <c r="Y25" i="9"/>
  <c r="Y27" i="9" s="1"/>
  <c r="X25" i="9"/>
  <c r="X27" i="9" s="1"/>
  <c r="W25" i="9"/>
  <c r="W27" i="9" s="1"/>
  <c r="V25" i="9"/>
  <c r="V27" i="9" s="1"/>
  <c r="U25" i="9"/>
  <c r="U27" i="9" s="1"/>
  <c r="T25" i="9"/>
  <c r="T27" i="9" s="1"/>
  <c r="S25" i="9"/>
  <c r="S27" i="9" s="1"/>
  <c r="R25" i="9"/>
  <c r="R27" i="9" s="1"/>
  <c r="Q25" i="9"/>
  <c r="Q27" i="9" s="1"/>
  <c r="P25" i="9"/>
  <c r="P27" i="9" s="1"/>
  <c r="O25" i="9"/>
  <c r="O27" i="9" s="1"/>
  <c r="N25" i="9"/>
  <c r="N27" i="9" s="1"/>
  <c r="M25" i="9"/>
  <c r="M27" i="9" s="1"/>
  <c r="L25" i="9"/>
  <c r="L27" i="9" s="1"/>
  <c r="K25" i="9"/>
  <c r="K27" i="9" s="1"/>
  <c r="J25" i="9"/>
  <c r="J27" i="9" s="1"/>
  <c r="I25" i="9"/>
  <c r="I27" i="9" s="1"/>
  <c r="H25" i="9"/>
  <c r="H27" i="9" s="1"/>
  <c r="G25" i="9"/>
  <c r="G27" i="9" s="1"/>
  <c r="F25" i="9"/>
  <c r="F27" i="9" s="1"/>
  <c r="E25" i="9"/>
  <c r="E27" i="9" s="1"/>
  <c r="D25" i="9"/>
  <c r="D27" i="9" s="1"/>
  <c r="C25" i="9"/>
  <c r="C27" i="9" s="1"/>
  <c r="AD25" i="9"/>
  <c r="AF25" i="9" s="1"/>
  <c r="AE24" i="9"/>
  <c r="AD24" i="9"/>
  <c r="AE23" i="9"/>
  <c r="AD23" i="9"/>
  <c r="AF23" i="9" s="1"/>
  <c r="AC22" i="9"/>
  <c r="AB22" i="9"/>
  <c r="AA22" i="9"/>
  <c r="Z22" i="9"/>
  <c r="Z56" i="9" s="1"/>
  <c r="Z57" i="9" s="1"/>
  <c r="Z60" i="9" s="1"/>
  <c r="Y22" i="9"/>
  <c r="X22" i="9"/>
  <c r="W22" i="9"/>
  <c r="V22" i="9"/>
  <c r="V56" i="9" s="1"/>
  <c r="V57" i="9" s="1"/>
  <c r="V60" i="9" s="1"/>
  <c r="U22" i="9"/>
  <c r="T22" i="9"/>
  <c r="S22" i="9"/>
  <c r="R22" i="9"/>
  <c r="R56" i="9" s="1"/>
  <c r="R57" i="9" s="1"/>
  <c r="R60" i="9" s="1"/>
  <c r="Q22" i="9"/>
  <c r="P22" i="9"/>
  <c r="O22" i="9"/>
  <c r="N22" i="9"/>
  <c r="N56" i="9" s="1"/>
  <c r="N57" i="9" s="1"/>
  <c r="N60" i="9" s="1"/>
  <c r="M22" i="9"/>
  <c r="L22" i="9"/>
  <c r="K22" i="9"/>
  <c r="J22" i="9"/>
  <c r="J56" i="9" s="1"/>
  <c r="J57" i="9" s="1"/>
  <c r="J60" i="9" s="1"/>
  <c r="I22" i="9"/>
  <c r="H22" i="9"/>
  <c r="G22" i="9"/>
  <c r="F22" i="9"/>
  <c r="F56" i="9" s="1"/>
  <c r="F57" i="9" s="1"/>
  <c r="F60" i="9" s="1"/>
  <c r="E22" i="9"/>
  <c r="D22" i="9"/>
  <c r="C22" i="9"/>
  <c r="AF21" i="9"/>
  <c r="AE21" i="9"/>
  <c r="AD21" i="9"/>
  <c r="AE20" i="9"/>
  <c r="AD20" i="9"/>
  <c r="AF20" i="9" s="1"/>
  <c r="AE19" i="9"/>
  <c r="AD19" i="9"/>
  <c r="AF19" i="9" s="1"/>
  <c r="AE18" i="9"/>
  <c r="AD18" i="9"/>
  <c r="AF18" i="9" s="1"/>
  <c r="AE17" i="9"/>
  <c r="AD17" i="9"/>
  <c r="AF17" i="9" s="1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AE16" i="9" s="1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AE14" i="9"/>
  <c r="AD14" i="9"/>
  <c r="AE13" i="9"/>
  <c r="AD13" i="9"/>
  <c r="AF13" i="9" s="1"/>
  <c r="AE12" i="9"/>
  <c r="AD12" i="9"/>
  <c r="AD16" i="9" s="1"/>
  <c r="AE11" i="9"/>
  <c r="AD11" i="9"/>
  <c r="AD9" i="9"/>
  <c r="E100" i="8"/>
  <c r="D100" i="8"/>
  <c r="C100" i="8"/>
  <c r="E95" i="8"/>
  <c r="D95" i="8"/>
  <c r="C95" i="8"/>
  <c r="E90" i="8"/>
  <c r="D90" i="8"/>
  <c r="C90" i="8"/>
  <c r="E85" i="8"/>
  <c r="D85" i="8"/>
  <c r="C85" i="8"/>
  <c r="E80" i="8"/>
  <c r="D80" i="8"/>
  <c r="C80" i="8"/>
  <c r="E75" i="8"/>
  <c r="D75" i="8"/>
  <c r="C75" i="8"/>
  <c r="E70" i="8"/>
  <c r="D70" i="8"/>
  <c r="C70" i="8"/>
  <c r="G65" i="8"/>
  <c r="F65" i="8"/>
  <c r="E65" i="8"/>
  <c r="D65" i="8"/>
  <c r="C65" i="8"/>
  <c r="L59" i="8"/>
  <c r="K59" i="8"/>
  <c r="L58" i="8"/>
  <c r="K58" i="8"/>
  <c r="L55" i="8"/>
  <c r="J55" i="8"/>
  <c r="I55" i="8"/>
  <c r="H55" i="8"/>
  <c r="G55" i="8"/>
  <c r="F55" i="8"/>
  <c r="E55" i="8"/>
  <c r="D55" i="8"/>
  <c r="C55" i="8"/>
  <c r="L54" i="8"/>
  <c r="K54" i="8"/>
  <c r="L53" i="8"/>
  <c r="K53" i="8"/>
  <c r="L52" i="8"/>
  <c r="K52" i="8"/>
  <c r="L51" i="8"/>
  <c r="K51" i="8"/>
  <c r="L50" i="8"/>
  <c r="K50" i="8"/>
  <c r="M50" i="8" s="1"/>
  <c r="J49" i="8"/>
  <c r="I49" i="8"/>
  <c r="H49" i="8"/>
  <c r="G49" i="8"/>
  <c r="F49" i="8"/>
  <c r="E49" i="8"/>
  <c r="D49" i="8"/>
  <c r="C49" i="8"/>
  <c r="L48" i="8"/>
  <c r="K48" i="8"/>
  <c r="M48" i="8" s="1"/>
  <c r="L47" i="8"/>
  <c r="K47" i="8"/>
  <c r="L46" i="8"/>
  <c r="K46" i="8"/>
  <c r="L45" i="8"/>
  <c r="K45" i="8"/>
  <c r="J44" i="8"/>
  <c r="I44" i="8"/>
  <c r="H44" i="8"/>
  <c r="G44" i="8"/>
  <c r="F44" i="8"/>
  <c r="E44" i="8"/>
  <c r="D44" i="8"/>
  <c r="C44" i="8"/>
  <c r="L43" i="8"/>
  <c r="L42" i="8"/>
  <c r="K42" i="8"/>
  <c r="L41" i="8"/>
  <c r="K41" i="8"/>
  <c r="L40" i="8"/>
  <c r="K40" i="8"/>
  <c r="J39" i="8"/>
  <c r="I39" i="8"/>
  <c r="H39" i="8"/>
  <c r="G39" i="8"/>
  <c r="F39" i="8"/>
  <c r="E39" i="8"/>
  <c r="D39" i="8"/>
  <c r="C39" i="8"/>
  <c r="L38" i="8"/>
  <c r="K38" i="8"/>
  <c r="L37" i="8"/>
  <c r="K37" i="8"/>
  <c r="L36" i="8"/>
  <c r="K36" i="8"/>
  <c r="M36" i="8" s="1"/>
  <c r="L35" i="8"/>
  <c r="K35" i="8"/>
  <c r="L34" i="8"/>
  <c r="K34" i="8"/>
  <c r="J33" i="8"/>
  <c r="I33" i="8"/>
  <c r="H33" i="8"/>
  <c r="G33" i="8"/>
  <c r="F33" i="8"/>
  <c r="E33" i="8"/>
  <c r="D33" i="8"/>
  <c r="L33" i="8" s="1"/>
  <c r="C33" i="8"/>
  <c r="L32" i="8"/>
  <c r="K32" i="8"/>
  <c r="L31" i="8"/>
  <c r="K31" i="8"/>
  <c r="L30" i="8"/>
  <c r="K30" i="8"/>
  <c r="M30" i="8" s="1"/>
  <c r="J29" i="8"/>
  <c r="I29" i="8"/>
  <c r="H29" i="8"/>
  <c r="G29" i="8"/>
  <c r="F29" i="8"/>
  <c r="E29" i="8"/>
  <c r="D29" i="8"/>
  <c r="L29" i="8" s="1"/>
  <c r="C29" i="8"/>
  <c r="L28" i="8"/>
  <c r="K28" i="8"/>
  <c r="M28" i="8" s="1"/>
  <c r="L26" i="8"/>
  <c r="K26" i="8"/>
  <c r="J25" i="8"/>
  <c r="J27" i="8" s="1"/>
  <c r="I25" i="8"/>
  <c r="I27" i="8" s="1"/>
  <c r="H25" i="8"/>
  <c r="H27" i="8" s="1"/>
  <c r="G25" i="8"/>
  <c r="G27" i="8" s="1"/>
  <c r="F25" i="8"/>
  <c r="F27" i="8" s="1"/>
  <c r="E25" i="8"/>
  <c r="E27" i="8" s="1"/>
  <c r="D25" i="8"/>
  <c r="D27" i="8" s="1"/>
  <c r="C25" i="8"/>
  <c r="L24" i="8"/>
  <c r="K24" i="8"/>
  <c r="L23" i="8"/>
  <c r="K23" i="8"/>
  <c r="J22" i="8"/>
  <c r="I22" i="8"/>
  <c r="H22" i="8"/>
  <c r="G22" i="8"/>
  <c r="F22" i="8"/>
  <c r="E22" i="8"/>
  <c r="D22" i="8"/>
  <c r="C22" i="8"/>
  <c r="L21" i="8"/>
  <c r="K21" i="8"/>
  <c r="L20" i="8"/>
  <c r="K20" i="8"/>
  <c r="L19" i="8"/>
  <c r="K19" i="8"/>
  <c r="L18" i="8"/>
  <c r="K18" i="8"/>
  <c r="M18" i="8" s="1"/>
  <c r="L17" i="8"/>
  <c r="K17" i="8"/>
  <c r="J16" i="8"/>
  <c r="I16" i="8"/>
  <c r="H16" i="8"/>
  <c r="G16" i="8"/>
  <c r="F16" i="8"/>
  <c r="E16" i="8"/>
  <c r="D16" i="8"/>
  <c r="L16" i="8" s="1"/>
  <c r="C16" i="8"/>
  <c r="J15" i="8"/>
  <c r="I15" i="8"/>
  <c r="H15" i="8"/>
  <c r="G15" i="8"/>
  <c r="F15" i="8"/>
  <c r="E15" i="8"/>
  <c r="D15" i="8"/>
  <c r="L15" i="8" s="1"/>
  <c r="C15" i="8"/>
  <c r="L14" i="8"/>
  <c r="K14" i="8"/>
  <c r="L13" i="8"/>
  <c r="K13" i="8"/>
  <c r="M51" i="8" s="1"/>
  <c r="L12" i="8"/>
  <c r="K12" i="8"/>
  <c r="L11" i="8"/>
  <c r="K11" i="8"/>
  <c r="K29" i="8" s="1"/>
  <c r="M29" i="8" s="1"/>
  <c r="K9" i="8"/>
  <c r="G65" i="1"/>
  <c r="F65" i="1"/>
  <c r="L43" i="12" l="1"/>
  <c r="H16" i="13"/>
  <c r="J25" i="13"/>
  <c r="J34" i="13"/>
  <c r="J43" i="13"/>
  <c r="J47" i="13"/>
  <c r="J58" i="13"/>
  <c r="J17" i="13"/>
  <c r="J24" i="13"/>
  <c r="J30" i="13"/>
  <c r="J35" i="13"/>
  <c r="J37" i="13"/>
  <c r="J40" i="13"/>
  <c r="J45" i="13"/>
  <c r="J48" i="13"/>
  <c r="J52" i="13"/>
  <c r="J21" i="13"/>
  <c r="C56" i="13"/>
  <c r="C57" i="13" s="1"/>
  <c r="C60" i="13" s="1"/>
  <c r="G56" i="13"/>
  <c r="G57" i="13" s="1"/>
  <c r="G60" i="13" s="1"/>
  <c r="J26" i="13"/>
  <c r="J32" i="13"/>
  <c r="I39" i="13"/>
  <c r="J42" i="13"/>
  <c r="J46" i="13"/>
  <c r="J53" i="13"/>
  <c r="J20" i="13"/>
  <c r="J33" i="13"/>
  <c r="J54" i="13"/>
  <c r="J18" i="13"/>
  <c r="J23" i="13"/>
  <c r="J36" i="13"/>
  <c r="H44" i="13"/>
  <c r="J44" i="13" s="1"/>
  <c r="J50" i="13"/>
  <c r="J49" i="10"/>
  <c r="C56" i="10"/>
  <c r="C57" i="10" s="1"/>
  <c r="C60" i="10" s="1"/>
  <c r="J29" i="10"/>
  <c r="I39" i="10"/>
  <c r="K39" i="10" s="1"/>
  <c r="J44" i="10"/>
  <c r="K47" i="10"/>
  <c r="K53" i="10"/>
  <c r="K23" i="10"/>
  <c r="I55" i="10"/>
  <c r="K55" i="10" s="1"/>
  <c r="F56" i="13"/>
  <c r="F57" i="13" s="1"/>
  <c r="F60" i="13" s="1"/>
  <c r="D56" i="13"/>
  <c r="D57" i="13" s="1"/>
  <c r="D60" i="13" s="1"/>
  <c r="H49" i="13"/>
  <c r="J49" i="13" s="1"/>
  <c r="H15" i="13"/>
  <c r="H55" i="13"/>
  <c r="J55" i="13" s="1"/>
  <c r="J59" i="13"/>
  <c r="I33" i="13"/>
  <c r="I15" i="10"/>
  <c r="K17" i="10"/>
  <c r="K28" i="10"/>
  <c r="K31" i="10"/>
  <c r="K34" i="10"/>
  <c r="K41" i="10"/>
  <c r="K51" i="10"/>
  <c r="I16" i="10"/>
  <c r="K18" i="10"/>
  <c r="K20" i="10"/>
  <c r="K21" i="10"/>
  <c r="K36" i="10"/>
  <c r="K38" i="10"/>
  <c r="K42" i="10"/>
  <c r="K45" i="10"/>
  <c r="K58" i="10"/>
  <c r="K59" i="10"/>
  <c r="I25" i="10"/>
  <c r="K25" i="10" s="1"/>
  <c r="K26" i="10"/>
  <c r="K30" i="10"/>
  <c r="K32" i="10"/>
  <c r="K50" i="10"/>
  <c r="K52" i="10"/>
  <c r="K24" i="10"/>
  <c r="K33" i="10"/>
  <c r="K35" i="10"/>
  <c r="K48" i="10"/>
  <c r="K19" i="10"/>
  <c r="K37" i="10"/>
  <c r="K43" i="10"/>
  <c r="K46" i="10"/>
  <c r="K54" i="10"/>
  <c r="L17" i="12"/>
  <c r="L48" i="12"/>
  <c r="L53" i="12"/>
  <c r="L58" i="12"/>
  <c r="L21" i="12"/>
  <c r="L24" i="12"/>
  <c r="L28" i="12"/>
  <c r="L37" i="12"/>
  <c r="L51" i="12"/>
  <c r="L18" i="12"/>
  <c r="K39" i="12"/>
  <c r="L46" i="12"/>
  <c r="L54" i="12"/>
  <c r="L59" i="12"/>
  <c r="L34" i="12"/>
  <c r="L47" i="12"/>
  <c r="C27" i="12"/>
  <c r="C56" i="12" s="1"/>
  <c r="C57" i="12" s="1"/>
  <c r="C60" i="12" s="1"/>
  <c r="L38" i="12"/>
  <c r="K49" i="12"/>
  <c r="L50" i="12"/>
  <c r="L20" i="12"/>
  <c r="L30" i="12"/>
  <c r="L36" i="12"/>
  <c r="J44" i="12"/>
  <c r="L44" i="12" s="1"/>
  <c r="Y30" i="11"/>
  <c r="Y36" i="11"/>
  <c r="Y42" i="11"/>
  <c r="X44" i="11"/>
  <c r="Y45" i="11"/>
  <c r="Y47" i="11"/>
  <c r="Y53" i="11"/>
  <c r="X55" i="11"/>
  <c r="Y58" i="11"/>
  <c r="Y20" i="11"/>
  <c r="X22" i="11"/>
  <c r="Y23" i="11"/>
  <c r="X25" i="11"/>
  <c r="Y26" i="11"/>
  <c r="Y32" i="11"/>
  <c r="W44" i="11"/>
  <c r="Y44" i="11" s="1"/>
  <c r="X49" i="11"/>
  <c r="Y50" i="11"/>
  <c r="X15" i="11"/>
  <c r="Y17" i="11"/>
  <c r="W22" i="11"/>
  <c r="Y22" i="11" s="1"/>
  <c r="W25" i="11"/>
  <c r="Y25" i="11" s="1"/>
  <c r="Y28" i="11"/>
  <c r="Y35" i="11"/>
  <c r="Y37" i="11"/>
  <c r="Y38" i="11"/>
  <c r="W39" i="11"/>
  <c r="Y39" i="11" s="1"/>
  <c r="Y46" i="11"/>
  <c r="H56" i="11"/>
  <c r="H57" i="11" s="1"/>
  <c r="H60" i="11" s="1"/>
  <c r="L56" i="11"/>
  <c r="L57" i="11" s="1"/>
  <c r="L60" i="11" s="1"/>
  <c r="P56" i="11"/>
  <c r="P57" i="11" s="1"/>
  <c r="P60" i="11" s="1"/>
  <c r="T56" i="11"/>
  <c r="T60" i="11" s="1"/>
  <c r="Y52" i="11"/>
  <c r="Y54" i="11"/>
  <c r="Y59" i="11"/>
  <c r="D56" i="12"/>
  <c r="D57" i="12" s="1"/>
  <c r="D60" i="12" s="1"/>
  <c r="H56" i="12"/>
  <c r="H57" i="12" s="1"/>
  <c r="H60" i="12" s="1"/>
  <c r="F56" i="12"/>
  <c r="F57" i="12" s="1"/>
  <c r="F60" i="12" s="1"/>
  <c r="J27" i="12"/>
  <c r="L27" i="12" s="1"/>
  <c r="K33" i="12"/>
  <c r="J15" i="12"/>
  <c r="L40" i="12"/>
  <c r="J55" i="12"/>
  <c r="L55" i="12" s="1"/>
  <c r="K27" i="12"/>
  <c r="J16" i="12"/>
  <c r="J22" i="12"/>
  <c r="L22" i="12" s="1"/>
  <c r="J25" i="12"/>
  <c r="L25" i="12" s="1"/>
  <c r="J49" i="12"/>
  <c r="L49" i="12" s="1"/>
  <c r="L13" i="12"/>
  <c r="L23" i="12"/>
  <c r="L26" i="12"/>
  <c r="L32" i="12"/>
  <c r="L35" i="12"/>
  <c r="L42" i="12"/>
  <c r="L45" i="12"/>
  <c r="E56" i="11"/>
  <c r="E57" i="11" s="1"/>
  <c r="E60" i="11" s="1"/>
  <c r="I56" i="11"/>
  <c r="I57" i="11" s="1"/>
  <c r="I60" i="11" s="1"/>
  <c r="M56" i="11"/>
  <c r="M57" i="11" s="1"/>
  <c r="M60" i="11" s="1"/>
  <c r="Q56" i="11"/>
  <c r="Q57" i="11" s="1"/>
  <c r="Q60" i="11" s="1"/>
  <c r="U56" i="11"/>
  <c r="U57" i="11" s="1"/>
  <c r="U60" i="11" s="1"/>
  <c r="F56" i="11"/>
  <c r="F57" i="11" s="1"/>
  <c r="F60" i="11" s="1"/>
  <c r="J56" i="11"/>
  <c r="J57" i="11" s="1"/>
  <c r="J60" i="11" s="1"/>
  <c r="N56" i="11"/>
  <c r="N57" i="11" s="1"/>
  <c r="N60" i="11" s="1"/>
  <c r="R56" i="11"/>
  <c r="R57" i="11" s="1"/>
  <c r="R60" i="11" s="1"/>
  <c r="V56" i="11"/>
  <c r="V57" i="11" s="1"/>
  <c r="V60" i="11" s="1"/>
  <c r="D27" i="11"/>
  <c r="W27" i="11" s="1"/>
  <c r="Y27" i="11" s="1"/>
  <c r="Y40" i="11"/>
  <c r="W55" i="11"/>
  <c r="Y55" i="11" s="1"/>
  <c r="X33" i="11"/>
  <c r="W49" i="11"/>
  <c r="Y49" i="11" s="1"/>
  <c r="W16" i="11"/>
  <c r="C56" i="11"/>
  <c r="W15" i="11"/>
  <c r="Y18" i="11"/>
  <c r="AE55" i="9"/>
  <c r="AE33" i="9"/>
  <c r="AF59" i="9"/>
  <c r="AE15" i="9"/>
  <c r="AE29" i="9"/>
  <c r="AF36" i="9"/>
  <c r="AF38" i="9"/>
  <c r="AF45" i="9"/>
  <c r="AF47" i="9"/>
  <c r="AD29" i="9"/>
  <c r="AF29" i="9" s="1"/>
  <c r="AE25" i="9"/>
  <c r="AF30" i="9"/>
  <c r="AF32" i="9"/>
  <c r="AF51" i="9"/>
  <c r="AF24" i="9"/>
  <c r="AF37" i="9"/>
  <c r="AF42" i="9"/>
  <c r="AF46" i="9"/>
  <c r="AD55" i="9"/>
  <c r="AF55" i="9" s="1"/>
  <c r="AF58" i="9"/>
  <c r="AF31" i="9"/>
  <c r="AF34" i="9"/>
  <c r="AF35" i="9"/>
  <c r="AF48" i="9"/>
  <c r="AF50" i="9"/>
  <c r="AF52" i="9"/>
  <c r="AF53" i="9"/>
  <c r="M42" i="8"/>
  <c r="M17" i="8"/>
  <c r="M32" i="8"/>
  <c r="M35" i="8"/>
  <c r="M52" i="8"/>
  <c r="M58" i="8"/>
  <c r="M20" i="8"/>
  <c r="M38" i="8"/>
  <c r="D56" i="8"/>
  <c r="E56" i="8"/>
  <c r="E57" i="8" s="1"/>
  <c r="E60" i="8" s="1"/>
  <c r="L27" i="8"/>
  <c r="M37" i="8"/>
  <c r="L44" i="8"/>
  <c r="M23" i="8"/>
  <c r="M24" i="8"/>
  <c r="M41" i="8"/>
  <c r="M46" i="8"/>
  <c r="H56" i="8"/>
  <c r="H57" i="8" s="1"/>
  <c r="H60" i="8" s="1"/>
  <c r="M13" i="8"/>
  <c r="M21" i="8"/>
  <c r="I56" i="8"/>
  <c r="I57" i="8" s="1"/>
  <c r="I60" i="8" s="1"/>
  <c r="K39" i="8"/>
  <c r="M39" i="8" s="1"/>
  <c r="M47" i="8"/>
  <c r="M26" i="8"/>
  <c r="M31" i="8"/>
  <c r="K33" i="8"/>
  <c r="M33" i="8" s="1"/>
  <c r="M34" i="8"/>
  <c r="L39" i="8"/>
  <c r="L49" i="8"/>
  <c r="M53" i="8"/>
  <c r="M54" i="8"/>
  <c r="E56" i="10"/>
  <c r="E57" i="10" s="1"/>
  <c r="E60" i="10" s="1"/>
  <c r="I22" i="10"/>
  <c r="K22" i="10" s="1"/>
  <c r="F56" i="10"/>
  <c r="F57" i="10" s="1"/>
  <c r="F60" i="10" s="1"/>
  <c r="J25" i="10"/>
  <c r="J55" i="10"/>
  <c r="J22" i="10"/>
  <c r="J33" i="10"/>
  <c r="I49" i="10"/>
  <c r="K49" i="10" s="1"/>
  <c r="D56" i="10"/>
  <c r="D57" i="10" s="1"/>
  <c r="D60" i="10" s="1"/>
  <c r="H56" i="10"/>
  <c r="H57" i="10" s="1"/>
  <c r="H60" i="10" s="1"/>
  <c r="J27" i="10"/>
  <c r="K40" i="10"/>
  <c r="AD27" i="9"/>
  <c r="AF27" i="9" s="1"/>
  <c r="AE22" i="9"/>
  <c r="AD44" i="9"/>
  <c r="AF44" i="9" s="1"/>
  <c r="AD49" i="9"/>
  <c r="AF49" i="9" s="1"/>
  <c r="C56" i="9"/>
  <c r="C57" i="9" s="1"/>
  <c r="C60" i="9" s="1"/>
  <c r="G56" i="9"/>
  <c r="G57" i="9" s="1"/>
  <c r="G60" i="9" s="1"/>
  <c r="K56" i="9"/>
  <c r="K57" i="9" s="1"/>
  <c r="K60" i="9" s="1"/>
  <c r="O56" i="9"/>
  <c r="O57" i="9" s="1"/>
  <c r="O60" i="9" s="1"/>
  <c r="S56" i="9"/>
  <c r="S57" i="9" s="1"/>
  <c r="S60" i="9" s="1"/>
  <c r="W56" i="9"/>
  <c r="W57" i="9" s="1"/>
  <c r="W60" i="9" s="1"/>
  <c r="AA56" i="9"/>
  <c r="AA57" i="9" s="1"/>
  <c r="AA60" i="9" s="1"/>
  <c r="AE44" i="9"/>
  <c r="AE49" i="9"/>
  <c r="D56" i="9"/>
  <c r="D57" i="9" s="1"/>
  <c r="D60" i="9" s="1"/>
  <c r="H56" i="9"/>
  <c r="H57" i="9" s="1"/>
  <c r="H60" i="9" s="1"/>
  <c r="L56" i="9"/>
  <c r="L57" i="9" s="1"/>
  <c r="L60" i="9" s="1"/>
  <c r="P56" i="9"/>
  <c r="P57" i="9" s="1"/>
  <c r="P60" i="9" s="1"/>
  <c r="T56" i="9"/>
  <c r="T57" i="9" s="1"/>
  <c r="T60" i="9" s="1"/>
  <c r="X56" i="9"/>
  <c r="X57" i="9" s="1"/>
  <c r="X60" i="9" s="1"/>
  <c r="AB56" i="9"/>
  <c r="AB57" i="9" s="1"/>
  <c r="AB60" i="9" s="1"/>
  <c r="AD22" i="9"/>
  <c r="AF22" i="9" s="1"/>
  <c r="AE39" i="9"/>
  <c r="E56" i="9"/>
  <c r="E57" i="9" s="1"/>
  <c r="E60" i="9" s="1"/>
  <c r="I56" i="9"/>
  <c r="I57" i="9" s="1"/>
  <c r="I60" i="9" s="1"/>
  <c r="M56" i="9"/>
  <c r="M57" i="9" s="1"/>
  <c r="M60" i="9" s="1"/>
  <c r="Q56" i="9"/>
  <c r="Q57" i="9" s="1"/>
  <c r="Q60" i="9" s="1"/>
  <c r="U56" i="9"/>
  <c r="U57" i="9" s="1"/>
  <c r="U60" i="9" s="1"/>
  <c r="Y56" i="9"/>
  <c r="Y57" i="9" s="1"/>
  <c r="Y60" i="9" s="1"/>
  <c r="AC56" i="9"/>
  <c r="AC57" i="9" s="1"/>
  <c r="AC60" i="9" s="1"/>
  <c r="AE27" i="9"/>
  <c r="AF40" i="9"/>
  <c r="D57" i="8"/>
  <c r="K25" i="8"/>
  <c r="M25" i="8" s="1"/>
  <c r="L22" i="8"/>
  <c r="F56" i="8"/>
  <c r="F57" i="8" s="1"/>
  <c r="F60" i="8" s="1"/>
  <c r="J56" i="8"/>
  <c r="J57" i="8" s="1"/>
  <c r="J60" i="8" s="1"/>
  <c r="K55" i="8"/>
  <c r="M55" i="8" s="1"/>
  <c r="K22" i="8"/>
  <c r="M22" i="8" s="1"/>
  <c r="L25" i="8"/>
  <c r="K44" i="8"/>
  <c r="M44" i="8" s="1"/>
  <c r="M40" i="8"/>
  <c r="M43" i="8"/>
  <c r="K49" i="8"/>
  <c r="M49" i="8" s="1"/>
  <c r="G56" i="8"/>
  <c r="G57" i="8" s="1"/>
  <c r="G60" i="8" s="1"/>
  <c r="K15" i="8"/>
  <c r="K16" i="8"/>
  <c r="C27" i="8"/>
  <c r="K27" i="8" s="1"/>
  <c r="M27" i="8" s="1"/>
  <c r="M59" i="8"/>
  <c r="M19" i="8"/>
  <c r="M45" i="8"/>
  <c r="E100" i="1"/>
  <c r="D100" i="1"/>
  <c r="C100" i="1"/>
  <c r="E95" i="1"/>
  <c r="D95" i="1"/>
  <c r="C95" i="1"/>
  <c r="E90" i="1"/>
  <c r="D90" i="1"/>
  <c r="C90" i="1"/>
  <c r="E85" i="1"/>
  <c r="D85" i="1"/>
  <c r="C85" i="1"/>
  <c r="E80" i="1"/>
  <c r="D80" i="1"/>
  <c r="C80" i="1"/>
  <c r="E75" i="1"/>
  <c r="D75" i="1"/>
  <c r="C75" i="1"/>
  <c r="E70" i="1"/>
  <c r="D70" i="1"/>
  <c r="C70" i="1"/>
  <c r="E65" i="1"/>
  <c r="D65" i="1"/>
  <c r="C65" i="1"/>
  <c r="AS52" i="1"/>
  <c r="AR52" i="1"/>
  <c r="AS51" i="1"/>
  <c r="AR51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M49" i="1"/>
  <c r="L49" i="1"/>
  <c r="K49" i="1"/>
  <c r="J49" i="1"/>
  <c r="I49" i="1"/>
  <c r="H49" i="1"/>
  <c r="G49" i="1"/>
  <c r="F49" i="1"/>
  <c r="E49" i="1"/>
  <c r="D49" i="1"/>
  <c r="C49" i="1"/>
  <c r="AS48" i="1"/>
  <c r="AR48" i="1"/>
  <c r="AS47" i="1"/>
  <c r="AR47" i="1"/>
  <c r="AS46" i="1"/>
  <c r="AR46" i="1"/>
  <c r="AS45" i="1"/>
  <c r="AR45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M44" i="1"/>
  <c r="L44" i="1"/>
  <c r="K44" i="1"/>
  <c r="J44" i="1"/>
  <c r="I44" i="1"/>
  <c r="H44" i="1"/>
  <c r="G44" i="1"/>
  <c r="F44" i="1"/>
  <c r="E44" i="1"/>
  <c r="D44" i="1"/>
  <c r="AS42" i="1"/>
  <c r="AR42" i="1"/>
  <c r="AS41" i="1"/>
  <c r="AR41" i="1"/>
  <c r="AS40" i="1"/>
  <c r="AR40" i="1"/>
  <c r="AQ39" i="1"/>
  <c r="AP39" i="1"/>
  <c r="AO39" i="1"/>
  <c r="AN39" i="1"/>
  <c r="AM39" i="1"/>
  <c r="AL39" i="1"/>
  <c r="AK39" i="1"/>
  <c r="AJ39" i="1"/>
  <c r="AI39" i="1"/>
  <c r="AH39" i="1"/>
  <c r="AG39" i="1"/>
  <c r="AF39" i="1"/>
  <c r="AE39" i="1"/>
  <c r="AD39" i="1"/>
  <c r="AC39" i="1"/>
  <c r="AB39" i="1"/>
  <c r="AA39" i="1"/>
  <c r="Z39" i="1"/>
  <c r="Y39" i="1"/>
  <c r="X39" i="1"/>
  <c r="W39" i="1"/>
  <c r="V39" i="1"/>
  <c r="U39" i="1"/>
  <c r="T39" i="1"/>
  <c r="S39" i="1"/>
  <c r="R39" i="1"/>
  <c r="Q39" i="1"/>
  <c r="P39" i="1"/>
  <c r="O39" i="1"/>
  <c r="N39" i="1"/>
  <c r="M39" i="1"/>
  <c r="L39" i="1"/>
  <c r="K39" i="1"/>
  <c r="J39" i="1"/>
  <c r="I39" i="1"/>
  <c r="H39" i="1"/>
  <c r="G39" i="1"/>
  <c r="F39" i="1"/>
  <c r="E39" i="1"/>
  <c r="D39" i="1"/>
  <c r="C39" i="1"/>
  <c r="AS38" i="1"/>
  <c r="AR38" i="1"/>
  <c r="AS37" i="1"/>
  <c r="AR37" i="1"/>
  <c r="AS36" i="1"/>
  <c r="AR36" i="1"/>
  <c r="AS35" i="1"/>
  <c r="AR35" i="1"/>
  <c r="AS34" i="1"/>
  <c r="AR34" i="1"/>
  <c r="AQ33" i="1"/>
  <c r="AP33" i="1"/>
  <c r="AO33" i="1"/>
  <c r="AN33" i="1"/>
  <c r="AM33" i="1"/>
  <c r="AL33" i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T33" i="1"/>
  <c r="S33" i="1"/>
  <c r="R33" i="1"/>
  <c r="Q33" i="1"/>
  <c r="P33" i="1"/>
  <c r="O33" i="1"/>
  <c r="N33" i="1"/>
  <c r="M33" i="1"/>
  <c r="L33" i="1"/>
  <c r="K33" i="1"/>
  <c r="J33" i="1"/>
  <c r="I33" i="1"/>
  <c r="H33" i="1"/>
  <c r="G33" i="1"/>
  <c r="F33" i="1"/>
  <c r="E33" i="1"/>
  <c r="D33" i="1"/>
  <c r="AS33" i="1" s="1"/>
  <c r="C33" i="1"/>
  <c r="AS32" i="1"/>
  <c r="AR32" i="1"/>
  <c r="AS31" i="1"/>
  <c r="AR31" i="1"/>
  <c r="AS30" i="1"/>
  <c r="AR30" i="1"/>
  <c r="AQ29" i="1"/>
  <c r="AP29" i="1"/>
  <c r="AO29" i="1"/>
  <c r="AN29" i="1"/>
  <c r="AM29" i="1"/>
  <c r="AL29" i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T29" i="1"/>
  <c r="S29" i="1"/>
  <c r="R29" i="1"/>
  <c r="Q29" i="1"/>
  <c r="P29" i="1"/>
  <c r="O29" i="1"/>
  <c r="N29" i="1"/>
  <c r="M29" i="1"/>
  <c r="L29" i="1"/>
  <c r="K29" i="1"/>
  <c r="J29" i="1"/>
  <c r="I29" i="1"/>
  <c r="H29" i="1"/>
  <c r="G29" i="1"/>
  <c r="F29" i="1"/>
  <c r="E29" i="1"/>
  <c r="D29" i="1"/>
  <c r="AS29" i="1" s="1"/>
  <c r="C29" i="1"/>
  <c r="AS28" i="1"/>
  <c r="AR28" i="1"/>
  <c r="AS26" i="1"/>
  <c r="AR26" i="1"/>
  <c r="AQ25" i="1"/>
  <c r="AQ27" i="1" s="1"/>
  <c r="AP25" i="1"/>
  <c r="AP27" i="1" s="1"/>
  <c r="AO25" i="1"/>
  <c r="AO27" i="1" s="1"/>
  <c r="AN25" i="1"/>
  <c r="AN27" i="1" s="1"/>
  <c r="AM25" i="1"/>
  <c r="AM27" i="1" s="1"/>
  <c r="AL25" i="1"/>
  <c r="AL27" i="1" s="1"/>
  <c r="AK25" i="1"/>
  <c r="AK27" i="1" s="1"/>
  <c r="AJ25" i="1"/>
  <c r="AJ27" i="1" s="1"/>
  <c r="AI25" i="1"/>
  <c r="AI27" i="1" s="1"/>
  <c r="AH25" i="1"/>
  <c r="AH27" i="1" s="1"/>
  <c r="AG25" i="1"/>
  <c r="AG27" i="1" s="1"/>
  <c r="AF25" i="1"/>
  <c r="AF27" i="1" s="1"/>
  <c r="AE25" i="1"/>
  <c r="AE27" i="1" s="1"/>
  <c r="AD25" i="1"/>
  <c r="AD27" i="1" s="1"/>
  <c r="AC25" i="1"/>
  <c r="AC27" i="1" s="1"/>
  <c r="AB25" i="1"/>
  <c r="AB27" i="1" s="1"/>
  <c r="AA25" i="1"/>
  <c r="AA27" i="1" s="1"/>
  <c r="Z25" i="1"/>
  <c r="Z27" i="1" s="1"/>
  <c r="Y25" i="1"/>
  <c r="Y27" i="1" s="1"/>
  <c r="X25" i="1"/>
  <c r="X27" i="1" s="1"/>
  <c r="W25" i="1"/>
  <c r="W27" i="1" s="1"/>
  <c r="V25" i="1"/>
  <c r="V27" i="1" s="1"/>
  <c r="U25" i="1"/>
  <c r="U27" i="1" s="1"/>
  <c r="T25" i="1"/>
  <c r="T27" i="1" s="1"/>
  <c r="S25" i="1"/>
  <c r="S27" i="1" s="1"/>
  <c r="R25" i="1"/>
  <c r="R27" i="1" s="1"/>
  <c r="Q25" i="1"/>
  <c r="Q27" i="1" s="1"/>
  <c r="P25" i="1"/>
  <c r="P27" i="1" s="1"/>
  <c r="O25" i="1"/>
  <c r="O27" i="1" s="1"/>
  <c r="N25" i="1"/>
  <c r="N27" i="1" s="1"/>
  <c r="M25" i="1"/>
  <c r="M27" i="1" s="1"/>
  <c r="L25" i="1"/>
  <c r="L27" i="1" s="1"/>
  <c r="K25" i="1"/>
  <c r="K27" i="1" s="1"/>
  <c r="J25" i="1"/>
  <c r="J27" i="1" s="1"/>
  <c r="I25" i="1"/>
  <c r="I27" i="1" s="1"/>
  <c r="H25" i="1"/>
  <c r="H27" i="1" s="1"/>
  <c r="G25" i="1"/>
  <c r="G27" i="1" s="1"/>
  <c r="F25" i="1"/>
  <c r="F27" i="1" s="1"/>
  <c r="E25" i="1"/>
  <c r="E27" i="1" s="1"/>
  <c r="D25" i="1"/>
  <c r="C25" i="1"/>
  <c r="AS24" i="1"/>
  <c r="AR24" i="1"/>
  <c r="AS23" i="1"/>
  <c r="AR23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AS21" i="1"/>
  <c r="AR21" i="1"/>
  <c r="AS20" i="1"/>
  <c r="AR20" i="1"/>
  <c r="AS19" i="1"/>
  <c r="AR19" i="1"/>
  <c r="AS18" i="1"/>
  <c r="AR18" i="1"/>
  <c r="AS17" i="1"/>
  <c r="AR17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AS16" i="1" s="1"/>
  <c r="C16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AS15" i="1" s="1"/>
  <c r="C15" i="1"/>
  <c r="AS14" i="1"/>
  <c r="AR14" i="1"/>
  <c r="AS13" i="1"/>
  <c r="AR13" i="1"/>
  <c r="AS12" i="1"/>
  <c r="AR12" i="1"/>
  <c r="AS11" i="1"/>
  <c r="AR11" i="1"/>
  <c r="AR9" i="1"/>
  <c r="AR22" i="1" l="1"/>
  <c r="AR39" i="1"/>
  <c r="AS22" i="1"/>
  <c r="AR33" i="1"/>
  <c r="AT33" i="1" s="1"/>
  <c r="AS39" i="1"/>
  <c r="I27" i="13"/>
  <c r="H56" i="13"/>
  <c r="J56" i="13" s="1"/>
  <c r="I56" i="13"/>
  <c r="H27" i="13"/>
  <c r="J27" i="13" s="1"/>
  <c r="I44" i="10"/>
  <c r="K44" i="10" s="1"/>
  <c r="D56" i="11"/>
  <c r="D57" i="11" s="1"/>
  <c r="D60" i="11" s="1"/>
  <c r="J56" i="12"/>
  <c r="L56" i="12" s="1"/>
  <c r="K56" i="12"/>
  <c r="W56" i="11"/>
  <c r="Y56" i="11" s="1"/>
  <c r="X56" i="11"/>
  <c r="C57" i="11"/>
  <c r="X27" i="11"/>
  <c r="I56" i="10"/>
  <c r="K56" i="10" s="1"/>
  <c r="I27" i="10"/>
  <c r="K27" i="10" s="1"/>
  <c r="AD56" i="9"/>
  <c r="AF56" i="9" s="1"/>
  <c r="AE56" i="9"/>
  <c r="C56" i="8"/>
  <c r="D60" i="8"/>
  <c r="L60" i="8" s="1"/>
  <c r="L57" i="8"/>
  <c r="L56" i="8"/>
  <c r="AS53" i="1"/>
  <c r="M55" i="1"/>
  <c r="M56" i="1" s="1"/>
  <c r="M57" i="1" s="1"/>
  <c r="AA55" i="1"/>
  <c r="AA56" i="1" s="1"/>
  <c r="AA57" i="1" s="1"/>
  <c r="AP55" i="1"/>
  <c r="AP56" i="1" s="1"/>
  <c r="AP57" i="1" s="1"/>
  <c r="N55" i="1"/>
  <c r="N56" i="1" s="1"/>
  <c r="N57" i="1" s="1"/>
  <c r="AC55" i="1"/>
  <c r="AC56" i="1" s="1"/>
  <c r="AC57" i="1" s="1"/>
  <c r="AQ55" i="1"/>
  <c r="AQ56" i="1" s="1"/>
  <c r="AQ57" i="1" s="1"/>
  <c r="W55" i="1"/>
  <c r="W56" i="1" s="1"/>
  <c r="W57" i="1" s="1"/>
  <c r="AD55" i="1"/>
  <c r="AD56" i="1" s="1"/>
  <c r="AD57" i="1" s="1"/>
  <c r="F55" i="1"/>
  <c r="F56" i="1" s="1"/>
  <c r="F57" i="1" s="1"/>
  <c r="O55" i="1"/>
  <c r="O56" i="1" s="1"/>
  <c r="O57" i="1" s="1"/>
  <c r="G55" i="1"/>
  <c r="G56" i="1" s="1"/>
  <c r="G57" i="1" s="1"/>
  <c r="U55" i="1"/>
  <c r="U56" i="1" s="1"/>
  <c r="U57" i="1" s="1"/>
  <c r="X55" i="1"/>
  <c r="X56" i="1" s="1"/>
  <c r="X57" i="1" s="1"/>
  <c r="AE55" i="1"/>
  <c r="AE56" i="1" s="1"/>
  <c r="AE57" i="1" s="1"/>
  <c r="AL55" i="1"/>
  <c r="AL56" i="1" s="1"/>
  <c r="AL57" i="1" s="1"/>
  <c r="K55" i="1"/>
  <c r="K56" i="1" s="1"/>
  <c r="K57" i="1" s="1"/>
  <c r="R55" i="1"/>
  <c r="R56" i="1" s="1"/>
  <c r="R57" i="1" s="1"/>
  <c r="Y55" i="1"/>
  <c r="Y56" i="1" s="1"/>
  <c r="Y57" i="1" s="1"/>
  <c r="AF55" i="1"/>
  <c r="AF56" i="1" s="1"/>
  <c r="AF57" i="1" s="1"/>
  <c r="E55" i="1"/>
  <c r="E56" i="1" s="1"/>
  <c r="E57" i="1" s="1"/>
  <c r="L55" i="1"/>
  <c r="L56" i="1" s="1"/>
  <c r="L57" i="1" s="1"/>
  <c r="S55" i="1"/>
  <c r="S56" i="1" s="1"/>
  <c r="S57" i="1" s="1"/>
  <c r="Z55" i="1"/>
  <c r="Z56" i="1" s="1"/>
  <c r="Z57" i="1" s="1"/>
  <c r="J55" i="1"/>
  <c r="J56" i="1" s="1"/>
  <c r="J57" i="1" s="1"/>
  <c r="P55" i="1"/>
  <c r="P56" i="1" s="1"/>
  <c r="P57" i="1" s="1"/>
  <c r="AN55" i="1"/>
  <c r="AN56" i="1" s="1"/>
  <c r="AN57" i="1" s="1"/>
  <c r="AR29" i="1"/>
  <c r="AT29" i="1" s="1"/>
  <c r="AR16" i="1"/>
  <c r="AR15" i="1"/>
  <c r="AT13" i="1"/>
  <c r="AT17" i="1"/>
  <c r="AT18" i="1"/>
  <c r="AT19" i="1"/>
  <c r="AT20" i="1"/>
  <c r="AT21" i="1"/>
  <c r="AT22" i="1"/>
  <c r="AT23" i="1"/>
  <c r="AT24" i="1"/>
  <c r="C27" i="1"/>
  <c r="AR25" i="1"/>
  <c r="AT25" i="1" s="1"/>
  <c r="D27" i="1"/>
  <c r="AS27" i="1" s="1"/>
  <c r="AS25" i="1"/>
  <c r="AT26" i="1"/>
  <c r="AT28" i="1"/>
  <c r="AT30" i="1"/>
  <c r="AT31" i="1"/>
  <c r="AT32" i="1"/>
  <c r="AT34" i="1"/>
  <c r="AT35" i="1"/>
  <c r="AT36" i="1"/>
  <c r="AT37" i="1"/>
  <c r="AT38" i="1"/>
  <c r="AT39" i="1"/>
  <c r="AT40" i="1"/>
  <c r="AT41" i="1"/>
  <c r="AT42" i="1"/>
  <c r="C44" i="1"/>
  <c r="AS44" i="1" s="1"/>
  <c r="AS43" i="1"/>
  <c r="AT45" i="1"/>
  <c r="AT46" i="1"/>
  <c r="AT47" i="1"/>
  <c r="AT48" i="1"/>
  <c r="AR49" i="1"/>
  <c r="AT49" i="1" s="1"/>
  <c r="AS49" i="1"/>
  <c r="D55" i="1"/>
  <c r="AT51" i="1"/>
  <c r="AT52" i="1"/>
  <c r="I57" i="13" l="1"/>
  <c r="H57" i="13"/>
  <c r="J57" i="13" s="1"/>
  <c r="K57" i="12"/>
  <c r="L57" i="12"/>
  <c r="C60" i="11"/>
  <c r="X57" i="11"/>
  <c r="W57" i="11"/>
  <c r="Y57" i="11" s="1"/>
  <c r="I57" i="10"/>
  <c r="K57" i="10" s="1"/>
  <c r="J56" i="10"/>
  <c r="AE60" i="9"/>
  <c r="AE57" i="9"/>
  <c r="AD57" i="9"/>
  <c r="AF57" i="9" s="1"/>
  <c r="C57" i="8"/>
  <c r="K56" i="8"/>
  <c r="M56" i="8" s="1"/>
  <c r="P60" i="1"/>
  <c r="AS59" i="1"/>
  <c r="AR59" i="1"/>
  <c r="AT59" i="1" s="1"/>
  <c r="J60" i="1"/>
  <c r="AC60" i="1"/>
  <c r="Z60" i="1"/>
  <c r="Y60" i="1"/>
  <c r="U60" i="1"/>
  <c r="AE60" i="1"/>
  <c r="G60" i="1"/>
  <c r="AD60" i="1"/>
  <c r="N60" i="1"/>
  <c r="W60" i="1"/>
  <c r="AP60" i="1"/>
  <c r="AR58" i="1"/>
  <c r="AT58" i="1" s="1"/>
  <c r="AS58" i="1"/>
  <c r="S60" i="1"/>
  <c r="AN60" i="1"/>
  <c r="R60" i="1"/>
  <c r="AQ60" i="1"/>
  <c r="E60" i="1"/>
  <c r="K60" i="1"/>
  <c r="M60" i="1"/>
  <c r="O60" i="1"/>
  <c r="L60" i="1"/>
  <c r="AF60" i="1"/>
  <c r="AL60" i="1"/>
  <c r="F60" i="1"/>
  <c r="X60" i="1"/>
  <c r="AA60" i="1"/>
  <c r="AR54" i="1"/>
  <c r="AT54" i="1" s="1"/>
  <c r="AH55" i="1"/>
  <c r="AH56" i="1" s="1"/>
  <c r="Q55" i="1"/>
  <c r="Q56" i="1" s="1"/>
  <c r="H55" i="1"/>
  <c r="H56" i="1" s="1"/>
  <c r="AB55" i="1"/>
  <c r="AB56" i="1" s="1"/>
  <c r="AO55" i="1"/>
  <c r="AO56" i="1" s="1"/>
  <c r="C55" i="1"/>
  <c r="I55" i="1"/>
  <c r="I56" i="1" s="1"/>
  <c r="AI55" i="1"/>
  <c r="AI56" i="1" s="1"/>
  <c r="AK55" i="1"/>
  <c r="AK56" i="1" s="1"/>
  <c r="V55" i="1"/>
  <c r="V56" i="1" s="1"/>
  <c r="AG55" i="1"/>
  <c r="AG56" i="1" s="1"/>
  <c r="AJ55" i="1"/>
  <c r="AJ56" i="1" s="1"/>
  <c r="T55" i="1"/>
  <c r="T56" i="1" s="1"/>
  <c r="AS54" i="1"/>
  <c r="AR53" i="1"/>
  <c r="AT53" i="1" s="1"/>
  <c r="AM55" i="1"/>
  <c r="AM56" i="1" s="1"/>
  <c r="AR50" i="1"/>
  <c r="AT50" i="1" s="1"/>
  <c r="AS50" i="1"/>
  <c r="D56" i="1"/>
  <c r="D57" i="1" s="1"/>
  <c r="AT43" i="1"/>
  <c r="AR44" i="1"/>
  <c r="AT44" i="1" s="1"/>
  <c r="AR27" i="1"/>
  <c r="AT27" i="1" s="1"/>
  <c r="I60" i="13" l="1"/>
  <c r="H60" i="13"/>
  <c r="J60" i="13" s="1"/>
  <c r="K60" i="12"/>
  <c r="L60" i="12"/>
  <c r="X60" i="11"/>
  <c r="W60" i="11"/>
  <c r="Y60" i="11" s="1"/>
  <c r="J60" i="10"/>
  <c r="J57" i="10"/>
  <c r="AD60" i="9"/>
  <c r="AF60" i="9" s="1"/>
  <c r="C60" i="8"/>
  <c r="K60" i="8" s="1"/>
  <c r="M60" i="8" s="1"/>
  <c r="K57" i="8"/>
  <c r="M57" i="8" s="1"/>
  <c r="AM57" i="1"/>
  <c r="AM60" i="1" s="1"/>
  <c r="AJ57" i="1"/>
  <c r="AJ60" i="1" s="1"/>
  <c r="AK57" i="1"/>
  <c r="AK60" i="1" s="1"/>
  <c r="Q57" i="1"/>
  <c r="Q60" i="1" s="1"/>
  <c r="AI57" i="1"/>
  <c r="AI60" i="1" s="1"/>
  <c r="AO57" i="1"/>
  <c r="AO60" i="1" s="1"/>
  <c r="AH57" i="1"/>
  <c r="AH60" i="1" s="1"/>
  <c r="AG57" i="1"/>
  <c r="AG60" i="1" s="1"/>
  <c r="I57" i="1"/>
  <c r="I60" i="1" s="1"/>
  <c r="T57" i="1"/>
  <c r="T60" i="1" s="1"/>
  <c r="V57" i="1"/>
  <c r="V60" i="1" s="1"/>
  <c r="H57" i="1"/>
  <c r="H60" i="1" s="1"/>
  <c r="AB57" i="1"/>
  <c r="AB60" i="1" s="1"/>
  <c r="AR55" i="1"/>
  <c r="AT55" i="1" s="1"/>
  <c r="C56" i="1"/>
  <c r="AS55" i="1"/>
  <c r="AS56" i="1"/>
  <c r="I60" i="10" l="1"/>
  <c r="K60" i="10" s="1"/>
  <c r="AR56" i="1"/>
  <c r="AT56" i="1" s="1"/>
  <c r="C57" i="1"/>
  <c r="C60" i="1" s="1"/>
  <c r="D60" i="1"/>
  <c r="AS60" i="1" s="1"/>
  <c r="AS57" i="1"/>
  <c r="AR60" i="1" l="1"/>
  <c r="AT60" i="1" s="1"/>
  <c r="AR57" i="1"/>
  <c r="AT57" i="1" s="1"/>
</calcChain>
</file>

<file path=xl/sharedStrings.xml><?xml version="1.0" encoding="utf-8"?>
<sst xmlns="http://schemas.openxmlformats.org/spreadsheetml/2006/main" count="1221" uniqueCount="226">
  <si>
    <t>車番</t>
  </si>
  <si>
    <t>100</t>
  </si>
  <si>
    <t>1104</t>
  </si>
  <si>
    <t>1703</t>
  </si>
  <si>
    <t>3427</t>
  </si>
  <si>
    <t>3219</t>
  </si>
  <si>
    <t>3247</t>
  </si>
  <si>
    <t>3320</t>
  </si>
  <si>
    <t>2363</t>
  </si>
  <si>
    <t>1170</t>
  </si>
  <si>
    <t>00154</t>
  </si>
  <si>
    <t>01693</t>
  </si>
  <si>
    <t>11360</t>
  </si>
  <si>
    <t>19</t>
  </si>
  <si>
    <t>2401</t>
  </si>
  <si>
    <t>643</t>
  </si>
  <si>
    <t>A3640</t>
  </si>
  <si>
    <t>A700</t>
  </si>
  <si>
    <t>A1116</t>
  </si>
  <si>
    <t>A1589</t>
  </si>
  <si>
    <t>A18</t>
  </si>
  <si>
    <t>A299</t>
  </si>
  <si>
    <t>530</t>
  </si>
  <si>
    <t>885</t>
  </si>
  <si>
    <t>88888</t>
  </si>
  <si>
    <t>99999</t>
  </si>
  <si>
    <t>1447</t>
  </si>
  <si>
    <t>5486</t>
  </si>
  <si>
    <t>C895</t>
  </si>
  <si>
    <t>6340</t>
  </si>
  <si>
    <t>A1246</t>
  </si>
  <si>
    <t>4055</t>
  </si>
  <si>
    <t>560</t>
  </si>
  <si>
    <t>827</t>
  </si>
  <si>
    <t>2919</t>
  </si>
  <si>
    <t>3148</t>
  </si>
  <si>
    <t>3677</t>
  </si>
  <si>
    <t>77777</t>
  </si>
  <si>
    <t>2602</t>
  </si>
  <si>
    <t>2637</t>
  </si>
  <si>
    <t>2648</t>
  </si>
  <si>
    <t>合計</t>
  </si>
  <si>
    <t>平均</t>
  </si>
  <si>
    <t>対売上比率</t>
  </si>
  <si>
    <t>部門コード</t>
  </si>
  <si>
    <t>部門名</t>
  </si>
  <si>
    <t>東京営業所</t>
  </si>
  <si>
    <t>小名浜営業所</t>
  </si>
  <si>
    <t>仙台営業所</t>
  </si>
  <si>
    <t>川崎営業所</t>
  </si>
  <si>
    <t>九州営業所</t>
  </si>
  <si>
    <t>ドライバー名</t>
  </si>
  <si>
    <t>年式</t>
  </si>
  <si>
    <t>タイヤ本数</t>
  </si>
  <si>
    <t>車種名</t>
  </si>
  <si>
    <t>ａ　吉田化学</t>
    <phoneticPr fontId="3"/>
  </si>
  <si>
    <t>Ｍ　メタノール</t>
    <phoneticPr fontId="3"/>
  </si>
  <si>
    <t>Ｆ　A重油</t>
    <phoneticPr fontId="3"/>
  </si>
  <si>
    <t>Ｎ　苛性</t>
    <phoneticPr fontId="3"/>
  </si>
  <si>
    <t>Ｏ　塩酸</t>
    <phoneticPr fontId="3"/>
  </si>
  <si>
    <t>Ｓ　硫酸ﾊﾞﾝﾄﾞ</t>
    <phoneticPr fontId="3"/>
  </si>
  <si>
    <t>その他</t>
    <phoneticPr fontId="3"/>
  </si>
  <si>
    <t>その他</t>
  </si>
  <si>
    <t>Ａプロセス</t>
    <phoneticPr fontId="3"/>
  </si>
  <si>
    <t>トレーラー</t>
    <phoneticPr fontId="3"/>
  </si>
  <si>
    <t>走行Ｋｍ</t>
  </si>
  <si>
    <t>稼働時間</t>
  </si>
  <si>
    <t>輸送収入</t>
  </si>
  <si>
    <t>保障額</t>
  </si>
  <si>
    <t>km単価</t>
  </si>
  <si>
    <t>時間単価</t>
  </si>
  <si>
    <t>車両費</t>
  </si>
  <si>
    <t>減価償却費</t>
  </si>
  <si>
    <t>自動車税</t>
  </si>
  <si>
    <t>自動車取得税</t>
  </si>
  <si>
    <t>自動車重量税</t>
  </si>
  <si>
    <t>車検</t>
  </si>
  <si>
    <t>車両費計</t>
  </si>
  <si>
    <t>修繕費</t>
  </si>
  <si>
    <t>一般修理費</t>
  </si>
  <si>
    <t>部品費</t>
  </si>
  <si>
    <t>タイヤ・チューブ費</t>
  </si>
  <si>
    <t>修繕費計</t>
  </si>
  <si>
    <t>燃料費</t>
  </si>
  <si>
    <t>使用リットル</t>
  </si>
  <si>
    <t>ｋｍ／ｌ</t>
  </si>
  <si>
    <t>軽油費</t>
  </si>
  <si>
    <t>油脂費</t>
  </si>
  <si>
    <t>その他燃料費</t>
  </si>
  <si>
    <t>燃料費計</t>
  </si>
  <si>
    <t>保険料</t>
  </si>
  <si>
    <t>自賠責保険</t>
  </si>
  <si>
    <t>任意保険合計</t>
  </si>
  <si>
    <t>保険料計</t>
  </si>
  <si>
    <t>高速代</t>
  </si>
  <si>
    <t>プレート代</t>
  </si>
  <si>
    <t>有料代</t>
  </si>
  <si>
    <t>フェリー代他</t>
  </si>
  <si>
    <t>還付金</t>
  </si>
  <si>
    <t>高速代計</t>
  </si>
  <si>
    <t>人件費</t>
  </si>
  <si>
    <t>給与</t>
  </si>
  <si>
    <t>賞与</t>
  </si>
  <si>
    <t>法定福利</t>
  </si>
  <si>
    <t>退職金</t>
  </si>
  <si>
    <t>人件費計</t>
  </si>
  <si>
    <t>諸経費</t>
  </si>
  <si>
    <t>地代・家賃</t>
  </si>
  <si>
    <t>外注費</t>
  </si>
  <si>
    <t>事故費</t>
  </si>
  <si>
    <t>営業所人件費</t>
  </si>
  <si>
    <t>営業所管理費</t>
  </si>
  <si>
    <t>諸経費計</t>
  </si>
  <si>
    <t>輸送原価計</t>
  </si>
  <si>
    <t>営業所損益</t>
    <phoneticPr fontId="3"/>
  </si>
  <si>
    <t>本社人件費</t>
    <phoneticPr fontId="3"/>
  </si>
  <si>
    <t>本社管理費</t>
    <phoneticPr fontId="3"/>
  </si>
  <si>
    <t>損益</t>
    <phoneticPr fontId="3"/>
  </si>
  <si>
    <t>本社</t>
  </si>
  <si>
    <t>地代・家賃1</t>
  </si>
  <si>
    <t>営業所人件費1</t>
  </si>
  <si>
    <t>営業所管理費1</t>
  </si>
  <si>
    <t>本社人件費</t>
  </si>
  <si>
    <t>本社管理費</t>
  </si>
  <si>
    <t>金額</t>
  </si>
  <si>
    <t>台数</t>
  </si>
  <si>
    <t>地代・家賃2</t>
    <phoneticPr fontId="3"/>
  </si>
  <si>
    <t>営業所人件費2</t>
    <phoneticPr fontId="3"/>
  </si>
  <si>
    <t>営業所管理費2</t>
    <phoneticPr fontId="3"/>
  </si>
  <si>
    <t>古殿営業所</t>
  </si>
  <si>
    <t>地代・家賃3</t>
    <phoneticPr fontId="3"/>
  </si>
  <si>
    <t>営業所人件費3</t>
    <phoneticPr fontId="3"/>
  </si>
  <si>
    <t>営業所管理費3</t>
    <phoneticPr fontId="3"/>
  </si>
  <si>
    <t>会津営業所</t>
  </si>
  <si>
    <t>地代・家賃4</t>
    <phoneticPr fontId="3"/>
  </si>
  <si>
    <t>営業所人件費4</t>
    <phoneticPr fontId="3"/>
  </si>
  <si>
    <t>営業所管理費4</t>
    <phoneticPr fontId="3"/>
  </si>
  <si>
    <t>原町営業所</t>
  </si>
  <si>
    <t>地代・家賃5</t>
    <phoneticPr fontId="3"/>
  </si>
  <si>
    <t>営業所人件費5</t>
    <phoneticPr fontId="3"/>
  </si>
  <si>
    <t>営業所管理費5</t>
    <phoneticPr fontId="3"/>
  </si>
  <si>
    <t>地代・家賃6</t>
    <phoneticPr fontId="3"/>
  </si>
  <si>
    <t>営業所人件費6</t>
    <phoneticPr fontId="3"/>
  </si>
  <si>
    <t>営業所管理費6</t>
    <phoneticPr fontId="3"/>
  </si>
  <si>
    <t>地代・家賃7</t>
    <phoneticPr fontId="3"/>
  </si>
  <si>
    <t>営業所人件費7</t>
    <phoneticPr fontId="3"/>
  </si>
  <si>
    <t>営業所管理費7</t>
    <phoneticPr fontId="3"/>
  </si>
  <si>
    <t>地代・家賃8</t>
    <phoneticPr fontId="3"/>
  </si>
  <si>
    <t>営業所人件費8</t>
    <phoneticPr fontId="3"/>
  </si>
  <si>
    <t>営業所管理費8</t>
    <phoneticPr fontId="3"/>
  </si>
  <si>
    <t>還付金％</t>
  </si>
  <si>
    <t>384-4247</t>
    <phoneticPr fontId="3"/>
  </si>
  <si>
    <t>1137-7394</t>
    <phoneticPr fontId="3"/>
  </si>
  <si>
    <t>282-2223</t>
    <phoneticPr fontId="3"/>
  </si>
  <si>
    <t>4108-845</t>
    <phoneticPr fontId="3"/>
  </si>
  <si>
    <t>1825-6070</t>
    <phoneticPr fontId="3"/>
  </si>
  <si>
    <t>1862-5846</t>
    <phoneticPr fontId="3"/>
  </si>
  <si>
    <t>米山</t>
    <rPh sb="0" eb="2">
      <t>ヨネヤマ</t>
    </rPh>
    <phoneticPr fontId="3"/>
  </si>
  <si>
    <t>本間</t>
    <rPh sb="0" eb="2">
      <t>ホンマ</t>
    </rPh>
    <phoneticPr fontId="3"/>
  </si>
  <si>
    <t>土屋</t>
    <rPh sb="0" eb="2">
      <t>ツチヤ</t>
    </rPh>
    <phoneticPr fontId="3"/>
  </si>
  <si>
    <t>金子</t>
    <rPh sb="0" eb="2">
      <t>カネコ</t>
    </rPh>
    <phoneticPr fontId="3"/>
  </si>
  <si>
    <t>銅谷</t>
    <rPh sb="0" eb="2">
      <t>ドウタニ</t>
    </rPh>
    <phoneticPr fontId="3"/>
  </si>
  <si>
    <t>小幡</t>
    <rPh sb="0" eb="2">
      <t>コバタ</t>
    </rPh>
    <phoneticPr fontId="3"/>
  </si>
  <si>
    <t>齋藤 他3名</t>
    <rPh sb="0" eb="2">
      <t>サイトウ</t>
    </rPh>
    <rPh sb="3" eb="4">
      <t>ホカ</t>
    </rPh>
    <rPh sb="5" eb="6">
      <t>メイ</t>
    </rPh>
    <phoneticPr fontId="3"/>
  </si>
  <si>
    <t>味戸 他4名</t>
    <rPh sb="0" eb="1">
      <t>アジ</t>
    </rPh>
    <rPh sb="1" eb="2">
      <t>ト</t>
    </rPh>
    <rPh sb="3" eb="4">
      <t>タ</t>
    </rPh>
    <rPh sb="5" eb="6">
      <t>メイ</t>
    </rPh>
    <phoneticPr fontId="3"/>
  </si>
  <si>
    <t>鈴木</t>
    <rPh sb="0" eb="2">
      <t>スズキ</t>
    </rPh>
    <phoneticPr fontId="3"/>
  </si>
  <si>
    <t>山口</t>
    <rPh sb="0" eb="2">
      <t>ヤマグチ</t>
    </rPh>
    <phoneticPr fontId="3"/>
  </si>
  <si>
    <t>吉田　菊池</t>
    <rPh sb="0" eb="2">
      <t>ヨシダ</t>
    </rPh>
    <rPh sb="3" eb="5">
      <t>キクチ</t>
    </rPh>
    <phoneticPr fontId="3"/>
  </si>
  <si>
    <t>荒木</t>
    <rPh sb="0" eb="2">
      <t>アラキ</t>
    </rPh>
    <phoneticPr fontId="3"/>
  </si>
  <si>
    <t>菊池 他3名</t>
    <rPh sb="0" eb="2">
      <t>キクチ</t>
    </rPh>
    <rPh sb="3" eb="4">
      <t>ホカ</t>
    </rPh>
    <rPh sb="5" eb="6">
      <t>メイ</t>
    </rPh>
    <phoneticPr fontId="3"/>
  </si>
  <si>
    <t>松本 他3名</t>
    <rPh sb="0" eb="2">
      <t>マツモト</t>
    </rPh>
    <rPh sb="3" eb="4">
      <t>ホカ</t>
    </rPh>
    <rPh sb="5" eb="6">
      <t>メイ</t>
    </rPh>
    <phoneticPr fontId="3"/>
  </si>
  <si>
    <t>大平</t>
    <rPh sb="0" eb="2">
      <t>オオヒラ</t>
    </rPh>
    <phoneticPr fontId="3"/>
  </si>
  <si>
    <t>小林 他3名</t>
    <rPh sb="0" eb="2">
      <t>コバヤシ</t>
    </rPh>
    <rPh sb="3" eb="4">
      <t>ホカ</t>
    </rPh>
    <rPh sb="5" eb="6">
      <t>メイ</t>
    </rPh>
    <phoneticPr fontId="3"/>
  </si>
  <si>
    <t>吉田 他2名</t>
    <rPh sb="0" eb="2">
      <t>ヨシダ</t>
    </rPh>
    <rPh sb="3" eb="4">
      <t>ホカ</t>
    </rPh>
    <rPh sb="5" eb="6">
      <t>メイ</t>
    </rPh>
    <phoneticPr fontId="3"/>
  </si>
  <si>
    <t>雲藤　水町</t>
    <rPh sb="0" eb="2">
      <t>ウンドウ</t>
    </rPh>
    <rPh sb="3" eb="5">
      <t>ミズマチ</t>
    </rPh>
    <phoneticPr fontId="3"/>
  </si>
  <si>
    <t>高橋（英）</t>
    <rPh sb="0" eb="2">
      <t>タカハシ</t>
    </rPh>
    <rPh sb="3" eb="4">
      <t>ヒデ</t>
    </rPh>
    <phoneticPr fontId="3"/>
  </si>
  <si>
    <t>高橋（徹）</t>
    <rPh sb="0" eb="2">
      <t>タカハシ</t>
    </rPh>
    <rPh sb="3" eb="4">
      <t>テツ</t>
    </rPh>
    <phoneticPr fontId="3"/>
  </si>
  <si>
    <t>白井 他4名</t>
    <rPh sb="0" eb="2">
      <t>シライ</t>
    </rPh>
    <rPh sb="3" eb="4">
      <t>ホカ</t>
    </rPh>
    <rPh sb="5" eb="6">
      <t>メイ</t>
    </rPh>
    <phoneticPr fontId="3"/>
  </si>
  <si>
    <t>菅原　吉田</t>
    <rPh sb="0" eb="2">
      <t>スガワラ</t>
    </rPh>
    <rPh sb="3" eb="5">
      <t>ヨシダ</t>
    </rPh>
    <phoneticPr fontId="3"/>
  </si>
  <si>
    <t>土谷 他2名</t>
    <rPh sb="0" eb="2">
      <t>ツチヤ</t>
    </rPh>
    <rPh sb="3" eb="4">
      <t>ホカ</t>
    </rPh>
    <rPh sb="5" eb="6">
      <t>メイ</t>
    </rPh>
    <phoneticPr fontId="3"/>
  </si>
  <si>
    <t>鈴木(浩）他3名</t>
    <rPh sb="0" eb="2">
      <t>スズキ</t>
    </rPh>
    <rPh sb="3" eb="4">
      <t>ヒロ</t>
    </rPh>
    <rPh sb="5" eb="6">
      <t>ホカ</t>
    </rPh>
    <rPh sb="7" eb="8">
      <t>メイ</t>
    </rPh>
    <phoneticPr fontId="3"/>
  </si>
  <si>
    <t xml:space="preserve">渡邊 (浩) 他4名 </t>
    <rPh sb="0" eb="2">
      <t>ワタナベ</t>
    </rPh>
    <rPh sb="4" eb="5">
      <t>ヒロ</t>
    </rPh>
    <rPh sb="7" eb="8">
      <t>ホカ</t>
    </rPh>
    <rPh sb="9" eb="10">
      <t>メイ</t>
    </rPh>
    <phoneticPr fontId="3"/>
  </si>
  <si>
    <t>渡邉(進） 他2名</t>
    <rPh sb="0" eb="2">
      <t>ワタナベ</t>
    </rPh>
    <rPh sb="3" eb="4">
      <t>シン</t>
    </rPh>
    <rPh sb="6" eb="7">
      <t>ホカ</t>
    </rPh>
    <rPh sb="8" eb="9">
      <t>メイ</t>
    </rPh>
    <phoneticPr fontId="3"/>
  </si>
  <si>
    <t>渡邊(浩) 他3名</t>
    <rPh sb="0" eb="2">
      <t>ワタナベ</t>
    </rPh>
    <rPh sb="3" eb="4">
      <t>ヒロ</t>
    </rPh>
    <rPh sb="6" eb="7">
      <t>ホカ</t>
    </rPh>
    <rPh sb="8" eb="9">
      <t>メイ</t>
    </rPh>
    <phoneticPr fontId="3"/>
  </si>
  <si>
    <t>鈴木(貴) 他4名</t>
    <rPh sb="0" eb="2">
      <t>スズキ</t>
    </rPh>
    <rPh sb="3" eb="4">
      <t>タカ</t>
    </rPh>
    <rPh sb="6" eb="7">
      <t>ホカ</t>
    </rPh>
    <rPh sb="8" eb="9">
      <t>メイ</t>
    </rPh>
    <phoneticPr fontId="3"/>
  </si>
  <si>
    <t>鈴木(大) 他5名</t>
    <rPh sb="0" eb="2">
      <t>スズキ</t>
    </rPh>
    <rPh sb="3" eb="4">
      <t>ダイ</t>
    </rPh>
    <rPh sb="6" eb="7">
      <t>ホカ</t>
    </rPh>
    <rPh sb="8" eb="9">
      <t>メイ</t>
    </rPh>
    <phoneticPr fontId="3"/>
  </si>
  <si>
    <t>吉田 伊藤(正)</t>
    <rPh sb="0" eb="2">
      <t>ヨシダ</t>
    </rPh>
    <rPh sb="3" eb="5">
      <t>イトウ</t>
    </rPh>
    <rPh sb="6" eb="7">
      <t>タダシ</t>
    </rPh>
    <phoneticPr fontId="3"/>
  </si>
  <si>
    <t>伊藤(正) 吉田</t>
    <rPh sb="0" eb="2">
      <t>イトウ</t>
    </rPh>
    <rPh sb="3" eb="4">
      <t>タダシ</t>
    </rPh>
    <rPh sb="6" eb="8">
      <t>ヨシダ</t>
    </rPh>
    <phoneticPr fontId="3"/>
  </si>
  <si>
    <t>平成24年8月</t>
    <rPh sb="0" eb="2">
      <t>ヘイセイ</t>
    </rPh>
    <rPh sb="4" eb="5">
      <t>ネン</t>
    </rPh>
    <rPh sb="6" eb="7">
      <t>ガツ</t>
    </rPh>
    <phoneticPr fontId="3"/>
  </si>
  <si>
    <t>平成24年11月</t>
    <rPh sb="0" eb="2">
      <t>ヘイセイ</t>
    </rPh>
    <rPh sb="4" eb="5">
      <t>ネン</t>
    </rPh>
    <rPh sb="7" eb="8">
      <t>ガツ</t>
    </rPh>
    <phoneticPr fontId="3"/>
  </si>
  <si>
    <t>令和元年7月</t>
    <rPh sb="0" eb="4">
      <t>レイワガンネン</t>
    </rPh>
    <rPh sb="5" eb="6">
      <t>ガツ</t>
    </rPh>
    <phoneticPr fontId="3"/>
  </si>
  <si>
    <t>平成28年8月</t>
    <rPh sb="0" eb="2">
      <t>ヘイセイ</t>
    </rPh>
    <rPh sb="4" eb="5">
      <t>ネン</t>
    </rPh>
    <rPh sb="6" eb="7">
      <t>ガツ</t>
    </rPh>
    <phoneticPr fontId="3"/>
  </si>
  <si>
    <t>平成25年1月</t>
    <rPh sb="0" eb="2">
      <t>ヘイセイ</t>
    </rPh>
    <rPh sb="4" eb="5">
      <t>ネン</t>
    </rPh>
    <rPh sb="6" eb="7">
      <t>ガツ</t>
    </rPh>
    <phoneticPr fontId="3"/>
  </si>
  <si>
    <t>平成30年8月</t>
    <rPh sb="0" eb="2">
      <t>ヘイセイ</t>
    </rPh>
    <rPh sb="4" eb="5">
      <t>ネン</t>
    </rPh>
    <rPh sb="6" eb="7">
      <t>ガツ</t>
    </rPh>
    <phoneticPr fontId="3"/>
  </si>
  <si>
    <t>平成20年2月</t>
    <rPh sb="0" eb="2">
      <t>ヘイセイ</t>
    </rPh>
    <rPh sb="4" eb="5">
      <t>ネン</t>
    </rPh>
    <rPh sb="6" eb="7">
      <t>ガツ</t>
    </rPh>
    <phoneticPr fontId="3"/>
  </si>
  <si>
    <t>平成14年11月</t>
    <rPh sb="0" eb="2">
      <t>ヘイセイ</t>
    </rPh>
    <rPh sb="4" eb="5">
      <t>ネン</t>
    </rPh>
    <rPh sb="7" eb="8">
      <t>ガツ</t>
    </rPh>
    <phoneticPr fontId="3"/>
  </si>
  <si>
    <t>平成22年8月</t>
    <rPh sb="0" eb="2">
      <t>ヘイセイ</t>
    </rPh>
    <rPh sb="4" eb="5">
      <t>ネン</t>
    </rPh>
    <rPh sb="6" eb="7">
      <t>ガツ</t>
    </rPh>
    <phoneticPr fontId="3"/>
  </si>
  <si>
    <t>平成31年10月</t>
    <rPh sb="0" eb="2">
      <t>ヘイセイ</t>
    </rPh>
    <rPh sb="4" eb="5">
      <t>ネン</t>
    </rPh>
    <rPh sb="7" eb="8">
      <t>ガツ</t>
    </rPh>
    <phoneticPr fontId="3"/>
  </si>
  <si>
    <t>令和6年12月</t>
    <rPh sb="0" eb="2">
      <t>レイワ</t>
    </rPh>
    <rPh sb="3" eb="4">
      <t>ネン</t>
    </rPh>
    <rPh sb="6" eb="7">
      <t>ガツ</t>
    </rPh>
    <phoneticPr fontId="3"/>
  </si>
  <si>
    <t>平成13年6月</t>
    <rPh sb="0" eb="2">
      <t>ヘイセイ</t>
    </rPh>
    <rPh sb="4" eb="5">
      <t>ネン</t>
    </rPh>
    <rPh sb="6" eb="7">
      <t>ガツ</t>
    </rPh>
    <phoneticPr fontId="3"/>
  </si>
  <si>
    <t>平成20年6月</t>
    <rPh sb="0" eb="2">
      <t>ヘイセイ</t>
    </rPh>
    <rPh sb="4" eb="5">
      <t>ネン</t>
    </rPh>
    <rPh sb="6" eb="7">
      <t>ガツ</t>
    </rPh>
    <phoneticPr fontId="3"/>
  </si>
  <si>
    <t>平成28年9月</t>
    <rPh sb="0" eb="2">
      <t>ヘイセイ</t>
    </rPh>
    <rPh sb="4" eb="5">
      <t>ネン</t>
    </rPh>
    <rPh sb="6" eb="7">
      <t>ガツ</t>
    </rPh>
    <phoneticPr fontId="3"/>
  </si>
  <si>
    <t>平成30年6月</t>
    <rPh sb="0" eb="2">
      <t>ヘイセイ</t>
    </rPh>
    <rPh sb="4" eb="5">
      <t>ネン</t>
    </rPh>
    <rPh sb="6" eb="7">
      <t>ガツ</t>
    </rPh>
    <phoneticPr fontId="3"/>
  </si>
  <si>
    <t>令和3年6月</t>
    <rPh sb="0" eb="2">
      <t>レイワ</t>
    </rPh>
    <rPh sb="3" eb="4">
      <t>ネン</t>
    </rPh>
    <rPh sb="5" eb="6">
      <t>ガツ</t>
    </rPh>
    <phoneticPr fontId="3"/>
  </si>
  <si>
    <t>平成30年10月</t>
    <rPh sb="0" eb="2">
      <t>ヘイセイ</t>
    </rPh>
    <rPh sb="4" eb="5">
      <t>ネン</t>
    </rPh>
    <rPh sb="7" eb="8">
      <t>ガツ</t>
    </rPh>
    <phoneticPr fontId="3"/>
  </si>
  <si>
    <t>令和元年5月</t>
    <rPh sb="0" eb="4">
      <t>レイワガンネン</t>
    </rPh>
    <rPh sb="5" eb="6">
      <t>ガツ</t>
    </rPh>
    <phoneticPr fontId="3"/>
  </si>
  <si>
    <t>平成31年3月</t>
    <rPh sb="0" eb="2">
      <t>ヘイセイ</t>
    </rPh>
    <rPh sb="4" eb="5">
      <t>ネン</t>
    </rPh>
    <rPh sb="6" eb="7">
      <t>ガツ</t>
    </rPh>
    <phoneticPr fontId="3"/>
  </si>
  <si>
    <t>平成24年7月</t>
    <rPh sb="0" eb="2">
      <t>ヘイセイ</t>
    </rPh>
    <rPh sb="4" eb="5">
      <t>ネン</t>
    </rPh>
    <rPh sb="6" eb="7">
      <t>ガツ</t>
    </rPh>
    <phoneticPr fontId="3"/>
  </si>
  <si>
    <t>平成29年9月</t>
    <rPh sb="0" eb="2">
      <t>ヘイセイ</t>
    </rPh>
    <rPh sb="4" eb="5">
      <t>ネン</t>
    </rPh>
    <rPh sb="6" eb="7">
      <t>ガツ</t>
    </rPh>
    <phoneticPr fontId="3"/>
  </si>
  <si>
    <t>令和5年8月</t>
    <rPh sb="0" eb="2">
      <t>レイワ</t>
    </rPh>
    <rPh sb="3" eb="4">
      <t>ネン</t>
    </rPh>
    <rPh sb="5" eb="6">
      <t>ガツ</t>
    </rPh>
    <phoneticPr fontId="3"/>
  </si>
  <si>
    <t>平成28年3月</t>
    <rPh sb="0" eb="2">
      <t>ヘイセイ</t>
    </rPh>
    <rPh sb="4" eb="5">
      <t>ネン</t>
    </rPh>
    <rPh sb="6" eb="7">
      <t>ガツ</t>
    </rPh>
    <phoneticPr fontId="3"/>
  </si>
  <si>
    <t>平成27年6月</t>
    <rPh sb="0" eb="2">
      <t>ヘイセイ</t>
    </rPh>
    <rPh sb="4" eb="5">
      <t>ネン</t>
    </rPh>
    <rPh sb="6" eb="7">
      <t>ガツ</t>
    </rPh>
    <phoneticPr fontId="3"/>
  </si>
  <si>
    <t>小田島　佐藤(守)</t>
    <rPh sb="0" eb="3">
      <t>オダジマ</t>
    </rPh>
    <rPh sb="4" eb="6">
      <t>サトウ</t>
    </rPh>
    <rPh sb="7" eb="8">
      <t>マモル</t>
    </rPh>
    <phoneticPr fontId="3"/>
  </si>
  <si>
    <t>平成24年2月</t>
    <rPh sb="0" eb="2">
      <t>ヘイセイ</t>
    </rPh>
    <rPh sb="4" eb="5">
      <t>ネン</t>
    </rPh>
    <rPh sb="6" eb="7">
      <t>ガツ</t>
    </rPh>
    <phoneticPr fontId="3"/>
  </si>
  <si>
    <t>平成24年12月</t>
    <rPh sb="0" eb="2">
      <t>ヘイセイ</t>
    </rPh>
    <rPh sb="4" eb="5">
      <t>ネン</t>
    </rPh>
    <rPh sb="7" eb="8">
      <t>ガツ</t>
    </rPh>
    <phoneticPr fontId="3"/>
  </si>
  <si>
    <t>平成17年7月</t>
    <rPh sb="0" eb="2">
      <t>ヘイセイ</t>
    </rPh>
    <rPh sb="4" eb="5">
      <t>ネン</t>
    </rPh>
    <rPh sb="6" eb="7">
      <t>ガツ</t>
    </rPh>
    <phoneticPr fontId="3"/>
  </si>
  <si>
    <t>平成29年11月</t>
    <rPh sb="0" eb="2">
      <t>ヘイセイ</t>
    </rPh>
    <rPh sb="4" eb="5">
      <t>ネン</t>
    </rPh>
    <rPh sb="7" eb="8">
      <t>ガツ</t>
    </rPh>
    <phoneticPr fontId="3"/>
  </si>
  <si>
    <t>平成20年5月</t>
    <rPh sb="0" eb="2">
      <t>ヘイセイ</t>
    </rPh>
    <rPh sb="4" eb="5">
      <t>ネン</t>
    </rPh>
    <rPh sb="6" eb="7">
      <t>ガツ</t>
    </rPh>
    <phoneticPr fontId="3"/>
  </si>
  <si>
    <t>平成26年12月</t>
    <rPh sb="0" eb="2">
      <t>ヘイセイ</t>
    </rPh>
    <rPh sb="4" eb="5">
      <t>ネン</t>
    </rPh>
    <rPh sb="7" eb="8">
      <t>ガツ</t>
    </rPh>
    <phoneticPr fontId="3"/>
  </si>
  <si>
    <t>平成30年9月</t>
    <rPh sb="0" eb="2">
      <t>ヘイセイ</t>
    </rPh>
    <rPh sb="4" eb="5">
      <t>ネン</t>
    </rPh>
    <rPh sb="6" eb="7">
      <t>ガツ</t>
    </rPh>
    <phoneticPr fontId="3"/>
  </si>
  <si>
    <t>東京営業所</t>
    <phoneticPr fontId="3"/>
  </si>
  <si>
    <t>小名浜営業所</t>
    <phoneticPr fontId="3"/>
  </si>
  <si>
    <t>仙台営業所</t>
    <phoneticPr fontId="3"/>
  </si>
  <si>
    <t>川崎営業所</t>
    <phoneticPr fontId="3"/>
  </si>
  <si>
    <t>九州営業所</t>
    <phoneticPr fontId="3"/>
  </si>
  <si>
    <t>東北部門</t>
    <rPh sb="0" eb="4">
      <t>トウホクブモン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</si>
</sst>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_ ;[Red]\-#,##0\ "/>
    <numFmt numFmtId="177" formatCode="[h]:mm\ "/>
    <numFmt numFmtId="178" formatCode="#,##0.00_ ;[Red]\-#,##0.00\ "/>
  </numFmts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Ｐ明朝"/>
      <family val="1"/>
      <charset val="128"/>
    </font>
    <font>
      <sz val="6"/>
      <name val="ＭＳ Ｐゴシック"/>
      <family val="3"/>
      <charset val="128"/>
    </font>
    <font>
      <b/>
      <sz val="11"/>
      <name val="ＭＳ Ｐ明朝"/>
      <family val="1"/>
      <charset val="128"/>
    </font>
    <font>
      <sz val="9"/>
      <name val="ＭＳ Ｐ明朝"/>
      <family val="1"/>
      <charset val="128"/>
    </font>
    <font>
      <sz val="10"/>
      <name val="ＭＳ Ｐ明朝"/>
      <family val="1"/>
      <charset val="128"/>
    </font>
    <font>
      <sz val="14"/>
      <name val="ＭＳ Ｐ明朝"/>
      <family val="1"/>
      <charset val="128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38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9" fontId="2" fillId="0" borderId="1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2" fillId="2" borderId="1" xfId="0" applyNumberFormat="1" applyFont="1" applyFill="1" applyBorder="1" applyAlignment="1">
      <alignment horizontal="center"/>
    </xf>
    <xf numFmtId="0" fontId="2" fillId="2" borderId="1" xfId="0" applyFont="1" applyFill="1" applyBorder="1"/>
    <xf numFmtId="0" fontId="2" fillId="2" borderId="2" xfId="0" applyFont="1" applyFill="1" applyBorder="1"/>
    <xf numFmtId="9" fontId="2" fillId="2" borderId="1" xfId="0" applyNumberFormat="1" applyFont="1" applyFill="1" applyBorder="1"/>
    <xf numFmtId="0" fontId="2" fillId="0" borderId="1" xfId="0" applyFont="1" applyBorder="1"/>
    <xf numFmtId="0" fontId="2" fillId="0" borderId="2" xfId="0" applyFont="1" applyBorder="1"/>
    <xf numFmtId="9" fontId="2" fillId="0" borderId="1" xfId="0" applyNumberFormat="1" applyFont="1" applyBorder="1"/>
    <xf numFmtId="176" fontId="2" fillId="0" borderId="1" xfId="1" applyNumberFormat="1" applyFont="1" applyBorder="1"/>
    <xf numFmtId="176" fontId="2" fillId="0" borderId="2" xfId="1" applyNumberFormat="1" applyFont="1" applyBorder="1"/>
    <xf numFmtId="176" fontId="2" fillId="0" borderId="2" xfId="0" applyNumberFormat="1" applyFont="1" applyBorder="1"/>
    <xf numFmtId="0" fontId="2" fillId="0" borderId="3" xfId="0" applyFont="1" applyBorder="1" applyAlignment="1">
      <alignment horizontal="center"/>
    </xf>
    <xf numFmtId="177" fontId="2" fillId="0" borderId="1" xfId="1" applyNumberFormat="1" applyFont="1" applyBorder="1"/>
    <xf numFmtId="177" fontId="2" fillId="0" borderId="2" xfId="1" applyNumberFormat="1" applyFont="1" applyBorder="1"/>
    <xf numFmtId="177" fontId="2" fillId="0" borderId="2" xfId="0" applyNumberFormat="1" applyFont="1" applyBorder="1"/>
    <xf numFmtId="3" fontId="2" fillId="0" borderId="1" xfId="1" applyNumberFormat="1" applyFont="1" applyBorder="1"/>
    <xf numFmtId="3" fontId="2" fillId="0" borderId="2" xfId="1" applyNumberFormat="1" applyFont="1" applyBorder="1"/>
    <xf numFmtId="3" fontId="2" fillId="0" borderId="2" xfId="0" applyNumberFormat="1" applyFont="1" applyBorder="1"/>
    <xf numFmtId="0" fontId="4" fillId="3" borderId="1" xfId="0" applyFont="1" applyFill="1" applyBorder="1"/>
    <xf numFmtId="176" fontId="4" fillId="3" borderId="1" xfId="1" applyNumberFormat="1" applyFont="1" applyFill="1" applyBorder="1"/>
    <xf numFmtId="176" fontId="4" fillId="3" borderId="2" xfId="1" applyNumberFormat="1" applyFont="1" applyFill="1" applyBorder="1"/>
    <xf numFmtId="176" fontId="4" fillId="3" borderId="2" xfId="0" applyNumberFormat="1" applyFont="1" applyFill="1" applyBorder="1"/>
    <xf numFmtId="9" fontId="4" fillId="3" borderId="1" xfId="0" applyNumberFormat="1" applyFont="1" applyFill="1" applyBorder="1"/>
    <xf numFmtId="176" fontId="2" fillId="2" borderId="1" xfId="1" applyNumberFormat="1" applyFont="1" applyFill="1" applyBorder="1"/>
    <xf numFmtId="176" fontId="2" fillId="2" borderId="2" xfId="1" applyNumberFormat="1" applyFont="1" applyFill="1" applyBorder="1"/>
    <xf numFmtId="176" fontId="2" fillId="2" borderId="2" xfId="0" applyNumberFormat="1" applyFont="1" applyFill="1" applyBorder="1"/>
    <xf numFmtId="178" fontId="2" fillId="0" borderId="1" xfId="0" applyNumberFormat="1" applyFont="1" applyBorder="1"/>
    <xf numFmtId="178" fontId="2" fillId="0" borderId="1" xfId="1" applyNumberFormat="1" applyFont="1" applyBorder="1"/>
    <xf numFmtId="178" fontId="2" fillId="0" borderId="2" xfId="1" applyNumberFormat="1" applyFont="1" applyBorder="1"/>
    <xf numFmtId="178" fontId="2" fillId="0" borderId="2" xfId="0" applyNumberFormat="1" applyFont="1" applyBorder="1"/>
    <xf numFmtId="0" fontId="2" fillId="0" borderId="4" xfId="0" applyFont="1" applyBorder="1"/>
    <xf numFmtId="0" fontId="2" fillId="0" borderId="5" xfId="0" applyFont="1" applyBorder="1"/>
    <xf numFmtId="0" fontId="2" fillId="0" borderId="3" xfId="0" applyFont="1" applyBorder="1"/>
    <xf numFmtId="0" fontId="2" fillId="0" borderId="6" xfId="0" applyFont="1" applyBorder="1" applyAlignment="1">
      <alignment horizontal="right"/>
    </xf>
    <xf numFmtId="0" fontId="2" fillId="0" borderId="1" xfId="0" applyFont="1" applyBorder="1" applyAlignment="1">
      <alignment horizontal="right"/>
    </xf>
    <xf numFmtId="0" fontId="2" fillId="0" borderId="6" xfId="0" applyFont="1" applyBorder="1"/>
    <xf numFmtId="0" fontId="5" fillId="2" borderId="1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55" fontId="2" fillId="0" borderId="0" xfId="0" applyNumberFormat="1" applyFont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0" borderId="1" xfId="0" applyFont="1" applyBorder="1" applyAlignment="1">
      <alignment horizontal="center" vertical="center" textRotation="255"/>
    </xf>
    <xf numFmtId="0" fontId="2" fillId="2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95250</xdr:rowOff>
        </xdr:from>
        <xdr:to>
          <xdr:col>1</xdr:col>
          <xdr:colOff>657225</xdr:colOff>
          <xdr:row>1</xdr:row>
          <xdr:rowOff>257175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95250</xdr:rowOff>
        </xdr:from>
        <xdr:to>
          <xdr:col>1</xdr:col>
          <xdr:colOff>657225</xdr:colOff>
          <xdr:row>1</xdr:row>
          <xdr:rowOff>257175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95250</xdr:rowOff>
        </xdr:from>
        <xdr:to>
          <xdr:col>1</xdr:col>
          <xdr:colOff>657225</xdr:colOff>
          <xdr:row>1</xdr:row>
          <xdr:rowOff>257175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95250</xdr:rowOff>
        </xdr:from>
        <xdr:to>
          <xdr:col>1</xdr:col>
          <xdr:colOff>657225</xdr:colOff>
          <xdr:row>1</xdr:row>
          <xdr:rowOff>257175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95250</xdr:rowOff>
        </xdr:from>
        <xdr:to>
          <xdr:col>1</xdr:col>
          <xdr:colOff>657225</xdr:colOff>
          <xdr:row>1</xdr:row>
          <xdr:rowOff>257175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95250</xdr:rowOff>
        </xdr:from>
        <xdr:to>
          <xdr:col>1</xdr:col>
          <xdr:colOff>657225</xdr:colOff>
          <xdr:row>1</xdr:row>
          <xdr:rowOff>257175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0</xdr:row>
          <xdr:rowOff>95250</xdr:rowOff>
        </xdr:from>
        <xdr:to>
          <xdr:col>1</xdr:col>
          <xdr:colOff>657225</xdr:colOff>
          <xdr:row>1</xdr:row>
          <xdr:rowOff>257175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9744-AF70-44DA-A146-4BDF382637F8}">
  <sheetPr codeName="Sheet1"/>
  <dimension ref="A2:AT102"/>
  <sheetViews>
    <sheetView tabSelected="1" workbookViewId="0">
      <selection activeCell="AG12" sqref="AG1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30" width="13" style="1" bestFit="1" customWidth="1"/>
    <col min="31" max="34" width="11" style="1" bestFit="1" customWidth="1"/>
    <col min="35" max="37" width="12.25" style="1" bestFit="1" customWidth="1"/>
    <col min="38" max="43" width="11" style="1" bestFit="1" customWidth="1"/>
    <col min="44" max="44" width="13.25" style="1" bestFit="1" customWidth="1"/>
    <col min="45" max="45" width="10" style="1" bestFit="1" customWidth="1"/>
    <col min="46" max="46" width="11" style="1" bestFit="1" customWidth="1"/>
    <col min="47" max="251" width="9" style="1"/>
    <col min="252" max="252" width="2.875" style="1" bestFit="1" customWidth="1"/>
    <col min="253" max="253" width="16.625" style="1" bestFit="1" customWidth="1"/>
    <col min="254" max="254" width="11.375" style="1" bestFit="1" customWidth="1"/>
    <col min="255" max="256" width="14.125" style="1" bestFit="1" customWidth="1"/>
    <col min="257" max="257" width="11.375" style="1" bestFit="1" customWidth="1"/>
    <col min="258" max="260" width="12.5" style="1" bestFit="1" customWidth="1"/>
    <col min="261" max="261" width="11" style="1" bestFit="1" customWidth="1"/>
    <col min="262" max="281" width="13" style="1" bestFit="1" customWidth="1"/>
    <col min="282" max="285" width="11" style="1" bestFit="1" customWidth="1"/>
    <col min="286" max="288" width="12.25" style="1" bestFit="1" customWidth="1"/>
    <col min="289" max="299" width="11" style="1" bestFit="1" customWidth="1"/>
    <col min="300" max="300" width="13.25" style="1" bestFit="1" customWidth="1"/>
    <col min="301" max="301" width="10" style="1" bestFit="1" customWidth="1"/>
    <col min="302" max="302" width="11" style="1" bestFit="1" customWidth="1"/>
    <col min="303" max="507" width="9" style="1"/>
    <col min="508" max="508" width="2.875" style="1" bestFit="1" customWidth="1"/>
    <col min="509" max="509" width="16.625" style="1" bestFit="1" customWidth="1"/>
    <col min="510" max="510" width="11.375" style="1" bestFit="1" customWidth="1"/>
    <col min="511" max="512" width="14.125" style="1" bestFit="1" customWidth="1"/>
    <col min="513" max="513" width="11.375" style="1" bestFit="1" customWidth="1"/>
    <col min="514" max="516" width="12.5" style="1" bestFit="1" customWidth="1"/>
    <col min="517" max="517" width="11" style="1" bestFit="1" customWidth="1"/>
    <col min="518" max="537" width="13" style="1" bestFit="1" customWidth="1"/>
    <col min="538" max="541" width="11" style="1" bestFit="1" customWidth="1"/>
    <col min="542" max="544" width="12.25" style="1" bestFit="1" customWidth="1"/>
    <col min="545" max="555" width="11" style="1" bestFit="1" customWidth="1"/>
    <col min="556" max="556" width="13.25" style="1" bestFit="1" customWidth="1"/>
    <col min="557" max="557" width="10" style="1" bestFit="1" customWidth="1"/>
    <col min="558" max="558" width="11" style="1" bestFit="1" customWidth="1"/>
    <col min="559" max="763" width="9" style="1"/>
    <col min="764" max="764" width="2.875" style="1" bestFit="1" customWidth="1"/>
    <col min="765" max="765" width="16.625" style="1" bestFit="1" customWidth="1"/>
    <col min="766" max="766" width="11.375" style="1" bestFit="1" customWidth="1"/>
    <col min="767" max="768" width="14.125" style="1" bestFit="1" customWidth="1"/>
    <col min="769" max="769" width="11.375" style="1" bestFit="1" customWidth="1"/>
    <col min="770" max="772" width="12.5" style="1" bestFit="1" customWidth="1"/>
    <col min="773" max="773" width="11" style="1" bestFit="1" customWidth="1"/>
    <col min="774" max="793" width="13" style="1" bestFit="1" customWidth="1"/>
    <col min="794" max="797" width="11" style="1" bestFit="1" customWidth="1"/>
    <col min="798" max="800" width="12.25" style="1" bestFit="1" customWidth="1"/>
    <col min="801" max="811" width="11" style="1" bestFit="1" customWidth="1"/>
    <col min="812" max="812" width="13.25" style="1" bestFit="1" customWidth="1"/>
    <col min="813" max="813" width="10" style="1" bestFit="1" customWidth="1"/>
    <col min="814" max="814" width="11" style="1" bestFit="1" customWidth="1"/>
    <col min="815" max="1019" width="9" style="1"/>
    <col min="1020" max="1020" width="2.875" style="1" bestFit="1" customWidth="1"/>
    <col min="1021" max="1021" width="16.625" style="1" bestFit="1" customWidth="1"/>
    <col min="1022" max="1022" width="11.375" style="1" bestFit="1" customWidth="1"/>
    <col min="1023" max="1024" width="14.125" style="1" bestFit="1" customWidth="1"/>
    <col min="1025" max="1025" width="11.375" style="1" bestFit="1" customWidth="1"/>
    <col min="1026" max="1028" width="12.5" style="1" bestFit="1" customWidth="1"/>
    <col min="1029" max="1029" width="11" style="1" bestFit="1" customWidth="1"/>
    <col min="1030" max="1049" width="13" style="1" bestFit="1" customWidth="1"/>
    <col min="1050" max="1053" width="11" style="1" bestFit="1" customWidth="1"/>
    <col min="1054" max="1056" width="12.25" style="1" bestFit="1" customWidth="1"/>
    <col min="1057" max="1067" width="11" style="1" bestFit="1" customWidth="1"/>
    <col min="1068" max="1068" width="13.25" style="1" bestFit="1" customWidth="1"/>
    <col min="1069" max="1069" width="10" style="1" bestFit="1" customWidth="1"/>
    <col min="1070" max="1070" width="11" style="1" bestFit="1" customWidth="1"/>
    <col min="1071" max="1275" width="9" style="1"/>
    <col min="1276" max="1276" width="2.875" style="1" bestFit="1" customWidth="1"/>
    <col min="1277" max="1277" width="16.625" style="1" bestFit="1" customWidth="1"/>
    <col min="1278" max="1278" width="11.375" style="1" bestFit="1" customWidth="1"/>
    <col min="1279" max="1280" width="14.125" style="1" bestFit="1" customWidth="1"/>
    <col min="1281" max="1281" width="11.375" style="1" bestFit="1" customWidth="1"/>
    <col min="1282" max="1284" width="12.5" style="1" bestFit="1" customWidth="1"/>
    <col min="1285" max="1285" width="11" style="1" bestFit="1" customWidth="1"/>
    <col min="1286" max="1305" width="13" style="1" bestFit="1" customWidth="1"/>
    <col min="1306" max="1309" width="11" style="1" bestFit="1" customWidth="1"/>
    <col min="1310" max="1312" width="12.25" style="1" bestFit="1" customWidth="1"/>
    <col min="1313" max="1323" width="11" style="1" bestFit="1" customWidth="1"/>
    <col min="1324" max="1324" width="13.25" style="1" bestFit="1" customWidth="1"/>
    <col min="1325" max="1325" width="10" style="1" bestFit="1" customWidth="1"/>
    <col min="1326" max="1326" width="11" style="1" bestFit="1" customWidth="1"/>
    <col min="1327" max="1531" width="9" style="1"/>
    <col min="1532" max="1532" width="2.875" style="1" bestFit="1" customWidth="1"/>
    <col min="1533" max="1533" width="16.625" style="1" bestFit="1" customWidth="1"/>
    <col min="1534" max="1534" width="11.375" style="1" bestFit="1" customWidth="1"/>
    <col min="1535" max="1536" width="14.125" style="1" bestFit="1" customWidth="1"/>
    <col min="1537" max="1537" width="11.375" style="1" bestFit="1" customWidth="1"/>
    <col min="1538" max="1540" width="12.5" style="1" bestFit="1" customWidth="1"/>
    <col min="1541" max="1541" width="11" style="1" bestFit="1" customWidth="1"/>
    <col min="1542" max="1561" width="13" style="1" bestFit="1" customWidth="1"/>
    <col min="1562" max="1565" width="11" style="1" bestFit="1" customWidth="1"/>
    <col min="1566" max="1568" width="12.25" style="1" bestFit="1" customWidth="1"/>
    <col min="1569" max="1579" width="11" style="1" bestFit="1" customWidth="1"/>
    <col min="1580" max="1580" width="13.25" style="1" bestFit="1" customWidth="1"/>
    <col min="1581" max="1581" width="10" style="1" bestFit="1" customWidth="1"/>
    <col min="1582" max="1582" width="11" style="1" bestFit="1" customWidth="1"/>
    <col min="1583" max="1787" width="9" style="1"/>
    <col min="1788" max="1788" width="2.875" style="1" bestFit="1" customWidth="1"/>
    <col min="1789" max="1789" width="16.625" style="1" bestFit="1" customWidth="1"/>
    <col min="1790" max="1790" width="11.375" style="1" bestFit="1" customWidth="1"/>
    <col min="1791" max="1792" width="14.125" style="1" bestFit="1" customWidth="1"/>
    <col min="1793" max="1793" width="11.375" style="1" bestFit="1" customWidth="1"/>
    <col min="1794" max="1796" width="12.5" style="1" bestFit="1" customWidth="1"/>
    <col min="1797" max="1797" width="11" style="1" bestFit="1" customWidth="1"/>
    <col min="1798" max="1817" width="13" style="1" bestFit="1" customWidth="1"/>
    <col min="1818" max="1821" width="11" style="1" bestFit="1" customWidth="1"/>
    <col min="1822" max="1824" width="12.25" style="1" bestFit="1" customWidth="1"/>
    <col min="1825" max="1835" width="11" style="1" bestFit="1" customWidth="1"/>
    <col min="1836" max="1836" width="13.25" style="1" bestFit="1" customWidth="1"/>
    <col min="1837" max="1837" width="10" style="1" bestFit="1" customWidth="1"/>
    <col min="1838" max="1838" width="11" style="1" bestFit="1" customWidth="1"/>
    <col min="1839" max="2043" width="9" style="1"/>
    <col min="2044" max="2044" width="2.875" style="1" bestFit="1" customWidth="1"/>
    <col min="2045" max="2045" width="16.625" style="1" bestFit="1" customWidth="1"/>
    <col min="2046" max="2046" width="11.375" style="1" bestFit="1" customWidth="1"/>
    <col min="2047" max="2048" width="14.125" style="1" bestFit="1" customWidth="1"/>
    <col min="2049" max="2049" width="11.375" style="1" bestFit="1" customWidth="1"/>
    <col min="2050" max="2052" width="12.5" style="1" bestFit="1" customWidth="1"/>
    <col min="2053" max="2053" width="11" style="1" bestFit="1" customWidth="1"/>
    <col min="2054" max="2073" width="13" style="1" bestFit="1" customWidth="1"/>
    <col min="2074" max="2077" width="11" style="1" bestFit="1" customWidth="1"/>
    <col min="2078" max="2080" width="12.25" style="1" bestFit="1" customWidth="1"/>
    <col min="2081" max="2091" width="11" style="1" bestFit="1" customWidth="1"/>
    <col min="2092" max="2092" width="13.25" style="1" bestFit="1" customWidth="1"/>
    <col min="2093" max="2093" width="10" style="1" bestFit="1" customWidth="1"/>
    <col min="2094" max="2094" width="11" style="1" bestFit="1" customWidth="1"/>
    <col min="2095" max="2299" width="9" style="1"/>
    <col min="2300" max="2300" width="2.875" style="1" bestFit="1" customWidth="1"/>
    <col min="2301" max="2301" width="16.625" style="1" bestFit="1" customWidth="1"/>
    <col min="2302" max="2302" width="11.375" style="1" bestFit="1" customWidth="1"/>
    <col min="2303" max="2304" width="14.125" style="1" bestFit="1" customWidth="1"/>
    <col min="2305" max="2305" width="11.375" style="1" bestFit="1" customWidth="1"/>
    <col min="2306" max="2308" width="12.5" style="1" bestFit="1" customWidth="1"/>
    <col min="2309" max="2309" width="11" style="1" bestFit="1" customWidth="1"/>
    <col min="2310" max="2329" width="13" style="1" bestFit="1" customWidth="1"/>
    <col min="2330" max="2333" width="11" style="1" bestFit="1" customWidth="1"/>
    <col min="2334" max="2336" width="12.25" style="1" bestFit="1" customWidth="1"/>
    <col min="2337" max="2347" width="11" style="1" bestFit="1" customWidth="1"/>
    <col min="2348" max="2348" width="13.25" style="1" bestFit="1" customWidth="1"/>
    <col min="2349" max="2349" width="10" style="1" bestFit="1" customWidth="1"/>
    <col min="2350" max="2350" width="11" style="1" bestFit="1" customWidth="1"/>
    <col min="2351" max="2555" width="9" style="1"/>
    <col min="2556" max="2556" width="2.875" style="1" bestFit="1" customWidth="1"/>
    <col min="2557" max="2557" width="16.625" style="1" bestFit="1" customWidth="1"/>
    <col min="2558" max="2558" width="11.375" style="1" bestFit="1" customWidth="1"/>
    <col min="2559" max="2560" width="14.125" style="1" bestFit="1" customWidth="1"/>
    <col min="2561" max="2561" width="11.375" style="1" bestFit="1" customWidth="1"/>
    <col min="2562" max="2564" width="12.5" style="1" bestFit="1" customWidth="1"/>
    <col min="2565" max="2565" width="11" style="1" bestFit="1" customWidth="1"/>
    <col min="2566" max="2585" width="13" style="1" bestFit="1" customWidth="1"/>
    <col min="2586" max="2589" width="11" style="1" bestFit="1" customWidth="1"/>
    <col min="2590" max="2592" width="12.25" style="1" bestFit="1" customWidth="1"/>
    <col min="2593" max="2603" width="11" style="1" bestFit="1" customWidth="1"/>
    <col min="2604" max="2604" width="13.25" style="1" bestFit="1" customWidth="1"/>
    <col min="2605" max="2605" width="10" style="1" bestFit="1" customWidth="1"/>
    <col min="2606" max="2606" width="11" style="1" bestFit="1" customWidth="1"/>
    <col min="2607" max="2811" width="9" style="1"/>
    <col min="2812" max="2812" width="2.875" style="1" bestFit="1" customWidth="1"/>
    <col min="2813" max="2813" width="16.625" style="1" bestFit="1" customWidth="1"/>
    <col min="2814" max="2814" width="11.375" style="1" bestFit="1" customWidth="1"/>
    <col min="2815" max="2816" width="14.125" style="1" bestFit="1" customWidth="1"/>
    <col min="2817" max="2817" width="11.375" style="1" bestFit="1" customWidth="1"/>
    <col min="2818" max="2820" width="12.5" style="1" bestFit="1" customWidth="1"/>
    <col min="2821" max="2821" width="11" style="1" bestFit="1" customWidth="1"/>
    <col min="2822" max="2841" width="13" style="1" bestFit="1" customWidth="1"/>
    <col min="2842" max="2845" width="11" style="1" bestFit="1" customWidth="1"/>
    <col min="2846" max="2848" width="12.25" style="1" bestFit="1" customWidth="1"/>
    <col min="2849" max="2859" width="11" style="1" bestFit="1" customWidth="1"/>
    <col min="2860" max="2860" width="13.25" style="1" bestFit="1" customWidth="1"/>
    <col min="2861" max="2861" width="10" style="1" bestFit="1" customWidth="1"/>
    <col min="2862" max="2862" width="11" style="1" bestFit="1" customWidth="1"/>
    <col min="2863" max="3067" width="9" style="1"/>
    <col min="3068" max="3068" width="2.875" style="1" bestFit="1" customWidth="1"/>
    <col min="3069" max="3069" width="16.625" style="1" bestFit="1" customWidth="1"/>
    <col min="3070" max="3070" width="11.375" style="1" bestFit="1" customWidth="1"/>
    <col min="3071" max="3072" width="14.125" style="1" bestFit="1" customWidth="1"/>
    <col min="3073" max="3073" width="11.375" style="1" bestFit="1" customWidth="1"/>
    <col min="3074" max="3076" width="12.5" style="1" bestFit="1" customWidth="1"/>
    <col min="3077" max="3077" width="11" style="1" bestFit="1" customWidth="1"/>
    <col min="3078" max="3097" width="13" style="1" bestFit="1" customWidth="1"/>
    <col min="3098" max="3101" width="11" style="1" bestFit="1" customWidth="1"/>
    <col min="3102" max="3104" width="12.25" style="1" bestFit="1" customWidth="1"/>
    <col min="3105" max="3115" width="11" style="1" bestFit="1" customWidth="1"/>
    <col min="3116" max="3116" width="13.25" style="1" bestFit="1" customWidth="1"/>
    <col min="3117" max="3117" width="10" style="1" bestFit="1" customWidth="1"/>
    <col min="3118" max="3118" width="11" style="1" bestFit="1" customWidth="1"/>
    <col min="3119" max="3323" width="9" style="1"/>
    <col min="3324" max="3324" width="2.875" style="1" bestFit="1" customWidth="1"/>
    <col min="3325" max="3325" width="16.625" style="1" bestFit="1" customWidth="1"/>
    <col min="3326" max="3326" width="11.375" style="1" bestFit="1" customWidth="1"/>
    <col min="3327" max="3328" width="14.125" style="1" bestFit="1" customWidth="1"/>
    <col min="3329" max="3329" width="11.375" style="1" bestFit="1" customWidth="1"/>
    <col min="3330" max="3332" width="12.5" style="1" bestFit="1" customWidth="1"/>
    <col min="3333" max="3333" width="11" style="1" bestFit="1" customWidth="1"/>
    <col min="3334" max="3353" width="13" style="1" bestFit="1" customWidth="1"/>
    <col min="3354" max="3357" width="11" style="1" bestFit="1" customWidth="1"/>
    <col min="3358" max="3360" width="12.25" style="1" bestFit="1" customWidth="1"/>
    <col min="3361" max="3371" width="11" style="1" bestFit="1" customWidth="1"/>
    <col min="3372" max="3372" width="13.25" style="1" bestFit="1" customWidth="1"/>
    <col min="3373" max="3373" width="10" style="1" bestFit="1" customWidth="1"/>
    <col min="3374" max="3374" width="11" style="1" bestFit="1" customWidth="1"/>
    <col min="3375" max="3579" width="9" style="1"/>
    <col min="3580" max="3580" width="2.875" style="1" bestFit="1" customWidth="1"/>
    <col min="3581" max="3581" width="16.625" style="1" bestFit="1" customWidth="1"/>
    <col min="3582" max="3582" width="11.375" style="1" bestFit="1" customWidth="1"/>
    <col min="3583" max="3584" width="14.125" style="1" bestFit="1" customWidth="1"/>
    <col min="3585" max="3585" width="11.375" style="1" bestFit="1" customWidth="1"/>
    <col min="3586" max="3588" width="12.5" style="1" bestFit="1" customWidth="1"/>
    <col min="3589" max="3589" width="11" style="1" bestFit="1" customWidth="1"/>
    <col min="3590" max="3609" width="13" style="1" bestFit="1" customWidth="1"/>
    <col min="3610" max="3613" width="11" style="1" bestFit="1" customWidth="1"/>
    <col min="3614" max="3616" width="12.25" style="1" bestFit="1" customWidth="1"/>
    <col min="3617" max="3627" width="11" style="1" bestFit="1" customWidth="1"/>
    <col min="3628" max="3628" width="13.25" style="1" bestFit="1" customWidth="1"/>
    <col min="3629" max="3629" width="10" style="1" bestFit="1" customWidth="1"/>
    <col min="3630" max="3630" width="11" style="1" bestFit="1" customWidth="1"/>
    <col min="3631" max="3835" width="9" style="1"/>
    <col min="3836" max="3836" width="2.875" style="1" bestFit="1" customWidth="1"/>
    <col min="3837" max="3837" width="16.625" style="1" bestFit="1" customWidth="1"/>
    <col min="3838" max="3838" width="11.375" style="1" bestFit="1" customWidth="1"/>
    <col min="3839" max="3840" width="14.125" style="1" bestFit="1" customWidth="1"/>
    <col min="3841" max="3841" width="11.375" style="1" bestFit="1" customWidth="1"/>
    <col min="3842" max="3844" width="12.5" style="1" bestFit="1" customWidth="1"/>
    <col min="3845" max="3845" width="11" style="1" bestFit="1" customWidth="1"/>
    <col min="3846" max="3865" width="13" style="1" bestFit="1" customWidth="1"/>
    <col min="3866" max="3869" width="11" style="1" bestFit="1" customWidth="1"/>
    <col min="3870" max="3872" width="12.25" style="1" bestFit="1" customWidth="1"/>
    <col min="3873" max="3883" width="11" style="1" bestFit="1" customWidth="1"/>
    <col min="3884" max="3884" width="13.25" style="1" bestFit="1" customWidth="1"/>
    <col min="3885" max="3885" width="10" style="1" bestFit="1" customWidth="1"/>
    <col min="3886" max="3886" width="11" style="1" bestFit="1" customWidth="1"/>
    <col min="3887" max="4091" width="9" style="1"/>
    <col min="4092" max="4092" width="2.875" style="1" bestFit="1" customWidth="1"/>
    <col min="4093" max="4093" width="16.625" style="1" bestFit="1" customWidth="1"/>
    <col min="4094" max="4094" width="11.375" style="1" bestFit="1" customWidth="1"/>
    <col min="4095" max="4096" width="14.125" style="1" bestFit="1" customWidth="1"/>
    <col min="4097" max="4097" width="11.375" style="1" bestFit="1" customWidth="1"/>
    <col min="4098" max="4100" width="12.5" style="1" bestFit="1" customWidth="1"/>
    <col min="4101" max="4101" width="11" style="1" bestFit="1" customWidth="1"/>
    <col min="4102" max="4121" width="13" style="1" bestFit="1" customWidth="1"/>
    <col min="4122" max="4125" width="11" style="1" bestFit="1" customWidth="1"/>
    <col min="4126" max="4128" width="12.25" style="1" bestFit="1" customWidth="1"/>
    <col min="4129" max="4139" width="11" style="1" bestFit="1" customWidth="1"/>
    <col min="4140" max="4140" width="13.25" style="1" bestFit="1" customWidth="1"/>
    <col min="4141" max="4141" width="10" style="1" bestFit="1" customWidth="1"/>
    <col min="4142" max="4142" width="11" style="1" bestFit="1" customWidth="1"/>
    <col min="4143" max="4347" width="9" style="1"/>
    <col min="4348" max="4348" width="2.875" style="1" bestFit="1" customWidth="1"/>
    <col min="4349" max="4349" width="16.625" style="1" bestFit="1" customWidth="1"/>
    <col min="4350" max="4350" width="11.375" style="1" bestFit="1" customWidth="1"/>
    <col min="4351" max="4352" width="14.125" style="1" bestFit="1" customWidth="1"/>
    <col min="4353" max="4353" width="11.375" style="1" bestFit="1" customWidth="1"/>
    <col min="4354" max="4356" width="12.5" style="1" bestFit="1" customWidth="1"/>
    <col min="4357" max="4357" width="11" style="1" bestFit="1" customWidth="1"/>
    <col min="4358" max="4377" width="13" style="1" bestFit="1" customWidth="1"/>
    <col min="4378" max="4381" width="11" style="1" bestFit="1" customWidth="1"/>
    <col min="4382" max="4384" width="12.25" style="1" bestFit="1" customWidth="1"/>
    <col min="4385" max="4395" width="11" style="1" bestFit="1" customWidth="1"/>
    <col min="4396" max="4396" width="13.25" style="1" bestFit="1" customWidth="1"/>
    <col min="4397" max="4397" width="10" style="1" bestFit="1" customWidth="1"/>
    <col min="4398" max="4398" width="11" style="1" bestFit="1" customWidth="1"/>
    <col min="4399" max="4603" width="9" style="1"/>
    <col min="4604" max="4604" width="2.875" style="1" bestFit="1" customWidth="1"/>
    <col min="4605" max="4605" width="16.625" style="1" bestFit="1" customWidth="1"/>
    <col min="4606" max="4606" width="11.375" style="1" bestFit="1" customWidth="1"/>
    <col min="4607" max="4608" width="14.125" style="1" bestFit="1" customWidth="1"/>
    <col min="4609" max="4609" width="11.375" style="1" bestFit="1" customWidth="1"/>
    <col min="4610" max="4612" width="12.5" style="1" bestFit="1" customWidth="1"/>
    <col min="4613" max="4613" width="11" style="1" bestFit="1" customWidth="1"/>
    <col min="4614" max="4633" width="13" style="1" bestFit="1" customWidth="1"/>
    <col min="4634" max="4637" width="11" style="1" bestFit="1" customWidth="1"/>
    <col min="4638" max="4640" width="12.25" style="1" bestFit="1" customWidth="1"/>
    <col min="4641" max="4651" width="11" style="1" bestFit="1" customWidth="1"/>
    <col min="4652" max="4652" width="13.25" style="1" bestFit="1" customWidth="1"/>
    <col min="4653" max="4653" width="10" style="1" bestFit="1" customWidth="1"/>
    <col min="4654" max="4654" width="11" style="1" bestFit="1" customWidth="1"/>
    <col min="4655" max="4859" width="9" style="1"/>
    <col min="4860" max="4860" width="2.875" style="1" bestFit="1" customWidth="1"/>
    <col min="4861" max="4861" width="16.625" style="1" bestFit="1" customWidth="1"/>
    <col min="4862" max="4862" width="11.375" style="1" bestFit="1" customWidth="1"/>
    <col min="4863" max="4864" width="14.125" style="1" bestFit="1" customWidth="1"/>
    <col min="4865" max="4865" width="11.375" style="1" bestFit="1" customWidth="1"/>
    <col min="4866" max="4868" width="12.5" style="1" bestFit="1" customWidth="1"/>
    <col min="4869" max="4869" width="11" style="1" bestFit="1" customWidth="1"/>
    <col min="4870" max="4889" width="13" style="1" bestFit="1" customWidth="1"/>
    <col min="4890" max="4893" width="11" style="1" bestFit="1" customWidth="1"/>
    <col min="4894" max="4896" width="12.25" style="1" bestFit="1" customWidth="1"/>
    <col min="4897" max="4907" width="11" style="1" bestFit="1" customWidth="1"/>
    <col min="4908" max="4908" width="13.25" style="1" bestFit="1" customWidth="1"/>
    <col min="4909" max="4909" width="10" style="1" bestFit="1" customWidth="1"/>
    <col min="4910" max="4910" width="11" style="1" bestFit="1" customWidth="1"/>
    <col min="4911" max="5115" width="9" style="1"/>
    <col min="5116" max="5116" width="2.875" style="1" bestFit="1" customWidth="1"/>
    <col min="5117" max="5117" width="16.625" style="1" bestFit="1" customWidth="1"/>
    <col min="5118" max="5118" width="11.375" style="1" bestFit="1" customWidth="1"/>
    <col min="5119" max="5120" width="14.125" style="1" bestFit="1" customWidth="1"/>
    <col min="5121" max="5121" width="11.375" style="1" bestFit="1" customWidth="1"/>
    <col min="5122" max="5124" width="12.5" style="1" bestFit="1" customWidth="1"/>
    <col min="5125" max="5125" width="11" style="1" bestFit="1" customWidth="1"/>
    <col min="5126" max="5145" width="13" style="1" bestFit="1" customWidth="1"/>
    <col min="5146" max="5149" width="11" style="1" bestFit="1" customWidth="1"/>
    <col min="5150" max="5152" width="12.25" style="1" bestFit="1" customWidth="1"/>
    <col min="5153" max="5163" width="11" style="1" bestFit="1" customWidth="1"/>
    <col min="5164" max="5164" width="13.25" style="1" bestFit="1" customWidth="1"/>
    <col min="5165" max="5165" width="10" style="1" bestFit="1" customWidth="1"/>
    <col min="5166" max="5166" width="11" style="1" bestFit="1" customWidth="1"/>
    <col min="5167" max="5371" width="9" style="1"/>
    <col min="5372" max="5372" width="2.875" style="1" bestFit="1" customWidth="1"/>
    <col min="5373" max="5373" width="16.625" style="1" bestFit="1" customWidth="1"/>
    <col min="5374" max="5374" width="11.375" style="1" bestFit="1" customWidth="1"/>
    <col min="5375" max="5376" width="14.125" style="1" bestFit="1" customWidth="1"/>
    <col min="5377" max="5377" width="11.375" style="1" bestFit="1" customWidth="1"/>
    <col min="5378" max="5380" width="12.5" style="1" bestFit="1" customWidth="1"/>
    <col min="5381" max="5381" width="11" style="1" bestFit="1" customWidth="1"/>
    <col min="5382" max="5401" width="13" style="1" bestFit="1" customWidth="1"/>
    <col min="5402" max="5405" width="11" style="1" bestFit="1" customWidth="1"/>
    <col min="5406" max="5408" width="12.25" style="1" bestFit="1" customWidth="1"/>
    <col min="5409" max="5419" width="11" style="1" bestFit="1" customWidth="1"/>
    <col min="5420" max="5420" width="13.25" style="1" bestFit="1" customWidth="1"/>
    <col min="5421" max="5421" width="10" style="1" bestFit="1" customWidth="1"/>
    <col min="5422" max="5422" width="11" style="1" bestFit="1" customWidth="1"/>
    <col min="5423" max="5627" width="9" style="1"/>
    <col min="5628" max="5628" width="2.875" style="1" bestFit="1" customWidth="1"/>
    <col min="5629" max="5629" width="16.625" style="1" bestFit="1" customWidth="1"/>
    <col min="5630" max="5630" width="11.375" style="1" bestFit="1" customWidth="1"/>
    <col min="5631" max="5632" width="14.125" style="1" bestFit="1" customWidth="1"/>
    <col min="5633" max="5633" width="11.375" style="1" bestFit="1" customWidth="1"/>
    <col min="5634" max="5636" width="12.5" style="1" bestFit="1" customWidth="1"/>
    <col min="5637" max="5637" width="11" style="1" bestFit="1" customWidth="1"/>
    <col min="5638" max="5657" width="13" style="1" bestFit="1" customWidth="1"/>
    <col min="5658" max="5661" width="11" style="1" bestFit="1" customWidth="1"/>
    <col min="5662" max="5664" width="12.25" style="1" bestFit="1" customWidth="1"/>
    <col min="5665" max="5675" width="11" style="1" bestFit="1" customWidth="1"/>
    <col min="5676" max="5676" width="13.25" style="1" bestFit="1" customWidth="1"/>
    <col min="5677" max="5677" width="10" style="1" bestFit="1" customWidth="1"/>
    <col min="5678" max="5678" width="11" style="1" bestFit="1" customWidth="1"/>
    <col min="5679" max="5883" width="9" style="1"/>
    <col min="5884" max="5884" width="2.875" style="1" bestFit="1" customWidth="1"/>
    <col min="5885" max="5885" width="16.625" style="1" bestFit="1" customWidth="1"/>
    <col min="5886" max="5886" width="11.375" style="1" bestFit="1" customWidth="1"/>
    <col min="5887" max="5888" width="14.125" style="1" bestFit="1" customWidth="1"/>
    <col min="5889" max="5889" width="11.375" style="1" bestFit="1" customWidth="1"/>
    <col min="5890" max="5892" width="12.5" style="1" bestFit="1" customWidth="1"/>
    <col min="5893" max="5893" width="11" style="1" bestFit="1" customWidth="1"/>
    <col min="5894" max="5913" width="13" style="1" bestFit="1" customWidth="1"/>
    <col min="5914" max="5917" width="11" style="1" bestFit="1" customWidth="1"/>
    <col min="5918" max="5920" width="12.25" style="1" bestFit="1" customWidth="1"/>
    <col min="5921" max="5931" width="11" style="1" bestFit="1" customWidth="1"/>
    <col min="5932" max="5932" width="13.25" style="1" bestFit="1" customWidth="1"/>
    <col min="5933" max="5933" width="10" style="1" bestFit="1" customWidth="1"/>
    <col min="5934" max="5934" width="11" style="1" bestFit="1" customWidth="1"/>
    <col min="5935" max="6139" width="9" style="1"/>
    <col min="6140" max="6140" width="2.875" style="1" bestFit="1" customWidth="1"/>
    <col min="6141" max="6141" width="16.625" style="1" bestFit="1" customWidth="1"/>
    <col min="6142" max="6142" width="11.375" style="1" bestFit="1" customWidth="1"/>
    <col min="6143" max="6144" width="14.125" style="1" bestFit="1" customWidth="1"/>
    <col min="6145" max="6145" width="11.375" style="1" bestFit="1" customWidth="1"/>
    <col min="6146" max="6148" width="12.5" style="1" bestFit="1" customWidth="1"/>
    <col min="6149" max="6149" width="11" style="1" bestFit="1" customWidth="1"/>
    <col min="6150" max="6169" width="13" style="1" bestFit="1" customWidth="1"/>
    <col min="6170" max="6173" width="11" style="1" bestFit="1" customWidth="1"/>
    <col min="6174" max="6176" width="12.25" style="1" bestFit="1" customWidth="1"/>
    <col min="6177" max="6187" width="11" style="1" bestFit="1" customWidth="1"/>
    <col min="6188" max="6188" width="13.25" style="1" bestFit="1" customWidth="1"/>
    <col min="6189" max="6189" width="10" style="1" bestFit="1" customWidth="1"/>
    <col min="6190" max="6190" width="11" style="1" bestFit="1" customWidth="1"/>
    <col min="6191" max="6395" width="9" style="1"/>
    <col min="6396" max="6396" width="2.875" style="1" bestFit="1" customWidth="1"/>
    <col min="6397" max="6397" width="16.625" style="1" bestFit="1" customWidth="1"/>
    <col min="6398" max="6398" width="11.375" style="1" bestFit="1" customWidth="1"/>
    <col min="6399" max="6400" width="14.125" style="1" bestFit="1" customWidth="1"/>
    <col min="6401" max="6401" width="11.375" style="1" bestFit="1" customWidth="1"/>
    <col min="6402" max="6404" width="12.5" style="1" bestFit="1" customWidth="1"/>
    <col min="6405" max="6405" width="11" style="1" bestFit="1" customWidth="1"/>
    <col min="6406" max="6425" width="13" style="1" bestFit="1" customWidth="1"/>
    <col min="6426" max="6429" width="11" style="1" bestFit="1" customWidth="1"/>
    <col min="6430" max="6432" width="12.25" style="1" bestFit="1" customWidth="1"/>
    <col min="6433" max="6443" width="11" style="1" bestFit="1" customWidth="1"/>
    <col min="6444" max="6444" width="13.25" style="1" bestFit="1" customWidth="1"/>
    <col min="6445" max="6445" width="10" style="1" bestFit="1" customWidth="1"/>
    <col min="6446" max="6446" width="11" style="1" bestFit="1" customWidth="1"/>
    <col min="6447" max="6651" width="9" style="1"/>
    <col min="6652" max="6652" width="2.875" style="1" bestFit="1" customWidth="1"/>
    <col min="6653" max="6653" width="16.625" style="1" bestFit="1" customWidth="1"/>
    <col min="6654" max="6654" width="11.375" style="1" bestFit="1" customWidth="1"/>
    <col min="6655" max="6656" width="14.125" style="1" bestFit="1" customWidth="1"/>
    <col min="6657" max="6657" width="11.375" style="1" bestFit="1" customWidth="1"/>
    <col min="6658" max="6660" width="12.5" style="1" bestFit="1" customWidth="1"/>
    <col min="6661" max="6661" width="11" style="1" bestFit="1" customWidth="1"/>
    <col min="6662" max="6681" width="13" style="1" bestFit="1" customWidth="1"/>
    <col min="6682" max="6685" width="11" style="1" bestFit="1" customWidth="1"/>
    <col min="6686" max="6688" width="12.25" style="1" bestFit="1" customWidth="1"/>
    <col min="6689" max="6699" width="11" style="1" bestFit="1" customWidth="1"/>
    <col min="6700" max="6700" width="13.25" style="1" bestFit="1" customWidth="1"/>
    <col min="6701" max="6701" width="10" style="1" bestFit="1" customWidth="1"/>
    <col min="6702" max="6702" width="11" style="1" bestFit="1" customWidth="1"/>
    <col min="6703" max="6907" width="9" style="1"/>
    <col min="6908" max="6908" width="2.875" style="1" bestFit="1" customWidth="1"/>
    <col min="6909" max="6909" width="16.625" style="1" bestFit="1" customWidth="1"/>
    <col min="6910" max="6910" width="11.375" style="1" bestFit="1" customWidth="1"/>
    <col min="6911" max="6912" width="14.125" style="1" bestFit="1" customWidth="1"/>
    <col min="6913" max="6913" width="11.375" style="1" bestFit="1" customWidth="1"/>
    <col min="6914" max="6916" width="12.5" style="1" bestFit="1" customWidth="1"/>
    <col min="6917" max="6917" width="11" style="1" bestFit="1" customWidth="1"/>
    <col min="6918" max="6937" width="13" style="1" bestFit="1" customWidth="1"/>
    <col min="6938" max="6941" width="11" style="1" bestFit="1" customWidth="1"/>
    <col min="6942" max="6944" width="12.25" style="1" bestFit="1" customWidth="1"/>
    <col min="6945" max="6955" width="11" style="1" bestFit="1" customWidth="1"/>
    <col min="6956" max="6956" width="13.25" style="1" bestFit="1" customWidth="1"/>
    <col min="6957" max="6957" width="10" style="1" bestFit="1" customWidth="1"/>
    <col min="6958" max="6958" width="11" style="1" bestFit="1" customWidth="1"/>
    <col min="6959" max="7163" width="9" style="1"/>
    <col min="7164" max="7164" width="2.875" style="1" bestFit="1" customWidth="1"/>
    <col min="7165" max="7165" width="16.625" style="1" bestFit="1" customWidth="1"/>
    <col min="7166" max="7166" width="11.375" style="1" bestFit="1" customWidth="1"/>
    <col min="7167" max="7168" width="14.125" style="1" bestFit="1" customWidth="1"/>
    <col min="7169" max="7169" width="11.375" style="1" bestFit="1" customWidth="1"/>
    <col min="7170" max="7172" width="12.5" style="1" bestFit="1" customWidth="1"/>
    <col min="7173" max="7173" width="11" style="1" bestFit="1" customWidth="1"/>
    <col min="7174" max="7193" width="13" style="1" bestFit="1" customWidth="1"/>
    <col min="7194" max="7197" width="11" style="1" bestFit="1" customWidth="1"/>
    <col min="7198" max="7200" width="12.25" style="1" bestFit="1" customWidth="1"/>
    <col min="7201" max="7211" width="11" style="1" bestFit="1" customWidth="1"/>
    <col min="7212" max="7212" width="13.25" style="1" bestFit="1" customWidth="1"/>
    <col min="7213" max="7213" width="10" style="1" bestFit="1" customWidth="1"/>
    <col min="7214" max="7214" width="11" style="1" bestFit="1" customWidth="1"/>
    <col min="7215" max="7419" width="9" style="1"/>
    <col min="7420" max="7420" width="2.875" style="1" bestFit="1" customWidth="1"/>
    <col min="7421" max="7421" width="16.625" style="1" bestFit="1" customWidth="1"/>
    <col min="7422" max="7422" width="11.375" style="1" bestFit="1" customWidth="1"/>
    <col min="7423" max="7424" width="14.125" style="1" bestFit="1" customWidth="1"/>
    <col min="7425" max="7425" width="11.375" style="1" bestFit="1" customWidth="1"/>
    <col min="7426" max="7428" width="12.5" style="1" bestFit="1" customWidth="1"/>
    <col min="7429" max="7429" width="11" style="1" bestFit="1" customWidth="1"/>
    <col min="7430" max="7449" width="13" style="1" bestFit="1" customWidth="1"/>
    <col min="7450" max="7453" width="11" style="1" bestFit="1" customWidth="1"/>
    <col min="7454" max="7456" width="12.25" style="1" bestFit="1" customWidth="1"/>
    <col min="7457" max="7467" width="11" style="1" bestFit="1" customWidth="1"/>
    <col min="7468" max="7468" width="13.25" style="1" bestFit="1" customWidth="1"/>
    <col min="7469" max="7469" width="10" style="1" bestFit="1" customWidth="1"/>
    <col min="7470" max="7470" width="11" style="1" bestFit="1" customWidth="1"/>
    <col min="7471" max="7675" width="9" style="1"/>
    <col min="7676" max="7676" width="2.875" style="1" bestFit="1" customWidth="1"/>
    <col min="7677" max="7677" width="16.625" style="1" bestFit="1" customWidth="1"/>
    <col min="7678" max="7678" width="11.375" style="1" bestFit="1" customWidth="1"/>
    <col min="7679" max="7680" width="14.125" style="1" bestFit="1" customWidth="1"/>
    <col min="7681" max="7681" width="11.375" style="1" bestFit="1" customWidth="1"/>
    <col min="7682" max="7684" width="12.5" style="1" bestFit="1" customWidth="1"/>
    <col min="7685" max="7685" width="11" style="1" bestFit="1" customWidth="1"/>
    <col min="7686" max="7705" width="13" style="1" bestFit="1" customWidth="1"/>
    <col min="7706" max="7709" width="11" style="1" bestFit="1" customWidth="1"/>
    <col min="7710" max="7712" width="12.25" style="1" bestFit="1" customWidth="1"/>
    <col min="7713" max="7723" width="11" style="1" bestFit="1" customWidth="1"/>
    <col min="7724" max="7724" width="13.25" style="1" bestFit="1" customWidth="1"/>
    <col min="7725" max="7725" width="10" style="1" bestFit="1" customWidth="1"/>
    <col min="7726" max="7726" width="11" style="1" bestFit="1" customWidth="1"/>
    <col min="7727" max="7931" width="9" style="1"/>
    <col min="7932" max="7932" width="2.875" style="1" bestFit="1" customWidth="1"/>
    <col min="7933" max="7933" width="16.625" style="1" bestFit="1" customWidth="1"/>
    <col min="7934" max="7934" width="11.375" style="1" bestFit="1" customWidth="1"/>
    <col min="7935" max="7936" width="14.125" style="1" bestFit="1" customWidth="1"/>
    <col min="7937" max="7937" width="11.375" style="1" bestFit="1" customWidth="1"/>
    <col min="7938" max="7940" width="12.5" style="1" bestFit="1" customWidth="1"/>
    <col min="7941" max="7941" width="11" style="1" bestFit="1" customWidth="1"/>
    <col min="7942" max="7961" width="13" style="1" bestFit="1" customWidth="1"/>
    <col min="7962" max="7965" width="11" style="1" bestFit="1" customWidth="1"/>
    <col min="7966" max="7968" width="12.25" style="1" bestFit="1" customWidth="1"/>
    <col min="7969" max="7979" width="11" style="1" bestFit="1" customWidth="1"/>
    <col min="7980" max="7980" width="13.25" style="1" bestFit="1" customWidth="1"/>
    <col min="7981" max="7981" width="10" style="1" bestFit="1" customWidth="1"/>
    <col min="7982" max="7982" width="11" style="1" bestFit="1" customWidth="1"/>
    <col min="7983" max="8187" width="9" style="1"/>
    <col min="8188" max="8188" width="2.875" style="1" bestFit="1" customWidth="1"/>
    <col min="8189" max="8189" width="16.625" style="1" bestFit="1" customWidth="1"/>
    <col min="8190" max="8190" width="11.375" style="1" bestFit="1" customWidth="1"/>
    <col min="8191" max="8192" width="14.125" style="1" bestFit="1" customWidth="1"/>
    <col min="8193" max="8193" width="11.375" style="1" bestFit="1" customWidth="1"/>
    <col min="8194" max="8196" width="12.5" style="1" bestFit="1" customWidth="1"/>
    <col min="8197" max="8197" width="11" style="1" bestFit="1" customWidth="1"/>
    <col min="8198" max="8217" width="13" style="1" bestFit="1" customWidth="1"/>
    <col min="8218" max="8221" width="11" style="1" bestFit="1" customWidth="1"/>
    <col min="8222" max="8224" width="12.25" style="1" bestFit="1" customWidth="1"/>
    <col min="8225" max="8235" width="11" style="1" bestFit="1" customWidth="1"/>
    <col min="8236" max="8236" width="13.25" style="1" bestFit="1" customWidth="1"/>
    <col min="8237" max="8237" width="10" style="1" bestFit="1" customWidth="1"/>
    <col min="8238" max="8238" width="11" style="1" bestFit="1" customWidth="1"/>
    <col min="8239" max="8443" width="9" style="1"/>
    <col min="8444" max="8444" width="2.875" style="1" bestFit="1" customWidth="1"/>
    <col min="8445" max="8445" width="16.625" style="1" bestFit="1" customWidth="1"/>
    <col min="8446" max="8446" width="11.375" style="1" bestFit="1" customWidth="1"/>
    <col min="8447" max="8448" width="14.125" style="1" bestFit="1" customWidth="1"/>
    <col min="8449" max="8449" width="11.375" style="1" bestFit="1" customWidth="1"/>
    <col min="8450" max="8452" width="12.5" style="1" bestFit="1" customWidth="1"/>
    <col min="8453" max="8453" width="11" style="1" bestFit="1" customWidth="1"/>
    <col min="8454" max="8473" width="13" style="1" bestFit="1" customWidth="1"/>
    <col min="8474" max="8477" width="11" style="1" bestFit="1" customWidth="1"/>
    <col min="8478" max="8480" width="12.25" style="1" bestFit="1" customWidth="1"/>
    <col min="8481" max="8491" width="11" style="1" bestFit="1" customWidth="1"/>
    <col min="8492" max="8492" width="13.25" style="1" bestFit="1" customWidth="1"/>
    <col min="8493" max="8493" width="10" style="1" bestFit="1" customWidth="1"/>
    <col min="8494" max="8494" width="11" style="1" bestFit="1" customWidth="1"/>
    <col min="8495" max="8699" width="9" style="1"/>
    <col min="8700" max="8700" width="2.875" style="1" bestFit="1" customWidth="1"/>
    <col min="8701" max="8701" width="16.625" style="1" bestFit="1" customWidth="1"/>
    <col min="8702" max="8702" width="11.375" style="1" bestFit="1" customWidth="1"/>
    <col min="8703" max="8704" width="14.125" style="1" bestFit="1" customWidth="1"/>
    <col min="8705" max="8705" width="11.375" style="1" bestFit="1" customWidth="1"/>
    <col min="8706" max="8708" width="12.5" style="1" bestFit="1" customWidth="1"/>
    <col min="8709" max="8709" width="11" style="1" bestFit="1" customWidth="1"/>
    <col min="8710" max="8729" width="13" style="1" bestFit="1" customWidth="1"/>
    <col min="8730" max="8733" width="11" style="1" bestFit="1" customWidth="1"/>
    <col min="8734" max="8736" width="12.25" style="1" bestFit="1" customWidth="1"/>
    <col min="8737" max="8747" width="11" style="1" bestFit="1" customWidth="1"/>
    <col min="8748" max="8748" width="13.25" style="1" bestFit="1" customWidth="1"/>
    <col min="8749" max="8749" width="10" style="1" bestFit="1" customWidth="1"/>
    <col min="8750" max="8750" width="11" style="1" bestFit="1" customWidth="1"/>
    <col min="8751" max="8955" width="9" style="1"/>
    <col min="8956" max="8956" width="2.875" style="1" bestFit="1" customWidth="1"/>
    <col min="8957" max="8957" width="16.625" style="1" bestFit="1" customWidth="1"/>
    <col min="8958" max="8958" width="11.375" style="1" bestFit="1" customWidth="1"/>
    <col min="8959" max="8960" width="14.125" style="1" bestFit="1" customWidth="1"/>
    <col min="8961" max="8961" width="11.375" style="1" bestFit="1" customWidth="1"/>
    <col min="8962" max="8964" width="12.5" style="1" bestFit="1" customWidth="1"/>
    <col min="8965" max="8965" width="11" style="1" bestFit="1" customWidth="1"/>
    <col min="8966" max="8985" width="13" style="1" bestFit="1" customWidth="1"/>
    <col min="8986" max="8989" width="11" style="1" bestFit="1" customWidth="1"/>
    <col min="8990" max="8992" width="12.25" style="1" bestFit="1" customWidth="1"/>
    <col min="8993" max="9003" width="11" style="1" bestFit="1" customWidth="1"/>
    <col min="9004" max="9004" width="13.25" style="1" bestFit="1" customWidth="1"/>
    <col min="9005" max="9005" width="10" style="1" bestFit="1" customWidth="1"/>
    <col min="9006" max="9006" width="11" style="1" bestFit="1" customWidth="1"/>
    <col min="9007" max="9211" width="9" style="1"/>
    <col min="9212" max="9212" width="2.875" style="1" bestFit="1" customWidth="1"/>
    <col min="9213" max="9213" width="16.625" style="1" bestFit="1" customWidth="1"/>
    <col min="9214" max="9214" width="11.375" style="1" bestFit="1" customWidth="1"/>
    <col min="9215" max="9216" width="14.125" style="1" bestFit="1" customWidth="1"/>
    <col min="9217" max="9217" width="11.375" style="1" bestFit="1" customWidth="1"/>
    <col min="9218" max="9220" width="12.5" style="1" bestFit="1" customWidth="1"/>
    <col min="9221" max="9221" width="11" style="1" bestFit="1" customWidth="1"/>
    <col min="9222" max="9241" width="13" style="1" bestFit="1" customWidth="1"/>
    <col min="9242" max="9245" width="11" style="1" bestFit="1" customWidth="1"/>
    <col min="9246" max="9248" width="12.25" style="1" bestFit="1" customWidth="1"/>
    <col min="9249" max="9259" width="11" style="1" bestFit="1" customWidth="1"/>
    <col min="9260" max="9260" width="13.25" style="1" bestFit="1" customWidth="1"/>
    <col min="9261" max="9261" width="10" style="1" bestFit="1" customWidth="1"/>
    <col min="9262" max="9262" width="11" style="1" bestFit="1" customWidth="1"/>
    <col min="9263" max="9467" width="9" style="1"/>
    <col min="9468" max="9468" width="2.875" style="1" bestFit="1" customWidth="1"/>
    <col min="9469" max="9469" width="16.625" style="1" bestFit="1" customWidth="1"/>
    <col min="9470" max="9470" width="11.375" style="1" bestFit="1" customWidth="1"/>
    <col min="9471" max="9472" width="14.125" style="1" bestFit="1" customWidth="1"/>
    <col min="9473" max="9473" width="11.375" style="1" bestFit="1" customWidth="1"/>
    <col min="9474" max="9476" width="12.5" style="1" bestFit="1" customWidth="1"/>
    <col min="9477" max="9477" width="11" style="1" bestFit="1" customWidth="1"/>
    <col min="9478" max="9497" width="13" style="1" bestFit="1" customWidth="1"/>
    <col min="9498" max="9501" width="11" style="1" bestFit="1" customWidth="1"/>
    <col min="9502" max="9504" width="12.25" style="1" bestFit="1" customWidth="1"/>
    <col min="9505" max="9515" width="11" style="1" bestFit="1" customWidth="1"/>
    <col min="9516" max="9516" width="13.25" style="1" bestFit="1" customWidth="1"/>
    <col min="9517" max="9517" width="10" style="1" bestFit="1" customWidth="1"/>
    <col min="9518" max="9518" width="11" style="1" bestFit="1" customWidth="1"/>
    <col min="9519" max="9723" width="9" style="1"/>
    <col min="9724" max="9724" width="2.875" style="1" bestFit="1" customWidth="1"/>
    <col min="9725" max="9725" width="16.625" style="1" bestFit="1" customWidth="1"/>
    <col min="9726" max="9726" width="11.375" style="1" bestFit="1" customWidth="1"/>
    <col min="9727" max="9728" width="14.125" style="1" bestFit="1" customWidth="1"/>
    <col min="9729" max="9729" width="11.375" style="1" bestFit="1" customWidth="1"/>
    <col min="9730" max="9732" width="12.5" style="1" bestFit="1" customWidth="1"/>
    <col min="9733" max="9733" width="11" style="1" bestFit="1" customWidth="1"/>
    <col min="9734" max="9753" width="13" style="1" bestFit="1" customWidth="1"/>
    <col min="9754" max="9757" width="11" style="1" bestFit="1" customWidth="1"/>
    <col min="9758" max="9760" width="12.25" style="1" bestFit="1" customWidth="1"/>
    <col min="9761" max="9771" width="11" style="1" bestFit="1" customWidth="1"/>
    <col min="9772" max="9772" width="13.25" style="1" bestFit="1" customWidth="1"/>
    <col min="9773" max="9773" width="10" style="1" bestFit="1" customWidth="1"/>
    <col min="9774" max="9774" width="11" style="1" bestFit="1" customWidth="1"/>
    <col min="9775" max="9979" width="9" style="1"/>
    <col min="9980" max="9980" width="2.875" style="1" bestFit="1" customWidth="1"/>
    <col min="9981" max="9981" width="16.625" style="1" bestFit="1" customWidth="1"/>
    <col min="9982" max="9982" width="11.375" style="1" bestFit="1" customWidth="1"/>
    <col min="9983" max="9984" width="14.125" style="1" bestFit="1" customWidth="1"/>
    <col min="9985" max="9985" width="11.375" style="1" bestFit="1" customWidth="1"/>
    <col min="9986" max="9988" width="12.5" style="1" bestFit="1" customWidth="1"/>
    <col min="9989" max="9989" width="11" style="1" bestFit="1" customWidth="1"/>
    <col min="9990" max="10009" width="13" style="1" bestFit="1" customWidth="1"/>
    <col min="10010" max="10013" width="11" style="1" bestFit="1" customWidth="1"/>
    <col min="10014" max="10016" width="12.25" style="1" bestFit="1" customWidth="1"/>
    <col min="10017" max="10027" width="11" style="1" bestFit="1" customWidth="1"/>
    <col min="10028" max="10028" width="13.25" style="1" bestFit="1" customWidth="1"/>
    <col min="10029" max="10029" width="10" style="1" bestFit="1" customWidth="1"/>
    <col min="10030" max="10030" width="11" style="1" bestFit="1" customWidth="1"/>
    <col min="10031" max="10235" width="9" style="1"/>
    <col min="10236" max="10236" width="2.875" style="1" bestFit="1" customWidth="1"/>
    <col min="10237" max="10237" width="16.625" style="1" bestFit="1" customWidth="1"/>
    <col min="10238" max="10238" width="11.375" style="1" bestFit="1" customWidth="1"/>
    <col min="10239" max="10240" width="14.125" style="1" bestFit="1" customWidth="1"/>
    <col min="10241" max="10241" width="11.375" style="1" bestFit="1" customWidth="1"/>
    <col min="10242" max="10244" width="12.5" style="1" bestFit="1" customWidth="1"/>
    <col min="10245" max="10245" width="11" style="1" bestFit="1" customWidth="1"/>
    <col min="10246" max="10265" width="13" style="1" bestFit="1" customWidth="1"/>
    <col min="10266" max="10269" width="11" style="1" bestFit="1" customWidth="1"/>
    <col min="10270" max="10272" width="12.25" style="1" bestFit="1" customWidth="1"/>
    <col min="10273" max="10283" width="11" style="1" bestFit="1" customWidth="1"/>
    <col min="10284" max="10284" width="13.25" style="1" bestFit="1" customWidth="1"/>
    <col min="10285" max="10285" width="10" style="1" bestFit="1" customWidth="1"/>
    <col min="10286" max="10286" width="11" style="1" bestFit="1" customWidth="1"/>
    <col min="10287" max="10491" width="9" style="1"/>
    <col min="10492" max="10492" width="2.875" style="1" bestFit="1" customWidth="1"/>
    <col min="10493" max="10493" width="16.625" style="1" bestFit="1" customWidth="1"/>
    <col min="10494" max="10494" width="11.375" style="1" bestFit="1" customWidth="1"/>
    <col min="10495" max="10496" width="14.125" style="1" bestFit="1" customWidth="1"/>
    <col min="10497" max="10497" width="11.375" style="1" bestFit="1" customWidth="1"/>
    <col min="10498" max="10500" width="12.5" style="1" bestFit="1" customWidth="1"/>
    <col min="10501" max="10501" width="11" style="1" bestFit="1" customWidth="1"/>
    <col min="10502" max="10521" width="13" style="1" bestFit="1" customWidth="1"/>
    <col min="10522" max="10525" width="11" style="1" bestFit="1" customWidth="1"/>
    <col min="10526" max="10528" width="12.25" style="1" bestFit="1" customWidth="1"/>
    <col min="10529" max="10539" width="11" style="1" bestFit="1" customWidth="1"/>
    <col min="10540" max="10540" width="13.25" style="1" bestFit="1" customWidth="1"/>
    <col min="10541" max="10541" width="10" style="1" bestFit="1" customWidth="1"/>
    <col min="10542" max="10542" width="11" style="1" bestFit="1" customWidth="1"/>
    <col min="10543" max="10747" width="9" style="1"/>
    <col min="10748" max="10748" width="2.875" style="1" bestFit="1" customWidth="1"/>
    <col min="10749" max="10749" width="16.625" style="1" bestFit="1" customWidth="1"/>
    <col min="10750" max="10750" width="11.375" style="1" bestFit="1" customWidth="1"/>
    <col min="10751" max="10752" width="14.125" style="1" bestFit="1" customWidth="1"/>
    <col min="10753" max="10753" width="11.375" style="1" bestFit="1" customWidth="1"/>
    <col min="10754" max="10756" width="12.5" style="1" bestFit="1" customWidth="1"/>
    <col min="10757" max="10757" width="11" style="1" bestFit="1" customWidth="1"/>
    <col min="10758" max="10777" width="13" style="1" bestFit="1" customWidth="1"/>
    <col min="10778" max="10781" width="11" style="1" bestFit="1" customWidth="1"/>
    <col min="10782" max="10784" width="12.25" style="1" bestFit="1" customWidth="1"/>
    <col min="10785" max="10795" width="11" style="1" bestFit="1" customWidth="1"/>
    <col min="10796" max="10796" width="13.25" style="1" bestFit="1" customWidth="1"/>
    <col min="10797" max="10797" width="10" style="1" bestFit="1" customWidth="1"/>
    <col min="10798" max="10798" width="11" style="1" bestFit="1" customWidth="1"/>
    <col min="10799" max="11003" width="9" style="1"/>
    <col min="11004" max="11004" width="2.875" style="1" bestFit="1" customWidth="1"/>
    <col min="11005" max="11005" width="16.625" style="1" bestFit="1" customWidth="1"/>
    <col min="11006" max="11006" width="11.375" style="1" bestFit="1" customWidth="1"/>
    <col min="11007" max="11008" width="14.125" style="1" bestFit="1" customWidth="1"/>
    <col min="11009" max="11009" width="11.375" style="1" bestFit="1" customWidth="1"/>
    <col min="11010" max="11012" width="12.5" style="1" bestFit="1" customWidth="1"/>
    <col min="11013" max="11013" width="11" style="1" bestFit="1" customWidth="1"/>
    <col min="11014" max="11033" width="13" style="1" bestFit="1" customWidth="1"/>
    <col min="11034" max="11037" width="11" style="1" bestFit="1" customWidth="1"/>
    <col min="11038" max="11040" width="12.25" style="1" bestFit="1" customWidth="1"/>
    <col min="11041" max="11051" width="11" style="1" bestFit="1" customWidth="1"/>
    <col min="11052" max="11052" width="13.25" style="1" bestFit="1" customWidth="1"/>
    <col min="11053" max="11053" width="10" style="1" bestFit="1" customWidth="1"/>
    <col min="11054" max="11054" width="11" style="1" bestFit="1" customWidth="1"/>
    <col min="11055" max="11259" width="9" style="1"/>
    <col min="11260" max="11260" width="2.875" style="1" bestFit="1" customWidth="1"/>
    <col min="11261" max="11261" width="16.625" style="1" bestFit="1" customWidth="1"/>
    <col min="11262" max="11262" width="11.375" style="1" bestFit="1" customWidth="1"/>
    <col min="11263" max="11264" width="14.125" style="1" bestFit="1" customWidth="1"/>
    <col min="11265" max="11265" width="11.375" style="1" bestFit="1" customWidth="1"/>
    <col min="11266" max="11268" width="12.5" style="1" bestFit="1" customWidth="1"/>
    <col min="11269" max="11269" width="11" style="1" bestFit="1" customWidth="1"/>
    <col min="11270" max="11289" width="13" style="1" bestFit="1" customWidth="1"/>
    <col min="11290" max="11293" width="11" style="1" bestFit="1" customWidth="1"/>
    <col min="11294" max="11296" width="12.25" style="1" bestFit="1" customWidth="1"/>
    <col min="11297" max="11307" width="11" style="1" bestFit="1" customWidth="1"/>
    <col min="11308" max="11308" width="13.25" style="1" bestFit="1" customWidth="1"/>
    <col min="11309" max="11309" width="10" style="1" bestFit="1" customWidth="1"/>
    <col min="11310" max="11310" width="11" style="1" bestFit="1" customWidth="1"/>
    <col min="11311" max="11515" width="9" style="1"/>
    <col min="11516" max="11516" width="2.875" style="1" bestFit="1" customWidth="1"/>
    <col min="11517" max="11517" width="16.625" style="1" bestFit="1" customWidth="1"/>
    <col min="11518" max="11518" width="11.375" style="1" bestFit="1" customWidth="1"/>
    <col min="11519" max="11520" width="14.125" style="1" bestFit="1" customWidth="1"/>
    <col min="11521" max="11521" width="11.375" style="1" bestFit="1" customWidth="1"/>
    <col min="11522" max="11524" width="12.5" style="1" bestFit="1" customWidth="1"/>
    <col min="11525" max="11525" width="11" style="1" bestFit="1" customWidth="1"/>
    <col min="11526" max="11545" width="13" style="1" bestFit="1" customWidth="1"/>
    <col min="11546" max="11549" width="11" style="1" bestFit="1" customWidth="1"/>
    <col min="11550" max="11552" width="12.25" style="1" bestFit="1" customWidth="1"/>
    <col min="11553" max="11563" width="11" style="1" bestFit="1" customWidth="1"/>
    <col min="11564" max="11564" width="13.25" style="1" bestFit="1" customWidth="1"/>
    <col min="11565" max="11565" width="10" style="1" bestFit="1" customWidth="1"/>
    <col min="11566" max="11566" width="11" style="1" bestFit="1" customWidth="1"/>
    <col min="11567" max="11771" width="9" style="1"/>
    <col min="11772" max="11772" width="2.875" style="1" bestFit="1" customWidth="1"/>
    <col min="11773" max="11773" width="16.625" style="1" bestFit="1" customWidth="1"/>
    <col min="11774" max="11774" width="11.375" style="1" bestFit="1" customWidth="1"/>
    <col min="11775" max="11776" width="14.125" style="1" bestFit="1" customWidth="1"/>
    <col min="11777" max="11777" width="11.375" style="1" bestFit="1" customWidth="1"/>
    <col min="11778" max="11780" width="12.5" style="1" bestFit="1" customWidth="1"/>
    <col min="11781" max="11781" width="11" style="1" bestFit="1" customWidth="1"/>
    <col min="11782" max="11801" width="13" style="1" bestFit="1" customWidth="1"/>
    <col min="11802" max="11805" width="11" style="1" bestFit="1" customWidth="1"/>
    <col min="11806" max="11808" width="12.25" style="1" bestFit="1" customWidth="1"/>
    <col min="11809" max="11819" width="11" style="1" bestFit="1" customWidth="1"/>
    <col min="11820" max="11820" width="13.25" style="1" bestFit="1" customWidth="1"/>
    <col min="11821" max="11821" width="10" style="1" bestFit="1" customWidth="1"/>
    <col min="11822" max="11822" width="11" style="1" bestFit="1" customWidth="1"/>
    <col min="11823" max="12027" width="9" style="1"/>
    <col min="12028" max="12028" width="2.875" style="1" bestFit="1" customWidth="1"/>
    <col min="12029" max="12029" width="16.625" style="1" bestFit="1" customWidth="1"/>
    <col min="12030" max="12030" width="11.375" style="1" bestFit="1" customWidth="1"/>
    <col min="12031" max="12032" width="14.125" style="1" bestFit="1" customWidth="1"/>
    <col min="12033" max="12033" width="11.375" style="1" bestFit="1" customWidth="1"/>
    <col min="12034" max="12036" width="12.5" style="1" bestFit="1" customWidth="1"/>
    <col min="12037" max="12037" width="11" style="1" bestFit="1" customWidth="1"/>
    <col min="12038" max="12057" width="13" style="1" bestFit="1" customWidth="1"/>
    <col min="12058" max="12061" width="11" style="1" bestFit="1" customWidth="1"/>
    <col min="12062" max="12064" width="12.25" style="1" bestFit="1" customWidth="1"/>
    <col min="12065" max="12075" width="11" style="1" bestFit="1" customWidth="1"/>
    <col min="12076" max="12076" width="13.25" style="1" bestFit="1" customWidth="1"/>
    <col min="12077" max="12077" width="10" style="1" bestFit="1" customWidth="1"/>
    <col min="12078" max="12078" width="11" style="1" bestFit="1" customWidth="1"/>
    <col min="12079" max="12283" width="9" style="1"/>
    <col min="12284" max="12284" width="2.875" style="1" bestFit="1" customWidth="1"/>
    <col min="12285" max="12285" width="16.625" style="1" bestFit="1" customWidth="1"/>
    <col min="12286" max="12286" width="11.375" style="1" bestFit="1" customWidth="1"/>
    <col min="12287" max="12288" width="14.125" style="1" bestFit="1" customWidth="1"/>
    <col min="12289" max="12289" width="11.375" style="1" bestFit="1" customWidth="1"/>
    <col min="12290" max="12292" width="12.5" style="1" bestFit="1" customWidth="1"/>
    <col min="12293" max="12293" width="11" style="1" bestFit="1" customWidth="1"/>
    <col min="12294" max="12313" width="13" style="1" bestFit="1" customWidth="1"/>
    <col min="12314" max="12317" width="11" style="1" bestFit="1" customWidth="1"/>
    <col min="12318" max="12320" width="12.25" style="1" bestFit="1" customWidth="1"/>
    <col min="12321" max="12331" width="11" style="1" bestFit="1" customWidth="1"/>
    <col min="12332" max="12332" width="13.25" style="1" bestFit="1" customWidth="1"/>
    <col min="12333" max="12333" width="10" style="1" bestFit="1" customWidth="1"/>
    <col min="12334" max="12334" width="11" style="1" bestFit="1" customWidth="1"/>
    <col min="12335" max="12539" width="9" style="1"/>
    <col min="12540" max="12540" width="2.875" style="1" bestFit="1" customWidth="1"/>
    <col min="12541" max="12541" width="16.625" style="1" bestFit="1" customWidth="1"/>
    <col min="12542" max="12542" width="11.375" style="1" bestFit="1" customWidth="1"/>
    <col min="12543" max="12544" width="14.125" style="1" bestFit="1" customWidth="1"/>
    <col min="12545" max="12545" width="11.375" style="1" bestFit="1" customWidth="1"/>
    <col min="12546" max="12548" width="12.5" style="1" bestFit="1" customWidth="1"/>
    <col min="12549" max="12549" width="11" style="1" bestFit="1" customWidth="1"/>
    <col min="12550" max="12569" width="13" style="1" bestFit="1" customWidth="1"/>
    <col min="12570" max="12573" width="11" style="1" bestFit="1" customWidth="1"/>
    <col min="12574" max="12576" width="12.25" style="1" bestFit="1" customWidth="1"/>
    <col min="12577" max="12587" width="11" style="1" bestFit="1" customWidth="1"/>
    <col min="12588" max="12588" width="13.25" style="1" bestFit="1" customWidth="1"/>
    <col min="12589" max="12589" width="10" style="1" bestFit="1" customWidth="1"/>
    <col min="12590" max="12590" width="11" style="1" bestFit="1" customWidth="1"/>
    <col min="12591" max="12795" width="9" style="1"/>
    <col min="12796" max="12796" width="2.875" style="1" bestFit="1" customWidth="1"/>
    <col min="12797" max="12797" width="16.625" style="1" bestFit="1" customWidth="1"/>
    <col min="12798" max="12798" width="11.375" style="1" bestFit="1" customWidth="1"/>
    <col min="12799" max="12800" width="14.125" style="1" bestFit="1" customWidth="1"/>
    <col min="12801" max="12801" width="11.375" style="1" bestFit="1" customWidth="1"/>
    <col min="12802" max="12804" width="12.5" style="1" bestFit="1" customWidth="1"/>
    <col min="12805" max="12805" width="11" style="1" bestFit="1" customWidth="1"/>
    <col min="12806" max="12825" width="13" style="1" bestFit="1" customWidth="1"/>
    <col min="12826" max="12829" width="11" style="1" bestFit="1" customWidth="1"/>
    <col min="12830" max="12832" width="12.25" style="1" bestFit="1" customWidth="1"/>
    <col min="12833" max="12843" width="11" style="1" bestFit="1" customWidth="1"/>
    <col min="12844" max="12844" width="13.25" style="1" bestFit="1" customWidth="1"/>
    <col min="12845" max="12845" width="10" style="1" bestFit="1" customWidth="1"/>
    <col min="12846" max="12846" width="11" style="1" bestFit="1" customWidth="1"/>
    <col min="12847" max="13051" width="9" style="1"/>
    <col min="13052" max="13052" width="2.875" style="1" bestFit="1" customWidth="1"/>
    <col min="13053" max="13053" width="16.625" style="1" bestFit="1" customWidth="1"/>
    <col min="13054" max="13054" width="11.375" style="1" bestFit="1" customWidth="1"/>
    <col min="13055" max="13056" width="14.125" style="1" bestFit="1" customWidth="1"/>
    <col min="13057" max="13057" width="11.375" style="1" bestFit="1" customWidth="1"/>
    <col min="13058" max="13060" width="12.5" style="1" bestFit="1" customWidth="1"/>
    <col min="13061" max="13061" width="11" style="1" bestFit="1" customWidth="1"/>
    <col min="13062" max="13081" width="13" style="1" bestFit="1" customWidth="1"/>
    <col min="13082" max="13085" width="11" style="1" bestFit="1" customWidth="1"/>
    <col min="13086" max="13088" width="12.25" style="1" bestFit="1" customWidth="1"/>
    <col min="13089" max="13099" width="11" style="1" bestFit="1" customWidth="1"/>
    <col min="13100" max="13100" width="13.25" style="1" bestFit="1" customWidth="1"/>
    <col min="13101" max="13101" width="10" style="1" bestFit="1" customWidth="1"/>
    <col min="13102" max="13102" width="11" style="1" bestFit="1" customWidth="1"/>
    <col min="13103" max="13307" width="9" style="1"/>
    <col min="13308" max="13308" width="2.875" style="1" bestFit="1" customWidth="1"/>
    <col min="13309" max="13309" width="16.625" style="1" bestFit="1" customWidth="1"/>
    <col min="13310" max="13310" width="11.375" style="1" bestFit="1" customWidth="1"/>
    <col min="13311" max="13312" width="14.125" style="1" bestFit="1" customWidth="1"/>
    <col min="13313" max="13313" width="11.375" style="1" bestFit="1" customWidth="1"/>
    <col min="13314" max="13316" width="12.5" style="1" bestFit="1" customWidth="1"/>
    <col min="13317" max="13317" width="11" style="1" bestFit="1" customWidth="1"/>
    <col min="13318" max="13337" width="13" style="1" bestFit="1" customWidth="1"/>
    <col min="13338" max="13341" width="11" style="1" bestFit="1" customWidth="1"/>
    <col min="13342" max="13344" width="12.25" style="1" bestFit="1" customWidth="1"/>
    <col min="13345" max="13355" width="11" style="1" bestFit="1" customWidth="1"/>
    <col min="13356" max="13356" width="13.25" style="1" bestFit="1" customWidth="1"/>
    <col min="13357" max="13357" width="10" style="1" bestFit="1" customWidth="1"/>
    <col min="13358" max="13358" width="11" style="1" bestFit="1" customWidth="1"/>
    <col min="13359" max="13563" width="9" style="1"/>
    <col min="13564" max="13564" width="2.875" style="1" bestFit="1" customWidth="1"/>
    <col min="13565" max="13565" width="16.625" style="1" bestFit="1" customWidth="1"/>
    <col min="13566" max="13566" width="11.375" style="1" bestFit="1" customWidth="1"/>
    <col min="13567" max="13568" width="14.125" style="1" bestFit="1" customWidth="1"/>
    <col min="13569" max="13569" width="11.375" style="1" bestFit="1" customWidth="1"/>
    <col min="13570" max="13572" width="12.5" style="1" bestFit="1" customWidth="1"/>
    <col min="13573" max="13573" width="11" style="1" bestFit="1" customWidth="1"/>
    <col min="13574" max="13593" width="13" style="1" bestFit="1" customWidth="1"/>
    <col min="13594" max="13597" width="11" style="1" bestFit="1" customWidth="1"/>
    <col min="13598" max="13600" width="12.25" style="1" bestFit="1" customWidth="1"/>
    <col min="13601" max="13611" width="11" style="1" bestFit="1" customWidth="1"/>
    <col min="13612" max="13612" width="13.25" style="1" bestFit="1" customWidth="1"/>
    <col min="13613" max="13613" width="10" style="1" bestFit="1" customWidth="1"/>
    <col min="13614" max="13614" width="11" style="1" bestFit="1" customWidth="1"/>
    <col min="13615" max="13819" width="9" style="1"/>
    <col min="13820" max="13820" width="2.875" style="1" bestFit="1" customWidth="1"/>
    <col min="13821" max="13821" width="16.625" style="1" bestFit="1" customWidth="1"/>
    <col min="13822" max="13822" width="11.375" style="1" bestFit="1" customWidth="1"/>
    <col min="13823" max="13824" width="14.125" style="1" bestFit="1" customWidth="1"/>
    <col min="13825" max="13825" width="11.375" style="1" bestFit="1" customWidth="1"/>
    <col min="13826" max="13828" width="12.5" style="1" bestFit="1" customWidth="1"/>
    <col min="13829" max="13829" width="11" style="1" bestFit="1" customWidth="1"/>
    <col min="13830" max="13849" width="13" style="1" bestFit="1" customWidth="1"/>
    <col min="13850" max="13853" width="11" style="1" bestFit="1" customWidth="1"/>
    <col min="13854" max="13856" width="12.25" style="1" bestFit="1" customWidth="1"/>
    <col min="13857" max="13867" width="11" style="1" bestFit="1" customWidth="1"/>
    <col min="13868" max="13868" width="13.25" style="1" bestFit="1" customWidth="1"/>
    <col min="13869" max="13869" width="10" style="1" bestFit="1" customWidth="1"/>
    <col min="13870" max="13870" width="11" style="1" bestFit="1" customWidth="1"/>
    <col min="13871" max="14075" width="9" style="1"/>
    <col min="14076" max="14076" width="2.875" style="1" bestFit="1" customWidth="1"/>
    <col min="14077" max="14077" width="16.625" style="1" bestFit="1" customWidth="1"/>
    <col min="14078" max="14078" width="11.375" style="1" bestFit="1" customWidth="1"/>
    <col min="14079" max="14080" width="14.125" style="1" bestFit="1" customWidth="1"/>
    <col min="14081" max="14081" width="11.375" style="1" bestFit="1" customWidth="1"/>
    <col min="14082" max="14084" width="12.5" style="1" bestFit="1" customWidth="1"/>
    <col min="14085" max="14085" width="11" style="1" bestFit="1" customWidth="1"/>
    <col min="14086" max="14105" width="13" style="1" bestFit="1" customWidth="1"/>
    <col min="14106" max="14109" width="11" style="1" bestFit="1" customWidth="1"/>
    <col min="14110" max="14112" width="12.25" style="1" bestFit="1" customWidth="1"/>
    <col min="14113" max="14123" width="11" style="1" bestFit="1" customWidth="1"/>
    <col min="14124" max="14124" width="13.25" style="1" bestFit="1" customWidth="1"/>
    <col min="14125" max="14125" width="10" style="1" bestFit="1" customWidth="1"/>
    <col min="14126" max="14126" width="11" style="1" bestFit="1" customWidth="1"/>
    <col min="14127" max="14331" width="9" style="1"/>
    <col min="14332" max="14332" width="2.875" style="1" bestFit="1" customWidth="1"/>
    <col min="14333" max="14333" width="16.625" style="1" bestFit="1" customWidth="1"/>
    <col min="14334" max="14334" width="11.375" style="1" bestFit="1" customWidth="1"/>
    <col min="14335" max="14336" width="14.125" style="1" bestFit="1" customWidth="1"/>
    <col min="14337" max="14337" width="11.375" style="1" bestFit="1" customWidth="1"/>
    <col min="14338" max="14340" width="12.5" style="1" bestFit="1" customWidth="1"/>
    <col min="14341" max="14341" width="11" style="1" bestFit="1" customWidth="1"/>
    <col min="14342" max="14361" width="13" style="1" bestFit="1" customWidth="1"/>
    <col min="14362" max="14365" width="11" style="1" bestFit="1" customWidth="1"/>
    <col min="14366" max="14368" width="12.25" style="1" bestFit="1" customWidth="1"/>
    <col min="14369" max="14379" width="11" style="1" bestFit="1" customWidth="1"/>
    <col min="14380" max="14380" width="13.25" style="1" bestFit="1" customWidth="1"/>
    <col min="14381" max="14381" width="10" style="1" bestFit="1" customWidth="1"/>
    <col min="14382" max="14382" width="11" style="1" bestFit="1" customWidth="1"/>
    <col min="14383" max="14587" width="9" style="1"/>
    <col min="14588" max="14588" width="2.875" style="1" bestFit="1" customWidth="1"/>
    <col min="14589" max="14589" width="16.625" style="1" bestFit="1" customWidth="1"/>
    <col min="14590" max="14590" width="11.375" style="1" bestFit="1" customWidth="1"/>
    <col min="14591" max="14592" width="14.125" style="1" bestFit="1" customWidth="1"/>
    <col min="14593" max="14593" width="11.375" style="1" bestFit="1" customWidth="1"/>
    <col min="14594" max="14596" width="12.5" style="1" bestFit="1" customWidth="1"/>
    <col min="14597" max="14597" width="11" style="1" bestFit="1" customWidth="1"/>
    <col min="14598" max="14617" width="13" style="1" bestFit="1" customWidth="1"/>
    <col min="14618" max="14621" width="11" style="1" bestFit="1" customWidth="1"/>
    <col min="14622" max="14624" width="12.25" style="1" bestFit="1" customWidth="1"/>
    <col min="14625" max="14635" width="11" style="1" bestFit="1" customWidth="1"/>
    <col min="14636" max="14636" width="13.25" style="1" bestFit="1" customWidth="1"/>
    <col min="14637" max="14637" width="10" style="1" bestFit="1" customWidth="1"/>
    <col min="14638" max="14638" width="11" style="1" bestFit="1" customWidth="1"/>
    <col min="14639" max="14843" width="9" style="1"/>
    <col min="14844" max="14844" width="2.875" style="1" bestFit="1" customWidth="1"/>
    <col min="14845" max="14845" width="16.625" style="1" bestFit="1" customWidth="1"/>
    <col min="14846" max="14846" width="11.375" style="1" bestFit="1" customWidth="1"/>
    <col min="14847" max="14848" width="14.125" style="1" bestFit="1" customWidth="1"/>
    <col min="14849" max="14849" width="11.375" style="1" bestFit="1" customWidth="1"/>
    <col min="14850" max="14852" width="12.5" style="1" bestFit="1" customWidth="1"/>
    <col min="14853" max="14853" width="11" style="1" bestFit="1" customWidth="1"/>
    <col min="14854" max="14873" width="13" style="1" bestFit="1" customWidth="1"/>
    <col min="14874" max="14877" width="11" style="1" bestFit="1" customWidth="1"/>
    <col min="14878" max="14880" width="12.25" style="1" bestFit="1" customWidth="1"/>
    <col min="14881" max="14891" width="11" style="1" bestFit="1" customWidth="1"/>
    <col min="14892" max="14892" width="13.25" style="1" bestFit="1" customWidth="1"/>
    <col min="14893" max="14893" width="10" style="1" bestFit="1" customWidth="1"/>
    <col min="14894" max="14894" width="11" style="1" bestFit="1" customWidth="1"/>
    <col min="14895" max="15099" width="9" style="1"/>
    <col min="15100" max="15100" width="2.875" style="1" bestFit="1" customWidth="1"/>
    <col min="15101" max="15101" width="16.625" style="1" bestFit="1" customWidth="1"/>
    <col min="15102" max="15102" width="11.375" style="1" bestFit="1" customWidth="1"/>
    <col min="15103" max="15104" width="14.125" style="1" bestFit="1" customWidth="1"/>
    <col min="15105" max="15105" width="11.375" style="1" bestFit="1" customWidth="1"/>
    <col min="15106" max="15108" width="12.5" style="1" bestFit="1" customWidth="1"/>
    <col min="15109" max="15109" width="11" style="1" bestFit="1" customWidth="1"/>
    <col min="15110" max="15129" width="13" style="1" bestFit="1" customWidth="1"/>
    <col min="15130" max="15133" width="11" style="1" bestFit="1" customWidth="1"/>
    <col min="15134" max="15136" width="12.25" style="1" bestFit="1" customWidth="1"/>
    <col min="15137" max="15147" width="11" style="1" bestFit="1" customWidth="1"/>
    <col min="15148" max="15148" width="13.25" style="1" bestFit="1" customWidth="1"/>
    <col min="15149" max="15149" width="10" style="1" bestFit="1" customWidth="1"/>
    <col min="15150" max="15150" width="11" style="1" bestFit="1" customWidth="1"/>
    <col min="15151" max="15355" width="9" style="1"/>
    <col min="15356" max="15356" width="2.875" style="1" bestFit="1" customWidth="1"/>
    <col min="15357" max="15357" width="16.625" style="1" bestFit="1" customWidth="1"/>
    <col min="15358" max="15358" width="11.375" style="1" bestFit="1" customWidth="1"/>
    <col min="15359" max="15360" width="14.125" style="1" bestFit="1" customWidth="1"/>
    <col min="15361" max="15361" width="11.375" style="1" bestFit="1" customWidth="1"/>
    <col min="15362" max="15364" width="12.5" style="1" bestFit="1" customWidth="1"/>
    <col min="15365" max="15365" width="11" style="1" bestFit="1" customWidth="1"/>
    <col min="15366" max="15385" width="13" style="1" bestFit="1" customWidth="1"/>
    <col min="15386" max="15389" width="11" style="1" bestFit="1" customWidth="1"/>
    <col min="15390" max="15392" width="12.25" style="1" bestFit="1" customWidth="1"/>
    <col min="15393" max="15403" width="11" style="1" bestFit="1" customWidth="1"/>
    <col min="15404" max="15404" width="13.25" style="1" bestFit="1" customWidth="1"/>
    <col min="15405" max="15405" width="10" style="1" bestFit="1" customWidth="1"/>
    <col min="15406" max="15406" width="11" style="1" bestFit="1" customWidth="1"/>
    <col min="15407" max="15611" width="9" style="1"/>
    <col min="15612" max="15612" width="2.875" style="1" bestFit="1" customWidth="1"/>
    <col min="15613" max="15613" width="16.625" style="1" bestFit="1" customWidth="1"/>
    <col min="15614" max="15614" width="11.375" style="1" bestFit="1" customWidth="1"/>
    <col min="15615" max="15616" width="14.125" style="1" bestFit="1" customWidth="1"/>
    <col min="15617" max="15617" width="11.375" style="1" bestFit="1" customWidth="1"/>
    <col min="15618" max="15620" width="12.5" style="1" bestFit="1" customWidth="1"/>
    <col min="15621" max="15621" width="11" style="1" bestFit="1" customWidth="1"/>
    <col min="15622" max="15641" width="13" style="1" bestFit="1" customWidth="1"/>
    <col min="15642" max="15645" width="11" style="1" bestFit="1" customWidth="1"/>
    <col min="15646" max="15648" width="12.25" style="1" bestFit="1" customWidth="1"/>
    <col min="15649" max="15659" width="11" style="1" bestFit="1" customWidth="1"/>
    <col min="15660" max="15660" width="13.25" style="1" bestFit="1" customWidth="1"/>
    <col min="15661" max="15661" width="10" style="1" bestFit="1" customWidth="1"/>
    <col min="15662" max="15662" width="11" style="1" bestFit="1" customWidth="1"/>
    <col min="15663" max="15867" width="9" style="1"/>
    <col min="15868" max="15868" width="2.875" style="1" bestFit="1" customWidth="1"/>
    <col min="15869" max="15869" width="16.625" style="1" bestFit="1" customWidth="1"/>
    <col min="15870" max="15870" width="11.375" style="1" bestFit="1" customWidth="1"/>
    <col min="15871" max="15872" width="14.125" style="1" bestFit="1" customWidth="1"/>
    <col min="15873" max="15873" width="11.375" style="1" bestFit="1" customWidth="1"/>
    <col min="15874" max="15876" width="12.5" style="1" bestFit="1" customWidth="1"/>
    <col min="15877" max="15877" width="11" style="1" bestFit="1" customWidth="1"/>
    <col min="15878" max="15897" width="13" style="1" bestFit="1" customWidth="1"/>
    <col min="15898" max="15901" width="11" style="1" bestFit="1" customWidth="1"/>
    <col min="15902" max="15904" width="12.25" style="1" bestFit="1" customWidth="1"/>
    <col min="15905" max="15915" width="11" style="1" bestFit="1" customWidth="1"/>
    <col min="15916" max="15916" width="13.25" style="1" bestFit="1" customWidth="1"/>
    <col min="15917" max="15917" width="10" style="1" bestFit="1" customWidth="1"/>
    <col min="15918" max="15918" width="11" style="1" bestFit="1" customWidth="1"/>
    <col min="15919" max="16123" width="9" style="1"/>
    <col min="16124" max="16124" width="2.875" style="1" bestFit="1" customWidth="1"/>
    <col min="16125" max="16125" width="16.625" style="1" bestFit="1" customWidth="1"/>
    <col min="16126" max="16126" width="11.375" style="1" bestFit="1" customWidth="1"/>
    <col min="16127" max="16128" width="14.125" style="1" bestFit="1" customWidth="1"/>
    <col min="16129" max="16129" width="11.375" style="1" bestFit="1" customWidth="1"/>
    <col min="16130" max="16132" width="12.5" style="1" bestFit="1" customWidth="1"/>
    <col min="16133" max="16133" width="11" style="1" bestFit="1" customWidth="1"/>
    <col min="16134" max="16153" width="13" style="1" bestFit="1" customWidth="1"/>
    <col min="16154" max="16157" width="11" style="1" bestFit="1" customWidth="1"/>
    <col min="16158" max="16160" width="12.25" style="1" bestFit="1" customWidth="1"/>
    <col min="16161" max="16171" width="11" style="1" bestFit="1" customWidth="1"/>
    <col min="16172" max="16172" width="13.25" style="1" bestFit="1" customWidth="1"/>
    <col min="16173" max="16173" width="10" style="1" bestFit="1" customWidth="1"/>
    <col min="16174" max="16174" width="11" style="1" bestFit="1" customWidth="1"/>
    <col min="16175" max="16384" width="9" style="1"/>
  </cols>
  <sheetData>
    <row r="2" spans="1:46" ht="30.75" customHeight="1" x14ac:dyDescent="0.15"/>
    <row r="3" spans="1:46" x14ac:dyDescent="0.15">
      <c r="A3" s="47">
        <v>45658</v>
      </c>
      <c r="B3" s="47"/>
    </row>
    <row r="4" spans="1:46" s="5" customFormat="1" x14ac:dyDescent="0.15">
      <c r="A4" s="48" t="s">
        <v>0</v>
      </c>
      <c r="B4" s="48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2" t="s">
        <v>9</v>
      </c>
      <c r="L4" s="2" t="s">
        <v>10</v>
      </c>
      <c r="M4" s="2" t="s">
        <v>11</v>
      </c>
      <c r="N4" s="2" t="s">
        <v>12</v>
      </c>
      <c r="O4" s="2" t="s">
        <v>13</v>
      </c>
      <c r="P4" s="2" t="s">
        <v>14</v>
      </c>
      <c r="Q4" s="2" t="s">
        <v>151</v>
      </c>
      <c r="R4" s="2" t="s">
        <v>15</v>
      </c>
      <c r="S4" s="2" t="s">
        <v>16</v>
      </c>
      <c r="T4" s="2" t="s">
        <v>17</v>
      </c>
      <c r="U4" s="2" t="s">
        <v>18</v>
      </c>
      <c r="V4" s="2" t="s">
        <v>19</v>
      </c>
      <c r="W4" s="2" t="s">
        <v>20</v>
      </c>
      <c r="X4" s="2" t="s">
        <v>21</v>
      </c>
      <c r="Y4" s="2" t="s">
        <v>22</v>
      </c>
      <c r="Z4" s="2" t="s">
        <v>23</v>
      </c>
      <c r="AA4" s="2" t="s">
        <v>24</v>
      </c>
      <c r="AB4" s="2" t="s">
        <v>25</v>
      </c>
      <c r="AC4" s="2" t="s">
        <v>152</v>
      </c>
      <c r="AD4" s="2" t="s">
        <v>26</v>
      </c>
      <c r="AE4" s="2" t="s">
        <v>27</v>
      </c>
      <c r="AF4" s="2" t="s">
        <v>28</v>
      </c>
      <c r="AG4" s="2" t="s">
        <v>29</v>
      </c>
      <c r="AH4" s="2" t="s">
        <v>30</v>
      </c>
      <c r="AI4" s="2" t="s">
        <v>31</v>
      </c>
      <c r="AJ4" s="2" t="s">
        <v>32</v>
      </c>
      <c r="AK4" s="2" t="s">
        <v>33</v>
      </c>
      <c r="AL4" s="2" t="s">
        <v>155</v>
      </c>
      <c r="AM4" s="2" t="s">
        <v>156</v>
      </c>
      <c r="AN4" s="2" t="s">
        <v>34</v>
      </c>
      <c r="AO4" s="2" t="s">
        <v>35</v>
      </c>
      <c r="AP4" s="2" t="s">
        <v>36</v>
      </c>
      <c r="AQ4" s="2" t="s">
        <v>37</v>
      </c>
      <c r="AR4" s="3" t="s">
        <v>41</v>
      </c>
      <c r="AS4" s="3" t="s">
        <v>42</v>
      </c>
      <c r="AT4" s="4" t="s">
        <v>43</v>
      </c>
    </row>
    <row r="5" spans="1:46" s="5" customFormat="1" hidden="1" x14ac:dyDescent="0.15">
      <c r="A5" s="49" t="s">
        <v>44</v>
      </c>
      <c r="B5" s="50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2</v>
      </c>
      <c r="X5" s="2">
        <v>2</v>
      </c>
      <c r="Y5" s="2">
        <v>2</v>
      </c>
      <c r="Z5" s="2">
        <v>2</v>
      </c>
      <c r="AA5" s="2">
        <v>2</v>
      </c>
      <c r="AB5" s="2">
        <v>2</v>
      </c>
      <c r="AC5" s="2">
        <v>2</v>
      </c>
      <c r="AD5" s="2">
        <v>2</v>
      </c>
      <c r="AE5" s="2">
        <v>6</v>
      </c>
      <c r="AF5" s="2">
        <v>6</v>
      </c>
      <c r="AG5" s="2">
        <v>6</v>
      </c>
      <c r="AH5" s="2">
        <v>6</v>
      </c>
      <c r="AI5" s="2">
        <v>6</v>
      </c>
      <c r="AJ5" s="2">
        <v>6</v>
      </c>
      <c r="AK5" s="2">
        <v>6</v>
      </c>
      <c r="AL5" s="2">
        <v>7</v>
      </c>
      <c r="AM5" s="2">
        <v>7</v>
      </c>
      <c r="AN5" s="2">
        <v>7</v>
      </c>
      <c r="AO5" s="2">
        <v>7</v>
      </c>
      <c r="AP5" s="2">
        <v>7</v>
      </c>
      <c r="AQ5" s="2">
        <v>7</v>
      </c>
      <c r="AR5" s="3"/>
      <c r="AS5" s="3"/>
      <c r="AT5" s="4"/>
    </row>
    <row r="6" spans="1:46" s="5" customFormat="1" hidden="1" x14ac:dyDescent="0.15">
      <c r="A6" s="49" t="s">
        <v>45</v>
      </c>
      <c r="B6" s="50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47</v>
      </c>
      <c r="X6" s="2" t="s">
        <v>47</v>
      </c>
      <c r="Y6" s="2" t="s">
        <v>47</v>
      </c>
      <c r="Z6" s="2" t="s">
        <v>47</v>
      </c>
      <c r="AA6" s="2" t="s">
        <v>47</v>
      </c>
      <c r="AB6" s="2" t="s">
        <v>47</v>
      </c>
      <c r="AC6" s="2" t="s">
        <v>47</v>
      </c>
      <c r="AD6" s="2" t="s">
        <v>47</v>
      </c>
      <c r="AE6" s="2" t="s">
        <v>48</v>
      </c>
      <c r="AF6" s="2" t="s">
        <v>48</v>
      </c>
      <c r="AG6" s="2" t="s">
        <v>48</v>
      </c>
      <c r="AH6" s="2" t="s">
        <v>48</v>
      </c>
      <c r="AI6" s="2" t="s">
        <v>48</v>
      </c>
      <c r="AJ6" s="2" t="s">
        <v>48</v>
      </c>
      <c r="AK6" s="2" t="s">
        <v>48</v>
      </c>
      <c r="AL6" s="2" t="s">
        <v>49</v>
      </c>
      <c r="AM6" s="2" t="s">
        <v>49</v>
      </c>
      <c r="AN6" s="2" t="s">
        <v>49</v>
      </c>
      <c r="AO6" s="2" t="s">
        <v>49</v>
      </c>
      <c r="AP6" s="2" t="s">
        <v>49</v>
      </c>
      <c r="AQ6" s="2" t="s">
        <v>49</v>
      </c>
      <c r="AR6" s="3"/>
      <c r="AS6" s="3"/>
      <c r="AT6" s="4"/>
    </row>
    <row r="7" spans="1:46" s="5" customFormat="1" x14ac:dyDescent="0.15">
      <c r="A7" s="46" t="s">
        <v>51</v>
      </c>
      <c r="B7" s="46"/>
      <c r="C7" s="6" t="s">
        <v>157</v>
      </c>
      <c r="D7" s="6"/>
      <c r="E7" s="6" t="s">
        <v>158</v>
      </c>
      <c r="F7" s="6" t="s">
        <v>159</v>
      </c>
      <c r="G7" s="6" t="s">
        <v>160</v>
      </c>
      <c r="H7" s="6" t="s">
        <v>161</v>
      </c>
      <c r="I7" s="6" t="s">
        <v>162</v>
      </c>
      <c r="J7" s="6"/>
      <c r="K7" s="6" t="s">
        <v>163</v>
      </c>
      <c r="L7" s="6" t="s">
        <v>164</v>
      </c>
      <c r="M7" s="6" t="s">
        <v>165</v>
      </c>
      <c r="N7" s="6" t="s">
        <v>166</v>
      </c>
      <c r="O7" s="6" t="s">
        <v>167</v>
      </c>
      <c r="P7" s="6" t="s">
        <v>168</v>
      </c>
      <c r="Q7" s="6" t="s">
        <v>169</v>
      </c>
      <c r="R7" s="6" t="s">
        <v>170</v>
      </c>
      <c r="S7" s="6" t="s">
        <v>171</v>
      </c>
      <c r="T7" s="6" t="s">
        <v>172</v>
      </c>
      <c r="U7" s="6" t="s">
        <v>182</v>
      </c>
      <c r="V7" s="6" t="s">
        <v>183</v>
      </c>
      <c r="W7" s="6" t="s">
        <v>180</v>
      </c>
      <c r="X7" s="6" t="s">
        <v>181</v>
      </c>
      <c r="Y7" s="6" t="s">
        <v>173</v>
      </c>
      <c r="Z7" s="6" t="s">
        <v>174</v>
      </c>
      <c r="AA7" s="6"/>
      <c r="AB7" s="6"/>
      <c r="AC7" s="6"/>
      <c r="AD7" s="6"/>
      <c r="AE7" s="6" t="s">
        <v>175</v>
      </c>
      <c r="AF7" s="6" t="s">
        <v>176</v>
      </c>
      <c r="AG7" s="6" t="s">
        <v>179</v>
      </c>
      <c r="AH7" s="43" t="s">
        <v>212</v>
      </c>
      <c r="AI7" s="44" t="s">
        <v>185</v>
      </c>
      <c r="AJ7" s="6" t="s">
        <v>177</v>
      </c>
      <c r="AK7" s="6" t="s">
        <v>184</v>
      </c>
      <c r="AL7" s="44" t="s">
        <v>186</v>
      </c>
      <c r="AM7" s="44" t="s">
        <v>187</v>
      </c>
      <c r="AN7" s="6" t="s">
        <v>173</v>
      </c>
      <c r="AO7" s="6" t="s">
        <v>178</v>
      </c>
      <c r="AP7" s="44" t="s">
        <v>187</v>
      </c>
      <c r="AQ7" s="6"/>
      <c r="AR7" s="7"/>
      <c r="AS7" s="7"/>
      <c r="AT7" s="8"/>
    </row>
    <row r="8" spans="1:46" s="5" customFormat="1" x14ac:dyDescent="0.15">
      <c r="A8" s="46" t="s">
        <v>52</v>
      </c>
      <c r="B8" s="46"/>
      <c r="C8" s="6" t="s">
        <v>188</v>
      </c>
      <c r="D8" s="6"/>
      <c r="E8" s="6" t="s">
        <v>189</v>
      </c>
      <c r="F8" s="6" t="s">
        <v>190</v>
      </c>
      <c r="G8" s="6" t="s">
        <v>191</v>
      </c>
      <c r="H8" s="6" t="s">
        <v>192</v>
      </c>
      <c r="I8" s="6" t="s">
        <v>193</v>
      </c>
      <c r="J8" s="6"/>
      <c r="K8" s="6" t="s">
        <v>194</v>
      </c>
      <c r="L8" s="6" t="s">
        <v>195</v>
      </c>
      <c r="M8" s="6" t="s">
        <v>196</v>
      </c>
      <c r="N8" s="6" t="s">
        <v>189</v>
      </c>
      <c r="O8" s="6" t="s">
        <v>197</v>
      </c>
      <c r="P8" s="6" t="s">
        <v>198</v>
      </c>
      <c r="Q8" s="6" t="s">
        <v>199</v>
      </c>
      <c r="R8" s="6" t="s">
        <v>200</v>
      </c>
      <c r="S8" s="6" t="s">
        <v>201</v>
      </c>
      <c r="T8" s="6" t="s">
        <v>202</v>
      </c>
      <c r="U8" s="6" t="s">
        <v>203</v>
      </c>
      <c r="V8" s="6" t="s">
        <v>204</v>
      </c>
      <c r="W8" s="6" t="s">
        <v>198</v>
      </c>
      <c r="X8" s="6" t="s">
        <v>205</v>
      </c>
      <c r="Y8" s="6" t="s">
        <v>206</v>
      </c>
      <c r="Z8" s="6" t="s">
        <v>207</v>
      </c>
      <c r="AA8" s="6"/>
      <c r="AB8" s="6"/>
      <c r="AC8" s="6"/>
      <c r="AD8" s="6"/>
      <c r="AE8" s="6" t="s">
        <v>208</v>
      </c>
      <c r="AF8" s="6" t="s">
        <v>209</v>
      </c>
      <c r="AG8" s="6" t="s">
        <v>210</v>
      </c>
      <c r="AH8" s="6" t="s">
        <v>211</v>
      </c>
      <c r="AI8" s="6" t="s">
        <v>213</v>
      </c>
      <c r="AJ8" s="6" t="s">
        <v>214</v>
      </c>
      <c r="AK8" s="6" t="s">
        <v>215</v>
      </c>
      <c r="AL8" s="6" t="s">
        <v>216</v>
      </c>
      <c r="AM8" s="6" t="s">
        <v>217</v>
      </c>
      <c r="AN8" s="6" t="s">
        <v>218</v>
      </c>
      <c r="AO8" s="6" t="s">
        <v>191</v>
      </c>
      <c r="AP8" s="6" t="s">
        <v>219</v>
      </c>
      <c r="AQ8" s="6"/>
      <c r="AR8" s="7"/>
      <c r="AS8" s="7"/>
      <c r="AT8" s="8"/>
    </row>
    <row r="9" spans="1:46" x14ac:dyDescent="0.15">
      <c r="A9" s="52" t="s">
        <v>53</v>
      </c>
      <c r="B9" s="53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/>
      <c r="K9" s="9">
        <v>8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14</v>
      </c>
      <c r="R9" s="9">
        <v>10</v>
      </c>
      <c r="S9" s="9">
        <v>10</v>
      </c>
      <c r="T9" s="9">
        <v>10</v>
      </c>
      <c r="U9" s="9">
        <v>10</v>
      </c>
      <c r="V9" s="9">
        <v>10</v>
      </c>
      <c r="W9" s="9">
        <v>10</v>
      </c>
      <c r="X9" s="9">
        <v>10</v>
      </c>
      <c r="Y9" s="9">
        <v>10</v>
      </c>
      <c r="Z9" s="9">
        <v>10</v>
      </c>
      <c r="AA9" s="9"/>
      <c r="AB9" s="9"/>
      <c r="AC9" s="9"/>
      <c r="AD9" s="9"/>
      <c r="AE9" s="9">
        <v>8</v>
      </c>
      <c r="AF9" s="9">
        <v>8</v>
      </c>
      <c r="AG9" s="9">
        <v>8</v>
      </c>
      <c r="AH9" s="9">
        <v>10</v>
      </c>
      <c r="AI9" s="9">
        <v>10</v>
      </c>
      <c r="AJ9" s="9">
        <v>10</v>
      </c>
      <c r="AK9" s="9">
        <v>10</v>
      </c>
      <c r="AL9" s="9">
        <v>14</v>
      </c>
      <c r="AM9" s="9">
        <v>14</v>
      </c>
      <c r="AN9" s="9">
        <v>8</v>
      </c>
      <c r="AO9" s="9">
        <v>8</v>
      </c>
      <c r="AP9" s="9">
        <v>8</v>
      </c>
      <c r="AQ9" s="9"/>
      <c r="AR9" s="10">
        <f>SUM(C9:AQ9)</f>
        <v>332</v>
      </c>
      <c r="AS9" s="10"/>
      <c r="AT9" s="11"/>
    </row>
    <row r="10" spans="1:46" x14ac:dyDescent="0.15">
      <c r="A10" s="48" t="s">
        <v>54</v>
      </c>
      <c r="B10" s="48"/>
      <c r="C10" s="2" t="s">
        <v>55</v>
      </c>
      <c r="D10" s="2" t="s">
        <v>55</v>
      </c>
      <c r="E10" s="2" t="s">
        <v>55</v>
      </c>
      <c r="F10" s="2" t="s">
        <v>55</v>
      </c>
      <c r="G10" s="2" t="s">
        <v>56</v>
      </c>
      <c r="H10" s="2" t="s">
        <v>56</v>
      </c>
      <c r="I10" s="2" t="s">
        <v>56</v>
      </c>
      <c r="J10" s="12"/>
      <c r="K10" s="12" t="s">
        <v>57</v>
      </c>
      <c r="L10" s="12" t="s">
        <v>58</v>
      </c>
      <c r="M10" s="12" t="s">
        <v>58</v>
      </c>
      <c r="N10" s="12" t="s">
        <v>58</v>
      </c>
      <c r="O10" s="12" t="s">
        <v>58</v>
      </c>
      <c r="P10" s="12" t="s">
        <v>58</v>
      </c>
      <c r="Q10" s="12" t="s">
        <v>58</v>
      </c>
      <c r="R10" s="12" t="s">
        <v>58</v>
      </c>
      <c r="S10" s="12" t="s">
        <v>58</v>
      </c>
      <c r="T10" s="12" t="s">
        <v>58</v>
      </c>
      <c r="U10" s="12" t="s">
        <v>59</v>
      </c>
      <c r="V10" s="12" t="s">
        <v>59</v>
      </c>
      <c r="W10" s="12" t="s">
        <v>59</v>
      </c>
      <c r="X10" s="12" t="s">
        <v>59</v>
      </c>
      <c r="Y10" s="12" t="s">
        <v>60</v>
      </c>
      <c r="Z10" s="12" t="s">
        <v>60</v>
      </c>
      <c r="AA10" s="12" t="s">
        <v>61</v>
      </c>
      <c r="AB10" s="12" t="s">
        <v>62</v>
      </c>
      <c r="AC10" s="12"/>
      <c r="AD10" s="12"/>
      <c r="AE10" s="12" t="s">
        <v>63</v>
      </c>
      <c r="AF10" s="12" t="s">
        <v>63</v>
      </c>
      <c r="AG10" s="12" t="s">
        <v>57</v>
      </c>
      <c r="AH10" s="12" t="s">
        <v>58</v>
      </c>
      <c r="AI10" s="12" t="s">
        <v>60</v>
      </c>
      <c r="AJ10" s="12" t="s">
        <v>60</v>
      </c>
      <c r="AK10" s="12" t="s">
        <v>60</v>
      </c>
      <c r="AL10" s="12" t="s">
        <v>64</v>
      </c>
      <c r="AM10" s="12" t="s">
        <v>64</v>
      </c>
      <c r="AN10" s="12" t="s">
        <v>61</v>
      </c>
      <c r="AO10" s="12" t="s">
        <v>61</v>
      </c>
      <c r="AP10" s="12" t="s">
        <v>61</v>
      </c>
      <c r="AQ10" s="12"/>
      <c r="AR10" s="13"/>
      <c r="AS10" s="13"/>
      <c r="AT10" s="14"/>
    </row>
    <row r="11" spans="1:46" x14ac:dyDescent="0.15">
      <c r="A11" s="48" t="s">
        <v>65</v>
      </c>
      <c r="B11" s="48"/>
      <c r="C11" s="15">
        <v>7246.1</v>
      </c>
      <c r="D11" s="15">
        <v>0</v>
      </c>
      <c r="E11" s="15">
        <v>6736.5999999999995</v>
      </c>
      <c r="F11" s="15">
        <v>6363.1</v>
      </c>
      <c r="G11" s="15">
        <v>2810.9</v>
      </c>
      <c r="H11" s="15">
        <v>2986.9</v>
      </c>
      <c r="I11" s="15">
        <v>6269.3</v>
      </c>
      <c r="J11" s="15">
        <v>0</v>
      </c>
      <c r="K11" s="15">
        <v>3668</v>
      </c>
      <c r="L11" s="15">
        <v>5630.2</v>
      </c>
      <c r="M11" s="15">
        <v>4718.9000000000005</v>
      </c>
      <c r="N11" s="15">
        <v>5254.2</v>
      </c>
      <c r="O11" s="15">
        <v>741.1</v>
      </c>
      <c r="P11" s="15">
        <v>5326.1</v>
      </c>
      <c r="Q11" s="15">
        <v>3519.2</v>
      </c>
      <c r="R11" s="15">
        <v>5798.6</v>
      </c>
      <c r="S11" s="15">
        <v>4778.2</v>
      </c>
      <c r="T11" s="15">
        <v>4938.9000000000005</v>
      </c>
      <c r="U11" s="15">
        <v>8555</v>
      </c>
      <c r="V11" s="15">
        <v>6291.7</v>
      </c>
      <c r="W11" s="15">
        <v>6388.5</v>
      </c>
      <c r="X11" s="15">
        <v>4017.4</v>
      </c>
      <c r="Y11" s="15">
        <v>5028</v>
      </c>
      <c r="Z11" s="15">
        <v>5167.8999999999996</v>
      </c>
      <c r="AA11" s="15">
        <v>0</v>
      </c>
      <c r="AB11" s="15">
        <v>0</v>
      </c>
      <c r="AC11" s="15">
        <v>0</v>
      </c>
      <c r="AD11" s="15">
        <v>0</v>
      </c>
      <c r="AE11" s="15">
        <v>6709</v>
      </c>
      <c r="AF11" s="15">
        <v>6112</v>
      </c>
      <c r="AG11" s="15">
        <v>8537</v>
      </c>
      <c r="AH11" s="15">
        <v>8228</v>
      </c>
      <c r="AI11" s="15">
        <v>4753</v>
      </c>
      <c r="AJ11" s="15">
        <v>5068</v>
      </c>
      <c r="AK11" s="15">
        <v>2686</v>
      </c>
      <c r="AL11" s="15">
        <v>3952.5</v>
      </c>
      <c r="AM11" s="15">
        <v>2662.5</v>
      </c>
      <c r="AN11" s="15">
        <v>1696.3</v>
      </c>
      <c r="AO11" s="15">
        <v>4373.4000000000005</v>
      </c>
      <c r="AP11" s="15">
        <v>1093</v>
      </c>
      <c r="AQ11" s="15">
        <v>0</v>
      </c>
      <c r="AR11" s="17">
        <f>SUM(C11:AQ11)</f>
        <v>168105.49999999997</v>
      </c>
      <c r="AS11" s="17">
        <f t="shared" ref="AS11:AS42" si="0">AVERAGE(D11:AQ11)</f>
        <v>4021.4849999999983</v>
      </c>
      <c r="AT11" s="14"/>
    </row>
    <row r="12" spans="1:46" x14ac:dyDescent="0.15">
      <c r="A12" s="49" t="s">
        <v>66</v>
      </c>
      <c r="B12" s="54"/>
      <c r="C12" s="19">
        <v>9.8888888888888893</v>
      </c>
      <c r="D12" s="19">
        <v>0</v>
      </c>
      <c r="E12" s="19">
        <v>10.57013888888889</v>
      </c>
      <c r="F12" s="19">
        <v>9.8972222222222221</v>
      </c>
      <c r="G12" s="19">
        <v>4.4013888888888886</v>
      </c>
      <c r="H12" s="19">
        <v>4.3048611111111112</v>
      </c>
      <c r="I12" s="19">
        <v>8.0159722222222225</v>
      </c>
      <c r="J12" s="19">
        <v>0</v>
      </c>
      <c r="K12" s="19">
        <v>8.2715277777777771</v>
      </c>
      <c r="L12" s="19">
        <v>9.9784722222222229</v>
      </c>
      <c r="M12" s="19">
        <v>10.055555555555555</v>
      </c>
      <c r="N12" s="19">
        <v>10.39861111111111</v>
      </c>
      <c r="O12" s="19">
        <v>2.3479166666666669</v>
      </c>
      <c r="P12" s="19">
        <v>9.7201388888888882</v>
      </c>
      <c r="Q12" s="19">
        <v>7.2125000000000004</v>
      </c>
      <c r="R12" s="19">
        <v>10.015972222222222</v>
      </c>
      <c r="S12" s="19">
        <v>9.1458333333333339</v>
      </c>
      <c r="T12" s="19">
        <v>9.1680555555555561</v>
      </c>
      <c r="U12" s="19">
        <v>10.658333333333333</v>
      </c>
      <c r="V12" s="19">
        <v>8.6854166666666668</v>
      </c>
      <c r="W12" s="19">
        <v>9.2354166666666675</v>
      </c>
      <c r="X12" s="19">
        <v>6.0041666666666664</v>
      </c>
      <c r="Y12" s="19">
        <v>6.4916666666666663</v>
      </c>
      <c r="Z12" s="19">
        <v>7.3993055555555554</v>
      </c>
      <c r="AA12" s="19">
        <v>0</v>
      </c>
      <c r="AB12" s="19">
        <v>0</v>
      </c>
      <c r="AC12" s="19">
        <v>0</v>
      </c>
      <c r="AD12" s="19">
        <v>0</v>
      </c>
      <c r="AE12" s="19">
        <v>8.8368055555555554</v>
      </c>
      <c r="AF12" s="19">
        <v>7.6534722222222218</v>
      </c>
      <c r="AG12" s="19">
        <v>11.084027777777777</v>
      </c>
      <c r="AH12" s="19">
        <v>11.299305555555556</v>
      </c>
      <c r="AI12" s="19">
        <v>9.1180555555555554</v>
      </c>
      <c r="AJ12" s="19">
        <v>8.1236111111111118</v>
      </c>
      <c r="AK12" s="19">
        <v>5.2326388888888893</v>
      </c>
      <c r="AL12" s="19">
        <v>7.4652777777777777</v>
      </c>
      <c r="AM12" s="19">
        <v>3.7819444444444446</v>
      </c>
      <c r="AN12" s="19">
        <v>3.3118055555555554</v>
      </c>
      <c r="AO12" s="19">
        <v>7.6437499999999998</v>
      </c>
      <c r="AP12" s="19">
        <v>1.8277777777777777</v>
      </c>
      <c r="AQ12" s="19">
        <v>0</v>
      </c>
      <c r="AR12" s="21">
        <f>SUM(C12:AQ12)</f>
        <v>267.24583333333328</v>
      </c>
      <c r="AS12" s="21">
        <f t="shared" si="0"/>
        <v>6.4339236111111102</v>
      </c>
      <c r="AT12" s="14"/>
    </row>
    <row r="13" spans="1:46" x14ac:dyDescent="0.15">
      <c r="A13" s="48" t="s">
        <v>67</v>
      </c>
      <c r="B13" s="48"/>
      <c r="C13" s="15">
        <v>1447552</v>
      </c>
      <c r="D13" s="15">
        <v>1403225</v>
      </c>
      <c r="E13" s="15">
        <v>1364238</v>
      </c>
      <c r="F13" s="15">
        <v>1344488</v>
      </c>
      <c r="G13" s="15">
        <v>585700</v>
      </c>
      <c r="H13" s="15">
        <v>617700</v>
      </c>
      <c r="I13" s="15">
        <v>1184640</v>
      </c>
      <c r="J13" s="15">
        <v>0</v>
      </c>
      <c r="K13" s="15">
        <v>917960</v>
      </c>
      <c r="L13" s="15">
        <v>1230800</v>
      </c>
      <c r="M13" s="15">
        <v>1234160</v>
      </c>
      <c r="N13" s="15">
        <v>1167270</v>
      </c>
      <c r="O13" s="15">
        <v>236640</v>
      </c>
      <c r="P13" s="15">
        <v>1082000</v>
      </c>
      <c r="Q13" s="15">
        <v>1006140</v>
      </c>
      <c r="R13" s="15">
        <v>1148100</v>
      </c>
      <c r="S13" s="15">
        <v>1061220</v>
      </c>
      <c r="T13" s="15">
        <v>1145040</v>
      </c>
      <c r="U13" s="15">
        <v>1530330</v>
      </c>
      <c r="V13" s="15">
        <v>1164910</v>
      </c>
      <c r="W13" s="15">
        <v>1169200</v>
      </c>
      <c r="X13" s="15">
        <v>772020</v>
      </c>
      <c r="Y13" s="15">
        <v>1199656</v>
      </c>
      <c r="Z13" s="15">
        <v>1104997</v>
      </c>
      <c r="AA13" s="15">
        <v>14000</v>
      </c>
      <c r="AB13" s="15">
        <v>606412</v>
      </c>
      <c r="AC13" s="15">
        <v>0</v>
      </c>
      <c r="AD13" s="15">
        <v>0</v>
      </c>
      <c r="AE13" s="15">
        <v>1618580</v>
      </c>
      <c r="AF13" s="15">
        <v>1465171</v>
      </c>
      <c r="AG13" s="15">
        <v>1821761</v>
      </c>
      <c r="AH13" s="15">
        <v>1251120</v>
      </c>
      <c r="AI13" s="15">
        <v>1136122</v>
      </c>
      <c r="AJ13" s="15">
        <v>1260709</v>
      </c>
      <c r="AK13" s="15">
        <v>618487</v>
      </c>
      <c r="AL13" s="15">
        <v>1754700</v>
      </c>
      <c r="AM13" s="15">
        <v>755100</v>
      </c>
      <c r="AN13" s="15">
        <v>441500</v>
      </c>
      <c r="AO13" s="15">
        <v>1077800</v>
      </c>
      <c r="AP13" s="15">
        <v>242300</v>
      </c>
      <c r="AQ13" s="15">
        <v>310718</v>
      </c>
      <c r="AR13" s="17">
        <f>SUM(C13:AQ13)</f>
        <v>39492466</v>
      </c>
      <c r="AS13" s="17">
        <f t="shared" si="0"/>
        <v>951122.85</v>
      </c>
      <c r="AT13" s="14">
        <f>AR13/AR13</f>
        <v>1</v>
      </c>
    </row>
    <row r="14" spans="1:46" x14ac:dyDescent="0.15">
      <c r="A14" s="49" t="s">
        <v>68</v>
      </c>
      <c r="B14" s="54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16300</v>
      </c>
      <c r="M14" s="15">
        <v>3910</v>
      </c>
      <c r="N14" s="15">
        <v>55120</v>
      </c>
      <c r="O14" s="15">
        <v>0</v>
      </c>
      <c r="P14" s="15">
        <v>131860</v>
      </c>
      <c r="Q14" s="15">
        <v>0</v>
      </c>
      <c r="R14" s="15">
        <v>72800</v>
      </c>
      <c r="S14" s="15">
        <v>138780</v>
      </c>
      <c r="T14" s="15">
        <v>98400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F14" s="15">
        <v>0</v>
      </c>
      <c r="AG14" s="15">
        <v>0</v>
      </c>
      <c r="AH14" s="15">
        <v>29070</v>
      </c>
      <c r="AI14" s="15">
        <v>0</v>
      </c>
      <c r="AJ14" s="15">
        <v>0</v>
      </c>
      <c r="AK14" s="15">
        <v>0</v>
      </c>
      <c r="AL14" s="15">
        <v>0</v>
      </c>
      <c r="AM14" s="15">
        <v>0</v>
      </c>
      <c r="AN14" s="15">
        <v>0</v>
      </c>
      <c r="AO14" s="15">
        <v>0</v>
      </c>
      <c r="AP14" s="15">
        <v>0</v>
      </c>
      <c r="AQ14" s="15">
        <v>0</v>
      </c>
      <c r="AR14" s="17">
        <f>SUM(C14:AQ14)</f>
        <v>546240</v>
      </c>
      <c r="AS14" s="17">
        <f t="shared" si="0"/>
        <v>13656</v>
      </c>
      <c r="AT14" s="14"/>
    </row>
    <row r="15" spans="1:46" x14ac:dyDescent="0.15">
      <c r="A15" s="48" t="s">
        <v>69</v>
      </c>
      <c r="B15" s="48"/>
      <c r="C15" s="15">
        <f>SUM(C13/C11)</f>
        <v>199.76980720663528</v>
      </c>
      <c r="D15" s="15" t="e">
        <f t="shared" ref="D15:AQ15" si="1">SUM(D13/D11)</f>
        <v>#DIV/0!</v>
      </c>
      <c r="E15" s="15">
        <f t="shared" si="1"/>
        <v>202.51135587685184</v>
      </c>
      <c r="F15" s="15">
        <f t="shared" si="1"/>
        <v>211.29449482170639</v>
      </c>
      <c r="G15" s="15">
        <f t="shared" si="1"/>
        <v>208.36742680280338</v>
      </c>
      <c r="H15" s="15">
        <f t="shared" si="1"/>
        <v>206.80303994107604</v>
      </c>
      <c r="I15" s="15">
        <f t="shared" si="1"/>
        <v>188.9588949324486</v>
      </c>
      <c r="J15" s="15" t="e">
        <f t="shared" si="1"/>
        <v>#DIV/0!</v>
      </c>
      <c r="K15" s="15">
        <f t="shared" si="1"/>
        <v>250.2617230098146</v>
      </c>
      <c r="L15" s="15">
        <f t="shared" si="1"/>
        <v>218.60679904799119</v>
      </c>
      <c r="M15" s="15">
        <f t="shared" si="1"/>
        <v>261.53552734747501</v>
      </c>
      <c r="N15" s="15">
        <f t="shared" si="1"/>
        <v>222.15941532488296</v>
      </c>
      <c r="O15" s="15">
        <f t="shared" si="1"/>
        <v>319.30913506949128</v>
      </c>
      <c r="P15" s="15">
        <f t="shared" si="1"/>
        <v>203.15052289667861</v>
      </c>
      <c r="Q15" s="15">
        <f t="shared" si="1"/>
        <v>285.90020459195273</v>
      </c>
      <c r="R15" s="15">
        <f t="shared" si="1"/>
        <v>197.99606801641775</v>
      </c>
      <c r="S15" s="15">
        <f t="shared" si="1"/>
        <v>222.09618684860408</v>
      </c>
      <c r="T15" s="15">
        <f t="shared" si="1"/>
        <v>231.84109822025144</v>
      </c>
      <c r="U15" s="15">
        <f t="shared" si="1"/>
        <v>178.88135593220338</v>
      </c>
      <c r="V15" s="15">
        <f t="shared" si="1"/>
        <v>185.15027734952398</v>
      </c>
      <c r="W15" s="15">
        <f t="shared" si="1"/>
        <v>183.01635751741409</v>
      </c>
      <c r="X15" s="15">
        <f t="shared" si="1"/>
        <v>192.16906456912432</v>
      </c>
      <c r="Y15" s="15">
        <f t="shared" si="1"/>
        <v>238.5950676213206</v>
      </c>
      <c r="Z15" s="15">
        <f t="shared" si="1"/>
        <v>213.81934634958108</v>
      </c>
      <c r="AA15" s="15" t="e">
        <f t="shared" si="1"/>
        <v>#DIV/0!</v>
      </c>
      <c r="AB15" s="15" t="e">
        <f t="shared" si="1"/>
        <v>#DIV/0!</v>
      </c>
      <c r="AC15" s="15" t="e">
        <f t="shared" si="1"/>
        <v>#DIV/0!</v>
      </c>
      <c r="AD15" s="15" t="e">
        <f t="shared" si="1"/>
        <v>#DIV/0!</v>
      </c>
      <c r="AE15" s="15">
        <f t="shared" si="1"/>
        <v>241.2550305559696</v>
      </c>
      <c r="AF15" s="15">
        <f t="shared" si="1"/>
        <v>239.72038612565444</v>
      </c>
      <c r="AG15" s="15">
        <f t="shared" si="1"/>
        <v>213.39592362656671</v>
      </c>
      <c r="AH15" s="15">
        <f t="shared" si="1"/>
        <v>152.05639280505591</v>
      </c>
      <c r="AI15" s="15">
        <f t="shared" si="1"/>
        <v>239.03261098253734</v>
      </c>
      <c r="AJ15" s="15">
        <f t="shared" si="1"/>
        <v>248.75868192580899</v>
      </c>
      <c r="AK15" s="15">
        <f t="shared" si="1"/>
        <v>230.26321667907669</v>
      </c>
      <c r="AL15" s="15">
        <f t="shared" si="1"/>
        <v>443.94686907020872</v>
      </c>
      <c r="AM15" s="15">
        <f t="shared" si="1"/>
        <v>283.6056338028169</v>
      </c>
      <c r="AN15" s="15">
        <f t="shared" si="1"/>
        <v>260.27235748393565</v>
      </c>
      <c r="AO15" s="15">
        <f t="shared" si="1"/>
        <v>246.44441395710427</v>
      </c>
      <c r="AP15" s="15">
        <f t="shared" si="1"/>
        <v>221.68344007319305</v>
      </c>
      <c r="AQ15" s="15" t="e">
        <f t="shared" si="1"/>
        <v>#DIV/0!</v>
      </c>
      <c r="AR15" s="13">
        <f>SUM(AR13/AR11)</f>
        <v>234.92667402315811</v>
      </c>
      <c r="AS15" s="17" t="e">
        <f t="shared" si="0"/>
        <v>#DIV/0!</v>
      </c>
      <c r="AT15" s="14"/>
    </row>
    <row r="16" spans="1:46" x14ac:dyDescent="0.15">
      <c r="A16" s="49" t="s">
        <v>70</v>
      </c>
      <c r="B16" s="54"/>
      <c r="C16" s="22">
        <f t="shared" ref="C16:AR16" si="2">C13/(C12*24)</f>
        <v>6099.2359550561796</v>
      </c>
      <c r="D16" s="22" t="e">
        <f t="shared" si="2"/>
        <v>#DIV/0!</v>
      </c>
      <c r="E16" s="22">
        <f t="shared" si="2"/>
        <v>5377.7202549109779</v>
      </c>
      <c r="F16" s="22">
        <f t="shared" si="2"/>
        <v>5660.2076901487508</v>
      </c>
      <c r="G16" s="22">
        <f t="shared" si="2"/>
        <v>5544.6513095613764</v>
      </c>
      <c r="H16" s="22">
        <f t="shared" si="2"/>
        <v>5978.7062429424104</v>
      </c>
      <c r="I16" s="22">
        <f t="shared" si="2"/>
        <v>6157.7059689855323</v>
      </c>
      <c r="J16" s="22" t="e">
        <f t="shared" si="2"/>
        <v>#DIV/0!</v>
      </c>
      <c r="K16" s="22">
        <f t="shared" si="2"/>
        <v>4624.095374024012</v>
      </c>
      <c r="L16" s="22">
        <f t="shared" si="2"/>
        <v>5139.397313661354</v>
      </c>
      <c r="M16" s="22">
        <f t="shared" si="2"/>
        <v>5113.9226519337017</v>
      </c>
      <c r="N16" s="22">
        <f t="shared" si="2"/>
        <v>4677.1871243488713</v>
      </c>
      <c r="O16" s="22">
        <f t="shared" si="2"/>
        <v>4199.4676131322085</v>
      </c>
      <c r="P16" s="22">
        <f t="shared" si="2"/>
        <v>4638.136743587912</v>
      </c>
      <c r="Q16" s="22">
        <f t="shared" si="2"/>
        <v>5812.4783362218359</v>
      </c>
      <c r="R16" s="22">
        <f t="shared" si="2"/>
        <v>4776.1214726478547</v>
      </c>
      <c r="S16" s="22">
        <f t="shared" si="2"/>
        <v>4834.7152619589979</v>
      </c>
      <c r="T16" s="22">
        <f t="shared" si="2"/>
        <v>5203.9387971519463</v>
      </c>
      <c r="U16" s="22">
        <f t="shared" si="2"/>
        <v>5982.5254104769347</v>
      </c>
      <c r="V16" s="22">
        <f t="shared" si="2"/>
        <v>5588.4384744543058</v>
      </c>
      <c r="W16" s="22">
        <f t="shared" si="2"/>
        <v>5274.9830814346933</v>
      </c>
      <c r="X16" s="22">
        <f t="shared" si="2"/>
        <v>5357.5294934073563</v>
      </c>
      <c r="Y16" s="22">
        <f t="shared" si="2"/>
        <v>7699.9743260590512</v>
      </c>
      <c r="Z16" s="22">
        <f t="shared" si="2"/>
        <v>6222.4138901923989</v>
      </c>
      <c r="AA16" s="22" t="e">
        <f t="shared" si="2"/>
        <v>#DIV/0!</v>
      </c>
      <c r="AB16" s="22" t="e">
        <f t="shared" si="2"/>
        <v>#DIV/0!</v>
      </c>
      <c r="AC16" s="22" t="e">
        <f t="shared" si="2"/>
        <v>#DIV/0!</v>
      </c>
      <c r="AD16" s="22" t="e">
        <f t="shared" si="2"/>
        <v>#DIV/0!</v>
      </c>
      <c r="AE16" s="22">
        <f t="shared" si="2"/>
        <v>7631.8113948919454</v>
      </c>
      <c r="AF16" s="22">
        <f t="shared" si="2"/>
        <v>7976.6137374103982</v>
      </c>
      <c r="AG16" s="22">
        <f t="shared" si="2"/>
        <v>6848.2964726520895</v>
      </c>
      <c r="AH16" s="22">
        <f t="shared" si="2"/>
        <v>4613.5578636838545</v>
      </c>
      <c r="AI16" s="22">
        <f t="shared" si="2"/>
        <v>5191.7227722772286</v>
      </c>
      <c r="AJ16" s="22">
        <f t="shared" si="2"/>
        <v>6466.2797059326367</v>
      </c>
      <c r="AK16" s="22">
        <f t="shared" si="2"/>
        <v>4924.91307232913</v>
      </c>
      <c r="AL16" s="22">
        <f t="shared" si="2"/>
        <v>9793.6744186046508</v>
      </c>
      <c r="AM16" s="22">
        <f t="shared" si="2"/>
        <v>8319.1333088505326</v>
      </c>
      <c r="AN16" s="22">
        <f t="shared" si="2"/>
        <v>5554.6236108198782</v>
      </c>
      <c r="AO16" s="22">
        <f t="shared" si="2"/>
        <v>5875.1703461433635</v>
      </c>
      <c r="AP16" s="22">
        <f t="shared" si="2"/>
        <v>5523.5562310030391</v>
      </c>
      <c r="AQ16" s="22" t="e">
        <f t="shared" si="2"/>
        <v>#DIV/0!</v>
      </c>
      <c r="AR16" s="24">
        <f t="shared" si="2"/>
        <v>6157.3248725424482</v>
      </c>
      <c r="AS16" s="24" t="e">
        <f t="shared" si="0"/>
        <v>#DIV/0!</v>
      </c>
      <c r="AT16" s="14"/>
    </row>
    <row r="17" spans="1:46" x14ac:dyDescent="0.15">
      <c r="A17" s="51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268100</v>
      </c>
      <c r="Q17" s="15">
        <v>58860</v>
      </c>
      <c r="R17" s="15">
        <v>0</v>
      </c>
      <c r="S17" s="15">
        <v>0</v>
      </c>
      <c r="T17" s="15">
        <v>75708</v>
      </c>
      <c r="U17" s="15">
        <v>213500</v>
      </c>
      <c r="V17" s="15">
        <v>51246</v>
      </c>
      <c r="W17" s="15">
        <v>268500</v>
      </c>
      <c r="X17" s="15">
        <v>56375</v>
      </c>
      <c r="Y17" s="15">
        <v>56708</v>
      </c>
      <c r="Z17" s="15">
        <v>0</v>
      </c>
      <c r="AA17" s="15">
        <v>0</v>
      </c>
      <c r="AB17" s="15">
        <v>0</v>
      </c>
      <c r="AC17" s="15">
        <v>0</v>
      </c>
      <c r="AD17" s="15">
        <v>44688</v>
      </c>
      <c r="AE17" s="15">
        <v>0</v>
      </c>
      <c r="AF17" s="15">
        <v>215200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0</v>
      </c>
      <c r="AM17" s="15">
        <v>0</v>
      </c>
      <c r="AN17" s="15">
        <v>0</v>
      </c>
      <c r="AO17" s="15">
        <v>0</v>
      </c>
      <c r="AP17" s="15">
        <v>48750</v>
      </c>
      <c r="AQ17" s="15">
        <v>0</v>
      </c>
      <c r="AR17" s="17">
        <f t="shared" ref="AR17:AR28" si="3">SUM(C17:AQ17)</f>
        <v>1757965</v>
      </c>
      <c r="AS17" s="17">
        <f t="shared" si="0"/>
        <v>43949.125</v>
      </c>
      <c r="AT17" s="14">
        <f>AR17/AR13</f>
        <v>4.4513933366429941E-2</v>
      </c>
    </row>
    <row r="18" spans="1:46" x14ac:dyDescent="0.15">
      <c r="A18" s="51"/>
      <c r="B18" s="12" t="s">
        <v>73</v>
      </c>
      <c r="C18" s="15">
        <v>4025</v>
      </c>
      <c r="D18" s="15">
        <v>0</v>
      </c>
      <c r="E18" s="15">
        <v>4808</v>
      </c>
      <c r="F18" s="15">
        <v>4025</v>
      </c>
      <c r="G18" s="15">
        <v>4025</v>
      </c>
      <c r="H18" s="15">
        <v>4025</v>
      </c>
      <c r="I18" s="15">
        <v>2575</v>
      </c>
      <c r="J18" s="15">
        <v>4808</v>
      </c>
      <c r="K18" s="15">
        <v>4825</v>
      </c>
      <c r="L18" s="15">
        <v>4025</v>
      </c>
      <c r="M18" s="15">
        <v>4400</v>
      </c>
      <c r="N18" s="15">
        <v>4025</v>
      </c>
      <c r="O18" s="15">
        <v>5250</v>
      </c>
      <c r="P18" s="15">
        <v>0</v>
      </c>
      <c r="Q18" s="15">
        <v>6950</v>
      </c>
      <c r="R18" s="15">
        <v>4400</v>
      </c>
      <c r="S18" s="15">
        <v>4025</v>
      </c>
      <c r="T18" s="15">
        <v>4825</v>
      </c>
      <c r="U18" s="15">
        <v>0</v>
      </c>
      <c r="V18" s="15">
        <v>3633</v>
      </c>
      <c r="W18" s="15">
        <v>0</v>
      </c>
      <c r="X18" s="15">
        <v>4825</v>
      </c>
      <c r="Y18" s="15">
        <v>4825</v>
      </c>
      <c r="Z18" s="15">
        <v>4825</v>
      </c>
      <c r="AA18" s="15">
        <v>0</v>
      </c>
      <c r="AB18" s="15">
        <v>0</v>
      </c>
      <c r="AC18" s="15">
        <v>7075</v>
      </c>
      <c r="AD18" s="15">
        <v>4400</v>
      </c>
      <c r="AE18" s="15">
        <v>3241</v>
      </c>
      <c r="AF18" s="15">
        <v>0</v>
      </c>
      <c r="AG18" s="15">
        <v>4417</v>
      </c>
      <c r="AH18" s="15">
        <v>4025</v>
      </c>
      <c r="AI18" s="15">
        <v>4417</v>
      </c>
      <c r="AJ18" s="15">
        <v>4417</v>
      </c>
      <c r="AK18" s="15">
        <v>4825</v>
      </c>
      <c r="AL18" s="15">
        <v>6950</v>
      </c>
      <c r="AM18" s="15">
        <v>7075</v>
      </c>
      <c r="AN18" s="15">
        <v>4025</v>
      </c>
      <c r="AO18" s="15">
        <v>4825</v>
      </c>
      <c r="AP18" s="15">
        <v>2410</v>
      </c>
      <c r="AQ18" s="15">
        <v>0</v>
      </c>
      <c r="AR18" s="17">
        <f t="shared" si="3"/>
        <v>151226</v>
      </c>
      <c r="AS18" s="17">
        <f t="shared" si="0"/>
        <v>3680.0250000000001</v>
      </c>
      <c r="AT18" s="14">
        <f>AR18/AR13</f>
        <v>3.829236695424388E-3</v>
      </c>
    </row>
    <row r="19" spans="1:46" x14ac:dyDescent="0.15">
      <c r="A19" s="51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0</v>
      </c>
      <c r="AJ19" s="15">
        <v>0</v>
      </c>
      <c r="AK19" s="15">
        <v>0</v>
      </c>
      <c r="AL19" s="15">
        <v>0</v>
      </c>
      <c r="AM19" s="15">
        <v>0</v>
      </c>
      <c r="AN19" s="15">
        <v>0</v>
      </c>
      <c r="AO19" s="15">
        <v>0</v>
      </c>
      <c r="AP19" s="15">
        <v>0</v>
      </c>
      <c r="AQ19" s="15">
        <v>0</v>
      </c>
      <c r="AR19" s="17">
        <f t="shared" si="3"/>
        <v>0</v>
      </c>
      <c r="AS19" s="17">
        <f t="shared" si="0"/>
        <v>0</v>
      </c>
      <c r="AT19" s="14">
        <f>AR19/AR13</f>
        <v>0</v>
      </c>
    </row>
    <row r="20" spans="1:46" x14ac:dyDescent="0.15">
      <c r="A20" s="51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4583</v>
      </c>
      <c r="H20" s="15">
        <v>4766</v>
      </c>
      <c r="I20" s="15">
        <v>4766</v>
      </c>
      <c r="J20" s="15">
        <v>4583</v>
      </c>
      <c r="K20" s="15">
        <v>4950</v>
      </c>
      <c r="L20" s="15">
        <v>4766</v>
      </c>
      <c r="M20" s="15">
        <v>4950</v>
      </c>
      <c r="N20" s="15">
        <v>4766</v>
      </c>
      <c r="O20" s="15">
        <v>4950</v>
      </c>
      <c r="P20" s="15">
        <v>0</v>
      </c>
      <c r="Q20" s="15">
        <v>8333</v>
      </c>
      <c r="R20" s="15">
        <v>4950</v>
      </c>
      <c r="S20" s="15">
        <v>4583</v>
      </c>
      <c r="T20" s="15">
        <v>4583</v>
      </c>
      <c r="U20" s="15">
        <v>5208</v>
      </c>
      <c r="V20" s="15">
        <v>4766</v>
      </c>
      <c r="W20" s="15">
        <v>0</v>
      </c>
      <c r="X20" s="15">
        <v>5208</v>
      </c>
      <c r="Y20" s="15">
        <v>5208</v>
      </c>
      <c r="Z20" s="15">
        <v>4767</v>
      </c>
      <c r="AA20" s="15">
        <v>0</v>
      </c>
      <c r="AB20" s="15">
        <v>0</v>
      </c>
      <c r="AC20" s="15">
        <v>0</v>
      </c>
      <c r="AD20" s="15">
        <v>5133</v>
      </c>
      <c r="AE20" s="15">
        <v>4550</v>
      </c>
      <c r="AF20" s="15">
        <v>4583</v>
      </c>
      <c r="AG20" s="15">
        <v>4766</v>
      </c>
      <c r="AH20" s="15">
        <v>4583</v>
      </c>
      <c r="AI20" s="15">
        <v>4766</v>
      </c>
      <c r="AJ20" s="15">
        <v>4766</v>
      </c>
      <c r="AK20" s="15">
        <v>4950</v>
      </c>
      <c r="AL20" s="15">
        <v>8333</v>
      </c>
      <c r="AM20" s="15">
        <v>9333</v>
      </c>
      <c r="AN20" s="15">
        <v>4583</v>
      </c>
      <c r="AO20" s="15">
        <v>4950</v>
      </c>
      <c r="AP20" s="15">
        <v>4766</v>
      </c>
      <c r="AQ20" s="15">
        <v>0</v>
      </c>
      <c r="AR20" s="17">
        <f t="shared" si="3"/>
        <v>175047</v>
      </c>
      <c r="AS20" s="17">
        <f t="shared" si="0"/>
        <v>4252.4250000000002</v>
      </c>
      <c r="AT20" s="14">
        <f>AR20/AR13</f>
        <v>4.4324150332876152E-3</v>
      </c>
    </row>
    <row r="21" spans="1:46" x14ac:dyDescent="0.15">
      <c r="A21" s="51"/>
      <c r="B21" s="12" t="s">
        <v>76</v>
      </c>
      <c r="C21" s="15">
        <v>43755</v>
      </c>
      <c r="D21" s="15">
        <v>0</v>
      </c>
      <c r="E21" s="15">
        <v>28979</v>
      </c>
      <c r="F21" s="15">
        <v>12575</v>
      </c>
      <c r="G21" s="15">
        <v>24305</v>
      </c>
      <c r="H21" s="15">
        <v>51665</v>
      </c>
      <c r="I21" s="15">
        <v>34940</v>
      </c>
      <c r="J21" s="15">
        <v>19729</v>
      </c>
      <c r="K21" s="15">
        <v>31595</v>
      </c>
      <c r="L21" s="15">
        <v>22013</v>
      </c>
      <c r="M21" s="15">
        <v>37617</v>
      </c>
      <c r="N21" s="15">
        <v>57070</v>
      </c>
      <c r="O21" s="15">
        <v>33485</v>
      </c>
      <c r="P21" s="15">
        <v>0</v>
      </c>
      <c r="Q21" s="15">
        <v>46653</v>
      </c>
      <c r="R21" s="15">
        <v>48980</v>
      </c>
      <c r="S21" s="15">
        <v>35664</v>
      </c>
      <c r="T21" s="15">
        <v>23249</v>
      </c>
      <c r="U21" s="15">
        <v>19417</v>
      </c>
      <c r="V21" s="15">
        <v>28932</v>
      </c>
      <c r="W21" s="15">
        <v>0</v>
      </c>
      <c r="X21" s="15">
        <v>22121</v>
      </c>
      <c r="Y21" s="15">
        <v>47267</v>
      </c>
      <c r="Z21" s="15">
        <v>46352</v>
      </c>
      <c r="AA21" s="15">
        <v>0</v>
      </c>
      <c r="AB21" s="15">
        <v>0</v>
      </c>
      <c r="AC21" s="15">
        <v>0</v>
      </c>
      <c r="AD21" s="15">
        <v>26368</v>
      </c>
      <c r="AE21" s="15">
        <v>49238</v>
      </c>
      <c r="AF21" s="15">
        <v>31013</v>
      </c>
      <c r="AG21" s="15">
        <v>49888</v>
      </c>
      <c r="AH21" s="15">
        <v>27811</v>
      </c>
      <c r="AI21" s="15">
        <v>36771</v>
      </c>
      <c r="AJ21" s="15">
        <v>37316</v>
      </c>
      <c r="AK21" s="15">
        <v>49900</v>
      </c>
      <c r="AL21" s="15">
        <v>45533</v>
      </c>
      <c r="AM21" s="15">
        <v>37504</v>
      </c>
      <c r="AN21" s="15">
        <v>27800</v>
      </c>
      <c r="AO21" s="15">
        <v>35758</v>
      </c>
      <c r="AP21" s="15">
        <v>34656</v>
      </c>
      <c r="AQ21" s="15">
        <v>0</v>
      </c>
      <c r="AR21" s="17">
        <f t="shared" si="3"/>
        <v>1205919</v>
      </c>
      <c r="AS21" s="17">
        <f t="shared" si="0"/>
        <v>29054.1</v>
      </c>
      <c r="AT21" s="14">
        <f>AR21/AR13</f>
        <v>3.0535419084743911E-2</v>
      </c>
    </row>
    <row r="22" spans="1:46" x14ac:dyDescent="0.15">
      <c r="A22" s="51"/>
      <c r="B22" s="25" t="s">
        <v>77</v>
      </c>
      <c r="C22" s="26">
        <f t="shared" ref="C22:AQ22" si="4">SUM(C17:C21)</f>
        <v>52730</v>
      </c>
      <c r="D22" s="26">
        <f t="shared" si="4"/>
        <v>0</v>
      </c>
      <c r="E22" s="26">
        <f t="shared" si="4"/>
        <v>38553</v>
      </c>
      <c r="F22" s="26">
        <f t="shared" si="4"/>
        <v>77433</v>
      </c>
      <c r="G22" s="26">
        <f t="shared" si="4"/>
        <v>32913</v>
      </c>
      <c r="H22" s="26">
        <f t="shared" si="4"/>
        <v>60456</v>
      </c>
      <c r="I22" s="26">
        <f t="shared" si="4"/>
        <v>86187</v>
      </c>
      <c r="J22" s="26">
        <f t="shared" si="4"/>
        <v>329294</v>
      </c>
      <c r="K22" s="26">
        <f t="shared" si="4"/>
        <v>41370</v>
      </c>
      <c r="L22" s="26">
        <f t="shared" si="4"/>
        <v>30804</v>
      </c>
      <c r="M22" s="26">
        <f t="shared" si="4"/>
        <v>46967</v>
      </c>
      <c r="N22" s="26">
        <f t="shared" si="4"/>
        <v>65861</v>
      </c>
      <c r="O22" s="26">
        <f t="shared" si="4"/>
        <v>43685</v>
      </c>
      <c r="P22" s="26">
        <f t="shared" si="4"/>
        <v>268100</v>
      </c>
      <c r="Q22" s="26">
        <f t="shared" si="4"/>
        <v>120796</v>
      </c>
      <c r="R22" s="26">
        <f t="shared" si="4"/>
        <v>58330</v>
      </c>
      <c r="S22" s="26">
        <f t="shared" si="4"/>
        <v>44272</v>
      </c>
      <c r="T22" s="26">
        <f t="shared" si="4"/>
        <v>108365</v>
      </c>
      <c r="U22" s="26">
        <f t="shared" si="4"/>
        <v>238125</v>
      </c>
      <c r="V22" s="26">
        <f t="shared" si="4"/>
        <v>88577</v>
      </c>
      <c r="W22" s="26">
        <f t="shared" si="4"/>
        <v>268500</v>
      </c>
      <c r="X22" s="26">
        <f t="shared" si="4"/>
        <v>88529</v>
      </c>
      <c r="Y22" s="26">
        <f t="shared" si="4"/>
        <v>114008</v>
      </c>
      <c r="Z22" s="26">
        <f t="shared" si="4"/>
        <v>55944</v>
      </c>
      <c r="AA22" s="26">
        <f t="shared" si="4"/>
        <v>0</v>
      </c>
      <c r="AB22" s="26">
        <f t="shared" si="4"/>
        <v>0</v>
      </c>
      <c r="AC22" s="26">
        <f t="shared" si="4"/>
        <v>7075</v>
      </c>
      <c r="AD22" s="26">
        <f t="shared" si="4"/>
        <v>80589</v>
      </c>
      <c r="AE22" s="26">
        <f t="shared" si="4"/>
        <v>57029</v>
      </c>
      <c r="AF22" s="26">
        <f t="shared" si="4"/>
        <v>250796</v>
      </c>
      <c r="AG22" s="26">
        <f t="shared" si="4"/>
        <v>59071</v>
      </c>
      <c r="AH22" s="26">
        <f t="shared" si="4"/>
        <v>36419</v>
      </c>
      <c r="AI22" s="26">
        <f t="shared" si="4"/>
        <v>45954</v>
      </c>
      <c r="AJ22" s="26">
        <f t="shared" si="4"/>
        <v>46499</v>
      </c>
      <c r="AK22" s="26">
        <f t="shared" si="4"/>
        <v>59675</v>
      </c>
      <c r="AL22" s="26">
        <f t="shared" si="4"/>
        <v>60816</v>
      </c>
      <c r="AM22" s="26">
        <f t="shared" si="4"/>
        <v>53912</v>
      </c>
      <c r="AN22" s="26">
        <f t="shared" si="4"/>
        <v>36408</v>
      </c>
      <c r="AO22" s="26">
        <f t="shared" si="4"/>
        <v>45533</v>
      </c>
      <c r="AP22" s="26">
        <f t="shared" si="4"/>
        <v>90582</v>
      </c>
      <c r="AQ22" s="26">
        <f t="shared" si="4"/>
        <v>0</v>
      </c>
      <c r="AR22" s="28">
        <f t="shared" si="3"/>
        <v>3290157</v>
      </c>
      <c r="AS22" s="28">
        <f t="shared" si="0"/>
        <v>80935.675000000003</v>
      </c>
      <c r="AT22" s="29">
        <f>AR22/AR13</f>
        <v>8.331100417988585E-2</v>
      </c>
    </row>
    <row r="23" spans="1:46" x14ac:dyDescent="0.15">
      <c r="A23" s="51" t="s">
        <v>78</v>
      </c>
      <c r="B23" s="12" t="s">
        <v>79</v>
      </c>
      <c r="C23" s="15">
        <v>0</v>
      </c>
      <c r="D23" s="15">
        <v>0</v>
      </c>
      <c r="E23" s="15">
        <v>42920</v>
      </c>
      <c r="F23" s="15">
        <v>280333</v>
      </c>
      <c r="G23" s="15">
        <v>0</v>
      </c>
      <c r="H23" s="15">
        <v>0</v>
      </c>
      <c r="I23" s="15">
        <v>0</v>
      </c>
      <c r="J23" s="15">
        <v>120984</v>
      </c>
      <c r="K23" s="15">
        <v>32640</v>
      </c>
      <c r="L23" s="15">
        <v>36600</v>
      </c>
      <c r="M23" s="15">
        <v>3969</v>
      </c>
      <c r="N23" s="15">
        <v>3969</v>
      </c>
      <c r="O23" s="15">
        <v>197994</v>
      </c>
      <c r="P23" s="15">
        <v>81500</v>
      </c>
      <c r="Q23" s="15">
        <v>293300</v>
      </c>
      <c r="R23" s="15">
        <v>53122</v>
      </c>
      <c r="S23" s="15">
        <v>5400</v>
      </c>
      <c r="T23" s="15">
        <v>126460</v>
      </c>
      <c r="U23" s="15">
        <v>16560</v>
      </c>
      <c r="V23" s="15">
        <v>10100</v>
      </c>
      <c r="W23" s="15">
        <v>0</v>
      </c>
      <c r="X23" s="15">
        <v>360415</v>
      </c>
      <c r="Y23" s="15">
        <v>79527</v>
      </c>
      <c r="Z23" s="15">
        <v>10975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F23" s="15">
        <v>0</v>
      </c>
      <c r="AG23" s="15">
        <v>147758</v>
      </c>
      <c r="AH23" s="15">
        <v>13300</v>
      </c>
      <c r="AI23" s="15">
        <v>0</v>
      </c>
      <c r="AJ23" s="15">
        <v>0</v>
      </c>
      <c r="AK23" s="15">
        <v>23440</v>
      </c>
      <c r="AL23" s="15">
        <v>24400</v>
      </c>
      <c r="AM23" s="15">
        <v>0</v>
      </c>
      <c r="AN23" s="15">
        <v>0</v>
      </c>
      <c r="AO23" s="15">
        <v>0</v>
      </c>
      <c r="AP23" s="15">
        <v>0</v>
      </c>
      <c r="AQ23" s="15">
        <v>0</v>
      </c>
      <c r="AR23" s="17">
        <f t="shared" si="3"/>
        <v>1965666</v>
      </c>
      <c r="AS23" s="17">
        <f t="shared" si="0"/>
        <v>49141.65</v>
      </c>
      <c r="AT23" s="14">
        <f>AR23/AR13</f>
        <v>4.9773189650907088E-2</v>
      </c>
    </row>
    <row r="24" spans="1:46" x14ac:dyDescent="0.15">
      <c r="A24" s="51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0</v>
      </c>
      <c r="AJ24" s="15">
        <v>0</v>
      </c>
      <c r="AK24" s="15">
        <v>0</v>
      </c>
      <c r="AL24" s="15">
        <v>0</v>
      </c>
      <c r="AM24" s="15">
        <v>0</v>
      </c>
      <c r="AN24" s="15">
        <v>0</v>
      </c>
      <c r="AO24" s="15">
        <v>0</v>
      </c>
      <c r="AP24" s="15">
        <v>0</v>
      </c>
      <c r="AQ24" s="15">
        <v>0</v>
      </c>
      <c r="AR24" s="17">
        <f t="shared" si="3"/>
        <v>0</v>
      </c>
      <c r="AS24" s="17">
        <f t="shared" si="0"/>
        <v>0</v>
      </c>
      <c r="AT24" s="14">
        <f>AR24/AR13</f>
        <v>0</v>
      </c>
    </row>
    <row r="25" spans="1:46" x14ac:dyDescent="0.15">
      <c r="A25" s="51"/>
      <c r="B25" s="12" t="s">
        <v>81</v>
      </c>
      <c r="C25" s="15">
        <f t="shared" ref="C25:AQ25" si="5">30000*C9/70000*C11</f>
        <v>31054.714285714286</v>
      </c>
      <c r="D25" s="15">
        <f t="shared" si="5"/>
        <v>0</v>
      </c>
      <c r="E25" s="15">
        <f t="shared" si="5"/>
        <v>28871.142857142855</v>
      </c>
      <c r="F25" s="15">
        <f t="shared" si="5"/>
        <v>27270.428571428572</v>
      </c>
      <c r="G25" s="15">
        <f t="shared" si="5"/>
        <v>9637.3714285714286</v>
      </c>
      <c r="H25" s="15">
        <f t="shared" si="5"/>
        <v>10240.799999999999</v>
      </c>
      <c r="I25" s="15">
        <f t="shared" si="5"/>
        <v>21494.742857142857</v>
      </c>
      <c r="J25" s="15">
        <f t="shared" si="5"/>
        <v>0</v>
      </c>
      <c r="K25" s="15">
        <f t="shared" si="5"/>
        <v>12576</v>
      </c>
      <c r="L25" s="15">
        <f t="shared" si="5"/>
        <v>24129.428571428569</v>
      </c>
      <c r="M25" s="15">
        <f t="shared" si="5"/>
        <v>20223.857142857145</v>
      </c>
      <c r="N25" s="15">
        <f t="shared" si="5"/>
        <v>22518</v>
      </c>
      <c r="O25" s="15">
        <f t="shared" si="5"/>
        <v>3176.1428571428573</v>
      </c>
      <c r="P25" s="15">
        <f t="shared" si="5"/>
        <v>22826.142857142859</v>
      </c>
      <c r="Q25" s="15">
        <f t="shared" si="5"/>
        <v>21115.199999999997</v>
      </c>
      <c r="R25" s="15">
        <f t="shared" si="5"/>
        <v>24851.142857142859</v>
      </c>
      <c r="S25" s="15">
        <f t="shared" si="5"/>
        <v>20478</v>
      </c>
      <c r="T25" s="15">
        <f t="shared" si="5"/>
        <v>21166.714285714286</v>
      </c>
      <c r="U25" s="15">
        <f t="shared" si="5"/>
        <v>36664.28571428571</v>
      </c>
      <c r="V25" s="15">
        <f t="shared" si="5"/>
        <v>26964.428571428569</v>
      </c>
      <c r="W25" s="15">
        <f t="shared" si="5"/>
        <v>27379.285714285714</v>
      </c>
      <c r="X25" s="15">
        <f t="shared" si="5"/>
        <v>17217.428571428572</v>
      </c>
      <c r="Y25" s="15">
        <f t="shared" si="5"/>
        <v>21548.571428571428</v>
      </c>
      <c r="Z25" s="15">
        <f t="shared" si="5"/>
        <v>22148.142857142855</v>
      </c>
      <c r="AA25" s="15">
        <f t="shared" si="5"/>
        <v>0</v>
      </c>
      <c r="AB25" s="15">
        <f t="shared" si="5"/>
        <v>0</v>
      </c>
      <c r="AC25" s="15">
        <f t="shared" si="5"/>
        <v>0</v>
      </c>
      <c r="AD25" s="15">
        <f t="shared" si="5"/>
        <v>0</v>
      </c>
      <c r="AE25" s="15">
        <f t="shared" si="5"/>
        <v>23002.285714285714</v>
      </c>
      <c r="AF25" s="15">
        <f t="shared" si="5"/>
        <v>20955.428571428569</v>
      </c>
      <c r="AG25" s="15">
        <f t="shared" si="5"/>
        <v>29269.714285714283</v>
      </c>
      <c r="AH25" s="15">
        <f t="shared" si="5"/>
        <v>35262.857142857145</v>
      </c>
      <c r="AI25" s="15">
        <f t="shared" si="5"/>
        <v>20370</v>
      </c>
      <c r="AJ25" s="15">
        <f t="shared" si="5"/>
        <v>21720</v>
      </c>
      <c r="AK25" s="15">
        <f t="shared" si="5"/>
        <v>11511.428571428571</v>
      </c>
      <c r="AL25" s="15">
        <f t="shared" si="5"/>
        <v>23715</v>
      </c>
      <c r="AM25" s="15">
        <f t="shared" si="5"/>
        <v>15975</v>
      </c>
      <c r="AN25" s="15">
        <f t="shared" si="5"/>
        <v>5815.8857142857141</v>
      </c>
      <c r="AO25" s="15">
        <f t="shared" si="5"/>
        <v>14994.514285714287</v>
      </c>
      <c r="AP25" s="15">
        <f t="shared" si="5"/>
        <v>3747.4285714285711</v>
      </c>
      <c r="AQ25" s="15">
        <f t="shared" si="5"/>
        <v>0</v>
      </c>
      <c r="AR25" s="17">
        <f t="shared" si="3"/>
        <v>699891.51428571425</v>
      </c>
      <c r="AS25" s="17">
        <f t="shared" si="0"/>
        <v>16720.919999999995</v>
      </c>
      <c r="AT25" s="14">
        <f>AR25/AR13</f>
        <v>1.7722152733782547E-2</v>
      </c>
    </row>
    <row r="26" spans="1:46" x14ac:dyDescent="0.15">
      <c r="A26" s="51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F26" s="15">
        <v>0</v>
      </c>
      <c r="AG26" s="15">
        <v>0</v>
      </c>
      <c r="AH26" s="15">
        <v>0</v>
      </c>
      <c r="AI26" s="15">
        <v>0</v>
      </c>
      <c r="AJ26" s="15">
        <v>0</v>
      </c>
      <c r="AK26" s="15">
        <v>0</v>
      </c>
      <c r="AL26" s="15">
        <v>0</v>
      </c>
      <c r="AM26" s="15">
        <v>0</v>
      </c>
      <c r="AN26" s="15">
        <v>0</v>
      </c>
      <c r="AO26" s="15">
        <v>0</v>
      </c>
      <c r="AP26" s="15">
        <v>0</v>
      </c>
      <c r="AQ26" s="15">
        <v>0</v>
      </c>
      <c r="AR26" s="17">
        <f t="shared" si="3"/>
        <v>0</v>
      </c>
      <c r="AS26" s="17">
        <f t="shared" si="0"/>
        <v>0</v>
      </c>
      <c r="AT26" s="14">
        <f>AR26/AR13</f>
        <v>0</v>
      </c>
    </row>
    <row r="27" spans="1:46" x14ac:dyDescent="0.15">
      <c r="A27" s="51"/>
      <c r="B27" s="25" t="s">
        <v>82</v>
      </c>
      <c r="C27" s="26">
        <f t="shared" ref="C27:AQ27" si="6">SUM(C23:C26)</f>
        <v>31054.714285714286</v>
      </c>
      <c r="D27" s="26">
        <f t="shared" si="6"/>
        <v>0</v>
      </c>
      <c r="E27" s="26">
        <f t="shared" si="6"/>
        <v>71791.142857142855</v>
      </c>
      <c r="F27" s="26">
        <f t="shared" si="6"/>
        <v>307603.42857142858</v>
      </c>
      <c r="G27" s="26">
        <f t="shared" si="6"/>
        <v>9637.3714285714286</v>
      </c>
      <c r="H27" s="26">
        <f t="shared" si="6"/>
        <v>10240.799999999999</v>
      </c>
      <c r="I27" s="26">
        <f t="shared" si="6"/>
        <v>21494.742857142857</v>
      </c>
      <c r="J27" s="26">
        <f t="shared" si="6"/>
        <v>120984</v>
      </c>
      <c r="K27" s="26">
        <f t="shared" si="6"/>
        <v>45216</v>
      </c>
      <c r="L27" s="26">
        <f t="shared" si="6"/>
        <v>60729.428571428565</v>
      </c>
      <c r="M27" s="26">
        <f t="shared" si="6"/>
        <v>24192.857142857145</v>
      </c>
      <c r="N27" s="26">
        <f t="shared" si="6"/>
        <v>26487</v>
      </c>
      <c r="O27" s="26">
        <f t="shared" si="6"/>
        <v>201170.14285714287</v>
      </c>
      <c r="P27" s="26">
        <f t="shared" si="6"/>
        <v>104326.14285714286</v>
      </c>
      <c r="Q27" s="26">
        <f t="shared" si="6"/>
        <v>314415.2</v>
      </c>
      <c r="R27" s="26">
        <f t="shared" si="6"/>
        <v>77973.142857142855</v>
      </c>
      <c r="S27" s="26">
        <f t="shared" si="6"/>
        <v>25878</v>
      </c>
      <c r="T27" s="26">
        <f t="shared" si="6"/>
        <v>147626.71428571429</v>
      </c>
      <c r="U27" s="26">
        <f t="shared" si="6"/>
        <v>53224.28571428571</v>
      </c>
      <c r="V27" s="26">
        <f t="shared" si="6"/>
        <v>37064.428571428565</v>
      </c>
      <c r="W27" s="26">
        <f t="shared" si="6"/>
        <v>27379.285714285714</v>
      </c>
      <c r="X27" s="26">
        <f t="shared" si="6"/>
        <v>377632.42857142858</v>
      </c>
      <c r="Y27" s="26">
        <f t="shared" si="6"/>
        <v>101075.57142857142</v>
      </c>
      <c r="Z27" s="26">
        <f t="shared" si="6"/>
        <v>33123.142857142855</v>
      </c>
      <c r="AA27" s="26">
        <f t="shared" si="6"/>
        <v>0</v>
      </c>
      <c r="AB27" s="26">
        <f t="shared" si="6"/>
        <v>0</v>
      </c>
      <c r="AC27" s="26">
        <f t="shared" si="6"/>
        <v>0</v>
      </c>
      <c r="AD27" s="26">
        <f t="shared" si="6"/>
        <v>0</v>
      </c>
      <c r="AE27" s="26">
        <f t="shared" si="6"/>
        <v>23002.285714285714</v>
      </c>
      <c r="AF27" s="26">
        <f t="shared" si="6"/>
        <v>20955.428571428569</v>
      </c>
      <c r="AG27" s="26">
        <f t="shared" si="6"/>
        <v>177027.71428571429</v>
      </c>
      <c r="AH27" s="26">
        <f t="shared" si="6"/>
        <v>48562.857142857145</v>
      </c>
      <c r="AI27" s="26">
        <f t="shared" si="6"/>
        <v>20370</v>
      </c>
      <c r="AJ27" s="26">
        <f t="shared" si="6"/>
        <v>21720</v>
      </c>
      <c r="AK27" s="26">
        <f t="shared" si="6"/>
        <v>34951.428571428572</v>
      </c>
      <c r="AL27" s="26">
        <f t="shared" si="6"/>
        <v>48115</v>
      </c>
      <c r="AM27" s="26">
        <f t="shared" si="6"/>
        <v>15975</v>
      </c>
      <c r="AN27" s="26">
        <f t="shared" si="6"/>
        <v>5815.8857142857141</v>
      </c>
      <c r="AO27" s="26">
        <f t="shared" si="6"/>
        <v>14994.514285714287</v>
      </c>
      <c r="AP27" s="26">
        <f t="shared" si="6"/>
        <v>3747.4285714285711</v>
      </c>
      <c r="AQ27" s="26">
        <f t="shared" si="6"/>
        <v>0</v>
      </c>
      <c r="AR27" s="28">
        <f t="shared" si="3"/>
        <v>2665557.5142857144</v>
      </c>
      <c r="AS27" s="28">
        <f t="shared" si="0"/>
        <v>65862.570000000007</v>
      </c>
      <c r="AT27" s="29">
        <f>AR27/AR13</f>
        <v>6.7495342384689641E-2</v>
      </c>
    </row>
    <row r="28" spans="1:46" x14ac:dyDescent="0.15">
      <c r="A28" s="51" t="s">
        <v>83</v>
      </c>
      <c r="B28" s="9" t="s">
        <v>84</v>
      </c>
      <c r="C28" s="30">
        <v>1641</v>
      </c>
      <c r="D28" s="30">
        <v>0</v>
      </c>
      <c r="E28" s="30">
        <v>1597</v>
      </c>
      <c r="F28" s="30">
        <v>1865</v>
      </c>
      <c r="G28" s="30">
        <v>769</v>
      </c>
      <c r="H28" s="30">
        <v>788</v>
      </c>
      <c r="I28" s="30">
        <v>1477</v>
      </c>
      <c r="J28" s="30">
        <v>0</v>
      </c>
      <c r="K28" s="30">
        <v>1051</v>
      </c>
      <c r="L28" s="30">
        <v>1625</v>
      </c>
      <c r="M28" s="30">
        <v>1112</v>
      </c>
      <c r="N28" s="30">
        <v>1390</v>
      </c>
      <c r="O28" s="30">
        <v>266</v>
      </c>
      <c r="P28" s="30">
        <v>1345</v>
      </c>
      <c r="Q28" s="30">
        <v>1291</v>
      </c>
      <c r="R28" s="30">
        <v>1325</v>
      </c>
      <c r="S28" s="30">
        <v>1330</v>
      </c>
      <c r="T28" s="30">
        <v>1012</v>
      </c>
      <c r="U28" s="30">
        <v>2348</v>
      </c>
      <c r="V28" s="30">
        <v>1523</v>
      </c>
      <c r="W28" s="30">
        <v>1668</v>
      </c>
      <c r="X28" s="30">
        <v>1124</v>
      </c>
      <c r="Y28" s="30">
        <v>1335</v>
      </c>
      <c r="Z28" s="30">
        <v>1290</v>
      </c>
      <c r="AA28" s="30">
        <v>0</v>
      </c>
      <c r="AB28" s="30">
        <v>0</v>
      </c>
      <c r="AC28" s="30">
        <v>0</v>
      </c>
      <c r="AD28" s="30">
        <v>0</v>
      </c>
      <c r="AE28" s="30">
        <v>1652</v>
      </c>
      <c r="AF28" s="30">
        <v>1513</v>
      </c>
      <c r="AG28" s="30">
        <v>2199</v>
      </c>
      <c r="AH28" s="30">
        <v>2050</v>
      </c>
      <c r="AI28" s="30">
        <v>1263</v>
      </c>
      <c r="AJ28" s="30">
        <v>1352</v>
      </c>
      <c r="AK28" s="30">
        <v>662</v>
      </c>
      <c r="AL28" s="30">
        <v>1452</v>
      </c>
      <c r="AM28" s="30">
        <v>839</v>
      </c>
      <c r="AN28" s="30">
        <v>306</v>
      </c>
      <c r="AO28" s="30">
        <v>874</v>
      </c>
      <c r="AP28" s="30">
        <v>333</v>
      </c>
      <c r="AQ28" s="30">
        <v>0</v>
      </c>
      <c r="AR28" s="32">
        <f t="shared" si="3"/>
        <v>43667</v>
      </c>
      <c r="AS28" s="32">
        <f t="shared" si="0"/>
        <v>1050.6500000000001</v>
      </c>
      <c r="AT28" s="11">
        <f>AR28/AR13</f>
        <v>1.1057045665368173E-3</v>
      </c>
    </row>
    <row r="29" spans="1:46" x14ac:dyDescent="0.15">
      <c r="A29" s="51"/>
      <c r="B29" s="33" t="s">
        <v>85</v>
      </c>
      <c r="C29" s="34">
        <f t="shared" ref="C29:AR29" si="7">SUM(C11/C28)</f>
        <v>4.4156611822059721</v>
      </c>
      <c r="D29" s="34" t="e">
        <f t="shared" si="7"/>
        <v>#DIV/0!</v>
      </c>
      <c r="E29" s="34">
        <f t="shared" si="7"/>
        <v>4.2182842830306821</v>
      </c>
      <c r="F29" s="34">
        <f t="shared" si="7"/>
        <v>3.4118498659517429</v>
      </c>
      <c r="G29" s="34">
        <f t="shared" si="7"/>
        <v>3.6552665799739925</v>
      </c>
      <c r="H29" s="34">
        <f t="shared" si="7"/>
        <v>3.7904822335025381</v>
      </c>
      <c r="I29" s="34">
        <f t="shared" si="7"/>
        <v>4.2446174678402171</v>
      </c>
      <c r="J29" s="34" t="e">
        <f t="shared" si="7"/>
        <v>#DIV/0!</v>
      </c>
      <c r="K29" s="34">
        <f t="shared" si="7"/>
        <v>3.4900095147478591</v>
      </c>
      <c r="L29" s="34">
        <f t="shared" si="7"/>
        <v>3.4647384615384613</v>
      </c>
      <c r="M29" s="34">
        <f t="shared" si="7"/>
        <v>4.2436151079136692</v>
      </c>
      <c r="N29" s="34">
        <f t="shared" si="7"/>
        <v>3.78</v>
      </c>
      <c r="O29" s="34">
        <f t="shared" si="7"/>
        <v>2.78609022556391</v>
      </c>
      <c r="P29" s="34">
        <f t="shared" si="7"/>
        <v>3.9599256505576212</v>
      </c>
      <c r="Q29" s="34">
        <f t="shared" si="7"/>
        <v>2.7259488768396589</v>
      </c>
      <c r="R29" s="34">
        <f t="shared" si="7"/>
        <v>4.3763018867924535</v>
      </c>
      <c r="S29" s="34">
        <f t="shared" si="7"/>
        <v>3.5926315789473682</v>
      </c>
      <c r="T29" s="34">
        <f t="shared" si="7"/>
        <v>4.8803359683794474</v>
      </c>
      <c r="U29" s="34">
        <f t="shared" si="7"/>
        <v>3.643526405451448</v>
      </c>
      <c r="V29" s="34">
        <f t="shared" si="7"/>
        <v>4.1311227839789888</v>
      </c>
      <c r="W29" s="34">
        <f t="shared" si="7"/>
        <v>3.8300359712230216</v>
      </c>
      <c r="X29" s="34">
        <f t="shared" si="7"/>
        <v>3.5741992882562279</v>
      </c>
      <c r="Y29" s="34">
        <f t="shared" si="7"/>
        <v>3.7662921348314606</v>
      </c>
      <c r="Z29" s="34">
        <f t="shared" si="7"/>
        <v>4.0061240310077517</v>
      </c>
      <c r="AA29" s="34" t="e">
        <f t="shared" si="7"/>
        <v>#DIV/0!</v>
      </c>
      <c r="AB29" s="34" t="e">
        <f t="shared" si="7"/>
        <v>#DIV/0!</v>
      </c>
      <c r="AC29" s="34" t="e">
        <f t="shared" si="7"/>
        <v>#DIV/0!</v>
      </c>
      <c r="AD29" s="34" t="e">
        <f t="shared" si="7"/>
        <v>#DIV/0!</v>
      </c>
      <c r="AE29" s="34">
        <f t="shared" si="7"/>
        <v>4.0611380145278453</v>
      </c>
      <c r="AF29" s="34">
        <f t="shared" si="7"/>
        <v>4.0396563119629878</v>
      </c>
      <c r="AG29" s="34">
        <f t="shared" si="7"/>
        <v>3.8822191905411549</v>
      </c>
      <c r="AH29" s="34">
        <f t="shared" si="7"/>
        <v>4.0136585365853659</v>
      </c>
      <c r="AI29" s="34">
        <f t="shared" si="7"/>
        <v>3.7632620744259699</v>
      </c>
      <c r="AJ29" s="34">
        <f t="shared" si="7"/>
        <v>3.7485207100591715</v>
      </c>
      <c r="AK29" s="34">
        <f t="shared" si="7"/>
        <v>4.0574018126888216</v>
      </c>
      <c r="AL29" s="34">
        <f t="shared" si="7"/>
        <v>2.7221074380165291</v>
      </c>
      <c r="AM29" s="34">
        <f t="shared" si="7"/>
        <v>3.1734207389749702</v>
      </c>
      <c r="AN29" s="34">
        <f t="shared" si="7"/>
        <v>5.5434640522875815</v>
      </c>
      <c r="AO29" s="34">
        <f t="shared" si="7"/>
        <v>5.003890160183067</v>
      </c>
      <c r="AP29" s="34">
        <f t="shared" si="7"/>
        <v>3.2822822822822824</v>
      </c>
      <c r="AQ29" s="34" t="e">
        <f t="shared" si="7"/>
        <v>#DIV/0!</v>
      </c>
      <c r="AR29" s="36">
        <f t="shared" si="7"/>
        <v>3.8497148876726124</v>
      </c>
      <c r="AS29" s="36" t="e">
        <f t="shared" si="0"/>
        <v>#DIV/0!</v>
      </c>
      <c r="AT29" s="33">
        <f>AR29/AR13</f>
        <v>9.7479729112702465E-8</v>
      </c>
    </row>
    <row r="30" spans="1:46" x14ac:dyDescent="0.15">
      <c r="A30" s="51"/>
      <c r="B30" s="12" t="s">
        <v>86</v>
      </c>
      <c r="C30" s="15">
        <v>206274</v>
      </c>
      <c r="D30" s="15">
        <v>0</v>
      </c>
      <c r="E30" s="15">
        <v>200743</v>
      </c>
      <c r="F30" s="15">
        <v>234431</v>
      </c>
      <c r="G30" s="15">
        <v>96663</v>
      </c>
      <c r="H30" s="15">
        <v>99052</v>
      </c>
      <c r="I30" s="15">
        <v>185659</v>
      </c>
      <c r="J30" s="15">
        <v>0</v>
      </c>
      <c r="K30" s="15">
        <v>125878</v>
      </c>
      <c r="L30" s="15">
        <v>194626</v>
      </c>
      <c r="M30" s="15">
        <v>133184</v>
      </c>
      <c r="N30" s="15">
        <v>166480</v>
      </c>
      <c r="O30" s="15">
        <v>31859</v>
      </c>
      <c r="P30" s="15">
        <v>161091</v>
      </c>
      <c r="Q30" s="15">
        <v>154623</v>
      </c>
      <c r="R30" s="15">
        <v>158695</v>
      </c>
      <c r="S30" s="15">
        <v>159294</v>
      </c>
      <c r="T30" s="15">
        <v>121207</v>
      </c>
      <c r="U30" s="15">
        <v>281220</v>
      </c>
      <c r="V30" s="15">
        <v>182410</v>
      </c>
      <c r="W30" s="15">
        <v>199776</v>
      </c>
      <c r="X30" s="15">
        <v>134621</v>
      </c>
      <c r="Y30" s="15">
        <v>159893</v>
      </c>
      <c r="Z30" s="15">
        <v>154503</v>
      </c>
      <c r="AA30" s="15">
        <v>0</v>
      </c>
      <c r="AB30" s="15">
        <v>0</v>
      </c>
      <c r="AC30" s="15">
        <v>0</v>
      </c>
      <c r="AD30" s="15">
        <v>0</v>
      </c>
      <c r="AE30" s="15">
        <v>197860</v>
      </c>
      <c r="AF30" s="15">
        <v>181212</v>
      </c>
      <c r="AG30" s="15">
        <v>263374</v>
      </c>
      <c r="AH30" s="15">
        <v>245529</v>
      </c>
      <c r="AI30" s="15">
        <v>151270</v>
      </c>
      <c r="AJ30" s="15">
        <v>161929</v>
      </c>
      <c r="AK30" s="15">
        <v>79288</v>
      </c>
      <c r="AL30" s="15">
        <v>182272</v>
      </c>
      <c r="AM30" s="15">
        <v>105462</v>
      </c>
      <c r="AN30" s="15">
        <v>38463</v>
      </c>
      <c r="AO30" s="15">
        <v>109860</v>
      </c>
      <c r="AP30" s="15">
        <v>41857</v>
      </c>
      <c r="AQ30" s="15">
        <v>0</v>
      </c>
      <c r="AR30" s="17">
        <f t="shared" ref="AR30:AR42" si="8">SUM(C30:AQ30)</f>
        <v>5300558</v>
      </c>
      <c r="AS30" s="17">
        <f t="shared" si="0"/>
        <v>127357.1</v>
      </c>
      <c r="AT30" s="14">
        <f>AR30/AR13</f>
        <v>0.13421694153006297</v>
      </c>
    </row>
    <row r="31" spans="1:46" x14ac:dyDescent="0.15">
      <c r="A31" s="51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10650</v>
      </c>
      <c r="L31" s="15">
        <v>0</v>
      </c>
      <c r="M31" s="15">
        <v>0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9585</v>
      </c>
      <c r="T31" s="15">
        <v>0</v>
      </c>
      <c r="U31" s="15">
        <v>0</v>
      </c>
      <c r="V31" s="15">
        <v>11005</v>
      </c>
      <c r="W31" s="15">
        <v>0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0</v>
      </c>
      <c r="AH31" s="15">
        <v>0</v>
      </c>
      <c r="AI31" s="15">
        <v>0</v>
      </c>
      <c r="AJ31" s="15">
        <v>0</v>
      </c>
      <c r="AK31" s="15">
        <v>0</v>
      </c>
      <c r="AL31" s="15">
        <v>0</v>
      </c>
      <c r="AM31" s="15">
        <v>0</v>
      </c>
      <c r="AN31" s="15">
        <v>0</v>
      </c>
      <c r="AO31" s="15">
        <v>0</v>
      </c>
      <c r="AP31" s="15">
        <v>0</v>
      </c>
      <c r="AQ31" s="15">
        <v>0</v>
      </c>
      <c r="AR31" s="17">
        <f t="shared" si="8"/>
        <v>31240</v>
      </c>
      <c r="AS31" s="17">
        <f t="shared" si="0"/>
        <v>781</v>
      </c>
      <c r="AT31" s="14">
        <f>AR31/AR13</f>
        <v>7.91036953731884E-4</v>
      </c>
    </row>
    <row r="32" spans="1:46" x14ac:dyDescent="0.15">
      <c r="A32" s="51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s="15">
        <v>0</v>
      </c>
      <c r="AJ32" s="15">
        <v>0</v>
      </c>
      <c r="AK32" s="15">
        <v>0</v>
      </c>
      <c r="AL32" s="15">
        <v>3207</v>
      </c>
      <c r="AM32" s="15">
        <v>3929</v>
      </c>
      <c r="AN32" s="15">
        <v>837</v>
      </c>
      <c r="AO32" s="15">
        <v>3467</v>
      </c>
      <c r="AP32" s="15">
        <v>2302</v>
      </c>
      <c r="AQ32" s="15">
        <v>0</v>
      </c>
      <c r="AR32" s="17">
        <f t="shared" si="8"/>
        <v>13742</v>
      </c>
      <c r="AS32" s="17">
        <f t="shared" si="0"/>
        <v>343.55</v>
      </c>
      <c r="AT32" s="14">
        <f>AR32/AR13</f>
        <v>3.479651030148383E-4</v>
      </c>
    </row>
    <row r="33" spans="1:46" x14ac:dyDescent="0.15">
      <c r="A33" s="51"/>
      <c r="B33" s="25" t="s">
        <v>89</v>
      </c>
      <c r="C33" s="26">
        <f>SUM(C30:C32)</f>
        <v>206274</v>
      </c>
      <c r="D33" s="26">
        <f t="shared" ref="D33:AQ33" si="9">SUM(D30:D32)</f>
        <v>0</v>
      </c>
      <c r="E33" s="26">
        <f t="shared" si="9"/>
        <v>200743</v>
      </c>
      <c r="F33" s="26">
        <f t="shared" si="9"/>
        <v>234431</v>
      </c>
      <c r="G33" s="26">
        <f t="shared" si="9"/>
        <v>96663</v>
      </c>
      <c r="H33" s="26">
        <f t="shared" si="9"/>
        <v>99052</v>
      </c>
      <c r="I33" s="26">
        <f t="shared" si="9"/>
        <v>185659</v>
      </c>
      <c r="J33" s="26">
        <f t="shared" si="9"/>
        <v>0</v>
      </c>
      <c r="K33" s="26">
        <f t="shared" si="9"/>
        <v>136528</v>
      </c>
      <c r="L33" s="26">
        <f t="shared" si="9"/>
        <v>194626</v>
      </c>
      <c r="M33" s="26">
        <f t="shared" si="9"/>
        <v>133184</v>
      </c>
      <c r="N33" s="26">
        <f t="shared" si="9"/>
        <v>166480</v>
      </c>
      <c r="O33" s="26">
        <f t="shared" si="9"/>
        <v>31859</v>
      </c>
      <c r="P33" s="26">
        <f t="shared" si="9"/>
        <v>161091</v>
      </c>
      <c r="Q33" s="26">
        <f t="shared" si="9"/>
        <v>154623</v>
      </c>
      <c r="R33" s="26">
        <f t="shared" si="9"/>
        <v>158695</v>
      </c>
      <c r="S33" s="26">
        <f t="shared" si="9"/>
        <v>168879</v>
      </c>
      <c r="T33" s="26">
        <f t="shared" si="9"/>
        <v>121207</v>
      </c>
      <c r="U33" s="26">
        <f t="shared" si="9"/>
        <v>281220</v>
      </c>
      <c r="V33" s="26">
        <f t="shared" si="9"/>
        <v>193415</v>
      </c>
      <c r="W33" s="26">
        <f t="shared" si="9"/>
        <v>199776</v>
      </c>
      <c r="X33" s="26">
        <f t="shared" si="9"/>
        <v>134621</v>
      </c>
      <c r="Y33" s="26">
        <f t="shared" si="9"/>
        <v>159893</v>
      </c>
      <c r="Z33" s="26">
        <f t="shared" si="9"/>
        <v>154503</v>
      </c>
      <c r="AA33" s="26">
        <f t="shared" si="9"/>
        <v>0</v>
      </c>
      <c r="AB33" s="26">
        <f t="shared" si="9"/>
        <v>0</v>
      </c>
      <c r="AC33" s="26">
        <f t="shared" si="9"/>
        <v>0</v>
      </c>
      <c r="AD33" s="26">
        <f t="shared" si="9"/>
        <v>0</v>
      </c>
      <c r="AE33" s="26">
        <f t="shared" si="9"/>
        <v>197860</v>
      </c>
      <c r="AF33" s="26">
        <f t="shared" si="9"/>
        <v>181212</v>
      </c>
      <c r="AG33" s="26">
        <f t="shared" si="9"/>
        <v>263374</v>
      </c>
      <c r="AH33" s="26">
        <f t="shared" si="9"/>
        <v>245529</v>
      </c>
      <c r="AI33" s="26">
        <f t="shared" si="9"/>
        <v>151270</v>
      </c>
      <c r="AJ33" s="26">
        <f t="shared" si="9"/>
        <v>161929</v>
      </c>
      <c r="AK33" s="26">
        <f t="shared" si="9"/>
        <v>79288</v>
      </c>
      <c r="AL33" s="26">
        <f t="shared" si="9"/>
        <v>185479</v>
      </c>
      <c r="AM33" s="26">
        <f t="shared" si="9"/>
        <v>109391</v>
      </c>
      <c r="AN33" s="26">
        <f t="shared" si="9"/>
        <v>39300</v>
      </c>
      <c r="AO33" s="26">
        <f t="shared" si="9"/>
        <v>113327</v>
      </c>
      <c r="AP33" s="26">
        <f t="shared" si="9"/>
        <v>44159</v>
      </c>
      <c r="AQ33" s="26">
        <f t="shared" si="9"/>
        <v>0</v>
      </c>
      <c r="AR33" s="28">
        <f t="shared" si="8"/>
        <v>5345540</v>
      </c>
      <c r="AS33" s="28">
        <f t="shared" si="0"/>
        <v>128481.65</v>
      </c>
      <c r="AT33" s="29">
        <f>AR33/AR13</f>
        <v>0.13535594358680969</v>
      </c>
    </row>
    <row r="34" spans="1:46" x14ac:dyDescent="0.15">
      <c r="A34" s="51" t="s">
        <v>90</v>
      </c>
      <c r="B34" s="12" t="s">
        <v>91</v>
      </c>
      <c r="C34" s="15">
        <v>2008</v>
      </c>
      <c r="D34" s="15">
        <v>0</v>
      </c>
      <c r="E34" s="15">
        <v>2008</v>
      </c>
      <c r="F34" s="15">
        <v>2008</v>
      </c>
      <c r="G34" s="15">
        <v>2012</v>
      </c>
      <c r="H34" s="15">
        <v>2008</v>
      </c>
      <c r="I34" s="15">
        <v>2008</v>
      </c>
      <c r="J34" s="15">
        <v>2008</v>
      </c>
      <c r="K34" s="15">
        <v>2012</v>
      </c>
      <c r="L34" s="15">
        <v>2008</v>
      </c>
      <c r="M34" s="15">
        <v>2008</v>
      </c>
      <c r="N34" s="15">
        <v>2008</v>
      </c>
      <c r="O34" s="15">
        <v>2008</v>
      </c>
      <c r="P34" s="15">
        <v>0</v>
      </c>
      <c r="Q34" s="15">
        <v>2451</v>
      </c>
      <c r="R34" s="15">
        <v>2008</v>
      </c>
      <c r="S34" s="15">
        <v>2008</v>
      </c>
      <c r="T34" s="15">
        <v>2008</v>
      </c>
      <c r="U34" s="15">
        <v>2008</v>
      </c>
      <c r="V34" s="15">
        <v>2008</v>
      </c>
      <c r="W34" s="15">
        <v>0</v>
      </c>
      <c r="X34" s="15">
        <v>2008</v>
      </c>
      <c r="Y34" s="15">
        <v>2008</v>
      </c>
      <c r="Z34" s="15">
        <v>2008</v>
      </c>
      <c r="AA34" s="15">
        <v>0</v>
      </c>
      <c r="AB34" s="15">
        <v>0</v>
      </c>
      <c r="AC34" s="15">
        <v>0</v>
      </c>
      <c r="AD34" s="15">
        <v>2008</v>
      </c>
      <c r="AE34" s="15">
        <v>2008</v>
      </c>
      <c r="AF34" s="15">
        <v>2008</v>
      </c>
      <c r="AG34" s="15">
        <v>2008</v>
      </c>
      <c r="AH34" s="15">
        <v>2008</v>
      </c>
      <c r="AI34" s="15">
        <v>2012</v>
      </c>
      <c r="AJ34" s="15">
        <v>2008</v>
      </c>
      <c r="AK34" s="15">
        <v>2625</v>
      </c>
      <c r="AL34" s="15">
        <v>2451</v>
      </c>
      <c r="AM34" s="15">
        <v>2451</v>
      </c>
      <c r="AN34" s="15">
        <v>2008</v>
      </c>
      <c r="AO34" s="15">
        <v>2008</v>
      </c>
      <c r="AP34" s="15">
        <v>2008</v>
      </c>
      <c r="AQ34" s="15">
        <v>0</v>
      </c>
      <c r="AR34" s="17">
        <f t="shared" si="8"/>
        <v>70230</v>
      </c>
      <c r="AS34" s="17">
        <f t="shared" si="0"/>
        <v>1705.55</v>
      </c>
      <c r="AT34" s="14">
        <f>AR34/AR13</f>
        <v>1.7783138687768954E-3</v>
      </c>
    </row>
    <row r="35" spans="1:46" x14ac:dyDescent="0.15">
      <c r="A35" s="51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0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0</v>
      </c>
      <c r="AM35" s="15">
        <v>0</v>
      </c>
      <c r="AN35" s="15">
        <v>0</v>
      </c>
      <c r="AO35" s="15">
        <v>0</v>
      </c>
      <c r="AP35" s="15">
        <v>0</v>
      </c>
      <c r="AQ35" s="15">
        <v>0</v>
      </c>
      <c r="AR35" s="17">
        <f t="shared" si="8"/>
        <v>0</v>
      </c>
      <c r="AS35" s="17">
        <f t="shared" si="0"/>
        <v>0</v>
      </c>
      <c r="AT35" s="14">
        <f>AR35/AR13</f>
        <v>0</v>
      </c>
    </row>
    <row r="36" spans="1:46" x14ac:dyDescent="0.15">
      <c r="A36" s="51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0</v>
      </c>
      <c r="AJ36" s="15">
        <v>0</v>
      </c>
      <c r="AK36" s="15">
        <v>0</v>
      </c>
      <c r="AL36" s="15">
        <v>0</v>
      </c>
      <c r="AM36" s="15">
        <v>0</v>
      </c>
      <c r="AN36" s="15">
        <v>0</v>
      </c>
      <c r="AO36" s="15">
        <v>0</v>
      </c>
      <c r="AP36" s="15">
        <v>0</v>
      </c>
      <c r="AQ36" s="15">
        <v>0</v>
      </c>
      <c r="AR36" s="17">
        <f t="shared" si="8"/>
        <v>0</v>
      </c>
      <c r="AS36" s="17">
        <f t="shared" si="0"/>
        <v>0</v>
      </c>
      <c r="AT36" s="14">
        <f>AR36/AR13</f>
        <v>0</v>
      </c>
    </row>
    <row r="37" spans="1:46" x14ac:dyDescent="0.15">
      <c r="A37" s="51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0</v>
      </c>
      <c r="AJ37" s="15">
        <v>0</v>
      </c>
      <c r="AK37" s="15">
        <v>0</v>
      </c>
      <c r="AL37" s="15">
        <v>0</v>
      </c>
      <c r="AM37" s="15">
        <v>0</v>
      </c>
      <c r="AN37" s="15">
        <v>0</v>
      </c>
      <c r="AO37" s="15">
        <v>0</v>
      </c>
      <c r="AP37" s="15">
        <v>0</v>
      </c>
      <c r="AQ37" s="15">
        <v>0</v>
      </c>
      <c r="AR37" s="17">
        <f t="shared" si="8"/>
        <v>0</v>
      </c>
      <c r="AS37" s="17">
        <f t="shared" si="0"/>
        <v>0</v>
      </c>
      <c r="AT37" s="14">
        <f>AR37/AR13</f>
        <v>0</v>
      </c>
    </row>
    <row r="38" spans="1:46" x14ac:dyDescent="0.15">
      <c r="A38" s="51"/>
      <c r="B38" s="12" t="s">
        <v>92</v>
      </c>
      <c r="C38" s="15">
        <v>4621</v>
      </c>
      <c r="D38" s="15">
        <v>0</v>
      </c>
      <c r="E38" s="15">
        <v>4621</v>
      </c>
      <c r="F38" s="15">
        <v>7034</v>
      </c>
      <c r="G38" s="15">
        <v>5366</v>
      </c>
      <c r="H38" s="15">
        <v>5366</v>
      </c>
      <c r="I38" s="15">
        <v>5366</v>
      </c>
      <c r="J38" s="15">
        <v>9033</v>
      </c>
      <c r="K38" s="15">
        <v>5366</v>
      </c>
      <c r="L38" s="15">
        <v>5366</v>
      </c>
      <c r="M38" s="15">
        <v>5366</v>
      </c>
      <c r="N38" s="15">
        <v>5366</v>
      </c>
      <c r="O38" s="15">
        <v>5366</v>
      </c>
      <c r="P38" s="15">
        <v>10718</v>
      </c>
      <c r="Q38" s="15">
        <v>10690</v>
      </c>
      <c r="R38" s="15">
        <v>5366</v>
      </c>
      <c r="S38" s="15">
        <v>5366</v>
      </c>
      <c r="T38" s="15">
        <v>7671</v>
      </c>
      <c r="U38" s="15">
        <v>8639</v>
      </c>
      <c r="V38" s="15">
        <v>5366</v>
      </c>
      <c r="W38" s="15">
        <v>5576</v>
      </c>
      <c r="X38" s="15">
        <v>7624</v>
      </c>
      <c r="Y38" s="15">
        <v>6832</v>
      </c>
      <c r="Z38" s="15">
        <v>4621</v>
      </c>
      <c r="AA38" s="15">
        <v>0</v>
      </c>
      <c r="AB38" s="15">
        <v>0</v>
      </c>
      <c r="AC38" s="15">
        <v>0</v>
      </c>
      <c r="AD38" s="15">
        <v>5366</v>
      </c>
      <c r="AE38" s="15">
        <v>5366</v>
      </c>
      <c r="AF38" s="15">
        <v>10370</v>
      </c>
      <c r="AG38" s="15">
        <v>5366</v>
      </c>
      <c r="AH38" s="15">
        <v>5366</v>
      </c>
      <c r="AI38" s="15">
        <v>4621</v>
      </c>
      <c r="AJ38" s="15">
        <v>4621</v>
      </c>
      <c r="AK38" s="15">
        <v>4621</v>
      </c>
      <c r="AL38" s="15">
        <v>10690</v>
      </c>
      <c r="AM38" s="15">
        <v>10690</v>
      </c>
      <c r="AN38" s="15">
        <v>5366</v>
      </c>
      <c r="AO38" s="15">
        <v>5366</v>
      </c>
      <c r="AP38" s="15">
        <v>7978</v>
      </c>
      <c r="AQ38" s="15">
        <v>0</v>
      </c>
      <c r="AR38" s="17">
        <f t="shared" si="8"/>
        <v>232493</v>
      </c>
      <c r="AS38" s="17">
        <f t="shared" si="0"/>
        <v>5696.8</v>
      </c>
      <c r="AT38" s="14">
        <f>AR38/AR13</f>
        <v>5.8870215903965078E-3</v>
      </c>
    </row>
    <row r="39" spans="1:46" x14ac:dyDescent="0.15">
      <c r="A39" s="51"/>
      <c r="B39" s="25" t="s">
        <v>93</v>
      </c>
      <c r="C39" s="26">
        <f t="shared" ref="C39:AQ39" si="10">SUM(C34:C38)</f>
        <v>6629</v>
      </c>
      <c r="D39" s="26">
        <f t="shared" si="10"/>
        <v>0</v>
      </c>
      <c r="E39" s="26">
        <f t="shared" si="10"/>
        <v>6629</v>
      </c>
      <c r="F39" s="26">
        <f t="shared" si="10"/>
        <v>9042</v>
      </c>
      <c r="G39" s="26">
        <f t="shared" si="10"/>
        <v>7378</v>
      </c>
      <c r="H39" s="26">
        <f t="shared" si="10"/>
        <v>7374</v>
      </c>
      <c r="I39" s="26">
        <f t="shared" si="10"/>
        <v>7374</v>
      </c>
      <c r="J39" s="26">
        <f t="shared" si="10"/>
        <v>11041</v>
      </c>
      <c r="K39" s="26">
        <f t="shared" si="10"/>
        <v>7378</v>
      </c>
      <c r="L39" s="26">
        <f t="shared" si="10"/>
        <v>7374</v>
      </c>
      <c r="M39" s="26">
        <f t="shared" si="10"/>
        <v>7374</v>
      </c>
      <c r="N39" s="26">
        <f t="shared" si="10"/>
        <v>7374</v>
      </c>
      <c r="O39" s="26">
        <f t="shared" si="10"/>
        <v>7374</v>
      </c>
      <c r="P39" s="26">
        <f t="shared" si="10"/>
        <v>10718</v>
      </c>
      <c r="Q39" s="26">
        <f t="shared" si="10"/>
        <v>13141</v>
      </c>
      <c r="R39" s="26">
        <f t="shared" si="10"/>
        <v>7374</v>
      </c>
      <c r="S39" s="26">
        <f t="shared" si="10"/>
        <v>7374</v>
      </c>
      <c r="T39" s="26">
        <f t="shared" si="10"/>
        <v>9679</v>
      </c>
      <c r="U39" s="26">
        <f t="shared" si="10"/>
        <v>10647</v>
      </c>
      <c r="V39" s="26">
        <f t="shared" si="10"/>
        <v>7374</v>
      </c>
      <c r="W39" s="26">
        <f t="shared" si="10"/>
        <v>5576</v>
      </c>
      <c r="X39" s="26">
        <f t="shared" si="10"/>
        <v>9632</v>
      </c>
      <c r="Y39" s="26">
        <f t="shared" si="10"/>
        <v>8840</v>
      </c>
      <c r="Z39" s="26">
        <f t="shared" si="10"/>
        <v>6629</v>
      </c>
      <c r="AA39" s="26">
        <f t="shared" si="10"/>
        <v>0</v>
      </c>
      <c r="AB39" s="26">
        <f t="shared" si="10"/>
        <v>0</v>
      </c>
      <c r="AC39" s="26">
        <f t="shared" si="10"/>
        <v>0</v>
      </c>
      <c r="AD39" s="26">
        <f t="shared" si="10"/>
        <v>7374</v>
      </c>
      <c r="AE39" s="26">
        <f t="shared" si="10"/>
        <v>7374</v>
      </c>
      <c r="AF39" s="26">
        <f t="shared" si="10"/>
        <v>12378</v>
      </c>
      <c r="AG39" s="26">
        <f t="shared" si="10"/>
        <v>7374</v>
      </c>
      <c r="AH39" s="26">
        <f t="shared" si="10"/>
        <v>7374</v>
      </c>
      <c r="AI39" s="26">
        <f t="shared" si="10"/>
        <v>6633</v>
      </c>
      <c r="AJ39" s="26">
        <f t="shared" si="10"/>
        <v>6629</v>
      </c>
      <c r="AK39" s="26">
        <f t="shared" si="10"/>
        <v>7246</v>
      </c>
      <c r="AL39" s="26">
        <f t="shared" si="10"/>
        <v>13141</v>
      </c>
      <c r="AM39" s="26">
        <f t="shared" si="10"/>
        <v>13141</v>
      </c>
      <c r="AN39" s="26">
        <f t="shared" si="10"/>
        <v>7374</v>
      </c>
      <c r="AO39" s="26">
        <f t="shared" si="10"/>
        <v>7374</v>
      </c>
      <c r="AP39" s="26">
        <f t="shared" si="10"/>
        <v>9986</v>
      </c>
      <c r="AQ39" s="26">
        <f t="shared" si="10"/>
        <v>0</v>
      </c>
      <c r="AR39" s="28">
        <f t="shared" si="8"/>
        <v>302723</v>
      </c>
      <c r="AS39" s="28">
        <f t="shared" si="0"/>
        <v>7402.35</v>
      </c>
      <c r="AT39" s="29">
        <f>AR39/AR13</f>
        <v>7.665335459173403E-3</v>
      </c>
    </row>
    <row r="40" spans="1:46" x14ac:dyDescent="0.15">
      <c r="A40" s="51" t="s">
        <v>94</v>
      </c>
      <c r="B40" s="12" t="s">
        <v>95</v>
      </c>
      <c r="C40" s="15">
        <v>227990</v>
      </c>
      <c r="D40" s="15">
        <v>0</v>
      </c>
      <c r="E40" s="15">
        <v>208670</v>
      </c>
      <c r="F40" s="15">
        <v>193770</v>
      </c>
      <c r="G40" s="15">
        <v>115770</v>
      </c>
      <c r="H40" s="15">
        <v>124970</v>
      </c>
      <c r="I40" s="15">
        <v>247870</v>
      </c>
      <c r="J40" s="15">
        <v>0</v>
      </c>
      <c r="K40" s="15">
        <v>17390</v>
      </c>
      <c r="L40" s="15">
        <v>106700</v>
      </c>
      <c r="M40" s="15">
        <v>86040</v>
      </c>
      <c r="N40" s="15">
        <v>72560</v>
      </c>
      <c r="O40" s="15">
        <v>11300</v>
      </c>
      <c r="P40" s="15">
        <v>98150</v>
      </c>
      <c r="Q40" s="15">
        <v>143370</v>
      </c>
      <c r="R40" s="15">
        <v>109710</v>
      </c>
      <c r="S40" s="15">
        <v>67060</v>
      </c>
      <c r="T40" s="15">
        <v>85080</v>
      </c>
      <c r="U40" s="15">
        <v>232240</v>
      </c>
      <c r="V40" s="15">
        <v>141030</v>
      </c>
      <c r="W40" s="15">
        <v>165110</v>
      </c>
      <c r="X40" s="15">
        <v>105990</v>
      </c>
      <c r="Y40" s="15">
        <v>126560</v>
      </c>
      <c r="Z40" s="15">
        <v>102770</v>
      </c>
      <c r="AA40" s="15">
        <v>0</v>
      </c>
      <c r="AB40" s="15">
        <v>0</v>
      </c>
      <c r="AC40" s="15">
        <v>0</v>
      </c>
      <c r="AD40" s="15">
        <v>0</v>
      </c>
      <c r="AE40" s="15">
        <v>120200</v>
      </c>
      <c r="AF40" s="15">
        <v>113130</v>
      </c>
      <c r="AG40" s="15">
        <v>268090</v>
      </c>
      <c r="AH40" s="15">
        <v>170570</v>
      </c>
      <c r="AI40" s="15">
        <v>45400</v>
      </c>
      <c r="AJ40" s="15">
        <v>67470</v>
      </c>
      <c r="AK40" s="15">
        <v>24710</v>
      </c>
      <c r="AL40" s="15">
        <v>121130</v>
      </c>
      <c r="AM40" s="15">
        <v>134070</v>
      </c>
      <c r="AN40" s="15">
        <v>64540</v>
      </c>
      <c r="AO40" s="15">
        <v>177140</v>
      </c>
      <c r="AP40" s="15">
        <v>44510</v>
      </c>
      <c r="AQ40" s="15">
        <v>0</v>
      </c>
      <c r="AR40" s="17">
        <f t="shared" si="8"/>
        <v>4141060</v>
      </c>
      <c r="AS40" s="17">
        <f t="shared" si="0"/>
        <v>97826.75</v>
      </c>
      <c r="AT40" s="14">
        <f>AR40/AR13</f>
        <v>0.1048569618316567</v>
      </c>
    </row>
    <row r="41" spans="1:46" x14ac:dyDescent="0.15">
      <c r="A41" s="51"/>
      <c r="B41" s="12" t="s">
        <v>96</v>
      </c>
      <c r="C41" s="15">
        <v>-165675</v>
      </c>
      <c r="D41" s="15">
        <v>0</v>
      </c>
      <c r="E41" s="15">
        <v>-133338</v>
      </c>
      <c r="F41" s="15">
        <v>-138853</v>
      </c>
      <c r="G41" s="15">
        <v>-57615</v>
      </c>
      <c r="H41" s="15">
        <v>-55388</v>
      </c>
      <c r="I41" s="15">
        <v>-122670</v>
      </c>
      <c r="J41" s="15">
        <v>0</v>
      </c>
      <c r="K41" s="15">
        <v>520</v>
      </c>
      <c r="L41" s="15">
        <v>-38683</v>
      </c>
      <c r="M41" s="15">
        <v>-36834</v>
      </c>
      <c r="N41" s="15">
        <v>-33287</v>
      </c>
      <c r="O41" s="15">
        <v>-2237</v>
      </c>
      <c r="P41" s="15">
        <v>-41792</v>
      </c>
      <c r="Q41" s="15">
        <v>-55181</v>
      </c>
      <c r="R41" s="15">
        <v>-53590</v>
      </c>
      <c r="S41" s="15">
        <v>-35120</v>
      </c>
      <c r="T41" s="15">
        <v>-35569</v>
      </c>
      <c r="U41" s="15">
        <v>-74450</v>
      </c>
      <c r="V41" s="15">
        <v>-60673</v>
      </c>
      <c r="W41" s="15">
        <v>-65142</v>
      </c>
      <c r="X41" s="15">
        <v>-33855</v>
      </c>
      <c r="Y41" s="15">
        <v>-101500</v>
      </c>
      <c r="Z41" s="15">
        <v>-101500</v>
      </c>
      <c r="AA41" s="15">
        <v>0</v>
      </c>
      <c r="AB41" s="15">
        <v>0</v>
      </c>
      <c r="AC41" s="15">
        <v>0</v>
      </c>
      <c r="AD41" s="15">
        <v>0</v>
      </c>
      <c r="AE41" s="15">
        <v>-120200</v>
      </c>
      <c r="AF41" s="15">
        <v>-109250</v>
      </c>
      <c r="AG41" s="15">
        <v>-231944</v>
      </c>
      <c r="AH41" s="15">
        <v>0</v>
      </c>
      <c r="AI41" s="15">
        <v>0</v>
      </c>
      <c r="AJ41" s="15">
        <v>0</v>
      </c>
      <c r="AK41" s="15">
        <v>0</v>
      </c>
      <c r="AL41" s="15">
        <v>-100094</v>
      </c>
      <c r="AM41" s="15">
        <v>-89688</v>
      </c>
      <c r="AN41" s="15">
        <v>-38313</v>
      </c>
      <c r="AO41" s="15">
        <v>-102131</v>
      </c>
      <c r="AP41" s="15">
        <v>-25028</v>
      </c>
      <c r="AQ41" s="15">
        <v>0</v>
      </c>
      <c r="AR41" s="17">
        <f t="shared" si="8"/>
        <v>-2259080</v>
      </c>
      <c r="AS41" s="17">
        <f t="shared" si="0"/>
        <v>-52335.125</v>
      </c>
      <c r="AT41" s="14">
        <f>AR41/AR13</f>
        <v>-5.720280926493676E-2</v>
      </c>
    </row>
    <row r="42" spans="1:46" x14ac:dyDescent="0.15">
      <c r="A42" s="51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0</v>
      </c>
      <c r="AJ42" s="15">
        <v>0</v>
      </c>
      <c r="AK42" s="15">
        <v>0</v>
      </c>
      <c r="AL42" s="15">
        <v>0</v>
      </c>
      <c r="AM42" s="15">
        <v>0</v>
      </c>
      <c r="AN42" s="15">
        <v>0</v>
      </c>
      <c r="AO42" s="15">
        <v>0</v>
      </c>
      <c r="AP42" s="15">
        <v>0</v>
      </c>
      <c r="AQ42" s="15">
        <v>0</v>
      </c>
      <c r="AR42" s="17">
        <f t="shared" si="8"/>
        <v>0</v>
      </c>
      <c r="AS42" s="17">
        <f t="shared" si="0"/>
        <v>0</v>
      </c>
      <c r="AT42" s="14">
        <f>AR42/AR13</f>
        <v>0</v>
      </c>
    </row>
    <row r="43" spans="1:46" x14ac:dyDescent="0.15">
      <c r="A43" s="51"/>
      <c r="B43" s="12" t="s">
        <v>98</v>
      </c>
      <c r="C43" s="15">
        <v>-72956.800000000003</v>
      </c>
      <c r="D43" s="15">
        <v>0</v>
      </c>
      <c r="E43" s="15">
        <v>-66774.399999999994</v>
      </c>
      <c r="F43" s="15">
        <v>-62006.400000000001</v>
      </c>
      <c r="G43" s="15">
        <v>-37046.400000000001</v>
      </c>
      <c r="H43" s="15">
        <v>-39990.400000000001</v>
      </c>
      <c r="I43" s="15">
        <v>-79318.399999999994</v>
      </c>
      <c r="J43" s="15">
        <v>0</v>
      </c>
      <c r="K43" s="15">
        <v>-5564.8</v>
      </c>
      <c r="L43" s="15">
        <v>-34144</v>
      </c>
      <c r="M43" s="15">
        <v>-27532.799999999999</v>
      </c>
      <c r="N43" s="15">
        <v>-23219.200000000001</v>
      </c>
      <c r="O43" s="15">
        <v>-3616</v>
      </c>
      <c r="P43" s="15">
        <v>-31408</v>
      </c>
      <c r="Q43" s="15">
        <v>-45878.400000000001</v>
      </c>
      <c r="R43" s="15">
        <v>-35107.199999999997</v>
      </c>
      <c r="S43" s="15">
        <v>-21459.200000000001</v>
      </c>
      <c r="T43" s="15">
        <v>-27225.599999999999</v>
      </c>
      <c r="U43" s="15">
        <v>-74316.800000000003</v>
      </c>
      <c r="V43" s="15">
        <v>-45129.599999999999</v>
      </c>
      <c r="W43" s="15">
        <v>-52835.199999999997</v>
      </c>
      <c r="X43" s="15">
        <v>-33916.800000000003</v>
      </c>
      <c r="Y43" s="15">
        <v>-40499.199999999997</v>
      </c>
      <c r="Z43" s="15">
        <v>-32886.400000000001</v>
      </c>
      <c r="AA43" s="15">
        <v>0</v>
      </c>
      <c r="AB43" s="15">
        <v>0</v>
      </c>
      <c r="AC43" s="15">
        <v>0</v>
      </c>
      <c r="AD43" s="15">
        <v>0</v>
      </c>
      <c r="AE43" s="15">
        <v>-38464</v>
      </c>
      <c r="AF43" s="15">
        <v>-36201.599999999999</v>
      </c>
      <c r="AG43" s="15">
        <v>-85788.800000000003</v>
      </c>
      <c r="AH43" s="15">
        <v>-54582.400000000001</v>
      </c>
      <c r="AI43" s="15">
        <v>-14528</v>
      </c>
      <c r="AJ43" s="15">
        <v>-21590.400000000001</v>
      </c>
      <c r="AK43" s="15">
        <v>-7907.2</v>
      </c>
      <c r="AL43" s="15">
        <v>-38761.599999999999</v>
      </c>
      <c r="AM43" s="15">
        <v>-42902.400000000001</v>
      </c>
      <c r="AN43" s="15">
        <v>-20652.8</v>
      </c>
      <c r="AO43" s="15">
        <v>-56684.800000000003</v>
      </c>
      <c r="AP43" s="15">
        <v>-14243.2</v>
      </c>
      <c r="AQ43" s="15">
        <v>0</v>
      </c>
      <c r="AR43" s="17">
        <f>SUM(C43:AQ43)</f>
        <v>-1325139.1999999997</v>
      </c>
      <c r="AS43" s="17">
        <f>AVERAGE(B43:AQ43)</f>
        <v>-32320.468292682919</v>
      </c>
      <c r="AT43" s="14">
        <f>AR43/AR13</f>
        <v>-3.3554227786130139E-2</v>
      </c>
    </row>
    <row r="44" spans="1:46" x14ac:dyDescent="0.15">
      <c r="A44" s="51"/>
      <c r="B44" s="25" t="s">
        <v>99</v>
      </c>
      <c r="C44" s="26">
        <f t="shared" ref="C44:AR44" si="11">SUM(C40:C43)</f>
        <v>-10641.800000000003</v>
      </c>
      <c r="D44" s="26">
        <f t="shared" si="11"/>
        <v>0</v>
      </c>
      <c r="E44" s="26">
        <f t="shared" si="11"/>
        <v>8557.6000000000058</v>
      </c>
      <c r="F44" s="26">
        <f t="shared" si="11"/>
        <v>-7089.4000000000015</v>
      </c>
      <c r="G44" s="26">
        <f t="shared" si="11"/>
        <v>21108.6</v>
      </c>
      <c r="H44" s="26">
        <f t="shared" si="11"/>
        <v>29591.599999999999</v>
      </c>
      <c r="I44" s="26">
        <f t="shared" si="11"/>
        <v>45881.600000000006</v>
      </c>
      <c r="J44" s="26">
        <f t="shared" si="11"/>
        <v>0</v>
      </c>
      <c r="K44" s="26">
        <f t="shared" si="11"/>
        <v>12345.2</v>
      </c>
      <c r="L44" s="26">
        <f t="shared" si="11"/>
        <v>33873</v>
      </c>
      <c r="M44" s="26">
        <f t="shared" si="11"/>
        <v>21673.200000000001</v>
      </c>
      <c r="N44" s="26">
        <f t="shared" si="11"/>
        <v>16053.8</v>
      </c>
      <c r="O44" s="26">
        <f t="shared" si="11"/>
        <v>5447</v>
      </c>
      <c r="P44" s="26">
        <f t="shared" si="11"/>
        <v>24950</v>
      </c>
      <c r="Q44" s="26">
        <f t="shared" si="11"/>
        <v>42310.6</v>
      </c>
      <c r="R44" s="26">
        <f t="shared" si="11"/>
        <v>21012.800000000003</v>
      </c>
      <c r="S44" s="26">
        <f t="shared" si="11"/>
        <v>10480.799999999999</v>
      </c>
      <c r="T44" s="26">
        <f t="shared" si="11"/>
        <v>22285.4</v>
      </c>
      <c r="U44" s="26">
        <f t="shared" si="11"/>
        <v>83473.2</v>
      </c>
      <c r="V44" s="26">
        <f t="shared" si="11"/>
        <v>35227.4</v>
      </c>
      <c r="W44" s="26">
        <f t="shared" si="11"/>
        <v>47132.800000000003</v>
      </c>
      <c r="X44" s="26">
        <f t="shared" si="11"/>
        <v>38218.199999999997</v>
      </c>
      <c r="Y44" s="26">
        <f t="shared" si="11"/>
        <v>-15439.199999999997</v>
      </c>
      <c r="Z44" s="26">
        <f t="shared" si="11"/>
        <v>-31616.400000000001</v>
      </c>
      <c r="AA44" s="26">
        <f t="shared" si="11"/>
        <v>0</v>
      </c>
      <c r="AB44" s="26">
        <f t="shared" si="11"/>
        <v>0</v>
      </c>
      <c r="AC44" s="26">
        <f t="shared" si="11"/>
        <v>0</v>
      </c>
      <c r="AD44" s="26">
        <f t="shared" si="11"/>
        <v>0</v>
      </c>
      <c r="AE44" s="26">
        <f t="shared" si="11"/>
        <v>-38464</v>
      </c>
      <c r="AF44" s="26">
        <f t="shared" si="11"/>
        <v>-32321.599999999999</v>
      </c>
      <c r="AG44" s="26">
        <f t="shared" si="11"/>
        <v>-49642.8</v>
      </c>
      <c r="AH44" s="26">
        <f t="shared" si="11"/>
        <v>115987.6</v>
      </c>
      <c r="AI44" s="26">
        <f t="shared" si="11"/>
        <v>30872</v>
      </c>
      <c r="AJ44" s="26">
        <f t="shared" si="11"/>
        <v>45879.6</v>
      </c>
      <c r="AK44" s="26">
        <f t="shared" si="11"/>
        <v>16802.8</v>
      </c>
      <c r="AL44" s="26">
        <f t="shared" si="11"/>
        <v>-17725.599999999999</v>
      </c>
      <c r="AM44" s="26">
        <f t="shared" si="11"/>
        <v>1479.5999999999985</v>
      </c>
      <c r="AN44" s="26">
        <f t="shared" si="11"/>
        <v>5574.2000000000007</v>
      </c>
      <c r="AO44" s="26">
        <f t="shared" si="11"/>
        <v>18324.199999999997</v>
      </c>
      <c r="AP44" s="26">
        <f t="shared" si="11"/>
        <v>5238.7999999999993</v>
      </c>
      <c r="AQ44" s="26">
        <f t="shared" si="11"/>
        <v>0</v>
      </c>
      <c r="AR44" s="28">
        <f t="shared" si="11"/>
        <v>556840.80000000028</v>
      </c>
      <c r="AS44" s="28">
        <f>AVERAGE(B44:AQ44)</f>
        <v>13581.482926829269</v>
      </c>
      <c r="AT44" s="29">
        <f>AR44/AR13</f>
        <v>1.4099924780589804E-2</v>
      </c>
    </row>
    <row r="45" spans="1:46" x14ac:dyDescent="0.15">
      <c r="A45" s="51" t="s">
        <v>100</v>
      </c>
      <c r="B45" s="12" t="s">
        <v>101</v>
      </c>
      <c r="C45" s="15">
        <v>423261</v>
      </c>
      <c r="D45" s="15">
        <v>0</v>
      </c>
      <c r="E45" s="15">
        <v>405096</v>
      </c>
      <c r="F45" s="15">
        <v>397867</v>
      </c>
      <c r="G45" s="15">
        <v>346534</v>
      </c>
      <c r="H45" s="15">
        <v>331574</v>
      </c>
      <c r="I45" s="15">
        <v>312433</v>
      </c>
      <c r="J45" s="15">
        <v>0</v>
      </c>
      <c r="K45" s="15">
        <v>360672</v>
      </c>
      <c r="L45" s="15">
        <v>485520</v>
      </c>
      <c r="M45" s="15">
        <v>346800</v>
      </c>
      <c r="N45" s="15">
        <v>346800</v>
      </c>
      <c r="O45" s="15">
        <v>97104</v>
      </c>
      <c r="P45" s="15">
        <v>319056</v>
      </c>
      <c r="Q45" s="15">
        <v>291312</v>
      </c>
      <c r="R45" s="15">
        <v>388416</v>
      </c>
      <c r="S45" s="15">
        <v>291312</v>
      </c>
      <c r="T45" s="15">
        <v>360672</v>
      </c>
      <c r="U45" s="15">
        <v>319056</v>
      </c>
      <c r="V45" s="15">
        <v>319056</v>
      </c>
      <c r="W45" s="15">
        <v>360672</v>
      </c>
      <c r="X45" s="15">
        <v>235824</v>
      </c>
      <c r="Y45" s="15">
        <v>194208</v>
      </c>
      <c r="Z45" s="15">
        <v>221952</v>
      </c>
      <c r="AA45" s="15">
        <v>0</v>
      </c>
      <c r="AB45" s="15">
        <v>0</v>
      </c>
      <c r="AC45" s="15">
        <v>0</v>
      </c>
      <c r="AD45" s="15">
        <v>0</v>
      </c>
      <c r="AE45" s="15">
        <v>291312</v>
      </c>
      <c r="AF45" s="15">
        <v>263568</v>
      </c>
      <c r="AG45" s="15">
        <v>305184</v>
      </c>
      <c r="AH45" s="15">
        <v>319056</v>
      </c>
      <c r="AI45" s="15">
        <v>443904</v>
      </c>
      <c r="AJ45" s="15">
        <v>305184</v>
      </c>
      <c r="AK45" s="15">
        <v>249696</v>
      </c>
      <c r="AL45" s="15">
        <v>367035</v>
      </c>
      <c r="AM45" s="15">
        <v>163127</v>
      </c>
      <c r="AN45" s="15">
        <v>224298</v>
      </c>
      <c r="AO45" s="15">
        <v>387426</v>
      </c>
      <c r="AP45" s="15">
        <v>81563</v>
      </c>
      <c r="AQ45" s="15">
        <v>0</v>
      </c>
      <c r="AR45" s="17">
        <f t="shared" ref="AR45:AR60" si="12">SUM(C45:AQ45)</f>
        <v>10556550</v>
      </c>
      <c r="AS45" s="17">
        <f t="shared" ref="AS45:AS60" si="13">AVERAGE(D45:AQ45)</f>
        <v>253332.22500000001</v>
      </c>
      <c r="AT45" s="14">
        <f>AR45/AR13</f>
        <v>0.26730541465807683</v>
      </c>
    </row>
    <row r="46" spans="1:46" x14ac:dyDescent="0.15">
      <c r="A46" s="51"/>
      <c r="B46" s="12" t="s">
        <v>102</v>
      </c>
      <c r="C46" s="15">
        <v>16000</v>
      </c>
      <c r="D46" s="15">
        <v>0</v>
      </c>
      <c r="E46" s="15">
        <v>13500</v>
      </c>
      <c r="F46" s="15">
        <v>14333</v>
      </c>
      <c r="G46" s="15">
        <v>24000</v>
      </c>
      <c r="H46" s="15">
        <v>14333</v>
      </c>
      <c r="I46" s="15">
        <v>0</v>
      </c>
      <c r="J46" s="15">
        <v>0</v>
      </c>
      <c r="K46" s="15">
        <v>20262</v>
      </c>
      <c r="L46" s="15">
        <v>27275</v>
      </c>
      <c r="M46" s="15">
        <v>19482</v>
      </c>
      <c r="N46" s="15">
        <v>19482</v>
      </c>
      <c r="O46" s="15">
        <v>5455</v>
      </c>
      <c r="P46" s="15">
        <v>17924</v>
      </c>
      <c r="Q46" s="15">
        <v>16366</v>
      </c>
      <c r="R46" s="15">
        <v>21820</v>
      </c>
      <c r="S46" s="15">
        <v>16365</v>
      </c>
      <c r="T46" s="15">
        <v>20262</v>
      </c>
      <c r="U46" s="15">
        <v>17924</v>
      </c>
      <c r="V46" s="15">
        <v>17924</v>
      </c>
      <c r="W46" s="15">
        <v>20262</v>
      </c>
      <c r="X46" s="15">
        <v>13248</v>
      </c>
      <c r="Y46" s="15">
        <v>10911</v>
      </c>
      <c r="Z46" s="15">
        <v>12469</v>
      </c>
      <c r="AA46" s="15">
        <v>0</v>
      </c>
      <c r="AB46" s="15">
        <v>0</v>
      </c>
      <c r="AC46" s="15">
        <v>0</v>
      </c>
      <c r="AD46" s="15">
        <v>0</v>
      </c>
      <c r="AE46" s="15">
        <v>16365</v>
      </c>
      <c r="AF46" s="15">
        <v>14807</v>
      </c>
      <c r="AG46" s="15">
        <v>17144</v>
      </c>
      <c r="AH46" s="15">
        <v>17924</v>
      </c>
      <c r="AI46" s="15">
        <v>24936</v>
      </c>
      <c r="AJ46" s="15">
        <v>17145</v>
      </c>
      <c r="AK46" s="15">
        <v>14027</v>
      </c>
      <c r="AL46" s="15">
        <v>24948</v>
      </c>
      <c r="AM46" s="15">
        <v>11088</v>
      </c>
      <c r="AN46" s="15">
        <v>15246</v>
      </c>
      <c r="AO46" s="15">
        <v>26332</v>
      </c>
      <c r="AP46" s="15">
        <v>5544</v>
      </c>
      <c r="AQ46" s="15">
        <v>0</v>
      </c>
      <c r="AR46" s="17">
        <f t="shared" si="12"/>
        <v>565103</v>
      </c>
      <c r="AS46" s="17">
        <f t="shared" si="13"/>
        <v>13727.575000000001</v>
      </c>
      <c r="AT46" s="14">
        <f>AR46/AR13</f>
        <v>1.4309134304249321E-2</v>
      </c>
    </row>
    <row r="47" spans="1:46" x14ac:dyDescent="0.15">
      <c r="A47" s="51"/>
      <c r="B47" s="12" t="s">
        <v>103</v>
      </c>
      <c r="C47" s="15">
        <v>64744</v>
      </c>
      <c r="D47" s="15">
        <v>0</v>
      </c>
      <c r="E47" s="15">
        <v>64365</v>
      </c>
      <c r="F47" s="15">
        <v>64491</v>
      </c>
      <c r="G47" s="15">
        <v>62926</v>
      </c>
      <c r="H47" s="15">
        <v>64491</v>
      </c>
      <c r="I47" s="15">
        <v>50200</v>
      </c>
      <c r="J47" s="15">
        <v>0</v>
      </c>
      <c r="K47" s="15">
        <v>66099</v>
      </c>
      <c r="L47" s="15">
        <v>88978</v>
      </c>
      <c r="M47" s="15">
        <v>63557</v>
      </c>
      <c r="N47" s="15">
        <v>63557</v>
      </c>
      <c r="O47" s="15">
        <v>17796</v>
      </c>
      <c r="P47" s="15">
        <v>58472</v>
      </c>
      <c r="Q47" s="15">
        <v>53388</v>
      </c>
      <c r="R47" s="15">
        <v>71182</v>
      </c>
      <c r="S47" s="15">
        <v>53388</v>
      </c>
      <c r="T47" s="15">
        <v>66099</v>
      </c>
      <c r="U47" s="15">
        <v>58472</v>
      </c>
      <c r="V47" s="15">
        <v>58473</v>
      </c>
      <c r="W47" s="15">
        <v>66098</v>
      </c>
      <c r="X47" s="15">
        <v>43219</v>
      </c>
      <c r="Y47" s="15">
        <v>35592</v>
      </c>
      <c r="Z47" s="15">
        <v>40677</v>
      </c>
      <c r="AA47" s="15">
        <v>0</v>
      </c>
      <c r="AB47" s="15">
        <v>0</v>
      </c>
      <c r="AC47" s="15">
        <v>0</v>
      </c>
      <c r="AD47" s="15">
        <v>0</v>
      </c>
      <c r="AE47" s="15">
        <v>53388</v>
      </c>
      <c r="AF47" s="15">
        <v>48303</v>
      </c>
      <c r="AG47" s="15">
        <v>55929</v>
      </c>
      <c r="AH47" s="15">
        <v>58472</v>
      </c>
      <c r="AI47" s="15">
        <v>81352</v>
      </c>
      <c r="AJ47" s="15">
        <v>55931</v>
      </c>
      <c r="AK47" s="15">
        <v>45761</v>
      </c>
      <c r="AL47" s="15">
        <v>63813</v>
      </c>
      <c r="AM47" s="15">
        <v>28361</v>
      </c>
      <c r="AN47" s="15">
        <v>38998</v>
      </c>
      <c r="AO47" s="15">
        <v>67357</v>
      </c>
      <c r="AP47" s="15">
        <v>14181</v>
      </c>
      <c r="AQ47" s="15">
        <v>0</v>
      </c>
      <c r="AR47" s="17">
        <f t="shared" si="12"/>
        <v>1888110</v>
      </c>
      <c r="AS47" s="17">
        <f t="shared" si="13"/>
        <v>45584.15</v>
      </c>
      <c r="AT47" s="14">
        <f>AR47/AR13</f>
        <v>4.7809372045797292E-2</v>
      </c>
    </row>
    <row r="48" spans="1:46" x14ac:dyDescent="0.15">
      <c r="A48" s="51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0</v>
      </c>
      <c r="J48" s="15">
        <v>0</v>
      </c>
      <c r="K48" s="15">
        <v>3740</v>
      </c>
      <c r="L48" s="15">
        <v>5035</v>
      </c>
      <c r="M48" s="15">
        <v>3596</v>
      </c>
      <c r="N48" s="15">
        <v>3596</v>
      </c>
      <c r="O48" s="15">
        <v>1007</v>
      </c>
      <c r="P48" s="15">
        <v>3308</v>
      </c>
      <c r="Q48" s="15">
        <v>3022</v>
      </c>
      <c r="R48" s="15">
        <v>4028</v>
      </c>
      <c r="S48" s="15">
        <v>3021</v>
      </c>
      <c r="T48" s="15">
        <v>3740</v>
      </c>
      <c r="U48" s="15">
        <v>3309</v>
      </c>
      <c r="V48" s="15">
        <v>3308</v>
      </c>
      <c r="W48" s="15">
        <v>3741</v>
      </c>
      <c r="X48" s="15">
        <v>2446</v>
      </c>
      <c r="Y48" s="15">
        <v>2015</v>
      </c>
      <c r="Z48" s="15">
        <v>2301</v>
      </c>
      <c r="AA48" s="15">
        <v>0</v>
      </c>
      <c r="AB48" s="15">
        <v>0</v>
      </c>
      <c r="AC48" s="15">
        <v>0</v>
      </c>
      <c r="AD48" s="15">
        <v>0</v>
      </c>
      <c r="AE48" s="15">
        <v>3021</v>
      </c>
      <c r="AF48" s="15">
        <v>2733</v>
      </c>
      <c r="AG48" s="15">
        <v>3164</v>
      </c>
      <c r="AH48" s="15">
        <v>3308</v>
      </c>
      <c r="AI48" s="15">
        <v>4597</v>
      </c>
      <c r="AJ48" s="15">
        <v>3166</v>
      </c>
      <c r="AK48" s="15">
        <v>2586</v>
      </c>
      <c r="AL48" s="15">
        <v>2842</v>
      </c>
      <c r="AM48" s="15">
        <v>1263</v>
      </c>
      <c r="AN48" s="15">
        <v>1738</v>
      </c>
      <c r="AO48" s="15">
        <v>2999</v>
      </c>
      <c r="AP48" s="15">
        <v>632</v>
      </c>
      <c r="AQ48" s="15">
        <v>0</v>
      </c>
      <c r="AR48" s="17">
        <f t="shared" si="12"/>
        <v>113262</v>
      </c>
      <c r="AS48" s="17">
        <f t="shared" si="13"/>
        <v>2681.55</v>
      </c>
      <c r="AT48" s="14">
        <f>AR48/AR13</f>
        <v>2.8679394191287017E-3</v>
      </c>
    </row>
    <row r="49" spans="1:46" x14ac:dyDescent="0.15">
      <c r="A49" s="51"/>
      <c r="B49" s="25" t="s">
        <v>105</v>
      </c>
      <c r="C49" s="26">
        <f t="shared" ref="C49:AQ49" si="14">SUM(C45:C48)</f>
        <v>510005</v>
      </c>
      <c r="D49" s="26">
        <f t="shared" si="14"/>
        <v>0</v>
      </c>
      <c r="E49" s="26">
        <f t="shared" si="14"/>
        <v>488961</v>
      </c>
      <c r="F49" s="26">
        <f t="shared" si="14"/>
        <v>482691</v>
      </c>
      <c r="G49" s="26">
        <f t="shared" si="14"/>
        <v>439460</v>
      </c>
      <c r="H49" s="26">
        <f t="shared" si="14"/>
        <v>416398</v>
      </c>
      <c r="I49" s="26">
        <f t="shared" si="14"/>
        <v>362633</v>
      </c>
      <c r="J49" s="26">
        <f t="shared" si="14"/>
        <v>0</v>
      </c>
      <c r="K49" s="26">
        <f t="shared" si="14"/>
        <v>450773</v>
      </c>
      <c r="L49" s="26">
        <f t="shared" si="14"/>
        <v>606808</v>
      </c>
      <c r="M49" s="26">
        <f t="shared" si="14"/>
        <v>433435</v>
      </c>
      <c r="N49" s="26">
        <f t="shared" si="14"/>
        <v>433435</v>
      </c>
      <c r="O49" s="26">
        <f t="shared" si="14"/>
        <v>121362</v>
      </c>
      <c r="P49" s="26">
        <f t="shared" si="14"/>
        <v>398760</v>
      </c>
      <c r="Q49" s="26">
        <f t="shared" si="14"/>
        <v>364088</v>
      </c>
      <c r="R49" s="26">
        <f t="shared" si="14"/>
        <v>485446</v>
      </c>
      <c r="S49" s="26">
        <f t="shared" si="14"/>
        <v>364086</v>
      </c>
      <c r="T49" s="26">
        <f t="shared" si="14"/>
        <v>450773</v>
      </c>
      <c r="U49" s="26">
        <f t="shared" si="14"/>
        <v>398761</v>
      </c>
      <c r="V49" s="26">
        <f t="shared" si="14"/>
        <v>398761</v>
      </c>
      <c r="W49" s="26">
        <f t="shared" si="14"/>
        <v>450773</v>
      </c>
      <c r="X49" s="26">
        <f t="shared" si="14"/>
        <v>294737</v>
      </c>
      <c r="Y49" s="26">
        <f t="shared" si="14"/>
        <v>242726</v>
      </c>
      <c r="Z49" s="26">
        <f t="shared" si="14"/>
        <v>277399</v>
      </c>
      <c r="AA49" s="26">
        <f t="shared" si="14"/>
        <v>0</v>
      </c>
      <c r="AB49" s="26">
        <f t="shared" si="14"/>
        <v>0</v>
      </c>
      <c r="AC49" s="26">
        <f t="shared" si="14"/>
        <v>0</v>
      </c>
      <c r="AD49" s="26">
        <f t="shared" si="14"/>
        <v>0</v>
      </c>
      <c r="AE49" s="26">
        <f t="shared" si="14"/>
        <v>364086</v>
      </c>
      <c r="AF49" s="26">
        <f t="shared" si="14"/>
        <v>329411</v>
      </c>
      <c r="AG49" s="26">
        <f t="shared" si="14"/>
        <v>381421</v>
      </c>
      <c r="AH49" s="26">
        <f t="shared" si="14"/>
        <v>398760</v>
      </c>
      <c r="AI49" s="26">
        <f t="shared" si="14"/>
        <v>554789</v>
      </c>
      <c r="AJ49" s="26">
        <f t="shared" si="14"/>
        <v>381426</v>
      </c>
      <c r="AK49" s="26">
        <f t="shared" si="14"/>
        <v>312070</v>
      </c>
      <c r="AL49" s="26">
        <f t="shared" si="14"/>
        <v>458638</v>
      </c>
      <c r="AM49" s="26">
        <f t="shared" si="14"/>
        <v>203839</v>
      </c>
      <c r="AN49" s="26">
        <f t="shared" si="14"/>
        <v>280280</v>
      </c>
      <c r="AO49" s="26">
        <f t="shared" si="14"/>
        <v>484114</v>
      </c>
      <c r="AP49" s="26">
        <f t="shared" si="14"/>
        <v>101920</v>
      </c>
      <c r="AQ49" s="26">
        <f t="shared" si="14"/>
        <v>0</v>
      </c>
      <c r="AR49" s="28">
        <f t="shared" si="12"/>
        <v>13123025</v>
      </c>
      <c r="AS49" s="28">
        <f t="shared" si="13"/>
        <v>315325.5</v>
      </c>
      <c r="AT49" s="29">
        <f>AR49/AR13</f>
        <v>0.33229186042725212</v>
      </c>
    </row>
    <row r="50" spans="1:46" x14ac:dyDescent="0.15">
      <c r="A50" s="51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6500</v>
      </c>
      <c r="T50" s="15">
        <v>6500</v>
      </c>
      <c r="U50" s="15">
        <v>6500</v>
      </c>
      <c r="V50" s="15">
        <v>6500</v>
      </c>
      <c r="W50" s="15">
        <v>6500</v>
      </c>
      <c r="X50" s="15">
        <v>6500</v>
      </c>
      <c r="Y50" s="15">
        <v>6500</v>
      </c>
      <c r="Z50" s="15">
        <v>6500</v>
      </c>
      <c r="AA50" s="15">
        <v>0</v>
      </c>
      <c r="AB50" s="15">
        <v>0</v>
      </c>
      <c r="AC50" s="15">
        <v>6500</v>
      </c>
      <c r="AD50" s="15">
        <v>6500</v>
      </c>
      <c r="AE50" s="15">
        <v>21428.571428571428</v>
      </c>
      <c r="AF50" s="15">
        <v>21428.571428571428</v>
      </c>
      <c r="AG50" s="15">
        <v>21428.571428571428</v>
      </c>
      <c r="AH50" s="15">
        <v>21428.571428571428</v>
      </c>
      <c r="AI50" s="15">
        <v>21428.571428571428</v>
      </c>
      <c r="AJ50" s="15">
        <v>21428.571428571428</v>
      </c>
      <c r="AK50" s="15">
        <v>21428.571428571428</v>
      </c>
      <c r="AL50" s="15">
        <v>59400</v>
      </c>
      <c r="AM50" s="15">
        <v>59400</v>
      </c>
      <c r="AN50" s="15">
        <v>59400</v>
      </c>
      <c r="AO50" s="15">
        <v>59400</v>
      </c>
      <c r="AP50" s="15">
        <v>59400</v>
      </c>
      <c r="AQ50" s="15">
        <v>0</v>
      </c>
      <c r="AR50" s="17">
        <f t="shared" si="12"/>
        <v>564000</v>
      </c>
      <c r="AS50" s="17">
        <f t="shared" si="13"/>
        <v>14100</v>
      </c>
      <c r="AT50" s="14">
        <f>AR50/AR13</f>
        <v>1.4281204926529531E-2</v>
      </c>
    </row>
    <row r="51" spans="1:46" x14ac:dyDescent="0.15">
      <c r="A51" s="51"/>
      <c r="B51" s="12" t="s">
        <v>108</v>
      </c>
      <c r="C51" s="15">
        <v>0</v>
      </c>
      <c r="D51" s="15">
        <v>1322778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15">
        <v>0</v>
      </c>
      <c r="AN51" s="15">
        <v>0</v>
      </c>
      <c r="AO51" s="15">
        <v>0</v>
      </c>
      <c r="AP51" s="15">
        <v>0</v>
      </c>
      <c r="AQ51" s="15">
        <v>0</v>
      </c>
      <c r="AR51" s="17">
        <f t="shared" si="12"/>
        <v>1322778</v>
      </c>
      <c r="AS51" s="17">
        <f t="shared" si="13"/>
        <v>33069.449999999997</v>
      </c>
      <c r="AT51" s="14">
        <f>AR51/AR13</f>
        <v>3.3494439167207235E-2</v>
      </c>
    </row>
    <row r="52" spans="1:46" x14ac:dyDescent="0.15">
      <c r="A52" s="51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130000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0</v>
      </c>
      <c r="AM52" s="15">
        <v>0</v>
      </c>
      <c r="AN52" s="15">
        <v>0</v>
      </c>
      <c r="AO52" s="15">
        <v>0</v>
      </c>
      <c r="AP52" s="15">
        <v>0</v>
      </c>
      <c r="AQ52" s="15">
        <v>0</v>
      </c>
      <c r="AR52" s="17">
        <f t="shared" si="12"/>
        <v>130000</v>
      </c>
      <c r="AS52" s="17">
        <f t="shared" si="13"/>
        <v>3250</v>
      </c>
      <c r="AT52" s="14">
        <f>AR52/AR13</f>
        <v>3.2917670929943953E-3</v>
      </c>
    </row>
    <row r="53" spans="1:46" x14ac:dyDescent="0.15">
      <c r="A53" s="51"/>
      <c r="B53" s="12" t="s">
        <v>110</v>
      </c>
      <c r="C53" s="15">
        <v>99066.571428571435</v>
      </c>
      <c r="D53" s="15">
        <v>0</v>
      </c>
      <c r="E53" s="15">
        <v>99066.571428571435</v>
      </c>
      <c r="F53" s="15">
        <v>99066.571428571435</v>
      </c>
      <c r="G53" s="15">
        <v>99066.571428571435</v>
      </c>
      <c r="H53" s="15">
        <v>99066.571428571435</v>
      </c>
      <c r="I53" s="15">
        <v>99066.571428571435</v>
      </c>
      <c r="J53" s="15">
        <v>99066.571428571435</v>
      </c>
      <c r="K53" s="15">
        <v>90074.444444444438</v>
      </c>
      <c r="L53" s="15">
        <v>90074.444444444438</v>
      </c>
      <c r="M53" s="15">
        <v>90074.444444444438</v>
      </c>
      <c r="N53" s="15">
        <v>90074.444444444438</v>
      </c>
      <c r="O53" s="15">
        <v>90074.444444444438</v>
      </c>
      <c r="P53" s="15">
        <v>90074.444444444438</v>
      </c>
      <c r="Q53" s="15">
        <v>90074.444444444438</v>
      </c>
      <c r="R53" s="15">
        <v>90074.444444444438</v>
      </c>
      <c r="S53" s="15">
        <v>90074.444444444438</v>
      </c>
      <c r="T53" s="15">
        <v>90074.444444444438</v>
      </c>
      <c r="U53" s="15">
        <v>90074.444444444438</v>
      </c>
      <c r="V53" s="15">
        <v>90074.444444444438</v>
      </c>
      <c r="W53" s="15">
        <v>90074.444444444438</v>
      </c>
      <c r="X53" s="15">
        <v>90074.444444444438</v>
      </c>
      <c r="Y53" s="15">
        <v>90074.444444444438</v>
      </c>
      <c r="Z53" s="15">
        <v>90074.444444444438</v>
      </c>
      <c r="AA53" s="15">
        <v>0</v>
      </c>
      <c r="AB53" s="15">
        <v>0</v>
      </c>
      <c r="AC53" s="15">
        <v>90074.444444444438</v>
      </c>
      <c r="AD53" s="15">
        <v>90074.444444444438</v>
      </c>
      <c r="AE53" s="15">
        <v>99476.857142857145</v>
      </c>
      <c r="AF53" s="15">
        <v>99476.857142857145</v>
      </c>
      <c r="AG53" s="15">
        <v>99476.857142857145</v>
      </c>
      <c r="AH53" s="15">
        <v>99476.857142857145</v>
      </c>
      <c r="AI53" s="15">
        <v>99476.857142857145</v>
      </c>
      <c r="AJ53" s="15">
        <v>99476.857142857145</v>
      </c>
      <c r="AK53" s="15">
        <v>99476.857142857145</v>
      </c>
      <c r="AL53" s="15">
        <v>82665.8</v>
      </c>
      <c r="AM53" s="15">
        <v>82665.8</v>
      </c>
      <c r="AN53" s="15">
        <v>82665.8</v>
      </c>
      <c r="AO53" s="15">
        <v>82665.8</v>
      </c>
      <c r="AP53" s="15">
        <v>82665.8</v>
      </c>
      <c r="AQ53" s="15">
        <v>0</v>
      </c>
      <c r="AR53" s="17">
        <f t="shared" si="12"/>
        <v>3424473.0000000009</v>
      </c>
      <c r="AS53" s="17">
        <f t="shared" si="13"/>
        <v>83135.160714285739</v>
      </c>
      <c r="AT53" s="14">
        <f>AR53/AR13</f>
        <v>8.6712057940367682E-2</v>
      </c>
    </row>
    <row r="54" spans="1:46" x14ac:dyDescent="0.15">
      <c r="A54" s="51"/>
      <c r="B54" s="12" t="s">
        <v>111</v>
      </c>
      <c r="C54" s="15">
        <v>60810.571428571428</v>
      </c>
      <c r="D54" s="15">
        <v>0</v>
      </c>
      <c r="E54" s="15">
        <v>60810.571428571428</v>
      </c>
      <c r="F54" s="15">
        <v>60810.571428571428</v>
      </c>
      <c r="G54" s="15">
        <v>60810.571428571428</v>
      </c>
      <c r="H54" s="15">
        <v>60810.571428571428</v>
      </c>
      <c r="I54" s="15">
        <v>60810.571428571428</v>
      </c>
      <c r="J54" s="15">
        <v>60810.571428571428</v>
      </c>
      <c r="K54" s="15">
        <v>67419.111111111109</v>
      </c>
      <c r="L54" s="15">
        <v>67419.111111111109</v>
      </c>
      <c r="M54" s="15">
        <v>67419.111111111109</v>
      </c>
      <c r="N54" s="15">
        <v>67419.111111111109</v>
      </c>
      <c r="O54" s="15">
        <v>67419.111111111109</v>
      </c>
      <c r="P54" s="15">
        <v>67419.111111111109</v>
      </c>
      <c r="Q54" s="15">
        <v>67419.111111111109</v>
      </c>
      <c r="R54" s="15">
        <v>67419.111111111109</v>
      </c>
      <c r="S54" s="15">
        <v>67419.111111111109</v>
      </c>
      <c r="T54" s="15">
        <v>67419.111111111109</v>
      </c>
      <c r="U54" s="15">
        <v>67419.111111111109</v>
      </c>
      <c r="V54" s="15">
        <v>67419.111111111109</v>
      </c>
      <c r="W54" s="15">
        <v>67419.111111111109</v>
      </c>
      <c r="X54" s="15">
        <v>67419.111111111109</v>
      </c>
      <c r="Y54" s="15">
        <v>67419.111111111109</v>
      </c>
      <c r="Z54" s="15">
        <v>67419.111111111109</v>
      </c>
      <c r="AA54" s="15">
        <v>0</v>
      </c>
      <c r="AB54" s="15">
        <v>0</v>
      </c>
      <c r="AC54" s="15">
        <v>67419.111111111109</v>
      </c>
      <c r="AD54" s="15">
        <v>67419.111111111109</v>
      </c>
      <c r="AE54" s="15">
        <v>67419.142857142855</v>
      </c>
      <c r="AF54" s="15">
        <v>67419.142857142855</v>
      </c>
      <c r="AG54" s="15">
        <v>67419.142857142855</v>
      </c>
      <c r="AH54" s="15">
        <v>67419.142857142855</v>
      </c>
      <c r="AI54" s="15">
        <v>67419.142857142855</v>
      </c>
      <c r="AJ54" s="15">
        <v>67419.142857142855</v>
      </c>
      <c r="AK54" s="15">
        <v>67419.142857142855</v>
      </c>
      <c r="AL54" s="15">
        <v>31001.4</v>
      </c>
      <c r="AM54" s="15">
        <v>31001.4</v>
      </c>
      <c r="AN54" s="15">
        <v>31001.4</v>
      </c>
      <c r="AO54" s="15">
        <v>31001.4</v>
      </c>
      <c r="AP54" s="15">
        <v>31001.4</v>
      </c>
      <c r="AQ54" s="15">
        <v>0</v>
      </c>
      <c r="AR54" s="17">
        <f t="shared" si="12"/>
        <v>2266158.9999999995</v>
      </c>
      <c r="AS54" s="17">
        <f t="shared" si="13"/>
        <v>55133.710714285706</v>
      </c>
      <c r="AT54" s="14">
        <f>AR54/AR13</f>
        <v>5.7382058643792956E-2</v>
      </c>
    </row>
    <row r="55" spans="1:46" x14ac:dyDescent="0.15">
      <c r="A55" s="51"/>
      <c r="B55" s="25" t="s">
        <v>112</v>
      </c>
      <c r="C55" s="26">
        <f t="shared" ref="C55:AQ55" si="15">SUM(C50:C54)</f>
        <v>159877.14285714287</v>
      </c>
      <c r="D55" s="26">
        <f t="shared" si="15"/>
        <v>1322778</v>
      </c>
      <c r="E55" s="26">
        <f t="shared" si="15"/>
        <v>159877.14285714287</v>
      </c>
      <c r="F55" s="26">
        <f t="shared" si="15"/>
        <v>159877.14285714287</v>
      </c>
      <c r="G55" s="26">
        <f t="shared" si="15"/>
        <v>159877.14285714287</v>
      </c>
      <c r="H55" s="26">
        <f t="shared" si="15"/>
        <v>159877.14285714287</v>
      </c>
      <c r="I55" s="26">
        <f t="shared" si="15"/>
        <v>159877.14285714287</v>
      </c>
      <c r="J55" s="26">
        <f t="shared" si="15"/>
        <v>159877.14285714287</v>
      </c>
      <c r="K55" s="26">
        <f t="shared" si="15"/>
        <v>163993.55555555556</v>
      </c>
      <c r="L55" s="26">
        <f t="shared" si="15"/>
        <v>163993.55555555556</v>
      </c>
      <c r="M55" s="26">
        <f t="shared" si="15"/>
        <v>163993.55555555556</v>
      </c>
      <c r="N55" s="26">
        <f t="shared" si="15"/>
        <v>293993.55555555556</v>
      </c>
      <c r="O55" s="26">
        <f t="shared" si="15"/>
        <v>163993.55555555556</v>
      </c>
      <c r="P55" s="26">
        <f t="shared" si="15"/>
        <v>163993.55555555556</v>
      </c>
      <c r="Q55" s="26">
        <f t="shared" si="15"/>
        <v>163993.55555555556</v>
      </c>
      <c r="R55" s="26">
        <f t="shared" si="15"/>
        <v>163993.55555555556</v>
      </c>
      <c r="S55" s="26">
        <f t="shared" si="15"/>
        <v>163993.55555555556</v>
      </c>
      <c r="T55" s="26">
        <f t="shared" si="15"/>
        <v>163993.55555555556</v>
      </c>
      <c r="U55" s="26">
        <f t="shared" si="15"/>
        <v>163993.55555555556</v>
      </c>
      <c r="V55" s="26">
        <f t="shared" si="15"/>
        <v>163993.55555555556</v>
      </c>
      <c r="W55" s="26">
        <f t="shared" si="15"/>
        <v>163993.55555555556</v>
      </c>
      <c r="X55" s="26">
        <f t="shared" si="15"/>
        <v>163993.55555555556</v>
      </c>
      <c r="Y55" s="26">
        <f t="shared" si="15"/>
        <v>163993.55555555556</v>
      </c>
      <c r="Z55" s="26">
        <f t="shared" si="15"/>
        <v>163993.55555555556</v>
      </c>
      <c r="AA55" s="26">
        <f t="shared" si="15"/>
        <v>0</v>
      </c>
      <c r="AB55" s="26">
        <f t="shared" si="15"/>
        <v>0</v>
      </c>
      <c r="AC55" s="26">
        <f t="shared" si="15"/>
        <v>163993.55555555556</v>
      </c>
      <c r="AD55" s="26">
        <f t="shared" si="15"/>
        <v>163993.55555555556</v>
      </c>
      <c r="AE55" s="26">
        <f t="shared" si="15"/>
        <v>188324.57142857142</v>
      </c>
      <c r="AF55" s="26">
        <f t="shared" si="15"/>
        <v>188324.57142857142</v>
      </c>
      <c r="AG55" s="26">
        <f t="shared" si="15"/>
        <v>188324.57142857142</v>
      </c>
      <c r="AH55" s="26">
        <f t="shared" si="15"/>
        <v>188324.57142857142</v>
      </c>
      <c r="AI55" s="26">
        <f t="shared" si="15"/>
        <v>188324.57142857142</v>
      </c>
      <c r="AJ55" s="26">
        <f t="shared" si="15"/>
        <v>188324.57142857142</v>
      </c>
      <c r="AK55" s="26">
        <f t="shared" si="15"/>
        <v>188324.57142857142</v>
      </c>
      <c r="AL55" s="26">
        <f t="shared" si="15"/>
        <v>173067.19999999998</v>
      </c>
      <c r="AM55" s="26">
        <f t="shared" si="15"/>
        <v>173067.19999999998</v>
      </c>
      <c r="AN55" s="26">
        <f t="shared" si="15"/>
        <v>173067.19999999998</v>
      </c>
      <c r="AO55" s="26">
        <f t="shared" si="15"/>
        <v>173067.19999999998</v>
      </c>
      <c r="AP55" s="26">
        <f t="shared" si="15"/>
        <v>173067.19999999998</v>
      </c>
      <c r="AQ55" s="26">
        <f t="shared" si="15"/>
        <v>0</v>
      </c>
      <c r="AR55" s="28">
        <f t="shared" si="12"/>
        <v>7707410.0000000065</v>
      </c>
      <c r="AS55" s="28">
        <f t="shared" si="13"/>
        <v>188688.32142857159</v>
      </c>
      <c r="AT55" s="29">
        <f>AR55/AR13</f>
        <v>0.19516152777089196</v>
      </c>
    </row>
    <row r="56" spans="1:46" x14ac:dyDescent="0.15">
      <c r="A56" s="48" t="s">
        <v>113</v>
      </c>
      <c r="B56" s="48"/>
      <c r="C56" s="15">
        <f t="shared" ref="C56:AQ56" si="16">SUM(C49+C22+C27+C33+C39+C44+C55)</f>
        <v>955928.05714285711</v>
      </c>
      <c r="D56" s="15">
        <f t="shared" si="16"/>
        <v>1322778</v>
      </c>
      <c r="E56" s="15">
        <f t="shared" si="16"/>
        <v>975111.88571428566</v>
      </c>
      <c r="F56" s="15">
        <f t="shared" si="16"/>
        <v>1263988.1714285717</v>
      </c>
      <c r="G56" s="15">
        <f t="shared" si="16"/>
        <v>767037.11428571423</v>
      </c>
      <c r="H56" s="15">
        <f t="shared" si="16"/>
        <v>782989.54285714286</v>
      </c>
      <c r="I56" s="15">
        <f t="shared" si="16"/>
        <v>869106.48571428563</v>
      </c>
      <c r="J56" s="15">
        <f t="shared" si="16"/>
        <v>621196.14285714284</v>
      </c>
      <c r="K56" s="15">
        <f t="shared" si="16"/>
        <v>857603.75555555546</v>
      </c>
      <c r="L56" s="15">
        <f t="shared" si="16"/>
        <v>1098207.9841269841</v>
      </c>
      <c r="M56" s="15">
        <f t="shared" si="16"/>
        <v>830819.61269841273</v>
      </c>
      <c r="N56" s="15">
        <f t="shared" si="16"/>
        <v>1009684.3555555556</v>
      </c>
      <c r="O56" s="15">
        <f t="shared" si="16"/>
        <v>574890.69841269846</v>
      </c>
      <c r="P56" s="15">
        <f t="shared" si="16"/>
        <v>1131938.6984126985</v>
      </c>
      <c r="Q56" s="15">
        <f t="shared" si="16"/>
        <v>1173367.3555555556</v>
      </c>
      <c r="R56" s="15">
        <f t="shared" si="16"/>
        <v>972824.49841269851</v>
      </c>
      <c r="S56" s="15">
        <f t="shared" si="16"/>
        <v>784963.35555555555</v>
      </c>
      <c r="T56" s="15">
        <f t="shared" si="16"/>
        <v>1023929.66984127</v>
      </c>
      <c r="U56" s="15">
        <f t="shared" si="16"/>
        <v>1229444.0412698411</v>
      </c>
      <c r="V56" s="15">
        <f t="shared" si="16"/>
        <v>924412.38412698405</v>
      </c>
      <c r="W56" s="15">
        <f t="shared" si="16"/>
        <v>1163130.6412698412</v>
      </c>
      <c r="X56" s="15">
        <f t="shared" si="16"/>
        <v>1107363.1841269841</v>
      </c>
      <c r="Y56" s="15">
        <f t="shared" si="16"/>
        <v>775096.92698412691</v>
      </c>
      <c r="Z56" s="15">
        <f t="shared" si="16"/>
        <v>659975.29841269832</v>
      </c>
      <c r="AA56" s="15">
        <f t="shared" si="16"/>
        <v>0</v>
      </c>
      <c r="AB56" s="15">
        <f t="shared" si="16"/>
        <v>0</v>
      </c>
      <c r="AC56" s="15">
        <f t="shared" si="16"/>
        <v>171068.55555555556</v>
      </c>
      <c r="AD56" s="15">
        <f t="shared" si="16"/>
        <v>251956.55555555556</v>
      </c>
      <c r="AE56" s="15">
        <f t="shared" si="16"/>
        <v>799211.85714285704</v>
      </c>
      <c r="AF56" s="15">
        <f t="shared" si="16"/>
        <v>950755.39999999991</v>
      </c>
      <c r="AG56" s="15">
        <f t="shared" si="16"/>
        <v>1026949.4857142856</v>
      </c>
      <c r="AH56" s="15">
        <f t="shared" si="16"/>
        <v>1040957.0285714285</v>
      </c>
      <c r="AI56" s="15">
        <f t="shared" si="16"/>
        <v>998212.57142857136</v>
      </c>
      <c r="AJ56" s="15">
        <f t="shared" si="16"/>
        <v>852407.17142857146</v>
      </c>
      <c r="AK56" s="15">
        <f t="shared" si="16"/>
        <v>698357.8</v>
      </c>
      <c r="AL56" s="15">
        <f t="shared" si="16"/>
        <v>921530.6</v>
      </c>
      <c r="AM56" s="15">
        <f t="shared" si="16"/>
        <v>570804.79999999993</v>
      </c>
      <c r="AN56" s="15">
        <f t="shared" si="16"/>
        <v>547819.28571428568</v>
      </c>
      <c r="AO56" s="15">
        <f t="shared" si="16"/>
        <v>856733.91428571416</v>
      </c>
      <c r="AP56" s="15">
        <f t="shared" si="16"/>
        <v>428700.42857142852</v>
      </c>
      <c r="AQ56" s="15">
        <f t="shared" si="16"/>
        <v>0</v>
      </c>
      <c r="AR56" s="17">
        <f t="shared" si="12"/>
        <v>32991253.314285718</v>
      </c>
      <c r="AS56" s="17">
        <f t="shared" si="13"/>
        <v>800883.13142857153</v>
      </c>
      <c r="AT56" s="14">
        <f>AR56/AR13</f>
        <v>0.83538093858929241</v>
      </c>
    </row>
    <row r="57" spans="1:46" x14ac:dyDescent="0.15">
      <c r="A57" s="48" t="s">
        <v>114</v>
      </c>
      <c r="B57" s="48"/>
      <c r="C57" s="15">
        <f>SUM(C13+C14-C56)</f>
        <v>491623.94285714289</v>
      </c>
      <c r="D57" s="15">
        <f t="shared" ref="D57:AQ57" si="17">SUM(D13+D14-D56)</f>
        <v>80447</v>
      </c>
      <c r="E57" s="15">
        <f t="shared" si="17"/>
        <v>389126.11428571434</v>
      </c>
      <c r="F57" s="15">
        <f t="shared" si="17"/>
        <v>80499.828571428312</v>
      </c>
      <c r="G57" s="15">
        <f t="shared" si="17"/>
        <v>-181337.11428571423</v>
      </c>
      <c r="H57" s="15">
        <f t="shared" si="17"/>
        <v>-165289.54285714286</v>
      </c>
      <c r="I57" s="15">
        <f t="shared" si="17"/>
        <v>315533.51428571437</v>
      </c>
      <c r="J57" s="15">
        <f t="shared" si="17"/>
        <v>-621196.14285714284</v>
      </c>
      <c r="K57" s="15">
        <f t="shared" si="17"/>
        <v>60356.244444444543</v>
      </c>
      <c r="L57" s="15">
        <f t="shared" si="17"/>
        <v>148892.01587301586</v>
      </c>
      <c r="M57" s="15">
        <f t="shared" si="17"/>
        <v>407250.38730158727</v>
      </c>
      <c r="N57" s="15">
        <f t="shared" si="17"/>
        <v>212705.64444444445</v>
      </c>
      <c r="O57" s="15">
        <f t="shared" si="17"/>
        <v>-338250.69841269846</v>
      </c>
      <c r="P57" s="15">
        <f t="shared" si="17"/>
        <v>81921.301587301539</v>
      </c>
      <c r="Q57" s="15">
        <f t="shared" si="17"/>
        <v>-167227.35555555555</v>
      </c>
      <c r="R57" s="15">
        <f t="shared" si="17"/>
        <v>248075.50158730149</v>
      </c>
      <c r="S57" s="15">
        <f t="shared" si="17"/>
        <v>415036.64444444445</v>
      </c>
      <c r="T57" s="15">
        <f t="shared" si="17"/>
        <v>219510.33015873004</v>
      </c>
      <c r="U57" s="15">
        <f t="shared" si="17"/>
        <v>300885.95873015886</v>
      </c>
      <c r="V57" s="15">
        <f t="shared" si="17"/>
        <v>240497.61587301595</v>
      </c>
      <c r="W57" s="15">
        <f t="shared" si="17"/>
        <v>6069.3587301587686</v>
      </c>
      <c r="X57" s="15">
        <f t="shared" si="17"/>
        <v>-335343.1841269841</v>
      </c>
      <c r="Y57" s="15">
        <f t="shared" si="17"/>
        <v>424559.07301587309</v>
      </c>
      <c r="Z57" s="15">
        <f t="shared" si="17"/>
        <v>445021.70158730168</v>
      </c>
      <c r="AA57" s="15">
        <f t="shared" si="17"/>
        <v>14000</v>
      </c>
      <c r="AB57" s="15">
        <f t="shared" si="17"/>
        <v>606412</v>
      </c>
      <c r="AC57" s="15">
        <f t="shared" si="17"/>
        <v>-171068.55555555556</v>
      </c>
      <c r="AD57" s="15">
        <f t="shared" si="17"/>
        <v>-251956.55555555556</v>
      </c>
      <c r="AE57" s="15">
        <f t="shared" si="17"/>
        <v>819368.14285714296</v>
      </c>
      <c r="AF57" s="15">
        <f t="shared" si="17"/>
        <v>514415.60000000009</v>
      </c>
      <c r="AG57" s="15">
        <f t="shared" si="17"/>
        <v>794811.51428571437</v>
      </c>
      <c r="AH57" s="15">
        <f t="shared" si="17"/>
        <v>239232.9714285715</v>
      </c>
      <c r="AI57" s="15">
        <f t="shared" si="17"/>
        <v>137909.42857142864</v>
      </c>
      <c r="AJ57" s="15">
        <f t="shared" si="17"/>
        <v>408301.82857142854</v>
      </c>
      <c r="AK57" s="15">
        <f t="shared" si="17"/>
        <v>-79870.800000000047</v>
      </c>
      <c r="AL57" s="15">
        <f t="shared" si="17"/>
        <v>833169.4</v>
      </c>
      <c r="AM57" s="15">
        <f t="shared" si="17"/>
        <v>184295.20000000007</v>
      </c>
      <c r="AN57" s="15">
        <f t="shared" si="17"/>
        <v>-106319.28571428568</v>
      </c>
      <c r="AO57" s="15">
        <f t="shared" si="17"/>
        <v>221066.08571428584</v>
      </c>
      <c r="AP57" s="15">
        <f t="shared" si="17"/>
        <v>-186400.42857142852</v>
      </c>
      <c r="AQ57" s="15">
        <f t="shared" si="17"/>
        <v>310718</v>
      </c>
      <c r="AR57" s="17">
        <f t="shared" si="12"/>
        <v>7047452.6857142877</v>
      </c>
      <c r="AS57" s="17">
        <f t="shared" si="13"/>
        <v>163895.71857142862</v>
      </c>
      <c r="AT57" s="14">
        <f>AR57/AR13</f>
        <v>0.17845056030976358</v>
      </c>
    </row>
    <row r="58" spans="1:46" x14ac:dyDescent="0.15">
      <c r="A58" s="48" t="s">
        <v>115</v>
      </c>
      <c r="B58" s="48"/>
      <c r="C58" s="15">
        <v>126042.4054054054</v>
      </c>
      <c r="D58" s="15">
        <v>0</v>
      </c>
      <c r="E58" s="15">
        <v>126042.4054054054</v>
      </c>
      <c r="F58" s="15">
        <v>126042.4054054054</v>
      </c>
      <c r="G58" s="15">
        <v>126042.4054054054</v>
      </c>
      <c r="H58" s="15">
        <v>126042.4054054054</v>
      </c>
      <c r="I58" s="15">
        <v>126042.4054054054</v>
      </c>
      <c r="J58" s="15">
        <v>126042.4054054054</v>
      </c>
      <c r="K58" s="15">
        <v>126042.4054054054</v>
      </c>
      <c r="L58" s="15">
        <v>126042.4054054054</v>
      </c>
      <c r="M58" s="15">
        <v>126042.4054054054</v>
      </c>
      <c r="N58" s="15">
        <v>126042.4054054054</v>
      </c>
      <c r="O58" s="15">
        <v>126042.4054054054</v>
      </c>
      <c r="P58" s="15">
        <v>126042.4054054054</v>
      </c>
      <c r="Q58" s="15">
        <v>126042.4054054054</v>
      </c>
      <c r="R58" s="15">
        <v>126042.4054054054</v>
      </c>
      <c r="S58" s="15">
        <v>126042.4054054054</v>
      </c>
      <c r="T58" s="15">
        <v>126042.4054054054</v>
      </c>
      <c r="U58" s="15">
        <v>126042.4054054054</v>
      </c>
      <c r="V58" s="15">
        <v>126042.4054054054</v>
      </c>
      <c r="W58" s="15">
        <v>126042.4054054054</v>
      </c>
      <c r="X58" s="15">
        <v>126042.4054054054</v>
      </c>
      <c r="Y58" s="15">
        <v>126042.4054054054</v>
      </c>
      <c r="Z58" s="15">
        <v>126042.4054054054</v>
      </c>
      <c r="AA58" s="15">
        <v>0</v>
      </c>
      <c r="AB58" s="15">
        <v>0</v>
      </c>
      <c r="AC58" s="15">
        <v>126042.4054054054</v>
      </c>
      <c r="AD58" s="15">
        <v>126042.4054054054</v>
      </c>
      <c r="AE58" s="15">
        <v>126042.4054054054</v>
      </c>
      <c r="AF58" s="15">
        <v>126042.4054054054</v>
      </c>
      <c r="AG58" s="15">
        <v>126042.4054054054</v>
      </c>
      <c r="AH58" s="15">
        <v>126042.4054054054</v>
      </c>
      <c r="AI58" s="15">
        <v>126042.4054054054</v>
      </c>
      <c r="AJ58" s="15">
        <v>126042.4054054054</v>
      </c>
      <c r="AK58" s="15">
        <v>126042.4054054054</v>
      </c>
      <c r="AL58" s="15">
        <v>126042.4054054054</v>
      </c>
      <c r="AM58" s="15">
        <v>126042.4054054054</v>
      </c>
      <c r="AN58" s="15">
        <v>126042.4054054054</v>
      </c>
      <c r="AO58" s="15">
        <v>126042.4054054054</v>
      </c>
      <c r="AP58" s="15">
        <v>126042.4054054054</v>
      </c>
      <c r="AQ58" s="15">
        <v>0</v>
      </c>
      <c r="AR58" s="17">
        <f t="shared" si="12"/>
        <v>4663568.9999999991</v>
      </c>
      <c r="AS58" s="17">
        <f t="shared" si="13"/>
        <v>113438.16486486486</v>
      </c>
      <c r="AT58" s="14">
        <f>AR58/AR13</f>
        <v>0.11808756130852906</v>
      </c>
    </row>
    <row r="59" spans="1:46" x14ac:dyDescent="0.15">
      <c r="A59" s="48" t="s">
        <v>116</v>
      </c>
      <c r="B59" s="48"/>
      <c r="C59" s="15">
        <v>118890.78378378379</v>
      </c>
      <c r="D59" s="15">
        <v>0</v>
      </c>
      <c r="E59" s="15">
        <v>118890.78378378379</v>
      </c>
      <c r="F59" s="15">
        <v>118890.78378378379</v>
      </c>
      <c r="G59" s="15">
        <v>118890.78378378379</v>
      </c>
      <c r="H59" s="15">
        <v>118890.78378378379</v>
      </c>
      <c r="I59" s="15">
        <v>118890.78378378379</v>
      </c>
      <c r="J59" s="15">
        <v>118890.78378378379</v>
      </c>
      <c r="K59" s="15">
        <v>118890.78378378379</v>
      </c>
      <c r="L59" s="15">
        <v>118890.78378378379</v>
      </c>
      <c r="M59" s="15">
        <v>118890.78378378379</v>
      </c>
      <c r="N59" s="15">
        <v>118890.78378378379</v>
      </c>
      <c r="O59" s="15">
        <v>118890.78378378379</v>
      </c>
      <c r="P59" s="15">
        <v>118890.78378378379</v>
      </c>
      <c r="Q59" s="15">
        <v>118890.78378378379</v>
      </c>
      <c r="R59" s="15">
        <v>118890.78378378379</v>
      </c>
      <c r="S59" s="15">
        <v>118890.78378378379</v>
      </c>
      <c r="T59" s="15">
        <v>118890.78378378379</v>
      </c>
      <c r="U59" s="15">
        <v>118890.78378378379</v>
      </c>
      <c r="V59" s="15">
        <v>118890.78378378379</v>
      </c>
      <c r="W59" s="15">
        <v>118890.78378378379</v>
      </c>
      <c r="X59" s="15">
        <v>118890.78378378379</v>
      </c>
      <c r="Y59" s="15">
        <v>118890.78378378379</v>
      </c>
      <c r="Z59" s="15">
        <v>118890.78378378379</v>
      </c>
      <c r="AA59" s="15">
        <v>0</v>
      </c>
      <c r="AB59" s="15">
        <v>0</v>
      </c>
      <c r="AC59" s="15">
        <v>118890.78378378379</v>
      </c>
      <c r="AD59" s="15">
        <v>118890.78378378379</v>
      </c>
      <c r="AE59" s="15">
        <v>118890.78378378379</v>
      </c>
      <c r="AF59" s="15">
        <v>118890.78378378379</v>
      </c>
      <c r="AG59" s="15">
        <v>118890.78378378379</v>
      </c>
      <c r="AH59" s="15">
        <v>118890.78378378379</v>
      </c>
      <c r="AI59" s="15">
        <v>118890.78378378379</v>
      </c>
      <c r="AJ59" s="15">
        <v>118890.78378378379</v>
      </c>
      <c r="AK59" s="15">
        <v>118890.78378378379</v>
      </c>
      <c r="AL59" s="15">
        <v>118890.78378378379</v>
      </c>
      <c r="AM59" s="15">
        <v>118890.78378378379</v>
      </c>
      <c r="AN59" s="15">
        <v>118890.78378378379</v>
      </c>
      <c r="AO59" s="15">
        <v>118890.78378378379</v>
      </c>
      <c r="AP59" s="15">
        <v>118890.78378378379</v>
      </c>
      <c r="AQ59" s="15">
        <v>0</v>
      </c>
      <c r="AR59" s="17">
        <f t="shared" si="12"/>
        <v>4398958.9999999972</v>
      </c>
      <c r="AS59" s="17">
        <f t="shared" si="13"/>
        <v>107001.70540540533</v>
      </c>
      <c r="AT59" s="14">
        <f>AR59/AR13</f>
        <v>0.11138729599716557</v>
      </c>
    </row>
    <row r="60" spans="1:46" x14ac:dyDescent="0.15">
      <c r="A60" s="48" t="s">
        <v>117</v>
      </c>
      <c r="B60" s="48"/>
      <c r="C60" s="15">
        <f>SUM(C57-(C58+C59))</f>
        <v>246690.75366795372</v>
      </c>
      <c r="D60" s="15">
        <f t="shared" ref="D60:AQ60" si="18">SUM(D57-(D58+D59))</f>
        <v>80447</v>
      </c>
      <c r="E60" s="15">
        <f t="shared" si="18"/>
        <v>144192.92509652517</v>
      </c>
      <c r="F60" s="15">
        <f t="shared" si="18"/>
        <v>-164433.36061776086</v>
      </c>
      <c r="G60" s="15">
        <f t="shared" si="18"/>
        <v>-426270.3034749034</v>
      </c>
      <c r="H60" s="15">
        <f t="shared" si="18"/>
        <v>-410222.73204633204</v>
      </c>
      <c r="I60" s="15">
        <f t="shared" si="18"/>
        <v>70600.325096525194</v>
      </c>
      <c r="J60" s="15">
        <f t="shared" si="18"/>
        <v>-866129.33204633207</v>
      </c>
      <c r="K60" s="15">
        <f t="shared" si="18"/>
        <v>-184576.94474474463</v>
      </c>
      <c r="L60" s="15">
        <f t="shared" si="18"/>
        <v>-96041.173316173314</v>
      </c>
      <c r="M60" s="15">
        <f t="shared" si="18"/>
        <v>162317.19811239809</v>
      </c>
      <c r="N60" s="15">
        <f t="shared" si="18"/>
        <v>-32227.544744744722</v>
      </c>
      <c r="O60" s="15">
        <f t="shared" si="18"/>
        <v>-583183.88760188757</v>
      </c>
      <c r="P60" s="15">
        <f t="shared" si="18"/>
        <v>-163011.88760188763</v>
      </c>
      <c r="Q60" s="15">
        <f t="shared" si="18"/>
        <v>-412160.54474474472</v>
      </c>
      <c r="R60" s="15">
        <f t="shared" si="18"/>
        <v>3142.3123981123208</v>
      </c>
      <c r="S60" s="15">
        <f t="shared" si="18"/>
        <v>170103.45525525528</v>
      </c>
      <c r="T60" s="15">
        <f t="shared" si="18"/>
        <v>-25422.859030459134</v>
      </c>
      <c r="U60" s="15">
        <f t="shared" si="18"/>
        <v>55952.76954096969</v>
      </c>
      <c r="V60" s="15">
        <f t="shared" si="18"/>
        <v>-4435.5733161732205</v>
      </c>
      <c r="W60" s="15">
        <f t="shared" si="18"/>
        <v>-238863.8304590304</v>
      </c>
      <c r="X60" s="15">
        <f t="shared" si="18"/>
        <v>-580276.37331617321</v>
      </c>
      <c r="Y60" s="15">
        <f t="shared" si="18"/>
        <v>179625.88382668392</v>
      </c>
      <c r="Z60" s="15">
        <f t="shared" si="18"/>
        <v>200088.51239811251</v>
      </c>
      <c r="AA60" s="15">
        <f t="shared" si="18"/>
        <v>14000</v>
      </c>
      <c r="AB60" s="15">
        <f t="shared" si="18"/>
        <v>606412</v>
      </c>
      <c r="AC60" s="15">
        <f t="shared" si="18"/>
        <v>-416001.74474474473</v>
      </c>
      <c r="AD60" s="15">
        <f t="shared" si="18"/>
        <v>-496889.74474474473</v>
      </c>
      <c r="AE60" s="15">
        <f t="shared" si="18"/>
        <v>574434.95366795384</v>
      </c>
      <c r="AF60" s="15">
        <f t="shared" si="18"/>
        <v>269482.41081081092</v>
      </c>
      <c r="AG60" s="15">
        <f t="shared" si="18"/>
        <v>549878.32509652525</v>
      </c>
      <c r="AH60" s="15">
        <f t="shared" si="18"/>
        <v>-5700.2177606176701</v>
      </c>
      <c r="AI60" s="15">
        <f t="shared" si="18"/>
        <v>-107023.76061776053</v>
      </c>
      <c r="AJ60" s="15">
        <f t="shared" si="18"/>
        <v>163368.63938223937</v>
      </c>
      <c r="AK60" s="15">
        <f t="shared" si="18"/>
        <v>-324803.98918918922</v>
      </c>
      <c r="AL60" s="15">
        <f t="shared" si="18"/>
        <v>588236.21081081079</v>
      </c>
      <c r="AM60" s="15">
        <f t="shared" si="18"/>
        <v>-60637.989189189102</v>
      </c>
      <c r="AN60" s="15">
        <f t="shared" si="18"/>
        <v>-351252.47490347485</v>
      </c>
      <c r="AO60" s="15">
        <f t="shared" si="18"/>
        <v>-23867.103474903328</v>
      </c>
      <c r="AP60" s="15">
        <f t="shared" si="18"/>
        <v>-431333.61776061769</v>
      </c>
      <c r="AQ60" s="15">
        <f t="shared" si="18"/>
        <v>310718</v>
      </c>
      <c r="AR60" s="17">
        <f t="shared" si="12"/>
        <v>-2015075.3142857123</v>
      </c>
      <c r="AS60" s="17">
        <f t="shared" si="13"/>
        <v>-56544.151698841655</v>
      </c>
      <c r="AT60" s="14">
        <f>AR60/AR13</f>
        <v>-5.1024296995931133E-2</v>
      </c>
    </row>
    <row r="61" spans="1:46" x14ac:dyDescent="0.15">
      <c r="A61" s="12"/>
      <c r="B61" s="37" t="s">
        <v>46</v>
      </c>
      <c r="C61" s="37"/>
      <c r="D61" s="37"/>
      <c r="E61" s="37"/>
      <c r="F61" s="37" t="s">
        <v>118</v>
      </c>
      <c r="G61" s="3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</row>
    <row r="62" spans="1:46" x14ac:dyDescent="0.15">
      <c r="A62" s="13"/>
      <c r="B62" s="38"/>
      <c r="C62" s="18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9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</row>
    <row r="63" spans="1:46" x14ac:dyDescent="0.15">
      <c r="A63" s="13"/>
      <c r="B63" s="40" t="s">
        <v>124</v>
      </c>
      <c r="C63" s="30">
        <v>0</v>
      </c>
      <c r="D63" s="30">
        <v>693466</v>
      </c>
      <c r="E63" s="30">
        <v>425674</v>
      </c>
      <c r="F63" s="30">
        <v>4663569</v>
      </c>
      <c r="G63" s="30">
        <v>4398959</v>
      </c>
      <c r="H63" s="39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</row>
    <row r="64" spans="1:46" x14ac:dyDescent="0.15">
      <c r="A64" s="13"/>
      <c r="B64" s="41" t="s">
        <v>125</v>
      </c>
      <c r="C64" s="30">
        <v>7</v>
      </c>
      <c r="D64" s="30">
        <v>7</v>
      </c>
      <c r="E64" s="30">
        <v>7</v>
      </c>
      <c r="F64" s="30">
        <v>37</v>
      </c>
      <c r="G64" s="30">
        <v>37</v>
      </c>
      <c r="H64" s="39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</row>
    <row r="65" spans="1:43" x14ac:dyDescent="0.15">
      <c r="A65" s="13"/>
      <c r="B65" s="41" t="s">
        <v>41</v>
      </c>
      <c r="C65" s="15">
        <f>SUM(C63/C64)</f>
        <v>0</v>
      </c>
      <c r="D65" s="15">
        <f t="shared" ref="D65:G65" si="19">SUM(D63/D64)</f>
        <v>99066.571428571435</v>
      </c>
      <c r="E65" s="15">
        <f t="shared" si="19"/>
        <v>60810.571428571428</v>
      </c>
      <c r="F65" s="15">
        <f t="shared" si="19"/>
        <v>126042.4054054054</v>
      </c>
      <c r="G65" s="15">
        <f t="shared" si="19"/>
        <v>118890.78378378379</v>
      </c>
      <c r="H65" s="39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</row>
    <row r="66" spans="1:43" x14ac:dyDescent="0.15">
      <c r="A66" s="12"/>
      <c r="B66" s="42" t="s">
        <v>47</v>
      </c>
      <c r="C66" s="42"/>
      <c r="D66" s="42"/>
      <c r="E66" s="42"/>
      <c r="F66" s="42"/>
      <c r="G66" s="4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</row>
    <row r="67" spans="1:43" x14ac:dyDescent="0.15">
      <c r="A67" s="12"/>
      <c r="B67" s="38"/>
      <c r="C67" s="18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</row>
    <row r="68" spans="1:43" x14ac:dyDescent="0.15">
      <c r="A68" s="12"/>
      <c r="B68" s="40" t="s">
        <v>124</v>
      </c>
      <c r="C68" s="30">
        <v>117000</v>
      </c>
      <c r="D68" s="30">
        <v>1621340</v>
      </c>
      <c r="E68" s="30">
        <v>1213544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</row>
    <row r="69" spans="1:43" x14ac:dyDescent="0.15">
      <c r="A69" s="12"/>
      <c r="B69" s="41" t="s">
        <v>125</v>
      </c>
      <c r="C69" s="30">
        <v>18</v>
      </c>
      <c r="D69" s="30">
        <v>18</v>
      </c>
      <c r="E69" s="30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</row>
    <row r="70" spans="1:43" x14ac:dyDescent="0.15">
      <c r="A70" s="12"/>
      <c r="B70" s="41" t="s">
        <v>41</v>
      </c>
      <c r="C70" s="15">
        <f>SUM(C68/C69)</f>
        <v>6500</v>
      </c>
      <c r="D70" s="15">
        <f t="shared" ref="D70:E70" si="20">SUM(D68/D69)</f>
        <v>90074.444444444438</v>
      </c>
      <c r="E70" s="15">
        <f t="shared" si="20"/>
        <v>67419.111111111109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</row>
    <row r="71" spans="1:43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</row>
    <row r="72" spans="1:43" x14ac:dyDescent="0.15">
      <c r="A72" s="12"/>
      <c r="B72" s="38"/>
      <c r="C72" s="18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</row>
    <row r="73" spans="1:43" x14ac:dyDescent="0.15">
      <c r="A73" s="12"/>
      <c r="B73" s="40" t="s">
        <v>124</v>
      </c>
      <c r="C73" s="30"/>
      <c r="D73" s="30"/>
      <c r="E73" s="30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</row>
    <row r="74" spans="1:43" x14ac:dyDescent="0.15">
      <c r="A74" s="12"/>
      <c r="B74" s="41" t="s">
        <v>125</v>
      </c>
      <c r="C74" s="30"/>
      <c r="D74" s="30"/>
      <c r="E74" s="30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</row>
    <row r="75" spans="1:43" x14ac:dyDescent="0.15">
      <c r="A75" s="12"/>
      <c r="B75" s="41" t="s">
        <v>41</v>
      </c>
      <c r="C75" s="15" t="e">
        <f>SUM(C73/C74)</f>
        <v>#DIV/0!</v>
      </c>
      <c r="D75" s="15" t="e">
        <f t="shared" ref="D75:E75" si="21">SUM(D73/D74)</f>
        <v>#DIV/0!</v>
      </c>
      <c r="E75" s="15" t="e">
        <f t="shared" si="21"/>
        <v>#DIV/0!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</row>
    <row r="76" spans="1:43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</row>
    <row r="77" spans="1:43" x14ac:dyDescent="0.15">
      <c r="A77" s="12"/>
      <c r="B77" s="38"/>
      <c r="C77" s="18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</row>
    <row r="78" spans="1:43" x14ac:dyDescent="0.15">
      <c r="A78" s="12"/>
      <c r="B78" s="40" t="s">
        <v>124</v>
      </c>
      <c r="C78" s="30"/>
      <c r="D78" s="30"/>
      <c r="E78" s="30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</row>
    <row r="79" spans="1:43" x14ac:dyDescent="0.15">
      <c r="A79" s="12"/>
      <c r="B79" s="41" t="s">
        <v>125</v>
      </c>
      <c r="C79" s="30"/>
      <c r="D79" s="30"/>
      <c r="E79" s="30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</row>
    <row r="80" spans="1:43" x14ac:dyDescent="0.15">
      <c r="A80" s="12"/>
      <c r="B80" s="41" t="s">
        <v>41</v>
      </c>
      <c r="C80" s="15" t="e">
        <f>SUM(C78/C79)</f>
        <v>#DIV/0!</v>
      </c>
      <c r="D80" s="15" t="e">
        <f t="shared" ref="D80:E80" si="22">SUM(D78/D79)</f>
        <v>#DIV/0!</v>
      </c>
      <c r="E80" s="15" t="e">
        <f t="shared" si="22"/>
        <v>#DIV/0!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</row>
    <row r="81" spans="1:43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</row>
    <row r="82" spans="1:43" x14ac:dyDescent="0.15">
      <c r="A82" s="12"/>
      <c r="B82" s="38"/>
      <c r="C82" s="18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</row>
    <row r="83" spans="1:43" x14ac:dyDescent="0.15">
      <c r="A83" s="12"/>
      <c r="B83" s="40" t="s">
        <v>124</v>
      </c>
      <c r="C83" s="30"/>
      <c r="D83" s="30"/>
      <c r="E83" s="30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</row>
    <row r="84" spans="1:43" x14ac:dyDescent="0.15">
      <c r="A84" s="12"/>
      <c r="B84" s="41" t="s">
        <v>125</v>
      </c>
      <c r="C84" s="30"/>
      <c r="D84" s="30"/>
      <c r="E84" s="30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</row>
    <row r="85" spans="1:43" x14ac:dyDescent="0.15">
      <c r="A85" s="12"/>
      <c r="B85" s="41" t="s">
        <v>41</v>
      </c>
      <c r="C85" s="15" t="e">
        <f>SUM(C83/C84)</f>
        <v>#DIV/0!</v>
      </c>
      <c r="D85" s="15" t="e">
        <f t="shared" ref="D85:E85" si="23">SUM(D83/D84)</f>
        <v>#DIV/0!</v>
      </c>
      <c r="E85" s="15" t="e">
        <f t="shared" si="23"/>
        <v>#DIV/0!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</row>
    <row r="86" spans="1:43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</row>
    <row r="87" spans="1:43" x14ac:dyDescent="0.15">
      <c r="A87" s="12"/>
      <c r="B87" s="38"/>
      <c r="C87" s="18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</row>
    <row r="88" spans="1:43" x14ac:dyDescent="0.15">
      <c r="A88" s="12"/>
      <c r="B88" s="40" t="s">
        <v>124</v>
      </c>
      <c r="C88" s="30">
        <v>150000</v>
      </c>
      <c r="D88" s="30">
        <v>696338</v>
      </c>
      <c r="E88" s="30">
        <v>471934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</row>
    <row r="89" spans="1:43" x14ac:dyDescent="0.15">
      <c r="B89" s="41" t="s">
        <v>125</v>
      </c>
      <c r="C89" s="30">
        <v>7</v>
      </c>
      <c r="D89" s="30">
        <v>7</v>
      </c>
      <c r="E89" s="30">
        <v>7</v>
      </c>
    </row>
    <row r="90" spans="1:43" x14ac:dyDescent="0.15">
      <c r="B90" s="41" t="s">
        <v>41</v>
      </c>
      <c r="C90" s="15">
        <f>SUM(C88/C89)</f>
        <v>21428.571428571428</v>
      </c>
      <c r="D90" s="15">
        <f t="shared" ref="D90:E90" si="24">SUM(D88/D89)</f>
        <v>99476.857142857145</v>
      </c>
      <c r="E90" s="15">
        <f t="shared" si="24"/>
        <v>67419.142857142855</v>
      </c>
    </row>
    <row r="92" spans="1:43" x14ac:dyDescent="0.15">
      <c r="B92" s="38"/>
      <c r="C92" s="18" t="s">
        <v>144</v>
      </c>
      <c r="D92" s="2" t="s">
        <v>145</v>
      </c>
      <c r="E92" s="2" t="s">
        <v>146</v>
      </c>
    </row>
    <row r="93" spans="1:43" x14ac:dyDescent="0.15">
      <c r="B93" s="40" t="s">
        <v>124</v>
      </c>
      <c r="C93" s="30">
        <v>297000</v>
      </c>
      <c r="D93" s="30">
        <v>413329</v>
      </c>
      <c r="E93" s="30">
        <v>155007</v>
      </c>
    </row>
    <row r="94" spans="1:43" x14ac:dyDescent="0.15">
      <c r="B94" s="41" t="s">
        <v>125</v>
      </c>
      <c r="C94" s="30">
        <v>5</v>
      </c>
      <c r="D94" s="30">
        <v>5</v>
      </c>
      <c r="E94" s="30">
        <v>5</v>
      </c>
    </row>
    <row r="95" spans="1:43" x14ac:dyDescent="0.15">
      <c r="B95" s="41" t="s">
        <v>41</v>
      </c>
      <c r="C95" s="15">
        <f>SUM(C93/C94)</f>
        <v>59400</v>
      </c>
      <c r="D95" s="15">
        <f t="shared" ref="D95:E95" si="25">SUM(D93/D94)</f>
        <v>82665.8</v>
      </c>
      <c r="E95" s="15">
        <f t="shared" si="25"/>
        <v>31001.4</v>
      </c>
    </row>
    <row r="97" spans="2:5" x14ac:dyDescent="0.15">
      <c r="B97" s="38"/>
      <c r="C97" s="18" t="s">
        <v>147</v>
      </c>
      <c r="D97" s="2" t="s">
        <v>148</v>
      </c>
      <c r="E97" s="2" t="s">
        <v>149</v>
      </c>
    </row>
    <row r="98" spans="2:5" x14ac:dyDescent="0.15">
      <c r="B98" s="40" t="s">
        <v>124</v>
      </c>
      <c r="C98" s="30">
        <v>0</v>
      </c>
      <c r="D98" s="30">
        <v>0</v>
      </c>
      <c r="E98" s="30">
        <v>0</v>
      </c>
    </row>
    <row r="99" spans="2:5" x14ac:dyDescent="0.15">
      <c r="B99" s="41" t="s">
        <v>125</v>
      </c>
      <c r="C99" s="30">
        <v>5</v>
      </c>
      <c r="D99" s="30">
        <v>5</v>
      </c>
      <c r="E99" s="30">
        <v>5</v>
      </c>
    </row>
    <row r="100" spans="2:5" x14ac:dyDescent="0.15">
      <c r="B100" s="41" t="s">
        <v>41</v>
      </c>
      <c r="C100" s="15">
        <f>SUM(C98/C99)</f>
        <v>0</v>
      </c>
      <c r="D100" s="15">
        <f t="shared" ref="D100:E100" si="26">SUM(D98/D99)</f>
        <v>0</v>
      </c>
      <c r="E100" s="15">
        <f t="shared" si="26"/>
        <v>0</v>
      </c>
    </row>
    <row r="102" spans="2:5" x14ac:dyDescent="0.15">
      <c r="B102" s="12" t="s">
        <v>150</v>
      </c>
      <c r="C102" s="9">
        <v>32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r:id="rId5">
            <anchor>
              <from>
                <xdr:col>0</xdr:col>
                <xdr:colOff>190500</xdr:colOff>
                <xdr:row>0</xdr:row>
                <xdr:rowOff>95250</xdr:rowOff>
              </from>
              <to>
                <xdr:col>1</xdr:col>
                <xdr:colOff>657225</xdr:colOff>
                <xdr:row>1</xdr:row>
                <xdr:rowOff>257175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AEBA-B092-49A0-9F7A-9F41D9038A3A}">
  <sheetPr codeName="Sheet2"/>
  <dimension ref="A2:M102"/>
  <sheetViews>
    <sheetView workbookViewId="0">
      <selection activeCell="K44" sqref="K4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3" width="11.375" style="1" bestFit="1" customWidth="1"/>
    <col min="4" max="5" width="14.125" style="1" bestFit="1" customWidth="1"/>
    <col min="6" max="6" width="11.375" style="1" bestFit="1" customWidth="1"/>
    <col min="7" max="9" width="12.5" style="1" bestFit="1" customWidth="1"/>
    <col min="10" max="10" width="11" style="1" bestFit="1" customWidth="1"/>
    <col min="11" max="11" width="13.25" style="1" bestFit="1" customWidth="1"/>
    <col min="12" max="12" width="10" style="1" bestFit="1" customWidth="1"/>
    <col min="13" max="13" width="11" style="1" bestFit="1" customWidth="1"/>
    <col min="14" max="218" width="9" style="1"/>
    <col min="219" max="219" width="2.875" style="1" bestFit="1" customWidth="1"/>
    <col min="220" max="220" width="16.625" style="1" bestFit="1" customWidth="1"/>
    <col min="221" max="221" width="11.375" style="1" bestFit="1" customWidth="1"/>
    <col min="222" max="223" width="14.125" style="1" bestFit="1" customWidth="1"/>
    <col min="224" max="224" width="11.375" style="1" bestFit="1" customWidth="1"/>
    <col min="225" max="227" width="12.5" style="1" bestFit="1" customWidth="1"/>
    <col min="228" max="228" width="11" style="1" bestFit="1" customWidth="1"/>
    <col min="229" max="248" width="13" style="1" bestFit="1" customWidth="1"/>
    <col min="249" max="252" width="11" style="1" bestFit="1" customWidth="1"/>
    <col min="253" max="255" width="12.25" style="1" bestFit="1" customWidth="1"/>
    <col min="256" max="266" width="11" style="1" bestFit="1" customWidth="1"/>
    <col min="267" max="267" width="13.25" style="1" bestFit="1" customWidth="1"/>
    <col min="268" max="268" width="10" style="1" bestFit="1" customWidth="1"/>
    <col min="269" max="269" width="11" style="1" bestFit="1" customWidth="1"/>
    <col min="270" max="474" width="9" style="1"/>
    <col min="475" max="475" width="2.875" style="1" bestFit="1" customWidth="1"/>
    <col min="476" max="476" width="16.625" style="1" bestFit="1" customWidth="1"/>
    <col min="477" max="477" width="11.375" style="1" bestFit="1" customWidth="1"/>
    <col min="478" max="479" width="14.125" style="1" bestFit="1" customWidth="1"/>
    <col min="480" max="480" width="11.375" style="1" bestFit="1" customWidth="1"/>
    <col min="481" max="483" width="12.5" style="1" bestFit="1" customWidth="1"/>
    <col min="484" max="484" width="11" style="1" bestFit="1" customWidth="1"/>
    <col min="485" max="504" width="13" style="1" bestFit="1" customWidth="1"/>
    <col min="505" max="508" width="11" style="1" bestFit="1" customWidth="1"/>
    <col min="509" max="511" width="12.25" style="1" bestFit="1" customWidth="1"/>
    <col min="512" max="522" width="11" style="1" bestFit="1" customWidth="1"/>
    <col min="523" max="523" width="13.25" style="1" bestFit="1" customWidth="1"/>
    <col min="524" max="524" width="10" style="1" bestFit="1" customWidth="1"/>
    <col min="525" max="525" width="11" style="1" bestFit="1" customWidth="1"/>
    <col min="526" max="730" width="9" style="1"/>
    <col min="731" max="731" width="2.875" style="1" bestFit="1" customWidth="1"/>
    <col min="732" max="732" width="16.625" style="1" bestFit="1" customWidth="1"/>
    <col min="733" max="733" width="11.375" style="1" bestFit="1" customWidth="1"/>
    <col min="734" max="735" width="14.125" style="1" bestFit="1" customWidth="1"/>
    <col min="736" max="736" width="11.375" style="1" bestFit="1" customWidth="1"/>
    <col min="737" max="739" width="12.5" style="1" bestFit="1" customWidth="1"/>
    <col min="740" max="740" width="11" style="1" bestFit="1" customWidth="1"/>
    <col min="741" max="760" width="13" style="1" bestFit="1" customWidth="1"/>
    <col min="761" max="764" width="11" style="1" bestFit="1" customWidth="1"/>
    <col min="765" max="767" width="12.25" style="1" bestFit="1" customWidth="1"/>
    <col min="768" max="778" width="11" style="1" bestFit="1" customWidth="1"/>
    <col min="779" max="779" width="13.25" style="1" bestFit="1" customWidth="1"/>
    <col min="780" max="780" width="10" style="1" bestFit="1" customWidth="1"/>
    <col min="781" max="781" width="11" style="1" bestFit="1" customWidth="1"/>
    <col min="782" max="986" width="9" style="1"/>
    <col min="987" max="987" width="2.875" style="1" bestFit="1" customWidth="1"/>
    <col min="988" max="988" width="16.625" style="1" bestFit="1" customWidth="1"/>
    <col min="989" max="989" width="11.375" style="1" bestFit="1" customWidth="1"/>
    <col min="990" max="991" width="14.125" style="1" bestFit="1" customWidth="1"/>
    <col min="992" max="992" width="11.375" style="1" bestFit="1" customWidth="1"/>
    <col min="993" max="995" width="12.5" style="1" bestFit="1" customWidth="1"/>
    <col min="996" max="996" width="11" style="1" bestFit="1" customWidth="1"/>
    <col min="997" max="1016" width="13" style="1" bestFit="1" customWidth="1"/>
    <col min="1017" max="1020" width="11" style="1" bestFit="1" customWidth="1"/>
    <col min="1021" max="1023" width="12.25" style="1" bestFit="1" customWidth="1"/>
    <col min="1024" max="1034" width="11" style="1" bestFit="1" customWidth="1"/>
    <col min="1035" max="1035" width="13.25" style="1" bestFit="1" customWidth="1"/>
    <col min="1036" max="1036" width="10" style="1" bestFit="1" customWidth="1"/>
    <col min="1037" max="1037" width="11" style="1" bestFit="1" customWidth="1"/>
    <col min="1038" max="1242" width="9" style="1"/>
    <col min="1243" max="1243" width="2.875" style="1" bestFit="1" customWidth="1"/>
    <col min="1244" max="1244" width="16.625" style="1" bestFit="1" customWidth="1"/>
    <col min="1245" max="1245" width="11.375" style="1" bestFit="1" customWidth="1"/>
    <col min="1246" max="1247" width="14.125" style="1" bestFit="1" customWidth="1"/>
    <col min="1248" max="1248" width="11.375" style="1" bestFit="1" customWidth="1"/>
    <col min="1249" max="1251" width="12.5" style="1" bestFit="1" customWidth="1"/>
    <col min="1252" max="1252" width="11" style="1" bestFit="1" customWidth="1"/>
    <col min="1253" max="1272" width="13" style="1" bestFit="1" customWidth="1"/>
    <col min="1273" max="1276" width="11" style="1" bestFit="1" customWidth="1"/>
    <col min="1277" max="1279" width="12.25" style="1" bestFit="1" customWidth="1"/>
    <col min="1280" max="1290" width="11" style="1" bestFit="1" customWidth="1"/>
    <col min="1291" max="1291" width="13.25" style="1" bestFit="1" customWidth="1"/>
    <col min="1292" max="1292" width="10" style="1" bestFit="1" customWidth="1"/>
    <col min="1293" max="1293" width="11" style="1" bestFit="1" customWidth="1"/>
    <col min="1294" max="1498" width="9" style="1"/>
    <col min="1499" max="1499" width="2.875" style="1" bestFit="1" customWidth="1"/>
    <col min="1500" max="1500" width="16.625" style="1" bestFit="1" customWidth="1"/>
    <col min="1501" max="1501" width="11.375" style="1" bestFit="1" customWidth="1"/>
    <col min="1502" max="1503" width="14.125" style="1" bestFit="1" customWidth="1"/>
    <col min="1504" max="1504" width="11.375" style="1" bestFit="1" customWidth="1"/>
    <col min="1505" max="1507" width="12.5" style="1" bestFit="1" customWidth="1"/>
    <col min="1508" max="1508" width="11" style="1" bestFit="1" customWidth="1"/>
    <col min="1509" max="1528" width="13" style="1" bestFit="1" customWidth="1"/>
    <col min="1529" max="1532" width="11" style="1" bestFit="1" customWidth="1"/>
    <col min="1533" max="1535" width="12.25" style="1" bestFit="1" customWidth="1"/>
    <col min="1536" max="1546" width="11" style="1" bestFit="1" customWidth="1"/>
    <col min="1547" max="1547" width="13.25" style="1" bestFit="1" customWidth="1"/>
    <col min="1548" max="1548" width="10" style="1" bestFit="1" customWidth="1"/>
    <col min="1549" max="1549" width="11" style="1" bestFit="1" customWidth="1"/>
    <col min="1550" max="1754" width="9" style="1"/>
    <col min="1755" max="1755" width="2.875" style="1" bestFit="1" customWidth="1"/>
    <col min="1756" max="1756" width="16.625" style="1" bestFit="1" customWidth="1"/>
    <col min="1757" max="1757" width="11.375" style="1" bestFit="1" customWidth="1"/>
    <col min="1758" max="1759" width="14.125" style="1" bestFit="1" customWidth="1"/>
    <col min="1760" max="1760" width="11.375" style="1" bestFit="1" customWidth="1"/>
    <col min="1761" max="1763" width="12.5" style="1" bestFit="1" customWidth="1"/>
    <col min="1764" max="1764" width="11" style="1" bestFit="1" customWidth="1"/>
    <col min="1765" max="1784" width="13" style="1" bestFit="1" customWidth="1"/>
    <col min="1785" max="1788" width="11" style="1" bestFit="1" customWidth="1"/>
    <col min="1789" max="1791" width="12.25" style="1" bestFit="1" customWidth="1"/>
    <col min="1792" max="1802" width="11" style="1" bestFit="1" customWidth="1"/>
    <col min="1803" max="1803" width="13.25" style="1" bestFit="1" customWidth="1"/>
    <col min="1804" max="1804" width="10" style="1" bestFit="1" customWidth="1"/>
    <col min="1805" max="1805" width="11" style="1" bestFit="1" customWidth="1"/>
    <col min="1806" max="2010" width="9" style="1"/>
    <col min="2011" max="2011" width="2.875" style="1" bestFit="1" customWidth="1"/>
    <col min="2012" max="2012" width="16.625" style="1" bestFit="1" customWidth="1"/>
    <col min="2013" max="2013" width="11.375" style="1" bestFit="1" customWidth="1"/>
    <col min="2014" max="2015" width="14.125" style="1" bestFit="1" customWidth="1"/>
    <col min="2016" max="2016" width="11.375" style="1" bestFit="1" customWidth="1"/>
    <col min="2017" max="2019" width="12.5" style="1" bestFit="1" customWidth="1"/>
    <col min="2020" max="2020" width="11" style="1" bestFit="1" customWidth="1"/>
    <col min="2021" max="2040" width="13" style="1" bestFit="1" customWidth="1"/>
    <col min="2041" max="2044" width="11" style="1" bestFit="1" customWidth="1"/>
    <col min="2045" max="2047" width="12.25" style="1" bestFit="1" customWidth="1"/>
    <col min="2048" max="2058" width="11" style="1" bestFit="1" customWidth="1"/>
    <col min="2059" max="2059" width="13.25" style="1" bestFit="1" customWidth="1"/>
    <col min="2060" max="2060" width="10" style="1" bestFit="1" customWidth="1"/>
    <col min="2061" max="2061" width="11" style="1" bestFit="1" customWidth="1"/>
    <col min="2062" max="2266" width="9" style="1"/>
    <col min="2267" max="2267" width="2.875" style="1" bestFit="1" customWidth="1"/>
    <col min="2268" max="2268" width="16.625" style="1" bestFit="1" customWidth="1"/>
    <col min="2269" max="2269" width="11.375" style="1" bestFit="1" customWidth="1"/>
    <col min="2270" max="2271" width="14.125" style="1" bestFit="1" customWidth="1"/>
    <col min="2272" max="2272" width="11.375" style="1" bestFit="1" customWidth="1"/>
    <col min="2273" max="2275" width="12.5" style="1" bestFit="1" customWidth="1"/>
    <col min="2276" max="2276" width="11" style="1" bestFit="1" customWidth="1"/>
    <col min="2277" max="2296" width="13" style="1" bestFit="1" customWidth="1"/>
    <col min="2297" max="2300" width="11" style="1" bestFit="1" customWidth="1"/>
    <col min="2301" max="2303" width="12.25" style="1" bestFit="1" customWidth="1"/>
    <col min="2304" max="2314" width="11" style="1" bestFit="1" customWidth="1"/>
    <col min="2315" max="2315" width="13.25" style="1" bestFit="1" customWidth="1"/>
    <col min="2316" max="2316" width="10" style="1" bestFit="1" customWidth="1"/>
    <col min="2317" max="2317" width="11" style="1" bestFit="1" customWidth="1"/>
    <col min="2318" max="2522" width="9" style="1"/>
    <col min="2523" max="2523" width="2.875" style="1" bestFit="1" customWidth="1"/>
    <col min="2524" max="2524" width="16.625" style="1" bestFit="1" customWidth="1"/>
    <col min="2525" max="2525" width="11.375" style="1" bestFit="1" customWidth="1"/>
    <col min="2526" max="2527" width="14.125" style="1" bestFit="1" customWidth="1"/>
    <col min="2528" max="2528" width="11.375" style="1" bestFit="1" customWidth="1"/>
    <col min="2529" max="2531" width="12.5" style="1" bestFit="1" customWidth="1"/>
    <col min="2532" max="2532" width="11" style="1" bestFit="1" customWidth="1"/>
    <col min="2533" max="2552" width="13" style="1" bestFit="1" customWidth="1"/>
    <col min="2553" max="2556" width="11" style="1" bestFit="1" customWidth="1"/>
    <col min="2557" max="2559" width="12.25" style="1" bestFit="1" customWidth="1"/>
    <col min="2560" max="2570" width="11" style="1" bestFit="1" customWidth="1"/>
    <col min="2571" max="2571" width="13.25" style="1" bestFit="1" customWidth="1"/>
    <col min="2572" max="2572" width="10" style="1" bestFit="1" customWidth="1"/>
    <col min="2573" max="2573" width="11" style="1" bestFit="1" customWidth="1"/>
    <col min="2574" max="2778" width="9" style="1"/>
    <col min="2779" max="2779" width="2.875" style="1" bestFit="1" customWidth="1"/>
    <col min="2780" max="2780" width="16.625" style="1" bestFit="1" customWidth="1"/>
    <col min="2781" max="2781" width="11.375" style="1" bestFit="1" customWidth="1"/>
    <col min="2782" max="2783" width="14.125" style="1" bestFit="1" customWidth="1"/>
    <col min="2784" max="2784" width="11.375" style="1" bestFit="1" customWidth="1"/>
    <col min="2785" max="2787" width="12.5" style="1" bestFit="1" customWidth="1"/>
    <col min="2788" max="2788" width="11" style="1" bestFit="1" customWidth="1"/>
    <col min="2789" max="2808" width="13" style="1" bestFit="1" customWidth="1"/>
    <col min="2809" max="2812" width="11" style="1" bestFit="1" customWidth="1"/>
    <col min="2813" max="2815" width="12.25" style="1" bestFit="1" customWidth="1"/>
    <col min="2816" max="2826" width="11" style="1" bestFit="1" customWidth="1"/>
    <col min="2827" max="2827" width="13.25" style="1" bestFit="1" customWidth="1"/>
    <col min="2828" max="2828" width="10" style="1" bestFit="1" customWidth="1"/>
    <col min="2829" max="2829" width="11" style="1" bestFit="1" customWidth="1"/>
    <col min="2830" max="3034" width="9" style="1"/>
    <col min="3035" max="3035" width="2.875" style="1" bestFit="1" customWidth="1"/>
    <col min="3036" max="3036" width="16.625" style="1" bestFit="1" customWidth="1"/>
    <col min="3037" max="3037" width="11.375" style="1" bestFit="1" customWidth="1"/>
    <col min="3038" max="3039" width="14.125" style="1" bestFit="1" customWidth="1"/>
    <col min="3040" max="3040" width="11.375" style="1" bestFit="1" customWidth="1"/>
    <col min="3041" max="3043" width="12.5" style="1" bestFit="1" customWidth="1"/>
    <col min="3044" max="3044" width="11" style="1" bestFit="1" customWidth="1"/>
    <col min="3045" max="3064" width="13" style="1" bestFit="1" customWidth="1"/>
    <col min="3065" max="3068" width="11" style="1" bestFit="1" customWidth="1"/>
    <col min="3069" max="3071" width="12.25" style="1" bestFit="1" customWidth="1"/>
    <col min="3072" max="3082" width="11" style="1" bestFit="1" customWidth="1"/>
    <col min="3083" max="3083" width="13.25" style="1" bestFit="1" customWidth="1"/>
    <col min="3084" max="3084" width="10" style="1" bestFit="1" customWidth="1"/>
    <col min="3085" max="3085" width="11" style="1" bestFit="1" customWidth="1"/>
    <col min="3086" max="3290" width="9" style="1"/>
    <col min="3291" max="3291" width="2.875" style="1" bestFit="1" customWidth="1"/>
    <col min="3292" max="3292" width="16.625" style="1" bestFit="1" customWidth="1"/>
    <col min="3293" max="3293" width="11.375" style="1" bestFit="1" customWidth="1"/>
    <col min="3294" max="3295" width="14.125" style="1" bestFit="1" customWidth="1"/>
    <col min="3296" max="3296" width="11.375" style="1" bestFit="1" customWidth="1"/>
    <col min="3297" max="3299" width="12.5" style="1" bestFit="1" customWidth="1"/>
    <col min="3300" max="3300" width="11" style="1" bestFit="1" customWidth="1"/>
    <col min="3301" max="3320" width="13" style="1" bestFit="1" customWidth="1"/>
    <col min="3321" max="3324" width="11" style="1" bestFit="1" customWidth="1"/>
    <col min="3325" max="3327" width="12.25" style="1" bestFit="1" customWidth="1"/>
    <col min="3328" max="3338" width="11" style="1" bestFit="1" customWidth="1"/>
    <col min="3339" max="3339" width="13.25" style="1" bestFit="1" customWidth="1"/>
    <col min="3340" max="3340" width="10" style="1" bestFit="1" customWidth="1"/>
    <col min="3341" max="3341" width="11" style="1" bestFit="1" customWidth="1"/>
    <col min="3342" max="3546" width="9" style="1"/>
    <col min="3547" max="3547" width="2.875" style="1" bestFit="1" customWidth="1"/>
    <col min="3548" max="3548" width="16.625" style="1" bestFit="1" customWidth="1"/>
    <col min="3549" max="3549" width="11.375" style="1" bestFit="1" customWidth="1"/>
    <col min="3550" max="3551" width="14.125" style="1" bestFit="1" customWidth="1"/>
    <col min="3552" max="3552" width="11.375" style="1" bestFit="1" customWidth="1"/>
    <col min="3553" max="3555" width="12.5" style="1" bestFit="1" customWidth="1"/>
    <col min="3556" max="3556" width="11" style="1" bestFit="1" customWidth="1"/>
    <col min="3557" max="3576" width="13" style="1" bestFit="1" customWidth="1"/>
    <col min="3577" max="3580" width="11" style="1" bestFit="1" customWidth="1"/>
    <col min="3581" max="3583" width="12.25" style="1" bestFit="1" customWidth="1"/>
    <col min="3584" max="3594" width="11" style="1" bestFit="1" customWidth="1"/>
    <col min="3595" max="3595" width="13.25" style="1" bestFit="1" customWidth="1"/>
    <col min="3596" max="3596" width="10" style="1" bestFit="1" customWidth="1"/>
    <col min="3597" max="3597" width="11" style="1" bestFit="1" customWidth="1"/>
    <col min="3598" max="3802" width="9" style="1"/>
    <col min="3803" max="3803" width="2.875" style="1" bestFit="1" customWidth="1"/>
    <col min="3804" max="3804" width="16.625" style="1" bestFit="1" customWidth="1"/>
    <col min="3805" max="3805" width="11.375" style="1" bestFit="1" customWidth="1"/>
    <col min="3806" max="3807" width="14.125" style="1" bestFit="1" customWidth="1"/>
    <col min="3808" max="3808" width="11.375" style="1" bestFit="1" customWidth="1"/>
    <col min="3809" max="3811" width="12.5" style="1" bestFit="1" customWidth="1"/>
    <col min="3812" max="3812" width="11" style="1" bestFit="1" customWidth="1"/>
    <col min="3813" max="3832" width="13" style="1" bestFit="1" customWidth="1"/>
    <col min="3833" max="3836" width="11" style="1" bestFit="1" customWidth="1"/>
    <col min="3837" max="3839" width="12.25" style="1" bestFit="1" customWidth="1"/>
    <col min="3840" max="3850" width="11" style="1" bestFit="1" customWidth="1"/>
    <col min="3851" max="3851" width="13.25" style="1" bestFit="1" customWidth="1"/>
    <col min="3852" max="3852" width="10" style="1" bestFit="1" customWidth="1"/>
    <col min="3853" max="3853" width="11" style="1" bestFit="1" customWidth="1"/>
    <col min="3854" max="4058" width="9" style="1"/>
    <col min="4059" max="4059" width="2.875" style="1" bestFit="1" customWidth="1"/>
    <col min="4060" max="4060" width="16.625" style="1" bestFit="1" customWidth="1"/>
    <col min="4061" max="4061" width="11.375" style="1" bestFit="1" customWidth="1"/>
    <col min="4062" max="4063" width="14.125" style="1" bestFit="1" customWidth="1"/>
    <col min="4064" max="4064" width="11.375" style="1" bestFit="1" customWidth="1"/>
    <col min="4065" max="4067" width="12.5" style="1" bestFit="1" customWidth="1"/>
    <col min="4068" max="4068" width="11" style="1" bestFit="1" customWidth="1"/>
    <col min="4069" max="4088" width="13" style="1" bestFit="1" customWidth="1"/>
    <col min="4089" max="4092" width="11" style="1" bestFit="1" customWidth="1"/>
    <col min="4093" max="4095" width="12.25" style="1" bestFit="1" customWidth="1"/>
    <col min="4096" max="4106" width="11" style="1" bestFit="1" customWidth="1"/>
    <col min="4107" max="4107" width="13.25" style="1" bestFit="1" customWidth="1"/>
    <col min="4108" max="4108" width="10" style="1" bestFit="1" customWidth="1"/>
    <col min="4109" max="4109" width="11" style="1" bestFit="1" customWidth="1"/>
    <col min="4110" max="4314" width="9" style="1"/>
    <col min="4315" max="4315" width="2.875" style="1" bestFit="1" customWidth="1"/>
    <col min="4316" max="4316" width="16.625" style="1" bestFit="1" customWidth="1"/>
    <col min="4317" max="4317" width="11.375" style="1" bestFit="1" customWidth="1"/>
    <col min="4318" max="4319" width="14.125" style="1" bestFit="1" customWidth="1"/>
    <col min="4320" max="4320" width="11.375" style="1" bestFit="1" customWidth="1"/>
    <col min="4321" max="4323" width="12.5" style="1" bestFit="1" customWidth="1"/>
    <col min="4324" max="4324" width="11" style="1" bestFit="1" customWidth="1"/>
    <col min="4325" max="4344" width="13" style="1" bestFit="1" customWidth="1"/>
    <col min="4345" max="4348" width="11" style="1" bestFit="1" customWidth="1"/>
    <col min="4349" max="4351" width="12.25" style="1" bestFit="1" customWidth="1"/>
    <col min="4352" max="4362" width="11" style="1" bestFit="1" customWidth="1"/>
    <col min="4363" max="4363" width="13.25" style="1" bestFit="1" customWidth="1"/>
    <col min="4364" max="4364" width="10" style="1" bestFit="1" customWidth="1"/>
    <col min="4365" max="4365" width="11" style="1" bestFit="1" customWidth="1"/>
    <col min="4366" max="4570" width="9" style="1"/>
    <col min="4571" max="4571" width="2.875" style="1" bestFit="1" customWidth="1"/>
    <col min="4572" max="4572" width="16.625" style="1" bestFit="1" customWidth="1"/>
    <col min="4573" max="4573" width="11.375" style="1" bestFit="1" customWidth="1"/>
    <col min="4574" max="4575" width="14.125" style="1" bestFit="1" customWidth="1"/>
    <col min="4576" max="4576" width="11.375" style="1" bestFit="1" customWidth="1"/>
    <col min="4577" max="4579" width="12.5" style="1" bestFit="1" customWidth="1"/>
    <col min="4580" max="4580" width="11" style="1" bestFit="1" customWidth="1"/>
    <col min="4581" max="4600" width="13" style="1" bestFit="1" customWidth="1"/>
    <col min="4601" max="4604" width="11" style="1" bestFit="1" customWidth="1"/>
    <col min="4605" max="4607" width="12.25" style="1" bestFit="1" customWidth="1"/>
    <col min="4608" max="4618" width="11" style="1" bestFit="1" customWidth="1"/>
    <col min="4619" max="4619" width="13.25" style="1" bestFit="1" customWidth="1"/>
    <col min="4620" max="4620" width="10" style="1" bestFit="1" customWidth="1"/>
    <col min="4621" max="4621" width="11" style="1" bestFit="1" customWidth="1"/>
    <col min="4622" max="4826" width="9" style="1"/>
    <col min="4827" max="4827" width="2.875" style="1" bestFit="1" customWidth="1"/>
    <col min="4828" max="4828" width="16.625" style="1" bestFit="1" customWidth="1"/>
    <col min="4829" max="4829" width="11.375" style="1" bestFit="1" customWidth="1"/>
    <col min="4830" max="4831" width="14.125" style="1" bestFit="1" customWidth="1"/>
    <col min="4832" max="4832" width="11.375" style="1" bestFit="1" customWidth="1"/>
    <col min="4833" max="4835" width="12.5" style="1" bestFit="1" customWidth="1"/>
    <col min="4836" max="4836" width="11" style="1" bestFit="1" customWidth="1"/>
    <col min="4837" max="4856" width="13" style="1" bestFit="1" customWidth="1"/>
    <col min="4857" max="4860" width="11" style="1" bestFit="1" customWidth="1"/>
    <col min="4861" max="4863" width="12.25" style="1" bestFit="1" customWidth="1"/>
    <col min="4864" max="4874" width="11" style="1" bestFit="1" customWidth="1"/>
    <col min="4875" max="4875" width="13.25" style="1" bestFit="1" customWidth="1"/>
    <col min="4876" max="4876" width="10" style="1" bestFit="1" customWidth="1"/>
    <col min="4877" max="4877" width="11" style="1" bestFit="1" customWidth="1"/>
    <col min="4878" max="5082" width="9" style="1"/>
    <col min="5083" max="5083" width="2.875" style="1" bestFit="1" customWidth="1"/>
    <col min="5084" max="5084" width="16.625" style="1" bestFit="1" customWidth="1"/>
    <col min="5085" max="5085" width="11.375" style="1" bestFit="1" customWidth="1"/>
    <col min="5086" max="5087" width="14.125" style="1" bestFit="1" customWidth="1"/>
    <col min="5088" max="5088" width="11.375" style="1" bestFit="1" customWidth="1"/>
    <col min="5089" max="5091" width="12.5" style="1" bestFit="1" customWidth="1"/>
    <col min="5092" max="5092" width="11" style="1" bestFit="1" customWidth="1"/>
    <col min="5093" max="5112" width="13" style="1" bestFit="1" customWidth="1"/>
    <col min="5113" max="5116" width="11" style="1" bestFit="1" customWidth="1"/>
    <col min="5117" max="5119" width="12.25" style="1" bestFit="1" customWidth="1"/>
    <col min="5120" max="5130" width="11" style="1" bestFit="1" customWidth="1"/>
    <col min="5131" max="5131" width="13.25" style="1" bestFit="1" customWidth="1"/>
    <col min="5132" max="5132" width="10" style="1" bestFit="1" customWidth="1"/>
    <col min="5133" max="5133" width="11" style="1" bestFit="1" customWidth="1"/>
    <col min="5134" max="5338" width="9" style="1"/>
    <col min="5339" max="5339" width="2.875" style="1" bestFit="1" customWidth="1"/>
    <col min="5340" max="5340" width="16.625" style="1" bestFit="1" customWidth="1"/>
    <col min="5341" max="5341" width="11.375" style="1" bestFit="1" customWidth="1"/>
    <col min="5342" max="5343" width="14.125" style="1" bestFit="1" customWidth="1"/>
    <col min="5344" max="5344" width="11.375" style="1" bestFit="1" customWidth="1"/>
    <col min="5345" max="5347" width="12.5" style="1" bestFit="1" customWidth="1"/>
    <col min="5348" max="5348" width="11" style="1" bestFit="1" customWidth="1"/>
    <col min="5349" max="5368" width="13" style="1" bestFit="1" customWidth="1"/>
    <col min="5369" max="5372" width="11" style="1" bestFit="1" customWidth="1"/>
    <col min="5373" max="5375" width="12.25" style="1" bestFit="1" customWidth="1"/>
    <col min="5376" max="5386" width="11" style="1" bestFit="1" customWidth="1"/>
    <col min="5387" max="5387" width="13.25" style="1" bestFit="1" customWidth="1"/>
    <col min="5388" max="5388" width="10" style="1" bestFit="1" customWidth="1"/>
    <col min="5389" max="5389" width="11" style="1" bestFit="1" customWidth="1"/>
    <col min="5390" max="5594" width="9" style="1"/>
    <col min="5595" max="5595" width="2.875" style="1" bestFit="1" customWidth="1"/>
    <col min="5596" max="5596" width="16.625" style="1" bestFit="1" customWidth="1"/>
    <col min="5597" max="5597" width="11.375" style="1" bestFit="1" customWidth="1"/>
    <col min="5598" max="5599" width="14.125" style="1" bestFit="1" customWidth="1"/>
    <col min="5600" max="5600" width="11.375" style="1" bestFit="1" customWidth="1"/>
    <col min="5601" max="5603" width="12.5" style="1" bestFit="1" customWidth="1"/>
    <col min="5604" max="5604" width="11" style="1" bestFit="1" customWidth="1"/>
    <col min="5605" max="5624" width="13" style="1" bestFit="1" customWidth="1"/>
    <col min="5625" max="5628" width="11" style="1" bestFit="1" customWidth="1"/>
    <col min="5629" max="5631" width="12.25" style="1" bestFit="1" customWidth="1"/>
    <col min="5632" max="5642" width="11" style="1" bestFit="1" customWidth="1"/>
    <col min="5643" max="5643" width="13.25" style="1" bestFit="1" customWidth="1"/>
    <col min="5644" max="5644" width="10" style="1" bestFit="1" customWidth="1"/>
    <col min="5645" max="5645" width="11" style="1" bestFit="1" customWidth="1"/>
    <col min="5646" max="5850" width="9" style="1"/>
    <col min="5851" max="5851" width="2.875" style="1" bestFit="1" customWidth="1"/>
    <col min="5852" max="5852" width="16.625" style="1" bestFit="1" customWidth="1"/>
    <col min="5853" max="5853" width="11.375" style="1" bestFit="1" customWidth="1"/>
    <col min="5854" max="5855" width="14.125" style="1" bestFit="1" customWidth="1"/>
    <col min="5856" max="5856" width="11.375" style="1" bestFit="1" customWidth="1"/>
    <col min="5857" max="5859" width="12.5" style="1" bestFit="1" customWidth="1"/>
    <col min="5860" max="5860" width="11" style="1" bestFit="1" customWidth="1"/>
    <col min="5861" max="5880" width="13" style="1" bestFit="1" customWidth="1"/>
    <col min="5881" max="5884" width="11" style="1" bestFit="1" customWidth="1"/>
    <col min="5885" max="5887" width="12.25" style="1" bestFit="1" customWidth="1"/>
    <col min="5888" max="5898" width="11" style="1" bestFit="1" customWidth="1"/>
    <col min="5899" max="5899" width="13.25" style="1" bestFit="1" customWidth="1"/>
    <col min="5900" max="5900" width="10" style="1" bestFit="1" customWidth="1"/>
    <col min="5901" max="5901" width="11" style="1" bestFit="1" customWidth="1"/>
    <col min="5902" max="6106" width="9" style="1"/>
    <col min="6107" max="6107" width="2.875" style="1" bestFit="1" customWidth="1"/>
    <col min="6108" max="6108" width="16.625" style="1" bestFit="1" customWidth="1"/>
    <col min="6109" max="6109" width="11.375" style="1" bestFit="1" customWidth="1"/>
    <col min="6110" max="6111" width="14.125" style="1" bestFit="1" customWidth="1"/>
    <col min="6112" max="6112" width="11.375" style="1" bestFit="1" customWidth="1"/>
    <col min="6113" max="6115" width="12.5" style="1" bestFit="1" customWidth="1"/>
    <col min="6116" max="6116" width="11" style="1" bestFit="1" customWidth="1"/>
    <col min="6117" max="6136" width="13" style="1" bestFit="1" customWidth="1"/>
    <col min="6137" max="6140" width="11" style="1" bestFit="1" customWidth="1"/>
    <col min="6141" max="6143" width="12.25" style="1" bestFit="1" customWidth="1"/>
    <col min="6144" max="6154" width="11" style="1" bestFit="1" customWidth="1"/>
    <col min="6155" max="6155" width="13.25" style="1" bestFit="1" customWidth="1"/>
    <col min="6156" max="6156" width="10" style="1" bestFit="1" customWidth="1"/>
    <col min="6157" max="6157" width="11" style="1" bestFit="1" customWidth="1"/>
    <col min="6158" max="6362" width="9" style="1"/>
    <col min="6363" max="6363" width="2.875" style="1" bestFit="1" customWidth="1"/>
    <col min="6364" max="6364" width="16.625" style="1" bestFit="1" customWidth="1"/>
    <col min="6365" max="6365" width="11.375" style="1" bestFit="1" customWidth="1"/>
    <col min="6366" max="6367" width="14.125" style="1" bestFit="1" customWidth="1"/>
    <col min="6368" max="6368" width="11.375" style="1" bestFit="1" customWidth="1"/>
    <col min="6369" max="6371" width="12.5" style="1" bestFit="1" customWidth="1"/>
    <col min="6372" max="6372" width="11" style="1" bestFit="1" customWidth="1"/>
    <col min="6373" max="6392" width="13" style="1" bestFit="1" customWidth="1"/>
    <col min="6393" max="6396" width="11" style="1" bestFit="1" customWidth="1"/>
    <col min="6397" max="6399" width="12.25" style="1" bestFit="1" customWidth="1"/>
    <col min="6400" max="6410" width="11" style="1" bestFit="1" customWidth="1"/>
    <col min="6411" max="6411" width="13.25" style="1" bestFit="1" customWidth="1"/>
    <col min="6412" max="6412" width="10" style="1" bestFit="1" customWidth="1"/>
    <col min="6413" max="6413" width="11" style="1" bestFit="1" customWidth="1"/>
    <col min="6414" max="6618" width="9" style="1"/>
    <col min="6619" max="6619" width="2.875" style="1" bestFit="1" customWidth="1"/>
    <col min="6620" max="6620" width="16.625" style="1" bestFit="1" customWidth="1"/>
    <col min="6621" max="6621" width="11.375" style="1" bestFit="1" customWidth="1"/>
    <col min="6622" max="6623" width="14.125" style="1" bestFit="1" customWidth="1"/>
    <col min="6624" max="6624" width="11.375" style="1" bestFit="1" customWidth="1"/>
    <col min="6625" max="6627" width="12.5" style="1" bestFit="1" customWidth="1"/>
    <col min="6628" max="6628" width="11" style="1" bestFit="1" customWidth="1"/>
    <col min="6629" max="6648" width="13" style="1" bestFit="1" customWidth="1"/>
    <col min="6649" max="6652" width="11" style="1" bestFit="1" customWidth="1"/>
    <col min="6653" max="6655" width="12.25" style="1" bestFit="1" customWidth="1"/>
    <col min="6656" max="6666" width="11" style="1" bestFit="1" customWidth="1"/>
    <col min="6667" max="6667" width="13.25" style="1" bestFit="1" customWidth="1"/>
    <col min="6668" max="6668" width="10" style="1" bestFit="1" customWidth="1"/>
    <col min="6669" max="6669" width="11" style="1" bestFit="1" customWidth="1"/>
    <col min="6670" max="6874" width="9" style="1"/>
    <col min="6875" max="6875" width="2.875" style="1" bestFit="1" customWidth="1"/>
    <col min="6876" max="6876" width="16.625" style="1" bestFit="1" customWidth="1"/>
    <col min="6877" max="6877" width="11.375" style="1" bestFit="1" customWidth="1"/>
    <col min="6878" max="6879" width="14.125" style="1" bestFit="1" customWidth="1"/>
    <col min="6880" max="6880" width="11.375" style="1" bestFit="1" customWidth="1"/>
    <col min="6881" max="6883" width="12.5" style="1" bestFit="1" customWidth="1"/>
    <col min="6884" max="6884" width="11" style="1" bestFit="1" customWidth="1"/>
    <col min="6885" max="6904" width="13" style="1" bestFit="1" customWidth="1"/>
    <col min="6905" max="6908" width="11" style="1" bestFit="1" customWidth="1"/>
    <col min="6909" max="6911" width="12.25" style="1" bestFit="1" customWidth="1"/>
    <col min="6912" max="6922" width="11" style="1" bestFit="1" customWidth="1"/>
    <col min="6923" max="6923" width="13.25" style="1" bestFit="1" customWidth="1"/>
    <col min="6924" max="6924" width="10" style="1" bestFit="1" customWidth="1"/>
    <col min="6925" max="6925" width="11" style="1" bestFit="1" customWidth="1"/>
    <col min="6926" max="7130" width="9" style="1"/>
    <col min="7131" max="7131" width="2.875" style="1" bestFit="1" customWidth="1"/>
    <col min="7132" max="7132" width="16.625" style="1" bestFit="1" customWidth="1"/>
    <col min="7133" max="7133" width="11.375" style="1" bestFit="1" customWidth="1"/>
    <col min="7134" max="7135" width="14.125" style="1" bestFit="1" customWidth="1"/>
    <col min="7136" max="7136" width="11.375" style="1" bestFit="1" customWidth="1"/>
    <col min="7137" max="7139" width="12.5" style="1" bestFit="1" customWidth="1"/>
    <col min="7140" max="7140" width="11" style="1" bestFit="1" customWidth="1"/>
    <col min="7141" max="7160" width="13" style="1" bestFit="1" customWidth="1"/>
    <col min="7161" max="7164" width="11" style="1" bestFit="1" customWidth="1"/>
    <col min="7165" max="7167" width="12.25" style="1" bestFit="1" customWidth="1"/>
    <col min="7168" max="7178" width="11" style="1" bestFit="1" customWidth="1"/>
    <col min="7179" max="7179" width="13.25" style="1" bestFit="1" customWidth="1"/>
    <col min="7180" max="7180" width="10" style="1" bestFit="1" customWidth="1"/>
    <col min="7181" max="7181" width="11" style="1" bestFit="1" customWidth="1"/>
    <col min="7182" max="7386" width="9" style="1"/>
    <col min="7387" max="7387" width="2.875" style="1" bestFit="1" customWidth="1"/>
    <col min="7388" max="7388" width="16.625" style="1" bestFit="1" customWidth="1"/>
    <col min="7389" max="7389" width="11.375" style="1" bestFit="1" customWidth="1"/>
    <col min="7390" max="7391" width="14.125" style="1" bestFit="1" customWidth="1"/>
    <col min="7392" max="7392" width="11.375" style="1" bestFit="1" customWidth="1"/>
    <col min="7393" max="7395" width="12.5" style="1" bestFit="1" customWidth="1"/>
    <col min="7396" max="7396" width="11" style="1" bestFit="1" customWidth="1"/>
    <col min="7397" max="7416" width="13" style="1" bestFit="1" customWidth="1"/>
    <col min="7417" max="7420" width="11" style="1" bestFit="1" customWidth="1"/>
    <col min="7421" max="7423" width="12.25" style="1" bestFit="1" customWidth="1"/>
    <col min="7424" max="7434" width="11" style="1" bestFit="1" customWidth="1"/>
    <col min="7435" max="7435" width="13.25" style="1" bestFit="1" customWidth="1"/>
    <col min="7436" max="7436" width="10" style="1" bestFit="1" customWidth="1"/>
    <col min="7437" max="7437" width="11" style="1" bestFit="1" customWidth="1"/>
    <col min="7438" max="7642" width="9" style="1"/>
    <col min="7643" max="7643" width="2.875" style="1" bestFit="1" customWidth="1"/>
    <col min="7644" max="7644" width="16.625" style="1" bestFit="1" customWidth="1"/>
    <col min="7645" max="7645" width="11.375" style="1" bestFit="1" customWidth="1"/>
    <col min="7646" max="7647" width="14.125" style="1" bestFit="1" customWidth="1"/>
    <col min="7648" max="7648" width="11.375" style="1" bestFit="1" customWidth="1"/>
    <col min="7649" max="7651" width="12.5" style="1" bestFit="1" customWidth="1"/>
    <col min="7652" max="7652" width="11" style="1" bestFit="1" customWidth="1"/>
    <col min="7653" max="7672" width="13" style="1" bestFit="1" customWidth="1"/>
    <col min="7673" max="7676" width="11" style="1" bestFit="1" customWidth="1"/>
    <col min="7677" max="7679" width="12.25" style="1" bestFit="1" customWidth="1"/>
    <col min="7680" max="7690" width="11" style="1" bestFit="1" customWidth="1"/>
    <col min="7691" max="7691" width="13.25" style="1" bestFit="1" customWidth="1"/>
    <col min="7692" max="7692" width="10" style="1" bestFit="1" customWidth="1"/>
    <col min="7693" max="7693" width="11" style="1" bestFit="1" customWidth="1"/>
    <col min="7694" max="7898" width="9" style="1"/>
    <col min="7899" max="7899" width="2.875" style="1" bestFit="1" customWidth="1"/>
    <col min="7900" max="7900" width="16.625" style="1" bestFit="1" customWidth="1"/>
    <col min="7901" max="7901" width="11.375" style="1" bestFit="1" customWidth="1"/>
    <col min="7902" max="7903" width="14.125" style="1" bestFit="1" customWidth="1"/>
    <col min="7904" max="7904" width="11.375" style="1" bestFit="1" customWidth="1"/>
    <col min="7905" max="7907" width="12.5" style="1" bestFit="1" customWidth="1"/>
    <col min="7908" max="7908" width="11" style="1" bestFit="1" customWidth="1"/>
    <col min="7909" max="7928" width="13" style="1" bestFit="1" customWidth="1"/>
    <col min="7929" max="7932" width="11" style="1" bestFit="1" customWidth="1"/>
    <col min="7933" max="7935" width="12.25" style="1" bestFit="1" customWidth="1"/>
    <col min="7936" max="7946" width="11" style="1" bestFit="1" customWidth="1"/>
    <col min="7947" max="7947" width="13.25" style="1" bestFit="1" customWidth="1"/>
    <col min="7948" max="7948" width="10" style="1" bestFit="1" customWidth="1"/>
    <col min="7949" max="7949" width="11" style="1" bestFit="1" customWidth="1"/>
    <col min="7950" max="8154" width="9" style="1"/>
    <col min="8155" max="8155" width="2.875" style="1" bestFit="1" customWidth="1"/>
    <col min="8156" max="8156" width="16.625" style="1" bestFit="1" customWidth="1"/>
    <col min="8157" max="8157" width="11.375" style="1" bestFit="1" customWidth="1"/>
    <col min="8158" max="8159" width="14.125" style="1" bestFit="1" customWidth="1"/>
    <col min="8160" max="8160" width="11.375" style="1" bestFit="1" customWidth="1"/>
    <col min="8161" max="8163" width="12.5" style="1" bestFit="1" customWidth="1"/>
    <col min="8164" max="8164" width="11" style="1" bestFit="1" customWidth="1"/>
    <col min="8165" max="8184" width="13" style="1" bestFit="1" customWidth="1"/>
    <col min="8185" max="8188" width="11" style="1" bestFit="1" customWidth="1"/>
    <col min="8189" max="8191" width="12.25" style="1" bestFit="1" customWidth="1"/>
    <col min="8192" max="8202" width="11" style="1" bestFit="1" customWidth="1"/>
    <col min="8203" max="8203" width="13.25" style="1" bestFit="1" customWidth="1"/>
    <col min="8204" max="8204" width="10" style="1" bestFit="1" customWidth="1"/>
    <col min="8205" max="8205" width="11" style="1" bestFit="1" customWidth="1"/>
    <col min="8206" max="8410" width="9" style="1"/>
    <col min="8411" max="8411" width="2.875" style="1" bestFit="1" customWidth="1"/>
    <col min="8412" max="8412" width="16.625" style="1" bestFit="1" customWidth="1"/>
    <col min="8413" max="8413" width="11.375" style="1" bestFit="1" customWidth="1"/>
    <col min="8414" max="8415" width="14.125" style="1" bestFit="1" customWidth="1"/>
    <col min="8416" max="8416" width="11.375" style="1" bestFit="1" customWidth="1"/>
    <col min="8417" max="8419" width="12.5" style="1" bestFit="1" customWidth="1"/>
    <col min="8420" max="8420" width="11" style="1" bestFit="1" customWidth="1"/>
    <col min="8421" max="8440" width="13" style="1" bestFit="1" customWidth="1"/>
    <col min="8441" max="8444" width="11" style="1" bestFit="1" customWidth="1"/>
    <col min="8445" max="8447" width="12.25" style="1" bestFit="1" customWidth="1"/>
    <col min="8448" max="8458" width="11" style="1" bestFit="1" customWidth="1"/>
    <col min="8459" max="8459" width="13.25" style="1" bestFit="1" customWidth="1"/>
    <col min="8460" max="8460" width="10" style="1" bestFit="1" customWidth="1"/>
    <col min="8461" max="8461" width="11" style="1" bestFit="1" customWidth="1"/>
    <col min="8462" max="8666" width="9" style="1"/>
    <col min="8667" max="8667" width="2.875" style="1" bestFit="1" customWidth="1"/>
    <col min="8668" max="8668" width="16.625" style="1" bestFit="1" customWidth="1"/>
    <col min="8669" max="8669" width="11.375" style="1" bestFit="1" customWidth="1"/>
    <col min="8670" max="8671" width="14.125" style="1" bestFit="1" customWidth="1"/>
    <col min="8672" max="8672" width="11.375" style="1" bestFit="1" customWidth="1"/>
    <col min="8673" max="8675" width="12.5" style="1" bestFit="1" customWidth="1"/>
    <col min="8676" max="8676" width="11" style="1" bestFit="1" customWidth="1"/>
    <col min="8677" max="8696" width="13" style="1" bestFit="1" customWidth="1"/>
    <col min="8697" max="8700" width="11" style="1" bestFit="1" customWidth="1"/>
    <col min="8701" max="8703" width="12.25" style="1" bestFit="1" customWidth="1"/>
    <col min="8704" max="8714" width="11" style="1" bestFit="1" customWidth="1"/>
    <col min="8715" max="8715" width="13.25" style="1" bestFit="1" customWidth="1"/>
    <col min="8716" max="8716" width="10" style="1" bestFit="1" customWidth="1"/>
    <col min="8717" max="8717" width="11" style="1" bestFit="1" customWidth="1"/>
    <col min="8718" max="8922" width="9" style="1"/>
    <col min="8923" max="8923" width="2.875" style="1" bestFit="1" customWidth="1"/>
    <col min="8924" max="8924" width="16.625" style="1" bestFit="1" customWidth="1"/>
    <col min="8925" max="8925" width="11.375" style="1" bestFit="1" customWidth="1"/>
    <col min="8926" max="8927" width="14.125" style="1" bestFit="1" customWidth="1"/>
    <col min="8928" max="8928" width="11.375" style="1" bestFit="1" customWidth="1"/>
    <col min="8929" max="8931" width="12.5" style="1" bestFit="1" customWidth="1"/>
    <col min="8932" max="8932" width="11" style="1" bestFit="1" customWidth="1"/>
    <col min="8933" max="8952" width="13" style="1" bestFit="1" customWidth="1"/>
    <col min="8953" max="8956" width="11" style="1" bestFit="1" customWidth="1"/>
    <col min="8957" max="8959" width="12.25" style="1" bestFit="1" customWidth="1"/>
    <col min="8960" max="8970" width="11" style="1" bestFit="1" customWidth="1"/>
    <col min="8971" max="8971" width="13.25" style="1" bestFit="1" customWidth="1"/>
    <col min="8972" max="8972" width="10" style="1" bestFit="1" customWidth="1"/>
    <col min="8973" max="8973" width="11" style="1" bestFit="1" customWidth="1"/>
    <col min="8974" max="9178" width="9" style="1"/>
    <col min="9179" max="9179" width="2.875" style="1" bestFit="1" customWidth="1"/>
    <col min="9180" max="9180" width="16.625" style="1" bestFit="1" customWidth="1"/>
    <col min="9181" max="9181" width="11.375" style="1" bestFit="1" customWidth="1"/>
    <col min="9182" max="9183" width="14.125" style="1" bestFit="1" customWidth="1"/>
    <col min="9184" max="9184" width="11.375" style="1" bestFit="1" customWidth="1"/>
    <col min="9185" max="9187" width="12.5" style="1" bestFit="1" customWidth="1"/>
    <col min="9188" max="9188" width="11" style="1" bestFit="1" customWidth="1"/>
    <col min="9189" max="9208" width="13" style="1" bestFit="1" customWidth="1"/>
    <col min="9209" max="9212" width="11" style="1" bestFit="1" customWidth="1"/>
    <col min="9213" max="9215" width="12.25" style="1" bestFit="1" customWidth="1"/>
    <col min="9216" max="9226" width="11" style="1" bestFit="1" customWidth="1"/>
    <col min="9227" max="9227" width="13.25" style="1" bestFit="1" customWidth="1"/>
    <col min="9228" max="9228" width="10" style="1" bestFit="1" customWidth="1"/>
    <col min="9229" max="9229" width="11" style="1" bestFit="1" customWidth="1"/>
    <col min="9230" max="9434" width="9" style="1"/>
    <col min="9435" max="9435" width="2.875" style="1" bestFit="1" customWidth="1"/>
    <col min="9436" max="9436" width="16.625" style="1" bestFit="1" customWidth="1"/>
    <col min="9437" max="9437" width="11.375" style="1" bestFit="1" customWidth="1"/>
    <col min="9438" max="9439" width="14.125" style="1" bestFit="1" customWidth="1"/>
    <col min="9440" max="9440" width="11.375" style="1" bestFit="1" customWidth="1"/>
    <col min="9441" max="9443" width="12.5" style="1" bestFit="1" customWidth="1"/>
    <col min="9444" max="9444" width="11" style="1" bestFit="1" customWidth="1"/>
    <col min="9445" max="9464" width="13" style="1" bestFit="1" customWidth="1"/>
    <col min="9465" max="9468" width="11" style="1" bestFit="1" customWidth="1"/>
    <col min="9469" max="9471" width="12.25" style="1" bestFit="1" customWidth="1"/>
    <col min="9472" max="9482" width="11" style="1" bestFit="1" customWidth="1"/>
    <col min="9483" max="9483" width="13.25" style="1" bestFit="1" customWidth="1"/>
    <col min="9484" max="9484" width="10" style="1" bestFit="1" customWidth="1"/>
    <col min="9485" max="9485" width="11" style="1" bestFit="1" customWidth="1"/>
    <col min="9486" max="9690" width="9" style="1"/>
    <col min="9691" max="9691" width="2.875" style="1" bestFit="1" customWidth="1"/>
    <col min="9692" max="9692" width="16.625" style="1" bestFit="1" customWidth="1"/>
    <col min="9693" max="9693" width="11.375" style="1" bestFit="1" customWidth="1"/>
    <col min="9694" max="9695" width="14.125" style="1" bestFit="1" customWidth="1"/>
    <col min="9696" max="9696" width="11.375" style="1" bestFit="1" customWidth="1"/>
    <col min="9697" max="9699" width="12.5" style="1" bestFit="1" customWidth="1"/>
    <col min="9700" max="9700" width="11" style="1" bestFit="1" customWidth="1"/>
    <col min="9701" max="9720" width="13" style="1" bestFit="1" customWidth="1"/>
    <col min="9721" max="9724" width="11" style="1" bestFit="1" customWidth="1"/>
    <col min="9725" max="9727" width="12.25" style="1" bestFit="1" customWidth="1"/>
    <col min="9728" max="9738" width="11" style="1" bestFit="1" customWidth="1"/>
    <col min="9739" max="9739" width="13.25" style="1" bestFit="1" customWidth="1"/>
    <col min="9740" max="9740" width="10" style="1" bestFit="1" customWidth="1"/>
    <col min="9741" max="9741" width="11" style="1" bestFit="1" customWidth="1"/>
    <col min="9742" max="9946" width="9" style="1"/>
    <col min="9947" max="9947" width="2.875" style="1" bestFit="1" customWidth="1"/>
    <col min="9948" max="9948" width="16.625" style="1" bestFit="1" customWidth="1"/>
    <col min="9949" max="9949" width="11.375" style="1" bestFit="1" customWidth="1"/>
    <col min="9950" max="9951" width="14.125" style="1" bestFit="1" customWidth="1"/>
    <col min="9952" max="9952" width="11.375" style="1" bestFit="1" customWidth="1"/>
    <col min="9953" max="9955" width="12.5" style="1" bestFit="1" customWidth="1"/>
    <col min="9956" max="9956" width="11" style="1" bestFit="1" customWidth="1"/>
    <col min="9957" max="9976" width="13" style="1" bestFit="1" customWidth="1"/>
    <col min="9977" max="9980" width="11" style="1" bestFit="1" customWidth="1"/>
    <col min="9981" max="9983" width="12.25" style="1" bestFit="1" customWidth="1"/>
    <col min="9984" max="9994" width="11" style="1" bestFit="1" customWidth="1"/>
    <col min="9995" max="9995" width="13.25" style="1" bestFit="1" customWidth="1"/>
    <col min="9996" max="9996" width="10" style="1" bestFit="1" customWidth="1"/>
    <col min="9997" max="9997" width="11" style="1" bestFit="1" customWidth="1"/>
    <col min="9998" max="10202" width="9" style="1"/>
    <col min="10203" max="10203" width="2.875" style="1" bestFit="1" customWidth="1"/>
    <col min="10204" max="10204" width="16.625" style="1" bestFit="1" customWidth="1"/>
    <col min="10205" max="10205" width="11.375" style="1" bestFit="1" customWidth="1"/>
    <col min="10206" max="10207" width="14.125" style="1" bestFit="1" customWidth="1"/>
    <col min="10208" max="10208" width="11.375" style="1" bestFit="1" customWidth="1"/>
    <col min="10209" max="10211" width="12.5" style="1" bestFit="1" customWidth="1"/>
    <col min="10212" max="10212" width="11" style="1" bestFit="1" customWidth="1"/>
    <col min="10213" max="10232" width="13" style="1" bestFit="1" customWidth="1"/>
    <col min="10233" max="10236" width="11" style="1" bestFit="1" customWidth="1"/>
    <col min="10237" max="10239" width="12.25" style="1" bestFit="1" customWidth="1"/>
    <col min="10240" max="10250" width="11" style="1" bestFit="1" customWidth="1"/>
    <col min="10251" max="10251" width="13.25" style="1" bestFit="1" customWidth="1"/>
    <col min="10252" max="10252" width="10" style="1" bestFit="1" customWidth="1"/>
    <col min="10253" max="10253" width="11" style="1" bestFit="1" customWidth="1"/>
    <col min="10254" max="10458" width="9" style="1"/>
    <col min="10459" max="10459" width="2.875" style="1" bestFit="1" customWidth="1"/>
    <col min="10460" max="10460" width="16.625" style="1" bestFit="1" customWidth="1"/>
    <col min="10461" max="10461" width="11.375" style="1" bestFit="1" customWidth="1"/>
    <col min="10462" max="10463" width="14.125" style="1" bestFit="1" customWidth="1"/>
    <col min="10464" max="10464" width="11.375" style="1" bestFit="1" customWidth="1"/>
    <col min="10465" max="10467" width="12.5" style="1" bestFit="1" customWidth="1"/>
    <col min="10468" max="10468" width="11" style="1" bestFit="1" customWidth="1"/>
    <col min="10469" max="10488" width="13" style="1" bestFit="1" customWidth="1"/>
    <col min="10489" max="10492" width="11" style="1" bestFit="1" customWidth="1"/>
    <col min="10493" max="10495" width="12.25" style="1" bestFit="1" customWidth="1"/>
    <col min="10496" max="10506" width="11" style="1" bestFit="1" customWidth="1"/>
    <col min="10507" max="10507" width="13.25" style="1" bestFit="1" customWidth="1"/>
    <col min="10508" max="10508" width="10" style="1" bestFit="1" customWidth="1"/>
    <col min="10509" max="10509" width="11" style="1" bestFit="1" customWidth="1"/>
    <col min="10510" max="10714" width="9" style="1"/>
    <col min="10715" max="10715" width="2.875" style="1" bestFit="1" customWidth="1"/>
    <col min="10716" max="10716" width="16.625" style="1" bestFit="1" customWidth="1"/>
    <col min="10717" max="10717" width="11.375" style="1" bestFit="1" customWidth="1"/>
    <col min="10718" max="10719" width="14.125" style="1" bestFit="1" customWidth="1"/>
    <col min="10720" max="10720" width="11.375" style="1" bestFit="1" customWidth="1"/>
    <col min="10721" max="10723" width="12.5" style="1" bestFit="1" customWidth="1"/>
    <col min="10724" max="10724" width="11" style="1" bestFit="1" customWidth="1"/>
    <col min="10725" max="10744" width="13" style="1" bestFit="1" customWidth="1"/>
    <col min="10745" max="10748" width="11" style="1" bestFit="1" customWidth="1"/>
    <col min="10749" max="10751" width="12.25" style="1" bestFit="1" customWidth="1"/>
    <col min="10752" max="10762" width="11" style="1" bestFit="1" customWidth="1"/>
    <col min="10763" max="10763" width="13.25" style="1" bestFit="1" customWidth="1"/>
    <col min="10764" max="10764" width="10" style="1" bestFit="1" customWidth="1"/>
    <col min="10765" max="10765" width="11" style="1" bestFit="1" customWidth="1"/>
    <col min="10766" max="10970" width="9" style="1"/>
    <col min="10971" max="10971" width="2.875" style="1" bestFit="1" customWidth="1"/>
    <col min="10972" max="10972" width="16.625" style="1" bestFit="1" customWidth="1"/>
    <col min="10973" max="10973" width="11.375" style="1" bestFit="1" customWidth="1"/>
    <col min="10974" max="10975" width="14.125" style="1" bestFit="1" customWidth="1"/>
    <col min="10976" max="10976" width="11.375" style="1" bestFit="1" customWidth="1"/>
    <col min="10977" max="10979" width="12.5" style="1" bestFit="1" customWidth="1"/>
    <col min="10980" max="10980" width="11" style="1" bestFit="1" customWidth="1"/>
    <col min="10981" max="11000" width="13" style="1" bestFit="1" customWidth="1"/>
    <col min="11001" max="11004" width="11" style="1" bestFit="1" customWidth="1"/>
    <col min="11005" max="11007" width="12.25" style="1" bestFit="1" customWidth="1"/>
    <col min="11008" max="11018" width="11" style="1" bestFit="1" customWidth="1"/>
    <col min="11019" max="11019" width="13.25" style="1" bestFit="1" customWidth="1"/>
    <col min="11020" max="11020" width="10" style="1" bestFit="1" customWidth="1"/>
    <col min="11021" max="11021" width="11" style="1" bestFit="1" customWidth="1"/>
    <col min="11022" max="11226" width="9" style="1"/>
    <col min="11227" max="11227" width="2.875" style="1" bestFit="1" customWidth="1"/>
    <col min="11228" max="11228" width="16.625" style="1" bestFit="1" customWidth="1"/>
    <col min="11229" max="11229" width="11.375" style="1" bestFit="1" customWidth="1"/>
    <col min="11230" max="11231" width="14.125" style="1" bestFit="1" customWidth="1"/>
    <col min="11232" max="11232" width="11.375" style="1" bestFit="1" customWidth="1"/>
    <col min="11233" max="11235" width="12.5" style="1" bestFit="1" customWidth="1"/>
    <col min="11236" max="11236" width="11" style="1" bestFit="1" customWidth="1"/>
    <col min="11237" max="11256" width="13" style="1" bestFit="1" customWidth="1"/>
    <col min="11257" max="11260" width="11" style="1" bestFit="1" customWidth="1"/>
    <col min="11261" max="11263" width="12.25" style="1" bestFit="1" customWidth="1"/>
    <col min="11264" max="11274" width="11" style="1" bestFit="1" customWidth="1"/>
    <col min="11275" max="11275" width="13.25" style="1" bestFit="1" customWidth="1"/>
    <col min="11276" max="11276" width="10" style="1" bestFit="1" customWidth="1"/>
    <col min="11277" max="11277" width="11" style="1" bestFit="1" customWidth="1"/>
    <col min="11278" max="11482" width="9" style="1"/>
    <col min="11483" max="11483" width="2.875" style="1" bestFit="1" customWidth="1"/>
    <col min="11484" max="11484" width="16.625" style="1" bestFit="1" customWidth="1"/>
    <col min="11485" max="11485" width="11.375" style="1" bestFit="1" customWidth="1"/>
    <col min="11486" max="11487" width="14.125" style="1" bestFit="1" customWidth="1"/>
    <col min="11488" max="11488" width="11.375" style="1" bestFit="1" customWidth="1"/>
    <col min="11489" max="11491" width="12.5" style="1" bestFit="1" customWidth="1"/>
    <col min="11492" max="11492" width="11" style="1" bestFit="1" customWidth="1"/>
    <col min="11493" max="11512" width="13" style="1" bestFit="1" customWidth="1"/>
    <col min="11513" max="11516" width="11" style="1" bestFit="1" customWidth="1"/>
    <col min="11517" max="11519" width="12.25" style="1" bestFit="1" customWidth="1"/>
    <col min="11520" max="11530" width="11" style="1" bestFit="1" customWidth="1"/>
    <col min="11531" max="11531" width="13.25" style="1" bestFit="1" customWidth="1"/>
    <col min="11532" max="11532" width="10" style="1" bestFit="1" customWidth="1"/>
    <col min="11533" max="11533" width="11" style="1" bestFit="1" customWidth="1"/>
    <col min="11534" max="11738" width="9" style="1"/>
    <col min="11739" max="11739" width="2.875" style="1" bestFit="1" customWidth="1"/>
    <col min="11740" max="11740" width="16.625" style="1" bestFit="1" customWidth="1"/>
    <col min="11741" max="11741" width="11.375" style="1" bestFit="1" customWidth="1"/>
    <col min="11742" max="11743" width="14.125" style="1" bestFit="1" customWidth="1"/>
    <col min="11744" max="11744" width="11.375" style="1" bestFit="1" customWidth="1"/>
    <col min="11745" max="11747" width="12.5" style="1" bestFit="1" customWidth="1"/>
    <col min="11748" max="11748" width="11" style="1" bestFit="1" customWidth="1"/>
    <col min="11749" max="11768" width="13" style="1" bestFit="1" customWidth="1"/>
    <col min="11769" max="11772" width="11" style="1" bestFit="1" customWidth="1"/>
    <col min="11773" max="11775" width="12.25" style="1" bestFit="1" customWidth="1"/>
    <col min="11776" max="11786" width="11" style="1" bestFit="1" customWidth="1"/>
    <col min="11787" max="11787" width="13.25" style="1" bestFit="1" customWidth="1"/>
    <col min="11788" max="11788" width="10" style="1" bestFit="1" customWidth="1"/>
    <col min="11789" max="11789" width="11" style="1" bestFit="1" customWidth="1"/>
    <col min="11790" max="11994" width="9" style="1"/>
    <col min="11995" max="11995" width="2.875" style="1" bestFit="1" customWidth="1"/>
    <col min="11996" max="11996" width="16.625" style="1" bestFit="1" customWidth="1"/>
    <col min="11997" max="11997" width="11.375" style="1" bestFit="1" customWidth="1"/>
    <col min="11998" max="11999" width="14.125" style="1" bestFit="1" customWidth="1"/>
    <col min="12000" max="12000" width="11.375" style="1" bestFit="1" customWidth="1"/>
    <col min="12001" max="12003" width="12.5" style="1" bestFit="1" customWidth="1"/>
    <col min="12004" max="12004" width="11" style="1" bestFit="1" customWidth="1"/>
    <col min="12005" max="12024" width="13" style="1" bestFit="1" customWidth="1"/>
    <col min="12025" max="12028" width="11" style="1" bestFit="1" customWidth="1"/>
    <col min="12029" max="12031" width="12.25" style="1" bestFit="1" customWidth="1"/>
    <col min="12032" max="12042" width="11" style="1" bestFit="1" customWidth="1"/>
    <col min="12043" max="12043" width="13.25" style="1" bestFit="1" customWidth="1"/>
    <col min="12044" max="12044" width="10" style="1" bestFit="1" customWidth="1"/>
    <col min="12045" max="12045" width="11" style="1" bestFit="1" customWidth="1"/>
    <col min="12046" max="12250" width="9" style="1"/>
    <col min="12251" max="12251" width="2.875" style="1" bestFit="1" customWidth="1"/>
    <col min="12252" max="12252" width="16.625" style="1" bestFit="1" customWidth="1"/>
    <col min="12253" max="12253" width="11.375" style="1" bestFit="1" customWidth="1"/>
    <col min="12254" max="12255" width="14.125" style="1" bestFit="1" customWidth="1"/>
    <col min="12256" max="12256" width="11.375" style="1" bestFit="1" customWidth="1"/>
    <col min="12257" max="12259" width="12.5" style="1" bestFit="1" customWidth="1"/>
    <col min="12260" max="12260" width="11" style="1" bestFit="1" customWidth="1"/>
    <col min="12261" max="12280" width="13" style="1" bestFit="1" customWidth="1"/>
    <col min="12281" max="12284" width="11" style="1" bestFit="1" customWidth="1"/>
    <col min="12285" max="12287" width="12.25" style="1" bestFit="1" customWidth="1"/>
    <col min="12288" max="12298" width="11" style="1" bestFit="1" customWidth="1"/>
    <col min="12299" max="12299" width="13.25" style="1" bestFit="1" customWidth="1"/>
    <col min="12300" max="12300" width="10" style="1" bestFit="1" customWidth="1"/>
    <col min="12301" max="12301" width="11" style="1" bestFit="1" customWidth="1"/>
    <col min="12302" max="12506" width="9" style="1"/>
    <col min="12507" max="12507" width="2.875" style="1" bestFit="1" customWidth="1"/>
    <col min="12508" max="12508" width="16.625" style="1" bestFit="1" customWidth="1"/>
    <col min="12509" max="12509" width="11.375" style="1" bestFit="1" customWidth="1"/>
    <col min="12510" max="12511" width="14.125" style="1" bestFit="1" customWidth="1"/>
    <col min="12512" max="12512" width="11.375" style="1" bestFit="1" customWidth="1"/>
    <col min="12513" max="12515" width="12.5" style="1" bestFit="1" customWidth="1"/>
    <col min="12516" max="12516" width="11" style="1" bestFit="1" customWidth="1"/>
    <col min="12517" max="12536" width="13" style="1" bestFit="1" customWidth="1"/>
    <col min="12537" max="12540" width="11" style="1" bestFit="1" customWidth="1"/>
    <col min="12541" max="12543" width="12.25" style="1" bestFit="1" customWidth="1"/>
    <col min="12544" max="12554" width="11" style="1" bestFit="1" customWidth="1"/>
    <col min="12555" max="12555" width="13.25" style="1" bestFit="1" customWidth="1"/>
    <col min="12556" max="12556" width="10" style="1" bestFit="1" customWidth="1"/>
    <col min="12557" max="12557" width="11" style="1" bestFit="1" customWidth="1"/>
    <col min="12558" max="12762" width="9" style="1"/>
    <col min="12763" max="12763" width="2.875" style="1" bestFit="1" customWidth="1"/>
    <col min="12764" max="12764" width="16.625" style="1" bestFit="1" customWidth="1"/>
    <col min="12765" max="12765" width="11.375" style="1" bestFit="1" customWidth="1"/>
    <col min="12766" max="12767" width="14.125" style="1" bestFit="1" customWidth="1"/>
    <col min="12768" max="12768" width="11.375" style="1" bestFit="1" customWidth="1"/>
    <col min="12769" max="12771" width="12.5" style="1" bestFit="1" customWidth="1"/>
    <col min="12772" max="12772" width="11" style="1" bestFit="1" customWidth="1"/>
    <col min="12773" max="12792" width="13" style="1" bestFit="1" customWidth="1"/>
    <col min="12793" max="12796" width="11" style="1" bestFit="1" customWidth="1"/>
    <col min="12797" max="12799" width="12.25" style="1" bestFit="1" customWidth="1"/>
    <col min="12800" max="12810" width="11" style="1" bestFit="1" customWidth="1"/>
    <col min="12811" max="12811" width="13.25" style="1" bestFit="1" customWidth="1"/>
    <col min="12812" max="12812" width="10" style="1" bestFit="1" customWidth="1"/>
    <col min="12813" max="12813" width="11" style="1" bestFit="1" customWidth="1"/>
    <col min="12814" max="13018" width="9" style="1"/>
    <col min="13019" max="13019" width="2.875" style="1" bestFit="1" customWidth="1"/>
    <col min="13020" max="13020" width="16.625" style="1" bestFit="1" customWidth="1"/>
    <col min="13021" max="13021" width="11.375" style="1" bestFit="1" customWidth="1"/>
    <col min="13022" max="13023" width="14.125" style="1" bestFit="1" customWidth="1"/>
    <col min="13024" max="13024" width="11.375" style="1" bestFit="1" customWidth="1"/>
    <col min="13025" max="13027" width="12.5" style="1" bestFit="1" customWidth="1"/>
    <col min="13028" max="13028" width="11" style="1" bestFit="1" customWidth="1"/>
    <col min="13029" max="13048" width="13" style="1" bestFit="1" customWidth="1"/>
    <col min="13049" max="13052" width="11" style="1" bestFit="1" customWidth="1"/>
    <col min="13053" max="13055" width="12.25" style="1" bestFit="1" customWidth="1"/>
    <col min="13056" max="13066" width="11" style="1" bestFit="1" customWidth="1"/>
    <col min="13067" max="13067" width="13.25" style="1" bestFit="1" customWidth="1"/>
    <col min="13068" max="13068" width="10" style="1" bestFit="1" customWidth="1"/>
    <col min="13069" max="13069" width="11" style="1" bestFit="1" customWidth="1"/>
    <col min="13070" max="13274" width="9" style="1"/>
    <col min="13275" max="13275" width="2.875" style="1" bestFit="1" customWidth="1"/>
    <col min="13276" max="13276" width="16.625" style="1" bestFit="1" customWidth="1"/>
    <col min="13277" max="13277" width="11.375" style="1" bestFit="1" customWidth="1"/>
    <col min="13278" max="13279" width="14.125" style="1" bestFit="1" customWidth="1"/>
    <col min="13280" max="13280" width="11.375" style="1" bestFit="1" customWidth="1"/>
    <col min="13281" max="13283" width="12.5" style="1" bestFit="1" customWidth="1"/>
    <col min="13284" max="13284" width="11" style="1" bestFit="1" customWidth="1"/>
    <col min="13285" max="13304" width="13" style="1" bestFit="1" customWidth="1"/>
    <col min="13305" max="13308" width="11" style="1" bestFit="1" customWidth="1"/>
    <col min="13309" max="13311" width="12.25" style="1" bestFit="1" customWidth="1"/>
    <col min="13312" max="13322" width="11" style="1" bestFit="1" customWidth="1"/>
    <col min="13323" max="13323" width="13.25" style="1" bestFit="1" customWidth="1"/>
    <col min="13324" max="13324" width="10" style="1" bestFit="1" customWidth="1"/>
    <col min="13325" max="13325" width="11" style="1" bestFit="1" customWidth="1"/>
    <col min="13326" max="13530" width="9" style="1"/>
    <col min="13531" max="13531" width="2.875" style="1" bestFit="1" customWidth="1"/>
    <col min="13532" max="13532" width="16.625" style="1" bestFit="1" customWidth="1"/>
    <col min="13533" max="13533" width="11.375" style="1" bestFit="1" customWidth="1"/>
    <col min="13534" max="13535" width="14.125" style="1" bestFit="1" customWidth="1"/>
    <col min="13536" max="13536" width="11.375" style="1" bestFit="1" customWidth="1"/>
    <col min="13537" max="13539" width="12.5" style="1" bestFit="1" customWidth="1"/>
    <col min="13540" max="13540" width="11" style="1" bestFit="1" customWidth="1"/>
    <col min="13541" max="13560" width="13" style="1" bestFit="1" customWidth="1"/>
    <col min="13561" max="13564" width="11" style="1" bestFit="1" customWidth="1"/>
    <col min="13565" max="13567" width="12.25" style="1" bestFit="1" customWidth="1"/>
    <col min="13568" max="13578" width="11" style="1" bestFit="1" customWidth="1"/>
    <col min="13579" max="13579" width="13.25" style="1" bestFit="1" customWidth="1"/>
    <col min="13580" max="13580" width="10" style="1" bestFit="1" customWidth="1"/>
    <col min="13581" max="13581" width="11" style="1" bestFit="1" customWidth="1"/>
    <col min="13582" max="13786" width="9" style="1"/>
    <col min="13787" max="13787" width="2.875" style="1" bestFit="1" customWidth="1"/>
    <col min="13788" max="13788" width="16.625" style="1" bestFit="1" customWidth="1"/>
    <col min="13789" max="13789" width="11.375" style="1" bestFit="1" customWidth="1"/>
    <col min="13790" max="13791" width="14.125" style="1" bestFit="1" customWidth="1"/>
    <col min="13792" max="13792" width="11.375" style="1" bestFit="1" customWidth="1"/>
    <col min="13793" max="13795" width="12.5" style="1" bestFit="1" customWidth="1"/>
    <col min="13796" max="13796" width="11" style="1" bestFit="1" customWidth="1"/>
    <col min="13797" max="13816" width="13" style="1" bestFit="1" customWidth="1"/>
    <col min="13817" max="13820" width="11" style="1" bestFit="1" customWidth="1"/>
    <col min="13821" max="13823" width="12.25" style="1" bestFit="1" customWidth="1"/>
    <col min="13824" max="13834" width="11" style="1" bestFit="1" customWidth="1"/>
    <col min="13835" max="13835" width="13.25" style="1" bestFit="1" customWidth="1"/>
    <col min="13836" max="13836" width="10" style="1" bestFit="1" customWidth="1"/>
    <col min="13837" max="13837" width="11" style="1" bestFit="1" customWidth="1"/>
    <col min="13838" max="14042" width="9" style="1"/>
    <col min="14043" max="14043" width="2.875" style="1" bestFit="1" customWidth="1"/>
    <col min="14044" max="14044" width="16.625" style="1" bestFit="1" customWidth="1"/>
    <col min="14045" max="14045" width="11.375" style="1" bestFit="1" customWidth="1"/>
    <col min="14046" max="14047" width="14.125" style="1" bestFit="1" customWidth="1"/>
    <col min="14048" max="14048" width="11.375" style="1" bestFit="1" customWidth="1"/>
    <col min="14049" max="14051" width="12.5" style="1" bestFit="1" customWidth="1"/>
    <col min="14052" max="14052" width="11" style="1" bestFit="1" customWidth="1"/>
    <col min="14053" max="14072" width="13" style="1" bestFit="1" customWidth="1"/>
    <col min="14073" max="14076" width="11" style="1" bestFit="1" customWidth="1"/>
    <col min="14077" max="14079" width="12.25" style="1" bestFit="1" customWidth="1"/>
    <col min="14080" max="14090" width="11" style="1" bestFit="1" customWidth="1"/>
    <col min="14091" max="14091" width="13.25" style="1" bestFit="1" customWidth="1"/>
    <col min="14092" max="14092" width="10" style="1" bestFit="1" customWidth="1"/>
    <col min="14093" max="14093" width="11" style="1" bestFit="1" customWidth="1"/>
    <col min="14094" max="14298" width="9" style="1"/>
    <col min="14299" max="14299" width="2.875" style="1" bestFit="1" customWidth="1"/>
    <col min="14300" max="14300" width="16.625" style="1" bestFit="1" customWidth="1"/>
    <col min="14301" max="14301" width="11.375" style="1" bestFit="1" customWidth="1"/>
    <col min="14302" max="14303" width="14.125" style="1" bestFit="1" customWidth="1"/>
    <col min="14304" max="14304" width="11.375" style="1" bestFit="1" customWidth="1"/>
    <col min="14305" max="14307" width="12.5" style="1" bestFit="1" customWidth="1"/>
    <col min="14308" max="14308" width="11" style="1" bestFit="1" customWidth="1"/>
    <col min="14309" max="14328" width="13" style="1" bestFit="1" customWidth="1"/>
    <col min="14329" max="14332" width="11" style="1" bestFit="1" customWidth="1"/>
    <col min="14333" max="14335" width="12.25" style="1" bestFit="1" customWidth="1"/>
    <col min="14336" max="14346" width="11" style="1" bestFit="1" customWidth="1"/>
    <col min="14347" max="14347" width="13.25" style="1" bestFit="1" customWidth="1"/>
    <col min="14348" max="14348" width="10" style="1" bestFit="1" customWidth="1"/>
    <col min="14349" max="14349" width="11" style="1" bestFit="1" customWidth="1"/>
    <col min="14350" max="14554" width="9" style="1"/>
    <col min="14555" max="14555" width="2.875" style="1" bestFit="1" customWidth="1"/>
    <col min="14556" max="14556" width="16.625" style="1" bestFit="1" customWidth="1"/>
    <col min="14557" max="14557" width="11.375" style="1" bestFit="1" customWidth="1"/>
    <col min="14558" max="14559" width="14.125" style="1" bestFit="1" customWidth="1"/>
    <col min="14560" max="14560" width="11.375" style="1" bestFit="1" customWidth="1"/>
    <col min="14561" max="14563" width="12.5" style="1" bestFit="1" customWidth="1"/>
    <col min="14564" max="14564" width="11" style="1" bestFit="1" customWidth="1"/>
    <col min="14565" max="14584" width="13" style="1" bestFit="1" customWidth="1"/>
    <col min="14585" max="14588" width="11" style="1" bestFit="1" customWidth="1"/>
    <col min="14589" max="14591" width="12.25" style="1" bestFit="1" customWidth="1"/>
    <col min="14592" max="14602" width="11" style="1" bestFit="1" customWidth="1"/>
    <col min="14603" max="14603" width="13.25" style="1" bestFit="1" customWidth="1"/>
    <col min="14604" max="14604" width="10" style="1" bestFit="1" customWidth="1"/>
    <col min="14605" max="14605" width="11" style="1" bestFit="1" customWidth="1"/>
    <col min="14606" max="14810" width="9" style="1"/>
    <col min="14811" max="14811" width="2.875" style="1" bestFit="1" customWidth="1"/>
    <col min="14812" max="14812" width="16.625" style="1" bestFit="1" customWidth="1"/>
    <col min="14813" max="14813" width="11.375" style="1" bestFit="1" customWidth="1"/>
    <col min="14814" max="14815" width="14.125" style="1" bestFit="1" customWidth="1"/>
    <col min="14816" max="14816" width="11.375" style="1" bestFit="1" customWidth="1"/>
    <col min="14817" max="14819" width="12.5" style="1" bestFit="1" customWidth="1"/>
    <col min="14820" max="14820" width="11" style="1" bestFit="1" customWidth="1"/>
    <col min="14821" max="14840" width="13" style="1" bestFit="1" customWidth="1"/>
    <col min="14841" max="14844" width="11" style="1" bestFit="1" customWidth="1"/>
    <col min="14845" max="14847" width="12.25" style="1" bestFit="1" customWidth="1"/>
    <col min="14848" max="14858" width="11" style="1" bestFit="1" customWidth="1"/>
    <col min="14859" max="14859" width="13.25" style="1" bestFit="1" customWidth="1"/>
    <col min="14860" max="14860" width="10" style="1" bestFit="1" customWidth="1"/>
    <col min="14861" max="14861" width="11" style="1" bestFit="1" customWidth="1"/>
    <col min="14862" max="15066" width="9" style="1"/>
    <col min="15067" max="15067" width="2.875" style="1" bestFit="1" customWidth="1"/>
    <col min="15068" max="15068" width="16.625" style="1" bestFit="1" customWidth="1"/>
    <col min="15069" max="15069" width="11.375" style="1" bestFit="1" customWidth="1"/>
    <col min="15070" max="15071" width="14.125" style="1" bestFit="1" customWidth="1"/>
    <col min="15072" max="15072" width="11.375" style="1" bestFit="1" customWidth="1"/>
    <col min="15073" max="15075" width="12.5" style="1" bestFit="1" customWidth="1"/>
    <col min="15076" max="15076" width="11" style="1" bestFit="1" customWidth="1"/>
    <col min="15077" max="15096" width="13" style="1" bestFit="1" customWidth="1"/>
    <col min="15097" max="15100" width="11" style="1" bestFit="1" customWidth="1"/>
    <col min="15101" max="15103" width="12.25" style="1" bestFit="1" customWidth="1"/>
    <col min="15104" max="15114" width="11" style="1" bestFit="1" customWidth="1"/>
    <col min="15115" max="15115" width="13.25" style="1" bestFit="1" customWidth="1"/>
    <col min="15116" max="15116" width="10" style="1" bestFit="1" customWidth="1"/>
    <col min="15117" max="15117" width="11" style="1" bestFit="1" customWidth="1"/>
    <col min="15118" max="15322" width="9" style="1"/>
    <col min="15323" max="15323" width="2.875" style="1" bestFit="1" customWidth="1"/>
    <col min="15324" max="15324" width="16.625" style="1" bestFit="1" customWidth="1"/>
    <col min="15325" max="15325" width="11.375" style="1" bestFit="1" customWidth="1"/>
    <col min="15326" max="15327" width="14.125" style="1" bestFit="1" customWidth="1"/>
    <col min="15328" max="15328" width="11.375" style="1" bestFit="1" customWidth="1"/>
    <col min="15329" max="15331" width="12.5" style="1" bestFit="1" customWidth="1"/>
    <col min="15332" max="15332" width="11" style="1" bestFit="1" customWidth="1"/>
    <col min="15333" max="15352" width="13" style="1" bestFit="1" customWidth="1"/>
    <col min="15353" max="15356" width="11" style="1" bestFit="1" customWidth="1"/>
    <col min="15357" max="15359" width="12.25" style="1" bestFit="1" customWidth="1"/>
    <col min="15360" max="15370" width="11" style="1" bestFit="1" customWidth="1"/>
    <col min="15371" max="15371" width="13.25" style="1" bestFit="1" customWidth="1"/>
    <col min="15372" max="15372" width="10" style="1" bestFit="1" customWidth="1"/>
    <col min="15373" max="15373" width="11" style="1" bestFit="1" customWidth="1"/>
    <col min="15374" max="15578" width="9" style="1"/>
    <col min="15579" max="15579" width="2.875" style="1" bestFit="1" customWidth="1"/>
    <col min="15580" max="15580" width="16.625" style="1" bestFit="1" customWidth="1"/>
    <col min="15581" max="15581" width="11.375" style="1" bestFit="1" customWidth="1"/>
    <col min="15582" max="15583" width="14.125" style="1" bestFit="1" customWidth="1"/>
    <col min="15584" max="15584" width="11.375" style="1" bestFit="1" customWidth="1"/>
    <col min="15585" max="15587" width="12.5" style="1" bestFit="1" customWidth="1"/>
    <col min="15588" max="15588" width="11" style="1" bestFit="1" customWidth="1"/>
    <col min="15589" max="15608" width="13" style="1" bestFit="1" customWidth="1"/>
    <col min="15609" max="15612" width="11" style="1" bestFit="1" customWidth="1"/>
    <col min="15613" max="15615" width="12.25" style="1" bestFit="1" customWidth="1"/>
    <col min="15616" max="15626" width="11" style="1" bestFit="1" customWidth="1"/>
    <col min="15627" max="15627" width="13.25" style="1" bestFit="1" customWidth="1"/>
    <col min="15628" max="15628" width="10" style="1" bestFit="1" customWidth="1"/>
    <col min="15629" max="15629" width="11" style="1" bestFit="1" customWidth="1"/>
    <col min="15630" max="15834" width="9" style="1"/>
    <col min="15835" max="15835" width="2.875" style="1" bestFit="1" customWidth="1"/>
    <col min="15836" max="15836" width="16.625" style="1" bestFit="1" customWidth="1"/>
    <col min="15837" max="15837" width="11.375" style="1" bestFit="1" customWidth="1"/>
    <col min="15838" max="15839" width="14.125" style="1" bestFit="1" customWidth="1"/>
    <col min="15840" max="15840" width="11.375" style="1" bestFit="1" customWidth="1"/>
    <col min="15841" max="15843" width="12.5" style="1" bestFit="1" customWidth="1"/>
    <col min="15844" max="15844" width="11" style="1" bestFit="1" customWidth="1"/>
    <col min="15845" max="15864" width="13" style="1" bestFit="1" customWidth="1"/>
    <col min="15865" max="15868" width="11" style="1" bestFit="1" customWidth="1"/>
    <col min="15869" max="15871" width="12.25" style="1" bestFit="1" customWidth="1"/>
    <col min="15872" max="15882" width="11" style="1" bestFit="1" customWidth="1"/>
    <col min="15883" max="15883" width="13.25" style="1" bestFit="1" customWidth="1"/>
    <col min="15884" max="15884" width="10" style="1" bestFit="1" customWidth="1"/>
    <col min="15885" max="15885" width="11" style="1" bestFit="1" customWidth="1"/>
    <col min="15886" max="16090" width="9" style="1"/>
    <col min="16091" max="16091" width="2.875" style="1" bestFit="1" customWidth="1"/>
    <col min="16092" max="16092" width="16.625" style="1" bestFit="1" customWidth="1"/>
    <col min="16093" max="16093" width="11.375" style="1" bestFit="1" customWidth="1"/>
    <col min="16094" max="16095" width="14.125" style="1" bestFit="1" customWidth="1"/>
    <col min="16096" max="16096" width="11.375" style="1" bestFit="1" customWidth="1"/>
    <col min="16097" max="16099" width="12.5" style="1" bestFit="1" customWidth="1"/>
    <col min="16100" max="16100" width="11" style="1" bestFit="1" customWidth="1"/>
    <col min="16101" max="16120" width="13" style="1" bestFit="1" customWidth="1"/>
    <col min="16121" max="16124" width="11" style="1" bestFit="1" customWidth="1"/>
    <col min="16125" max="16127" width="12.25" style="1" bestFit="1" customWidth="1"/>
    <col min="16128" max="16138" width="11" style="1" bestFit="1" customWidth="1"/>
    <col min="16139" max="16139" width="13.25" style="1" bestFit="1" customWidth="1"/>
    <col min="16140" max="16140" width="10" style="1" bestFit="1" customWidth="1"/>
    <col min="16141" max="16141" width="11" style="1" bestFit="1" customWidth="1"/>
    <col min="16142" max="16384" width="9" style="1"/>
  </cols>
  <sheetData>
    <row r="2" spans="1:13" ht="30.75" customHeight="1" x14ac:dyDescent="0.15"/>
    <row r="3" spans="1:13" ht="17.25" x14ac:dyDescent="0.2">
      <c r="A3" s="47">
        <v>45658</v>
      </c>
      <c r="B3" s="47"/>
      <c r="C3" s="45" t="s">
        <v>220</v>
      </c>
    </row>
    <row r="4" spans="1:13" s="5" customFormat="1" x14ac:dyDescent="0.15">
      <c r="A4" s="48" t="s">
        <v>0</v>
      </c>
      <c r="B4" s="48"/>
      <c r="C4" s="2" t="s">
        <v>1</v>
      </c>
      <c r="D4" s="2" t="s">
        <v>2</v>
      </c>
      <c r="E4" s="2" t="s">
        <v>3</v>
      </c>
      <c r="F4" s="2" t="s">
        <v>4</v>
      </c>
      <c r="G4" s="2" t="s">
        <v>5</v>
      </c>
      <c r="H4" s="2" t="s">
        <v>6</v>
      </c>
      <c r="I4" s="2" t="s">
        <v>7</v>
      </c>
      <c r="J4" s="2" t="s">
        <v>8</v>
      </c>
      <c r="K4" s="3" t="s">
        <v>41</v>
      </c>
      <c r="L4" s="3" t="s">
        <v>42</v>
      </c>
      <c r="M4" s="4" t="s">
        <v>43</v>
      </c>
    </row>
    <row r="5" spans="1:13" s="5" customFormat="1" hidden="1" x14ac:dyDescent="0.15">
      <c r="A5" s="49" t="s">
        <v>44</v>
      </c>
      <c r="B5" s="50"/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3"/>
      <c r="L5" s="3"/>
      <c r="M5" s="4"/>
    </row>
    <row r="6" spans="1:13" s="5" customFormat="1" hidden="1" x14ac:dyDescent="0.15">
      <c r="A6" s="49" t="s">
        <v>45</v>
      </c>
      <c r="B6" s="50"/>
      <c r="C6" s="2" t="s">
        <v>46</v>
      </c>
      <c r="D6" s="2" t="s">
        <v>46</v>
      </c>
      <c r="E6" s="2" t="s">
        <v>46</v>
      </c>
      <c r="F6" s="2" t="s">
        <v>46</v>
      </c>
      <c r="G6" s="2" t="s">
        <v>46</v>
      </c>
      <c r="H6" s="2" t="s">
        <v>46</v>
      </c>
      <c r="I6" s="2" t="s">
        <v>46</v>
      </c>
      <c r="J6" s="2" t="s">
        <v>46</v>
      </c>
      <c r="K6" s="3"/>
      <c r="L6" s="3"/>
      <c r="M6" s="4"/>
    </row>
    <row r="7" spans="1:13" s="5" customFormat="1" x14ac:dyDescent="0.15">
      <c r="A7" s="46" t="s">
        <v>51</v>
      </c>
      <c r="B7" s="46"/>
      <c r="C7" s="6" t="s">
        <v>157</v>
      </c>
      <c r="D7" s="6"/>
      <c r="E7" s="6" t="s">
        <v>158</v>
      </c>
      <c r="F7" s="6" t="s">
        <v>159</v>
      </c>
      <c r="G7" s="6" t="s">
        <v>160</v>
      </c>
      <c r="H7" s="6" t="s">
        <v>161</v>
      </c>
      <c r="I7" s="6" t="s">
        <v>162</v>
      </c>
      <c r="J7" s="6"/>
      <c r="K7" s="7"/>
      <c r="L7" s="7"/>
      <c r="M7" s="8"/>
    </row>
    <row r="8" spans="1:13" s="5" customFormat="1" x14ac:dyDescent="0.15">
      <c r="A8" s="46" t="s">
        <v>52</v>
      </c>
      <c r="B8" s="46"/>
      <c r="C8" s="6" t="s">
        <v>188</v>
      </c>
      <c r="D8" s="6"/>
      <c r="E8" s="6" t="s">
        <v>189</v>
      </c>
      <c r="F8" s="6" t="s">
        <v>190</v>
      </c>
      <c r="G8" s="6" t="s">
        <v>191</v>
      </c>
      <c r="H8" s="6" t="s">
        <v>192</v>
      </c>
      <c r="I8" s="6" t="s">
        <v>193</v>
      </c>
      <c r="J8" s="6"/>
      <c r="K8" s="7"/>
      <c r="L8" s="7"/>
      <c r="M8" s="8"/>
    </row>
    <row r="9" spans="1:13" x14ac:dyDescent="0.15">
      <c r="A9" s="52" t="s">
        <v>53</v>
      </c>
      <c r="B9" s="53"/>
      <c r="C9" s="9">
        <v>10</v>
      </c>
      <c r="D9" s="9"/>
      <c r="E9" s="9">
        <v>10</v>
      </c>
      <c r="F9" s="9">
        <v>10</v>
      </c>
      <c r="G9" s="9">
        <v>8</v>
      </c>
      <c r="H9" s="9">
        <v>8</v>
      </c>
      <c r="I9" s="9">
        <v>8</v>
      </c>
      <c r="J9" s="9"/>
      <c r="K9" s="10">
        <f>SUM(C9:J9)</f>
        <v>54</v>
      </c>
      <c r="L9" s="10"/>
      <c r="M9" s="11"/>
    </row>
    <row r="10" spans="1:13" x14ac:dyDescent="0.15">
      <c r="A10" s="48" t="s">
        <v>54</v>
      </c>
      <c r="B10" s="48"/>
      <c r="C10" s="2" t="s">
        <v>55</v>
      </c>
      <c r="D10" s="2" t="s">
        <v>55</v>
      </c>
      <c r="E10" s="2" t="s">
        <v>55</v>
      </c>
      <c r="F10" s="2" t="s">
        <v>55</v>
      </c>
      <c r="G10" s="2" t="s">
        <v>56</v>
      </c>
      <c r="H10" s="2" t="s">
        <v>56</v>
      </c>
      <c r="I10" s="2" t="s">
        <v>56</v>
      </c>
      <c r="J10" s="12"/>
      <c r="K10" s="13"/>
      <c r="L10" s="13"/>
      <c r="M10" s="14"/>
    </row>
    <row r="11" spans="1:13" x14ac:dyDescent="0.15">
      <c r="A11" s="48" t="s">
        <v>65</v>
      </c>
      <c r="B11" s="48"/>
      <c r="C11" s="15">
        <v>7246.1</v>
      </c>
      <c r="D11" s="15">
        <v>0</v>
      </c>
      <c r="E11" s="15">
        <v>6736.5999999999995</v>
      </c>
      <c r="F11" s="15">
        <v>6363.1</v>
      </c>
      <c r="G11" s="15">
        <v>2810.9</v>
      </c>
      <c r="H11" s="15">
        <v>2986.9</v>
      </c>
      <c r="I11" s="15">
        <v>6269.3</v>
      </c>
      <c r="J11" s="15">
        <v>0</v>
      </c>
      <c r="K11" s="17">
        <f>SUM(C11:J11)</f>
        <v>32412.900000000005</v>
      </c>
      <c r="L11" s="17">
        <f t="shared" ref="L11:L42" si="0">AVERAGE(D11:J11)</f>
        <v>3595.2571428571428</v>
      </c>
      <c r="M11" s="14"/>
    </row>
    <row r="12" spans="1:13" x14ac:dyDescent="0.15">
      <c r="A12" s="49" t="s">
        <v>66</v>
      </c>
      <c r="B12" s="54"/>
      <c r="C12" s="19">
        <v>9.8888888888888893</v>
      </c>
      <c r="D12" s="19">
        <v>0</v>
      </c>
      <c r="E12" s="19">
        <v>10.57013888888889</v>
      </c>
      <c r="F12" s="19">
        <v>9.8972222222222221</v>
      </c>
      <c r="G12" s="19">
        <v>4.4013888888888886</v>
      </c>
      <c r="H12" s="19">
        <v>4.3048611111111112</v>
      </c>
      <c r="I12" s="19">
        <v>8.0159722222222225</v>
      </c>
      <c r="J12" s="19">
        <v>0</v>
      </c>
      <c r="K12" s="21">
        <f>SUM(C12:J12)</f>
        <v>47.078472222222224</v>
      </c>
      <c r="L12" s="21">
        <f t="shared" si="0"/>
        <v>5.3127976190476192</v>
      </c>
      <c r="M12" s="14"/>
    </row>
    <row r="13" spans="1:13" x14ac:dyDescent="0.15">
      <c r="A13" s="48" t="s">
        <v>67</v>
      </c>
      <c r="B13" s="48"/>
      <c r="C13" s="15">
        <v>1447552</v>
      </c>
      <c r="D13" s="15">
        <v>1403225</v>
      </c>
      <c r="E13" s="15">
        <v>1364238</v>
      </c>
      <c r="F13" s="15">
        <v>1344488</v>
      </c>
      <c r="G13" s="15">
        <v>585700</v>
      </c>
      <c r="H13" s="15">
        <v>617700</v>
      </c>
      <c r="I13" s="15">
        <v>1184640</v>
      </c>
      <c r="J13" s="15">
        <v>0</v>
      </c>
      <c r="K13" s="17">
        <f>SUM(C13:J13)</f>
        <v>7947543</v>
      </c>
      <c r="L13" s="17">
        <f t="shared" si="0"/>
        <v>928570.14285714284</v>
      </c>
      <c r="M13" s="14">
        <f>K13/K13</f>
        <v>1</v>
      </c>
    </row>
    <row r="14" spans="1:13" x14ac:dyDescent="0.15">
      <c r="A14" s="49" t="s">
        <v>68</v>
      </c>
      <c r="B14" s="54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7">
        <f>SUM(C14:J14)</f>
        <v>0</v>
      </c>
      <c r="L14" s="17">
        <f t="shared" si="0"/>
        <v>0</v>
      </c>
      <c r="M14" s="14"/>
    </row>
    <row r="15" spans="1:13" x14ac:dyDescent="0.15">
      <c r="A15" s="48" t="s">
        <v>69</v>
      </c>
      <c r="B15" s="48"/>
      <c r="C15" s="15">
        <f>SUM(C13/C11)</f>
        <v>199.76980720663528</v>
      </c>
      <c r="D15" s="15" t="e">
        <f t="shared" ref="D15:J15" si="1">SUM(D13/D11)</f>
        <v>#DIV/0!</v>
      </c>
      <c r="E15" s="15">
        <f t="shared" si="1"/>
        <v>202.51135587685184</v>
      </c>
      <c r="F15" s="15">
        <f t="shared" si="1"/>
        <v>211.29449482170639</v>
      </c>
      <c r="G15" s="15">
        <f t="shared" si="1"/>
        <v>208.36742680280338</v>
      </c>
      <c r="H15" s="15">
        <f t="shared" si="1"/>
        <v>206.80303994107604</v>
      </c>
      <c r="I15" s="15">
        <f t="shared" si="1"/>
        <v>188.9588949324486</v>
      </c>
      <c r="J15" s="15" t="e">
        <f t="shared" si="1"/>
        <v>#DIV/0!</v>
      </c>
      <c r="K15" s="13">
        <f>SUM(K13/K11)</f>
        <v>245.196912340457</v>
      </c>
      <c r="L15" s="17" t="e">
        <f t="shared" si="0"/>
        <v>#DIV/0!</v>
      </c>
      <c r="M15" s="14"/>
    </row>
    <row r="16" spans="1:13" x14ac:dyDescent="0.15">
      <c r="A16" s="49" t="s">
        <v>70</v>
      </c>
      <c r="B16" s="54"/>
      <c r="C16" s="22">
        <f t="shared" ref="C16:K16" si="2">C13/(C12*24)</f>
        <v>6099.2359550561796</v>
      </c>
      <c r="D16" s="22" t="e">
        <f t="shared" si="2"/>
        <v>#DIV/0!</v>
      </c>
      <c r="E16" s="22">
        <f t="shared" si="2"/>
        <v>5377.7202549109779</v>
      </c>
      <c r="F16" s="22">
        <f t="shared" si="2"/>
        <v>5660.2076901487508</v>
      </c>
      <c r="G16" s="22">
        <f t="shared" si="2"/>
        <v>5544.6513095613764</v>
      </c>
      <c r="H16" s="22">
        <f t="shared" si="2"/>
        <v>5978.7062429424104</v>
      </c>
      <c r="I16" s="22">
        <f t="shared" si="2"/>
        <v>6157.7059689855323</v>
      </c>
      <c r="J16" s="22" t="e">
        <f t="shared" si="2"/>
        <v>#DIV/0!</v>
      </c>
      <c r="K16" s="24">
        <f t="shared" si="2"/>
        <v>7033.9501128435086</v>
      </c>
      <c r="L16" s="24" t="e">
        <f t="shared" si="0"/>
        <v>#DIV/0!</v>
      </c>
      <c r="M16" s="14"/>
    </row>
    <row r="17" spans="1:13" x14ac:dyDescent="0.15">
      <c r="A17" s="51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56250</v>
      </c>
      <c r="G17" s="15">
        <v>0</v>
      </c>
      <c r="H17" s="15">
        <v>0</v>
      </c>
      <c r="I17" s="15">
        <v>43906</v>
      </c>
      <c r="J17" s="15">
        <v>300174</v>
      </c>
      <c r="K17" s="17">
        <f t="shared" ref="K17:K28" si="3">SUM(C17:J17)</f>
        <v>400330</v>
      </c>
      <c r="L17" s="17">
        <f t="shared" si="0"/>
        <v>57190</v>
      </c>
      <c r="M17" s="14">
        <f>K17/K13</f>
        <v>5.0371542500619371E-2</v>
      </c>
    </row>
    <row r="18" spans="1:13" x14ac:dyDescent="0.15">
      <c r="A18" s="51"/>
      <c r="B18" s="12" t="s">
        <v>73</v>
      </c>
      <c r="C18" s="15">
        <v>4025</v>
      </c>
      <c r="D18" s="15">
        <v>0</v>
      </c>
      <c r="E18" s="15">
        <v>4808</v>
      </c>
      <c r="F18" s="15">
        <v>4025</v>
      </c>
      <c r="G18" s="15">
        <v>4025</v>
      </c>
      <c r="H18" s="15">
        <v>4025</v>
      </c>
      <c r="I18" s="15">
        <v>2575</v>
      </c>
      <c r="J18" s="15">
        <v>4808</v>
      </c>
      <c r="K18" s="17">
        <f t="shared" si="3"/>
        <v>28291</v>
      </c>
      <c r="L18" s="17">
        <f t="shared" si="0"/>
        <v>3466.5714285714284</v>
      </c>
      <c r="M18" s="14">
        <f>K18/K13</f>
        <v>3.5597165060950284E-3</v>
      </c>
    </row>
    <row r="19" spans="1:13" x14ac:dyDescent="0.15">
      <c r="A19" s="51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7">
        <f t="shared" si="3"/>
        <v>0</v>
      </c>
      <c r="L19" s="17">
        <f t="shared" si="0"/>
        <v>0</v>
      </c>
      <c r="M19" s="14">
        <f>K19/K13</f>
        <v>0</v>
      </c>
    </row>
    <row r="20" spans="1:13" x14ac:dyDescent="0.15">
      <c r="A20" s="51"/>
      <c r="B20" s="12" t="s">
        <v>75</v>
      </c>
      <c r="C20" s="15">
        <v>4950</v>
      </c>
      <c r="D20" s="15">
        <v>0</v>
      </c>
      <c r="E20" s="15">
        <v>4766</v>
      </c>
      <c r="F20" s="15">
        <v>4583</v>
      </c>
      <c r="G20" s="15">
        <v>4583</v>
      </c>
      <c r="H20" s="15">
        <v>4766</v>
      </c>
      <c r="I20" s="15">
        <v>4766</v>
      </c>
      <c r="J20" s="15">
        <v>4583</v>
      </c>
      <c r="K20" s="17">
        <f t="shared" si="3"/>
        <v>32997</v>
      </c>
      <c r="L20" s="17">
        <f t="shared" si="0"/>
        <v>4006.7142857142858</v>
      </c>
      <c r="M20" s="14">
        <f>K20/K13</f>
        <v>4.1518491941471723E-3</v>
      </c>
    </row>
    <row r="21" spans="1:13" x14ac:dyDescent="0.15">
      <c r="A21" s="51"/>
      <c r="B21" s="12" t="s">
        <v>76</v>
      </c>
      <c r="C21" s="15">
        <v>43755</v>
      </c>
      <c r="D21" s="15">
        <v>0</v>
      </c>
      <c r="E21" s="15">
        <v>28979</v>
      </c>
      <c r="F21" s="15">
        <v>12575</v>
      </c>
      <c r="G21" s="15">
        <v>24305</v>
      </c>
      <c r="H21" s="15">
        <v>51665</v>
      </c>
      <c r="I21" s="15">
        <v>34940</v>
      </c>
      <c r="J21" s="15">
        <v>19729</v>
      </c>
      <c r="K21" s="17">
        <f t="shared" si="3"/>
        <v>215948</v>
      </c>
      <c r="L21" s="17">
        <f t="shared" si="0"/>
        <v>24599</v>
      </c>
      <c r="M21" s="14">
        <f>K21/K13</f>
        <v>2.7171668023689838E-2</v>
      </c>
    </row>
    <row r="22" spans="1:13" x14ac:dyDescent="0.15">
      <c r="A22" s="51"/>
      <c r="B22" s="25" t="s">
        <v>77</v>
      </c>
      <c r="C22" s="26">
        <f t="shared" ref="C22:J22" si="4">SUM(C17:C21)</f>
        <v>52730</v>
      </c>
      <c r="D22" s="26">
        <f t="shared" si="4"/>
        <v>0</v>
      </c>
      <c r="E22" s="26">
        <f t="shared" si="4"/>
        <v>38553</v>
      </c>
      <c r="F22" s="26">
        <f t="shared" si="4"/>
        <v>77433</v>
      </c>
      <c r="G22" s="26">
        <f t="shared" si="4"/>
        <v>32913</v>
      </c>
      <c r="H22" s="26">
        <f t="shared" si="4"/>
        <v>60456</v>
      </c>
      <c r="I22" s="26">
        <f t="shared" si="4"/>
        <v>86187</v>
      </c>
      <c r="J22" s="26">
        <f t="shared" si="4"/>
        <v>329294</v>
      </c>
      <c r="K22" s="28">
        <f t="shared" si="3"/>
        <v>677566</v>
      </c>
      <c r="L22" s="28">
        <f t="shared" si="0"/>
        <v>89262.28571428571</v>
      </c>
      <c r="M22" s="29">
        <f>K22/K13</f>
        <v>8.525477622455141E-2</v>
      </c>
    </row>
    <row r="23" spans="1:13" x14ac:dyDescent="0.15">
      <c r="A23" s="51" t="s">
        <v>78</v>
      </c>
      <c r="B23" s="12" t="s">
        <v>79</v>
      </c>
      <c r="C23" s="15">
        <v>0</v>
      </c>
      <c r="D23" s="15">
        <v>0</v>
      </c>
      <c r="E23" s="15">
        <v>42920</v>
      </c>
      <c r="F23" s="15">
        <v>280333</v>
      </c>
      <c r="G23" s="15">
        <v>0</v>
      </c>
      <c r="H23" s="15">
        <v>0</v>
      </c>
      <c r="I23" s="15">
        <v>0</v>
      </c>
      <c r="J23" s="15">
        <v>120984</v>
      </c>
      <c r="K23" s="17">
        <f t="shared" si="3"/>
        <v>444237</v>
      </c>
      <c r="L23" s="17">
        <f t="shared" si="0"/>
        <v>63462.428571428572</v>
      </c>
      <c r="M23" s="14">
        <f>K23/K13</f>
        <v>5.5896142996646886E-2</v>
      </c>
    </row>
    <row r="24" spans="1:13" x14ac:dyDescent="0.15">
      <c r="A24" s="51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7">
        <f t="shared" si="3"/>
        <v>0</v>
      </c>
      <c r="L24" s="17">
        <f t="shared" si="0"/>
        <v>0</v>
      </c>
      <c r="M24" s="14">
        <f>K24/K13</f>
        <v>0</v>
      </c>
    </row>
    <row r="25" spans="1:13" x14ac:dyDescent="0.15">
      <c r="A25" s="51"/>
      <c r="B25" s="12" t="s">
        <v>81</v>
      </c>
      <c r="C25" s="15">
        <f t="shared" ref="C25:J25" si="5">30000*C9/70000*C11</f>
        <v>31054.714285714286</v>
      </c>
      <c r="D25" s="15">
        <f t="shared" si="5"/>
        <v>0</v>
      </c>
      <c r="E25" s="15">
        <f t="shared" si="5"/>
        <v>28871.142857142855</v>
      </c>
      <c r="F25" s="15">
        <f t="shared" si="5"/>
        <v>27270.428571428572</v>
      </c>
      <c r="G25" s="15">
        <f t="shared" si="5"/>
        <v>9637.3714285714286</v>
      </c>
      <c r="H25" s="15">
        <f t="shared" si="5"/>
        <v>10240.799999999999</v>
      </c>
      <c r="I25" s="15">
        <f t="shared" si="5"/>
        <v>21494.742857142857</v>
      </c>
      <c r="J25" s="15">
        <f t="shared" si="5"/>
        <v>0</v>
      </c>
      <c r="K25" s="17">
        <f t="shared" si="3"/>
        <v>128569.2</v>
      </c>
      <c r="L25" s="17">
        <f t="shared" si="0"/>
        <v>13930.640816326531</v>
      </c>
      <c r="M25" s="14">
        <f>K25/K13</f>
        <v>1.617722609364932E-2</v>
      </c>
    </row>
    <row r="26" spans="1:13" x14ac:dyDescent="0.15">
      <c r="A26" s="51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7">
        <f t="shared" si="3"/>
        <v>0</v>
      </c>
      <c r="L26" s="17">
        <f t="shared" si="0"/>
        <v>0</v>
      </c>
      <c r="M26" s="14">
        <f>K26/K13</f>
        <v>0</v>
      </c>
    </row>
    <row r="27" spans="1:13" x14ac:dyDescent="0.15">
      <c r="A27" s="51"/>
      <c r="B27" s="25" t="s">
        <v>82</v>
      </c>
      <c r="C27" s="26">
        <f t="shared" ref="C27:J27" si="6">SUM(C23:C26)</f>
        <v>31054.714285714286</v>
      </c>
      <c r="D27" s="26">
        <f t="shared" si="6"/>
        <v>0</v>
      </c>
      <c r="E27" s="26">
        <f t="shared" si="6"/>
        <v>71791.142857142855</v>
      </c>
      <c r="F27" s="26">
        <f t="shared" si="6"/>
        <v>307603.42857142858</v>
      </c>
      <c r="G27" s="26">
        <f t="shared" si="6"/>
        <v>9637.3714285714286</v>
      </c>
      <c r="H27" s="26">
        <f t="shared" si="6"/>
        <v>10240.799999999999</v>
      </c>
      <c r="I27" s="26">
        <f t="shared" si="6"/>
        <v>21494.742857142857</v>
      </c>
      <c r="J27" s="26">
        <f t="shared" si="6"/>
        <v>120984</v>
      </c>
      <c r="K27" s="28">
        <f t="shared" si="3"/>
        <v>572806.19999999995</v>
      </c>
      <c r="L27" s="28">
        <f t="shared" si="0"/>
        <v>77393.069387755095</v>
      </c>
      <c r="M27" s="29">
        <f>K27/K13</f>
        <v>7.2073369090296199E-2</v>
      </c>
    </row>
    <row r="28" spans="1:13" x14ac:dyDescent="0.15">
      <c r="A28" s="51" t="s">
        <v>83</v>
      </c>
      <c r="B28" s="9" t="s">
        <v>84</v>
      </c>
      <c r="C28" s="30">
        <v>1641</v>
      </c>
      <c r="D28" s="30">
        <v>0</v>
      </c>
      <c r="E28" s="30">
        <v>1597</v>
      </c>
      <c r="F28" s="30">
        <v>1865</v>
      </c>
      <c r="G28" s="30">
        <v>769</v>
      </c>
      <c r="H28" s="30">
        <v>788</v>
      </c>
      <c r="I28" s="30">
        <v>1477</v>
      </c>
      <c r="J28" s="30">
        <v>0</v>
      </c>
      <c r="K28" s="32">
        <f t="shared" si="3"/>
        <v>8137</v>
      </c>
      <c r="L28" s="32">
        <f t="shared" si="0"/>
        <v>928</v>
      </c>
      <c r="M28" s="11">
        <f>K28/K13</f>
        <v>1.0238384366086475E-3</v>
      </c>
    </row>
    <row r="29" spans="1:13" x14ac:dyDescent="0.15">
      <c r="A29" s="51"/>
      <c r="B29" s="33" t="s">
        <v>85</v>
      </c>
      <c r="C29" s="34">
        <f t="shared" ref="C29:K29" si="7">SUM(C11/C28)</f>
        <v>4.4156611822059721</v>
      </c>
      <c r="D29" s="34" t="e">
        <f t="shared" si="7"/>
        <v>#DIV/0!</v>
      </c>
      <c r="E29" s="34">
        <f t="shared" si="7"/>
        <v>4.2182842830306821</v>
      </c>
      <c r="F29" s="34">
        <f t="shared" si="7"/>
        <v>3.4118498659517429</v>
      </c>
      <c r="G29" s="34">
        <f t="shared" si="7"/>
        <v>3.6552665799739925</v>
      </c>
      <c r="H29" s="34">
        <f t="shared" si="7"/>
        <v>3.7904822335025381</v>
      </c>
      <c r="I29" s="34">
        <f t="shared" si="7"/>
        <v>4.2446174678402171</v>
      </c>
      <c r="J29" s="34" t="e">
        <f t="shared" si="7"/>
        <v>#DIV/0!</v>
      </c>
      <c r="K29" s="36">
        <f t="shared" si="7"/>
        <v>3.9833968292982678</v>
      </c>
      <c r="L29" s="36" t="e">
        <f t="shared" si="0"/>
        <v>#DIV/0!</v>
      </c>
      <c r="M29" s="33">
        <f>K29/K13</f>
        <v>5.0121110754585007E-7</v>
      </c>
    </row>
    <row r="30" spans="1:13" x14ac:dyDescent="0.15">
      <c r="A30" s="51"/>
      <c r="B30" s="12" t="s">
        <v>86</v>
      </c>
      <c r="C30" s="15">
        <v>206274</v>
      </c>
      <c r="D30" s="15">
        <v>0</v>
      </c>
      <c r="E30" s="15">
        <v>200743</v>
      </c>
      <c r="F30" s="15">
        <v>234431</v>
      </c>
      <c r="G30" s="15">
        <v>96663</v>
      </c>
      <c r="H30" s="15">
        <v>99052</v>
      </c>
      <c r="I30" s="15">
        <v>185659</v>
      </c>
      <c r="J30" s="15">
        <v>0</v>
      </c>
      <c r="K30" s="17">
        <f t="shared" ref="K30:K42" si="8">SUM(C30:J30)</f>
        <v>1022822</v>
      </c>
      <c r="L30" s="17">
        <f t="shared" si="0"/>
        <v>116649.71428571429</v>
      </c>
      <c r="M30" s="14">
        <f>K30/K13</f>
        <v>0.12869662988926264</v>
      </c>
    </row>
    <row r="31" spans="1:13" x14ac:dyDescent="0.15">
      <c r="A31" s="51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7">
        <f t="shared" si="8"/>
        <v>0</v>
      </c>
      <c r="L31" s="17">
        <f t="shared" si="0"/>
        <v>0</v>
      </c>
      <c r="M31" s="14">
        <f>K31/K13</f>
        <v>0</v>
      </c>
    </row>
    <row r="32" spans="1:13" x14ac:dyDescent="0.15">
      <c r="A32" s="51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7">
        <f t="shared" si="8"/>
        <v>0</v>
      </c>
      <c r="L32" s="17">
        <f t="shared" si="0"/>
        <v>0</v>
      </c>
      <c r="M32" s="14">
        <f>K32/K13</f>
        <v>0</v>
      </c>
    </row>
    <row r="33" spans="1:13" x14ac:dyDescent="0.15">
      <c r="A33" s="51"/>
      <c r="B33" s="25" t="s">
        <v>89</v>
      </c>
      <c r="C33" s="26">
        <f>SUM(C30:C32)</f>
        <v>206274</v>
      </c>
      <c r="D33" s="26">
        <f t="shared" ref="D33:J33" si="9">SUM(D30:D32)</f>
        <v>0</v>
      </c>
      <c r="E33" s="26">
        <f t="shared" si="9"/>
        <v>200743</v>
      </c>
      <c r="F33" s="26">
        <f t="shared" si="9"/>
        <v>234431</v>
      </c>
      <c r="G33" s="26">
        <f t="shared" si="9"/>
        <v>96663</v>
      </c>
      <c r="H33" s="26">
        <f t="shared" si="9"/>
        <v>99052</v>
      </c>
      <c r="I33" s="26">
        <f t="shared" si="9"/>
        <v>185659</v>
      </c>
      <c r="J33" s="26">
        <f t="shared" si="9"/>
        <v>0</v>
      </c>
      <c r="K33" s="28">
        <f t="shared" si="8"/>
        <v>1022822</v>
      </c>
      <c r="L33" s="28">
        <f t="shared" si="0"/>
        <v>116649.71428571429</v>
      </c>
      <c r="M33" s="29">
        <f>K33/K13</f>
        <v>0.12869662988926264</v>
      </c>
    </row>
    <row r="34" spans="1:13" x14ac:dyDescent="0.15">
      <c r="A34" s="51" t="s">
        <v>90</v>
      </c>
      <c r="B34" s="12" t="s">
        <v>91</v>
      </c>
      <c r="C34" s="15">
        <v>2008</v>
      </c>
      <c r="D34" s="15">
        <v>0</v>
      </c>
      <c r="E34" s="15">
        <v>2008</v>
      </c>
      <c r="F34" s="15">
        <v>2008</v>
      </c>
      <c r="G34" s="15">
        <v>2012</v>
      </c>
      <c r="H34" s="15">
        <v>2008</v>
      </c>
      <c r="I34" s="15">
        <v>2008</v>
      </c>
      <c r="J34" s="15">
        <v>2008</v>
      </c>
      <c r="K34" s="17">
        <f t="shared" si="8"/>
        <v>14060</v>
      </c>
      <c r="L34" s="17">
        <f t="shared" si="0"/>
        <v>1721.7142857142858</v>
      </c>
      <c r="M34" s="14">
        <f>K34/K13</f>
        <v>1.7691002112225124E-3</v>
      </c>
    </row>
    <row r="35" spans="1:13" x14ac:dyDescent="0.15">
      <c r="A35" s="51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7">
        <f t="shared" si="8"/>
        <v>0</v>
      </c>
      <c r="L35" s="17">
        <f t="shared" si="0"/>
        <v>0</v>
      </c>
      <c r="M35" s="14">
        <f>K35/K13</f>
        <v>0</v>
      </c>
    </row>
    <row r="36" spans="1:13" x14ac:dyDescent="0.15">
      <c r="A36" s="51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7">
        <f t="shared" si="8"/>
        <v>0</v>
      </c>
      <c r="L36" s="17">
        <f t="shared" si="0"/>
        <v>0</v>
      </c>
      <c r="M36" s="14">
        <f>K36/K13</f>
        <v>0</v>
      </c>
    </row>
    <row r="37" spans="1:13" x14ac:dyDescent="0.15">
      <c r="A37" s="51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7">
        <f t="shared" si="8"/>
        <v>0</v>
      </c>
      <c r="L37" s="17">
        <f t="shared" si="0"/>
        <v>0</v>
      </c>
      <c r="M37" s="14">
        <f>K37/K13</f>
        <v>0</v>
      </c>
    </row>
    <row r="38" spans="1:13" x14ac:dyDescent="0.15">
      <c r="A38" s="51"/>
      <c r="B38" s="12" t="s">
        <v>92</v>
      </c>
      <c r="C38" s="15">
        <v>4621</v>
      </c>
      <c r="D38" s="15">
        <v>0</v>
      </c>
      <c r="E38" s="15">
        <v>4621</v>
      </c>
      <c r="F38" s="15">
        <v>7034</v>
      </c>
      <c r="G38" s="15">
        <v>5366</v>
      </c>
      <c r="H38" s="15">
        <v>5366</v>
      </c>
      <c r="I38" s="15">
        <v>5366</v>
      </c>
      <c r="J38" s="15">
        <v>9033</v>
      </c>
      <c r="K38" s="17">
        <f t="shared" si="8"/>
        <v>41407</v>
      </c>
      <c r="L38" s="17">
        <f t="shared" si="0"/>
        <v>5255.1428571428569</v>
      </c>
      <c r="M38" s="14">
        <f>K38/K13</f>
        <v>5.2100378695654741E-3</v>
      </c>
    </row>
    <row r="39" spans="1:13" x14ac:dyDescent="0.15">
      <c r="A39" s="51"/>
      <c r="B39" s="25" t="s">
        <v>93</v>
      </c>
      <c r="C39" s="26">
        <f t="shared" ref="C39:J39" si="10">SUM(C34:C38)</f>
        <v>6629</v>
      </c>
      <c r="D39" s="26">
        <f t="shared" si="10"/>
        <v>0</v>
      </c>
      <c r="E39" s="26">
        <f t="shared" si="10"/>
        <v>6629</v>
      </c>
      <c r="F39" s="26">
        <f t="shared" si="10"/>
        <v>9042</v>
      </c>
      <c r="G39" s="26">
        <f t="shared" si="10"/>
        <v>7378</v>
      </c>
      <c r="H39" s="26">
        <f t="shared" si="10"/>
        <v>7374</v>
      </c>
      <c r="I39" s="26">
        <f t="shared" si="10"/>
        <v>7374</v>
      </c>
      <c r="J39" s="26">
        <f t="shared" si="10"/>
        <v>11041</v>
      </c>
      <c r="K39" s="28">
        <f t="shared" si="8"/>
        <v>55467</v>
      </c>
      <c r="L39" s="28">
        <f t="shared" si="0"/>
        <v>6976.8571428571431</v>
      </c>
      <c r="M39" s="29">
        <f>K39/K13</f>
        <v>6.9791380807879867E-3</v>
      </c>
    </row>
    <row r="40" spans="1:13" x14ac:dyDescent="0.15">
      <c r="A40" s="51" t="s">
        <v>94</v>
      </c>
      <c r="B40" s="12" t="s">
        <v>95</v>
      </c>
      <c r="C40" s="15">
        <v>227990</v>
      </c>
      <c r="D40" s="15">
        <v>0</v>
      </c>
      <c r="E40" s="15">
        <v>208670</v>
      </c>
      <c r="F40" s="15">
        <v>193770</v>
      </c>
      <c r="G40" s="15">
        <v>115770</v>
      </c>
      <c r="H40" s="15">
        <v>124970</v>
      </c>
      <c r="I40" s="15">
        <v>247870</v>
      </c>
      <c r="J40" s="15">
        <v>0</v>
      </c>
      <c r="K40" s="17">
        <f t="shared" si="8"/>
        <v>1119040</v>
      </c>
      <c r="L40" s="17">
        <f t="shared" si="0"/>
        <v>127292.85714285714</v>
      </c>
      <c r="M40" s="14">
        <f>K40/K13</f>
        <v>0.14080326460643244</v>
      </c>
    </row>
    <row r="41" spans="1:13" x14ac:dyDescent="0.15">
      <c r="A41" s="51"/>
      <c r="B41" s="12" t="s">
        <v>96</v>
      </c>
      <c r="C41" s="15">
        <v>-165675</v>
      </c>
      <c r="D41" s="15">
        <v>0</v>
      </c>
      <c r="E41" s="15">
        <v>-133338</v>
      </c>
      <c r="F41" s="15">
        <v>-138853</v>
      </c>
      <c r="G41" s="15">
        <v>-57615</v>
      </c>
      <c r="H41" s="15">
        <v>-55388</v>
      </c>
      <c r="I41" s="15">
        <v>-122670</v>
      </c>
      <c r="J41" s="15">
        <v>0</v>
      </c>
      <c r="K41" s="17">
        <f t="shared" si="8"/>
        <v>-673539</v>
      </c>
      <c r="L41" s="17">
        <f t="shared" si="0"/>
        <v>-72552</v>
      </c>
      <c r="M41" s="14">
        <f>K41/K13</f>
        <v>-8.4748078745846361E-2</v>
      </c>
    </row>
    <row r="42" spans="1:13" x14ac:dyDescent="0.15">
      <c r="A42" s="51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7">
        <f t="shared" si="8"/>
        <v>0</v>
      </c>
      <c r="L42" s="17">
        <f t="shared" si="0"/>
        <v>0</v>
      </c>
      <c r="M42" s="14">
        <f>K42/K13</f>
        <v>0</v>
      </c>
    </row>
    <row r="43" spans="1:13" x14ac:dyDescent="0.15">
      <c r="A43" s="51"/>
      <c r="B43" s="12" t="s">
        <v>98</v>
      </c>
      <c r="C43" s="15">
        <v>-72956.800000000003</v>
      </c>
      <c r="D43" s="15">
        <v>0</v>
      </c>
      <c r="E43" s="15">
        <v>-66774.399999999994</v>
      </c>
      <c r="F43" s="15">
        <v>-62006.400000000001</v>
      </c>
      <c r="G43" s="15">
        <v>-37046.400000000001</v>
      </c>
      <c r="H43" s="15">
        <v>-39990.400000000001</v>
      </c>
      <c r="I43" s="15">
        <v>-79318.399999999994</v>
      </c>
      <c r="J43" s="15">
        <v>0</v>
      </c>
      <c r="K43" s="17">
        <f>SUM(C43:J43)</f>
        <v>-358092.80000000005</v>
      </c>
      <c r="L43" s="17">
        <f>AVERAGE(B43:J43)</f>
        <v>-44761.600000000006</v>
      </c>
      <c r="M43" s="14">
        <f>K43/K13</f>
        <v>-4.505704467405839E-2</v>
      </c>
    </row>
    <row r="44" spans="1:13" x14ac:dyDescent="0.15">
      <c r="A44" s="51"/>
      <c r="B44" s="25" t="s">
        <v>99</v>
      </c>
      <c r="C44" s="26">
        <f t="shared" ref="C44:K44" si="11">SUM(C40:C43)</f>
        <v>-10641.800000000003</v>
      </c>
      <c r="D44" s="26">
        <f t="shared" si="11"/>
        <v>0</v>
      </c>
      <c r="E44" s="26">
        <f t="shared" si="11"/>
        <v>8557.6000000000058</v>
      </c>
      <c r="F44" s="26">
        <f t="shared" si="11"/>
        <v>-7089.4000000000015</v>
      </c>
      <c r="G44" s="26">
        <f t="shared" si="11"/>
        <v>21108.6</v>
      </c>
      <c r="H44" s="26">
        <f t="shared" si="11"/>
        <v>29591.599999999999</v>
      </c>
      <c r="I44" s="26">
        <f t="shared" si="11"/>
        <v>45881.600000000006</v>
      </c>
      <c r="J44" s="26">
        <f t="shared" si="11"/>
        <v>0</v>
      </c>
      <c r="K44" s="28">
        <f t="shared" si="11"/>
        <v>87408.199999999953</v>
      </c>
      <c r="L44" s="28">
        <f>AVERAGE(B44:J44)</f>
        <v>10926.025000000001</v>
      </c>
      <c r="M44" s="29">
        <f>K44/K13</f>
        <v>1.0998141186527704E-2</v>
      </c>
    </row>
    <row r="45" spans="1:13" x14ac:dyDescent="0.15">
      <c r="A45" s="51" t="s">
        <v>100</v>
      </c>
      <c r="B45" s="12" t="s">
        <v>101</v>
      </c>
      <c r="C45" s="15">
        <v>423261</v>
      </c>
      <c r="D45" s="15">
        <v>0</v>
      </c>
      <c r="E45" s="15">
        <v>405096</v>
      </c>
      <c r="F45" s="15">
        <v>397867</v>
      </c>
      <c r="G45" s="15">
        <v>346534</v>
      </c>
      <c r="H45" s="15">
        <v>331574</v>
      </c>
      <c r="I45" s="15">
        <v>312433</v>
      </c>
      <c r="J45" s="15">
        <v>0</v>
      </c>
      <c r="K45" s="17">
        <f t="shared" ref="K45:K60" si="12">SUM(C45:J45)</f>
        <v>2216765</v>
      </c>
      <c r="L45" s="17">
        <f t="shared" ref="L45:L60" si="13">AVERAGE(D45:J45)</f>
        <v>256214.85714285713</v>
      </c>
      <c r="M45" s="14">
        <f>K45/K13</f>
        <v>0.27892456825964956</v>
      </c>
    </row>
    <row r="46" spans="1:13" x14ac:dyDescent="0.15">
      <c r="A46" s="51"/>
      <c r="B46" s="12" t="s">
        <v>102</v>
      </c>
      <c r="C46" s="15">
        <v>16000</v>
      </c>
      <c r="D46" s="15">
        <v>0</v>
      </c>
      <c r="E46" s="15">
        <v>13500</v>
      </c>
      <c r="F46" s="15">
        <v>14333</v>
      </c>
      <c r="G46" s="15">
        <v>24000</v>
      </c>
      <c r="H46" s="15">
        <v>14333</v>
      </c>
      <c r="I46" s="15">
        <v>0</v>
      </c>
      <c r="J46" s="15">
        <v>0</v>
      </c>
      <c r="K46" s="17">
        <f t="shared" si="12"/>
        <v>82166</v>
      </c>
      <c r="L46" s="17">
        <f t="shared" si="13"/>
        <v>9452.2857142857138</v>
      </c>
      <c r="M46" s="14">
        <f>K46/K13</f>
        <v>1.0338541106351988E-2</v>
      </c>
    </row>
    <row r="47" spans="1:13" x14ac:dyDescent="0.15">
      <c r="A47" s="51"/>
      <c r="B47" s="12" t="s">
        <v>103</v>
      </c>
      <c r="C47" s="15">
        <v>64744</v>
      </c>
      <c r="D47" s="15">
        <v>0</v>
      </c>
      <c r="E47" s="15">
        <v>64365</v>
      </c>
      <c r="F47" s="15">
        <v>64491</v>
      </c>
      <c r="G47" s="15">
        <v>62926</v>
      </c>
      <c r="H47" s="15">
        <v>64491</v>
      </c>
      <c r="I47" s="15">
        <v>50200</v>
      </c>
      <c r="J47" s="15">
        <v>0</v>
      </c>
      <c r="K47" s="17">
        <f t="shared" si="12"/>
        <v>371217</v>
      </c>
      <c r="L47" s="17">
        <f t="shared" si="13"/>
        <v>43781.857142857145</v>
      </c>
      <c r="M47" s="14">
        <f>K47/K13</f>
        <v>4.6708397802943627E-2</v>
      </c>
    </row>
    <row r="48" spans="1:13" x14ac:dyDescent="0.15">
      <c r="A48" s="51"/>
      <c r="B48" s="12" t="s">
        <v>104</v>
      </c>
      <c r="C48" s="15">
        <v>6000</v>
      </c>
      <c r="D48" s="15">
        <v>0</v>
      </c>
      <c r="E48" s="15">
        <v>6000</v>
      </c>
      <c r="F48" s="15">
        <v>6000</v>
      </c>
      <c r="G48" s="15">
        <v>6000</v>
      </c>
      <c r="H48" s="15">
        <v>6000</v>
      </c>
      <c r="I48" s="15">
        <v>0</v>
      </c>
      <c r="J48" s="15">
        <v>0</v>
      </c>
      <c r="K48" s="17">
        <f t="shared" si="12"/>
        <v>30000</v>
      </c>
      <c r="L48" s="17">
        <f t="shared" si="13"/>
        <v>3428.5714285714284</v>
      </c>
      <c r="M48" s="14">
        <f>K48/K13</f>
        <v>3.7747515175444789E-3</v>
      </c>
    </row>
    <row r="49" spans="1:13" x14ac:dyDescent="0.15">
      <c r="A49" s="51"/>
      <c r="B49" s="25" t="s">
        <v>105</v>
      </c>
      <c r="C49" s="26">
        <f t="shared" ref="C49:J49" si="14">SUM(C45:C48)</f>
        <v>510005</v>
      </c>
      <c r="D49" s="26">
        <f t="shared" si="14"/>
        <v>0</v>
      </c>
      <c r="E49" s="26">
        <f t="shared" si="14"/>
        <v>488961</v>
      </c>
      <c r="F49" s="26">
        <f t="shared" si="14"/>
        <v>482691</v>
      </c>
      <c r="G49" s="26">
        <f t="shared" si="14"/>
        <v>439460</v>
      </c>
      <c r="H49" s="26">
        <f t="shared" si="14"/>
        <v>416398</v>
      </c>
      <c r="I49" s="26">
        <f t="shared" si="14"/>
        <v>362633</v>
      </c>
      <c r="J49" s="26">
        <f t="shared" si="14"/>
        <v>0</v>
      </c>
      <c r="K49" s="28">
        <f t="shared" si="12"/>
        <v>2700148</v>
      </c>
      <c r="L49" s="28">
        <f t="shared" si="13"/>
        <v>312877.57142857142</v>
      </c>
      <c r="M49" s="29">
        <f>K49/K13</f>
        <v>0.33974625868648967</v>
      </c>
    </row>
    <row r="50" spans="1:13" x14ac:dyDescent="0.15">
      <c r="A50" s="51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7">
        <f t="shared" si="12"/>
        <v>0</v>
      </c>
      <c r="L50" s="17">
        <f t="shared" si="13"/>
        <v>0</v>
      </c>
      <c r="M50" s="14">
        <f>K50/K13</f>
        <v>0</v>
      </c>
    </row>
    <row r="51" spans="1:13" x14ac:dyDescent="0.15">
      <c r="A51" s="51"/>
      <c r="B51" s="12" t="s">
        <v>108</v>
      </c>
      <c r="C51" s="15">
        <v>0</v>
      </c>
      <c r="D51" s="15">
        <v>1322778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7">
        <f t="shared" si="12"/>
        <v>1322778</v>
      </c>
      <c r="L51" s="17">
        <f t="shared" si="13"/>
        <v>188968.28571428571</v>
      </c>
      <c r="M51" s="14">
        <f>K51/K13</f>
        <v>0.16643860876248168</v>
      </c>
    </row>
    <row r="52" spans="1:13" x14ac:dyDescent="0.15">
      <c r="A52" s="51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5">
        <v>0</v>
      </c>
      <c r="K52" s="17">
        <f t="shared" si="12"/>
        <v>0</v>
      </c>
      <c r="L52" s="17">
        <f t="shared" si="13"/>
        <v>0</v>
      </c>
      <c r="M52" s="14">
        <f>K52/K13</f>
        <v>0</v>
      </c>
    </row>
    <row r="53" spans="1:13" x14ac:dyDescent="0.15">
      <c r="A53" s="51"/>
      <c r="B53" s="12" t="s">
        <v>110</v>
      </c>
      <c r="C53" s="15">
        <v>99066.571428571435</v>
      </c>
      <c r="D53" s="15">
        <v>0</v>
      </c>
      <c r="E53" s="15">
        <v>99066.571428571435</v>
      </c>
      <c r="F53" s="15">
        <v>99066.571428571435</v>
      </c>
      <c r="G53" s="15">
        <v>99066.571428571435</v>
      </c>
      <c r="H53" s="15">
        <v>99066.571428571435</v>
      </c>
      <c r="I53" s="15">
        <v>99066.571428571435</v>
      </c>
      <c r="J53" s="15">
        <v>99066.571428571435</v>
      </c>
      <c r="K53" s="17">
        <f t="shared" si="12"/>
        <v>693466.00000000012</v>
      </c>
      <c r="L53" s="17">
        <f t="shared" si="13"/>
        <v>84914.204081632663</v>
      </c>
      <c r="M53" s="14">
        <f>K53/K13</f>
        <v>8.7255394528850005E-2</v>
      </c>
    </row>
    <row r="54" spans="1:13" x14ac:dyDescent="0.15">
      <c r="A54" s="51"/>
      <c r="B54" s="12" t="s">
        <v>111</v>
      </c>
      <c r="C54" s="15">
        <v>60810.571428571428</v>
      </c>
      <c r="D54" s="15">
        <v>0</v>
      </c>
      <c r="E54" s="15">
        <v>60810.571428571428</v>
      </c>
      <c r="F54" s="15">
        <v>60810.571428571428</v>
      </c>
      <c r="G54" s="15">
        <v>60810.571428571428</v>
      </c>
      <c r="H54" s="15">
        <v>60810.571428571428</v>
      </c>
      <c r="I54" s="15">
        <v>60810.571428571428</v>
      </c>
      <c r="J54" s="15">
        <v>60810.571428571428</v>
      </c>
      <c r="K54" s="17">
        <f t="shared" si="12"/>
        <v>425674</v>
      </c>
      <c r="L54" s="17">
        <f t="shared" si="13"/>
        <v>52123.34693877551</v>
      </c>
      <c r="M54" s="14">
        <f>K54/K13</f>
        <v>5.3560452582640951E-2</v>
      </c>
    </row>
    <row r="55" spans="1:13" x14ac:dyDescent="0.15">
      <c r="A55" s="51"/>
      <c r="B55" s="25" t="s">
        <v>112</v>
      </c>
      <c r="C55" s="26">
        <f t="shared" ref="C55:J55" si="15">SUM(C50:C54)</f>
        <v>159877.14285714287</v>
      </c>
      <c r="D55" s="26">
        <f t="shared" si="15"/>
        <v>1322778</v>
      </c>
      <c r="E55" s="26">
        <f t="shared" si="15"/>
        <v>159877.14285714287</v>
      </c>
      <c r="F55" s="26">
        <f t="shared" si="15"/>
        <v>159877.14285714287</v>
      </c>
      <c r="G55" s="26">
        <f t="shared" si="15"/>
        <v>159877.14285714287</v>
      </c>
      <c r="H55" s="26">
        <f t="shared" si="15"/>
        <v>159877.14285714287</v>
      </c>
      <c r="I55" s="26">
        <f t="shared" si="15"/>
        <v>159877.14285714287</v>
      </c>
      <c r="J55" s="26">
        <f t="shared" si="15"/>
        <v>159877.14285714287</v>
      </c>
      <c r="K55" s="28">
        <f t="shared" si="12"/>
        <v>2441918</v>
      </c>
      <c r="L55" s="28">
        <f t="shared" si="13"/>
        <v>326005.8367346939</v>
      </c>
      <c r="M55" s="29">
        <f>K55/K13</f>
        <v>0.3072544558739726</v>
      </c>
    </row>
    <row r="56" spans="1:13" x14ac:dyDescent="0.15">
      <c r="A56" s="48" t="s">
        <v>113</v>
      </c>
      <c r="B56" s="48"/>
      <c r="C56" s="15">
        <f t="shared" ref="C56:J56" si="16">SUM(C49+C22+C27+C33+C39+C44+C55)</f>
        <v>955928.05714285711</v>
      </c>
      <c r="D56" s="15">
        <f t="shared" si="16"/>
        <v>1322778</v>
      </c>
      <c r="E56" s="15">
        <f t="shared" si="16"/>
        <v>975111.88571428566</v>
      </c>
      <c r="F56" s="15">
        <f t="shared" si="16"/>
        <v>1263988.1714285717</v>
      </c>
      <c r="G56" s="15">
        <f t="shared" si="16"/>
        <v>767037.11428571423</v>
      </c>
      <c r="H56" s="15">
        <f t="shared" si="16"/>
        <v>782989.54285714286</v>
      </c>
      <c r="I56" s="15">
        <f t="shared" si="16"/>
        <v>869106.48571428563</v>
      </c>
      <c r="J56" s="15">
        <f t="shared" si="16"/>
        <v>621196.14285714284</v>
      </c>
      <c r="K56" s="17">
        <f t="shared" si="12"/>
        <v>7558135.3999999994</v>
      </c>
      <c r="L56" s="17">
        <f t="shared" si="13"/>
        <v>943172.47755102045</v>
      </c>
      <c r="M56" s="14">
        <f>K56/K13</f>
        <v>0.95100276903188818</v>
      </c>
    </row>
    <row r="57" spans="1:13" x14ac:dyDescent="0.15">
      <c r="A57" s="48" t="s">
        <v>114</v>
      </c>
      <c r="B57" s="48"/>
      <c r="C57" s="15">
        <f>SUM(C13+C14-C56)</f>
        <v>491623.94285714289</v>
      </c>
      <c r="D57" s="15">
        <f t="shared" ref="D57:J57" si="17">SUM(D13+D14-D56)</f>
        <v>80447</v>
      </c>
      <c r="E57" s="15">
        <f t="shared" si="17"/>
        <v>389126.11428571434</v>
      </c>
      <c r="F57" s="15">
        <f t="shared" si="17"/>
        <v>80499.828571428312</v>
      </c>
      <c r="G57" s="15">
        <f t="shared" si="17"/>
        <v>-181337.11428571423</v>
      </c>
      <c r="H57" s="15">
        <f t="shared" si="17"/>
        <v>-165289.54285714286</v>
      </c>
      <c r="I57" s="15">
        <f t="shared" si="17"/>
        <v>315533.51428571437</v>
      </c>
      <c r="J57" s="15">
        <f t="shared" si="17"/>
        <v>-621196.14285714284</v>
      </c>
      <c r="K57" s="17">
        <f t="shared" si="12"/>
        <v>389407.6</v>
      </c>
      <c r="L57" s="17">
        <f t="shared" si="13"/>
        <v>-14602.334693877559</v>
      </c>
      <c r="M57" s="14">
        <f>K57/K13</f>
        <v>4.8997230968111774E-2</v>
      </c>
    </row>
    <row r="58" spans="1:13" x14ac:dyDescent="0.15">
      <c r="A58" s="48" t="s">
        <v>115</v>
      </c>
      <c r="B58" s="48"/>
      <c r="C58" s="15">
        <v>126042.4054054054</v>
      </c>
      <c r="D58" s="15">
        <v>0</v>
      </c>
      <c r="E58" s="15">
        <v>126042.4054054054</v>
      </c>
      <c r="F58" s="15">
        <v>126042.4054054054</v>
      </c>
      <c r="G58" s="15">
        <v>126042.4054054054</v>
      </c>
      <c r="H58" s="15">
        <v>126042.4054054054</v>
      </c>
      <c r="I58" s="15">
        <v>126042.4054054054</v>
      </c>
      <c r="J58" s="15">
        <v>126042.4054054054</v>
      </c>
      <c r="K58" s="17">
        <f t="shared" si="12"/>
        <v>882296.83783783787</v>
      </c>
      <c r="L58" s="17">
        <f t="shared" si="13"/>
        <v>108036.34749034749</v>
      </c>
      <c r="M58" s="14">
        <f>K58/K13</f>
        <v>0.11101504425176911</v>
      </c>
    </row>
    <row r="59" spans="1:13" x14ac:dyDescent="0.15">
      <c r="A59" s="48" t="s">
        <v>116</v>
      </c>
      <c r="B59" s="48"/>
      <c r="C59" s="15">
        <v>118890.78378378379</v>
      </c>
      <c r="D59" s="15">
        <v>0</v>
      </c>
      <c r="E59" s="15">
        <v>118890.78378378379</v>
      </c>
      <c r="F59" s="15">
        <v>118890.78378378379</v>
      </c>
      <c r="G59" s="15">
        <v>118890.78378378379</v>
      </c>
      <c r="H59" s="15">
        <v>118890.78378378379</v>
      </c>
      <c r="I59" s="15">
        <v>118890.78378378379</v>
      </c>
      <c r="J59" s="15">
        <v>118890.78378378379</v>
      </c>
      <c r="K59" s="17">
        <f t="shared" si="12"/>
        <v>832235.48648648651</v>
      </c>
      <c r="L59" s="17">
        <f t="shared" si="13"/>
        <v>101906.38610038611</v>
      </c>
      <c r="M59" s="14">
        <f>K59/K13</f>
        <v>0.10471607218564108</v>
      </c>
    </row>
    <row r="60" spans="1:13" x14ac:dyDescent="0.15">
      <c r="A60" s="48" t="s">
        <v>117</v>
      </c>
      <c r="B60" s="48"/>
      <c r="C60" s="15">
        <f>SUM(C57-(C58+C59))</f>
        <v>246690.75366795372</v>
      </c>
      <c r="D60" s="15">
        <f t="shared" ref="D60:J60" si="18">SUM(D57-(D58+D59))</f>
        <v>80447</v>
      </c>
      <c r="E60" s="15">
        <f t="shared" si="18"/>
        <v>144192.92509652517</v>
      </c>
      <c r="F60" s="15">
        <f t="shared" si="18"/>
        <v>-164433.36061776086</v>
      </c>
      <c r="G60" s="15">
        <f t="shared" si="18"/>
        <v>-426270.3034749034</v>
      </c>
      <c r="H60" s="15">
        <f t="shared" si="18"/>
        <v>-410222.73204633204</v>
      </c>
      <c r="I60" s="15">
        <f t="shared" si="18"/>
        <v>70600.325096525194</v>
      </c>
      <c r="J60" s="15">
        <f t="shared" si="18"/>
        <v>-866129.33204633207</v>
      </c>
      <c r="K60" s="17">
        <f t="shared" si="12"/>
        <v>-1325124.7243243242</v>
      </c>
      <c r="L60" s="17">
        <f t="shared" si="13"/>
        <v>-224545.06828461116</v>
      </c>
      <c r="M60" s="14">
        <f>K60/K13</f>
        <v>-0.1667338854692984</v>
      </c>
    </row>
    <row r="61" spans="1:13" x14ac:dyDescent="0.15">
      <c r="A61" s="12"/>
      <c r="B61" s="37" t="s">
        <v>46</v>
      </c>
      <c r="C61" s="37"/>
      <c r="D61" s="37"/>
      <c r="E61" s="37"/>
      <c r="F61" s="37" t="s">
        <v>118</v>
      </c>
      <c r="G61" s="37"/>
      <c r="H61" s="12"/>
      <c r="I61" s="12"/>
      <c r="J61" s="12"/>
    </row>
    <row r="62" spans="1:13" x14ac:dyDescent="0.15">
      <c r="A62" s="13"/>
      <c r="B62" s="38"/>
      <c r="C62" s="18" t="s">
        <v>119</v>
      </c>
      <c r="D62" s="2" t="s">
        <v>120</v>
      </c>
      <c r="E62" s="2" t="s">
        <v>121</v>
      </c>
      <c r="F62" s="2" t="s">
        <v>122</v>
      </c>
      <c r="G62" s="2" t="s">
        <v>123</v>
      </c>
      <c r="H62" s="39"/>
      <c r="I62" s="12"/>
      <c r="J62" s="12"/>
    </row>
    <row r="63" spans="1:13" x14ac:dyDescent="0.15">
      <c r="A63" s="13"/>
      <c r="B63" s="40" t="s">
        <v>124</v>
      </c>
      <c r="C63" s="30">
        <v>0</v>
      </c>
      <c r="D63" s="30">
        <v>693466</v>
      </c>
      <c r="E63" s="30">
        <v>425674</v>
      </c>
      <c r="F63" s="30">
        <v>4663569</v>
      </c>
      <c r="G63" s="30">
        <v>4398959</v>
      </c>
      <c r="H63" s="39"/>
      <c r="I63" s="12"/>
      <c r="J63" s="12"/>
    </row>
    <row r="64" spans="1:13" x14ac:dyDescent="0.15">
      <c r="A64" s="13"/>
      <c r="B64" s="41" t="s">
        <v>125</v>
      </c>
      <c r="C64" s="30">
        <v>7</v>
      </c>
      <c r="D64" s="30">
        <v>7</v>
      </c>
      <c r="E64" s="30">
        <v>7</v>
      </c>
      <c r="F64" s="30">
        <v>37</v>
      </c>
      <c r="G64" s="30">
        <v>37</v>
      </c>
      <c r="H64" s="39"/>
      <c r="I64" s="12"/>
      <c r="J64" s="12"/>
    </row>
    <row r="65" spans="1:10" x14ac:dyDescent="0.15">
      <c r="A65" s="13"/>
      <c r="B65" s="41" t="s">
        <v>41</v>
      </c>
      <c r="C65" s="15">
        <f>SUM(C63/C64)</f>
        <v>0</v>
      </c>
      <c r="D65" s="15">
        <f t="shared" ref="D65:G65" si="19">SUM(D63/D64)</f>
        <v>99066.571428571435</v>
      </c>
      <c r="E65" s="15">
        <f t="shared" si="19"/>
        <v>60810.571428571428</v>
      </c>
      <c r="F65" s="15">
        <f t="shared" si="19"/>
        <v>126042.4054054054</v>
      </c>
      <c r="G65" s="15">
        <f t="shared" si="19"/>
        <v>118890.78378378379</v>
      </c>
      <c r="H65" s="39"/>
      <c r="I65" s="12"/>
      <c r="J65" s="12"/>
    </row>
    <row r="66" spans="1:10" x14ac:dyDescent="0.15">
      <c r="A66" s="12"/>
      <c r="B66" s="42" t="s">
        <v>47</v>
      </c>
      <c r="C66" s="42"/>
      <c r="D66" s="42"/>
      <c r="E66" s="42"/>
      <c r="F66" s="42"/>
      <c r="G66" s="42"/>
      <c r="H66" s="12"/>
      <c r="I66" s="12"/>
      <c r="J66" s="12"/>
    </row>
    <row r="67" spans="1:10" x14ac:dyDescent="0.15">
      <c r="A67" s="12"/>
      <c r="B67" s="38"/>
      <c r="C67" s="18" t="s">
        <v>126</v>
      </c>
      <c r="D67" s="2" t="s">
        <v>127</v>
      </c>
      <c r="E67" s="2" t="s">
        <v>128</v>
      </c>
      <c r="F67" s="12"/>
      <c r="G67" s="12"/>
      <c r="H67" s="12"/>
      <c r="I67" s="12"/>
      <c r="J67" s="12"/>
    </row>
    <row r="68" spans="1:10" x14ac:dyDescent="0.15">
      <c r="A68" s="12"/>
      <c r="B68" s="40" t="s">
        <v>124</v>
      </c>
      <c r="C68" s="30">
        <v>117000</v>
      </c>
      <c r="D68" s="30">
        <v>1621340</v>
      </c>
      <c r="E68" s="30">
        <v>1213544</v>
      </c>
      <c r="F68" s="12"/>
      <c r="G68" s="12"/>
      <c r="H68" s="12"/>
      <c r="I68" s="12"/>
      <c r="J68" s="12"/>
    </row>
    <row r="69" spans="1:10" x14ac:dyDescent="0.15">
      <c r="A69" s="12"/>
      <c r="B69" s="41" t="s">
        <v>125</v>
      </c>
      <c r="C69" s="30">
        <v>18</v>
      </c>
      <c r="D69" s="30">
        <v>18</v>
      </c>
      <c r="E69" s="30">
        <v>18</v>
      </c>
      <c r="F69" s="12"/>
      <c r="G69" s="12"/>
      <c r="H69" s="12"/>
      <c r="I69" s="12"/>
      <c r="J69" s="12"/>
    </row>
    <row r="70" spans="1:10" x14ac:dyDescent="0.15">
      <c r="A70" s="12"/>
      <c r="B70" s="41" t="s">
        <v>41</v>
      </c>
      <c r="C70" s="15">
        <f>SUM(C68/C69)</f>
        <v>6500</v>
      </c>
      <c r="D70" s="15">
        <f t="shared" ref="D70:E70" si="20">SUM(D68/D69)</f>
        <v>90074.444444444438</v>
      </c>
      <c r="E70" s="15">
        <f t="shared" si="20"/>
        <v>67419.111111111109</v>
      </c>
      <c r="F70" s="12"/>
      <c r="G70" s="12"/>
      <c r="H70" s="12"/>
      <c r="I70" s="12"/>
      <c r="J70" s="12"/>
    </row>
    <row r="71" spans="1:10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</row>
    <row r="72" spans="1:10" x14ac:dyDescent="0.15">
      <c r="A72" s="12"/>
      <c r="B72" s="38"/>
      <c r="C72" s="18" t="s">
        <v>130</v>
      </c>
      <c r="D72" s="2" t="s">
        <v>131</v>
      </c>
      <c r="E72" s="2" t="s">
        <v>132</v>
      </c>
      <c r="F72" s="12"/>
      <c r="G72" s="12"/>
      <c r="H72" s="12"/>
      <c r="I72" s="12"/>
      <c r="J72" s="12"/>
    </row>
    <row r="73" spans="1:10" x14ac:dyDescent="0.15">
      <c r="A73" s="12"/>
      <c r="B73" s="40" t="s">
        <v>124</v>
      </c>
      <c r="C73" s="30"/>
      <c r="D73" s="30"/>
      <c r="E73" s="30"/>
      <c r="F73" s="12"/>
      <c r="G73" s="12"/>
      <c r="H73" s="12"/>
      <c r="I73" s="12"/>
      <c r="J73" s="12"/>
    </row>
    <row r="74" spans="1:10" x14ac:dyDescent="0.15">
      <c r="A74" s="12"/>
      <c r="B74" s="41" t="s">
        <v>125</v>
      </c>
      <c r="C74" s="30"/>
      <c r="D74" s="30"/>
      <c r="E74" s="30"/>
      <c r="F74" s="12"/>
      <c r="G74" s="12"/>
      <c r="H74" s="12"/>
      <c r="I74" s="12"/>
      <c r="J74" s="12"/>
    </row>
    <row r="75" spans="1:10" x14ac:dyDescent="0.15">
      <c r="A75" s="12"/>
      <c r="B75" s="41" t="s">
        <v>41</v>
      </c>
      <c r="C75" s="15" t="e">
        <f>SUM(C73/C74)</f>
        <v>#DIV/0!</v>
      </c>
      <c r="D75" s="15" t="e">
        <f t="shared" ref="D75:E75" si="21">SUM(D73/D74)</f>
        <v>#DIV/0!</v>
      </c>
      <c r="E75" s="15" t="e">
        <f t="shared" si="21"/>
        <v>#DIV/0!</v>
      </c>
      <c r="F75" s="12"/>
      <c r="G75" s="12"/>
      <c r="H75" s="12"/>
      <c r="I75" s="12"/>
      <c r="J75" s="12"/>
    </row>
    <row r="76" spans="1:10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</row>
    <row r="77" spans="1:10" x14ac:dyDescent="0.15">
      <c r="A77" s="12"/>
      <c r="B77" s="38"/>
      <c r="C77" s="18" t="s">
        <v>134</v>
      </c>
      <c r="D77" s="2" t="s">
        <v>135</v>
      </c>
      <c r="E77" s="2" t="s">
        <v>136</v>
      </c>
      <c r="F77" s="12"/>
      <c r="G77" s="12"/>
      <c r="H77" s="12"/>
      <c r="I77" s="12"/>
      <c r="J77" s="12"/>
    </row>
    <row r="78" spans="1:10" x14ac:dyDescent="0.15">
      <c r="A78" s="12"/>
      <c r="B78" s="40" t="s">
        <v>124</v>
      </c>
      <c r="C78" s="30"/>
      <c r="D78" s="30"/>
      <c r="E78" s="30"/>
      <c r="F78" s="12"/>
      <c r="G78" s="12"/>
      <c r="H78" s="12"/>
      <c r="I78" s="12"/>
      <c r="J78" s="12"/>
    </row>
    <row r="79" spans="1:10" x14ac:dyDescent="0.15">
      <c r="A79" s="12"/>
      <c r="B79" s="41" t="s">
        <v>125</v>
      </c>
      <c r="C79" s="30"/>
      <c r="D79" s="30"/>
      <c r="E79" s="30"/>
      <c r="F79" s="12"/>
      <c r="G79" s="12"/>
      <c r="H79" s="12"/>
      <c r="I79" s="12"/>
      <c r="J79" s="12"/>
    </row>
    <row r="80" spans="1:10" x14ac:dyDescent="0.15">
      <c r="A80" s="12"/>
      <c r="B80" s="41" t="s">
        <v>41</v>
      </c>
      <c r="C80" s="15" t="e">
        <f>SUM(C78/C79)</f>
        <v>#DIV/0!</v>
      </c>
      <c r="D80" s="15" t="e">
        <f t="shared" ref="D80:E80" si="22">SUM(D78/D79)</f>
        <v>#DIV/0!</v>
      </c>
      <c r="E80" s="15" t="e">
        <f t="shared" si="22"/>
        <v>#DIV/0!</v>
      </c>
      <c r="F80" s="12"/>
      <c r="G80" s="12"/>
      <c r="H80" s="12"/>
      <c r="I80" s="12"/>
      <c r="J80" s="12"/>
    </row>
    <row r="81" spans="1:10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</row>
    <row r="82" spans="1:10" x14ac:dyDescent="0.15">
      <c r="A82" s="12"/>
      <c r="B82" s="38"/>
      <c r="C82" s="18" t="s">
        <v>138</v>
      </c>
      <c r="D82" s="2" t="s">
        <v>139</v>
      </c>
      <c r="E82" s="2" t="s">
        <v>140</v>
      </c>
      <c r="F82" s="12"/>
      <c r="G82" s="12"/>
      <c r="H82" s="12"/>
      <c r="I82" s="12"/>
      <c r="J82" s="12"/>
    </row>
    <row r="83" spans="1:10" x14ac:dyDescent="0.15">
      <c r="A83" s="12"/>
      <c r="B83" s="40" t="s">
        <v>124</v>
      </c>
      <c r="C83" s="30"/>
      <c r="D83" s="30"/>
      <c r="E83" s="30"/>
      <c r="F83" s="12"/>
      <c r="G83" s="12"/>
      <c r="H83" s="12"/>
      <c r="I83" s="12"/>
      <c r="J83" s="12"/>
    </row>
    <row r="84" spans="1:10" x14ac:dyDescent="0.15">
      <c r="A84" s="12"/>
      <c r="B84" s="41" t="s">
        <v>125</v>
      </c>
      <c r="C84" s="30"/>
      <c r="D84" s="30"/>
      <c r="E84" s="30"/>
      <c r="F84" s="12"/>
      <c r="G84" s="12"/>
      <c r="H84" s="12"/>
      <c r="I84" s="12"/>
      <c r="J84" s="12"/>
    </row>
    <row r="85" spans="1:10" x14ac:dyDescent="0.15">
      <c r="A85" s="12"/>
      <c r="B85" s="41" t="s">
        <v>41</v>
      </c>
      <c r="C85" s="15" t="e">
        <f>SUM(C83/C84)</f>
        <v>#DIV/0!</v>
      </c>
      <c r="D85" s="15" t="e">
        <f t="shared" ref="D85:E85" si="23">SUM(D83/D84)</f>
        <v>#DIV/0!</v>
      </c>
      <c r="E85" s="15" t="e">
        <f t="shared" si="23"/>
        <v>#DIV/0!</v>
      </c>
      <c r="F85" s="12"/>
      <c r="G85" s="12"/>
      <c r="H85" s="12"/>
      <c r="I85" s="12"/>
      <c r="J85" s="12"/>
    </row>
    <row r="86" spans="1:10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</row>
    <row r="87" spans="1:10" x14ac:dyDescent="0.15">
      <c r="A87" s="12"/>
      <c r="B87" s="38"/>
      <c r="C87" s="18" t="s">
        <v>141</v>
      </c>
      <c r="D87" s="2" t="s">
        <v>142</v>
      </c>
      <c r="E87" s="2" t="s">
        <v>143</v>
      </c>
      <c r="F87" s="12"/>
      <c r="G87" s="12"/>
      <c r="H87" s="12"/>
      <c r="I87" s="12"/>
      <c r="J87" s="12"/>
    </row>
    <row r="88" spans="1:10" x14ac:dyDescent="0.15">
      <c r="A88" s="12"/>
      <c r="B88" s="40" t="s">
        <v>124</v>
      </c>
      <c r="C88" s="30">
        <v>150000</v>
      </c>
      <c r="D88" s="30">
        <v>696338</v>
      </c>
      <c r="E88" s="30">
        <v>471934</v>
      </c>
      <c r="F88" s="12"/>
      <c r="G88" s="12"/>
      <c r="H88" s="12"/>
      <c r="I88" s="12"/>
      <c r="J88" s="12"/>
    </row>
    <row r="89" spans="1:10" x14ac:dyDescent="0.15">
      <c r="B89" s="41" t="s">
        <v>125</v>
      </c>
      <c r="C89" s="30">
        <v>7</v>
      </c>
      <c r="D89" s="30">
        <v>7</v>
      </c>
      <c r="E89" s="30">
        <v>7</v>
      </c>
    </row>
    <row r="90" spans="1:10" x14ac:dyDescent="0.15">
      <c r="B90" s="41" t="s">
        <v>41</v>
      </c>
      <c r="C90" s="15">
        <f>SUM(C88/C89)</f>
        <v>21428.571428571428</v>
      </c>
      <c r="D90" s="15">
        <f t="shared" ref="D90:E90" si="24">SUM(D88/D89)</f>
        <v>99476.857142857145</v>
      </c>
      <c r="E90" s="15">
        <f t="shared" si="24"/>
        <v>67419.142857142855</v>
      </c>
    </row>
    <row r="92" spans="1:10" x14ac:dyDescent="0.15">
      <c r="B92" s="38"/>
      <c r="C92" s="18" t="s">
        <v>144</v>
      </c>
      <c r="D92" s="2" t="s">
        <v>145</v>
      </c>
      <c r="E92" s="2" t="s">
        <v>146</v>
      </c>
    </row>
    <row r="93" spans="1:10" x14ac:dyDescent="0.15">
      <c r="B93" s="40" t="s">
        <v>124</v>
      </c>
      <c r="C93" s="30">
        <v>297000</v>
      </c>
      <c r="D93" s="30">
        <v>413329</v>
      </c>
      <c r="E93" s="30">
        <v>155007</v>
      </c>
    </row>
    <row r="94" spans="1:10" x14ac:dyDescent="0.15">
      <c r="B94" s="41" t="s">
        <v>125</v>
      </c>
      <c r="C94" s="30">
        <v>5</v>
      </c>
      <c r="D94" s="30">
        <v>5</v>
      </c>
      <c r="E94" s="30">
        <v>5</v>
      </c>
    </row>
    <row r="95" spans="1:10" x14ac:dyDescent="0.15">
      <c r="B95" s="41" t="s">
        <v>41</v>
      </c>
      <c r="C95" s="15">
        <f>SUM(C93/C94)</f>
        <v>59400</v>
      </c>
      <c r="D95" s="15">
        <f t="shared" ref="D95:E95" si="25">SUM(D93/D94)</f>
        <v>82665.8</v>
      </c>
      <c r="E95" s="15">
        <f t="shared" si="25"/>
        <v>31001.4</v>
      </c>
    </row>
    <row r="97" spans="2:5" x14ac:dyDescent="0.15">
      <c r="B97" s="38"/>
      <c r="C97" s="18" t="s">
        <v>147</v>
      </c>
      <c r="D97" s="2" t="s">
        <v>148</v>
      </c>
      <c r="E97" s="2" t="s">
        <v>149</v>
      </c>
    </row>
    <row r="98" spans="2:5" x14ac:dyDescent="0.15">
      <c r="B98" s="40" t="s">
        <v>124</v>
      </c>
      <c r="C98" s="30">
        <v>0</v>
      </c>
      <c r="D98" s="30">
        <v>0</v>
      </c>
      <c r="E98" s="30">
        <v>0</v>
      </c>
    </row>
    <row r="99" spans="2:5" x14ac:dyDescent="0.15">
      <c r="B99" s="41" t="s">
        <v>125</v>
      </c>
      <c r="C99" s="30">
        <v>5</v>
      </c>
      <c r="D99" s="30">
        <v>5</v>
      </c>
      <c r="E99" s="30">
        <v>5</v>
      </c>
    </row>
    <row r="100" spans="2:5" x14ac:dyDescent="0.15">
      <c r="B100" s="41" t="s">
        <v>41</v>
      </c>
      <c r="C100" s="15">
        <f>SUM(C98/C99)</f>
        <v>0</v>
      </c>
      <c r="D100" s="15">
        <f t="shared" ref="D100:E100" si="26">SUM(D98/D99)</f>
        <v>0</v>
      </c>
      <c r="E100" s="15">
        <f t="shared" si="26"/>
        <v>0</v>
      </c>
    </row>
    <row r="102" spans="2:5" x14ac:dyDescent="0.15">
      <c r="B102" s="12" t="s">
        <v>150</v>
      </c>
      <c r="C102" s="9">
        <v>32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print="0" autoLine="0" r:id="rId5">
            <anchor>
              <from>
                <xdr:col>0</xdr:col>
                <xdr:colOff>190500</xdr:colOff>
                <xdr:row>0</xdr:row>
                <xdr:rowOff>95250</xdr:rowOff>
              </from>
              <to>
                <xdr:col>1</xdr:col>
                <xdr:colOff>657225</xdr:colOff>
                <xdr:row>1</xdr:row>
                <xdr:rowOff>257175</xdr:rowOff>
              </to>
            </anchor>
          </controlPr>
        </control>
      </mc:Choice>
      <mc:Fallback>
        <control shapeId="819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A017-2AAC-4656-83CC-C21ECE56AD65}">
  <sheetPr codeName="Sheet3"/>
  <dimension ref="A2:AF102"/>
  <sheetViews>
    <sheetView workbookViewId="0">
      <selection activeCell="W12" sqref="W12:AC1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6" width="11" style="1" bestFit="1" customWidth="1"/>
    <col min="27" max="29" width="12.25" style="1" bestFit="1" customWidth="1"/>
    <col min="30" max="30" width="13.25" style="1" bestFit="1" customWidth="1"/>
    <col min="31" max="31" width="10" style="1" bestFit="1" customWidth="1"/>
    <col min="32" max="32" width="11" style="1" bestFit="1" customWidth="1"/>
    <col min="33" max="237" width="9" style="1"/>
    <col min="238" max="238" width="2.875" style="1" bestFit="1" customWidth="1"/>
    <col min="239" max="239" width="16.625" style="1" bestFit="1" customWidth="1"/>
    <col min="240" max="240" width="11.375" style="1" bestFit="1" customWidth="1"/>
    <col min="241" max="242" width="14.125" style="1" bestFit="1" customWidth="1"/>
    <col min="243" max="243" width="11.375" style="1" bestFit="1" customWidth="1"/>
    <col min="244" max="246" width="12.5" style="1" bestFit="1" customWidth="1"/>
    <col min="247" max="247" width="11" style="1" bestFit="1" customWidth="1"/>
    <col min="248" max="267" width="13" style="1" bestFit="1" customWidth="1"/>
    <col min="268" max="271" width="11" style="1" bestFit="1" customWidth="1"/>
    <col min="272" max="274" width="12.25" style="1" bestFit="1" customWidth="1"/>
    <col min="275" max="285" width="11" style="1" bestFit="1" customWidth="1"/>
    <col min="286" max="286" width="13.25" style="1" bestFit="1" customWidth="1"/>
    <col min="287" max="287" width="10" style="1" bestFit="1" customWidth="1"/>
    <col min="288" max="288" width="11" style="1" bestFit="1" customWidth="1"/>
    <col min="289" max="493" width="9" style="1"/>
    <col min="494" max="494" width="2.875" style="1" bestFit="1" customWidth="1"/>
    <col min="495" max="495" width="16.625" style="1" bestFit="1" customWidth="1"/>
    <col min="496" max="496" width="11.375" style="1" bestFit="1" customWidth="1"/>
    <col min="497" max="498" width="14.125" style="1" bestFit="1" customWidth="1"/>
    <col min="499" max="499" width="11.375" style="1" bestFit="1" customWidth="1"/>
    <col min="500" max="502" width="12.5" style="1" bestFit="1" customWidth="1"/>
    <col min="503" max="503" width="11" style="1" bestFit="1" customWidth="1"/>
    <col min="504" max="523" width="13" style="1" bestFit="1" customWidth="1"/>
    <col min="524" max="527" width="11" style="1" bestFit="1" customWidth="1"/>
    <col min="528" max="530" width="12.25" style="1" bestFit="1" customWidth="1"/>
    <col min="531" max="541" width="11" style="1" bestFit="1" customWidth="1"/>
    <col min="542" max="542" width="13.25" style="1" bestFit="1" customWidth="1"/>
    <col min="543" max="543" width="10" style="1" bestFit="1" customWidth="1"/>
    <col min="544" max="544" width="11" style="1" bestFit="1" customWidth="1"/>
    <col min="545" max="749" width="9" style="1"/>
    <col min="750" max="750" width="2.875" style="1" bestFit="1" customWidth="1"/>
    <col min="751" max="751" width="16.625" style="1" bestFit="1" customWidth="1"/>
    <col min="752" max="752" width="11.375" style="1" bestFit="1" customWidth="1"/>
    <col min="753" max="754" width="14.125" style="1" bestFit="1" customWidth="1"/>
    <col min="755" max="755" width="11.375" style="1" bestFit="1" customWidth="1"/>
    <col min="756" max="758" width="12.5" style="1" bestFit="1" customWidth="1"/>
    <col min="759" max="759" width="11" style="1" bestFit="1" customWidth="1"/>
    <col min="760" max="779" width="13" style="1" bestFit="1" customWidth="1"/>
    <col min="780" max="783" width="11" style="1" bestFit="1" customWidth="1"/>
    <col min="784" max="786" width="12.25" style="1" bestFit="1" customWidth="1"/>
    <col min="787" max="797" width="11" style="1" bestFit="1" customWidth="1"/>
    <col min="798" max="798" width="13.25" style="1" bestFit="1" customWidth="1"/>
    <col min="799" max="799" width="10" style="1" bestFit="1" customWidth="1"/>
    <col min="800" max="800" width="11" style="1" bestFit="1" customWidth="1"/>
    <col min="801" max="1005" width="9" style="1"/>
    <col min="1006" max="1006" width="2.875" style="1" bestFit="1" customWidth="1"/>
    <col min="1007" max="1007" width="16.625" style="1" bestFit="1" customWidth="1"/>
    <col min="1008" max="1008" width="11.375" style="1" bestFit="1" customWidth="1"/>
    <col min="1009" max="1010" width="14.125" style="1" bestFit="1" customWidth="1"/>
    <col min="1011" max="1011" width="11.375" style="1" bestFit="1" customWidth="1"/>
    <col min="1012" max="1014" width="12.5" style="1" bestFit="1" customWidth="1"/>
    <col min="1015" max="1015" width="11" style="1" bestFit="1" customWidth="1"/>
    <col min="1016" max="1035" width="13" style="1" bestFit="1" customWidth="1"/>
    <col min="1036" max="1039" width="11" style="1" bestFit="1" customWidth="1"/>
    <col min="1040" max="1042" width="12.25" style="1" bestFit="1" customWidth="1"/>
    <col min="1043" max="1053" width="11" style="1" bestFit="1" customWidth="1"/>
    <col min="1054" max="1054" width="13.25" style="1" bestFit="1" customWidth="1"/>
    <col min="1055" max="1055" width="10" style="1" bestFit="1" customWidth="1"/>
    <col min="1056" max="1056" width="11" style="1" bestFit="1" customWidth="1"/>
    <col min="1057" max="1261" width="9" style="1"/>
    <col min="1262" max="1262" width="2.875" style="1" bestFit="1" customWidth="1"/>
    <col min="1263" max="1263" width="16.625" style="1" bestFit="1" customWidth="1"/>
    <col min="1264" max="1264" width="11.375" style="1" bestFit="1" customWidth="1"/>
    <col min="1265" max="1266" width="14.125" style="1" bestFit="1" customWidth="1"/>
    <col min="1267" max="1267" width="11.375" style="1" bestFit="1" customWidth="1"/>
    <col min="1268" max="1270" width="12.5" style="1" bestFit="1" customWidth="1"/>
    <col min="1271" max="1271" width="11" style="1" bestFit="1" customWidth="1"/>
    <col min="1272" max="1291" width="13" style="1" bestFit="1" customWidth="1"/>
    <col min="1292" max="1295" width="11" style="1" bestFit="1" customWidth="1"/>
    <col min="1296" max="1298" width="12.25" style="1" bestFit="1" customWidth="1"/>
    <col min="1299" max="1309" width="11" style="1" bestFit="1" customWidth="1"/>
    <col min="1310" max="1310" width="13.25" style="1" bestFit="1" customWidth="1"/>
    <col min="1311" max="1311" width="10" style="1" bestFit="1" customWidth="1"/>
    <col min="1312" max="1312" width="11" style="1" bestFit="1" customWidth="1"/>
    <col min="1313" max="1517" width="9" style="1"/>
    <col min="1518" max="1518" width="2.875" style="1" bestFit="1" customWidth="1"/>
    <col min="1519" max="1519" width="16.625" style="1" bestFit="1" customWidth="1"/>
    <col min="1520" max="1520" width="11.375" style="1" bestFit="1" customWidth="1"/>
    <col min="1521" max="1522" width="14.125" style="1" bestFit="1" customWidth="1"/>
    <col min="1523" max="1523" width="11.375" style="1" bestFit="1" customWidth="1"/>
    <col min="1524" max="1526" width="12.5" style="1" bestFit="1" customWidth="1"/>
    <col min="1527" max="1527" width="11" style="1" bestFit="1" customWidth="1"/>
    <col min="1528" max="1547" width="13" style="1" bestFit="1" customWidth="1"/>
    <col min="1548" max="1551" width="11" style="1" bestFit="1" customWidth="1"/>
    <col min="1552" max="1554" width="12.25" style="1" bestFit="1" customWidth="1"/>
    <col min="1555" max="1565" width="11" style="1" bestFit="1" customWidth="1"/>
    <col min="1566" max="1566" width="13.25" style="1" bestFit="1" customWidth="1"/>
    <col min="1567" max="1567" width="10" style="1" bestFit="1" customWidth="1"/>
    <col min="1568" max="1568" width="11" style="1" bestFit="1" customWidth="1"/>
    <col min="1569" max="1773" width="9" style="1"/>
    <col min="1774" max="1774" width="2.875" style="1" bestFit="1" customWidth="1"/>
    <col min="1775" max="1775" width="16.625" style="1" bestFit="1" customWidth="1"/>
    <col min="1776" max="1776" width="11.375" style="1" bestFit="1" customWidth="1"/>
    <col min="1777" max="1778" width="14.125" style="1" bestFit="1" customWidth="1"/>
    <col min="1779" max="1779" width="11.375" style="1" bestFit="1" customWidth="1"/>
    <col min="1780" max="1782" width="12.5" style="1" bestFit="1" customWidth="1"/>
    <col min="1783" max="1783" width="11" style="1" bestFit="1" customWidth="1"/>
    <col min="1784" max="1803" width="13" style="1" bestFit="1" customWidth="1"/>
    <col min="1804" max="1807" width="11" style="1" bestFit="1" customWidth="1"/>
    <col min="1808" max="1810" width="12.25" style="1" bestFit="1" customWidth="1"/>
    <col min="1811" max="1821" width="11" style="1" bestFit="1" customWidth="1"/>
    <col min="1822" max="1822" width="13.25" style="1" bestFit="1" customWidth="1"/>
    <col min="1823" max="1823" width="10" style="1" bestFit="1" customWidth="1"/>
    <col min="1824" max="1824" width="11" style="1" bestFit="1" customWidth="1"/>
    <col min="1825" max="2029" width="9" style="1"/>
    <col min="2030" max="2030" width="2.875" style="1" bestFit="1" customWidth="1"/>
    <col min="2031" max="2031" width="16.625" style="1" bestFit="1" customWidth="1"/>
    <col min="2032" max="2032" width="11.375" style="1" bestFit="1" customWidth="1"/>
    <col min="2033" max="2034" width="14.125" style="1" bestFit="1" customWidth="1"/>
    <col min="2035" max="2035" width="11.375" style="1" bestFit="1" customWidth="1"/>
    <col min="2036" max="2038" width="12.5" style="1" bestFit="1" customWidth="1"/>
    <col min="2039" max="2039" width="11" style="1" bestFit="1" customWidth="1"/>
    <col min="2040" max="2059" width="13" style="1" bestFit="1" customWidth="1"/>
    <col min="2060" max="2063" width="11" style="1" bestFit="1" customWidth="1"/>
    <col min="2064" max="2066" width="12.25" style="1" bestFit="1" customWidth="1"/>
    <col min="2067" max="2077" width="11" style="1" bestFit="1" customWidth="1"/>
    <col min="2078" max="2078" width="13.25" style="1" bestFit="1" customWidth="1"/>
    <col min="2079" max="2079" width="10" style="1" bestFit="1" customWidth="1"/>
    <col min="2080" max="2080" width="11" style="1" bestFit="1" customWidth="1"/>
    <col min="2081" max="2285" width="9" style="1"/>
    <col min="2286" max="2286" width="2.875" style="1" bestFit="1" customWidth="1"/>
    <col min="2287" max="2287" width="16.625" style="1" bestFit="1" customWidth="1"/>
    <col min="2288" max="2288" width="11.375" style="1" bestFit="1" customWidth="1"/>
    <col min="2289" max="2290" width="14.125" style="1" bestFit="1" customWidth="1"/>
    <col min="2291" max="2291" width="11.375" style="1" bestFit="1" customWidth="1"/>
    <col min="2292" max="2294" width="12.5" style="1" bestFit="1" customWidth="1"/>
    <col min="2295" max="2295" width="11" style="1" bestFit="1" customWidth="1"/>
    <col min="2296" max="2315" width="13" style="1" bestFit="1" customWidth="1"/>
    <col min="2316" max="2319" width="11" style="1" bestFit="1" customWidth="1"/>
    <col min="2320" max="2322" width="12.25" style="1" bestFit="1" customWidth="1"/>
    <col min="2323" max="2333" width="11" style="1" bestFit="1" customWidth="1"/>
    <col min="2334" max="2334" width="13.25" style="1" bestFit="1" customWidth="1"/>
    <col min="2335" max="2335" width="10" style="1" bestFit="1" customWidth="1"/>
    <col min="2336" max="2336" width="11" style="1" bestFit="1" customWidth="1"/>
    <col min="2337" max="2541" width="9" style="1"/>
    <col min="2542" max="2542" width="2.875" style="1" bestFit="1" customWidth="1"/>
    <col min="2543" max="2543" width="16.625" style="1" bestFit="1" customWidth="1"/>
    <col min="2544" max="2544" width="11.375" style="1" bestFit="1" customWidth="1"/>
    <col min="2545" max="2546" width="14.125" style="1" bestFit="1" customWidth="1"/>
    <col min="2547" max="2547" width="11.375" style="1" bestFit="1" customWidth="1"/>
    <col min="2548" max="2550" width="12.5" style="1" bestFit="1" customWidth="1"/>
    <col min="2551" max="2551" width="11" style="1" bestFit="1" customWidth="1"/>
    <col min="2552" max="2571" width="13" style="1" bestFit="1" customWidth="1"/>
    <col min="2572" max="2575" width="11" style="1" bestFit="1" customWidth="1"/>
    <col min="2576" max="2578" width="12.25" style="1" bestFit="1" customWidth="1"/>
    <col min="2579" max="2589" width="11" style="1" bestFit="1" customWidth="1"/>
    <col min="2590" max="2590" width="13.25" style="1" bestFit="1" customWidth="1"/>
    <col min="2591" max="2591" width="10" style="1" bestFit="1" customWidth="1"/>
    <col min="2592" max="2592" width="11" style="1" bestFit="1" customWidth="1"/>
    <col min="2593" max="2797" width="9" style="1"/>
    <col min="2798" max="2798" width="2.875" style="1" bestFit="1" customWidth="1"/>
    <col min="2799" max="2799" width="16.625" style="1" bestFit="1" customWidth="1"/>
    <col min="2800" max="2800" width="11.375" style="1" bestFit="1" customWidth="1"/>
    <col min="2801" max="2802" width="14.125" style="1" bestFit="1" customWidth="1"/>
    <col min="2803" max="2803" width="11.375" style="1" bestFit="1" customWidth="1"/>
    <col min="2804" max="2806" width="12.5" style="1" bestFit="1" customWidth="1"/>
    <col min="2807" max="2807" width="11" style="1" bestFit="1" customWidth="1"/>
    <col min="2808" max="2827" width="13" style="1" bestFit="1" customWidth="1"/>
    <col min="2828" max="2831" width="11" style="1" bestFit="1" customWidth="1"/>
    <col min="2832" max="2834" width="12.25" style="1" bestFit="1" customWidth="1"/>
    <col min="2835" max="2845" width="11" style="1" bestFit="1" customWidth="1"/>
    <col min="2846" max="2846" width="13.25" style="1" bestFit="1" customWidth="1"/>
    <col min="2847" max="2847" width="10" style="1" bestFit="1" customWidth="1"/>
    <col min="2848" max="2848" width="11" style="1" bestFit="1" customWidth="1"/>
    <col min="2849" max="3053" width="9" style="1"/>
    <col min="3054" max="3054" width="2.875" style="1" bestFit="1" customWidth="1"/>
    <col min="3055" max="3055" width="16.625" style="1" bestFit="1" customWidth="1"/>
    <col min="3056" max="3056" width="11.375" style="1" bestFit="1" customWidth="1"/>
    <col min="3057" max="3058" width="14.125" style="1" bestFit="1" customWidth="1"/>
    <col min="3059" max="3059" width="11.375" style="1" bestFit="1" customWidth="1"/>
    <col min="3060" max="3062" width="12.5" style="1" bestFit="1" customWidth="1"/>
    <col min="3063" max="3063" width="11" style="1" bestFit="1" customWidth="1"/>
    <col min="3064" max="3083" width="13" style="1" bestFit="1" customWidth="1"/>
    <col min="3084" max="3087" width="11" style="1" bestFit="1" customWidth="1"/>
    <col min="3088" max="3090" width="12.25" style="1" bestFit="1" customWidth="1"/>
    <col min="3091" max="3101" width="11" style="1" bestFit="1" customWidth="1"/>
    <col min="3102" max="3102" width="13.25" style="1" bestFit="1" customWidth="1"/>
    <col min="3103" max="3103" width="10" style="1" bestFit="1" customWidth="1"/>
    <col min="3104" max="3104" width="11" style="1" bestFit="1" customWidth="1"/>
    <col min="3105" max="3309" width="9" style="1"/>
    <col min="3310" max="3310" width="2.875" style="1" bestFit="1" customWidth="1"/>
    <col min="3311" max="3311" width="16.625" style="1" bestFit="1" customWidth="1"/>
    <col min="3312" max="3312" width="11.375" style="1" bestFit="1" customWidth="1"/>
    <col min="3313" max="3314" width="14.125" style="1" bestFit="1" customWidth="1"/>
    <col min="3315" max="3315" width="11.375" style="1" bestFit="1" customWidth="1"/>
    <col min="3316" max="3318" width="12.5" style="1" bestFit="1" customWidth="1"/>
    <col min="3319" max="3319" width="11" style="1" bestFit="1" customWidth="1"/>
    <col min="3320" max="3339" width="13" style="1" bestFit="1" customWidth="1"/>
    <col min="3340" max="3343" width="11" style="1" bestFit="1" customWidth="1"/>
    <col min="3344" max="3346" width="12.25" style="1" bestFit="1" customWidth="1"/>
    <col min="3347" max="3357" width="11" style="1" bestFit="1" customWidth="1"/>
    <col min="3358" max="3358" width="13.25" style="1" bestFit="1" customWidth="1"/>
    <col min="3359" max="3359" width="10" style="1" bestFit="1" customWidth="1"/>
    <col min="3360" max="3360" width="11" style="1" bestFit="1" customWidth="1"/>
    <col min="3361" max="3565" width="9" style="1"/>
    <col min="3566" max="3566" width="2.875" style="1" bestFit="1" customWidth="1"/>
    <col min="3567" max="3567" width="16.625" style="1" bestFit="1" customWidth="1"/>
    <col min="3568" max="3568" width="11.375" style="1" bestFit="1" customWidth="1"/>
    <col min="3569" max="3570" width="14.125" style="1" bestFit="1" customWidth="1"/>
    <col min="3571" max="3571" width="11.375" style="1" bestFit="1" customWidth="1"/>
    <col min="3572" max="3574" width="12.5" style="1" bestFit="1" customWidth="1"/>
    <col min="3575" max="3575" width="11" style="1" bestFit="1" customWidth="1"/>
    <col min="3576" max="3595" width="13" style="1" bestFit="1" customWidth="1"/>
    <col min="3596" max="3599" width="11" style="1" bestFit="1" customWidth="1"/>
    <col min="3600" max="3602" width="12.25" style="1" bestFit="1" customWidth="1"/>
    <col min="3603" max="3613" width="11" style="1" bestFit="1" customWidth="1"/>
    <col min="3614" max="3614" width="13.25" style="1" bestFit="1" customWidth="1"/>
    <col min="3615" max="3615" width="10" style="1" bestFit="1" customWidth="1"/>
    <col min="3616" max="3616" width="11" style="1" bestFit="1" customWidth="1"/>
    <col min="3617" max="3821" width="9" style="1"/>
    <col min="3822" max="3822" width="2.875" style="1" bestFit="1" customWidth="1"/>
    <col min="3823" max="3823" width="16.625" style="1" bestFit="1" customWidth="1"/>
    <col min="3824" max="3824" width="11.375" style="1" bestFit="1" customWidth="1"/>
    <col min="3825" max="3826" width="14.125" style="1" bestFit="1" customWidth="1"/>
    <col min="3827" max="3827" width="11.375" style="1" bestFit="1" customWidth="1"/>
    <col min="3828" max="3830" width="12.5" style="1" bestFit="1" customWidth="1"/>
    <col min="3831" max="3831" width="11" style="1" bestFit="1" customWidth="1"/>
    <col min="3832" max="3851" width="13" style="1" bestFit="1" customWidth="1"/>
    <col min="3852" max="3855" width="11" style="1" bestFit="1" customWidth="1"/>
    <col min="3856" max="3858" width="12.25" style="1" bestFit="1" customWidth="1"/>
    <col min="3859" max="3869" width="11" style="1" bestFit="1" customWidth="1"/>
    <col min="3870" max="3870" width="13.25" style="1" bestFit="1" customWidth="1"/>
    <col min="3871" max="3871" width="10" style="1" bestFit="1" customWidth="1"/>
    <col min="3872" max="3872" width="11" style="1" bestFit="1" customWidth="1"/>
    <col min="3873" max="4077" width="9" style="1"/>
    <col min="4078" max="4078" width="2.875" style="1" bestFit="1" customWidth="1"/>
    <col min="4079" max="4079" width="16.625" style="1" bestFit="1" customWidth="1"/>
    <col min="4080" max="4080" width="11.375" style="1" bestFit="1" customWidth="1"/>
    <col min="4081" max="4082" width="14.125" style="1" bestFit="1" customWidth="1"/>
    <col min="4083" max="4083" width="11.375" style="1" bestFit="1" customWidth="1"/>
    <col min="4084" max="4086" width="12.5" style="1" bestFit="1" customWidth="1"/>
    <col min="4087" max="4087" width="11" style="1" bestFit="1" customWidth="1"/>
    <col min="4088" max="4107" width="13" style="1" bestFit="1" customWidth="1"/>
    <col min="4108" max="4111" width="11" style="1" bestFit="1" customWidth="1"/>
    <col min="4112" max="4114" width="12.25" style="1" bestFit="1" customWidth="1"/>
    <col min="4115" max="4125" width="11" style="1" bestFit="1" customWidth="1"/>
    <col min="4126" max="4126" width="13.25" style="1" bestFit="1" customWidth="1"/>
    <col min="4127" max="4127" width="10" style="1" bestFit="1" customWidth="1"/>
    <col min="4128" max="4128" width="11" style="1" bestFit="1" customWidth="1"/>
    <col min="4129" max="4333" width="9" style="1"/>
    <col min="4334" max="4334" width="2.875" style="1" bestFit="1" customWidth="1"/>
    <col min="4335" max="4335" width="16.625" style="1" bestFit="1" customWidth="1"/>
    <col min="4336" max="4336" width="11.375" style="1" bestFit="1" customWidth="1"/>
    <col min="4337" max="4338" width="14.125" style="1" bestFit="1" customWidth="1"/>
    <col min="4339" max="4339" width="11.375" style="1" bestFit="1" customWidth="1"/>
    <col min="4340" max="4342" width="12.5" style="1" bestFit="1" customWidth="1"/>
    <col min="4343" max="4343" width="11" style="1" bestFit="1" customWidth="1"/>
    <col min="4344" max="4363" width="13" style="1" bestFit="1" customWidth="1"/>
    <col min="4364" max="4367" width="11" style="1" bestFit="1" customWidth="1"/>
    <col min="4368" max="4370" width="12.25" style="1" bestFit="1" customWidth="1"/>
    <col min="4371" max="4381" width="11" style="1" bestFit="1" customWidth="1"/>
    <col min="4382" max="4382" width="13.25" style="1" bestFit="1" customWidth="1"/>
    <col min="4383" max="4383" width="10" style="1" bestFit="1" customWidth="1"/>
    <col min="4384" max="4384" width="11" style="1" bestFit="1" customWidth="1"/>
    <col min="4385" max="4589" width="9" style="1"/>
    <col min="4590" max="4590" width="2.875" style="1" bestFit="1" customWidth="1"/>
    <col min="4591" max="4591" width="16.625" style="1" bestFit="1" customWidth="1"/>
    <col min="4592" max="4592" width="11.375" style="1" bestFit="1" customWidth="1"/>
    <col min="4593" max="4594" width="14.125" style="1" bestFit="1" customWidth="1"/>
    <col min="4595" max="4595" width="11.375" style="1" bestFit="1" customWidth="1"/>
    <col min="4596" max="4598" width="12.5" style="1" bestFit="1" customWidth="1"/>
    <col min="4599" max="4599" width="11" style="1" bestFit="1" customWidth="1"/>
    <col min="4600" max="4619" width="13" style="1" bestFit="1" customWidth="1"/>
    <col min="4620" max="4623" width="11" style="1" bestFit="1" customWidth="1"/>
    <col min="4624" max="4626" width="12.25" style="1" bestFit="1" customWidth="1"/>
    <col min="4627" max="4637" width="11" style="1" bestFit="1" customWidth="1"/>
    <col min="4638" max="4638" width="13.25" style="1" bestFit="1" customWidth="1"/>
    <col min="4639" max="4639" width="10" style="1" bestFit="1" customWidth="1"/>
    <col min="4640" max="4640" width="11" style="1" bestFit="1" customWidth="1"/>
    <col min="4641" max="4845" width="9" style="1"/>
    <col min="4846" max="4846" width="2.875" style="1" bestFit="1" customWidth="1"/>
    <col min="4847" max="4847" width="16.625" style="1" bestFit="1" customWidth="1"/>
    <col min="4848" max="4848" width="11.375" style="1" bestFit="1" customWidth="1"/>
    <col min="4849" max="4850" width="14.125" style="1" bestFit="1" customWidth="1"/>
    <col min="4851" max="4851" width="11.375" style="1" bestFit="1" customWidth="1"/>
    <col min="4852" max="4854" width="12.5" style="1" bestFit="1" customWidth="1"/>
    <col min="4855" max="4855" width="11" style="1" bestFit="1" customWidth="1"/>
    <col min="4856" max="4875" width="13" style="1" bestFit="1" customWidth="1"/>
    <col min="4876" max="4879" width="11" style="1" bestFit="1" customWidth="1"/>
    <col min="4880" max="4882" width="12.25" style="1" bestFit="1" customWidth="1"/>
    <col min="4883" max="4893" width="11" style="1" bestFit="1" customWidth="1"/>
    <col min="4894" max="4894" width="13.25" style="1" bestFit="1" customWidth="1"/>
    <col min="4895" max="4895" width="10" style="1" bestFit="1" customWidth="1"/>
    <col min="4896" max="4896" width="11" style="1" bestFit="1" customWidth="1"/>
    <col min="4897" max="5101" width="9" style="1"/>
    <col min="5102" max="5102" width="2.875" style="1" bestFit="1" customWidth="1"/>
    <col min="5103" max="5103" width="16.625" style="1" bestFit="1" customWidth="1"/>
    <col min="5104" max="5104" width="11.375" style="1" bestFit="1" customWidth="1"/>
    <col min="5105" max="5106" width="14.125" style="1" bestFit="1" customWidth="1"/>
    <col min="5107" max="5107" width="11.375" style="1" bestFit="1" customWidth="1"/>
    <col min="5108" max="5110" width="12.5" style="1" bestFit="1" customWidth="1"/>
    <col min="5111" max="5111" width="11" style="1" bestFit="1" customWidth="1"/>
    <col min="5112" max="5131" width="13" style="1" bestFit="1" customWidth="1"/>
    <col min="5132" max="5135" width="11" style="1" bestFit="1" customWidth="1"/>
    <col min="5136" max="5138" width="12.25" style="1" bestFit="1" customWidth="1"/>
    <col min="5139" max="5149" width="11" style="1" bestFit="1" customWidth="1"/>
    <col min="5150" max="5150" width="13.25" style="1" bestFit="1" customWidth="1"/>
    <col min="5151" max="5151" width="10" style="1" bestFit="1" customWidth="1"/>
    <col min="5152" max="5152" width="11" style="1" bestFit="1" customWidth="1"/>
    <col min="5153" max="5357" width="9" style="1"/>
    <col min="5358" max="5358" width="2.875" style="1" bestFit="1" customWidth="1"/>
    <col min="5359" max="5359" width="16.625" style="1" bestFit="1" customWidth="1"/>
    <col min="5360" max="5360" width="11.375" style="1" bestFit="1" customWidth="1"/>
    <col min="5361" max="5362" width="14.125" style="1" bestFit="1" customWidth="1"/>
    <col min="5363" max="5363" width="11.375" style="1" bestFit="1" customWidth="1"/>
    <col min="5364" max="5366" width="12.5" style="1" bestFit="1" customWidth="1"/>
    <col min="5367" max="5367" width="11" style="1" bestFit="1" customWidth="1"/>
    <col min="5368" max="5387" width="13" style="1" bestFit="1" customWidth="1"/>
    <col min="5388" max="5391" width="11" style="1" bestFit="1" customWidth="1"/>
    <col min="5392" max="5394" width="12.25" style="1" bestFit="1" customWidth="1"/>
    <col min="5395" max="5405" width="11" style="1" bestFit="1" customWidth="1"/>
    <col min="5406" max="5406" width="13.25" style="1" bestFit="1" customWidth="1"/>
    <col min="5407" max="5407" width="10" style="1" bestFit="1" customWidth="1"/>
    <col min="5408" max="5408" width="11" style="1" bestFit="1" customWidth="1"/>
    <col min="5409" max="5613" width="9" style="1"/>
    <col min="5614" max="5614" width="2.875" style="1" bestFit="1" customWidth="1"/>
    <col min="5615" max="5615" width="16.625" style="1" bestFit="1" customWidth="1"/>
    <col min="5616" max="5616" width="11.375" style="1" bestFit="1" customWidth="1"/>
    <col min="5617" max="5618" width="14.125" style="1" bestFit="1" customWidth="1"/>
    <col min="5619" max="5619" width="11.375" style="1" bestFit="1" customWidth="1"/>
    <col min="5620" max="5622" width="12.5" style="1" bestFit="1" customWidth="1"/>
    <col min="5623" max="5623" width="11" style="1" bestFit="1" customWidth="1"/>
    <col min="5624" max="5643" width="13" style="1" bestFit="1" customWidth="1"/>
    <col min="5644" max="5647" width="11" style="1" bestFit="1" customWidth="1"/>
    <col min="5648" max="5650" width="12.25" style="1" bestFit="1" customWidth="1"/>
    <col min="5651" max="5661" width="11" style="1" bestFit="1" customWidth="1"/>
    <col min="5662" max="5662" width="13.25" style="1" bestFit="1" customWidth="1"/>
    <col min="5663" max="5663" width="10" style="1" bestFit="1" customWidth="1"/>
    <col min="5664" max="5664" width="11" style="1" bestFit="1" customWidth="1"/>
    <col min="5665" max="5869" width="9" style="1"/>
    <col min="5870" max="5870" width="2.875" style="1" bestFit="1" customWidth="1"/>
    <col min="5871" max="5871" width="16.625" style="1" bestFit="1" customWidth="1"/>
    <col min="5872" max="5872" width="11.375" style="1" bestFit="1" customWidth="1"/>
    <col min="5873" max="5874" width="14.125" style="1" bestFit="1" customWidth="1"/>
    <col min="5875" max="5875" width="11.375" style="1" bestFit="1" customWidth="1"/>
    <col min="5876" max="5878" width="12.5" style="1" bestFit="1" customWidth="1"/>
    <col min="5879" max="5879" width="11" style="1" bestFit="1" customWidth="1"/>
    <col min="5880" max="5899" width="13" style="1" bestFit="1" customWidth="1"/>
    <col min="5900" max="5903" width="11" style="1" bestFit="1" customWidth="1"/>
    <col min="5904" max="5906" width="12.25" style="1" bestFit="1" customWidth="1"/>
    <col min="5907" max="5917" width="11" style="1" bestFit="1" customWidth="1"/>
    <col min="5918" max="5918" width="13.25" style="1" bestFit="1" customWidth="1"/>
    <col min="5919" max="5919" width="10" style="1" bestFit="1" customWidth="1"/>
    <col min="5920" max="5920" width="11" style="1" bestFit="1" customWidth="1"/>
    <col min="5921" max="6125" width="9" style="1"/>
    <col min="6126" max="6126" width="2.875" style="1" bestFit="1" customWidth="1"/>
    <col min="6127" max="6127" width="16.625" style="1" bestFit="1" customWidth="1"/>
    <col min="6128" max="6128" width="11.375" style="1" bestFit="1" customWidth="1"/>
    <col min="6129" max="6130" width="14.125" style="1" bestFit="1" customWidth="1"/>
    <col min="6131" max="6131" width="11.375" style="1" bestFit="1" customWidth="1"/>
    <col min="6132" max="6134" width="12.5" style="1" bestFit="1" customWidth="1"/>
    <col min="6135" max="6135" width="11" style="1" bestFit="1" customWidth="1"/>
    <col min="6136" max="6155" width="13" style="1" bestFit="1" customWidth="1"/>
    <col min="6156" max="6159" width="11" style="1" bestFit="1" customWidth="1"/>
    <col min="6160" max="6162" width="12.25" style="1" bestFit="1" customWidth="1"/>
    <col min="6163" max="6173" width="11" style="1" bestFit="1" customWidth="1"/>
    <col min="6174" max="6174" width="13.25" style="1" bestFit="1" customWidth="1"/>
    <col min="6175" max="6175" width="10" style="1" bestFit="1" customWidth="1"/>
    <col min="6176" max="6176" width="11" style="1" bestFit="1" customWidth="1"/>
    <col min="6177" max="6381" width="9" style="1"/>
    <col min="6382" max="6382" width="2.875" style="1" bestFit="1" customWidth="1"/>
    <col min="6383" max="6383" width="16.625" style="1" bestFit="1" customWidth="1"/>
    <col min="6384" max="6384" width="11.375" style="1" bestFit="1" customWidth="1"/>
    <col min="6385" max="6386" width="14.125" style="1" bestFit="1" customWidth="1"/>
    <col min="6387" max="6387" width="11.375" style="1" bestFit="1" customWidth="1"/>
    <col min="6388" max="6390" width="12.5" style="1" bestFit="1" customWidth="1"/>
    <col min="6391" max="6391" width="11" style="1" bestFit="1" customWidth="1"/>
    <col min="6392" max="6411" width="13" style="1" bestFit="1" customWidth="1"/>
    <col min="6412" max="6415" width="11" style="1" bestFit="1" customWidth="1"/>
    <col min="6416" max="6418" width="12.25" style="1" bestFit="1" customWidth="1"/>
    <col min="6419" max="6429" width="11" style="1" bestFit="1" customWidth="1"/>
    <col min="6430" max="6430" width="13.25" style="1" bestFit="1" customWidth="1"/>
    <col min="6431" max="6431" width="10" style="1" bestFit="1" customWidth="1"/>
    <col min="6432" max="6432" width="11" style="1" bestFit="1" customWidth="1"/>
    <col min="6433" max="6637" width="9" style="1"/>
    <col min="6638" max="6638" width="2.875" style="1" bestFit="1" customWidth="1"/>
    <col min="6639" max="6639" width="16.625" style="1" bestFit="1" customWidth="1"/>
    <col min="6640" max="6640" width="11.375" style="1" bestFit="1" customWidth="1"/>
    <col min="6641" max="6642" width="14.125" style="1" bestFit="1" customWidth="1"/>
    <col min="6643" max="6643" width="11.375" style="1" bestFit="1" customWidth="1"/>
    <col min="6644" max="6646" width="12.5" style="1" bestFit="1" customWidth="1"/>
    <col min="6647" max="6647" width="11" style="1" bestFit="1" customWidth="1"/>
    <col min="6648" max="6667" width="13" style="1" bestFit="1" customWidth="1"/>
    <col min="6668" max="6671" width="11" style="1" bestFit="1" customWidth="1"/>
    <col min="6672" max="6674" width="12.25" style="1" bestFit="1" customWidth="1"/>
    <col min="6675" max="6685" width="11" style="1" bestFit="1" customWidth="1"/>
    <col min="6686" max="6686" width="13.25" style="1" bestFit="1" customWidth="1"/>
    <col min="6687" max="6687" width="10" style="1" bestFit="1" customWidth="1"/>
    <col min="6688" max="6688" width="11" style="1" bestFit="1" customWidth="1"/>
    <col min="6689" max="6893" width="9" style="1"/>
    <col min="6894" max="6894" width="2.875" style="1" bestFit="1" customWidth="1"/>
    <col min="6895" max="6895" width="16.625" style="1" bestFit="1" customWidth="1"/>
    <col min="6896" max="6896" width="11.375" style="1" bestFit="1" customWidth="1"/>
    <col min="6897" max="6898" width="14.125" style="1" bestFit="1" customWidth="1"/>
    <col min="6899" max="6899" width="11.375" style="1" bestFit="1" customWidth="1"/>
    <col min="6900" max="6902" width="12.5" style="1" bestFit="1" customWidth="1"/>
    <col min="6903" max="6903" width="11" style="1" bestFit="1" customWidth="1"/>
    <col min="6904" max="6923" width="13" style="1" bestFit="1" customWidth="1"/>
    <col min="6924" max="6927" width="11" style="1" bestFit="1" customWidth="1"/>
    <col min="6928" max="6930" width="12.25" style="1" bestFit="1" customWidth="1"/>
    <col min="6931" max="6941" width="11" style="1" bestFit="1" customWidth="1"/>
    <col min="6942" max="6942" width="13.25" style="1" bestFit="1" customWidth="1"/>
    <col min="6943" max="6943" width="10" style="1" bestFit="1" customWidth="1"/>
    <col min="6944" max="6944" width="11" style="1" bestFit="1" customWidth="1"/>
    <col min="6945" max="7149" width="9" style="1"/>
    <col min="7150" max="7150" width="2.875" style="1" bestFit="1" customWidth="1"/>
    <col min="7151" max="7151" width="16.625" style="1" bestFit="1" customWidth="1"/>
    <col min="7152" max="7152" width="11.375" style="1" bestFit="1" customWidth="1"/>
    <col min="7153" max="7154" width="14.125" style="1" bestFit="1" customWidth="1"/>
    <col min="7155" max="7155" width="11.375" style="1" bestFit="1" customWidth="1"/>
    <col min="7156" max="7158" width="12.5" style="1" bestFit="1" customWidth="1"/>
    <col min="7159" max="7159" width="11" style="1" bestFit="1" customWidth="1"/>
    <col min="7160" max="7179" width="13" style="1" bestFit="1" customWidth="1"/>
    <col min="7180" max="7183" width="11" style="1" bestFit="1" customWidth="1"/>
    <col min="7184" max="7186" width="12.25" style="1" bestFit="1" customWidth="1"/>
    <col min="7187" max="7197" width="11" style="1" bestFit="1" customWidth="1"/>
    <col min="7198" max="7198" width="13.25" style="1" bestFit="1" customWidth="1"/>
    <col min="7199" max="7199" width="10" style="1" bestFit="1" customWidth="1"/>
    <col min="7200" max="7200" width="11" style="1" bestFit="1" customWidth="1"/>
    <col min="7201" max="7405" width="9" style="1"/>
    <col min="7406" max="7406" width="2.875" style="1" bestFit="1" customWidth="1"/>
    <col min="7407" max="7407" width="16.625" style="1" bestFit="1" customWidth="1"/>
    <col min="7408" max="7408" width="11.375" style="1" bestFit="1" customWidth="1"/>
    <col min="7409" max="7410" width="14.125" style="1" bestFit="1" customWidth="1"/>
    <col min="7411" max="7411" width="11.375" style="1" bestFit="1" customWidth="1"/>
    <col min="7412" max="7414" width="12.5" style="1" bestFit="1" customWidth="1"/>
    <col min="7415" max="7415" width="11" style="1" bestFit="1" customWidth="1"/>
    <col min="7416" max="7435" width="13" style="1" bestFit="1" customWidth="1"/>
    <col min="7436" max="7439" width="11" style="1" bestFit="1" customWidth="1"/>
    <col min="7440" max="7442" width="12.25" style="1" bestFit="1" customWidth="1"/>
    <col min="7443" max="7453" width="11" style="1" bestFit="1" customWidth="1"/>
    <col min="7454" max="7454" width="13.25" style="1" bestFit="1" customWidth="1"/>
    <col min="7455" max="7455" width="10" style="1" bestFit="1" customWidth="1"/>
    <col min="7456" max="7456" width="11" style="1" bestFit="1" customWidth="1"/>
    <col min="7457" max="7661" width="9" style="1"/>
    <col min="7662" max="7662" width="2.875" style="1" bestFit="1" customWidth="1"/>
    <col min="7663" max="7663" width="16.625" style="1" bestFit="1" customWidth="1"/>
    <col min="7664" max="7664" width="11.375" style="1" bestFit="1" customWidth="1"/>
    <col min="7665" max="7666" width="14.125" style="1" bestFit="1" customWidth="1"/>
    <col min="7667" max="7667" width="11.375" style="1" bestFit="1" customWidth="1"/>
    <col min="7668" max="7670" width="12.5" style="1" bestFit="1" customWidth="1"/>
    <col min="7671" max="7671" width="11" style="1" bestFit="1" customWidth="1"/>
    <col min="7672" max="7691" width="13" style="1" bestFit="1" customWidth="1"/>
    <col min="7692" max="7695" width="11" style="1" bestFit="1" customWidth="1"/>
    <col min="7696" max="7698" width="12.25" style="1" bestFit="1" customWidth="1"/>
    <col min="7699" max="7709" width="11" style="1" bestFit="1" customWidth="1"/>
    <col min="7710" max="7710" width="13.25" style="1" bestFit="1" customWidth="1"/>
    <col min="7711" max="7711" width="10" style="1" bestFit="1" customWidth="1"/>
    <col min="7712" max="7712" width="11" style="1" bestFit="1" customWidth="1"/>
    <col min="7713" max="7917" width="9" style="1"/>
    <col min="7918" max="7918" width="2.875" style="1" bestFit="1" customWidth="1"/>
    <col min="7919" max="7919" width="16.625" style="1" bestFit="1" customWidth="1"/>
    <col min="7920" max="7920" width="11.375" style="1" bestFit="1" customWidth="1"/>
    <col min="7921" max="7922" width="14.125" style="1" bestFit="1" customWidth="1"/>
    <col min="7923" max="7923" width="11.375" style="1" bestFit="1" customWidth="1"/>
    <col min="7924" max="7926" width="12.5" style="1" bestFit="1" customWidth="1"/>
    <col min="7927" max="7927" width="11" style="1" bestFit="1" customWidth="1"/>
    <col min="7928" max="7947" width="13" style="1" bestFit="1" customWidth="1"/>
    <col min="7948" max="7951" width="11" style="1" bestFit="1" customWidth="1"/>
    <col min="7952" max="7954" width="12.25" style="1" bestFit="1" customWidth="1"/>
    <col min="7955" max="7965" width="11" style="1" bestFit="1" customWidth="1"/>
    <col min="7966" max="7966" width="13.25" style="1" bestFit="1" customWidth="1"/>
    <col min="7967" max="7967" width="10" style="1" bestFit="1" customWidth="1"/>
    <col min="7968" max="7968" width="11" style="1" bestFit="1" customWidth="1"/>
    <col min="7969" max="8173" width="9" style="1"/>
    <col min="8174" max="8174" width="2.875" style="1" bestFit="1" customWidth="1"/>
    <col min="8175" max="8175" width="16.625" style="1" bestFit="1" customWidth="1"/>
    <col min="8176" max="8176" width="11.375" style="1" bestFit="1" customWidth="1"/>
    <col min="8177" max="8178" width="14.125" style="1" bestFit="1" customWidth="1"/>
    <col min="8179" max="8179" width="11.375" style="1" bestFit="1" customWidth="1"/>
    <col min="8180" max="8182" width="12.5" style="1" bestFit="1" customWidth="1"/>
    <col min="8183" max="8183" width="11" style="1" bestFit="1" customWidth="1"/>
    <col min="8184" max="8203" width="13" style="1" bestFit="1" customWidth="1"/>
    <col min="8204" max="8207" width="11" style="1" bestFit="1" customWidth="1"/>
    <col min="8208" max="8210" width="12.25" style="1" bestFit="1" customWidth="1"/>
    <col min="8211" max="8221" width="11" style="1" bestFit="1" customWidth="1"/>
    <col min="8222" max="8222" width="13.25" style="1" bestFit="1" customWidth="1"/>
    <col min="8223" max="8223" width="10" style="1" bestFit="1" customWidth="1"/>
    <col min="8224" max="8224" width="11" style="1" bestFit="1" customWidth="1"/>
    <col min="8225" max="8429" width="9" style="1"/>
    <col min="8430" max="8430" width="2.875" style="1" bestFit="1" customWidth="1"/>
    <col min="8431" max="8431" width="16.625" style="1" bestFit="1" customWidth="1"/>
    <col min="8432" max="8432" width="11.375" style="1" bestFit="1" customWidth="1"/>
    <col min="8433" max="8434" width="14.125" style="1" bestFit="1" customWidth="1"/>
    <col min="8435" max="8435" width="11.375" style="1" bestFit="1" customWidth="1"/>
    <col min="8436" max="8438" width="12.5" style="1" bestFit="1" customWidth="1"/>
    <col min="8439" max="8439" width="11" style="1" bestFit="1" customWidth="1"/>
    <col min="8440" max="8459" width="13" style="1" bestFit="1" customWidth="1"/>
    <col min="8460" max="8463" width="11" style="1" bestFit="1" customWidth="1"/>
    <col min="8464" max="8466" width="12.25" style="1" bestFit="1" customWidth="1"/>
    <col min="8467" max="8477" width="11" style="1" bestFit="1" customWidth="1"/>
    <col min="8478" max="8478" width="13.25" style="1" bestFit="1" customWidth="1"/>
    <col min="8479" max="8479" width="10" style="1" bestFit="1" customWidth="1"/>
    <col min="8480" max="8480" width="11" style="1" bestFit="1" customWidth="1"/>
    <col min="8481" max="8685" width="9" style="1"/>
    <col min="8686" max="8686" width="2.875" style="1" bestFit="1" customWidth="1"/>
    <col min="8687" max="8687" width="16.625" style="1" bestFit="1" customWidth="1"/>
    <col min="8688" max="8688" width="11.375" style="1" bestFit="1" customWidth="1"/>
    <col min="8689" max="8690" width="14.125" style="1" bestFit="1" customWidth="1"/>
    <col min="8691" max="8691" width="11.375" style="1" bestFit="1" customWidth="1"/>
    <col min="8692" max="8694" width="12.5" style="1" bestFit="1" customWidth="1"/>
    <col min="8695" max="8695" width="11" style="1" bestFit="1" customWidth="1"/>
    <col min="8696" max="8715" width="13" style="1" bestFit="1" customWidth="1"/>
    <col min="8716" max="8719" width="11" style="1" bestFit="1" customWidth="1"/>
    <col min="8720" max="8722" width="12.25" style="1" bestFit="1" customWidth="1"/>
    <col min="8723" max="8733" width="11" style="1" bestFit="1" customWidth="1"/>
    <col min="8734" max="8734" width="13.25" style="1" bestFit="1" customWidth="1"/>
    <col min="8735" max="8735" width="10" style="1" bestFit="1" customWidth="1"/>
    <col min="8736" max="8736" width="11" style="1" bestFit="1" customWidth="1"/>
    <col min="8737" max="8941" width="9" style="1"/>
    <col min="8942" max="8942" width="2.875" style="1" bestFit="1" customWidth="1"/>
    <col min="8943" max="8943" width="16.625" style="1" bestFit="1" customWidth="1"/>
    <col min="8944" max="8944" width="11.375" style="1" bestFit="1" customWidth="1"/>
    <col min="8945" max="8946" width="14.125" style="1" bestFit="1" customWidth="1"/>
    <col min="8947" max="8947" width="11.375" style="1" bestFit="1" customWidth="1"/>
    <col min="8948" max="8950" width="12.5" style="1" bestFit="1" customWidth="1"/>
    <col min="8951" max="8951" width="11" style="1" bestFit="1" customWidth="1"/>
    <col min="8952" max="8971" width="13" style="1" bestFit="1" customWidth="1"/>
    <col min="8972" max="8975" width="11" style="1" bestFit="1" customWidth="1"/>
    <col min="8976" max="8978" width="12.25" style="1" bestFit="1" customWidth="1"/>
    <col min="8979" max="8989" width="11" style="1" bestFit="1" customWidth="1"/>
    <col min="8990" max="8990" width="13.25" style="1" bestFit="1" customWidth="1"/>
    <col min="8991" max="8991" width="10" style="1" bestFit="1" customWidth="1"/>
    <col min="8992" max="8992" width="11" style="1" bestFit="1" customWidth="1"/>
    <col min="8993" max="9197" width="9" style="1"/>
    <col min="9198" max="9198" width="2.875" style="1" bestFit="1" customWidth="1"/>
    <col min="9199" max="9199" width="16.625" style="1" bestFit="1" customWidth="1"/>
    <col min="9200" max="9200" width="11.375" style="1" bestFit="1" customWidth="1"/>
    <col min="9201" max="9202" width="14.125" style="1" bestFit="1" customWidth="1"/>
    <col min="9203" max="9203" width="11.375" style="1" bestFit="1" customWidth="1"/>
    <col min="9204" max="9206" width="12.5" style="1" bestFit="1" customWidth="1"/>
    <col min="9207" max="9207" width="11" style="1" bestFit="1" customWidth="1"/>
    <col min="9208" max="9227" width="13" style="1" bestFit="1" customWidth="1"/>
    <col min="9228" max="9231" width="11" style="1" bestFit="1" customWidth="1"/>
    <col min="9232" max="9234" width="12.25" style="1" bestFit="1" customWidth="1"/>
    <col min="9235" max="9245" width="11" style="1" bestFit="1" customWidth="1"/>
    <col min="9246" max="9246" width="13.25" style="1" bestFit="1" customWidth="1"/>
    <col min="9247" max="9247" width="10" style="1" bestFit="1" customWidth="1"/>
    <col min="9248" max="9248" width="11" style="1" bestFit="1" customWidth="1"/>
    <col min="9249" max="9453" width="9" style="1"/>
    <col min="9454" max="9454" width="2.875" style="1" bestFit="1" customWidth="1"/>
    <col min="9455" max="9455" width="16.625" style="1" bestFit="1" customWidth="1"/>
    <col min="9456" max="9456" width="11.375" style="1" bestFit="1" customWidth="1"/>
    <col min="9457" max="9458" width="14.125" style="1" bestFit="1" customWidth="1"/>
    <col min="9459" max="9459" width="11.375" style="1" bestFit="1" customWidth="1"/>
    <col min="9460" max="9462" width="12.5" style="1" bestFit="1" customWidth="1"/>
    <col min="9463" max="9463" width="11" style="1" bestFit="1" customWidth="1"/>
    <col min="9464" max="9483" width="13" style="1" bestFit="1" customWidth="1"/>
    <col min="9484" max="9487" width="11" style="1" bestFit="1" customWidth="1"/>
    <col min="9488" max="9490" width="12.25" style="1" bestFit="1" customWidth="1"/>
    <col min="9491" max="9501" width="11" style="1" bestFit="1" customWidth="1"/>
    <col min="9502" max="9502" width="13.25" style="1" bestFit="1" customWidth="1"/>
    <col min="9503" max="9503" width="10" style="1" bestFit="1" customWidth="1"/>
    <col min="9504" max="9504" width="11" style="1" bestFit="1" customWidth="1"/>
    <col min="9505" max="9709" width="9" style="1"/>
    <col min="9710" max="9710" width="2.875" style="1" bestFit="1" customWidth="1"/>
    <col min="9711" max="9711" width="16.625" style="1" bestFit="1" customWidth="1"/>
    <col min="9712" max="9712" width="11.375" style="1" bestFit="1" customWidth="1"/>
    <col min="9713" max="9714" width="14.125" style="1" bestFit="1" customWidth="1"/>
    <col min="9715" max="9715" width="11.375" style="1" bestFit="1" customWidth="1"/>
    <col min="9716" max="9718" width="12.5" style="1" bestFit="1" customWidth="1"/>
    <col min="9719" max="9719" width="11" style="1" bestFit="1" customWidth="1"/>
    <col min="9720" max="9739" width="13" style="1" bestFit="1" customWidth="1"/>
    <col min="9740" max="9743" width="11" style="1" bestFit="1" customWidth="1"/>
    <col min="9744" max="9746" width="12.25" style="1" bestFit="1" customWidth="1"/>
    <col min="9747" max="9757" width="11" style="1" bestFit="1" customWidth="1"/>
    <col min="9758" max="9758" width="13.25" style="1" bestFit="1" customWidth="1"/>
    <col min="9759" max="9759" width="10" style="1" bestFit="1" customWidth="1"/>
    <col min="9760" max="9760" width="11" style="1" bestFit="1" customWidth="1"/>
    <col min="9761" max="9965" width="9" style="1"/>
    <col min="9966" max="9966" width="2.875" style="1" bestFit="1" customWidth="1"/>
    <col min="9967" max="9967" width="16.625" style="1" bestFit="1" customWidth="1"/>
    <col min="9968" max="9968" width="11.375" style="1" bestFit="1" customWidth="1"/>
    <col min="9969" max="9970" width="14.125" style="1" bestFit="1" customWidth="1"/>
    <col min="9971" max="9971" width="11.375" style="1" bestFit="1" customWidth="1"/>
    <col min="9972" max="9974" width="12.5" style="1" bestFit="1" customWidth="1"/>
    <col min="9975" max="9975" width="11" style="1" bestFit="1" customWidth="1"/>
    <col min="9976" max="9995" width="13" style="1" bestFit="1" customWidth="1"/>
    <col min="9996" max="9999" width="11" style="1" bestFit="1" customWidth="1"/>
    <col min="10000" max="10002" width="12.25" style="1" bestFit="1" customWidth="1"/>
    <col min="10003" max="10013" width="11" style="1" bestFit="1" customWidth="1"/>
    <col min="10014" max="10014" width="13.25" style="1" bestFit="1" customWidth="1"/>
    <col min="10015" max="10015" width="10" style="1" bestFit="1" customWidth="1"/>
    <col min="10016" max="10016" width="11" style="1" bestFit="1" customWidth="1"/>
    <col min="10017" max="10221" width="9" style="1"/>
    <col min="10222" max="10222" width="2.875" style="1" bestFit="1" customWidth="1"/>
    <col min="10223" max="10223" width="16.625" style="1" bestFit="1" customWidth="1"/>
    <col min="10224" max="10224" width="11.375" style="1" bestFit="1" customWidth="1"/>
    <col min="10225" max="10226" width="14.125" style="1" bestFit="1" customWidth="1"/>
    <col min="10227" max="10227" width="11.375" style="1" bestFit="1" customWidth="1"/>
    <col min="10228" max="10230" width="12.5" style="1" bestFit="1" customWidth="1"/>
    <col min="10231" max="10231" width="11" style="1" bestFit="1" customWidth="1"/>
    <col min="10232" max="10251" width="13" style="1" bestFit="1" customWidth="1"/>
    <col min="10252" max="10255" width="11" style="1" bestFit="1" customWidth="1"/>
    <col min="10256" max="10258" width="12.25" style="1" bestFit="1" customWidth="1"/>
    <col min="10259" max="10269" width="11" style="1" bestFit="1" customWidth="1"/>
    <col min="10270" max="10270" width="13.25" style="1" bestFit="1" customWidth="1"/>
    <col min="10271" max="10271" width="10" style="1" bestFit="1" customWidth="1"/>
    <col min="10272" max="10272" width="11" style="1" bestFit="1" customWidth="1"/>
    <col min="10273" max="10477" width="9" style="1"/>
    <col min="10478" max="10478" width="2.875" style="1" bestFit="1" customWidth="1"/>
    <col min="10479" max="10479" width="16.625" style="1" bestFit="1" customWidth="1"/>
    <col min="10480" max="10480" width="11.375" style="1" bestFit="1" customWidth="1"/>
    <col min="10481" max="10482" width="14.125" style="1" bestFit="1" customWidth="1"/>
    <col min="10483" max="10483" width="11.375" style="1" bestFit="1" customWidth="1"/>
    <col min="10484" max="10486" width="12.5" style="1" bestFit="1" customWidth="1"/>
    <col min="10487" max="10487" width="11" style="1" bestFit="1" customWidth="1"/>
    <col min="10488" max="10507" width="13" style="1" bestFit="1" customWidth="1"/>
    <col min="10508" max="10511" width="11" style="1" bestFit="1" customWidth="1"/>
    <col min="10512" max="10514" width="12.25" style="1" bestFit="1" customWidth="1"/>
    <col min="10515" max="10525" width="11" style="1" bestFit="1" customWidth="1"/>
    <col min="10526" max="10526" width="13.25" style="1" bestFit="1" customWidth="1"/>
    <col min="10527" max="10527" width="10" style="1" bestFit="1" customWidth="1"/>
    <col min="10528" max="10528" width="11" style="1" bestFit="1" customWidth="1"/>
    <col min="10529" max="10733" width="9" style="1"/>
    <col min="10734" max="10734" width="2.875" style="1" bestFit="1" customWidth="1"/>
    <col min="10735" max="10735" width="16.625" style="1" bestFit="1" customWidth="1"/>
    <col min="10736" max="10736" width="11.375" style="1" bestFit="1" customWidth="1"/>
    <col min="10737" max="10738" width="14.125" style="1" bestFit="1" customWidth="1"/>
    <col min="10739" max="10739" width="11.375" style="1" bestFit="1" customWidth="1"/>
    <col min="10740" max="10742" width="12.5" style="1" bestFit="1" customWidth="1"/>
    <col min="10743" max="10743" width="11" style="1" bestFit="1" customWidth="1"/>
    <col min="10744" max="10763" width="13" style="1" bestFit="1" customWidth="1"/>
    <col min="10764" max="10767" width="11" style="1" bestFit="1" customWidth="1"/>
    <col min="10768" max="10770" width="12.25" style="1" bestFit="1" customWidth="1"/>
    <col min="10771" max="10781" width="11" style="1" bestFit="1" customWidth="1"/>
    <col min="10782" max="10782" width="13.25" style="1" bestFit="1" customWidth="1"/>
    <col min="10783" max="10783" width="10" style="1" bestFit="1" customWidth="1"/>
    <col min="10784" max="10784" width="11" style="1" bestFit="1" customWidth="1"/>
    <col min="10785" max="10989" width="9" style="1"/>
    <col min="10990" max="10990" width="2.875" style="1" bestFit="1" customWidth="1"/>
    <col min="10991" max="10991" width="16.625" style="1" bestFit="1" customWidth="1"/>
    <col min="10992" max="10992" width="11.375" style="1" bestFit="1" customWidth="1"/>
    <col min="10993" max="10994" width="14.125" style="1" bestFit="1" customWidth="1"/>
    <col min="10995" max="10995" width="11.375" style="1" bestFit="1" customWidth="1"/>
    <col min="10996" max="10998" width="12.5" style="1" bestFit="1" customWidth="1"/>
    <col min="10999" max="10999" width="11" style="1" bestFit="1" customWidth="1"/>
    <col min="11000" max="11019" width="13" style="1" bestFit="1" customWidth="1"/>
    <col min="11020" max="11023" width="11" style="1" bestFit="1" customWidth="1"/>
    <col min="11024" max="11026" width="12.25" style="1" bestFit="1" customWidth="1"/>
    <col min="11027" max="11037" width="11" style="1" bestFit="1" customWidth="1"/>
    <col min="11038" max="11038" width="13.25" style="1" bestFit="1" customWidth="1"/>
    <col min="11039" max="11039" width="10" style="1" bestFit="1" customWidth="1"/>
    <col min="11040" max="11040" width="11" style="1" bestFit="1" customWidth="1"/>
    <col min="11041" max="11245" width="9" style="1"/>
    <col min="11246" max="11246" width="2.875" style="1" bestFit="1" customWidth="1"/>
    <col min="11247" max="11247" width="16.625" style="1" bestFit="1" customWidth="1"/>
    <col min="11248" max="11248" width="11.375" style="1" bestFit="1" customWidth="1"/>
    <col min="11249" max="11250" width="14.125" style="1" bestFit="1" customWidth="1"/>
    <col min="11251" max="11251" width="11.375" style="1" bestFit="1" customWidth="1"/>
    <col min="11252" max="11254" width="12.5" style="1" bestFit="1" customWidth="1"/>
    <col min="11255" max="11255" width="11" style="1" bestFit="1" customWidth="1"/>
    <col min="11256" max="11275" width="13" style="1" bestFit="1" customWidth="1"/>
    <col min="11276" max="11279" width="11" style="1" bestFit="1" customWidth="1"/>
    <col min="11280" max="11282" width="12.25" style="1" bestFit="1" customWidth="1"/>
    <col min="11283" max="11293" width="11" style="1" bestFit="1" customWidth="1"/>
    <col min="11294" max="11294" width="13.25" style="1" bestFit="1" customWidth="1"/>
    <col min="11295" max="11295" width="10" style="1" bestFit="1" customWidth="1"/>
    <col min="11296" max="11296" width="11" style="1" bestFit="1" customWidth="1"/>
    <col min="11297" max="11501" width="9" style="1"/>
    <col min="11502" max="11502" width="2.875" style="1" bestFit="1" customWidth="1"/>
    <col min="11503" max="11503" width="16.625" style="1" bestFit="1" customWidth="1"/>
    <col min="11504" max="11504" width="11.375" style="1" bestFit="1" customWidth="1"/>
    <col min="11505" max="11506" width="14.125" style="1" bestFit="1" customWidth="1"/>
    <col min="11507" max="11507" width="11.375" style="1" bestFit="1" customWidth="1"/>
    <col min="11508" max="11510" width="12.5" style="1" bestFit="1" customWidth="1"/>
    <col min="11511" max="11511" width="11" style="1" bestFit="1" customWidth="1"/>
    <col min="11512" max="11531" width="13" style="1" bestFit="1" customWidth="1"/>
    <col min="11532" max="11535" width="11" style="1" bestFit="1" customWidth="1"/>
    <col min="11536" max="11538" width="12.25" style="1" bestFit="1" customWidth="1"/>
    <col min="11539" max="11549" width="11" style="1" bestFit="1" customWidth="1"/>
    <col min="11550" max="11550" width="13.25" style="1" bestFit="1" customWidth="1"/>
    <col min="11551" max="11551" width="10" style="1" bestFit="1" customWidth="1"/>
    <col min="11552" max="11552" width="11" style="1" bestFit="1" customWidth="1"/>
    <col min="11553" max="11757" width="9" style="1"/>
    <col min="11758" max="11758" width="2.875" style="1" bestFit="1" customWidth="1"/>
    <col min="11759" max="11759" width="16.625" style="1" bestFit="1" customWidth="1"/>
    <col min="11760" max="11760" width="11.375" style="1" bestFit="1" customWidth="1"/>
    <col min="11761" max="11762" width="14.125" style="1" bestFit="1" customWidth="1"/>
    <col min="11763" max="11763" width="11.375" style="1" bestFit="1" customWidth="1"/>
    <col min="11764" max="11766" width="12.5" style="1" bestFit="1" customWidth="1"/>
    <col min="11767" max="11767" width="11" style="1" bestFit="1" customWidth="1"/>
    <col min="11768" max="11787" width="13" style="1" bestFit="1" customWidth="1"/>
    <col min="11788" max="11791" width="11" style="1" bestFit="1" customWidth="1"/>
    <col min="11792" max="11794" width="12.25" style="1" bestFit="1" customWidth="1"/>
    <col min="11795" max="11805" width="11" style="1" bestFit="1" customWidth="1"/>
    <col min="11806" max="11806" width="13.25" style="1" bestFit="1" customWidth="1"/>
    <col min="11807" max="11807" width="10" style="1" bestFit="1" customWidth="1"/>
    <col min="11808" max="11808" width="11" style="1" bestFit="1" customWidth="1"/>
    <col min="11809" max="12013" width="9" style="1"/>
    <col min="12014" max="12014" width="2.875" style="1" bestFit="1" customWidth="1"/>
    <col min="12015" max="12015" width="16.625" style="1" bestFit="1" customWidth="1"/>
    <col min="12016" max="12016" width="11.375" style="1" bestFit="1" customWidth="1"/>
    <col min="12017" max="12018" width="14.125" style="1" bestFit="1" customWidth="1"/>
    <col min="12019" max="12019" width="11.375" style="1" bestFit="1" customWidth="1"/>
    <col min="12020" max="12022" width="12.5" style="1" bestFit="1" customWidth="1"/>
    <col min="12023" max="12023" width="11" style="1" bestFit="1" customWidth="1"/>
    <col min="12024" max="12043" width="13" style="1" bestFit="1" customWidth="1"/>
    <col min="12044" max="12047" width="11" style="1" bestFit="1" customWidth="1"/>
    <col min="12048" max="12050" width="12.25" style="1" bestFit="1" customWidth="1"/>
    <col min="12051" max="12061" width="11" style="1" bestFit="1" customWidth="1"/>
    <col min="12062" max="12062" width="13.25" style="1" bestFit="1" customWidth="1"/>
    <col min="12063" max="12063" width="10" style="1" bestFit="1" customWidth="1"/>
    <col min="12064" max="12064" width="11" style="1" bestFit="1" customWidth="1"/>
    <col min="12065" max="12269" width="9" style="1"/>
    <col min="12270" max="12270" width="2.875" style="1" bestFit="1" customWidth="1"/>
    <col min="12271" max="12271" width="16.625" style="1" bestFit="1" customWidth="1"/>
    <col min="12272" max="12272" width="11.375" style="1" bestFit="1" customWidth="1"/>
    <col min="12273" max="12274" width="14.125" style="1" bestFit="1" customWidth="1"/>
    <col min="12275" max="12275" width="11.375" style="1" bestFit="1" customWidth="1"/>
    <col min="12276" max="12278" width="12.5" style="1" bestFit="1" customWidth="1"/>
    <col min="12279" max="12279" width="11" style="1" bestFit="1" customWidth="1"/>
    <col min="12280" max="12299" width="13" style="1" bestFit="1" customWidth="1"/>
    <col min="12300" max="12303" width="11" style="1" bestFit="1" customWidth="1"/>
    <col min="12304" max="12306" width="12.25" style="1" bestFit="1" customWidth="1"/>
    <col min="12307" max="12317" width="11" style="1" bestFit="1" customWidth="1"/>
    <col min="12318" max="12318" width="13.25" style="1" bestFit="1" customWidth="1"/>
    <col min="12319" max="12319" width="10" style="1" bestFit="1" customWidth="1"/>
    <col min="12320" max="12320" width="11" style="1" bestFit="1" customWidth="1"/>
    <col min="12321" max="12525" width="9" style="1"/>
    <col min="12526" max="12526" width="2.875" style="1" bestFit="1" customWidth="1"/>
    <col min="12527" max="12527" width="16.625" style="1" bestFit="1" customWidth="1"/>
    <col min="12528" max="12528" width="11.375" style="1" bestFit="1" customWidth="1"/>
    <col min="12529" max="12530" width="14.125" style="1" bestFit="1" customWidth="1"/>
    <col min="12531" max="12531" width="11.375" style="1" bestFit="1" customWidth="1"/>
    <col min="12532" max="12534" width="12.5" style="1" bestFit="1" customWidth="1"/>
    <col min="12535" max="12535" width="11" style="1" bestFit="1" customWidth="1"/>
    <col min="12536" max="12555" width="13" style="1" bestFit="1" customWidth="1"/>
    <col min="12556" max="12559" width="11" style="1" bestFit="1" customWidth="1"/>
    <col min="12560" max="12562" width="12.25" style="1" bestFit="1" customWidth="1"/>
    <col min="12563" max="12573" width="11" style="1" bestFit="1" customWidth="1"/>
    <col min="12574" max="12574" width="13.25" style="1" bestFit="1" customWidth="1"/>
    <col min="12575" max="12575" width="10" style="1" bestFit="1" customWidth="1"/>
    <col min="12576" max="12576" width="11" style="1" bestFit="1" customWidth="1"/>
    <col min="12577" max="12781" width="9" style="1"/>
    <col min="12782" max="12782" width="2.875" style="1" bestFit="1" customWidth="1"/>
    <col min="12783" max="12783" width="16.625" style="1" bestFit="1" customWidth="1"/>
    <col min="12784" max="12784" width="11.375" style="1" bestFit="1" customWidth="1"/>
    <col min="12785" max="12786" width="14.125" style="1" bestFit="1" customWidth="1"/>
    <col min="12787" max="12787" width="11.375" style="1" bestFit="1" customWidth="1"/>
    <col min="12788" max="12790" width="12.5" style="1" bestFit="1" customWidth="1"/>
    <col min="12791" max="12791" width="11" style="1" bestFit="1" customWidth="1"/>
    <col min="12792" max="12811" width="13" style="1" bestFit="1" customWidth="1"/>
    <col min="12812" max="12815" width="11" style="1" bestFit="1" customWidth="1"/>
    <col min="12816" max="12818" width="12.25" style="1" bestFit="1" customWidth="1"/>
    <col min="12819" max="12829" width="11" style="1" bestFit="1" customWidth="1"/>
    <col min="12830" max="12830" width="13.25" style="1" bestFit="1" customWidth="1"/>
    <col min="12831" max="12831" width="10" style="1" bestFit="1" customWidth="1"/>
    <col min="12832" max="12832" width="11" style="1" bestFit="1" customWidth="1"/>
    <col min="12833" max="13037" width="9" style="1"/>
    <col min="13038" max="13038" width="2.875" style="1" bestFit="1" customWidth="1"/>
    <col min="13039" max="13039" width="16.625" style="1" bestFit="1" customWidth="1"/>
    <col min="13040" max="13040" width="11.375" style="1" bestFit="1" customWidth="1"/>
    <col min="13041" max="13042" width="14.125" style="1" bestFit="1" customWidth="1"/>
    <col min="13043" max="13043" width="11.375" style="1" bestFit="1" customWidth="1"/>
    <col min="13044" max="13046" width="12.5" style="1" bestFit="1" customWidth="1"/>
    <col min="13047" max="13047" width="11" style="1" bestFit="1" customWidth="1"/>
    <col min="13048" max="13067" width="13" style="1" bestFit="1" customWidth="1"/>
    <col min="13068" max="13071" width="11" style="1" bestFit="1" customWidth="1"/>
    <col min="13072" max="13074" width="12.25" style="1" bestFit="1" customWidth="1"/>
    <col min="13075" max="13085" width="11" style="1" bestFit="1" customWidth="1"/>
    <col min="13086" max="13086" width="13.25" style="1" bestFit="1" customWidth="1"/>
    <col min="13087" max="13087" width="10" style="1" bestFit="1" customWidth="1"/>
    <col min="13088" max="13088" width="11" style="1" bestFit="1" customWidth="1"/>
    <col min="13089" max="13293" width="9" style="1"/>
    <col min="13294" max="13294" width="2.875" style="1" bestFit="1" customWidth="1"/>
    <col min="13295" max="13295" width="16.625" style="1" bestFit="1" customWidth="1"/>
    <col min="13296" max="13296" width="11.375" style="1" bestFit="1" customWidth="1"/>
    <col min="13297" max="13298" width="14.125" style="1" bestFit="1" customWidth="1"/>
    <col min="13299" max="13299" width="11.375" style="1" bestFit="1" customWidth="1"/>
    <col min="13300" max="13302" width="12.5" style="1" bestFit="1" customWidth="1"/>
    <col min="13303" max="13303" width="11" style="1" bestFit="1" customWidth="1"/>
    <col min="13304" max="13323" width="13" style="1" bestFit="1" customWidth="1"/>
    <col min="13324" max="13327" width="11" style="1" bestFit="1" customWidth="1"/>
    <col min="13328" max="13330" width="12.25" style="1" bestFit="1" customWidth="1"/>
    <col min="13331" max="13341" width="11" style="1" bestFit="1" customWidth="1"/>
    <col min="13342" max="13342" width="13.25" style="1" bestFit="1" customWidth="1"/>
    <col min="13343" max="13343" width="10" style="1" bestFit="1" customWidth="1"/>
    <col min="13344" max="13344" width="11" style="1" bestFit="1" customWidth="1"/>
    <col min="13345" max="13549" width="9" style="1"/>
    <col min="13550" max="13550" width="2.875" style="1" bestFit="1" customWidth="1"/>
    <col min="13551" max="13551" width="16.625" style="1" bestFit="1" customWidth="1"/>
    <col min="13552" max="13552" width="11.375" style="1" bestFit="1" customWidth="1"/>
    <col min="13553" max="13554" width="14.125" style="1" bestFit="1" customWidth="1"/>
    <col min="13555" max="13555" width="11.375" style="1" bestFit="1" customWidth="1"/>
    <col min="13556" max="13558" width="12.5" style="1" bestFit="1" customWidth="1"/>
    <col min="13559" max="13559" width="11" style="1" bestFit="1" customWidth="1"/>
    <col min="13560" max="13579" width="13" style="1" bestFit="1" customWidth="1"/>
    <col min="13580" max="13583" width="11" style="1" bestFit="1" customWidth="1"/>
    <col min="13584" max="13586" width="12.25" style="1" bestFit="1" customWidth="1"/>
    <col min="13587" max="13597" width="11" style="1" bestFit="1" customWidth="1"/>
    <col min="13598" max="13598" width="13.25" style="1" bestFit="1" customWidth="1"/>
    <col min="13599" max="13599" width="10" style="1" bestFit="1" customWidth="1"/>
    <col min="13600" max="13600" width="11" style="1" bestFit="1" customWidth="1"/>
    <col min="13601" max="13805" width="9" style="1"/>
    <col min="13806" max="13806" width="2.875" style="1" bestFit="1" customWidth="1"/>
    <col min="13807" max="13807" width="16.625" style="1" bestFit="1" customWidth="1"/>
    <col min="13808" max="13808" width="11.375" style="1" bestFit="1" customWidth="1"/>
    <col min="13809" max="13810" width="14.125" style="1" bestFit="1" customWidth="1"/>
    <col min="13811" max="13811" width="11.375" style="1" bestFit="1" customWidth="1"/>
    <col min="13812" max="13814" width="12.5" style="1" bestFit="1" customWidth="1"/>
    <col min="13815" max="13815" width="11" style="1" bestFit="1" customWidth="1"/>
    <col min="13816" max="13835" width="13" style="1" bestFit="1" customWidth="1"/>
    <col min="13836" max="13839" width="11" style="1" bestFit="1" customWidth="1"/>
    <col min="13840" max="13842" width="12.25" style="1" bestFit="1" customWidth="1"/>
    <col min="13843" max="13853" width="11" style="1" bestFit="1" customWidth="1"/>
    <col min="13854" max="13854" width="13.25" style="1" bestFit="1" customWidth="1"/>
    <col min="13855" max="13855" width="10" style="1" bestFit="1" customWidth="1"/>
    <col min="13856" max="13856" width="11" style="1" bestFit="1" customWidth="1"/>
    <col min="13857" max="14061" width="9" style="1"/>
    <col min="14062" max="14062" width="2.875" style="1" bestFit="1" customWidth="1"/>
    <col min="14063" max="14063" width="16.625" style="1" bestFit="1" customWidth="1"/>
    <col min="14064" max="14064" width="11.375" style="1" bestFit="1" customWidth="1"/>
    <col min="14065" max="14066" width="14.125" style="1" bestFit="1" customWidth="1"/>
    <col min="14067" max="14067" width="11.375" style="1" bestFit="1" customWidth="1"/>
    <col min="14068" max="14070" width="12.5" style="1" bestFit="1" customWidth="1"/>
    <col min="14071" max="14071" width="11" style="1" bestFit="1" customWidth="1"/>
    <col min="14072" max="14091" width="13" style="1" bestFit="1" customWidth="1"/>
    <col min="14092" max="14095" width="11" style="1" bestFit="1" customWidth="1"/>
    <col min="14096" max="14098" width="12.25" style="1" bestFit="1" customWidth="1"/>
    <col min="14099" max="14109" width="11" style="1" bestFit="1" customWidth="1"/>
    <col min="14110" max="14110" width="13.25" style="1" bestFit="1" customWidth="1"/>
    <col min="14111" max="14111" width="10" style="1" bestFit="1" customWidth="1"/>
    <col min="14112" max="14112" width="11" style="1" bestFit="1" customWidth="1"/>
    <col min="14113" max="14317" width="9" style="1"/>
    <col min="14318" max="14318" width="2.875" style="1" bestFit="1" customWidth="1"/>
    <col min="14319" max="14319" width="16.625" style="1" bestFit="1" customWidth="1"/>
    <col min="14320" max="14320" width="11.375" style="1" bestFit="1" customWidth="1"/>
    <col min="14321" max="14322" width="14.125" style="1" bestFit="1" customWidth="1"/>
    <col min="14323" max="14323" width="11.375" style="1" bestFit="1" customWidth="1"/>
    <col min="14324" max="14326" width="12.5" style="1" bestFit="1" customWidth="1"/>
    <col min="14327" max="14327" width="11" style="1" bestFit="1" customWidth="1"/>
    <col min="14328" max="14347" width="13" style="1" bestFit="1" customWidth="1"/>
    <col min="14348" max="14351" width="11" style="1" bestFit="1" customWidth="1"/>
    <col min="14352" max="14354" width="12.25" style="1" bestFit="1" customWidth="1"/>
    <col min="14355" max="14365" width="11" style="1" bestFit="1" customWidth="1"/>
    <col min="14366" max="14366" width="13.25" style="1" bestFit="1" customWidth="1"/>
    <col min="14367" max="14367" width="10" style="1" bestFit="1" customWidth="1"/>
    <col min="14368" max="14368" width="11" style="1" bestFit="1" customWidth="1"/>
    <col min="14369" max="14573" width="9" style="1"/>
    <col min="14574" max="14574" width="2.875" style="1" bestFit="1" customWidth="1"/>
    <col min="14575" max="14575" width="16.625" style="1" bestFit="1" customWidth="1"/>
    <col min="14576" max="14576" width="11.375" style="1" bestFit="1" customWidth="1"/>
    <col min="14577" max="14578" width="14.125" style="1" bestFit="1" customWidth="1"/>
    <col min="14579" max="14579" width="11.375" style="1" bestFit="1" customWidth="1"/>
    <col min="14580" max="14582" width="12.5" style="1" bestFit="1" customWidth="1"/>
    <col min="14583" max="14583" width="11" style="1" bestFit="1" customWidth="1"/>
    <col min="14584" max="14603" width="13" style="1" bestFit="1" customWidth="1"/>
    <col min="14604" max="14607" width="11" style="1" bestFit="1" customWidth="1"/>
    <col min="14608" max="14610" width="12.25" style="1" bestFit="1" customWidth="1"/>
    <col min="14611" max="14621" width="11" style="1" bestFit="1" customWidth="1"/>
    <col min="14622" max="14622" width="13.25" style="1" bestFit="1" customWidth="1"/>
    <col min="14623" max="14623" width="10" style="1" bestFit="1" customWidth="1"/>
    <col min="14624" max="14624" width="11" style="1" bestFit="1" customWidth="1"/>
    <col min="14625" max="14829" width="9" style="1"/>
    <col min="14830" max="14830" width="2.875" style="1" bestFit="1" customWidth="1"/>
    <col min="14831" max="14831" width="16.625" style="1" bestFit="1" customWidth="1"/>
    <col min="14832" max="14832" width="11.375" style="1" bestFit="1" customWidth="1"/>
    <col min="14833" max="14834" width="14.125" style="1" bestFit="1" customWidth="1"/>
    <col min="14835" max="14835" width="11.375" style="1" bestFit="1" customWidth="1"/>
    <col min="14836" max="14838" width="12.5" style="1" bestFit="1" customWidth="1"/>
    <col min="14839" max="14839" width="11" style="1" bestFit="1" customWidth="1"/>
    <col min="14840" max="14859" width="13" style="1" bestFit="1" customWidth="1"/>
    <col min="14860" max="14863" width="11" style="1" bestFit="1" customWidth="1"/>
    <col min="14864" max="14866" width="12.25" style="1" bestFit="1" customWidth="1"/>
    <col min="14867" max="14877" width="11" style="1" bestFit="1" customWidth="1"/>
    <col min="14878" max="14878" width="13.25" style="1" bestFit="1" customWidth="1"/>
    <col min="14879" max="14879" width="10" style="1" bestFit="1" customWidth="1"/>
    <col min="14880" max="14880" width="11" style="1" bestFit="1" customWidth="1"/>
    <col min="14881" max="15085" width="9" style="1"/>
    <col min="15086" max="15086" width="2.875" style="1" bestFit="1" customWidth="1"/>
    <col min="15087" max="15087" width="16.625" style="1" bestFit="1" customWidth="1"/>
    <col min="15088" max="15088" width="11.375" style="1" bestFit="1" customWidth="1"/>
    <col min="15089" max="15090" width="14.125" style="1" bestFit="1" customWidth="1"/>
    <col min="15091" max="15091" width="11.375" style="1" bestFit="1" customWidth="1"/>
    <col min="15092" max="15094" width="12.5" style="1" bestFit="1" customWidth="1"/>
    <col min="15095" max="15095" width="11" style="1" bestFit="1" customWidth="1"/>
    <col min="15096" max="15115" width="13" style="1" bestFit="1" customWidth="1"/>
    <col min="15116" max="15119" width="11" style="1" bestFit="1" customWidth="1"/>
    <col min="15120" max="15122" width="12.25" style="1" bestFit="1" customWidth="1"/>
    <col min="15123" max="15133" width="11" style="1" bestFit="1" customWidth="1"/>
    <col min="15134" max="15134" width="13.25" style="1" bestFit="1" customWidth="1"/>
    <col min="15135" max="15135" width="10" style="1" bestFit="1" customWidth="1"/>
    <col min="15136" max="15136" width="11" style="1" bestFit="1" customWidth="1"/>
    <col min="15137" max="15341" width="9" style="1"/>
    <col min="15342" max="15342" width="2.875" style="1" bestFit="1" customWidth="1"/>
    <col min="15343" max="15343" width="16.625" style="1" bestFit="1" customWidth="1"/>
    <col min="15344" max="15344" width="11.375" style="1" bestFit="1" customWidth="1"/>
    <col min="15345" max="15346" width="14.125" style="1" bestFit="1" customWidth="1"/>
    <col min="15347" max="15347" width="11.375" style="1" bestFit="1" customWidth="1"/>
    <col min="15348" max="15350" width="12.5" style="1" bestFit="1" customWidth="1"/>
    <col min="15351" max="15351" width="11" style="1" bestFit="1" customWidth="1"/>
    <col min="15352" max="15371" width="13" style="1" bestFit="1" customWidth="1"/>
    <col min="15372" max="15375" width="11" style="1" bestFit="1" customWidth="1"/>
    <col min="15376" max="15378" width="12.25" style="1" bestFit="1" customWidth="1"/>
    <col min="15379" max="15389" width="11" style="1" bestFit="1" customWidth="1"/>
    <col min="15390" max="15390" width="13.25" style="1" bestFit="1" customWidth="1"/>
    <col min="15391" max="15391" width="10" style="1" bestFit="1" customWidth="1"/>
    <col min="15392" max="15392" width="11" style="1" bestFit="1" customWidth="1"/>
    <col min="15393" max="15597" width="9" style="1"/>
    <col min="15598" max="15598" width="2.875" style="1" bestFit="1" customWidth="1"/>
    <col min="15599" max="15599" width="16.625" style="1" bestFit="1" customWidth="1"/>
    <col min="15600" max="15600" width="11.375" style="1" bestFit="1" customWidth="1"/>
    <col min="15601" max="15602" width="14.125" style="1" bestFit="1" customWidth="1"/>
    <col min="15603" max="15603" width="11.375" style="1" bestFit="1" customWidth="1"/>
    <col min="15604" max="15606" width="12.5" style="1" bestFit="1" customWidth="1"/>
    <col min="15607" max="15607" width="11" style="1" bestFit="1" customWidth="1"/>
    <col min="15608" max="15627" width="13" style="1" bestFit="1" customWidth="1"/>
    <col min="15628" max="15631" width="11" style="1" bestFit="1" customWidth="1"/>
    <col min="15632" max="15634" width="12.25" style="1" bestFit="1" customWidth="1"/>
    <col min="15635" max="15645" width="11" style="1" bestFit="1" customWidth="1"/>
    <col min="15646" max="15646" width="13.25" style="1" bestFit="1" customWidth="1"/>
    <col min="15647" max="15647" width="10" style="1" bestFit="1" customWidth="1"/>
    <col min="15648" max="15648" width="11" style="1" bestFit="1" customWidth="1"/>
    <col min="15649" max="15853" width="9" style="1"/>
    <col min="15854" max="15854" width="2.875" style="1" bestFit="1" customWidth="1"/>
    <col min="15855" max="15855" width="16.625" style="1" bestFit="1" customWidth="1"/>
    <col min="15856" max="15856" width="11.375" style="1" bestFit="1" customWidth="1"/>
    <col min="15857" max="15858" width="14.125" style="1" bestFit="1" customWidth="1"/>
    <col min="15859" max="15859" width="11.375" style="1" bestFit="1" customWidth="1"/>
    <col min="15860" max="15862" width="12.5" style="1" bestFit="1" customWidth="1"/>
    <col min="15863" max="15863" width="11" style="1" bestFit="1" customWidth="1"/>
    <col min="15864" max="15883" width="13" style="1" bestFit="1" customWidth="1"/>
    <col min="15884" max="15887" width="11" style="1" bestFit="1" customWidth="1"/>
    <col min="15888" max="15890" width="12.25" style="1" bestFit="1" customWidth="1"/>
    <col min="15891" max="15901" width="11" style="1" bestFit="1" customWidth="1"/>
    <col min="15902" max="15902" width="13.25" style="1" bestFit="1" customWidth="1"/>
    <col min="15903" max="15903" width="10" style="1" bestFit="1" customWidth="1"/>
    <col min="15904" max="15904" width="11" style="1" bestFit="1" customWidth="1"/>
    <col min="15905" max="16109" width="9" style="1"/>
    <col min="16110" max="16110" width="2.875" style="1" bestFit="1" customWidth="1"/>
    <col min="16111" max="16111" width="16.625" style="1" bestFit="1" customWidth="1"/>
    <col min="16112" max="16112" width="11.375" style="1" bestFit="1" customWidth="1"/>
    <col min="16113" max="16114" width="14.125" style="1" bestFit="1" customWidth="1"/>
    <col min="16115" max="16115" width="11.375" style="1" bestFit="1" customWidth="1"/>
    <col min="16116" max="16118" width="12.5" style="1" bestFit="1" customWidth="1"/>
    <col min="16119" max="16119" width="11" style="1" bestFit="1" customWidth="1"/>
    <col min="16120" max="16139" width="13" style="1" bestFit="1" customWidth="1"/>
    <col min="16140" max="16143" width="11" style="1" bestFit="1" customWidth="1"/>
    <col min="16144" max="16146" width="12.25" style="1" bestFit="1" customWidth="1"/>
    <col min="16147" max="16157" width="11" style="1" bestFit="1" customWidth="1"/>
    <col min="16158" max="16158" width="13.25" style="1" bestFit="1" customWidth="1"/>
    <col min="16159" max="16159" width="10" style="1" bestFit="1" customWidth="1"/>
    <col min="16160" max="16160" width="11" style="1" bestFit="1" customWidth="1"/>
    <col min="16161" max="16384" width="9" style="1"/>
  </cols>
  <sheetData>
    <row r="2" spans="1:32" ht="30.75" customHeight="1" x14ac:dyDescent="0.15"/>
    <row r="3" spans="1:32" ht="17.25" x14ac:dyDescent="0.2">
      <c r="A3" s="47">
        <v>45658</v>
      </c>
      <c r="B3" s="47"/>
      <c r="C3" s="45" t="s">
        <v>225</v>
      </c>
    </row>
    <row r="4" spans="1:32" s="5" customFormat="1" x14ac:dyDescent="0.15">
      <c r="A4" s="48" t="s">
        <v>0</v>
      </c>
      <c r="B4" s="48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151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152</v>
      </c>
      <c r="V4" s="2" t="s">
        <v>26</v>
      </c>
      <c r="W4" s="2" t="s">
        <v>27</v>
      </c>
      <c r="X4" s="2" t="s">
        <v>28</v>
      </c>
      <c r="Y4" s="2" t="s">
        <v>29</v>
      </c>
      <c r="Z4" s="2" t="s">
        <v>30</v>
      </c>
      <c r="AA4" s="2" t="s">
        <v>31</v>
      </c>
      <c r="AB4" s="2" t="s">
        <v>32</v>
      </c>
      <c r="AC4" s="2" t="s">
        <v>33</v>
      </c>
      <c r="AD4" s="3" t="s">
        <v>41</v>
      </c>
      <c r="AE4" s="3" t="s">
        <v>42</v>
      </c>
      <c r="AF4" s="4" t="s">
        <v>43</v>
      </c>
    </row>
    <row r="5" spans="1:32" s="5" customFormat="1" hidden="1" x14ac:dyDescent="0.15">
      <c r="A5" s="49" t="s">
        <v>44</v>
      </c>
      <c r="B5" s="50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2">
        <v>6</v>
      </c>
      <c r="X5" s="2">
        <v>6</v>
      </c>
      <c r="Y5" s="2">
        <v>6</v>
      </c>
      <c r="Z5" s="2">
        <v>6</v>
      </c>
      <c r="AA5" s="2">
        <v>6</v>
      </c>
      <c r="AB5" s="2">
        <v>6</v>
      </c>
      <c r="AC5" s="2">
        <v>6</v>
      </c>
      <c r="AD5" s="3"/>
      <c r="AE5" s="3"/>
      <c r="AF5" s="4"/>
    </row>
    <row r="6" spans="1:32" s="5" customFormat="1" hidden="1" x14ac:dyDescent="0.15">
      <c r="A6" s="49" t="s">
        <v>45</v>
      </c>
      <c r="B6" s="50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2" t="s">
        <v>48</v>
      </c>
      <c r="X6" s="2" t="s">
        <v>48</v>
      </c>
      <c r="Y6" s="2" t="s">
        <v>48</v>
      </c>
      <c r="Z6" s="2" t="s">
        <v>48</v>
      </c>
      <c r="AA6" s="2" t="s">
        <v>48</v>
      </c>
      <c r="AB6" s="2" t="s">
        <v>48</v>
      </c>
      <c r="AC6" s="2" t="s">
        <v>48</v>
      </c>
      <c r="AD6" s="3"/>
      <c r="AE6" s="3"/>
      <c r="AF6" s="4"/>
    </row>
    <row r="7" spans="1:32" s="5" customFormat="1" x14ac:dyDescent="0.15">
      <c r="A7" s="46" t="s">
        <v>51</v>
      </c>
      <c r="B7" s="46"/>
      <c r="C7" s="6" t="s">
        <v>163</v>
      </c>
      <c r="D7" s="6" t="s">
        <v>164</v>
      </c>
      <c r="E7" s="6" t="s">
        <v>165</v>
      </c>
      <c r="F7" s="6" t="s">
        <v>166</v>
      </c>
      <c r="G7" s="6" t="s">
        <v>167</v>
      </c>
      <c r="H7" s="6" t="s">
        <v>168</v>
      </c>
      <c r="I7" s="6" t="s">
        <v>169</v>
      </c>
      <c r="J7" s="6" t="s">
        <v>170</v>
      </c>
      <c r="K7" s="6" t="s">
        <v>171</v>
      </c>
      <c r="L7" s="6" t="s">
        <v>172</v>
      </c>
      <c r="M7" s="6" t="s">
        <v>182</v>
      </c>
      <c r="N7" s="6" t="s">
        <v>183</v>
      </c>
      <c r="O7" s="6" t="s">
        <v>180</v>
      </c>
      <c r="P7" s="6" t="s">
        <v>181</v>
      </c>
      <c r="Q7" s="6" t="s">
        <v>173</v>
      </c>
      <c r="R7" s="6" t="s">
        <v>174</v>
      </c>
      <c r="S7" s="6"/>
      <c r="T7" s="6"/>
      <c r="U7" s="6"/>
      <c r="V7" s="6"/>
      <c r="W7" s="6" t="s">
        <v>175</v>
      </c>
      <c r="X7" s="6" t="s">
        <v>176</v>
      </c>
      <c r="Y7" s="6" t="s">
        <v>179</v>
      </c>
      <c r="Z7" s="43" t="s">
        <v>212</v>
      </c>
      <c r="AA7" s="44" t="s">
        <v>185</v>
      </c>
      <c r="AB7" s="6" t="s">
        <v>177</v>
      </c>
      <c r="AC7" s="6" t="s">
        <v>184</v>
      </c>
      <c r="AD7" s="7"/>
      <c r="AE7" s="7"/>
      <c r="AF7" s="8"/>
    </row>
    <row r="8" spans="1:32" s="5" customFormat="1" x14ac:dyDescent="0.15">
      <c r="A8" s="46" t="s">
        <v>52</v>
      </c>
      <c r="B8" s="46"/>
      <c r="C8" s="6" t="s">
        <v>194</v>
      </c>
      <c r="D8" s="6" t="s">
        <v>195</v>
      </c>
      <c r="E8" s="6" t="s">
        <v>196</v>
      </c>
      <c r="F8" s="6" t="s">
        <v>189</v>
      </c>
      <c r="G8" s="6" t="s">
        <v>197</v>
      </c>
      <c r="H8" s="6" t="s">
        <v>198</v>
      </c>
      <c r="I8" s="6" t="s">
        <v>199</v>
      </c>
      <c r="J8" s="6" t="s">
        <v>200</v>
      </c>
      <c r="K8" s="6" t="s">
        <v>201</v>
      </c>
      <c r="L8" s="6" t="s">
        <v>202</v>
      </c>
      <c r="M8" s="6" t="s">
        <v>203</v>
      </c>
      <c r="N8" s="6" t="s">
        <v>204</v>
      </c>
      <c r="O8" s="6" t="s">
        <v>198</v>
      </c>
      <c r="P8" s="6" t="s">
        <v>205</v>
      </c>
      <c r="Q8" s="6" t="s">
        <v>206</v>
      </c>
      <c r="R8" s="6" t="s">
        <v>207</v>
      </c>
      <c r="S8" s="6"/>
      <c r="T8" s="6"/>
      <c r="U8" s="6"/>
      <c r="V8" s="6"/>
      <c r="W8" s="6" t="s">
        <v>208</v>
      </c>
      <c r="X8" s="6" t="s">
        <v>209</v>
      </c>
      <c r="Y8" s="6" t="s">
        <v>210</v>
      </c>
      <c r="Z8" s="6" t="s">
        <v>211</v>
      </c>
      <c r="AA8" s="6" t="s">
        <v>213</v>
      </c>
      <c r="AB8" s="6" t="s">
        <v>214</v>
      </c>
      <c r="AC8" s="6" t="s">
        <v>215</v>
      </c>
      <c r="AD8" s="7"/>
      <c r="AE8" s="7"/>
      <c r="AF8" s="8"/>
    </row>
    <row r="9" spans="1:32" x14ac:dyDescent="0.15">
      <c r="A9" s="52" t="s">
        <v>53</v>
      </c>
      <c r="B9" s="53"/>
      <c r="C9" s="9">
        <v>8</v>
      </c>
      <c r="D9" s="9">
        <v>10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/>
      <c r="T9" s="9"/>
      <c r="U9" s="9"/>
      <c r="V9" s="9"/>
      <c r="W9" s="9">
        <v>8</v>
      </c>
      <c r="X9" s="9">
        <v>8</v>
      </c>
      <c r="Y9" s="9">
        <v>8</v>
      </c>
      <c r="Z9" s="9">
        <v>10</v>
      </c>
      <c r="AA9" s="9">
        <v>10</v>
      </c>
      <c r="AB9" s="9">
        <v>10</v>
      </c>
      <c r="AC9" s="9">
        <v>10</v>
      </c>
      <c r="AD9" s="10">
        <f>SUM(C9:AC9)</f>
        <v>226</v>
      </c>
      <c r="AE9" s="10"/>
      <c r="AF9" s="11"/>
    </row>
    <row r="10" spans="1:32" x14ac:dyDescent="0.15">
      <c r="A10" s="48" t="s">
        <v>54</v>
      </c>
      <c r="B10" s="48"/>
      <c r="C10" s="12" t="s">
        <v>57</v>
      </c>
      <c r="D10" s="12" t="s">
        <v>58</v>
      </c>
      <c r="E10" s="12" t="s">
        <v>58</v>
      </c>
      <c r="F10" s="12" t="s">
        <v>58</v>
      </c>
      <c r="G10" s="12" t="s">
        <v>58</v>
      </c>
      <c r="H10" s="12" t="s">
        <v>58</v>
      </c>
      <c r="I10" s="12" t="s">
        <v>58</v>
      </c>
      <c r="J10" s="12" t="s">
        <v>58</v>
      </c>
      <c r="K10" s="12" t="s">
        <v>58</v>
      </c>
      <c r="L10" s="12" t="s">
        <v>58</v>
      </c>
      <c r="M10" s="12" t="s">
        <v>59</v>
      </c>
      <c r="N10" s="12" t="s">
        <v>59</v>
      </c>
      <c r="O10" s="12" t="s">
        <v>59</v>
      </c>
      <c r="P10" s="12" t="s">
        <v>59</v>
      </c>
      <c r="Q10" s="12" t="s">
        <v>60</v>
      </c>
      <c r="R10" s="12" t="s">
        <v>60</v>
      </c>
      <c r="S10" s="12" t="s">
        <v>61</v>
      </c>
      <c r="T10" s="12" t="s">
        <v>62</v>
      </c>
      <c r="U10" s="12"/>
      <c r="V10" s="12"/>
      <c r="W10" s="12" t="s">
        <v>63</v>
      </c>
      <c r="X10" s="12" t="s">
        <v>63</v>
      </c>
      <c r="Y10" s="12" t="s">
        <v>57</v>
      </c>
      <c r="Z10" s="12" t="s">
        <v>58</v>
      </c>
      <c r="AA10" s="12" t="s">
        <v>60</v>
      </c>
      <c r="AB10" s="12" t="s">
        <v>60</v>
      </c>
      <c r="AC10" s="12" t="s">
        <v>60</v>
      </c>
      <c r="AD10" s="13"/>
      <c r="AE10" s="13"/>
      <c r="AF10" s="14"/>
    </row>
    <row r="11" spans="1:32" x14ac:dyDescent="0.15">
      <c r="A11" s="48" t="s">
        <v>65</v>
      </c>
      <c r="B11" s="48"/>
      <c r="C11" s="15">
        <v>3668</v>
      </c>
      <c r="D11" s="15">
        <v>5630.2</v>
      </c>
      <c r="E11" s="15">
        <v>4718.9000000000005</v>
      </c>
      <c r="F11" s="15">
        <v>5254.2</v>
      </c>
      <c r="G11" s="15">
        <v>741.1</v>
      </c>
      <c r="H11" s="15">
        <v>5326.1</v>
      </c>
      <c r="I11" s="15">
        <v>3519.2</v>
      </c>
      <c r="J11" s="15">
        <v>5798.6</v>
      </c>
      <c r="K11" s="15">
        <v>4778.2</v>
      </c>
      <c r="L11" s="15">
        <v>4938.9000000000005</v>
      </c>
      <c r="M11" s="15">
        <v>8555</v>
      </c>
      <c r="N11" s="15">
        <v>6291.7</v>
      </c>
      <c r="O11" s="15">
        <v>6388.5</v>
      </c>
      <c r="P11" s="15">
        <v>4017.4</v>
      </c>
      <c r="Q11" s="15">
        <v>5028</v>
      </c>
      <c r="R11" s="15">
        <v>5167.8999999999996</v>
      </c>
      <c r="S11" s="15">
        <v>0</v>
      </c>
      <c r="T11" s="15">
        <v>0</v>
      </c>
      <c r="U11" s="15">
        <v>0</v>
      </c>
      <c r="V11" s="15">
        <v>0</v>
      </c>
      <c r="W11" s="15">
        <v>6709</v>
      </c>
      <c r="X11" s="15">
        <v>6112</v>
      </c>
      <c r="Y11" s="15">
        <v>8537</v>
      </c>
      <c r="Z11" s="15">
        <v>8228</v>
      </c>
      <c r="AA11" s="15">
        <v>4753</v>
      </c>
      <c r="AB11" s="15">
        <v>5068</v>
      </c>
      <c r="AC11" s="15">
        <v>2686</v>
      </c>
      <c r="AD11" s="17">
        <f>SUM(C11:AC11)</f>
        <v>121914.9</v>
      </c>
      <c r="AE11" s="17">
        <f t="shared" ref="AE11:AE42" si="0">AVERAGE(C11:AC11)</f>
        <v>4515.3666666666668</v>
      </c>
      <c r="AF11" s="14"/>
    </row>
    <row r="12" spans="1:32" x14ac:dyDescent="0.15">
      <c r="A12" s="49" t="s">
        <v>66</v>
      </c>
      <c r="B12" s="54"/>
      <c r="C12" s="19">
        <v>8.2715277777777771</v>
      </c>
      <c r="D12" s="19">
        <v>9.9784722222222229</v>
      </c>
      <c r="E12" s="19">
        <v>10.055555555555555</v>
      </c>
      <c r="F12" s="19">
        <v>10.39861111111111</v>
      </c>
      <c r="G12" s="19">
        <v>2.3479166666666669</v>
      </c>
      <c r="H12" s="19">
        <v>9.7201388888888882</v>
      </c>
      <c r="I12" s="19">
        <v>7.2125000000000004</v>
      </c>
      <c r="J12" s="19">
        <v>10.015972222222222</v>
      </c>
      <c r="K12" s="19">
        <v>9.1458333333333339</v>
      </c>
      <c r="L12" s="19">
        <v>9.1680555555555561</v>
      </c>
      <c r="M12" s="19">
        <v>10.658333333333333</v>
      </c>
      <c r="N12" s="19">
        <v>8.6854166666666668</v>
      </c>
      <c r="O12" s="19">
        <v>9.2354166666666675</v>
      </c>
      <c r="P12" s="19">
        <v>6.0041666666666664</v>
      </c>
      <c r="Q12" s="19">
        <v>6.4916666666666663</v>
      </c>
      <c r="R12" s="19">
        <v>7.3993055555555554</v>
      </c>
      <c r="S12" s="19">
        <v>0</v>
      </c>
      <c r="T12" s="19">
        <v>0</v>
      </c>
      <c r="U12" s="19">
        <v>0</v>
      </c>
      <c r="V12" s="19">
        <v>0</v>
      </c>
      <c r="W12" s="19">
        <v>8.8368055555555554</v>
      </c>
      <c r="X12" s="19">
        <v>7.6534722222222218</v>
      </c>
      <c r="Y12" s="19">
        <v>11.084027777777777</v>
      </c>
      <c r="Z12" s="19">
        <v>11.299305555555556</v>
      </c>
      <c r="AA12" s="19">
        <v>9.1180555555555554</v>
      </c>
      <c r="AB12" s="19">
        <v>8.1236111111111118</v>
      </c>
      <c r="AC12" s="19">
        <v>5.2326388888888893</v>
      </c>
      <c r="AD12" s="21">
        <f>SUM(C12:AC12)</f>
        <v>196.1368055555555</v>
      </c>
      <c r="AE12" s="21">
        <f t="shared" si="0"/>
        <v>7.2643261316872403</v>
      </c>
      <c r="AF12" s="14"/>
    </row>
    <row r="13" spans="1:32" x14ac:dyDescent="0.15">
      <c r="A13" s="48" t="s">
        <v>67</v>
      </c>
      <c r="B13" s="48"/>
      <c r="C13" s="15">
        <v>917960</v>
      </c>
      <c r="D13" s="15">
        <v>1230800</v>
      </c>
      <c r="E13" s="15">
        <v>1234160</v>
      </c>
      <c r="F13" s="15">
        <v>1167270</v>
      </c>
      <c r="G13" s="15">
        <v>236640</v>
      </c>
      <c r="H13" s="15">
        <v>1082000</v>
      </c>
      <c r="I13" s="15">
        <v>1006140</v>
      </c>
      <c r="J13" s="15">
        <v>1148100</v>
      </c>
      <c r="K13" s="15">
        <v>1061220</v>
      </c>
      <c r="L13" s="15">
        <v>1145040</v>
      </c>
      <c r="M13" s="15">
        <v>1530330</v>
      </c>
      <c r="N13" s="15">
        <v>1164910</v>
      </c>
      <c r="O13" s="15">
        <v>1169200</v>
      </c>
      <c r="P13" s="15">
        <v>772020</v>
      </c>
      <c r="Q13" s="15">
        <v>1199656</v>
      </c>
      <c r="R13" s="15">
        <v>1104997</v>
      </c>
      <c r="S13" s="15">
        <v>14000</v>
      </c>
      <c r="T13" s="15">
        <v>606412</v>
      </c>
      <c r="U13" s="15">
        <v>0</v>
      </c>
      <c r="V13" s="15">
        <v>0</v>
      </c>
      <c r="W13" s="15">
        <v>1618580</v>
      </c>
      <c r="X13" s="15">
        <v>1465171</v>
      </c>
      <c r="Y13" s="15">
        <v>1821761</v>
      </c>
      <c r="Z13" s="15">
        <v>1251120</v>
      </c>
      <c r="AA13" s="15">
        <v>1136122</v>
      </c>
      <c r="AB13" s="15">
        <v>1260709</v>
      </c>
      <c r="AC13" s="15">
        <v>618487</v>
      </c>
      <c r="AD13" s="17">
        <f>SUM(C13:AC13)</f>
        <v>26962805</v>
      </c>
      <c r="AE13" s="17">
        <f t="shared" si="0"/>
        <v>998622.40740740742</v>
      </c>
      <c r="AF13" s="14">
        <f>AD13/AD13</f>
        <v>1</v>
      </c>
    </row>
    <row r="14" spans="1:32" x14ac:dyDescent="0.15">
      <c r="A14" s="49" t="s">
        <v>68</v>
      </c>
      <c r="B14" s="54"/>
      <c r="C14" s="15">
        <v>0</v>
      </c>
      <c r="D14" s="15">
        <v>16300</v>
      </c>
      <c r="E14" s="15">
        <v>3910</v>
      </c>
      <c r="F14" s="15">
        <v>55120</v>
      </c>
      <c r="G14" s="15">
        <v>0</v>
      </c>
      <c r="H14" s="15">
        <v>131860</v>
      </c>
      <c r="I14" s="15">
        <v>0</v>
      </c>
      <c r="J14" s="15">
        <v>72800</v>
      </c>
      <c r="K14" s="15">
        <v>138780</v>
      </c>
      <c r="L14" s="15">
        <v>98400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29070</v>
      </c>
      <c r="AA14" s="15">
        <v>0</v>
      </c>
      <c r="AB14" s="15">
        <v>0</v>
      </c>
      <c r="AC14" s="15">
        <v>0</v>
      </c>
      <c r="AD14" s="17">
        <f>SUM(C14:AC14)</f>
        <v>546240</v>
      </c>
      <c r="AE14" s="17">
        <f t="shared" si="0"/>
        <v>20231.111111111109</v>
      </c>
      <c r="AF14" s="14"/>
    </row>
    <row r="15" spans="1:32" x14ac:dyDescent="0.15">
      <c r="A15" s="48" t="s">
        <v>69</v>
      </c>
      <c r="B15" s="48"/>
      <c r="C15" s="15">
        <f t="shared" ref="C15:AC15" si="1">SUM(C13/C11)</f>
        <v>250.2617230098146</v>
      </c>
      <c r="D15" s="15">
        <f t="shared" si="1"/>
        <v>218.60679904799119</v>
      </c>
      <c r="E15" s="15">
        <f t="shared" si="1"/>
        <v>261.53552734747501</v>
      </c>
      <c r="F15" s="15">
        <f t="shared" si="1"/>
        <v>222.15941532488296</v>
      </c>
      <c r="G15" s="15">
        <f t="shared" si="1"/>
        <v>319.30913506949128</v>
      </c>
      <c r="H15" s="15">
        <f t="shared" si="1"/>
        <v>203.15052289667861</v>
      </c>
      <c r="I15" s="15">
        <f t="shared" si="1"/>
        <v>285.90020459195273</v>
      </c>
      <c r="J15" s="15">
        <f t="shared" si="1"/>
        <v>197.99606801641775</v>
      </c>
      <c r="K15" s="15">
        <f t="shared" si="1"/>
        <v>222.09618684860408</v>
      </c>
      <c r="L15" s="15">
        <f t="shared" si="1"/>
        <v>231.84109822025144</v>
      </c>
      <c r="M15" s="15">
        <f t="shared" si="1"/>
        <v>178.88135593220338</v>
      </c>
      <c r="N15" s="15">
        <f t="shared" si="1"/>
        <v>185.15027734952398</v>
      </c>
      <c r="O15" s="15">
        <f t="shared" si="1"/>
        <v>183.01635751741409</v>
      </c>
      <c r="P15" s="15">
        <f t="shared" si="1"/>
        <v>192.16906456912432</v>
      </c>
      <c r="Q15" s="15">
        <f t="shared" si="1"/>
        <v>238.5950676213206</v>
      </c>
      <c r="R15" s="15">
        <f t="shared" si="1"/>
        <v>213.81934634958108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5" t="e">
        <f t="shared" si="1"/>
        <v>#DIV/0!</v>
      </c>
      <c r="W15" s="15">
        <f t="shared" si="1"/>
        <v>241.2550305559696</v>
      </c>
      <c r="X15" s="15">
        <f t="shared" si="1"/>
        <v>239.72038612565444</v>
      </c>
      <c r="Y15" s="15">
        <f t="shared" si="1"/>
        <v>213.39592362656671</v>
      </c>
      <c r="Z15" s="15">
        <f t="shared" si="1"/>
        <v>152.05639280505591</v>
      </c>
      <c r="AA15" s="15">
        <f t="shared" si="1"/>
        <v>239.03261098253734</v>
      </c>
      <c r="AB15" s="15">
        <f t="shared" si="1"/>
        <v>248.75868192580899</v>
      </c>
      <c r="AC15" s="15">
        <f t="shared" si="1"/>
        <v>230.26321667907669</v>
      </c>
      <c r="AD15" s="13">
        <f>SUM(AD13/AD11)</f>
        <v>221.16086712944849</v>
      </c>
      <c r="AE15" s="17" t="e">
        <f t="shared" si="0"/>
        <v>#DIV/0!</v>
      </c>
      <c r="AF15" s="14"/>
    </row>
    <row r="16" spans="1:32" x14ac:dyDescent="0.15">
      <c r="A16" s="49" t="s">
        <v>70</v>
      </c>
      <c r="B16" s="54"/>
      <c r="C16" s="22">
        <f t="shared" ref="C16:AD16" si="2">C13/(C12*24)</f>
        <v>4624.095374024012</v>
      </c>
      <c r="D16" s="22">
        <f t="shared" si="2"/>
        <v>5139.397313661354</v>
      </c>
      <c r="E16" s="22">
        <f t="shared" si="2"/>
        <v>5113.9226519337017</v>
      </c>
      <c r="F16" s="22">
        <f t="shared" si="2"/>
        <v>4677.1871243488713</v>
      </c>
      <c r="G16" s="22">
        <f t="shared" si="2"/>
        <v>4199.4676131322085</v>
      </c>
      <c r="H16" s="22">
        <f t="shared" si="2"/>
        <v>4638.136743587912</v>
      </c>
      <c r="I16" s="22">
        <f t="shared" si="2"/>
        <v>5812.4783362218359</v>
      </c>
      <c r="J16" s="22">
        <f t="shared" si="2"/>
        <v>4776.1214726478547</v>
      </c>
      <c r="K16" s="22">
        <f t="shared" si="2"/>
        <v>4834.7152619589979</v>
      </c>
      <c r="L16" s="22">
        <f t="shared" si="2"/>
        <v>5203.9387971519463</v>
      </c>
      <c r="M16" s="22">
        <f t="shared" si="2"/>
        <v>5982.5254104769347</v>
      </c>
      <c r="N16" s="22">
        <f t="shared" si="2"/>
        <v>5588.4384744543058</v>
      </c>
      <c r="O16" s="22">
        <f t="shared" si="2"/>
        <v>5274.9830814346933</v>
      </c>
      <c r="P16" s="22">
        <f t="shared" si="2"/>
        <v>5357.5294934073563</v>
      </c>
      <c r="Q16" s="22">
        <f t="shared" si="2"/>
        <v>7699.9743260590512</v>
      </c>
      <c r="R16" s="22">
        <f t="shared" si="2"/>
        <v>6222.4138901923989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2" t="e">
        <f t="shared" si="2"/>
        <v>#DIV/0!</v>
      </c>
      <c r="W16" s="22">
        <f t="shared" si="2"/>
        <v>7631.8113948919454</v>
      </c>
      <c r="X16" s="22">
        <f t="shared" si="2"/>
        <v>7976.6137374103982</v>
      </c>
      <c r="Y16" s="22">
        <f t="shared" si="2"/>
        <v>6848.2964726520895</v>
      </c>
      <c r="Z16" s="22">
        <f t="shared" si="2"/>
        <v>4613.5578636838545</v>
      </c>
      <c r="AA16" s="22">
        <f t="shared" si="2"/>
        <v>5191.7227722772286</v>
      </c>
      <c r="AB16" s="22">
        <f t="shared" si="2"/>
        <v>6466.2797059326367</v>
      </c>
      <c r="AC16" s="22">
        <f t="shared" si="2"/>
        <v>4924.91307232913</v>
      </c>
      <c r="AD16" s="24">
        <f t="shared" si="2"/>
        <v>5727.8908216699674</v>
      </c>
      <c r="AE16" s="24" t="e">
        <f t="shared" si="0"/>
        <v>#DIV/0!</v>
      </c>
      <c r="AF16" s="14"/>
    </row>
    <row r="17" spans="1:32" x14ac:dyDescent="0.15">
      <c r="A17" s="51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268100</v>
      </c>
      <c r="I17" s="15">
        <v>58860</v>
      </c>
      <c r="J17" s="15">
        <v>0</v>
      </c>
      <c r="K17" s="15">
        <v>0</v>
      </c>
      <c r="L17" s="15">
        <v>75708</v>
      </c>
      <c r="M17" s="15">
        <v>213500</v>
      </c>
      <c r="N17" s="15">
        <v>51246</v>
      </c>
      <c r="O17" s="15">
        <v>268500</v>
      </c>
      <c r="P17" s="15">
        <v>56375</v>
      </c>
      <c r="Q17" s="15">
        <v>56708</v>
      </c>
      <c r="R17" s="15">
        <v>0</v>
      </c>
      <c r="S17" s="15">
        <v>0</v>
      </c>
      <c r="T17" s="15">
        <v>0</v>
      </c>
      <c r="U17" s="15">
        <v>0</v>
      </c>
      <c r="V17" s="15">
        <v>44688</v>
      </c>
      <c r="W17" s="15">
        <v>0</v>
      </c>
      <c r="X17" s="15">
        <v>215200</v>
      </c>
      <c r="Y17" s="15">
        <v>0</v>
      </c>
      <c r="Z17" s="15">
        <v>0</v>
      </c>
      <c r="AA17" s="15">
        <v>0</v>
      </c>
      <c r="AB17" s="15">
        <v>0</v>
      </c>
      <c r="AC17" s="15">
        <v>0</v>
      </c>
      <c r="AD17" s="17">
        <f t="shared" ref="AD17:AD28" si="3">SUM(C17:AC17)</f>
        <v>1308885</v>
      </c>
      <c r="AE17" s="17">
        <f t="shared" si="0"/>
        <v>48477.222222222219</v>
      </c>
      <c r="AF17" s="14">
        <f>AD17/AD13</f>
        <v>4.8544096209574637E-2</v>
      </c>
    </row>
    <row r="18" spans="1:32" x14ac:dyDescent="0.15">
      <c r="A18" s="51"/>
      <c r="B18" s="12" t="s">
        <v>73</v>
      </c>
      <c r="C18" s="15">
        <v>4825</v>
      </c>
      <c r="D18" s="15">
        <v>4025</v>
      </c>
      <c r="E18" s="15">
        <v>4400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3633</v>
      </c>
      <c r="O18" s="15">
        <v>0</v>
      </c>
      <c r="P18" s="15">
        <v>4825</v>
      </c>
      <c r="Q18" s="15">
        <v>4825</v>
      </c>
      <c r="R18" s="15">
        <v>4825</v>
      </c>
      <c r="S18" s="15">
        <v>0</v>
      </c>
      <c r="T18" s="15">
        <v>0</v>
      </c>
      <c r="U18" s="15">
        <v>7075</v>
      </c>
      <c r="V18" s="15">
        <v>4400</v>
      </c>
      <c r="W18" s="15">
        <v>3241</v>
      </c>
      <c r="X18" s="15">
        <v>0</v>
      </c>
      <c r="Y18" s="15">
        <v>4417</v>
      </c>
      <c r="Z18" s="15">
        <v>4025</v>
      </c>
      <c r="AA18" s="15">
        <v>4417</v>
      </c>
      <c r="AB18" s="15">
        <v>4417</v>
      </c>
      <c r="AC18" s="15">
        <v>4825</v>
      </c>
      <c r="AD18" s="17">
        <f t="shared" si="3"/>
        <v>97650</v>
      </c>
      <c r="AE18" s="17">
        <f t="shared" si="0"/>
        <v>3616.6666666666665</v>
      </c>
      <c r="AF18" s="14">
        <f>AD18/AD13</f>
        <v>3.6216558329150101E-3</v>
      </c>
    </row>
    <row r="19" spans="1:32" x14ac:dyDescent="0.15">
      <c r="A19" s="51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0</v>
      </c>
      <c r="AA19" s="15">
        <v>0</v>
      </c>
      <c r="AB19" s="15">
        <v>0</v>
      </c>
      <c r="AC19" s="15">
        <v>0</v>
      </c>
      <c r="AD19" s="17">
        <f t="shared" si="3"/>
        <v>0</v>
      </c>
      <c r="AE19" s="17">
        <f t="shared" si="0"/>
        <v>0</v>
      </c>
      <c r="AF19" s="14">
        <f>AD19/AD13</f>
        <v>0</v>
      </c>
    </row>
    <row r="20" spans="1:32" x14ac:dyDescent="0.15">
      <c r="A20" s="51"/>
      <c r="B20" s="12" t="s">
        <v>75</v>
      </c>
      <c r="C20" s="15">
        <v>4950</v>
      </c>
      <c r="D20" s="15">
        <v>4766</v>
      </c>
      <c r="E20" s="15">
        <v>4950</v>
      </c>
      <c r="F20" s="15">
        <v>4766</v>
      </c>
      <c r="G20" s="15">
        <v>4950</v>
      </c>
      <c r="H20" s="15">
        <v>0</v>
      </c>
      <c r="I20" s="15">
        <v>8333</v>
      </c>
      <c r="J20" s="15">
        <v>4950</v>
      </c>
      <c r="K20" s="15">
        <v>4583</v>
      </c>
      <c r="L20" s="15">
        <v>4583</v>
      </c>
      <c r="M20" s="15">
        <v>5208</v>
      </c>
      <c r="N20" s="15">
        <v>4766</v>
      </c>
      <c r="O20" s="15">
        <v>0</v>
      </c>
      <c r="P20" s="15">
        <v>5208</v>
      </c>
      <c r="Q20" s="15">
        <v>5208</v>
      </c>
      <c r="R20" s="15">
        <v>4767</v>
      </c>
      <c r="S20" s="15">
        <v>0</v>
      </c>
      <c r="T20" s="15">
        <v>0</v>
      </c>
      <c r="U20" s="15">
        <v>0</v>
      </c>
      <c r="V20" s="15">
        <v>5133</v>
      </c>
      <c r="W20" s="15">
        <v>4550</v>
      </c>
      <c r="X20" s="15">
        <v>4583</v>
      </c>
      <c r="Y20" s="15">
        <v>4766</v>
      </c>
      <c r="Z20" s="15">
        <v>4583</v>
      </c>
      <c r="AA20" s="15">
        <v>4766</v>
      </c>
      <c r="AB20" s="15">
        <v>4766</v>
      </c>
      <c r="AC20" s="15">
        <v>4950</v>
      </c>
      <c r="AD20" s="17">
        <f t="shared" si="3"/>
        <v>110085</v>
      </c>
      <c r="AE20" s="17">
        <f t="shared" si="0"/>
        <v>4077.2222222222222</v>
      </c>
      <c r="AF20" s="14">
        <f>AD20/AD13</f>
        <v>4.0828467216226204E-3</v>
      </c>
    </row>
    <row r="21" spans="1:32" x14ac:dyDescent="0.15">
      <c r="A21" s="51"/>
      <c r="B21" s="12" t="s">
        <v>76</v>
      </c>
      <c r="C21" s="15">
        <v>31595</v>
      </c>
      <c r="D21" s="15">
        <v>22013</v>
      </c>
      <c r="E21" s="15">
        <v>37617</v>
      </c>
      <c r="F21" s="15">
        <v>57070</v>
      </c>
      <c r="G21" s="15">
        <v>33485</v>
      </c>
      <c r="H21" s="15">
        <v>0</v>
      </c>
      <c r="I21" s="15">
        <v>46653</v>
      </c>
      <c r="J21" s="15">
        <v>48980</v>
      </c>
      <c r="K21" s="15">
        <v>35664</v>
      </c>
      <c r="L21" s="15">
        <v>23249</v>
      </c>
      <c r="M21" s="15">
        <v>19417</v>
      </c>
      <c r="N21" s="15">
        <v>28932</v>
      </c>
      <c r="O21" s="15">
        <v>0</v>
      </c>
      <c r="P21" s="15">
        <v>22121</v>
      </c>
      <c r="Q21" s="15">
        <v>47267</v>
      </c>
      <c r="R21" s="15">
        <v>46352</v>
      </c>
      <c r="S21" s="15">
        <v>0</v>
      </c>
      <c r="T21" s="15">
        <v>0</v>
      </c>
      <c r="U21" s="15">
        <v>0</v>
      </c>
      <c r="V21" s="15">
        <v>26368</v>
      </c>
      <c r="W21" s="15">
        <v>49238</v>
      </c>
      <c r="X21" s="15">
        <v>31013</v>
      </c>
      <c r="Y21" s="15">
        <v>49888</v>
      </c>
      <c r="Z21" s="15">
        <v>27811</v>
      </c>
      <c r="AA21" s="15">
        <v>36771</v>
      </c>
      <c r="AB21" s="15">
        <v>37316</v>
      </c>
      <c r="AC21" s="15">
        <v>49900</v>
      </c>
      <c r="AD21" s="17">
        <f t="shared" si="3"/>
        <v>808720</v>
      </c>
      <c r="AE21" s="17">
        <f t="shared" si="0"/>
        <v>29952.592592592591</v>
      </c>
      <c r="AF21" s="14">
        <f>AD21/AD13</f>
        <v>2.9993911983564023E-2</v>
      </c>
    </row>
    <row r="22" spans="1:32" x14ac:dyDescent="0.15">
      <c r="A22" s="51"/>
      <c r="B22" s="25" t="s">
        <v>77</v>
      </c>
      <c r="C22" s="26">
        <f t="shared" ref="C22:AC22" si="4">SUM(C17:C21)</f>
        <v>41370</v>
      </c>
      <c r="D22" s="26">
        <f t="shared" si="4"/>
        <v>30804</v>
      </c>
      <c r="E22" s="26">
        <f t="shared" si="4"/>
        <v>46967</v>
      </c>
      <c r="F22" s="26">
        <f t="shared" si="4"/>
        <v>65861</v>
      </c>
      <c r="G22" s="26">
        <f t="shared" si="4"/>
        <v>43685</v>
      </c>
      <c r="H22" s="26">
        <f t="shared" si="4"/>
        <v>268100</v>
      </c>
      <c r="I22" s="26">
        <f t="shared" si="4"/>
        <v>120796</v>
      </c>
      <c r="J22" s="26">
        <f t="shared" si="4"/>
        <v>58330</v>
      </c>
      <c r="K22" s="26">
        <f t="shared" si="4"/>
        <v>44272</v>
      </c>
      <c r="L22" s="26">
        <f t="shared" si="4"/>
        <v>108365</v>
      </c>
      <c r="M22" s="26">
        <f t="shared" si="4"/>
        <v>238125</v>
      </c>
      <c r="N22" s="26">
        <f t="shared" si="4"/>
        <v>88577</v>
      </c>
      <c r="O22" s="26">
        <f t="shared" si="4"/>
        <v>268500</v>
      </c>
      <c r="P22" s="26">
        <f t="shared" si="4"/>
        <v>88529</v>
      </c>
      <c r="Q22" s="26">
        <f t="shared" si="4"/>
        <v>114008</v>
      </c>
      <c r="R22" s="26">
        <f t="shared" si="4"/>
        <v>55944</v>
      </c>
      <c r="S22" s="26">
        <f t="shared" si="4"/>
        <v>0</v>
      </c>
      <c r="T22" s="26">
        <f t="shared" si="4"/>
        <v>0</v>
      </c>
      <c r="U22" s="26">
        <f t="shared" si="4"/>
        <v>7075</v>
      </c>
      <c r="V22" s="26">
        <f t="shared" si="4"/>
        <v>80589</v>
      </c>
      <c r="W22" s="26">
        <f t="shared" si="4"/>
        <v>57029</v>
      </c>
      <c r="X22" s="26">
        <f t="shared" si="4"/>
        <v>250796</v>
      </c>
      <c r="Y22" s="26">
        <f t="shared" si="4"/>
        <v>59071</v>
      </c>
      <c r="Z22" s="26">
        <f t="shared" si="4"/>
        <v>36419</v>
      </c>
      <c r="AA22" s="26">
        <f t="shared" si="4"/>
        <v>45954</v>
      </c>
      <c r="AB22" s="26">
        <f t="shared" si="4"/>
        <v>46499</v>
      </c>
      <c r="AC22" s="26">
        <f t="shared" si="4"/>
        <v>59675</v>
      </c>
      <c r="AD22" s="28">
        <f t="shared" si="3"/>
        <v>2325340</v>
      </c>
      <c r="AE22" s="28">
        <f t="shared" si="0"/>
        <v>86123.703703703708</v>
      </c>
      <c r="AF22" s="29">
        <f>AD22/AD13</f>
        <v>8.624251074767629E-2</v>
      </c>
    </row>
    <row r="23" spans="1:32" x14ac:dyDescent="0.15">
      <c r="A23" s="51" t="s">
        <v>78</v>
      </c>
      <c r="B23" s="12" t="s">
        <v>79</v>
      </c>
      <c r="C23" s="15">
        <v>32640</v>
      </c>
      <c r="D23" s="15">
        <v>36600</v>
      </c>
      <c r="E23" s="15">
        <v>3969</v>
      </c>
      <c r="F23" s="15">
        <v>3969</v>
      </c>
      <c r="G23" s="15">
        <v>197994</v>
      </c>
      <c r="H23" s="15">
        <v>81500</v>
      </c>
      <c r="I23" s="15">
        <v>293300</v>
      </c>
      <c r="J23" s="15">
        <v>53122</v>
      </c>
      <c r="K23" s="15">
        <v>5400</v>
      </c>
      <c r="L23" s="15">
        <v>126460</v>
      </c>
      <c r="M23" s="15">
        <v>16560</v>
      </c>
      <c r="N23" s="15">
        <v>10100</v>
      </c>
      <c r="O23" s="15">
        <v>0</v>
      </c>
      <c r="P23" s="15">
        <v>360415</v>
      </c>
      <c r="Q23" s="15">
        <v>79527</v>
      </c>
      <c r="R23" s="15">
        <v>10975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  <c r="Y23" s="15">
        <v>147758</v>
      </c>
      <c r="Z23" s="15">
        <v>13300</v>
      </c>
      <c r="AA23" s="15">
        <v>0</v>
      </c>
      <c r="AB23" s="15">
        <v>0</v>
      </c>
      <c r="AC23" s="15">
        <v>23440</v>
      </c>
      <c r="AD23" s="17">
        <f t="shared" si="3"/>
        <v>1497029</v>
      </c>
      <c r="AE23" s="17">
        <f t="shared" si="0"/>
        <v>55445.518518518518</v>
      </c>
      <c r="AF23" s="14">
        <f>AD23/AD13</f>
        <v>5.5522005221637735E-2</v>
      </c>
    </row>
    <row r="24" spans="1:32" x14ac:dyDescent="0.15">
      <c r="A24" s="51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7">
        <f t="shared" si="3"/>
        <v>0</v>
      </c>
      <c r="AE24" s="17">
        <f t="shared" si="0"/>
        <v>0</v>
      </c>
      <c r="AF24" s="14">
        <f>AD24/AD13</f>
        <v>0</v>
      </c>
    </row>
    <row r="25" spans="1:32" x14ac:dyDescent="0.15">
      <c r="A25" s="51"/>
      <c r="B25" s="12" t="s">
        <v>81</v>
      </c>
      <c r="C25" s="15">
        <f t="shared" ref="C25:AC25" si="5">30000*C9/70000*C11</f>
        <v>12576</v>
      </c>
      <c r="D25" s="15">
        <f t="shared" si="5"/>
        <v>24129.428571428569</v>
      </c>
      <c r="E25" s="15">
        <f t="shared" si="5"/>
        <v>20223.857142857145</v>
      </c>
      <c r="F25" s="15">
        <f t="shared" si="5"/>
        <v>22518</v>
      </c>
      <c r="G25" s="15">
        <f t="shared" si="5"/>
        <v>3176.1428571428573</v>
      </c>
      <c r="H25" s="15">
        <f t="shared" si="5"/>
        <v>22826.142857142859</v>
      </c>
      <c r="I25" s="15">
        <f t="shared" si="5"/>
        <v>21115.199999999997</v>
      </c>
      <c r="J25" s="15">
        <f t="shared" si="5"/>
        <v>24851.142857142859</v>
      </c>
      <c r="K25" s="15">
        <f t="shared" si="5"/>
        <v>20478</v>
      </c>
      <c r="L25" s="15">
        <f t="shared" si="5"/>
        <v>21166.714285714286</v>
      </c>
      <c r="M25" s="15">
        <f t="shared" si="5"/>
        <v>36664.28571428571</v>
      </c>
      <c r="N25" s="15">
        <f t="shared" si="5"/>
        <v>26964.428571428569</v>
      </c>
      <c r="O25" s="15">
        <f t="shared" si="5"/>
        <v>27379.285714285714</v>
      </c>
      <c r="P25" s="15">
        <f t="shared" si="5"/>
        <v>17217.428571428572</v>
      </c>
      <c r="Q25" s="15">
        <f t="shared" si="5"/>
        <v>21548.571428571428</v>
      </c>
      <c r="R25" s="15">
        <f t="shared" si="5"/>
        <v>22148.142857142855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0</v>
      </c>
      <c r="W25" s="15">
        <f t="shared" si="5"/>
        <v>23002.285714285714</v>
      </c>
      <c r="X25" s="15">
        <f t="shared" si="5"/>
        <v>20955.428571428569</v>
      </c>
      <c r="Y25" s="15">
        <f t="shared" si="5"/>
        <v>29269.714285714283</v>
      </c>
      <c r="Z25" s="15">
        <f t="shared" si="5"/>
        <v>35262.857142857145</v>
      </c>
      <c r="AA25" s="15">
        <f t="shared" si="5"/>
        <v>20370</v>
      </c>
      <c r="AB25" s="15">
        <f t="shared" si="5"/>
        <v>21720</v>
      </c>
      <c r="AC25" s="15">
        <f t="shared" si="5"/>
        <v>11511.428571428571</v>
      </c>
      <c r="AD25" s="17">
        <f t="shared" si="3"/>
        <v>507074.48571428575</v>
      </c>
      <c r="AE25" s="17">
        <f t="shared" si="0"/>
        <v>18780.536507936511</v>
      </c>
      <c r="AF25" s="14">
        <f>AD25/AD13</f>
        <v>1.8806444126057573E-2</v>
      </c>
    </row>
    <row r="26" spans="1:32" x14ac:dyDescent="0.15">
      <c r="A26" s="51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  <c r="Y26" s="15">
        <v>0</v>
      </c>
      <c r="Z26" s="15">
        <v>0</v>
      </c>
      <c r="AA26" s="15">
        <v>0</v>
      </c>
      <c r="AB26" s="15">
        <v>0</v>
      </c>
      <c r="AC26" s="15">
        <v>0</v>
      </c>
      <c r="AD26" s="17">
        <f t="shared" si="3"/>
        <v>0</v>
      </c>
      <c r="AE26" s="17">
        <f t="shared" si="0"/>
        <v>0</v>
      </c>
      <c r="AF26" s="14">
        <f>AD26/AD13</f>
        <v>0</v>
      </c>
    </row>
    <row r="27" spans="1:32" x14ac:dyDescent="0.15">
      <c r="A27" s="51"/>
      <c r="B27" s="25" t="s">
        <v>82</v>
      </c>
      <c r="C27" s="26">
        <f t="shared" ref="C27:AC27" si="6">SUM(C23:C26)</f>
        <v>45216</v>
      </c>
      <c r="D27" s="26">
        <f t="shared" si="6"/>
        <v>60729.428571428565</v>
      </c>
      <c r="E27" s="26">
        <f t="shared" si="6"/>
        <v>24192.857142857145</v>
      </c>
      <c r="F27" s="26">
        <f t="shared" si="6"/>
        <v>26487</v>
      </c>
      <c r="G27" s="26">
        <f t="shared" si="6"/>
        <v>201170.14285714287</v>
      </c>
      <c r="H27" s="26">
        <f t="shared" si="6"/>
        <v>104326.14285714286</v>
      </c>
      <c r="I27" s="26">
        <f t="shared" si="6"/>
        <v>314415.2</v>
      </c>
      <c r="J27" s="26">
        <f t="shared" si="6"/>
        <v>77973.142857142855</v>
      </c>
      <c r="K27" s="26">
        <f t="shared" si="6"/>
        <v>25878</v>
      </c>
      <c r="L27" s="26">
        <f t="shared" si="6"/>
        <v>147626.71428571429</v>
      </c>
      <c r="M27" s="26">
        <f t="shared" si="6"/>
        <v>53224.28571428571</v>
      </c>
      <c r="N27" s="26">
        <f t="shared" si="6"/>
        <v>37064.428571428565</v>
      </c>
      <c r="O27" s="26">
        <f t="shared" si="6"/>
        <v>27379.285714285714</v>
      </c>
      <c r="P27" s="26">
        <f t="shared" si="6"/>
        <v>377632.42857142858</v>
      </c>
      <c r="Q27" s="26">
        <f t="shared" si="6"/>
        <v>101075.57142857142</v>
      </c>
      <c r="R27" s="26">
        <f t="shared" si="6"/>
        <v>33123.142857142855</v>
      </c>
      <c r="S27" s="26">
        <f t="shared" si="6"/>
        <v>0</v>
      </c>
      <c r="T27" s="26">
        <f t="shared" si="6"/>
        <v>0</v>
      </c>
      <c r="U27" s="26">
        <f t="shared" si="6"/>
        <v>0</v>
      </c>
      <c r="V27" s="26">
        <f t="shared" si="6"/>
        <v>0</v>
      </c>
      <c r="W27" s="26">
        <f t="shared" si="6"/>
        <v>23002.285714285714</v>
      </c>
      <c r="X27" s="26">
        <f t="shared" si="6"/>
        <v>20955.428571428569</v>
      </c>
      <c r="Y27" s="26">
        <f t="shared" si="6"/>
        <v>177027.71428571429</v>
      </c>
      <c r="Z27" s="26">
        <f t="shared" si="6"/>
        <v>48562.857142857145</v>
      </c>
      <c r="AA27" s="26">
        <f t="shared" si="6"/>
        <v>20370</v>
      </c>
      <c r="AB27" s="26">
        <f t="shared" si="6"/>
        <v>21720</v>
      </c>
      <c r="AC27" s="26">
        <f t="shared" si="6"/>
        <v>34951.428571428572</v>
      </c>
      <c r="AD27" s="28">
        <f t="shared" si="3"/>
        <v>2004103.4857142859</v>
      </c>
      <c r="AE27" s="28">
        <f t="shared" si="0"/>
        <v>74226.055026455026</v>
      </c>
      <c r="AF27" s="29">
        <f>AD27/AD13</f>
        <v>7.4328449347695308E-2</v>
      </c>
    </row>
    <row r="28" spans="1:32" x14ac:dyDescent="0.15">
      <c r="A28" s="51" t="s">
        <v>83</v>
      </c>
      <c r="B28" s="9" t="s">
        <v>84</v>
      </c>
      <c r="C28" s="30">
        <v>1051</v>
      </c>
      <c r="D28" s="30">
        <v>1625</v>
      </c>
      <c r="E28" s="30">
        <v>1112</v>
      </c>
      <c r="F28" s="30">
        <v>1390</v>
      </c>
      <c r="G28" s="30">
        <v>266</v>
      </c>
      <c r="H28" s="30">
        <v>1345</v>
      </c>
      <c r="I28" s="30">
        <v>1291</v>
      </c>
      <c r="J28" s="30">
        <v>1325</v>
      </c>
      <c r="K28" s="30">
        <v>1330</v>
      </c>
      <c r="L28" s="30">
        <v>1012</v>
      </c>
      <c r="M28" s="30">
        <v>2348</v>
      </c>
      <c r="N28" s="30">
        <v>1523</v>
      </c>
      <c r="O28" s="30">
        <v>1668</v>
      </c>
      <c r="P28" s="30">
        <v>1124</v>
      </c>
      <c r="Q28" s="30">
        <v>1335</v>
      </c>
      <c r="R28" s="30">
        <v>1290</v>
      </c>
      <c r="S28" s="30">
        <v>0</v>
      </c>
      <c r="T28" s="30">
        <v>0</v>
      </c>
      <c r="U28" s="30">
        <v>0</v>
      </c>
      <c r="V28" s="30">
        <v>0</v>
      </c>
      <c r="W28" s="30">
        <v>1652</v>
      </c>
      <c r="X28" s="30">
        <v>1513</v>
      </c>
      <c r="Y28" s="30">
        <v>2199</v>
      </c>
      <c r="Z28" s="30">
        <v>2050</v>
      </c>
      <c r="AA28" s="30">
        <v>1263</v>
      </c>
      <c r="AB28" s="30">
        <v>1352</v>
      </c>
      <c r="AC28" s="30">
        <v>662</v>
      </c>
      <c r="AD28" s="32">
        <f t="shared" si="3"/>
        <v>31726</v>
      </c>
      <c r="AE28" s="32">
        <f t="shared" si="0"/>
        <v>1175.037037037037</v>
      </c>
      <c r="AF28" s="11">
        <f>AD28/AD13</f>
        <v>1.1766579923713427E-3</v>
      </c>
    </row>
    <row r="29" spans="1:32" x14ac:dyDescent="0.15">
      <c r="A29" s="51"/>
      <c r="B29" s="33" t="s">
        <v>85</v>
      </c>
      <c r="C29" s="34">
        <f t="shared" ref="C29:AD29" si="7">SUM(C11/C28)</f>
        <v>3.4900095147478591</v>
      </c>
      <c r="D29" s="34">
        <f t="shared" si="7"/>
        <v>3.4647384615384613</v>
      </c>
      <c r="E29" s="34">
        <f t="shared" si="7"/>
        <v>4.2436151079136692</v>
      </c>
      <c r="F29" s="34">
        <f t="shared" si="7"/>
        <v>3.78</v>
      </c>
      <c r="G29" s="34">
        <f t="shared" si="7"/>
        <v>2.78609022556391</v>
      </c>
      <c r="H29" s="34">
        <f t="shared" si="7"/>
        <v>3.9599256505576212</v>
      </c>
      <c r="I29" s="34">
        <f t="shared" si="7"/>
        <v>2.7259488768396589</v>
      </c>
      <c r="J29" s="34">
        <f t="shared" si="7"/>
        <v>4.3763018867924535</v>
      </c>
      <c r="K29" s="34">
        <f t="shared" si="7"/>
        <v>3.5926315789473682</v>
      </c>
      <c r="L29" s="34">
        <f t="shared" si="7"/>
        <v>4.8803359683794474</v>
      </c>
      <c r="M29" s="34">
        <f t="shared" si="7"/>
        <v>3.643526405451448</v>
      </c>
      <c r="N29" s="34">
        <f t="shared" si="7"/>
        <v>4.1311227839789888</v>
      </c>
      <c r="O29" s="34">
        <f t="shared" si="7"/>
        <v>3.8300359712230216</v>
      </c>
      <c r="P29" s="34">
        <f t="shared" si="7"/>
        <v>3.5741992882562279</v>
      </c>
      <c r="Q29" s="34">
        <f t="shared" si="7"/>
        <v>3.7662921348314606</v>
      </c>
      <c r="R29" s="34">
        <f t="shared" si="7"/>
        <v>4.0061240310077517</v>
      </c>
      <c r="S29" s="34" t="e">
        <f t="shared" si="7"/>
        <v>#DIV/0!</v>
      </c>
      <c r="T29" s="34" t="e">
        <f t="shared" si="7"/>
        <v>#DIV/0!</v>
      </c>
      <c r="U29" s="34" t="e">
        <f t="shared" si="7"/>
        <v>#DIV/0!</v>
      </c>
      <c r="V29" s="34" t="e">
        <f t="shared" si="7"/>
        <v>#DIV/0!</v>
      </c>
      <c r="W29" s="34">
        <f t="shared" si="7"/>
        <v>4.0611380145278453</v>
      </c>
      <c r="X29" s="34">
        <f t="shared" si="7"/>
        <v>4.0396563119629878</v>
      </c>
      <c r="Y29" s="34">
        <f t="shared" si="7"/>
        <v>3.8822191905411549</v>
      </c>
      <c r="Z29" s="34">
        <f t="shared" si="7"/>
        <v>4.0136585365853659</v>
      </c>
      <c r="AA29" s="34">
        <f t="shared" si="7"/>
        <v>3.7632620744259699</v>
      </c>
      <c r="AB29" s="34">
        <f t="shared" si="7"/>
        <v>3.7485207100591715</v>
      </c>
      <c r="AC29" s="34">
        <f t="shared" si="7"/>
        <v>4.0574018126888216</v>
      </c>
      <c r="AD29" s="36">
        <f t="shared" si="7"/>
        <v>3.8427441215406919</v>
      </c>
      <c r="AE29" s="36" t="e">
        <f t="shared" si="0"/>
        <v>#DIV/0!</v>
      </c>
      <c r="AF29" s="33">
        <f>AD29/AD13</f>
        <v>1.4252019111293102E-7</v>
      </c>
    </row>
    <row r="30" spans="1:32" x14ac:dyDescent="0.15">
      <c r="A30" s="51"/>
      <c r="B30" s="12" t="s">
        <v>86</v>
      </c>
      <c r="C30" s="15">
        <v>125878</v>
      </c>
      <c r="D30" s="15">
        <v>194626</v>
      </c>
      <c r="E30" s="15">
        <v>133184</v>
      </c>
      <c r="F30" s="15">
        <v>166480</v>
      </c>
      <c r="G30" s="15">
        <v>31859</v>
      </c>
      <c r="H30" s="15">
        <v>161091</v>
      </c>
      <c r="I30" s="15">
        <v>154623</v>
      </c>
      <c r="J30" s="15">
        <v>158695</v>
      </c>
      <c r="K30" s="15">
        <v>159294</v>
      </c>
      <c r="L30" s="15">
        <v>121207</v>
      </c>
      <c r="M30" s="15">
        <v>281220</v>
      </c>
      <c r="N30" s="15">
        <v>182410</v>
      </c>
      <c r="O30" s="15">
        <v>199776</v>
      </c>
      <c r="P30" s="15">
        <v>134621</v>
      </c>
      <c r="Q30" s="15">
        <v>159893</v>
      </c>
      <c r="R30" s="15">
        <v>154503</v>
      </c>
      <c r="S30" s="15">
        <v>0</v>
      </c>
      <c r="T30" s="15">
        <v>0</v>
      </c>
      <c r="U30" s="15">
        <v>0</v>
      </c>
      <c r="V30" s="15">
        <v>0</v>
      </c>
      <c r="W30" s="15">
        <v>197860</v>
      </c>
      <c r="X30" s="15">
        <v>181212</v>
      </c>
      <c r="Y30" s="15">
        <v>263374</v>
      </c>
      <c r="Z30" s="15">
        <v>245529</v>
      </c>
      <c r="AA30" s="15">
        <v>151270</v>
      </c>
      <c r="AB30" s="15">
        <v>161929</v>
      </c>
      <c r="AC30" s="15">
        <v>79288</v>
      </c>
      <c r="AD30" s="17">
        <f t="shared" ref="AD30:AD42" si="8">SUM(C30:AC30)</f>
        <v>3799822</v>
      </c>
      <c r="AE30" s="17">
        <f t="shared" si="0"/>
        <v>140734.14814814815</v>
      </c>
      <c r="AF30" s="14">
        <f>AD30/AD13</f>
        <v>0.14092828991642375</v>
      </c>
    </row>
    <row r="31" spans="1:32" x14ac:dyDescent="0.15">
      <c r="A31" s="51"/>
      <c r="B31" s="12" t="s">
        <v>87</v>
      </c>
      <c r="C31" s="15">
        <v>10650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9585</v>
      </c>
      <c r="L31" s="15">
        <v>0</v>
      </c>
      <c r="M31" s="15">
        <v>0</v>
      </c>
      <c r="N31" s="15">
        <v>11005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  <c r="Y31" s="15">
        <v>0</v>
      </c>
      <c r="Z31" s="15">
        <v>0</v>
      </c>
      <c r="AA31" s="15">
        <v>0</v>
      </c>
      <c r="AB31" s="15">
        <v>0</v>
      </c>
      <c r="AC31" s="15">
        <v>0</v>
      </c>
      <c r="AD31" s="17">
        <f t="shared" si="8"/>
        <v>31240</v>
      </c>
      <c r="AE31" s="17">
        <f t="shared" si="0"/>
        <v>1157.037037037037</v>
      </c>
      <c r="AF31" s="14">
        <f>AD31/AD13</f>
        <v>1.1586331614978486E-3</v>
      </c>
    </row>
    <row r="32" spans="1:32" x14ac:dyDescent="0.15">
      <c r="A32" s="51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  <c r="Y32" s="15">
        <v>0</v>
      </c>
      <c r="Z32" s="15">
        <v>0</v>
      </c>
      <c r="AA32" s="15">
        <v>0</v>
      </c>
      <c r="AB32" s="15">
        <v>0</v>
      </c>
      <c r="AC32" s="15">
        <v>0</v>
      </c>
      <c r="AD32" s="17">
        <f t="shared" si="8"/>
        <v>0</v>
      </c>
      <c r="AE32" s="17">
        <f t="shared" si="0"/>
        <v>0</v>
      </c>
      <c r="AF32" s="14">
        <f>AD32/AD13</f>
        <v>0</v>
      </c>
    </row>
    <row r="33" spans="1:32" x14ac:dyDescent="0.15">
      <c r="A33" s="51"/>
      <c r="B33" s="25" t="s">
        <v>89</v>
      </c>
      <c r="C33" s="26">
        <f t="shared" ref="C33:AC33" si="9">SUM(C30:C32)</f>
        <v>136528</v>
      </c>
      <c r="D33" s="26">
        <f t="shared" si="9"/>
        <v>194626</v>
      </c>
      <c r="E33" s="26">
        <f t="shared" si="9"/>
        <v>133184</v>
      </c>
      <c r="F33" s="26">
        <f t="shared" si="9"/>
        <v>166480</v>
      </c>
      <c r="G33" s="26">
        <f t="shared" si="9"/>
        <v>31859</v>
      </c>
      <c r="H33" s="26">
        <f t="shared" si="9"/>
        <v>161091</v>
      </c>
      <c r="I33" s="26">
        <f t="shared" si="9"/>
        <v>154623</v>
      </c>
      <c r="J33" s="26">
        <f t="shared" si="9"/>
        <v>158695</v>
      </c>
      <c r="K33" s="26">
        <f t="shared" si="9"/>
        <v>168879</v>
      </c>
      <c r="L33" s="26">
        <f t="shared" si="9"/>
        <v>121207</v>
      </c>
      <c r="M33" s="26">
        <f t="shared" si="9"/>
        <v>281220</v>
      </c>
      <c r="N33" s="26">
        <f t="shared" si="9"/>
        <v>193415</v>
      </c>
      <c r="O33" s="26">
        <f t="shared" si="9"/>
        <v>199776</v>
      </c>
      <c r="P33" s="26">
        <f t="shared" si="9"/>
        <v>134621</v>
      </c>
      <c r="Q33" s="26">
        <f t="shared" si="9"/>
        <v>159893</v>
      </c>
      <c r="R33" s="26">
        <f t="shared" si="9"/>
        <v>154503</v>
      </c>
      <c r="S33" s="26">
        <f t="shared" si="9"/>
        <v>0</v>
      </c>
      <c r="T33" s="26">
        <f t="shared" si="9"/>
        <v>0</v>
      </c>
      <c r="U33" s="26">
        <f t="shared" si="9"/>
        <v>0</v>
      </c>
      <c r="V33" s="26">
        <f t="shared" si="9"/>
        <v>0</v>
      </c>
      <c r="W33" s="26">
        <f t="shared" si="9"/>
        <v>197860</v>
      </c>
      <c r="X33" s="26">
        <f t="shared" si="9"/>
        <v>181212</v>
      </c>
      <c r="Y33" s="26">
        <f t="shared" si="9"/>
        <v>263374</v>
      </c>
      <c r="Z33" s="26">
        <f t="shared" si="9"/>
        <v>245529</v>
      </c>
      <c r="AA33" s="26">
        <f t="shared" si="9"/>
        <v>151270</v>
      </c>
      <c r="AB33" s="26">
        <f t="shared" si="9"/>
        <v>161929</v>
      </c>
      <c r="AC33" s="26">
        <f t="shared" si="9"/>
        <v>79288</v>
      </c>
      <c r="AD33" s="28">
        <f t="shared" si="8"/>
        <v>3831062</v>
      </c>
      <c r="AE33" s="28">
        <f t="shared" si="0"/>
        <v>141891.1851851852</v>
      </c>
      <c r="AF33" s="29">
        <f>AD33/AD13</f>
        <v>0.14208692307792159</v>
      </c>
    </row>
    <row r="34" spans="1:32" x14ac:dyDescent="0.15">
      <c r="A34" s="51" t="s">
        <v>90</v>
      </c>
      <c r="B34" s="12" t="s">
        <v>91</v>
      </c>
      <c r="C34" s="15">
        <v>2012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0</v>
      </c>
      <c r="P34" s="15">
        <v>2008</v>
      </c>
      <c r="Q34" s="15">
        <v>2008</v>
      </c>
      <c r="R34" s="15">
        <v>2008</v>
      </c>
      <c r="S34" s="15">
        <v>0</v>
      </c>
      <c r="T34" s="15">
        <v>0</v>
      </c>
      <c r="U34" s="15">
        <v>0</v>
      </c>
      <c r="V34" s="15">
        <v>2008</v>
      </c>
      <c r="W34" s="15">
        <v>2008</v>
      </c>
      <c r="X34" s="15">
        <v>2008</v>
      </c>
      <c r="Y34" s="15">
        <v>2008</v>
      </c>
      <c r="Z34" s="15">
        <v>2008</v>
      </c>
      <c r="AA34" s="15">
        <v>2012</v>
      </c>
      <c r="AB34" s="15">
        <v>2008</v>
      </c>
      <c r="AC34" s="15">
        <v>2625</v>
      </c>
      <c r="AD34" s="17">
        <f t="shared" si="8"/>
        <v>45244</v>
      </c>
      <c r="AE34" s="17">
        <f t="shared" si="0"/>
        <v>1675.7037037037037</v>
      </c>
      <c r="AF34" s="14">
        <f>AD34/AD13</f>
        <v>1.6780153251859367E-3</v>
      </c>
    </row>
    <row r="35" spans="1:32" x14ac:dyDescent="0.15">
      <c r="A35" s="51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  <c r="Y35" s="15">
        <v>0</v>
      </c>
      <c r="Z35" s="15">
        <v>0</v>
      </c>
      <c r="AA35" s="15">
        <v>0</v>
      </c>
      <c r="AB35" s="15">
        <v>0</v>
      </c>
      <c r="AC35" s="15">
        <v>0</v>
      </c>
      <c r="AD35" s="17">
        <f t="shared" si="8"/>
        <v>0</v>
      </c>
      <c r="AE35" s="17">
        <f t="shared" si="0"/>
        <v>0</v>
      </c>
      <c r="AF35" s="14">
        <f>AD35/AD13</f>
        <v>0</v>
      </c>
    </row>
    <row r="36" spans="1:32" x14ac:dyDescent="0.15">
      <c r="A36" s="51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  <c r="Y36" s="15">
        <v>0</v>
      </c>
      <c r="Z36" s="15">
        <v>0</v>
      </c>
      <c r="AA36" s="15">
        <v>0</v>
      </c>
      <c r="AB36" s="15">
        <v>0</v>
      </c>
      <c r="AC36" s="15">
        <v>0</v>
      </c>
      <c r="AD36" s="17">
        <f t="shared" si="8"/>
        <v>0</v>
      </c>
      <c r="AE36" s="17">
        <f t="shared" si="0"/>
        <v>0</v>
      </c>
      <c r="AF36" s="14">
        <f>AD36/AD13</f>
        <v>0</v>
      </c>
    </row>
    <row r="37" spans="1:32" x14ac:dyDescent="0.15">
      <c r="A37" s="51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  <c r="Y37" s="15">
        <v>0</v>
      </c>
      <c r="Z37" s="15">
        <v>0</v>
      </c>
      <c r="AA37" s="15">
        <v>0</v>
      </c>
      <c r="AB37" s="15">
        <v>0</v>
      </c>
      <c r="AC37" s="15">
        <v>0</v>
      </c>
      <c r="AD37" s="17">
        <f t="shared" si="8"/>
        <v>0</v>
      </c>
      <c r="AE37" s="17">
        <f t="shared" si="0"/>
        <v>0</v>
      </c>
      <c r="AF37" s="14">
        <f>AD37/AD13</f>
        <v>0</v>
      </c>
    </row>
    <row r="38" spans="1:32" x14ac:dyDescent="0.15">
      <c r="A38" s="51"/>
      <c r="B38" s="12" t="s">
        <v>92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10718</v>
      </c>
      <c r="I38" s="15">
        <v>10690</v>
      </c>
      <c r="J38" s="15">
        <v>5366</v>
      </c>
      <c r="K38" s="15">
        <v>5366</v>
      </c>
      <c r="L38" s="15">
        <v>7671</v>
      </c>
      <c r="M38" s="15">
        <v>8639</v>
      </c>
      <c r="N38" s="15">
        <v>5366</v>
      </c>
      <c r="O38" s="15">
        <v>5576</v>
      </c>
      <c r="P38" s="15">
        <v>7624</v>
      </c>
      <c r="Q38" s="15">
        <v>6832</v>
      </c>
      <c r="R38" s="15">
        <v>4621</v>
      </c>
      <c r="S38" s="15">
        <v>0</v>
      </c>
      <c r="T38" s="15">
        <v>0</v>
      </c>
      <c r="U38" s="15">
        <v>0</v>
      </c>
      <c r="V38" s="15">
        <v>5366</v>
      </c>
      <c r="W38" s="15">
        <v>5366</v>
      </c>
      <c r="X38" s="15">
        <v>10370</v>
      </c>
      <c r="Y38" s="15">
        <v>5366</v>
      </c>
      <c r="Z38" s="15">
        <v>5366</v>
      </c>
      <c r="AA38" s="15">
        <v>4621</v>
      </c>
      <c r="AB38" s="15">
        <v>4621</v>
      </c>
      <c r="AC38" s="15">
        <v>4621</v>
      </c>
      <c r="AD38" s="17">
        <f t="shared" si="8"/>
        <v>150996</v>
      </c>
      <c r="AE38" s="17">
        <f t="shared" si="0"/>
        <v>5592.4444444444443</v>
      </c>
      <c r="AF38" s="14">
        <f>AD38/AD13</f>
        <v>5.6001591822512535E-3</v>
      </c>
    </row>
    <row r="39" spans="1:32" x14ac:dyDescent="0.15">
      <c r="A39" s="51"/>
      <c r="B39" s="25" t="s">
        <v>93</v>
      </c>
      <c r="C39" s="26">
        <f t="shared" ref="C39:AC39" si="10">SUM(C34:C38)</f>
        <v>7378</v>
      </c>
      <c r="D39" s="26">
        <f t="shared" si="10"/>
        <v>7374</v>
      </c>
      <c r="E39" s="26">
        <f t="shared" si="10"/>
        <v>7374</v>
      </c>
      <c r="F39" s="26">
        <f t="shared" si="10"/>
        <v>7374</v>
      </c>
      <c r="G39" s="26">
        <f t="shared" si="10"/>
        <v>7374</v>
      </c>
      <c r="H39" s="26">
        <f t="shared" si="10"/>
        <v>10718</v>
      </c>
      <c r="I39" s="26">
        <f t="shared" si="10"/>
        <v>13141</v>
      </c>
      <c r="J39" s="26">
        <f t="shared" si="10"/>
        <v>7374</v>
      </c>
      <c r="K39" s="26">
        <f t="shared" si="10"/>
        <v>7374</v>
      </c>
      <c r="L39" s="26">
        <f t="shared" si="10"/>
        <v>9679</v>
      </c>
      <c r="M39" s="26">
        <f t="shared" si="10"/>
        <v>10647</v>
      </c>
      <c r="N39" s="26">
        <f t="shared" si="10"/>
        <v>7374</v>
      </c>
      <c r="O39" s="26">
        <f t="shared" si="10"/>
        <v>5576</v>
      </c>
      <c r="P39" s="26">
        <f t="shared" si="10"/>
        <v>9632</v>
      </c>
      <c r="Q39" s="26">
        <f t="shared" si="10"/>
        <v>8840</v>
      </c>
      <c r="R39" s="26">
        <f t="shared" si="10"/>
        <v>6629</v>
      </c>
      <c r="S39" s="26">
        <f t="shared" si="10"/>
        <v>0</v>
      </c>
      <c r="T39" s="26">
        <f t="shared" si="10"/>
        <v>0</v>
      </c>
      <c r="U39" s="26">
        <f t="shared" si="10"/>
        <v>0</v>
      </c>
      <c r="V39" s="26">
        <f t="shared" si="10"/>
        <v>7374</v>
      </c>
      <c r="W39" s="26">
        <f t="shared" si="10"/>
        <v>7374</v>
      </c>
      <c r="X39" s="26">
        <f t="shared" si="10"/>
        <v>12378</v>
      </c>
      <c r="Y39" s="26">
        <f t="shared" si="10"/>
        <v>7374</v>
      </c>
      <c r="Z39" s="26">
        <f t="shared" si="10"/>
        <v>7374</v>
      </c>
      <c r="AA39" s="26">
        <f t="shared" si="10"/>
        <v>6633</v>
      </c>
      <c r="AB39" s="26">
        <f t="shared" si="10"/>
        <v>6629</v>
      </c>
      <c r="AC39" s="26">
        <f t="shared" si="10"/>
        <v>7246</v>
      </c>
      <c r="AD39" s="28">
        <f t="shared" si="8"/>
        <v>196240</v>
      </c>
      <c r="AE39" s="28">
        <f t="shared" si="0"/>
        <v>7268.1481481481478</v>
      </c>
      <c r="AF39" s="29">
        <f>AD39/AD13</f>
        <v>7.2781745074371896E-3</v>
      </c>
    </row>
    <row r="40" spans="1:32" x14ac:dyDescent="0.15">
      <c r="A40" s="51" t="s">
        <v>94</v>
      </c>
      <c r="B40" s="12" t="s">
        <v>95</v>
      </c>
      <c r="C40" s="15">
        <v>17390</v>
      </c>
      <c r="D40" s="15">
        <v>106700</v>
      </c>
      <c r="E40" s="15">
        <v>86040</v>
      </c>
      <c r="F40" s="15">
        <v>72560</v>
      </c>
      <c r="G40" s="15">
        <v>11300</v>
      </c>
      <c r="H40" s="15">
        <v>98150</v>
      </c>
      <c r="I40" s="15">
        <v>143370</v>
      </c>
      <c r="J40" s="15">
        <v>109710</v>
      </c>
      <c r="K40" s="15">
        <v>67060</v>
      </c>
      <c r="L40" s="15">
        <v>85080</v>
      </c>
      <c r="M40" s="15">
        <v>232240</v>
      </c>
      <c r="N40" s="15">
        <v>141030</v>
      </c>
      <c r="O40" s="15">
        <v>165110</v>
      </c>
      <c r="P40" s="15">
        <v>105990</v>
      </c>
      <c r="Q40" s="15">
        <v>126560</v>
      </c>
      <c r="R40" s="15">
        <v>102770</v>
      </c>
      <c r="S40" s="15">
        <v>0</v>
      </c>
      <c r="T40" s="15">
        <v>0</v>
      </c>
      <c r="U40" s="15">
        <v>0</v>
      </c>
      <c r="V40" s="15">
        <v>0</v>
      </c>
      <c r="W40" s="15">
        <v>120200</v>
      </c>
      <c r="X40" s="15">
        <v>113130</v>
      </c>
      <c r="Y40" s="15">
        <v>268090</v>
      </c>
      <c r="Z40" s="15">
        <v>170570</v>
      </c>
      <c r="AA40" s="15">
        <v>45400</v>
      </c>
      <c r="AB40" s="15">
        <v>67470</v>
      </c>
      <c r="AC40" s="15">
        <v>24710</v>
      </c>
      <c r="AD40" s="17">
        <f t="shared" si="8"/>
        <v>2480630</v>
      </c>
      <c r="AE40" s="17">
        <f t="shared" si="0"/>
        <v>91875.185185185182</v>
      </c>
      <c r="AF40" s="14">
        <f>AD40/AD13</f>
        <v>9.2001926357439437E-2</v>
      </c>
    </row>
    <row r="41" spans="1:32" x14ac:dyDescent="0.15">
      <c r="A41" s="51"/>
      <c r="B41" s="12" t="s">
        <v>96</v>
      </c>
      <c r="C41" s="15">
        <v>520</v>
      </c>
      <c r="D41" s="15">
        <v>-38683</v>
      </c>
      <c r="E41" s="15">
        <v>-36834</v>
      </c>
      <c r="F41" s="15">
        <v>-33287</v>
      </c>
      <c r="G41" s="15">
        <v>-2237</v>
      </c>
      <c r="H41" s="15">
        <v>-41792</v>
      </c>
      <c r="I41" s="15">
        <v>-55181</v>
      </c>
      <c r="J41" s="15">
        <v>-53590</v>
      </c>
      <c r="K41" s="15">
        <v>-35120</v>
      </c>
      <c r="L41" s="15">
        <v>-35569</v>
      </c>
      <c r="M41" s="15">
        <v>-74450</v>
      </c>
      <c r="N41" s="15">
        <v>-60673</v>
      </c>
      <c r="O41" s="15">
        <v>-65142</v>
      </c>
      <c r="P41" s="15">
        <v>-33855</v>
      </c>
      <c r="Q41" s="15">
        <v>-101500</v>
      </c>
      <c r="R41" s="15">
        <v>-101500</v>
      </c>
      <c r="S41" s="15">
        <v>0</v>
      </c>
      <c r="T41" s="15">
        <v>0</v>
      </c>
      <c r="U41" s="15">
        <v>0</v>
      </c>
      <c r="V41" s="15">
        <v>0</v>
      </c>
      <c r="W41" s="15">
        <v>-120200</v>
      </c>
      <c r="X41" s="15">
        <v>-109250</v>
      </c>
      <c r="Y41" s="15">
        <v>-231944</v>
      </c>
      <c r="Z41" s="15">
        <v>0</v>
      </c>
      <c r="AA41" s="15">
        <v>0</v>
      </c>
      <c r="AB41" s="15">
        <v>0</v>
      </c>
      <c r="AC41" s="15">
        <v>0</v>
      </c>
      <c r="AD41" s="17">
        <f t="shared" si="8"/>
        <v>-1230287</v>
      </c>
      <c r="AE41" s="17">
        <f t="shared" si="0"/>
        <v>-45566.185185185182</v>
      </c>
      <c r="AF41" s="14">
        <f>AD41/AD13</f>
        <v>-4.5629043417404085E-2</v>
      </c>
    </row>
    <row r="42" spans="1:32" x14ac:dyDescent="0.15">
      <c r="A42" s="51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7">
        <f t="shared" si="8"/>
        <v>0</v>
      </c>
      <c r="AE42" s="17">
        <f t="shared" si="0"/>
        <v>0</v>
      </c>
      <c r="AF42" s="14">
        <f>AD42/AD13</f>
        <v>0</v>
      </c>
    </row>
    <row r="43" spans="1:32" x14ac:dyDescent="0.15">
      <c r="A43" s="51"/>
      <c r="B43" s="12" t="s">
        <v>98</v>
      </c>
      <c r="C43" s="15">
        <v>-5564.8</v>
      </c>
      <c r="D43" s="15">
        <v>-34144</v>
      </c>
      <c r="E43" s="15">
        <v>-27532.799999999999</v>
      </c>
      <c r="F43" s="15">
        <v>-23219.200000000001</v>
      </c>
      <c r="G43" s="15">
        <v>-3616</v>
      </c>
      <c r="H43" s="15">
        <v>-31408</v>
      </c>
      <c r="I43" s="15">
        <v>-45878.400000000001</v>
      </c>
      <c r="J43" s="15">
        <v>-35107.199999999997</v>
      </c>
      <c r="K43" s="15">
        <v>-21459.200000000001</v>
      </c>
      <c r="L43" s="15">
        <v>-27225.599999999999</v>
      </c>
      <c r="M43" s="15">
        <v>-74316.800000000003</v>
      </c>
      <c r="N43" s="15">
        <v>-45129.599999999999</v>
      </c>
      <c r="O43" s="15">
        <v>-52835.199999999997</v>
      </c>
      <c r="P43" s="15">
        <v>-33916.800000000003</v>
      </c>
      <c r="Q43" s="15">
        <v>-40499.199999999997</v>
      </c>
      <c r="R43" s="15">
        <v>-32886.400000000001</v>
      </c>
      <c r="S43" s="15">
        <v>0</v>
      </c>
      <c r="T43" s="15">
        <v>0</v>
      </c>
      <c r="U43" s="15">
        <v>0</v>
      </c>
      <c r="V43" s="15">
        <v>0</v>
      </c>
      <c r="W43" s="15">
        <v>-38464</v>
      </c>
      <c r="X43" s="15">
        <v>-36201.599999999999</v>
      </c>
      <c r="Y43" s="15">
        <v>-85788.800000000003</v>
      </c>
      <c r="Z43" s="15">
        <v>-54582.400000000001</v>
      </c>
      <c r="AA43" s="15">
        <v>-14528</v>
      </c>
      <c r="AB43" s="15">
        <v>-21590.400000000001</v>
      </c>
      <c r="AC43" s="15">
        <v>-7907.2</v>
      </c>
      <c r="AD43" s="17">
        <f>SUM(C43:AC43)</f>
        <v>-793801.60000000009</v>
      </c>
      <c r="AE43" s="17">
        <f>AVERAGE(B43:AC43)</f>
        <v>-29400.059259259262</v>
      </c>
      <c r="AF43" s="14">
        <f>AD43/AD13</f>
        <v>-2.9440616434380625E-2</v>
      </c>
    </row>
    <row r="44" spans="1:32" x14ac:dyDescent="0.15">
      <c r="A44" s="51"/>
      <c r="B44" s="25" t="s">
        <v>99</v>
      </c>
      <c r="C44" s="26">
        <f t="shared" ref="C44:AD44" si="11">SUM(C40:C43)</f>
        <v>12345.2</v>
      </c>
      <c r="D44" s="26">
        <f t="shared" si="11"/>
        <v>33873</v>
      </c>
      <c r="E44" s="26">
        <f t="shared" si="11"/>
        <v>21673.200000000001</v>
      </c>
      <c r="F44" s="26">
        <f t="shared" si="11"/>
        <v>16053.8</v>
      </c>
      <c r="G44" s="26">
        <f t="shared" si="11"/>
        <v>5447</v>
      </c>
      <c r="H44" s="26">
        <f t="shared" si="11"/>
        <v>24950</v>
      </c>
      <c r="I44" s="26">
        <f t="shared" si="11"/>
        <v>42310.6</v>
      </c>
      <c r="J44" s="26">
        <f t="shared" si="11"/>
        <v>21012.800000000003</v>
      </c>
      <c r="K44" s="26">
        <f t="shared" si="11"/>
        <v>10480.799999999999</v>
      </c>
      <c r="L44" s="26">
        <f t="shared" si="11"/>
        <v>22285.4</v>
      </c>
      <c r="M44" s="26">
        <f t="shared" si="11"/>
        <v>83473.2</v>
      </c>
      <c r="N44" s="26">
        <f t="shared" si="11"/>
        <v>35227.4</v>
      </c>
      <c r="O44" s="26">
        <f t="shared" si="11"/>
        <v>47132.800000000003</v>
      </c>
      <c r="P44" s="26">
        <f t="shared" si="11"/>
        <v>38218.199999999997</v>
      </c>
      <c r="Q44" s="26">
        <f t="shared" si="11"/>
        <v>-15439.199999999997</v>
      </c>
      <c r="R44" s="26">
        <f t="shared" si="11"/>
        <v>-31616.400000000001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6">
        <f t="shared" si="11"/>
        <v>0</v>
      </c>
      <c r="W44" s="26">
        <f t="shared" si="11"/>
        <v>-38464</v>
      </c>
      <c r="X44" s="26">
        <f t="shared" si="11"/>
        <v>-32321.599999999999</v>
      </c>
      <c r="Y44" s="26">
        <f t="shared" si="11"/>
        <v>-49642.8</v>
      </c>
      <c r="Z44" s="26">
        <f t="shared" si="11"/>
        <v>115987.6</v>
      </c>
      <c r="AA44" s="26">
        <f t="shared" si="11"/>
        <v>30872</v>
      </c>
      <c r="AB44" s="26">
        <f t="shared" si="11"/>
        <v>45879.6</v>
      </c>
      <c r="AC44" s="26">
        <f t="shared" si="11"/>
        <v>16802.8</v>
      </c>
      <c r="AD44" s="28">
        <f t="shared" si="11"/>
        <v>456541.39999999991</v>
      </c>
      <c r="AE44" s="28">
        <f>AVERAGE(B44:AC44)</f>
        <v>16908.940740740738</v>
      </c>
      <c r="AF44" s="29">
        <f>AD44/AD13</f>
        <v>1.6932266505654731E-2</v>
      </c>
    </row>
    <row r="45" spans="1:32" x14ac:dyDescent="0.15">
      <c r="A45" s="51" t="s">
        <v>100</v>
      </c>
      <c r="B45" s="12" t="s">
        <v>101</v>
      </c>
      <c r="C45" s="15">
        <v>360672</v>
      </c>
      <c r="D45" s="15">
        <v>485520</v>
      </c>
      <c r="E45" s="15">
        <v>346800</v>
      </c>
      <c r="F45" s="15">
        <v>346800</v>
      </c>
      <c r="G45" s="15">
        <v>97104</v>
      </c>
      <c r="H45" s="15">
        <v>319056</v>
      </c>
      <c r="I45" s="15">
        <v>291312</v>
      </c>
      <c r="J45" s="15">
        <v>388416</v>
      </c>
      <c r="K45" s="15">
        <v>291312</v>
      </c>
      <c r="L45" s="15">
        <v>360672</v>
      </c>
      <c r="M45" s="15">
        <v>319056</v>
      </c>
      <c r="N45" s="15">
        <v>319056</v>
      </c>
      <c r="O45" s="15">
        <v>360672</v>
      </c>
      <c r="P45" s="15">
        <v>235824</v>
      </c>
      <c r="Q45" s="15">
        <v>194208</v>
      </c>
      <c r="R45" s="15">
        <v>221952</v>
      </c>
      <c r="S45" s="15">
        <v>0</v>
      </c>
      <c r="T45" s="15">
        <v>0</v>
      </c>
      <c r="U45" s="15">
        <v>0</v>
      </c>
      <c r="V45" s="15">
        <v>0</v>
      </c>
      <c r="W45" s="15">
        <v>291312</v>
      </c>
      <c r="X45" s="15">
        <v>263568</v>
      </c>
      <c r="Y45" s="15">
        <v>305184</v>
      </c>
      <c r="Z45" s="15">
        <v>319056</v>
      </c>
      <c r="AA45" s="15">
        <v>443904</v>
      </c>
      <c r="AB45" s="15">
        <v>305184</v>
      </c>
      <c r="AC45" s="15">
        <v>249696</v>
      </c>
      <c r="AD45" s="17">
        <f t="shared" ref="AD45:AD60" si="12">SUM(C45:AC45)</f>
        <v>7116336</v>
      </c>
      <c r="AE45" s="17">
        <f t="shared" ref="AE45:AE60" si="13">AVERAGE(C45:AC45)</f>
        <v>263568</v>
      </c>
      <c r="AF45" s="14">
        <f>AD45/AD13</f>
        <v>0.26393159020361567</v>
      </c>
    </row>
    <row r="46" spans="1:32" x14ac:dyDescent="0.15">
      <c r="A46" s="51"/>
      <c r="B46" s="12" t="s">
        <v>102</v>
      </c>
      <c r="C46" s="15">
        <v>20262</v>
      </c>
      <c r="D46" s="15">
        <v>27275</v>
      </c>
      <c r="E46" s="15">
        <v>19482</v>
      </c>
      <c r="F46" s="15">
        <v>19482</v>
      </c>
      <c r="G46" s="15">
        <v>5455</v>
      </c>
      <c r="H46" s="15">
        <v>17924</v>
      </c>
      <c r="I46" s="15">
        <v>16366</v>
      </c>
      <c r="J46" s="15">
        <v>21820</v>
      </c>
      <c r="K46" s="15">
        <v>16365</v>
      </c>
      <c r="L46" s="15">
        <v>20262</v>
      </c>
      <c r="M46" s="15">
        <v>17924</v>
      </c>
      <c r="N46" s="15">
        <v>17924</v>
      </c>
      <c r="O46" s="15">
        <v>20262</v>
      </c>
      <c r="P46" s="15">
        <v>13248</v>
      </c>
      <c r="Q46" s="15">
        <v>10911</v>
      </c>
      <c r="R46" s="15">
        <v>12469</v>
      </c>
      <c r="S46" s="15">
        <v>0</v>
      </c>
      <c r="T46" s="15">
        <v>0</v>
      </c>
      <c r="U46" s="15">
        <v>0</v>
      </c>
      <c r="V46" s="15">
        <v>0</v>
      </c>
      <c r="W46" s="15">
        <v>16365</v>
      </c>
      <c r="X46" s="15">
        <v>14807</v>
      </c>
      <c r="Y46" s="15">
        <v>17144</v>
      </c>
      <c r="Z46" s="15">
        <v>17924</v>
      </c>
      <c r="AA46" s="15">
        <v>24936</v>
      </c>
      <c r="AB46" s="15">
        <v>17145</v>
      </c>
      <c r="AC46" s="15">
        <v>14027</v>
      </c>
      <c r="AD46" s="17">
        <f t="shared" si="12"/>
        <v>399779</v>
      </c>
      <c r="AE46" s="17">
        <f t="shared" si="13"/>
        <v>14806.62962962963</v>
      </c>
      <c r="AF46" s="14">
        <f>AD46/AD13</f>
        <v>1.4827055271141115E-2</v>
      </c>
    </row>
    <row r="47" spans="1:32" x14ac:dyDescent="0.15">
      <c r="A47" s="51"/>
      <c r="B47" s="12" t="s">
        <v>103</v>
      </c>
      <c r="C47" s="15">
        <v>66099</v>
      </c>
      <c r="D47" s="15">
        <v>88978</v>
      </c>
      <c r="E47" s="15">
        <v>63557</v>
      </c>
      <c r="F47" s="15">
        <v>63557</v>
      </c>
      <c r="G47" s="15">
        <v>17796</v>
      </c>
      <c r="H47" s="15">
        <v>58472</v>
      </c>
      <c r="I47" s="15">
        <v>53388</v>
      </c>
      <c r="J47" s="15">
        <v>71182</v>
      </c>
      <c r="K47" s="15">
        <v>53388</v>
      </c>
      <c r="L47" s="15">
        <v>66099</v>
      </c>
      <c r="M47" s="15">
        <v>58472</v>
      </c>
      <c r="N47" s="15">
        <v>58473</v>
      </c>
      <c r="O47" s="15">
        <v>66098</v>
      </c>
      <c r="P47" s="15">
        <v>43219</v>
      </c>
      <c r="Q47" s="15">
        <v>35592</v>
      </c>
      <c r="R47" s="15">
        <v>40677</v>
      </c>
      <c r="S47" s="15">
        <v>0</v>
      </c>
      <c r="T47" s="15">
        <v>0</v>
      </c>
      <c r="U47" s="15">
        <v>0</v>
      </c>
      <c r="V47" s="15">
        <v>0</v>
      </c>
      <c r="W47" s="15">
        <v>53388</v>
      </c>
      <c r="X47" s="15">
        <v>48303</v>
      </c>
      <c r="Y47" s="15">
        <v>55929</v>
      </c>
      <c r="Z47" s="15">
        <v>58472</v>
      </c>
      <c r="AA47" s="15">
        <v>81352</v>
      </c>
      <c r="AB47" s="15">
        <v>55931</v>
      </c>
      <c r="AC47" s="15">
        <v>45761</v>
      </c>
      <c r="AD47" s="17">
        <f t="shared" si="12"/>
        <v>1304183</v>
      </c>
      <c r="AE47" s="17">
        <f t="shared" si="13"/>
        <v>48303.074074074073</v>
      </c>
      <c r="AF47" s="14">
        <f>AD47/AD13</f>
        <v>4.8369707825280051E-2</v>
      </c>
    </row>
    <row r="48" spans="1:32" x14ac:dyDescent="0.15">
      <c r="A48" s="51"/>
      <c r="B48" s="12" t="s">
        <v>104</v>
      </c>
      <c r="C48" s="15">
        <v>3740</v>
      </c>
      <c r="D48" s="15">
        <v>5035</v>
      </c>
      <c r="E48" s="15">
        <v>3596</v>
      </c>
      <c r="F48" s="15">
        <v>3596</v>
      </c>
      <c r="G48" s="15">
        <v>1007</v>
      </c>
      <c r="H48" s="15">
        <v>3308</v>
      </c>
      <c r="I48" s="15">
        <v>3022</v>
      </c>
      <c r="J48" s="15">
        <v>4028</v>
      </c>
      <c r="K48" s="15">
        <v>3021</v>
      </c>
      <c r="L48" s="15">
        <v>3740</v>
      </c>
      <c r="M48" s="15">
        <v>3309</v>
      </c>
      <c r="N48" s="15">
        <v>3308</v>
      </c>
      <c r="O48" s="15">
        <v>3741</v>
      </c>
      <c r="P48" s="15">
        <v>2446</v>
      </c>
      <c r="Q48" s="15">
        <v>2015</v>
      </c>
      <c r="R48" s="15">
        <v>2301</v>
      </c>
      <c r="S48" s="15">
        <v>0</v>
      </c>
      <c r="T48" s="15">
        <v>0</v>
      </c>
      <c r="U48" s="15">
        <v>0</v>
      </c>
      <c r="V48" s="15">
        <v>0</v>
      </c>
      <c r="W48" s="15">
        <v>3021</v>
      </c>
      <c r="X48" s="15">
        <v>2733</v>
      </c>
      <c r="Y48" s="15">
        <v>3164</v>
      </c>
      <c r="Z48" s="15">
        <v>3308</v>
      </c>
      <c r="AA48" s="15">
        <v>4597</v>
      </c>
      <c r="AB48" s="15">
        <v>3166</v>
      </c>
      <c r="AC48" s="15">
        <v>2586</v>
      </c>
      <c r="AD48" s="17">
        <f t="shared" si="12"/>
        <v>73788</v>
      </c>
      <c r="AE48" s="17">
        <f t="shared" si="13"/>
        <v>2732.8888888888887</v>
      </c>
      <c r="AF48" s="14">
        <f>AD48/AD13</f>
        <v>2.7366588899040735E-3</v>
      </c>
    </row>
    <row r="49" spans="1:32" x14ac:dyDescent="0.15">
      <c r="A49" s="51"/>
      <c r="B49" s="25" t="s">
        <v>105</v>
      </c>
      <c r="C49" s="26">
        <f t="shared" ref="C49:AC49" si="14">SUM(C45:C48)</f>
        <v>450773</v>
      </c>
      <c r="D49" s="26">
        <f t="shared" si="14"/>
        <v>606808</v>
      </c>
      <c r="E49" s="26">
        <f t="shared" si="14"/>
        <v>433435</v>
      </c>
      <c r="F49" s="26">
        <f t="shared" si="14"/>
        <v>433435</v>
      </c>
      <c r="G49" s="26">
        <f t="shared" si="14"/>
        <v>121362</v>
      </c>
      <c r="H49" s="26">
        <f t="shared" si="14"/>
        <v>398760</v>
      </c>
      <c r="I49" s="26">
        <f t="shared" si="14"/>
        <v>364088</v>
      </c>
      <c r="J49" s="26">
        <f t="shared" si="14"/>
        <v>485446</v>
      </c>
      <c r="K49" s="26">
        <f t="shared" si="14"/>
        <v>364086</v>
      </c>
      <c r="L49" s="26">
        <f t="shared" si="14"/>
        <v>450773</v>
      </c>
      <c r="M49" s="26">
        <f t="shared" si="14"/>
        <v>398761</v>
      </c>
      <c r="N49" s="26">
        <f t="shared" si="14"/>
        <v>398761</v>
      </c>
      <c r="O49" s="26">
        <f t="shared" si="14"/>
        <v>450773</v>
      </c>
      <c r="P49" s="26">
        <f t="shared" si="14"/>
        <v>294737</v>
      </c>
      <c r="Q49" s="26">
        <f t="shared" si="14"/>
        <v>242726</v>
      </c>
      <c r="R49" s="26">
        <f t="shared" si="14"/>
        <v>277399</v>
      </c>
      <c r="S49" s="26">
        <f t="shared" si="14"/>
        <v>0</v>
      </c>
      <c r="T49" s="26">
        <f t="shared" si="14"/>
        <v>0</v>
      </c>
      <c r="U49" s="26">
        <f t="shared" si="14"/>
        <v>0</v>
      </c>
      <c r="V49" s="26">
        <f t="shared" si="14"/>
        <v>0</v>
      </c>
      <c r="W49" s="26">
        <f t="shared" si="14"/>
        <v>364086</v>
      </c>
      <c r="X49" s="26">
        <f t="shared" si="14"/>
        <v>329411</v>
      </c>
      <c r="Y49" s="26">
        <f t="shared" si="14"/>
        <v>381421</v>
      </c>
      <c r="Z49" s="26">
        <f t="shared" si="14"/>
        <v>398760</v>
      </c>
      <c r="AA49" s="26">
        <f t="shared" si="14"/>
        <v>554789</v>
      </c>
      <c r="AB49" s="26">
        <f t="shared" si="14"/>
        <v>381426</v>
      </c>
      <c r="AC49" s="26">
        <f t="shared" si="14"/>
        <v>312070</v>
      </c>
      <c r="AD49" s="28">
        <f t="shared" si="12"/>
        <v>8894086</v>
      </c>
      <c r="AE49" s="28">
        <f t="shared" si="13"/>
        <v>329410.59259259258</v>
      </c>
      <c r="AF49" s="29">
        <f>AD49/AD13</f>
        <v>0.32986501218994091</v>
      </c>
    </row>
    <row r="50" spans="1:32" x14ac:dyDescent="0.15">
      <c r="A50" s="51" t="s">
        <v>106</v>
      </c>
      <c r="B50" s="12" t="s">
        <v>107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0</v>
      </c>
      <c r="T50" s="15">
        <v>0</v>
      </c>
      <c r="U50" s="15">
        <v>6500</v>
      </c>
      <c r="V50" s="15">
        <v>6500</v>
      </c>
      <c r="W50" s="15">
        <v>21428.571428571428</v>
      </c>
      <c r="X50" s="15">
        <v>21428.571428571428</v>
      </c>
      <c r="Y50" s="15">
        <v>21428.571428571428</v>
      </c>
      <c r="Z50" s="15">
        <v>21428.571428571428</v>
      </c>
      <c r="AA50" s="15">
        <v>21428.571428571428</v>
      </c>
      <c r="AB50" s="15">
        <v>21428.571428571428</v>
      </c>
      <c r="AC50" s="15">
        <v>21428.571428571428</v>
      </c>
      <c r="AD50" s="17">
        <f t="shared" si="12"/>
        <v>266999.99999999994</v>
      </c>
      <c r="AE50" s="17">
        <f t="shared" si="13"/>
        <v>9888.8888888888869</v>
      </c>
      <c r="AF50" s="14">
        <f>AD50/AD13</f>
        <v>9.9025305416109311E-3</v>
      </c>
    </row>
    <row r="51" spans="1:32" x14ac:dyDescent="0.15">
      <c r="A51" s="51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  <c r="AD51" s="17">
        <f t="shared" si="12"/>
        <v>0</v>
      </c>
      <c r="AE51" s="17">
        <f t="shared" si="13"/>
        <v>0</v>
      </c>
      <c r="AF51" s="14">
        <f>AD51/AD13</f>
        <v>0</v>
      </c>
    </row>
    <row r="52" spans="1:32" x14ac:dyDescent="0.15">
      <c r="A52" s="51"/>
      <c r="B52" s="12" t="s">
        <v>109</v>
      </c>
      <c r="C52" s="15">
        <v>0</v>
      </c>
      <c r="D52" s="15">
        <v>0</v>
      </c>
      <c r="E52" s="15">
        <v>0</v>
      </c>
      <c r="F52" s="15">
        <v>130000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  <c r="Y52" s="15">
        <v>0</v>
      </c>
      <c r="Z52" s="15">
        <v>0</v>
      </c>
      <c r="AA52" s="15">
        <v>0</v>
      </c>
      <c r="AB52" s="15">
        <v>0</v>
      </c>
      <c r="AC52" s="15">
        <v>0</v>
      </c>
      <c r="AD52" s="17">
        <f t="shared" si="12"/>
        <v>130000</v>
      </c>
      <c r="AE52" s="17">
        <f t="shared" si="13"/>
        <v>4814.8148148148148</v>
      </c>
      <c r="AF52" s="14">
        <f>AD52/AD13</f>
        <v>4.8214568180128146E-3</v>
      </c>
    </row>
    <row r="53" spans="1:32" x14ac:dyDescent="0.15">
      <c r="A53" s="51"/>
      <c r="B53" s="12" t="s">
        <v>110</v>
      </c>
      <c r="C53" s="15">
        <v>90074.444444444438</v>
      </c>
      <c r="D53" s="15">
        <v>90074.444444444438</v>
      </c>
      <c r="E53" s="15">
        <v>90074.444444444438</v>
      </c>
      <c r="F53" s="15">
        <v>90074.444444444438</v>
      </c>
      <c r="G53" s="15">
        <v>90074.444444444438</v>
      </c>
      <c r="H53" s="15">
        <v>90074.444444444438</v>
      </c>
      <c r="I53" s="15">
        <v>90074.444444444438</v>
      </c>
      <c r="J53" s="15">
        <v>90074.444444444438</v>
      </c>
      <c r="K53" s="15">
        <v>90074.444444444438</v>
      </c>
      <c r="L53" s="15">
        <v>90074.444444444438</v>
      </c>
      <c r="M53" s="15">
        <v>90074.444444444438</v>
      </c>
      <c r="N53" s="15">
        <v>90074.444444444438</v>
      </c>
      <c r="O53" s="15">
        <v>90074.444444444438</v>
      </c>
      <c r="P53" s="15">
        <v>90074.444444444438</v>
      </c>
      <c r="Q53" s="15">
        <v>90074.444444444438</v>
      </c>
      <c r="R53" s="15">
        <v>90074.444444444438</v>
      </c>
      <c r="S53" s="15">
        <v>0</v>
      </c>
      <c r="T53" s="15">
        <v>0</v>
      </c>
      <c r="U53" s="15">
        <v>90074.444444444438</v>
      </c>
      <c r="V53" s="15">
        <v>90074.444444444438</v>
      </c>
      <c r="W53" s="15">
        <v>99476.857142857145</v>
      </c>
      <c r="X53" s="15">
        <v>99476.857142857145</v>
      </c>
      <c r="Y53" s="15">
        <v>99476.857142857145</v>
      </c>
      <c r="Z53" s="15">
        <v>99476.857142857145</v>
      </c>
      <c r="AA53" s="15">
        <v>99476.857142857145</v>
      </c>
      <c r="AB53" s="15">
        <v>99476.857142857145</v>
      </c>
      <c r="AC53" s="15">
        <v>99476.857142857145</v>
      </c>
      <c r="AD53" s="17">
        <f t="shared" si="12"/>
        <v>2317678.0000000005</v>
      </c>
      <c r="AE53" s="17">
        <f t="shared" si="13"/>
        <v>85839.925925925942</v>
      </c>
      <c r="AF53" s="14">
        <f>AD53/AD13</f>
        <v>8.595834150044851E-2</v>
      </c>
    </row>
    <row r="54" spans="1:32" x14ac:dyDescent="0.15">
      <c r="A54" s="51"/>
      <c r="B54" s="12" t="s">
        <v>111</v>
      </c>
      <c r="C54" s="15">
        <v>67419.111111111109</v>
      </c>
      <c r="D54" s="15">
        <v>67419.111111111109</v>
      </c>
      <c r="E54" s="15">
        <v>67419.111111111109</v>
      </c>
      <c r="F54" s="15">
        <v>67419.111111111109</v>
      </c>
      <c r="G54" s="15">
        <v>67419.111111111109</v>
      </c>
      <c r="H54" s="15">
        <v>67419.111111111109</v>
      </c>
      <c r="I54" s="15">
        <v>67419.111111111109</v>
      </c>
      <c r="J54" s="15">
        <v>67419.111111111109</v>
      </c>
      <c r="K54" s="15">
        <v>67419.111111111109</v>
      </c>
      <c r="L54" s="15">
        <v>67419.111111111109</v>
      </c>
      <c r="M54" s="15">
        <v>67419.111111111109</v>
      </c>
      <c r="N54" s="15">
        <v>67419.111111111109</v>
      </c>
      <c r="O54" s="15">
        <v>67419.111111111109</v>
      </c>
      <c r="P54" s="15">
        <v>67419.111111111109</v>
      </c>
      <c r="Q54" s="15">
        <v>67419.111111111109</v>
      </c>
      <c r="R54" s="15">
        <v>67419.111111111109</v>
      </c>
      <c r="S54" s="15">
        <v>0</v>
      </c>
      <c r="T54" s="15">
        <v>0</v>
      </c>
      <c r="U54" s="15">
        <v>67419.111111111109</v>
      </c>
      <c r="V54" s="15">
        <v>67419.111111111109</v>
      </c>
      <c r="W54" s="15">
        <v>67419.142857142855</v>
      </c>
      <c r="X54" s="15">
        <v>67419.142857142855</v>
      </c>
      <c r="Y54" s="15">
        <v>67419.142857142855</v>
      </c>
      <c r="Z54" s="15">
        <v>67419.142857142855</v>
      </c>
      <c r="AA54" s="15">
        <v>67419.142857142855</v>
      </c>
      <c r="AB54" s="15">
        <v>67419.142857142855</v>
      </c>
      <c r="AC54" s="15">
        <v>67419.142857142855</v>
      </c>
      <c r="AD54" s="17">
        <f t="shared" si="12"/>
        <v>1685478.0000000005</v>
      </c>
      <c r="AE54" s="17">
        <f t="shared" si="13"/>
        <v>62425.111111111131</v>
      </c>
      <c r="AF54" s="14">
        <f>AD54/AD13</f>
        <v>6.25112261131585E-2</v>
      </c>
    </row>
    <row r="55" spans="1:32" x14ac:dyDescent="0.15">
      <c r="A55" s="51"/>
      <c r="B55" s="25" t="s">
        <v>112</v>
      </c>
      <c r="C55" s="26">
        <f t="shared" ref="C55:AC55" si="15">SUM(C50:C54)</f>
        <v>163993.55555555556</v>
      </c>
      <c r="D55" s="26">
        <f t="shared" si="15"/>
        <v>163993.55555555556</v>
      </c>
      <c r="E55" s="26">
        <f t="shared" si="15"/>
        <v>163993.55555555556</v>
      </c>
      <c r="F55" s="26">
        <f t="shared" si="15"/>
        <v>293993.55555555556</v>
      </c>
      <c r="G55" s="26">
        <f t="shared" si="15"/>
        <v>163993.55555555556</v>
      </c>
      <c r="H55" s="26">
        <f t="shared" si="15"/>
        <v>163993.55555555556</v>
      </c>
      <c r="I55" s="26">
        <f t="shared" si="15"/>
        <v>163993.55555555556</v>
      </c>
      <c r="J55" s="26">
        <f t="shared" si="15"/>
        <v>163993.55555555556</v>
      </c>
      <c r="K55" s="26">
        <f t="shared" si="15"/>
        <v>163993.55555555556</v>
      </c>
      <c r="L55" s="26">
        <f t="shared" si="15"/>
        <v>163993.55555555556</v>
      </c>
      <c r="M55" s="26">
        <f t="shared" si="15"/>
        <v>163993.55555555556</v>
      </c>
      <c r="N55" s="26">
        <f t="shared" si="15"/>
        <v>163993.55555555556</v>
      </c>
      <c r="O55" s="26">
        <f t="shared" si="15"/>
        <v>163993.55555555556</v>
      </c>
      <c r="P55" s="26">
        <f t="shared" si="15"/>
        <v>163993.55555555556</v>
      </c>
      <c r="Q55" s="26">
        <f t="shared" si="15"/>
        <v>163993.55555555556</v>
      </c>
      <c r="R55" s="26">
        <f t="shared" si="15"/>
        <v>163993.55555555556</v>
      </c>
      <c r="S55" s="26">
        <f t="shared" si="15"/>
        <v>0</v>
      </c>
      <c r="T55" s="26">
        <f t="shared" si="15"/>
        <v>0</v>
      </c>
      <c r="U55" s="26">
        <f t="shared" si="15"/>
        <v>163993.55555555556</v>
      </c>
      <c r="V55" s="26">
        <f t="shared" si="15"/>
        <v>163993.55555555556</v>
      </c>
      <c r="W55" s="26">
        <f t="shared" si="15"/>
        <v>188324.57142857142</v>
      </c>
      <c r="X55" s="26">
        <f t="shared" si="15"/>
        <v>188324.57142857142</v>
      </c>
      <c r="Y55" s="26">
        <f t="shared" si="15"/>
        <v>188324.57142857142</v>
      </c>
      <c r="Z55" s="26">
        <f t="shared" si="15"/>
        <v>188324.57142857142</v>
      </c>
      <c r="AA55" s="26">
        <f t="shared" si="15"/>
        <v>188324.57142857142</v>
      </c>
      <c r="AB55" s="26">
        <f t="shared" si="15"/>
        <v>188324.57142857142</v>
      </c>
      <c r="AC55" s="26">
        <f t="shared" si="15"/>
        <v>188324.57142857142</v>
      </c>
      <c r="AD55" s="28">
        <f t="shared" si="12"/>
        <v>4400156</v>
      </c>
      <c r="AE55" s="28">
        <f t="shared" si="13"/>
        <v>162968.74074074073</v>
      </c>
      <c r="AF55" s="29">
        <f>AD55/AD13</f>
        <v>0.16319355497323071</v>
      </c>
    </row>
    <row r="56" spans="1:32" x14ac:dyDescent="0.15">
      <c r="A56" s="48" t="s">
        <v>113</v>
      </c>
      <c r="B56" s="48"/>
      <c r="C56" s="15">
        <f t="shared" ref="C56:AC56" si="16">SUM(C49+C22+C27+C33+C39+C44+C55)</f>
        <v>857603.75555555546</v>
      </c>
      <c r="D56" s="15">
        <f t="shared" si="16"/>
        <v>1098207.9841269841</v>
      </c>
      <c r="E56" s="15">
        <f t="shared" si="16"/>
        <v>830819.61269841273</v>
      </c>
      <c r="F56" s="15">
        <f t="shared" si="16"/>
        <v>1009684.3555555556</v>
      </c>
      <c r="G56" s="15">
        <f t="shared" si="16"/>
        <v>574890.69841269846</v>
      </c>
      <c r="H56" s="15">
        <f t="shared" si="16"/>
        <v>1131938.6984126985</v>
      </c>
      <c r="I56" s="15">
        <f t="shared" si="16"/>
        <v>1173367.3555555556</v>
      </c>
      <c r="J56" s="15">
        <f t="shared" si="16"/>
        <v>972824.49841269851</v>
      </c>
      <c r="K56" s="15">
        <f t="shared" si="16"/>
        <v>784963.35555555555</v>
      </c>
      <c r="L56" s="15">
        <f t="shared" si="16"/>
        <v>1023929.66984127</v>
      </c>
      <c r="M56" s="15">
        <f t="shared" si="16"/>
        <v>1229444.0412698411</v>
      </c>
      <c r="N56" s="15">
        <f t="shared" si="16"/>
        <v>924412.38412698405</v>
      </c>
      <c r="O56" s="15">
        <f t="shared" si="16"/>
        <v>1163130.6412698412</v>
      </c>
      <c r="P56" s="15">
        <f t="shared" si="16"/>
        <v>1107363.1841269841</v>
      </c>
      <c r="Q56" s="15">
        <f t="shared" si="16"/>
        <v>775096.92698412691</v>
      </c>
      <c r="R56" s="15">
        <f t="shared" si="16"/>
        <v>659975.29841269832</v>
      </c>
      <c r="S56" s="15">
        <f t="shared" si="16"/>
        <v>0</v>
      </c>
      <c r="T56" s="15">
        <f t="shared" si="16"/>
        <v>0</v>
      </c>
      <c r="U56" s="15">
        <f t="shared" si="16"/>
        <v>171068.55555555556</v>
      </c>
      <c r="V56" s="15">
        <f t="shared" si="16"/>
        <v>251956.55555555556</v>
      </c>
      <c r="W56" s="15">
        <f t="shared" si="16"/>
        <v>799211.85714285704</v>
      </c>
      <c r="X56" s="15">
        <f t="shared" si="16"/>
        <v>950755.39999999991</v>
      </c>
      <c r="Y56" s="15">
        <f t="shared" si="16"/>
        <v>1026949.4857142856</v>
      </c>
      <c r="Z56" s="15">
        <f t="shared" si="16"/>
        <v>1040957.0285714285</v>
      </c>
      <c r="AA56" s="15">
        <f t="shared" si="16"/>
        <v>998212.57142857136</v>
      </c>
      <c r="AB56" s="15">
        <f t="shared" si="16"/>
        <v>852407.17142857146</v>
      </c>
      <c r="AC56" s="15">
        <f t="shared" si="16"/>
        <v>698357.8</v>
      </c>
      <c r="AD56" s="17">
        <f t="shared" si="12"/>
        <v>22107528.885714289</v>
      </c>
      <c r="AE56" s="17">
        <f t="shared" si="13"/>
        <v>818797.36613756628</v>
      </c>
      <c r="AF56" s="14">
        <f>AD56/AD13</f>
        <v>0.81992689134955687</v>
      </c>
    </row>
    <row r="57" spans="1:32" x14ac:dyDescent="0.15">
      <c r="A57" s="48" t="s">
        <v>114</v>
      </c>
      <c r="B57" s="48"/>
      <c r="C57" s="15">
        <f t="shared" ref="C57:AC57" si="17">SUM(C13+C14-C56)</f>
        <v>60356.244444444543</v>
      </c>
      <c r="D57" s="15">
        <f t="shared" si="17"/>
        <v>148892.01587301586</v>
      </c>
      <c r="E57" s="15">
        <f t="shared" si="17"/>
        <v>407250.38730158727</v>
      </c>
      <c r="F57" s="15">
        <f t="shared" si="17"/>
        <v>212705.64444444445</v>
      </c>
      <c r="G57" s="15">
        <f t="shared" si="17"/>
        <v>-338250.69841269846</v>
      </c>
      <c r="H57" s="15">
        <f t="shared" si="17"/>
        <v>81921.301587301539</v>
      </c>
      <c r="I57" s="15">
        <f t="shared" si="17"/>
        <v>-167227.35555555555</v>
      </c>
      <c r="J57" s="15">
        <f t="shared" si="17"/>
        <v>248075.50158730149</v>
      </c>
      <c r="K57" s="15">
        <f t="shared" si="17"/>
        <v>415036.64444444445</v>
      </c>
      <c r="L57" s="15">
        <f t="shared" si="17"/>
        <v>219510.33015873004</v>
      </c>
      <c r="M57" s="15">
        <f t="shared" si="17"/>
        <v>300885.95873015886</v>
      </c>
      <c r="N57" s="15">
        <f t="shared" si="17"/>
        <v>240497.61587301595</v>
      </c>
      <c r="O57" s="15">
        <f t="shared" si="17"/>
        <v>6069.3587301587686</v>
      </c>
      <c r="P57" s="15">
        <f t="shared" si="17"/>
        <v>-335343.1841269841</v>
      </c>
      <c r="Q57" s="15">
        <f t="shared" si="17"/>
        <v>424559.07301587309</v>
      </c>
      <c r="R57" s="15">
        <f t="shared" si="17"/>
        <v>445021.70158730168</v>
      </c>
      <c r="S57" s="15">
        <f t="shared" si="17"/>
        <v>14000</v>
      </c>
      <c r="T57" s="15">
        <f t="shared" si="17"/>
        <v>606412</v>
      </c>
      <c r="U57" s="15">
        <f t="shared" si="17"/>
        <v>-171068.55555555556</v>
      </c>
      <c r="V57" s="15">
        <f t="shared" si="17"/>
        <v>-251956.55555555556</v>
      </c>
      <c r="W57" s="15">
        <f t="shared" si="17"/>
        <v>819368.14285714296</v>
      </c>
      <c r="X57" s="15">
        <f t="shared" si="17"/>
        <v>514415.60000000009</v>
      </c>
      <c r="Y57" s="15">
        <f t="shared" si="17"/>
        <v>794811.51428571437</v>
      </c>
      <c r="Z57" s="15">
        <f t="shared" si="17"/>
        <v>239232.9714285715</v>
      </c>
      <c r="AA57" s="15">
        <f t="shared" si="17"/>
        <v>137909.42857142864</v>
      </c>
      <c r="AB57" s="15">
        <f t="shared" si="17"/>
        <v>408301.82857142854</v>
      </c>
      <c r="AC57" s="15">
        <f t="shared" si="17"/>
        <v>-79870.800000000047</v>
      </c>
      <c r="AD57" s="17">
        <f t="shared" si="12"/>
        <v>5401516.1142857149</v>
      </c>
      <c r="AE57" s="17">
        <f t="shared" si="13"/>
        <v>200056.15238095241</v>
      </c>
      <c r="AF57" s="14">
        <f>AD57/AD13</f>
        <v>0.20033212843714573</v>
      </c>
    </row>
    <row r="58" spans="1:32" x14ac:dyDescent="0.15">
      <c r="A58" s="48" t="s">
        <v>115</v>
      </c>
      <c r="B58" s="48"/>
      <c r="C58" s="15">
        <v>126042.4054054054</v>
      </c>
      <c r="D58" s="15">
        <v>126042.4054054054</v>
      </c>
      <c r="E58" s="15">
        <v>126042.4054054054</v>
      </c>
      <c r="F58" s="15">
        <v>126042.4054054054</v>
      </c>
      <c r="G58" s="15">
        <v>126042.4054054054</v>
      </c>
      <c r="H58" s="15">
        <v>126042.4054054054</v>
      </c>
      <c r="I58" s="15">
        <v>126042.4054054054</v>
      </c>
      <c r="J58" s="15">
        <v>126042.4054054054</v>
      </c>
      <c r="K58" s="15">
        <v>126042.4054054054</v>
      </c>
      <c r="L58" s="15">
        <v>126042.4054054054</v>
      </c>
      <c r="M58" s="15">
        <v>126042.4054054054</v>
      </c>
      <c r="N58" s="15">
        <v>126042.4054054054</v>
      </c>
      <c r="O58" s="15">
        <v>126042.4054054054</v>
      </c>
      <c r="P58" s="15">
        <v>126042.4054054054</v>
      </c>
      <c r="Q58" s="15">
        <v>126042.4054054054</v>
      </c>
      <c r="R58" s="15">
        <v>126042.4054054054</v>
      </c>
      <c r="S58" s="15">
        <v>0</v>
      </c>
      <c r="T58" s="15">
        <v>0</v>
      </c>
      <c r="U58" s="15">
        <v>126042.4054054054</v>
      </c>
      <c r="V58" s="15">
        <v>126042.4054054054</v>
      </c>
      <c r="W58" s="15">
        <v>126042.4054054054</v>
      </c>
      <c r="X58" s="15">
        <v>126042.4054054054</v>
      </c>
      <c r="Y58" s="15">
        <v>126042.4054054054</v>
      </c>
      <c r="Z58" s="15">
        <v>126042.4054054054</v>
      </c>
      <c r="AA58" s="15">
        <v>126042.4054054054</v>
      </c>
      <c r="AB58" s="15">
        <v>126042.4054054054</v>
      </c>
      <c r="AC58" s="15">
        <v>126042.4054054054</v>
      </c>
      <c r="AD58" s="17">
        <f t="shared" si="12"/>
        <v>3151060.1351351356</v>
      </c>
      <c r="AE58" s="17">
        <f t="shared" si="13"/>
        <v>116705.93093093095</v>
      </c>
      <c r="AF58" s="14">
        <f>AD58/AD13</f>
        <v>0.1168669259424283</v>
      </c>
    </row>
    <row r="59" spans="1:32" x14ac:dyDescent="0.15">
      <c r="A59" s="48" t="s">
        <v>116</v>
      </c>
      <c r="B59" s="48"/>
      <c r="C59" s="15">
        <v>118890.78378378379</v>
      </c>
      <c r="D59" s="15">
        <v>118890.78378378379</v>
      </c>
      <c r="E59" s="15">
        <v>118890.78378378379</v>
      </c>
      <c r="F59" s="15">
        <v>118890.78378378379</v>
      </c>
      <c r="G59" s="15">
        <v>118890.78378378379</v>
      </c>
      <c r="H59" s="15">
        <v>118890.78378378379</v>
      </c>
      <c r="I59" s="15">
        <v>118890.78378378379</v>
      </c>
      <c r="J59" s="15">
        <v>118890.78378378379</v>
      </c>
      <c r="K59" s="15">
        <v>118890.78378378379</v>
      </c>
      <c r="L59" s="15">
        <v>118890.78378378379</v>
      </c>
      <c r="M59" s="15">
        <v>118890.78378378379</v>
      </c>
      <c r="N59" s="15">
        <v>118890.78378378379</v>
      </c>
      <c r="O59" s="15">
        <v>118890.78378378379</v>
      </c>
      <c r="P59" s="15">
        <v>118890.78378378379</v>
      </c>
      <c r="Q59" s="15">
        <v>118890.78378378379</v>
      </c>
      <c r="R59" s="15">
        <v>118890.78378378379</v>
      </c>
      <c r="S59" s="15">
        <v>0</v>
      </c>
      <c r="T59" s="15">
        <v>0</v>
      </c>
      <c r="U59" s="15">
        <v>118890.78378378379</v>
      </c>
      <c r="V59" s="15">
        <v>118890.78378378379</v>
      </c>
      <c r="W59" s="15">
        <v>118890.78378378379</v>
      </c>
      <c r="X59" s="15">
        <v>118890.78378378379</v>
      </c>
      <c r="Y59" s="15">
        <v>118890.78378378379</v>
      </c>
      <c r="Z59" s="15">
        <v>118890.78378378379</v>
      </c>
      <c r="AA59" s="15">
        <v>118890.78378378379</v>
      </c>
      <c r="AB59" s="15">
        <v>118890.78378378379</v>
      </c>
      <c r="AC59" s="15">
        <v>118890.78378378379</v>
      </c>
      <c r="AD59" s="17">
        <f t="shared" si="12"/>
        <v>2972269.5945945927</v>
      </c>
      <c r="AE59" s="17">
        <f t="shared" si="13"/>
        <v>110084.05905905899</v>
      </c>
      <c r="AF59" s="14">
        <f>AD59/AD13</f>
        <v>0.11023591924484832</v>
      </c>
    </row>
    <row r="60" spans="1:32" x14ac:dyDescent="0.15">
      <c r="A60" s="48" t="s">
        <v>117</v>
      </c>
      <c r="B60" s="48"/>
      <c r="C60" s="15">
        <f t="shared" ref="C60:AC60" si="18">SUM(C57-(C58+C59))</f>
        <v>-184576.94474474463</v>
      </c>
      <c r="D60" s="15">
        <f t="shared" si="18"/>
        <v>-96041.173316173314</v>
      </c>
      <c r="E60" s="15">
        <f t="shared" si="18"/>
        <v>162317.19811239809</v>
      </c>
      <c r="F60" s="15">
        <f t="shared" si="18"/>
        <v>-32227.544744744722</v>
      </c>
      <c r="G60" s="15">
        <f t="shared" si="18"/>
        <v>-583183.88760188757</v>
      </c>
      <c r="H60" s="15">
        <f t="shared" si="18"/>
        <v>-163011.88760188763</v>
      </c>
      <c r="I60" s="15">
        <f t="shared" si="18"/>
        <v>-412160.54474474472</v>
      </c>
      <c r="J60" s="15">
        <f t="shared" si="18"/>
        <v>3142.3123981123208</v>
      </c>
      <c r="K60" s="15">
        <f t="shared" si="18"/>
        <v>170103.45525525528</v>
      </c>
      <c r="L60" s="15">
        <f t="shared" si="18"/>
        <v>-25422.859030459134</v>
      </c>
      <c r="M60" s="15">
        <f t="shared" si="18"/>
        <v>55952.76954096969</v>
      </c>
      <c r="N60" s="15">
        <f t="shared" si="18"/>
        <v>-4435.5733161732205</v>
      </c>
      <c r="O60" s="15">
        <f t="shared" si="18"/>
        <v>-238863.8304590304</v>
      </c>
      <c r="P60" s="15">
        <f t="shared" si="18"/>
        <v>-580276.37331617321</v>
      </c>
      <c r="Q60" s="15">
        <f t="shared" si="18"/>
        <v>179625.88382668392</v>
      </c>
      <c r="R60" s="15">
        <f t="shared" si="18"/>
        <v>200088.51239811251</v>
      </c>
      <c r="S60" s="15">
        <f t="shared" si="18"/>
        <v>14000</v>
      </c>
      <c r="T60" s="15">
        <f t="shared" si="18"/>
        <v>606412</v>
      </c>
      <c r="U60" s="15">
        <f t="shared" si="18"/>
        <v>-416001.74474474473</v>
      </c>
      <c r="V60" s="15">
        <f t="shared" si="18"/>
        <v>-496889.74474474473</v>
      </c>
      <c r="W60" s="15">
        <f t="shared" si="18"/>
        <v>574434.95366795384</v>
      </c>
      <c r="X60" s="15">
        <f t="shared" si="18"/>
        <v>269482.41081081092</v>
      </c>
      <c r="Y60" s="15">
        <f t="shared" si="18"/>
        <v>549878.32509652525</v>
      </c>
      <c r="Z60" s="15">
        <f t="shared" si="18"/>
        <v>-5700.2177606176701</v>
      </c>
      <c r="AA60" s="15">
        <f t="shared" si="18"/>
        <v>-107023.76061776053</v>
      </c>
      <c r="AB60" s="15">
        <f t="shared" si="18"/>
        <v>163368.63938223937</v>
      </c>
      <c r="AC60" s="15">
        <f t="shared" si="18"/>
        <v>-324803.98918918922</v>
      </c>
      <c r="AD60" s="17">
        <f t="shared" si="12"/>
        <v>-721813.61544401338</v>
      </c>
      <c r="AE60" s="17">
        <f t="shared" si="13"/>
        <v>-26733.837609037531</v>
      </c>
      <c r="AF60" s="14">
        <f>AD60/AD13</f>
        <v>-2.6770716750130909E-2</v>
      </c>
    </row>
    <row r="61" spans="1:32" x14ac:dyDescent="0.15">
      <c r="A61" s="12"/>
      <c r="B61" s="37" t="s">
        <v>46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</row>
    <row r="62" spans="1:32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</row>
    <row r="63" spans="1:32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</row>
    <row r="64" spans="1:32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</row>
    <row r="65" spans="1:29" x14ac:dyDescent="0.15">
      <c r="A65" s="13"/>
      <c r="B65" s="41" t="s">
        <v>41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</row>
    <row r="66" spans="1:29" x14ac:dyDescent="0.15">
      <c r="A66" s="12"/>
      <c r="B66" s="42" t="s">
        <v>47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</row>
    <row r="67" spans="1:29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</row>
    <row r="68" spans="1:29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</row>
    <row r="69" spans="1:29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</row>
    <row r="70" spans="1:29" x14ac:dyDescent="0.15">
      <c r="A70" s="12"/>
      <c r="B70" s="41" t="s">
        <v>41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</row>
    <row r="71" spans="1:29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</row>
    <row r="72" spans="1:29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</row>
    <row r="73" spans="1:29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</row>
    <row r="74" spans="1:29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</row>
    <row r="75" spans="1:29" x14ac:dyDescent="0.15">
      <c r="A75" s="12"/>
      <c r="B75" s="41" t="s">
        <v>41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</row>
    <row r="76" spans="1:29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</row>
    <row r="77" spans="1:29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</row>
    <row r="78" spans="1:29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</row>
    <row r="79" spans="1:29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</row>
    <row r="80" spans="1:29" x14ac:dyDescent="0.15">
      <c r="A80" s="12"/>
      <c r="B80" s="41" t="s">
        <v>41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</row>
    <row r="81" spans="1:29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</row>
    <row r="82" spans="1:29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</row>
    <row r="83" spans="1:29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</row>
    <row r="84" spans="1:29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</row>
    <row r="85" spans="1:29" x14ac:dyDescent="0.15">
      <c r="A85" s="12"/>
      <c r="B85" s="41" t="s">
        <v>41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</row>
    <row r="86" spans="1:29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</row>
    <row r="87" spans="1:29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</row>
    <row r="88" spans="1:29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</row>
    <row r="89" spans="1:29" x14ac:dyDescent="0.15">
      <c r="B89" s="41" t="s">
        <v>125</v>
      </c>
    </row>
    <row r="90" spans="1:29" x14ac:dyDescent="0.15">
      <c r="B90" s="41" t="s">
        <v>41</v>
      </c>
    </row>
    <row r="92" spans="1:29" x14ac:dyDescent="0.15">
      <c r="B92" s="38"/>
    </row>
    <row r="93" spans="1:29" x14ac:dyDescent="0.15">
      <c r="B93" s="40" t="s">
        <v>124</v>
      </c>
    </row>
    <row r="94" spans="1:29" x14ac:dyDescent="0.15">
      <c r="B94" s="41" t="s">
        <v>125</v>
      </c>
    </row>
    <row r="95" spans="1:29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print="0" autoLine="0" r:id="rId5">
            <anchor>
              <from>
                <xdr:col>0</xdr:col>
                <xdr:colOff>190500</xdr:colOff>
                <xdr:row>0</xdr:row>
                <xdr:rowOff>95250</xdr:rowOff>
              </from>
              <to>
                <xdr:col>1</xdr:col>
                <xdr:colOff>657225</xdr:colOff>
                <xdr:row>1</xdr:row>
                <xdr:rowOff>257175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3589E-C494-488C-84D6-FDC38A6448D9}">
  <sheetPr codeName="Sheet5"/>
  <dimension ref="A2:Y102"/>
  <sheetViews>
    <sheetView workbookViewId="0">
      <selection activeCell="W12" sqref="W1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22" width="13" style="1" bestFit="1" customWidth="1"/>
    <col min="23" max="23" width="13.25" style="1" bestFit="1" customWidth="1"/>
    <col min="24" max="24" width="10" style="1" bestFit="1" customWidth="1"/>
    <col min="25" max="25" width="11" style="1" bestFit="1" customWidth="1"/>
    <col min="26" max="230" width="9" style="1"/>
    <col min="231" max="231" width="2.875" style="1" bestFit="1" customWidth="1"/>
    <col min="232" max="232" width="16.625" style="1" bestFit="1" customWidth="1"/>
    <col min="233" max="233" width="11.375" style="1" bestFit="1" customWidth="1"/>
    <col min="234" max="235" width="14.125" style="1" bestFit="1" customWidth="1"/>
    <col min="236" max="236" width="11.375" style="1" bestFit="1" customWidth="1"/>
    <col min="237" max="239" width="12.5" style="1" bestFit="1" customWidth="1"/>
    <col min="240" max="240" width="11" style="1" bestFit="1" customWidth="1"/>
    <col min="241" max="260" width="13" style="1" bestFit="1" customWidth="1"/>
    <col min="261" max="264" width="11" style="1" bestFit="1" customWidth="1"/>
    <col min="265" max="267" width="12.25" style="1" bestFit="1" customWidth="1"/>
    <col min="268" max="278" width="11" style="1" bestFit="1" customWidth="1"/>
    <col min="279" max="279" width="13.25" style="1" bestFit="1" customWidth="1"/>
    <col min="280" max="280" width="10" style="1" bestFit="1" customWidth="1"/>
    <col min="281" max="281" width="11" style="1" bestFit="1" customWidth="1"/>
    <col min="282" max="486" width="9" style="1"/>
    <col min="487" max="487" width="2.875" style="1" bestFit="1" customWidth="1"/>
    <col min="488" max="488" width="16.625" style="1" bestFit="1" customWidth="1"/>
    <col min="489" max="489" width="11.375" style="1" bestFit="1" customWidth="1"/>
    <col min="490" max="491" width="14.125" style="1" bestFit="1" customWidth="1"/>
    <col min="492" max="492" width="11.375" style="1" bestFit="1" customWidth="1"/>
    <col min="493" max="495" width="12.5" style="1" bestFit="1" customWidth="1"/>
    <col min="496" max="496" width="11" style="1" bestFit="1" customWidth="1"/>
    <col min="497" max="516" width="13" style="1" bestFit="1" customWidth="1"/>
    <col min="517" max="520" width="11" style="1" bestFit="1" customWidth="1"/>
    <col min="521" max="523" width="12.25" style="1" bestFit="1" customWidth="1"/>
    <col min="524" max="534" width="11" style="1" bestFit="1" customWidth="1"/>
    <col min="535" max="535" width="13.25" style="1" bestFit="1" customWidth="1"/>
    <col min="536" max="536" width="10" style="1" bestFit="1" customWidth="1"/>
    <col min="537" max="537" width="11" style="1" bestFit="1" customWidth="1"/>
    <col min="538" max="742" width="9" style="1"/>
    <col min="743" max="743" width="2.875" style="1" bestFit="1" customWidth="1"/>
    <col min="744" max="744" width="16.625" style="1" bestFit="1" customWidth="1"/>
    <col min="745" max="745" width="11.375" style="1" bestFit="1" customWidth="1"/>
    <col min="746" max="747" width="14.125" style="1" bestFit="1" customWidth="1"/>
    <col min="748" max="748" width="11.375" style="1" bestFit="1" customWidth="1"/>
    <col min="749" max="751" width="12.5" style="1" bestFit="1" customWidth="1"/>
    <col min="752" max="752" width="11" style="1" bestFit="1" customWidth="1"/>
    <col min="753" max="772" width="13" style="1" bestFit="1" customWidth="1"/>
    <col min="773" max="776" width="11" style="1" bestFit="1" customWidth="1"/>
    <col min="777" max="779" width="12.25" style="1" bestFit="1" customWidth="1"/>
    <col min="780" max="790" width="11" style="1" bestFit="1" customWidth="1"/>
    <col min="791" max="791" width="13.25" style="1" bestFit="1" customWidth="1"/>
    <col min="792" max="792" width="10" style="1" bestFit="1" customWidth="1"/>
    <col min="793" max="793" width="11" style="1" bestFit="1" customWidth="1"/>
    <col min="794" max="998" width="9" style="1"/>
    <col min="999" max="999" width="2.875" style="1" bestFit="1" customWidth="1"/>
    <col min="1000" max="1000" width="16.625" style="1" bestFit="1" customWidth="1"/>
    <col min="1001" max="1001" width="11.375" style="1" bestFit="1" customWidth="1"/>
    <col min="1002" max="1003" width="14.125" style="1" bestFit="1" customWidth="1"/>
    <col min="1004" max="1004" width="11.375" style="1" bestFit="1" customWidth="1"/>
    <col min="1005" max="1007" width="12.5" style="1" bestFit="1" customWidth="1"/>
    <col min="1008" max="1008" width="11" style="1" bestFit="1" customWidth="1"/>
    <col min="1009" max="1028" width="13" style="1" bestFit="1" customWidth="1"/>
    <col min="1029" max="1032" width="11" style="1" bestFit="1" customWidth="1"/>
    <col min="1033" max="1035" width="12.25" style="1" bestFit="1" customWidth="1"/>
    <col min="1036" max="1046" width="11" style="1" bestFit="1" customWidth="1"/>
    <col min="1047" max="1047" width="13.25" style="1" bestFit="1" customWidth="1"/>
    <col min="1048" max="1048" width="10" style="1" bestFit="1" customWidth="1"/>
    <col min="1049" max="1049" width="11" style="1" bestFit="1" customWidth="1"/>
    <col min="1050" max="1254" width="9" style="1"/>
    <col min="1255" max="1255" width="2.875" style="1" bestFit="1" customWidth="1"/>
    <col min="1256" max="1256" width="16.625" style="1" bestFit="1" customWidth="1"/>
    <col min="1257" max="1257" width="11.375" style="1" bestFit="1" customWidth="1"/>
    <col min="1258" max="1259" width="14.125" style="1" bestFit="1" customWidth="1"/>
    <col min="1260" max="1260" width="11.375" style="1" bestFit="1" customWidth="1"/>
    <col min="1261" max="1263" width="12.5" style="1" bestFit="1" customWidth="1"/>
    <col min="1264" max="1264" width="11" style="1" bestFit="1" customWidth="1"/>
    <col min="1265" max="1284" width="13" style="1" bestFit="1" customWidth="1"/>
    <col min="1285" max="1288" width="11" style="1" bestFit="1" customWidth="1"/>
    <col min="1289" max="1291" width="12.25" style="1" bestFit="1" customWidth="1"/>
    <col min="1292" max="1302" width="11" style="1" bestFit="1" customWidth="1"/>
    <col min="1303" max="1303" width="13.25" style="1" bestFit="1" customWidth="1"/>
    <col min="1304" max="1304" width="10" style="1" bestFit="1" customWidth="1"/>
    <col min="1305" max="1305" width="11" style="1" bestFit="1" customWidth="1"/>
    <col min="1306" max="1510" width="9" style="1"/>
    <col min="1511" max="1511" width="2.875" style="1" bestFit="1" customWidth="1"/>
    <col min="1512" max="1512" width="16.625" style="1" bestFit="1" customWidth="1"/>
    <col min="1513" max="1513" width="11.375" style="1" bestFit="1" customWidth="1"/>
    <col min="1514" max="1515" width="14.125" style="1" bestFit="1" customWidth="1"/>
    <col min="1516" max="1516" width="11.375" style="1" bestFit="1" customWidth="1"/>
    <col min="1517" max="1519" width="12.5" style="1" bestFit="1" customWidth="1"/>
    <col min="1520" max="1520" width="11" style="1" bestFit="1" customWidth="1"/>
    <col min="1521" max="1540" width="13" style="1" bestFit="1" customWidth="1"/>
    <col min="1541" max="1544" width="11" style="1" bestFit="1" customWidth="1"/>
    <col min="1545" max="1547" width="12.25" style="1" bestFit="1" customWidth="1"/>
    <col min="1548" max="1558" width="11" style="1" bestFit="1" customWidth="1"/>
    <col min="1559" max="1559" width="13.25" style="1" bestFit="1" customWidth="1"/>
    <col min="1560" max="1560" width="10" style="1" bestFit="1" customWidth="1"/>
    <col min="1561" max="1561" width="11" style="1" bestFit="1" customWidth="1"/>
    <col min="1562" max="1766" width="9" style="1"/>
    <col min="1767" max="1767" width="2.875" style="1" bestFit="1" customWidth="1"/>
    <col min="1768" max="1768" width="16.625" style="1" bestFit="1" customWidth="1"/>
    <col min="1769" max="1769" width="11.375" style="1" bestFit="1" customWidth="1"/>
    <col min="1770" max="1771" width="14.125" style="1" bestFit="1" customWidth="1"/>
    <col min="1772" max="1772" width="11.375" style="1" bestFit="1" customWidth="1"/>
    <col min="1773" max="1775" width="12.5" style="1" bestFit="1" customWidth="1"/>
    <col min="1776" max="1776" width="11" style="1" bestFit="1" customWidth="1"/>
    <col min="1777" max="1796" width="13" style="1" bestFit="1" customWidth="1"/>
    <col min="1797" max="1800" width="11" style="1" bestFit="1" customWidth="1"/>
    <col min="1801" max="1803" width="12.25" style="1" bestFit="1" customWidth="1"/>
    <col min="1804" max="1814" width="11" style="1" bestFit="1" customWidth="1"/>
    <col min="1815" max="1815" width="13.25" style="1" bestFit="1" customWidth="1"/>
    <col min="1816" max="1816" width="10" style="1" bestFit="1" customWidth="1"/>
    <col min="1817" max="1817" width="11" style="1" bestFit="1" customWidth="1"/>
    <col min="1818" max="2022" width="9" style="1"/>
    <col min="2023" max="2023" width="2.875" style="1" bestFit="1" customWidth="1"/>
    <col min="2024" max="2024" width="16.625" style="1" bestFit="1" customWidth="1"/>
    <col min="2025" max="2025" width="11.375" style="1" bestFit="1" customWidth="1"/>
    <col min="2026" max="2027" width="14.125" style="1" bestFit="1" customWidth="1"/>
    <col min="2028" max="2028" width="11.375" style="1" bestFit="1" customWidth="1"/>
    <col min="2029" max="2031" width="12.5" style="1" bestFit="1" customWidth="1"/>
    <col min="2032" max="2032" width="11" style="1" bestFit="1" customWidth="1"/>
    <col min="2033" max="2052" width="13" style="1" bestFit="1" customWidth="1"/>
    <col min="2053" max="2056" width="11" style="1" bestFit="1" customWidth="1"/>
    <col min="2057" max="2059" width="12.25" style="1" bestFit="1" customWidth="1"/>
    <col min="2060" max="2070" width="11" style="1" bestFit="1" customWidth="1"/>
    <col min="2071" max="2071" width="13.25" style="1" bestFit="1" customWidth="1"/>
    <col min="2072" max="2072" width="10" style="1" bestFit="1" customWidth="1"/>
    <col min="2073" max="2073" width="11" style="1" bestFit="1" customWidth="1"/>
    <col min="2074" max="2278" width="9" style="1"/>
    <col min="2279" max="2279" width="2.875" style="1" bestFit="1" customWidth="1"/>
    <col min="2280" max="2280" width="16.625" style="1" bestFit="1" customWidth="1"/>
    <col min="2281" max="2281" width="11.375" style="1" bestFit="1" customWidth="1"/>
    <col min="2282" max="2283" width="14.125" style="1" bestFit="1" customWidth="1"/>
    <col min="2284" max="2284" width="11.375" style="1" bestFit="1" customWidth="1"/>
    <col min="2285" max="2287" width="12.5" style="1" bestFit="1" customWidth="1"/>
    <col min="2288" max="2288" width="11" style="1" bestFit="1" customWidth="1"/>
    <col min="2289" max="2308" width="13" style="1" bestFit="1" customWidth="1"/>
    <col min="2309" max="2312" width="11" style="1" bestFit="1" customWidth="1"/>
    <col min="2313" max="2315" width="12.25" style="1" bestFit="1" customWidth="1"/>
    <col min="2316" max="2326" width="11" style="1" bestFit="1" customWidth="1"/>
    <col min="2327" max="2327" width="13.25" style="1" bestFit="1" customWidth="1"/>
    <col min="2328" max="2328" width="10" style="1" bestFit="1" customWidth="1"/>
    <col min="2329" max="2329" width="11" style="1" bestFit="1" customWidth="1"/>
    <col min="2330" max="2534" width="9" style="1"/>
    <col min="2535" max="2535" width="2.875" style="1" bestFit="1" customWidth="1"/>
    <col min="2536" max="2536" width="16.625" style="1" bestFit="1" customWidth="1"/>
    <col min="2537" max="2537" width="11.375" style="1" bestFit="1" customWidth="1"/>
    <col min="2538" max="2539" width="14.125" style="1" bestFit="1" customWidth="1"/>
    <col min="2540" max="2540" width="11.375" style="1" bestFit="1" customWidth="1"/>
    <col min="2541" max="2543" width="12.5" style="1" bestFit="1" customWidth="1"/>
    <col min="2544" max="2544" width="11" style="1" bestFit="1" customWidth="1"/>
    <col min="2545" max="2564" width="13" style="1" bestFit="1" customWidth="1"/>
    <col min="2565" max="2568" width="11" style="1" bestFit="1" customWidth="1"/>
    <col min="2569" max="2571" width="12.25" style="1" bestFit="1" customWidth="1"/>
    <col min="2572" max="2582" width="11" style="1" bestFit="1" customWidth="1"/>
    <col min="2583" max="2583" width="13.25" style="1" bestFit="1" customWidth="1"/>
    <col min="2584" max="2584" width="10" style="1" bestFit="1" customWidth="1"/>
    <col min="2585" max="2585" width="11" style="1" bestFit="1" customWidth="1"/>
    <col min="2586" max="2790" width="9" style="1"/>
    <col min="2791" max="2791" width="2.875" style="1" bestFit="1" customWidth="1"/>
    <col min="2792" max="2792" width="16.625" style="1" bestFit="1" customWidth="1"/>
    <col min="2793" max="2793" width="11.375" style="1" bestFit="1" customWidth="1"/>
    <col min="2794" max="2795" width="14.125" style="1" bestFit="1" customWidth="1"/>
    <col min="2796" max="2796" width="11.375" style="1" bestFit="1" customWidth="1"/>
    <col min="2797" max="2799" width="12.5" style="1" bestFit="1" customWidth="1"/>
    <col min="2800" max="2800" width="11" style="1" bestFit="1" customWidth="1"/>
    <col min="2801" max="2820" width="13" style="1" bestFit="1" customWidth="1"/>
    <col min="2821" max="2824" width="11" style="1" bestFit="1" customWidth="1"/>
    <col min="2825" max="2827" width="12.25" style="1" bestFit="1" customWidth="1"/>
    <col min="2828" max="2838" width="11" style="1" bestFit="1" customWidth="1"/>
    <col min="2839" max="2839" width="13.25" style="1" bestFit="1" customWidth="1"/>
    <col min="2840" max="2840" width="10" style="1" bestFit="1" customWidth="1"/>
    <col min="2841" max="2841" width="11" style="1" bestFit="1" customWidth="1"/>
    <col min="2842" max="3046" width="9" style="1"/>
    <col min="3047" max="3047" width="2.875" style="1" bestFit="1" customWidth="1"/>
    <col min="3048" max="3048" width="16.625" style="1" bestFit="1" customWidth="1"/>
    <col min="3049" max="3049" width="11.375" style="1" bestFit="1" customWidth="1"/>
    <col min="3050" max="3051" width="14.125" style="1" bestFit="1" customWidth="1"/>
    <col min="3052" max="3052" width="11.375" style="1" bestFit="1" customWidth="1"/>
    <col min="3053" max="3055" width="12.5" style="1" bestFit="1" customWidth="1"/>
    <col min="3056" max="3056" width="11" style="1" bestFit="1" customWidth="1"/>
    <col min="3057" max="3076" width="13" style="1" bestFit="1" customWidth="1"/>
    <col min="3077" max="3080" width="11" style="1" bestFit="1" customWidth="1"/>
    <col min="3081" max="3083" width="12.25" style="1" bestFit="1" customWidth="1"/>
    <col min="3084" max="3094" width="11" style="1" bestFit="1" customWidth="1"/>
    <col min="3095" max="3095" width="13.25" style="1" bestFit="1" customWidth="1"/>
    <col min="3096" max="3096" width="10" style="1" bestFit="1" customWidth="1"/>
    <col min="3097" max="3097" width="11" style="1" bestFit="1" customWidth="1"/>
    <col min="3098" max="3302" width="9" style="1"/>
    <col min="3303" max="3303" width="2.875" style="1" bestFit="1" customWidth="1"/>
    <col min="3304" max="3304" width="16.625" style="1" bestFit="1" customWidth="1"/>
    <col min="3305" max="3305" width="11.375" style="1" bestFit="1" customWidth="1"/>
    <col min="3306" max="3307" width="14.125" style="1" bestFit="1" customWidth="1"/>
    <col min="3308" max="3308" width="11.375" style="1" bestFit="1" customWidth="1"/>
    <col min="3309" max="3311" width="12.5" style="1" bestFit="1" customWidth="1"/>
    <col min="3312" max="3312" width="11" style="1" bestFit="1" customWidth="1"/>
    <col min="3313" max="3332" width="13" style="1" bestFit="1" customWidth="1"/>
    <col min="3333" max="3336" width="11" style="1" bestFit="1" customWidth="1"/>
    <col min="3337" max="3339" width="12.25" style="1" bestFit="1" customWidth="1"/>
    <col min="3340" max="3350" width="11" style="1" bestFit="1" customWidth="1"/>
    <col min="3351" max="3351" width="13.25" style="1" bestFit="1" customWidth="1"/>
    <col min="3352" max="3352" width="10" style="1" bestFit="1" customWidth="1"/>
    <col min="3353" max="3353" width="11" style="1" bestFit="1" customWidth="1"/>
    <col min="3354" max="3558" width="9" style="1"/>
    <col min="3559" max="3559" width="2.875" style="1" bestFit="1" customWidth="1"/>
    <col min="3560" max="3560" width="16.625" style="1" bestFit="1" customWidth="1"/>
    <col min="3561" max="3561" width="11.375" style="1" bestFit="1" customWidth="1"/>
    <col min="3562" max="3563" width="14.125" style="1" bestFit="1" customWidth="1"/>
    <col min="3564" max="3564" width="11.375" style="1" bestFit="1" customWidth="1"/>
    <col min="3565" max="3567" width="12.5" style="1" bestFit="1" customWidth="1"/>
    <col min="3568" max="3568" width="11" style="1" bestFit="1" customWidth="1"/>
    <col min="3569" max="3588" width="13" style="1" bestFit="1" customWidth="1"/>
    <col min="3589" max="3592" width="11" style="1" bestFit="1" customWidth="1"/>
    <col min="3593" max="3595" width="12.25" style="1" bestFit="1" customWidth="1"/>
    <col min="3596" max="3606" width="11" style="1" bestFit="1" customWidth="1"/>
    <col min="3607" max="3607" width="13.25" style="1" bestFit="1" customWidth="1"/>
    <col min="3608" max="3608" width="10" style="1" bestFit="1" customWidth="1"/>
    <col min="3609" max="3609" width="11" style="1" bestFit="1" customWidth="1"/>
    <col min="3610" max="3814" width="9" style="1"/>
    <col min="3815" max="3815" width="2.875" style="1" bestFit="1" customWidth="1"/>
    <col min="3816" max="3816" width="16.625" style="1" bestFit="1" customWidth="1"/>
    <col min="3817" max="3817" width="11.375" style="1" bestFit="1" customWidth="1"/>
    <col min="3818" max="3819" width="14.125" style="1" bestFit="1" customWidth="1"/>
    <col min="3820" max="3820" width="11.375" style="1" bestFit="1" customWidth="1"/>
    <col min="3821" max="3823" width="12.5" style="1" bestFit="1" customWidth="1"/>
    <col min="3824" max="3824" width="11" style="1" bestFit="1" customWidth="1"/>
    <col min="3825" max="3844" width="13" style="1" bestFit="1" customWidth="1"/>
    <col min="3845" max="3848" width="11" style="1" bestFit="1" customWidth="1"/>
    <col min="3849" max="3851" width="12.25" style="1" bestFit="1" customWidth="1"/>
    <col min="3852" max="3862" width="11" style="1" bestFit="1" customWidth="1"/>
    <col min="3863" max="3863" width="13.25" style="1" bestFit="1" customWidth="1"/>
    <col min="3864" max="3864" width="10" style="1" bestFit="1" customWidth="1"/>
    <col min="3865" max="3865" width="11" style="1" bestFit="1" customWidth="1"/>
    <col min="3866" max="4070" width="9" style="1"/>
    <col min="4071" max="4071" width="2.875" style="1" bestFit="1" customWidth="1"/>
    <col min="4072" max="4072" width="16.625" style="1" bestFit="1" customWidth="1"/>
    <col min="4073" max="4073" width="11.375" style="1" bestFit="1" customWidth="1"/>
    <col min="4074" max="4075" width="14.125" style="1" bestFit="1" customWidth="1"/>
    <col min="4076" max="4076" width="11.375" style="1" bestFit="1" customWidth="1"/>
    <col min="4077" max="4079" width="12.5" style="1" bestFit="1" customWidth="1"/>
    <col min="4080" max="4080" width="11" style="1" bestFit="1" customWidth="1"/>
    <col min="4081" max="4100" width="13" style="1" bestFit="1" customWidth="1"/>
    <col min="4101" max="4104" width="11" style="1" bestFit="1" customWidth="1"/>
    <col min="4105" max="4107" width="12.25" style="1" bestFit="1" customWidth="1"/>
    <col min="4108" max="4118" width="11" style="1" bestFit="1" customWidth="1"/>
    <col min="4119" max="4119" width="13.25" style="1" bestFit="1" customWidth="1"/>
    <col min="4120" max="4120" width="10" style="1" bestFit="1" customWidth="1"/>
    <col min="4121" max="4121" width="11" style="1" bestFit="1" customWidth="1"/>
    <col min="4122" max="4326" width="9" style="1"/>
    <col min="4327" max="4327" width="2.875" style="1" bestFit="1" customWidth="1"/>
    <col min="4328" max="4328" width="16.625" style="1" bestFit="1" customWidth="1"/>
    <col min="4329" max="4329" width="11.375" style="1" bestFit="1" customWidth="1"/>
    <col min="4330" max="4331" width="14.125" style="1" bestFit="1" customWidth="1"/>
    <col min="4332" max="4332" width="11.375" style="1" bestFit="1" customWidth="1"/>
    <col min="4333" max="4335" width="12.5" style="1" bestFit="1" customWidth="1"/>
    <col min="4336" max="4336" width="11" style="1" bestFit="1" customWidth="1"/>
    <col min="4337" max="4356" width="13" style="1" bestFit="1" customWidth="1"/>
    <col min="4357" max="4360" width="11" style="1" bestFit="1" customWidth="1"/>
    <col min="4361" max="4363" width="12.25" style="1" bestFit="1" customWidth="1"/>
    <col min="4364" max="4374" width="11" style="1" bestFit="1" customWidth="1"/>
    <col min="4375" max="4375" width="13.25" style="1" bestFit="1" customWidth="1"/>
    <col min="4376" max="4376" width="10" style="1" bestFit="1" customWidth="1"/>
    <col min="4377" max="4377" width="11" style="1" bestFit="1" customWidth="1"/>
    <col min="4378" max="4582" width="9" style="1"/>
    <col min="4583" max="4583" width="2.875" style="1" bestFit="1" customWidth="1"/>
    <col min="4584" max="4584" width="16.625" style="1" bestFit="1" customWidth="1"/>
    <col min="4585" max="4585" width="11.375" style="1" bestFit="1" customWidth="1"/>
    <col min="4586" max="4587" width="14.125" style="1" bestFit="1" customWidth="1"/>
    <col min="4588" max="4588" width="11.375" style="1" bestFit="1" customWidth="1"/>
    <col min="4589" max="4591" width="12.5" style="1" bestFit="1" customWidth="1"/>
    <col min="4592" max="4592" width="11" style="1" bestFit="1" customWidth="1"/>
    <col min="4593" max="4612" width="13" style="1" bestFit="1" customWidth="1"/>
    <col min="4613" max="4616" width="11" style="1" bestFit="1" customWidth="1"/>
    <col min="4617" max="4619" width="12.25" style="1" bestFit="1" customWidth="1"/>
    <col min="4620" max="4630" width="11" style="1" bestFit="1" customWidth="1"/>
    <col min="4631" max="4631" width="13.25" style="1" bestFit="1" customWidth="1"/>
    <col min="4632" max="4632" width="10" style="1" bestFit="1" customWidth="1"/>
    <col min="4633" max="4633" width="11" style="1" bestFit="1" customWidth="1"/>
    <col min="4634" max="4838" width="9" style="1"/>
    <col min="4839" max="4839" width="2.875" style="1" bestFit="1" customWidth="1"/>
    <col min="4840" max="4840" width="16.625" style="1" bestFit="1" customWidth="1"/>
    <col min="4841" max="4841" width="11.375" style="1" bestFit="1" customWidth="1"/>
    <col min="4842" max="4843" width="14.125" style="1" bestFit="1" customWidth="1"/>
    <col min="4844" max="4844" width="11.375" style="1" bestFit="1" customWidth="1"/>
    <col min="4845" max="4847" width="12.5" style="1" bestFit="1" customWidth="1"/>
    <col min="4848" max="4848" width="11" style="1" bestFit="1" customWidth="1"/>
    <col min="4849" max="4868" width="13" style="1" bestFit="1" customWidth="1"/>
    <col min="4869" max="4872" width="11" style="1" bestFit="1" customWidth="1"/>
    <col min="4873" max="4875" width="12.25" style="1" bestFit="1" customWidth="1"/>
    <col min="4876" max="4886" width="11" style="1" bestFit="1" customWidth="1"/>
    <col min="4887" max="4887" width="13.25" style="1" bestFit="1" customWidth="1"/>
    <col min="4888" max="4888" width="10" style="1" bestFit="1" customWidth="1"/>
    <col min="4889" max="4889" width="11" style="1" bestFit="1" customWidth="1"/>
    <col min="4890" max="5094" width="9" style="1"/>
    <col min="5095" max="5095" width="2.875" style="1" bestFit="1" customWidth="1"/>
    <col min="5096" max="5096" width="16.625" style="1" bestFit="1" customWidth="1"/>
    <col min="5097" max="5097" width="11.375" style="1" bestFit="1" customWidth="1"/>
    <col min="5098" max="5099" width="14.125" style="1" bestFit="1" customWidth="1"/>
    <col min="5100" max="5100" width="11.375" style="1" bestFit="1" customWidth="1"/>
    <col min="5101" max="5103" width="12.5" style="1" bestFit="1" customWidth="1"/>
    <col min="5104" max="5104" width="11" style="1" bestFit="1" customWidth="1"/>
    <col min="5105" max="5124" width="13" style="1" bestFit="1" customWidth="1"/>
    <col min="5125" max="5128" width="11" style="1" bestFit="1" customWidth="1"/>
    <col min="5129" max="5131" width="12.25" style="1" bestFit="1" customWidth="1"/>
    <col min="5132" max="5142" width="11" style="1" bestFit="1" customWidth="1"/>
    <col min="5143" max="5143" width="13.25" style="1" bestFit="1" customWidth="1"/>
    <col min="5144" max="5144" width="10" style="1" bestFit="1" customWidth="1"/>
    <col min="5145" max="5145" width="11" style="1" bestFit="1" customWidth="1"/>
    <col min="5146" max="5350" width="9" style="1"/>
    <col min="5351" max="5351" width="2.875" style="1" bestFit="1" customWidth="1"/>
    <col min="5352" max="5352" width="16.625" style="1" bestFit="1" customWidth="1"/>
    <col min="5353" max="5353" width="11.375" style="1" bestFit="1" customWidth="1"/>
    <col min="5354" max="5355" width="14.125" style="1" bestFit="1" customWidth="1"/>
    <col min="5356" max="5356" width="11.375" style="1" bestFit="1" customWidth="1"/>
    <col min="5357" max="5359" width="12.5" style="1" bestFit="1" customWidth="1"/>
    <col min="5360" max="5360" width="11" style="1" bestFit="1" customWidth="1"/>
    <col min="5361" max="5380" width="13" style="1" bestFit="1" customWidth="1"/>
    <col min="5381" max="5384" width="11" style="1" bestFit="1" customWidth="1"/>
    <col min="5385" max="5387" width="12.25" style="1" bestFit="1" customWidth="1"/>
    <col min="5388" max="5398" width="11" style="1" bestFit="1" customWidth="1"/>
    <col min="5399" max="5399" width="13.25" style="1" bestFit="1" customWidth="1"/>
    <col min="5400" max="5400" width="10" style="1" bestFit="1" customWidth="1"/>
    <col min="5401" max="5401" width="11" style="1" bestFit="1" customWidth="1"/>
    <col min="5402" max="5606" width="9" style="1"/>
    <col min="5607" max="5607" width="2.875" style="1" bestFit="1" customWidth="1"/>
    <col min="5608" max="5608" width="16.625" style="1" bestFit="1" customWidth="1"/>
    <col min="5609" max="5609" width="11.375" style="1" bestFit="1" customWidth="1"/>
    <col min="5610" max="5611" width="14.125" style="1" bestFit="1" customWidth="1"/>
    <col min="5612" max="5612" width="11.375" style="1" bestFit="1" customWidth="1"/>
    <col min="5613" max="5615" width="12.5" style="1" bestFit="1" customWidth="1"/>
    <col min="5616" max="5616" width="11" style="1" bestFit="1" customWidth="1"/>
    <col min="5617" max="5636" width="13" style="1" bestFit="1" customWidth="1"/>
    <col min="5637" max="5640" width="11" style="1" bestFit="1" customWidth="1"/>
    <col min="5641" max="5643" width="12.25" style="1" bestFit="1" customWidth="1"/>
    <col min="5644" max="5654" width="11" style="1" bestFit="1" customWidth="1"/>
    <col min="5655" max="5655" width="13.25" style="1" bestFit="1" customWidth="1"/>
    <col min="5656" max="5656" width="10" style="1" bestFit="1" customWidth="1"/>
    <col min="5657" max="5657" width="11" style="1" bestFit="1" customWidth="1"/>
    <col min="5658" max="5862" width="9" style="1"/>
    <col min="5863" max="5863" width="2.875" style="1" bestFit="1" customWidth="1"/>
    <col min="5864" max="5864" width="16.625" style="1" bestFit="1" customWidth="1"/>
    <col min="5865" max="5865" width="11.375" style="1" bestFit="1" customWidth="1"/>
    <col min="5866" max="5867" width="14.125" style="1" bestFit="1" customWidth="1"/>
    <col min="5868" max="5868" width="11.375" style="1" bestFit="1" customWidth="1"/>
    <col min="5869" max="5871" width="12.5" style="1" bestFit="1" customWidth="1"/>
    <col min="5872" max="5872" width="11" style="1" bestFit="1" customWidth="1"/>
    <col min="5873" max="5892" width="13" style="1" bestFit="1" customWidth="1"/>
    <col min="5893" max="5896" width="11" style="1" bestFit="1" customWidth="1"/>
    <col min="5897" max="5899" width="12.25" style="1" bestFit="1" customWidth="1"/>
    <col min="5900" max="5910" width="11" style="1" bestFit="1" customWidth="1"/>
    <col min="5911" max="5911" width="13.25" style="1" bestFit="1" customWidth="1"/>
    <col min="5912" max="5912" width="10" style="1" bestFit="1" customWidth="1"/>
    <col min="5913" max="5913" width="11" style="1" bestFit="1" customWidth="1"/>
    <col min="5914" max="6118" width="9" style="1"/>
    <col min="6119" max="6119" width="2.875" style="1" bestFit="1" customWidth="1"/>
    <col min="6120" max="6120" width="16.625" style="1" bestFit="1" customWidth="1"/>
    <col min="6121" max="6121" width="11.375" style="1" bestFit="1" customWidth="1"/>
    <col min="6122" max="6123" width="14.125" style="1" bestFit="1" customWidth="1"/>
    <col min="6124" max="6124" width="11.375" style="1" bestFit="1" customWidth="1"/>
    <col min="6125" max="6127" width="12.5" style="1" bestFit="1" customWidth="1"/>
    <col min="6128" max="6128" width="11" style="1" bestFit="1" customWidth="1"/>
    <col min="6129" max="6148" width="13" style="1" bestFit="1" customWidth="1"/>
    <col min="6149" max="6152" width="11" style="1" bestFit="1" customWidth="1"/>
    <col min="6153" max="6155" width="12.25" style="1" bestFit="1" customWidth="1"/>
    <col min="6156" max="6166" width="11" style="1" bestFit="1" customWidth="1"/>
    <col min="6167" max="6167" width="13.25" style="1" bestFit="1" customWidth="1"/>
    <col min="6168" max="6168" width="10" style="1" bestFit="1" customWidth="1"/>
    <col min="6169" max="6169" width="11" style="1" bestFit="1" customWidth="1"/>
    <col min="6170" max="6374" width="9" style="1"/>
    <col min="6375" max="6375" width="2.875" style="1" bestFit="1" customWidth="1"/>
    <col min="6376" max="6376" width="16.625" style="1" bestFit="1" customWidth="1"/>
    <col min="6377" max="6377" width="11.375" style="1" bestFit="1" customWidth="1"/>
    <col min="6378" max="6379" width="14.125" style="1" bestFit="1" customWidth="1"/>
    <col min="6380" max="6380" width="11.375" style="1" bestFit="1" customWidth="1"/>
    <col min="6381" max="6383" width="12.5" style="1" bestFit="1" customWidth="1"/>
    <col min="6384" max="6384" width="11" style="1" bestFit="1" customWidth="1"/>
    <col min="6385" max="6404" width="13" style="1" bestFit="1" customWidth="1"/>
    <col min="6405" max="6408" width="11" style="1" bestFit="1" customWidth="1"/>
    <col min="6409" max="6411" width="12.25" style="1" bestFit="1" customWidth="1"/>
    <col min="6412" max="6422" width="11" style="1" bestFit="1" customWidth="1"/>
    <col min="6423" max="6423" width="13.25" style="1" bestFit="1" customWidth="1"/>
    <col min="6424" max="6424" width="10" style="1" bestFit="1" customWidth="1"/>
    <col min="6425" max="6425" width="11" style="1" bestFit="1" customWidth="1"/>
    <col min="6426" max="6630" width="9" style="1"/>
    <col min="6631" max="6631" width="2.875" style="1" bestFit="1" customWidth="1"/>
    <col min="6632" max="6632" width="16.625" style="1" bestFit="1" customWidth="1"/>
    <col min="6633" max="6633" width="11.375" style="1" bestFit="1" customWidth="1"/>
    <col min="6634" max="6635" width="14.125" style="1" bestFit="1" customWidth="1"/>
    <col min="6636" max="6636" width="11.375" style="1" bestFit="1" customWidth="1"/>
    <col min="6637" max="6639" width="12.5" style="1" bestFit="1" customWidth="1"/>
    <col min="6640" max="6640" width="11" style="1" bestFit="1" customWidth="1"/>
    <col min="6641" max="6660" width="13" style="1" bestFit="1" customWidth="1"/>
    <col min="6661" max="6664" width="11" style="1" bestFit="1" customWidth="1"/>
    <col min="6665" max="6667" width="12.25" style="1" bestFit="1" customWidth="1"/>
    <col min="6668" max="6678" width="11" style="1" bestFit="1" customWidth="1"/>
    <col min="6679" max="6679" width="13.25" style="1" bestFit="1" customWidth="1"/>
    <col min="6680" max="6680" width="10" style="1" bestFit="1" customWidth="1"/>
    <col min="6681" max="6681" width="11" style="1" bestFit="1" customWidth="1"/>
    <col min="6682" max="6886" width="9" style="1"/>
    <col min="6887" max="6887" width="2.875" style="1" bestFit="1" customWidth="1"/>
    <col min="6888" max="6888" width="16.625" style="1" bestFit="1" customWidth="1"/>
    <col min="6889" max="6889" width="11.375" style="1" bestFit="1" customWidth="1"/>
    <col min="6890" max="6891" width="14.125" style="1" bestFit="1" customWidth="1"/>
    <col min="6892" max="6892" width="11.375" style="1" bestFit="1" customWidth="1"/>
    <col min="6893" max="6895" width="12.5" style="1" bestFit="1" customWidth="1"/>
    <col min="6896" max="6896" width="11" style="1" bestFit="1" customWidth="1"/>
    <col min="6897" max="6916" width="13" style="1" bestFit="1" customWidth="1"/>
    <col min="6917" max="6920" width="11" style="1" bestFit="1" customWidth="1"/>
    <col min="6921" max="6923" width="12.25" style="1" bestFit="1" customWidth="1"/>
    <col min="6924" max="6934" width="11" style="1" bestFit="1" customWidth="1"/>
    <col min="6935" max="6935" width="13.25" style="1" bestFit="1" customWidth="1"/>
    <col min="6936" max="6936" width="10" style="1" bestFit="1" customWidth="1"/>
    <col min="6937" max="6937" width="11" style="1" bestFit="1" customWidth="1"/>
    <col min="6938" max="7142" width="9" style="1"/>
    <col min="7143" max="7143" width="2.875" style="1" bestFit="1" customWidth="1"/>
    <col min="7144" max="7144" width="16.625" style="1" bestFit="1" customWidth="1"/>
    <col min="7145" max="7145" width="11.375" style="1" bestFit="1" customWidth="1"/>
    <col min="7146" max="7147" width="14.125" style="1" bestFit="1" customWidth="1"/>
    <col min="7148" max="7148" width="11.375" style="1" bestFit="1" customWidth="1"/>
    <col min="7149" max="7151" width="12.5" style="1" bestFit="1" customWidth="1"/>
    <col min="7152" max="7152" width="11" style="1" bestFit="1" customWidth="1"/>
    <col min="7153" max="7172" width="13" style="1" bestFit="1" customWidth="1"/>
    <col min="7173" max="7176" width="11" style="1" bestFit="1" customWidth="1"/>
    <col min="7177" max="7179" width="12.25" style="1" bestFit="1" customWidth="1"/>
    <col min="7180" max="7190" width="11" style="1" bestFit="1" customWidth="1"/>
    <col min="7191" max="7191" width="13.25" style="1" bestFit="1" customWidth="1"/>
    <col min="7192" max="7192" width="10" style="1" bestFit="1" customWidth="1"/>
    <col min="7193" max="7193" width="11" style="1" bestFit="1" customWidth="1"/>
    <col min="7194" max="7398" width="9" style="1"/>
    <col min="7399" max="7399" width="2.875" style="1" bestFit="1" customWidth="1"/>
    <col min="7400" max="7400" width="16.625" style="1" bestFit="1" customWidth="1"/>
    <col min="7401" max="7401" width="11.375" style="1" bestFit="1" customWidth="1"/>
    <col min="7402" max="7403" width="14.125" style="1" bestFit="1" customWidth="1"/>
    <col min="7404" max="7404" width="11.375" style="1" bestFit="1" customWidth="1"/>
    <col min="7405" max="7407" width="12.5" style="1" bestFit="1" customWidth="1"/>
    <col min="7408" max="7408" width="11" style="1" bestFit="1" customWidth="1"/>
    <col min="7409" max="7428" width="13" style="1" bestFit="1" customWidth="1"/>
    <col min="7429" max="7432" width="11" style="1" bestFit="1" customWidth="1"/>
    <col min="7433" max="7435" width="12.25" style="1" bestFit="1" customWidth="1"/>
    <col min="7436" max="7446" width="11" style="1" bestFit="1" customWidth="1"/>
    <col min="7447" max="7447" width="13.25" style="1" bestFit="1" customWidth="1"/>
    <col min="7448" max="7448" width="10" style="1" bestFit="1" customWidth="1"/>
    <col min="7449" max="7449" width="11" style="1" bestFit="1" customWidth="1"/>
    <col min="7450" max="7654" width="9" style="1"/>
    <col min="7655" max="7655" width="2.875" style="1" bestFit="1" customWidth="1"/>
    <col min="7656" max="7656" width="16.625" style="1" bestFit="1" customWidth="1"/>
    <col min="7657" max="7657" width="11.375" style="1" bestFit="1" customWidth="1"/>
    <col min="7658" max="7659" width="14.125" style="1" bestFit="1" customWidth="1"/>
    <col min="7660" max="7660" width="11.375" style="1" bestFit="1" customWidth="1"/>
    <col min="7661" max="7663" width="12.5" style="1" bestFit="1" customWidth="1"/>
    <col min="7664" max="7664" width="11" style="1" bestFit="1" customWidth="1"/>
    <col min="7665" max="7684" width="13" style="1" bestFit="1" customWidth="1"/>
    <col min="7685" max="7688" width="11" style="1" bestFit="1" customWidth="1"/>
    <col min="7689" max="7691" width="12.25" style="1" bestFit="1" customWidth="1"/>
    <col min="7692" max="7702" width="11" style="1" bestFit="1" customWidth="1"/>
    <col min="7703" max="7703" width="13.25" style="1" bestFit="1" customWidth="1"/>
    <col min="7704" max="7704" width="10" style="1" bestFit="1" customWidth="1"/>
    <col min="7705" max="7705" width="11" style="1" bestFit="1" customWidth="1"/>
    <col min="7706" max="7910" width="9" style="1"/>
    <col min="7911" max="7911" width="2.875" style="1" bestFit="1" customWidth="1"/>
    <col min="7912" max="7912" width="16.625" style="1" bestFit="1" customWidth="1"/>
    <col min="7913" max="7913" width="11.375" style="1" bestFit="1" customWidth="1"/>
    <col min="7914" max="7915" width="14.125" style="1" bestFit="1" customWidth="1"/>
    <col min="7916" max="7916" width="11.375" style="1" bestFit="1" customWidth="1"/>
    <col min="7917" max="7919" width="12.5" style="1" bestFit="1" customWidth="1"/>
    <col min="7920" max="7920" width="11" style="1" bestFit="1" customWidth="1"/>
    <col min="7921" max="7940" width="13" style="1" bestFit="1" customWidth="1"/>
    <col min="7941" max="7944" width="11" style="1" bestFit="1" customWidth="1"/>
    <col min="7945" max="7947" width="12.25" style="1" bestFit="1" customWidth="1"/>
    <col min="7948" max="7958" width="11" style="1" bestFit="1" customWidth="1"/>
    <col min="7959" max="7959" width="13.25" style="1" bestFit="1" customWidth="1"/>
    <col min="7960" max="7960" width="10" style="1" bestFit="1" customWidth="1"/>
    <col min="7961" max="7961" width="11" style="1" bestFit="1" customWidth="1"/>
    <col min="7962" max="8166" width="9" style="1"/>
    <col min="8167" max="8167" width="2.875" style="1" bestFit="1" customWidth="1"/>
    <col min="8168" max="8168" width="16.625" style="1" bestFit="1" customWidth="1"/>
    <col min="8169" max="8169" width="11.375" style="1" bestFit="1" customWidth="1"/>
    <col min="8170" max="8171" width="14.125" style="1" bestFit="1" customWidth="1"/>
    <col min="8172" max="8172" width="11.375" style="1" bestFit="1" customWidth="1"/>
    <col min="8173" max="8175" width="12.5" style="1" bestFit="1" customWidth="1"/>
    <col min="8176" max="8176" width="11" style="1" bestFit="1" customWidth="1"/>
    <col min="8177" max="8196" width="13" style="1" bestFit="1" customWidth="1"/>
    <col min="8197" max="8200" width="11" style="1" bestFit="1" customWidth="1"/>
    <col min="8201" max="8203" width="12.25" style="1" bestFit="1" customWidth="1"/>
    <col min="8204" max="8214" width="11" style="1" bestFit="1" customWidth="1"/>
    <col min="8215" max="8215" width="13.25" style="1" bestFit="1" customWidth="1"/>
    <col min="8216" max="8216" width="10" style="1" bestFit="1" customWidth="1"/>
    <col min="8217" max="8217" width="11" style="1" bestFit="1" customWidth="1"/>
    <col min="8218" max="8422" width="9" style="1"/>
    <col min="8423" max="8423" width="2.875" style="1" bestFit="1" customWidth="1"/>
    <col min="8424" max="8424" width="16.625" style="1" bestFit="1" customWidth="1"/>
    <col min="8425" max="8425" width="11.375" style="1" bestFit="1" customWidth="1"/>
    <col min="8426" max="8427" width="14.125" style="1" bestFit="1" customWidth="1"/>
    <col min="8428" max="8428" width="11.375" style="1" bestFit="1" customWidth="1"/>
    <col min="8429" max="8431" width="12.5" style="1" bestFit="1" customWidth="1"/>
    <col min="8432" max="8432" width="11" style="1" bestFit="1" customWidth="1"/>
    <col min="8433" max="8452" width="13" style="1" bestFit="1" customWidth="1"/>
    <col min="8453" max="8456" width="11" style="1" bestFit="1" customWidth="1"/>
    <col min="8457" max="8459" width="12.25" style="1" bestFit="1" customWidth="1"/>
    <col min="8460" max="8470" width="11" style="1" bestFit="1" customWidth="1"/>
    <col min="8471" max="8471" width="13.25" style="1" bestFit="1" customWidth="1"/>
    <col min="8472" max="8472" width="10" style="1" bestFit="1" customWidth="1"/>
    <col min="8473" max="8473" width="11" style="1" bestFit="1" customWidth="1"/>
    <col min="8474" max="8678" width="9" style="1"/>
    <col min="8679" max="8679" width="2.875" style="1" bestFit="1" customWidth="1"/>
    <col min="8680" max="8680" width="16.625" style="1" bestFit="1" customWidth="1"/>
    <col min="8681" max="8681" width="11.375" style="1" bestFit="1" customWidth="1"/>
    <col min="8682" max="8683" width="14.125" style="1" bestFit="1" customWidth="1"/>
    <col min="8684" max="8684" width="11.375" style="1" bestFit="1" customWidth="1"/>
    <col min="8685" max="8687" width="12.5" style="1" bestFit="1" customWidth="1"/>
    <col min="8688" max="8688" width="11" style="1" bestFit="1" customWidth="1"/>
    <col min="8689" max="8708" width="13" style="1" bestFit="1" customWidth="1"/>
    <col min="8709" max="8712" width="11" style="1" bestFit="1" customWidth="1"/>
    <col min="8713" max="8715" width="12.25" style="1" bestFit="1" customWidth="1"/>
    <col min="8716" max="8726" width="11" style="1" bestFit="1" customWidth="1"/>
    <col min="8727" max="8727" width="13.25" style="1" bestFit="1" customWidth="1"/>
    <col min="8728" max="8728" width="10" style="1" bestFit="1" customWidth="1"/>
    <col min="8729" max="8729" width="11" style="1" bestFit="1" customWidth="1"/>
    <col min="8730" max="8934" width="9" style="1"/>
    <col min="8935" max="8935" width="2.875" style="1" bestFit="1" customWidth="1"/>
    <col min="8936" max="8936" width="16.625" style="1" bestFit="1" customWidth="1"/>
    <col min="8937" max="8937" width="11.375" style="1" bestFit="1" customWidth="1"/>
    <col min="8938" max="8939" width="14.125" style="1" bestFit="1" customWidth="1"/>
    <col min="8940" max="8940" width="11.375" style="1" bestFit="1" customWidth="1"/>
    <col min="8941" max="8943" width="12.5" style="1" bestFit="1" customWidth="1"/>
    <col min="8944" max="8944" width="11" style="1" bestFit="1" customWidth="1"/>
    <col min="8945" max="8964" width="13" style="1" bestFit="1" customWidth="1"/>
    <col min="8965" max="8968" width="11" style="1" bestFit="1" customWidth="1"/>
    <col min="8969" max="8971" width="12.25" style="1" bestFit="1" customWidth="1"/>
    <col min="8972" max="8982" width="11" style="1" bestFit="1" customWidth="1"/>
    <col min="8983" max="8983" width="13.25" style="1" bestFit="1" customWidth="1"/>
    <col min="8984" max="8984" width="10" style="1" bestFit="1" customWidth="1"/>
    <col min="8985" max="8985" width="11" style="1" bestFit="1" customWidth="1"/>
    <col min="8986" max="9190" width="9" style="1"/>
    <col min="9191" max="9191" width="2.875" style="1" bestFit="1" customWidth="1"/>
    <col min="9192" max="9192" width="16.625" style="1" bestFit="1" customWidth="1"/>
    <col min="9193" max="9193" width="11.375" style="1" bestFit="1" customWidth="1"/>
    <col min="9194" max="9195" width="14.125" style="1" bestFit="1" customWidth="1"/>
    <col min="9196" max="9196" width="11.375" style="1" bestFit="1" customWidth="1"/>
    <col min="9197" max="9199" width="12.5" style="1" bestFit="1" customWidth="1"/>
    <col min="9200" max="9200" width="11" style="1" bestFit="1" customWidth="1"/>
    <col min="9201" max="9220" width="13" style="1" bestFit="1" customWidth="1"/>
    <col min="9221" max="9224" width="11" style="1" bestFit="1" customWidth="1"/>
    <col min="9225" max="9227" width="12.25" style="1" bestFit="1" customWidth="1"/>
    <col min="9228" max="9238" width="11" style="1" bestFit="1" customWidth="1"/>
    <col min="9239" max="9239" width="13.25" style="1" bestFit="1" customWidth="1"/>
    <col min="9240" max="9240" width="10" style="1" bestFit="1" customWidth="1"/>
    <col min="9241" max="9241" width="11" style="1" bestFit="1" customWidth="1"/>
    <col min="9242" max="9446" width="9" style="1"/>
    <col min="9447" max="9447" width="2.875" style="1" bestFit="1" customWidth="1"/>
    <col min="9448" max="9448" width="16.625" style="1" bestFit="1" customWidth="1"/>
    <col min="9449" max="9449" width="11.375" style="1" bestFit="1" customWidth="1"/>
    <col min="9450" max="9451" width="14.125" style="1" bestFit="1" customWidth="1"/>
    <col min="9452" max="9452" width="11.375" style="1" bestFit="1" customWidth="1"/>
    <col min="9453" max="9455" width="12.5" style="1" bestFit="1" customWidth="1"/>
    <col min="9456" max="9456" width="11" style="1" bestFit="1" customWidth="1"/>
    <col min="9457" max="9476" width="13" style="1" bestFit="1" customWidth="1"/>
    <col min="9477" max="9480" width="11" style="1" bestFit="1" customWidth="1"/>
    <col min="9481" max="9483" width="12.25" style="1" bestFit="1" customWidth="1"/>
    <col min="9484" max="9494" width="11" style="1" bestFit="1" customWidth="1"/>
    <col min="9495" max="9495" width="13.25" style="1" bestFit="1" customWidth="1"/>
    <col min="9496" max="9496" width="10" style="1" bestFit="1" customWidth="1"/>
    <col min="9497" max="9497" width="11" style="1" bestFit="1" customWidth="1"/>
    <col min="9498" max="9702" width="9" style="1"/>
    <col min="9703" max="9703" width="2.875" style="1" bestFit="1" customWidth="1"/>
    <col min="9704" max="9704" width="16.625" style="1" bestFit="1" customWidth="1"/>
    <col min="9705" max="9705" width="11.375" style="1" bestFit="1" customWidth="1"/>
    <col min="9706" max="9707" width="14.125" style="1" bestFit="1" customWidth="1"/>
    <col min="9708" max="9708" width="11.375" style="1" bestFit="1" customWidth="1"/>
    <col min="9709" max="9711" width="12.5" style="1" bestFit="1" customWidth="1"/>
    <col min="9712" max="9712" width="11" style="1" bestFit="1" customWidth="1"/>
    <col min="9713" max="9732" width="13" style="1" bestFit="1" customWidth="1"/>
    <col min="9733" max="9736" width="11" style="1" bestFit="1" customWidth="1"/>
    <col min="9737" max="9739" width="12.25" style="1" bestFit="1" customWidth="1"/>
    <col min="9740" max="9750" width="11" style="1" bestFit="1" customWidth="1"/>
    <col min="9751" max="9751" width="13.25" style="1" bestFit="1" customWidth="1"/>
    <col min="9752" max="9752" width="10" style="1" bestFit="1" customWidth="1"/>
    <col min="9753" max="9753" width="11" style="1" bestFit="1" customWidth="1"/>
    <col min="9754" max="9958" width="9" style="1"/>
    <col min="9959" max="9959" width="2.875" style="1" bestFit="1" customWidth="1"/>
    <col min="9960" max="9960" width="16.625" style="1" bestFit="1" customWidth="1"/>
    <col min="9961" max="9961" width="11.375" style="1" bestFit="1" customWidth="1"/>
    <col min="9962" max="9963" width="14.125" style="1" bestFit="1" customWidth="1"/>
    <col min="9964" max="9964" width="11.375" style="1" bestFit="1" customWidth="1"/>
    <col min="9965" max="9967" width="12.5" style="1" bestFit="1" customWidth="1"/>
    <col min="9968" max="9968" width="11" style="1" bestFit="1" customWidth="1"/>
    <col min="9969" max="9988" width="13" style="1" bestFit="1" customWidth="1"/>
    <col min="9989" max="9992" width="11" style="1" bestFit="1" customWidth="1"/>
    <col min="9993" max="9995" width="12.25" style="1" bestFit="1" customWidth="1"/>
    <col min="9996" max="10006" width="11" style="1" bestFit="1" customWidth="1"/>
    <col min="10007" max="10007" width="13.25" style="1" bestFit="1" customWidth="1"/>
    <col min="10008" max="10008" width="10" style="1" bestFit="1" customWidth="1"/>
    <col min="10009" max="10009" width="11" style="1" bestFit="1" customWidth="1"/>
    <col min="10010" max="10214" width="9" style="1"/>
    <col min="10215" max="10215" width="2.875" style="1" bestFit="1" customWidth="1"/>
    <col min="10216" max="10216" width="16.625" style="1" bestFit="1" customWidth="1"/>
    <col min="10217" max="10217" width="11.375" style="1" bestFit="1" customWidth="1"/>
    <col min="10218" max="10219" width="14.125" style="1" bestFit="1" customWidth="1"/>
    <col min="10220" max="10220" width="11.375" style="1" bestFit="1" customWidth="1"/>
    <col min="10221" max="10223" width="12.5" style="1" bestFit="1" customWidth="1"/>
    <col min="10224" max="10224" width="11" style="1" bestFit="1" customWidth="1"/>
    <col min="10225" max="10244" width="13" style="1" bestFit="1" customWidth="1"/>
    <col min="10245" max="10248" width="11" style="1" bestFit="1" customWidth="1"/>
    <col min="10249" max="10251" width="12.25" style="1" bestFit="1" customWidth="1"/>
    <col min="10252" max="10262" width="11" style="1" bestFit="1" customWidth="1"/>
    <col min="10263" max="10263" width="13.25" style="1" bestFit="1" customWidth="1"/>
    <col min="10264" max="10264" width="10" style="1" bestFit="1" customWidth="1"/>
    <col min="10265" max="10265" width="11" style="1" bestFit="1" customWidth="1"/>
    <col min="10266" max="10470" width="9" style="1"/>
    <col min="10471" max="10471" width="2.875" style="1" bestFit="1" customWidth="1"/>
    <col min="10472" max="10472" width="16.625" style="1" bestFit="1" customWidth="1"/>
    <col min="10473" max="10473" width="11.375" style="1" bestFit="1" customWidth="1"/>
    <col min="10474" max="10475" width="14.125" style="1" bestFit="1" customWidth="1"/>
    <col min="10476" max="10476" width="11.375" style="1" bestFit="1" customWidth="1"/>
    <col min="10477" max="10479" width="12.5" style="1" bestFit="1" customWidth="1"/>
    <col min="10480" max="10480" width="11" style="1" bestFit="1" customWidth="1"/>
    <col min="10481" max="10500" width="13" style="1" bestFit="1" customWidth="1"/>
    <col min="10501" max="10504" width="11" style="1" bestFit="1" customWidth="1"/>
    <col min="10505" max="10507" width="12.25" style="1" bestFit="1" customWidth="1"/>
    <col min="10508" max="10518" width="11" style="1" bestFit="1" customWidth="1"/>
    <col min="10519" max="10519" width="13.25" style="1" bestFit="1" customWidth="1"/>
    <col min="10520" max="10520" width="10" style="1" bestFit="1" customWidth="1"/>
    <col min="10521" max="10521" width="11" style="1" bestFit="1" customWidth="1"/>
    <col min="10522" max="10726" width="9" style="1"/>
    <col min="10727" max="10727" width="2.875" style="1" bestFit="1" customWidth="1"/>
    <col min="10728" max="10728" width="16.625" style="1" bestFit="1" customWidth="1"/>
    <col min="10729" max="10729" width="11.375" style="1" bestFit="1" customWidth="1"/>
    <col min="10730" max="10731" width="14.125" style="1" bestFit="1" customWidth="1"/>
    <col min="10732" max="10732" width="11.375" style="1" bestFit="1" customWidth="1"/>
    <col min="10733" max="10735" width="12.5" style="1" bestFit="1" customWidth="1"/>
    <col min="10736" max="10736" width="11" style="1" bestFit="1" customWidth="1"/>
    <col min="10737" max="10756" width="13" style="1" bestFit="1" customWidth="1"/>
    <col min="10757" max="10760" width="11" style="1" bestFit="1" customWidth="1"/>
    <col min="10761" max="10763" width="12.25" style="1" bestFit="1" customWidth="1"/>
    <col min="10764" max="10774" width="11" style="1" bestFit="1" customWidth="1"/>
    <col min="10775" max="10775" width="13.25" style="1" bestFit="1" customWidth="1"/>
    <col min="10776" max="10776" width="10" style="1" bestFit="1" customWidth="1"/>
    <col min="10777" max="10777" width="11" style="1" bestFit="1" customWidth="1"/>
    <col min="10778" max="10982" width="9" style="1"/>
    <col min="10983" max="10983" width="2.875" style="1" bestFit="1" customWidth="1"/>
    <col min="10984" max="10984" width="16.625" style="1" bestFit="1" customWidth="1"/>
    <col min="10985" max="10985" width="11.375" style="1" bestFit="1" customWidth="1"/>
    <col min="10986" max="10987" width="14.125" style="1" bestFit="1" customWidth="1"/>
    <col min="10988" max="10988" width="11.375" style="1" bestFit="1" customWidth="1"/>
    <col min="10989" max="10991" width="12.5" style="1" bestFit="1" customWidth="1"/>
    <col min="10992" max="10992" width="11" style="1" bestFit="1" customWidth="1"/>
    <col min="10993" max="11012" width="13" style="1" bestFit="1" customWidth="1"/>
    <col min="11013" max="11016" width="11" style="1" bestFit="1" customWidth="1"/>
    <col min="11017" max="11019" width="12.25" style="1" bestFit="1" customWidth="1"/>
    <col min="11020" max="11030" width="11" style="1" bestFit="1" customWidth="1"/>
    <col min="11031" max="11031" width="13.25" style="1" bestFit="1" customWidth="1"/>
    <col min="11032" max="11032" width="10" style="1" bestFit="1" customWidth="1"/>
    <col min="11033" max="11033" width="11" style="1" bestFit="1" customWidth="1"/>
    <col min="11034" max="11238" width="9" style="1"/>
    <col min="11239" max="11239" width="2.875" style="1" bestFit="1" customWidth="1"/>
    <col min="11240" max="11240" width="16.625" style="1" bestFit="1" customWidth="1"/>
    <col min="11241" max="11241" width="11.375" style="1" bestFit="1" customWidth="1"/>
    <col min="11242" max="11243" width="14.125" style="1" bestFit="1" customWidth="1"/>
    <col min="11244" max="11244" width="11.375" style="1" bestFit="1" customWidth="1"/>
    <col min="11245" max="11247" width="12.5" style="1" bestFit="1" customWidth="1"/>
    <col min="11248" max="11248" width="11" style="1" bestFit="1" customWidth="1"/>
    <col min="11249" max="11268" width="13" style="1" bestFit="1" customWidth="1"/>
    <col min="11269" max="11272" width="11" style="1" bestFit="1" customWidth="1"/>
    <col min="11273" max="11275" width="12.25" style="1" bestFit="1" customWidth="1"/>
    <col min="11276" max="11286" width="11" style="1" bestFit="1" customWidth="1"/>
    <col min="11287" max="11287" width="13.25" style="1" bestFit="1" customWidth="1"/>
    <col min="11288" max="11288" width="10" style="1" bestFit="1" customWidth="1"/>
    <col min="11289" max="11289" width="11" style="1" bestFit="1" customWidth="1"/>
    <col min="11290" max="11494" width="9" style="1"/>
    <col min="11495" max="11495" width="2.875" style="1" bestFit="1" customWidth="1"/>
    <col min="11496" max="11496" width="16.625" style="1" bestFit="1" customWidth="1"/>
    <col min="11497" max="11497" width="11.375" style="1" bestFit="1" customWidth="1"/>
    <col min="11498" max="11499" width="14.125" style="1" bestFit="1" customWidth="1"/>
    <col min="11500" max="11500" width="11.375" style="1" bestFit="1" customWidth="1"/>
    <col min="11501" max="11503" width="12.5" style="1" bestFit="1" customWidth="1"/>
    <col min="11504" max="11504" width="11" style="1" bestFit="1" customWidth="1"/>
    <col min="11505" max="11524" width="13" style="1" bestFit="1" customWidth="1"/>
    <col min="11525" max="11528" width="11" style="1" bestFit="1" customWidth="1"/>
    <col min="11529" max="11531" width="12.25" style="1" bestFit="1" customWidth="1"/>
    <col min="11532" max="11542" width="11" style="1" bestFit="1" customWidth="1"/>
    <col min="11543" max="11543" width="13.25" style="1" bestFit="1" customWidth="1"/>
    <col min="11544" max="11544" width="10" style="1" bestFit="1" customWidth="1"/>
    <col min="11545" max="11545" width="11" style="1" bestFit="1" customWidth="1"/>
    <col min="11546" max="11750" width="9" style="1"/>
    <col min="11751" max="11751" width="2.875" style="1" bestFit="1" customWidth="1"/>
    <col min="11752" max="11752" width="16.625" style="1" bestFit="1" customWidth="1"/>
    <col min="11753" max="11753" width="11.375" style="1" bestFit="1" customWidth="1"/>
    <col min="11754" max="11755" width="14.125" style="1" bestFit="1" customWidth="1"/>
    <col min="11756" max="11756" width="11.375" style="1" bestFit="1" customWidth="1"/>
    <col min="11757" max="11759" width="12.5" style="1" bestFit="1" customWidth="1"/>
    <col min="11760" max="11760" width="11" style="1" bestFit="1" customWidth="1"/>
    <col min="11761" max="11780" width="13" style="1" bestFit="1" customWidth="1"/>
    <col min="11781" max="11784" width="11" style="1" bestFit="1" customWidth="1"/>
    <col min="11785" max="11787" width="12.25" style="1" bestFit="1" customWidth="1"/>
    <col min="11788" max="11798" width="11" style="1" bestFit="1" customWidth="1"/>
    <col min="11799" max="11799" width="13.25" style="1" bestFit="1" customWidth="1"/>
    <col min="11800" max="11800" width="10" style="1" bestFit="1" customWidth="1"/>
    <col min="11801" max="11801" width="11" style="1" bestFit="1" customWidth="1"/>
    <col min="11802" max="12006" width="9" style="1"/>
    <col min="12007" max="12007" width="2.875" style="1" bestFit="1" customWidth="1"/>
    <col min="12008" max="12008" width="16.625" style="1" bestFit="1" customWidth="1"/>
    <col min="12009" max="12009" width="11.375" style="1" bestFit="1" customWidth="1"/>
    <col min="12010" max="12011" width="14.125" style="1" bestFit="1" customWidth="1"/>
    <col min="12012" max="12012" width="11.375" style="1" bestFit="1" customWidth="1"/>
    <col min="12013" max="12015" width="12.5" style="1" bestFit="1" customWidth="1"/>
    <col min="12016" max="12016" width="11" style="1" bestFit="1" customWidth="1"/>
    <col min="12017" max="12036" width="13" style="1" bestFit="1" customWidth="1"/>
    <col min="12037" max="12040" width="11" style="1" bestFit="1" customWidth="1"/>
    <col min="12041" max="12043" width="12.25" style="1" bestFit="1" customWidth="1"/>
    <col min="12044" max="12054" width="11" style="1" bestFit="1" customWidth="1"/>
    <col min="12055" max="12055" width="13.25" style="1" bestFit="1" customWidth="1"/>
    <col min="12056" max="12056" width="10" style="1" bestFit="1" customWidth="1"/>
    <col min="12057" max="12057" width="11" style="1" bestFit="1" customWidth="1"/>
    <col min="12058" max="12262" width="9" style="1"/>
    <col min="12263" max="12263" width="2.875" style="1" bestFit="1" customWidth="1"/>
    <col min="12264" max="12264" width="16.625" style="1" bestFit="1" customWidth="1"/>
    <col min="12265" max="12265" width="11.375" style="1" bestFit="1" customWidth="1"/>
    <col min="12266" max="12267" width="14.125" style="1" bestFit="1" customWidth="1"/>
    <col min="12268" max="12268" width="11.375" style="1" bestFit="1" customWidth="1"/>
    <col min="12269" max="12271" width="12.5" style="1" bestFit="1" customWidth="1"/>
    <col min="12272" max="12272" width="11" style="1" bestFit="1" customWidth="1"/>
    <col min="12273" max="12292" width="13" style="1" bestFit="1" customWidth="1"/>
    <col min="12293" max="12296" width="11" style="1" bestFit="1" customWidth="1"/>
    <col min="12297" max="12299" width="12.25" style="1" bestFit="1" customWidth="1"/>
    <col min="12300" max="12310" width="11" style="1" bestFit="1" customWidth="1"/>
    <col min="12311" max="12311" width="13.25" style="1" bestFit="1" customWidth="1"/>
    <col min="12312" max="12312" width="10" style="1" bestFit="1" customWidth="1"/>
    <col min="12313" max="12313" width="11" style="1" bestFit="1" customWidth="1"/>
    <col min="12314" max="12518" width="9" style="1"/>
    <col min="12519" max="12519" width="2.875" style="1" bestFit="1" customWidth="1"/>
    <col min="12520" max="12520" width="16.625" style="1" bestFit="1" customWidth="1"/>
    <col min="12521" max="12521" width="11.375" style="1" bestFit="1" customWidth="1"/>
    <col min="12522" max="12523" width="14.125" style="1" bestFit="1" customWidth="1"/>
    <col min="12524" max="12524" width="11.375" style="1" bestFit="1" customWidth="1"/>
    <col min="12525" max="12527" width="12.5" style="1" bestFit="1" customWidth="1"/>
    <col min="12528" max="12528" width="11" style="1" bestFit="1" customWidth="1"/>
    <col min="12529" max="12548" width="13" style="1" bestFit="1" customWidth="1"/>
    <col min="12549" max="12552" width="11" style="1" bestFit="1" customWidth="1"/>
    <col min="12553" max="12555" width="12.25" style="1" bestFit="1" customWidth="1"/>
    <col min="12556" max="12566" width="11" style="1" bestFit="1" customWidth="1"/>
    <col min="12567" max="12567" width="13.25" style="1" bestFit="1" customWidth="1"/>
    <col min="12568" max="12568" width="10" style="1" bestFit="1" customWidth="1"/>
    <col min="12569" max="12569" width="11" style="1" bestFit="1" customWidth="1"/>
    <col min="12570" max="12774" width="9" style="1"/>
    <col min="12775" max="12775" width="2.875" style="1" bestFit="1" customWidth="1"/>
    <col min="12776" max="12776" width="16.625" style="1" bestFit="1" customWidth="1"/>
    <col min="12777" max="12777" width="11.375" style="1" bestFit="1" customWidth="1"/>
    <col min="12778" max="12779" width="14.125" style="1" bestFit="1" customWidth="1"/>
    <col min="12780" max="12780" width="11.375" style="1" bestFit="1" customWidth="1"/>
    <col min="12781" max="12783" width="12.5" style="1" bestFit="1" customWidth="1"/>
    <col min="12784" max="12784" width="11" style="1" bestFit="1" customWidth="1"/>
    <col min="12785" max="12804" width="13" style="1" bestFit="1" customWidth="1"/>
    <col min="12805" max="12808" width="11" style="1" bestFit="1" customWidth="1"/>
    <col min="12809" max="12811" width="12.25" style="1" bestFit="1" customWidth="1"/>
    <col min="12812" max="12822" width="11" style="1" bestFit="1" customWidth="1"/>
    <col min="12823" max="12823" width="13.25" style="1" bestFit="1" customWidth="1"/>
    <col min="12824" max="12824" width="10" style="1" bestFit="1" customWidth="1"/>
    <col min="12825" max="12825" width="11" style="1" bestFit="1" customWidth="1"/>
    <col min="12826" max="13030" width="9" style="1"/>
    <col min="13031" max="13031" width="2.875" style="1" bestFit="1" customWidth="1"/>
    <col min="13032" max="13032" width="16.625" style="1" bestFit="1" customWidth="1"/>
    <col min="13033" max="13033" width="11.375" style="1" bestFit="1" customWidth="1"/>
    <col min="13034" max="13035" width="14.125" style="1" bestFit="1" customWidth="1"/>
    <col min="13036" max="13036" width="11.375" style="1" bestFit="1" customWidth="1"/>
    <col min="13037" max="13039" width="12.5" style="1" bestFit="1" customWidth="1"/>
    <col min="13040" max="13040" width="11" style="1" bestFit="1" customWidth="1"/>
    <col min="13041" max="13060" width="13" style="1" bestFit="1" customWidth="1"/>
    <col min="13061" max="13064" width="11" style="1" bestFit="1" customWidth="1"/>
    <col min="13065" max="13067" width="12.25" style="1" bestFit="1" customWidth="1"/>
    <col min="13068" max="13078" width="11" style="1" bestFit="1" customWidth="1"/>
    <col min="13079" max="13079" width="13.25" style="1" bestFit="1" customWidth="1"/>
    <col min="13080" max="13080" width="10" style="1" bestFit="1" customWidth="1"/>
    <col min="13081" max="13081" width="11" style="1" bestFit="1" customWidth="1"/>
    <col min="13082" max="13286" width="9" style="1"/>
    <col min="13287" max="13287" width="2.875" style="1" bestFit="1" customWidth="1"/>
    <col min="13288" max="13288" width="16.625" style="1" bestFit="1" customWidth="1"/>
    <col min="13289" max="13289" width="11.375" style="1" bestFit="1" customWidth="1"/>
    <col min="13290" max="13291" width="14.125" style="1" bestFit="1" customWidth="1"/>
    <col min="13292" max="13292" width="11.375" style="1" bestFit="1" customWidth="1"/>
    <col min="13293" max="13295" width="12.5" style="1" bestFit="1" customWidth="1"/>
    <col min="13296" max="13296" width="11" style="1" bestFit="1" customWidth="1"/>
    <col min="13297" max="13316" width="13" style="1" bestFit="1" customWidth="1"/>
    <col min="13317" max="13320" width="11" style="1" bestFit="1" customWidth="1"/>
    <col min="13321" max="13323" width="12.25" style="1" bestFit="1" customWidth="1"/>
    <col min="13324" max="13334" width="11" style="1" bestFit="1" customWidth="1"/>
    <col min="13335" max="13335" width="13.25" style="1" bestFit="1" customWidth="1"/>
    <col min="13336" max="13336" width="10" style="1" bestFit="1" customWidth="1"/>
    <col min="13337" max="13337" width="11" style="1" bestFit="1" customWidth="1"/>
    <col min="13338" max="13542" width="9" style="1"/>
    <col min="13543" max="13543" width="2.875" style="1" bestFit="1" customWidth="1"/>
    <col min="13544" max="13544" width="16.625" style="1" bestFit="1" customWidth="1"/>
    <col min="13545" max="13545" width="11.375" style="1" bestFit="1" customWidth="1"/>
    <col min="13546" max="13547" width="14.125" style="1" bestFit="1" customWidth="1"/>
    <col min="13548" max="13548" width="11.375" style="1" bestFit="1" customWidth="1"/>
    <col min="13549" max="13551" width="12.5" style="1" bestFit="1" customWidth="1"/>
    <col min="13552" max="13552" width="11" style="1" bestFit="1" customWidth="1"/>
    <col min="13553" max="13572" width="13" style="1" bestFit="1" customWidth="1"/>
    <col min="13573" max="13576" width="11" style="1" bestFit="1" customWidth="1"/>
    <col min="13577" max="13579" width="12.25" style="1" bestFit="1" customWidth="1"/>
    <col min="13580" max="13590" width="11" style="1" bestFit="1" customWidth="1"/>
    <col min="13591" max="13591" width="13.25" style="1" bestFit="1" customWidth="1"/>
    <col min="13592" max="13592" width="10" style="1" bestFit="1" customWidth="1"/>
    <col min="13593" max="13593" width="11" style="1" bestFit="1" customWidth="1"/>
    <col min="13594" max="13798" width="9" style="1"/>
    <col min="13799" max="13799" width="2.875" style="1" bestFit="1" customWidth="1"/>
    <col min="13800" max="13800" width="16.625" style="1" bestFit="1" customWidth="1"/>
    <col min="13801" max="13801" width="11.375" style="1" bestFit="1" customWidth="1"/>
    <col min="13802" max="13803" width="14.125" style="1" bestFit="1" customWidth="1"/>
    <col min="13804" max="13804" width="11.375" style="1" bestFit="1" customWidth="1"/>
    <col min="13805" max="13807" width="12.5" style="1" bestFit="1" customWidth="1"/>
    <col min="13808" max="13808" width="11" style="1" bestFit="1" customWidth="1"/>
    <col min="13809" max="13828" width="13" style="1" bestFit="1" customWidth="1"/>
    <col min="13829" max="13832" width="11" style="1" bestFit="1" customWidth="1"/>
    <col min="13833" max="13835" width="12.25" style="1" bestFit="1" customWidth="1"/>
    <col min="13836" max="13846" width="11" style="1" bestFit="1" customWidth="1"/>
    <col min="13847" max="13847" width="13.25" style="1" bestFit="1" customWidth="1"/>
    <col min="13848" max="13848" width="10" style="1" bestFit="1" customWidth="1"/>
    <col min="13849" max="13849" width="11" style="1" bestFit="1" customWidth="1"/>
    <col min="13850" max="14054" width="9" style="1"/>
    <col min="14055" max="14055" width="2.875" style="1" bestFit="1" customWidth="1"/>
    <col min="14056" max="14056" width="16.625" style="1" bestFit="1" customWidth="1"/>
    <col min="14057" max="14057" width="11.375" style="1" bestFit="1" customWidth="1"/>
    <col min="14058" max="14059" width="14.125" style="1" bestFit="1" customWidth="1"/>
    <col min="14060" max="14060" width="11.375" style="1" bestFit="1" customWidth="1"/>
    <col min="14061" max="14063" width="12.5" style="1" bestFit="1" customWidth="1"/>
    <col min="14064" max="14064" width="11" style="1" bestFit="1" customWidth="1"/>
    <col min="14065" max="14084" width="13" style="1" bestFit="1" customWidth="1"/>
    <col min="14085" max="14088" width="11" style="1" bestFit="1" customWidth="1"/>
    <col min="14089" max="14091" width="12.25" style="1" bestFit="1" customWidth="1"/>
    <col min="14092" max="14102" width="11" style="1" bestFit="1" customWidth="1"/>
    <col min="14103" max="14103" width="13.25" style="1" bestFit="1" customWidth="1"/>
    <col min="14104" max="14104" width="10" style="1" bestFit="1" customWidth="1"/>
    <col min="14105" max="14105" width="11" style="1" bestFit="1" customWidth="1"/>
    <col min="14106" max="14310" width="9" style="1"/>
    <col min="14311" max="14311" width="2.875" style="1" bestFit="1" customWidth="1"/>
    <col min="14312" max="14312" width="16.625" style="1" bestFit="1" customWidth="1"/>
    <col min="14313" max="14313" width="11.375" style="1" bestFit="1" customWidth="1"/>
    <col min="14314" max="14315" width="14.125" style="1" bestFit="1" customWidth="1"/>
    <col min="14316" max="14316" width="11.375" style="1" bestFit="1" customWidth="1"/>
    <col min="14317" max="14319" width="12.5" style="1" bestFit="1" customWidth="1"/>
    <col min="14320" max="14320" width="11" style="1" bestFit="1" customWidth="1"/>
    <col min="14321" max="14340" width="13" style="1" bestFit="1" customWidth="1"/>
    <col min="14341" max="14344" width="11" style="1" bestFit="1" customWidth="1"/>
    <col min="14345" max="14347" width="12.25" style="1" bestFit="1" customWidth="1"/>
    <col min="14348" max="14358" width="11" style="1" bestFit="1" customWidth="1"/>
    <col min="14359" max="14359" width="13.25" style="1" bestFit="1" customWidth="1"/>
    <col min="14360" max="14360" width="10" style="1" bestFit="1" customWidth="1"/>
    <col min="14361" max="14361" width="11" style="1" bestFit="1" customWidth="1"/>
    <col min="14362" max="14566" width="9" style="1"/>
    <col min="14567" max="14567" width="2.875" style="1" bestFit="1" customWidth="1"/>
    <col min="14568" max="14568" width="16.625" style="1" bestFit="1" customWidth="1"/>
    <col min="14569" max="14569" width="11.375" style="1" bestFit="1" customWidth="1"/>
    <col min="14570" max="14571" width="14.125" style="1" bestFit="1" customWidth="1"/>
    <col min="14572" max="14572" width="11.375" style="1" bestFit="1" customWidth="1"/>
    <col min="14573" max="14575" width="12.5" style="1" bestFit="1" customWidth="1"/>
    <col min="14576" max="14576" width="11" style="1" bestFit="1" customWidth="1"/>
    <col min="14577" max="14596" width="13" style="1" bestFit="1" customWidth="1"/>
    <col min="14597" max="14600" width="11" style="1" bestFit="1" customWidth="1"/>
    <col min="14601" max="14603" width="12.25" style="1" bestFit="1" customWidth="1"/>
    <col min="14604" max="14614" width="11" style="1" bestFit="1" customWidth="1"/>
    <col min="14615" max="14615" width="13.25" style="1" bestFit="1" customWidth="1"/>
    <col min="14616" max="14616" width="10" style="1" bestFit="1" customWidth="1"/>
    <col min="14617" max="14617" width="11" style="1" bestFit="1" customWidth="1"/>
    <col min="14618" max="14822" width="9" style="1"/>
    <col min="14823" max="14823" width="2.875" style="1" bestFit="1" customWidth="1"/>
    <col min="14824" max="14824" width="16.625" style="1" bestFit="1" customWidth="1"/>
    <col min="14825" max="14825" width="11.375" style="1" bestFit="1" customWidth="1"/>
    <col min="14826" max="14827" width="14.125" style="1" bestFit="1" customWidth="1"/>
    <col min="14828" max="14828" width="11.375" style="1" bestFit="1" customWidth="1"/>
    <col min="14829" max="14831" width="12.5" style="1" bestFit="1" customWidth="1"/>
    <col min="14832" max="14832" width="11" style="1" bestFit="1" customWidth="1"/>
    <col min="14833" max="14852" width="13" style="1" bestFit="1" customWidth="1"/>
    <col min="14853" max="14856" width="11" style="1" bestFit="1" customWidth="1"/>
    <col min="14857" max="14859" width="12.25" style="1" bestFit="1" customWidth="1"/>
    <col min="14860" max="14870" width="11" style="1" bestFit="1" customWidth="1"/>
    <col min="14871" max="14871" width="13.25" style="1" bestFit="1" customWidth="1"/>
    <col min="14872" max="14872" width="10" style="1" bestFit="1" customWidth="1"/>
    <col min="14873" max="14873" width="11" style="1" bestFit="1" customWidth="1"/>
    <col min="14874" max="15078" width="9" style="1"/>
    <col min="15079" max="15079" width="2.875" style="1" bestFit="1" customWidth="1"/>
    <col min="15080" max="15080" width="16.625" style="1" bestFit="1" customWidth="1"/>
    <col min="15081" max="15081" width="11.375" style="1" bestFit="1" customWidth="1"/>
    <col min="15082" max="15083" width="14.125" style="1" bestFit="1" customWidth="1"/>
    <col min="15084" max="15084" width="11.375" style="1" bestFit="1" customWidth="1"/>
    <col min="15085" max="15087" width="12.5" style="1" bestFit="1" customWidth="1"/>
    <col min="15088" max="15088" width="11" style="1" bestFit="1" customWidth="1"/>
    <col min="15089" max="15108" width="13" style="1" bestFit="1" customWidth="1"/>
    <col min="15109" max="15112" width="11" style="1" bestFit="1" customWidth="1"/>
    <col min="15113" max="15115" width="12.25" style="1" bestFit="1" customWidth="1"/>
    <col min="15116" max="15126" width="11" style="1" bestFit="1" customWidth="1"/>
    <col min="15127" max="15127" width="13.25" style="1" bestFit="1" customWidth="1"/>
    <col min="15128" max="15128" width="10" style="1" bestFit="1" customWidth="1"/>
    <col min="15129" max="15129" width="11" style="1" bestFit="1" customWidth="1"/>
    <col min="15130" max="15334" width="9" style="1"/>
    <col min="15335" max="15335" width="2.875" style="1" bestFit="1" customWidth="1"/>
    <col min="15336" max="15336" width="16.625" style="1" bestFit="1" customWidth="1"/>
    <col min="15337" max="15337" width="11.375" style="1" bestFit="1" customWidth="1"/>
    <col min="15338" max="15339" width="14.125" style="1" bestFit="1" customWidth="1"/>
    <col min="15340" max="15340" width="11.375" style="1" bestFit="1" customWidth="1"/>
    <col min="15341" max="15343" width="12.5" style="1" bestFit="1" customWidth="1"/>
    <col min="15344" max="15344" width="11" style="1" bestFit="1" customWidth="1"/>
    <col min="15345" max="15364" width="13" style="1" bestFit="1" customWidth="1"/>
    <col min="15365" max="15368" width="11" style="1" bestFit="1" customWidth="1"/>
    <col min="15369" max="15371" width="12.25" style="1" bestFit="1" customWidth="1"/>
    <col min="15372" max="15382" width="11" style="1" bestFit="1" customWidth="1"/>
    <col min="15383" max="15383" width="13.25" style="1" bestFit="1" customWidth="1"/>
    <col min="15384" max="15384" width="10" style="1" bestFit="1" customWidth="1"/>
    <col min="15385" max="15385" width="11" style="1" bestFit="1" customWidth="1"/>
    <col min="15386" max="15590" width="9" style="1"/>
    <col min="15591" max="15591" width="2.875" style="1" bestFit="1" customWidth="1"/>
    <col min="15592" max="15592" width="16.625" style="1" bestFit="1" customWidth="1"/>
    <col min="15593" max="15593" width="11.375" style="1" bestFit="1" customWidth="1"/>
    <col min="15594" max="15595" width="14.125" style="1" bestFit="1" customWidth="1"/>
    <col min="15596" max="15596" width="11.375" style="1" bestFit="1" customWidth="1"/>
    <col min="15597" max="15599" width="12.5" style="1" bestFit="1" customWidth="1"/>
    <col min="15600" max="15600" width="11" style="1" bestFit="1" customWidth="1"/>
    <col min="15601" max="15620" width="13" style="1" bestFit="1" customWidth="1"/>
    <col min="15621" max="15624" width="11" style="1" bestFit="1" customWidth="1"/>
    <col min="15625" max="15627" width="12.25" style="1" bestFit="1" customWidth="1"/>
    <col min="15628" max="15638" width="11" style="1" bestFit="1" customWidth="1"/>
    <col min="15639" max="15639" width="13.25" style="1" bestFit="1" customWidth="1"/>
    <col min="15640" max="15640" width="10" style="1" bestFit="1" customWidth="1"/>
    <col min="15641" max="15641" width="11" style="1" bestFit="1" customWidth="1"/>
    <col min="15642" max="15846" width="9" style="1"/>
    <col min="15847" max="15847" width="2.875" style="1" bestFit="1" customWidth="1"/>
    <col min="15848" max="15848" width="16.625" style="1" bestFit="1" customWidth="1"/>
    <col min="15849" max="15849" width="11.375" style="1" bestFit="1" customWidth="1"/>
    <col min="15850" max="15851" width="14.125" style="1" bestFit="1" customWidth="1"/>
    <col min="15852" max="15852" width="11.375" style="1" bestFit="1" customWidth="1"/>
    <col min="15853" max="15855" width="12.5" style="1" bestFit="1" customWidth="1"/>
    <col min="15856" max="15856" width="11" style="1" bestFit="1" customWidth="1"/>
    <col min="15857" max="15876" width="13" style="1" bestFit="1" customWidth="1"/>
    <col min="15877" max="15880" width="11" style="1" bestFit="1" customWidth="1"/>
    <col min="15881" max="15883" width="12.25" style="1" bestFit="1" customWidth="1"/>
    <col min="15884" max="15894" width="11" style="1" bestFit="1" customWidth="1"/>
    <col min="15895" max="15895" width="13.25" style="1" bestFit="1" customWidth="1"/>
    <col min="15896" max="15896" width="10" style="1" bestFit="1" customWidth="1"/>
    <col min="15897" max="15897" width="11" style="1" bestFit="1" customWidth="1"/>
    <col min="15898" max="16102" width="9" style="1"/>
    <col min="16103" max="16103" width="2.875" style="1" bestFit="1" customWidth="1"/>
    <col min="16104" max="16104" width="16.625" style="1" bestFit="1" customWidth="1"/>
    <col min="16105" max="16105" width="11.375" style="1" bestFit="1" customWidth="1"/>
    <col min="16106" max="16107" width="14.125" style="1" bestFit="1" customWidth="1"/>
    <col min="16108" max="16108" width="11.375" style="1" bestFit="1" customWidth="1"/>
    <col min="16109" max="16111" width="12.5" style="1" bestFit="1" customWidth="1"/>
    <col min="16112" max="16112" width="11" style="1" bestFit="1" customWidth="1"/>
    <col min="16113" max="16132" width="13" style="1" bestFit="1" customWidth="1"/>
    <col min="16133" max="16136" width="11" style="1" bestFit="1" customWidth="1"/>
    <col min="16137" max="16139" width="12.25" style="1" bestFit="1" customWidth="1"/>
    <col min="16140" max="16150" width="11" style="1" bestFit="1" customWidth="1"/>
    <col min="16151" max="16151" width="13.25" style="1" bestFit="1" customWidth="1"/>
    <col min="16152" max="16152" width="10" style="1" bestFit="1" customWidth="1"/>
    <col min="16153" max="16153" width="11" style="1" bestFit="1" customWidth="1"/>
    <col min="16154" max="16384" width="9" style="1"/>
  </cols>
  <sheetData>
    <row r="2" spans="1:25" ht="30.75" customHeight="1" x14ac:dyDescent="0.15"/>
    <row r="3" spans="1:25" ht="17.25" x14ac:dyDescent="0.2">
      <c r="A3" s="47">
        <v>45658</v>
      </c>
      <c r="B3" s="47"/>
      <c r="C3" s="45" t="s">
        <v>221</v>
      </c>
    </row>
    <row r="4" spans="1:25" s="5" customFormat="1" x14ac:dyDescent="0.15">
      <c r="A4" s="48" t="s">
        <v>0</v>
      </c>
      <c r="B4" s="48"/>
      <c r="C4" s="2" t="s">
        <v>9</v>
      </c>
      <c r="D4" s="2" t="s">
        <v>10</v>
      </c>
      <c r="E4" s="2" t="s">
        <v>11</v>
      </c>
      <c r="F4" s="2" t="s">
        <v>12</v>
      </c>
      <c r="G4" s="2" t="s">
        <v>13</v>
      </c>
      <c r="H4" s="2" t="s">
        <v>14</v>
      </c>
      <c r="I4" s="2" t="s">
        <v>151</v>
      </c>
      <c r="J4" s="2" t="s">
        <v>15</v>
      </c>
      <c r="K4" s="2" t="s">
        <v>16</v>
      </c>
      <c r="L4" s="2" t="s">
        <v>17</v>
      </c>
      <c r="M4" s="2" t="s">
        <v>18</v>
      </c>
      <c r="N4" s="2" t="s">
        <v>19</v>
      </c>
      <c r="O4" s="2" t="s">
        <v>20</v>
      </c>
      <c r="P4" s="2" t="s">
        <v>21</v>
      </c>
      <c r="Q4" s="2" t="s">
        <v>22</v>
      </c>
      <c r="R4" s="2" t="s">
        <v>23</v>
      </c>
      <c r="S4" s="2" t="s">
        <v>24</v>
      </c>
      <c r="T4" s="2" t="s">
        <v>25</v>
      </c>
      <c r="U4" s="2" t="s">
        <v>152</v>
      </c>
      <c r="V4" s="2" t="s">
        <v>26</v>
      </c>
      <c r="W4" s="3" t="s">
        <v>41</v>
      </c>
      <c r="X4" s="3" t="s">
        <v>42</v>
      </c>
      <c r="Y4" s="4" t="s">
        <v>43</v>
      </c>
    </row>
    <row r="5" spans="1:25" s="5" customFormat="1" hidden="1" x14ac:dyDescent="0.15">
      <c r="A5" s="49" t="s">
        <v>44</v>
      </c>
      <c r="B5" s="50"/>
      <c r="C5" s="2">
        <v>2</v>
      </c>
      <c r="D5" s="2">
        <v>2</v>
      </c>
      <c r="E5" s="2">
        <v>2</v>
      </c>
      <c r="F5" s="2">
        <v>2</v>
      </c>
      <c r="G5" s="2">
        <v>2</v>
      </c>
      <c r="H5" s="2">
        <v>2</v>
      </c>
      <c r="I5" s="2">
        <v>2</v>
      </c>
      <c r="J5" s="2">
        <v>2</v>
      </c>
      <c r="K5" s="2">
        <v>2</v>
      </c>
      <c r="L5" s="2">
        <v>2</v>
      </c>
      <c r="M5" s="2">
        <v>2</v>
      </c>
      <c r="N5" s="2">
        <v>2</v>
      </c>
      <c r="O5" s="2">
        <v>2</v>
      </c>
      <c r="P5" s="2">
        <v>2</v>
      </c>
      <c r="Q5" s="2">
        <v>2</v>
      </c>
      <c r="R5" s="2">
        <v>2</v>
      </c>
      <c r="S5" s="2">
        <v>2</v>
      </c>
      <c r="T5" s="2">
        <v>2</v>
      </c>
      <c r="U5" s="2">
        <v>2</v>
      </c>
      <c r="V5" s="2">
        <v>2</v>
      </c>
      <c r="W5" s="3"/>
      <c r="X5" s="3"/>
      <c r="Y5" s="4"/>
    </row>
    <row r="6" spans="1:25" s="5" customFormat="1" hidden="1" x14ac:dyDescent="0.15">
      <c r="A6" s="49" t="s">
        <v>45</v>
      </c>
      <c r="B6" s="50"/>
      <c r="C6" s="2" t="s">
        <v>47</v>
      </c>
      <c r="D6" s="2" t="s">
        <v>47</v>
      </c>
      <c r="E6" s="2" t="s">
        <v>47</v>
      </c>
      <c r="F6" s="2" t="s">
        <v>47</v>
      </c>
      <c r="G6" s="2" t="s">
        <v>47</v>
      </c>
      <c r="H6" s="2" t="s">
        <v>47</v>
      </c>
      <c r="I6" s="2" t="s">
        <v>47</v>
      </c>
      <c r="J6" s="2" t="s">
        <v>47</v>
      </c>
      <c r="K6" s="2" t="s">
        <v>47</v>
      </c>
      <c r="L6" s="2" t="s">
        <v>47</v>
      </c>
      <c r="M6" s="2" t="s">
        <v>47</v>
      </c>
      <c r="N6" s="2" t="s">
        <v>47</v>
      </c>
      <c r="O6" s="2" t="s">
        <v>47</v>
      </c>
      <c r="P6" s="2" t="s">
        <v>47</v>
      </c>
      <c r="Q6" s="2" t="s">
        <v>47</v>
      </c>
      <c r="R6" s="2" t="s">
        <v>47</v>
      </c>
      <c r="S6" s="2" t="s">
        <v>47</v>
      </c>
      <c r="T6" s="2" t="s">
        <v>47</v>
      </c>
      <c r="U6" s="2" t="s">
        <v>47</v>
      </c>
      <c r="V6" s="2" t="s">
        <v>47</v>
      </c>
      <c r="W6" s="3"/>
      <c r="X6" s="3"/>
      <c r="Y6" s="4"/>
    </row>
    <row r="7" spans="1:25" s="5" customFormat="1" x14ac:dyDescent="0.15">
      <c r="A7" s="46" t="s">
        <v>51</v>
      </c>
      <c r="B7" s="46"/>
      <c r="C7" s="6" t="s">
        <v>163</v>
      </c>
      <c r="D7" s="6" t="s">
        <v>164</v>
      </c>
      <c r="E7" s="6" t="s">
        <v>165</v>
      </c>
      <c r="F7" s="6" t="s">
        <v>166</v>
      </c>
      <c r="G7" s="6" t="s">
        <v>167</v>
      </c>
      <c r="H7" s="6" t="s">
        <v>168</v>
      </c>
      <c r="I7" s="6" t="s">
        <v>169</v>
      </c>
      <c r="J7" s="6" t="s">
        <v>170</v>
      </c>
      <c r="K7" s="6" t="s">
        <v>171</v>
      </c>
      <c r="L7" s="6" t="s">
        <v>172</v>
      </c>
      <c r="M7" s="6" t="s">
        <v>182</v>
      </c>
      <c r="N7" s="6" t="s">
        <v>183</v>
      </c>
      <c r="O7" s="6" t="s">
        <v>180</v>
      </c>
      <c r="P7" s="6" t="s">
        <v>181</v>
      </c>
      <c r="Q7" s="6" t="s">
        <v>173</v>
      </c>
      <c r="R7" s="6" t="s">
        <v>174</v>
      </c>
      <c r="S7" s="6"/>
      <c r="T7" s="6"/>
      <c r="U7" s="6"/>
      <c r="V7" s="6"/>
      <c r="W7" s="7"/>
      <c r="X7" s="7"/>
      <c r="Y7" s="8"/>
    </row>
    <row r="8" spans="1:25" s="5" customFormat="1" x14ac:dyDescent="0.15">
      <c r="A8" s="46" t="s">
        <v>52</v>
      </c>
      <c r="B8" s="46"/>
      <c r="C8" s="6" t="s">
        <v>194</v>
      </c>
      <c r="D8" s="6" t="s">
        <v>195</v>
      </c>
      <c r="E8" s="6" t="s">
        <v>196</v>
      </c>
      <c r="F8" s="6" t="s">
        <v>189</v>
      </c>
      <c r="G8" s="6" t="s">
        <v>197</v>
      </c>
      <c r="H8" s="6" t="s">
        <v>198</v>
      </c>
      <c r="I8" s="6" t="s">
        <v>199</v>
      </c>
      <c r="J8" s="6" t="s">
        <v>200</v>
      </c>
      <c r="K8" s="6" t="s">
        <v>201</v>
      </c>
      <c r="L8" s="6" t="s">
        <v>202</v>
      </c>
      <c r="M8" s="6" t="s">
        <v>203</v>
      </c>
      <c r="N8" s="6" t="s">
        <v>204</v>
      </c>
      <c r="O8" s="6" t="s">
        <v>198</v>
      </c>
      <c r="P8" s="6" t="s">
        <v>205</v>
      </c>
      <c r="Q8" s="6" t="s">
        <v>206</v>
      </c>
      <c r="R8" s="6" t="s">
        <v>207</v>
      </c>
      <c r="S8" s="6"/>
      <c r="T8" s="6"/>
      <c r="U8" s="6"/>
      <c r="V8" s="6"/>
      <c r="W8" s="7"/>
      <c r="X8" s="7"/>
      <c r="Y8" s="8"/>
    </row>
    <row r="9" spans="1:25" x14ac:dyDescent="0.15">
      <c r="A9" s="52" t="s">
        <v>53</v>
      </c>
      <c r="B9" s="53"/>
      <c r="C9" s="9">
        <v>8</v>
      </c>
      <c r="D9" s="9">
        <v>10</v>
      </c>
      <c r="E9" s="9">
        <v>10</v>
      </c>
      <c r="F9" s="9">
        <v>10</v>
      </c>
      <c r="G9" s="9">
        <v>10</v>
      </c>
      <c r="H9" s="9">
        <v>10</v>
      </c>
      <c r="I9" s="9">
        <v>14</v>
      </c>
      <c r="J9" s="9">
        <v>10</v>
      </c>
      <c r="K9" s="9">
        <v>10</v>
      </c>
      <c r="L9" s="9">
        <v>10</v>
      </c>
      <c r="M9" s="9">
        <v>10</v>
      </c>
      <c r="N9" s="9">
        <v>10</v>
      </c>
      <c r="O9" s="9">
        <v>10</v>
      </c>
      <c r="P9" s="9">
        <v>10</v>
      </c>
      <c r="Q9" s="9">
        <v>10</v>
      </c>
      <c r="R9" s="9">
        <v>10</v>
      </c>
      <c r="S9" s="9"/>
      <c r="T9" s="9"/>
      <c r="U9" s="9"/>
      <c r="V9" s="9"/>
      <c r="W9" s="10">
        <f>SUM(C9:V9)</f>
        <v>162</v>
      </c>
      <c r="X9" s="10"/>
      <c r="Y9" s="11"/>
    </row>
    <row r="10" spans="1:25" x14ac:dyDescent="0.15">
      <c r="A10" s="48" t="s">
        <v>54</v>
      </c>
      <c r="B10" s="48"/>
      <c r="C10" s="12" t="s">
        <v>57</v>
      </c>
      <c r="D10" s="12" t="s">
        <v>58</v>
      </c>
      <c r="E10" s="12" t="s">
        <v>58</v>
      </c>
      <c r="F10" s="12" t="s">
        <v>58</v>
      </c>
      <c r="G10" s="12" t="s">
        <v>58</v>
      </c>
      <c r="H10" s="12" t="s">
        <v>58</v>
      </c>
      <c r="I10" s="12" t="s">
        <v>58</v>
      </c>
      <c r="J10" s="12" t="s">
        <v>58</v>
      </c>
      <c r="K10" s="12" t="s">
        <v>58</v>
      </c>
      <c r="L10" s="12" t="s">
        <v>58</v>
      </c>
      <c r="M10" s="12" t="s">
        <v>59</v>
      </c>
      <c r="N10" s="12" t="s">
        <v>59</v>
      </c>
      <c r="O10" s="12" t="s">
        <v>59</v>
      </c>
      <c r="P10" s="12" t="s">
        <v>59</v>
      </c>
      <c r="Q10" s="12" t="s">
        <v>60</v>
      </c>
      <c r="R10" s="12" t="s">
        <v>60</v>
      </c>
      <c r="S10" s="12" t="s">
        <v>61</v>
      </c>
      <c r="T10" s="12" t="s">
        <v>62</v>
      </c>
      <c r="U10" s="12"/>
      <c r="V10" s="12"/>
      <c r="W10" s="13"/>
      <c r="X10" s="13"/>
      <c r="Y10" s="14"/>
    </row>
    <row r="11" spans="1:25" x14ac:dyDescent="0.15">
      <c r="A11" s="48" t="s">
        <v>65</v>
      </c>
      <c r="B11" s="48"/>
      <c r="C11" s="15">
        <v>3668</v>
      </c>
      <c r="D11" s="15">
        <v>5630.2</v>
      </c>
      <c r="E11" s="15">
        <v>4718.9000000000005</v>
      </c>
      <c r="F11" s="15">
        <v>5254.2</v>
      </c>
      <c r="G11" s="15">
        <v>741.1</v>
      </c>
      <c r="H11" s="15">
        <v>5326.1</v>
      </c>
      <c r="I11" s="15">
        <v>3519.2</v>
      </c>
      <c r="J11" s="15">
        <v>5798.6</v>
      </c>
      <c r="K11" s="15">
        <v>4778.2</v>
      </c>
      <c r="L11" s="15">
        <v>4938.9000000000005</v>
      </c>
      <c r="M11" s="15">
        <v>8555</v>
      </c>
      <c r="N11" s="15">
        <v>6291.7</v>
      </c>
      <c r="O11" s="15">
        <v>6388.5</v>
      </c>
      <c r="P11" s="15">
        <v>4017.4</v>
      </c>
      <c r="Q11" s="15">
        <v>5028</v>
      </c>
      <c r="R11" s="15">
        <v>5167.8999999999996</v>
      </c>
      <c r="S11" s="15">
        <v>0</v>
      </c>
      <c r="T11" s="15">
        <v>0</v>
      </c>
      <c r="U11" s="15">
        <v>0</v>
      </c>
      <c r="V11" s="15">
        <v>0</v>
      </c>
      <c r="W11" s="17">
        <f>SUM(C11:V11)</f>
        <v>79821.899999999994</v>
      </c>
      <c r="X11" s="17">
        <f t="shared" ref="X11:X42" si="0">AVERAGE(C11:V11)</f>
        <v>3991.0949999999998</v>
      </c>
      <c r="Y11" s="14"/>
    </row>
    <row r="12" spans="1:25" x14ac:dyDescent="0.15">
      <c r="A12" s="49" t="s">
        <v>66</v>
      </c>
      <c r="B12" s="54"/>
      <c r="C12" s="19">
        <v>8.2715277777777771</v>
      </c>
      <c r="D12" s="19">
        <v>9.9784722222222229</v>
      </c>
      <c r="E12" s="19">
        <v>10.055555555555555</v>
      </c>
      <c r="F12" s="19">
        <v>10.39861111111111</v>
      </c>
      <c r="G12" s="19">
        <v>2.3479166666666669</v>
      </c>
      <c r="H12" s="19">
        <v>9.7201388888888882</v>
      </c>
      <c r="I12" s="19">
        <v>7.2125000000000004</v>
      </c>
      <c r="J12" s="19">
        <v>10.015972222222222</v>
      </c>
      <c r="K12" s="19">
        <v>9.1458333333333339</v>
      </c>
      <c r="L12" s="19">
        <v>9.1680555555555561</v>
      </c>
      <c r="M12" s="19">
        <v>10.658333333333333</v>
      </c>
      <c r="N12" s="19">
        <v>8.6854166666666668</v>
      </c>
      <c r="O12" s="19">
        <v>9.2354166666666675</v>
      </c>
      <c r="P12" s="19">
        <v>6.0041666666666664</v>
      </c>
      <c r="Q12" s="19">
        <v>6.4916666666666663</v>
      </c>
      <c r="R12" s="19">
        <v>7.3993055555555554</v>
      </c>
      <c r="S12" s="19">
        <v>0</v>
      </c>
      <c r="T12" s="19">
        <v>0</v>
      </c>
      <c r="U12" s="19">
        <v>0</v>
      </c>
      <c r="V12" s="19">
        <v>0</v>
      </c>
      <c r="W12" s="21">
        <f>SUM(C12:V12)</f>
        <v>134.78888888888886</v>
      </c>
      <c r="X12" s="21">
        <f t="shared" si="0"/>
        <v>6.7394444444444428</v>
      </c>
      <c r="Y12" s="14"/>
    </row>
    <row r="13" spans="1:25" x14ac:dyDescent="0.15">
      <c r="A13" s="48" t="s">
        <v>67</v>
      </c>
      <c r="B13" s="48"/>
      <c r="C13" s="15">
        <v>917960</v>
      </c>
      <c r="D13" s="15">
        <v>1230800</v>
      </c>
      <c r="E13" s="15">
        <v>1234160</v>
      </c>
      <c r="F13" s="15">
        <v>1167270</v>
      </c>
      <c r="G13" s="15">
        <v>236640</v>
      </c>
      <c r="H13" s="15">
        <v>1082000</v>
      </c>
      <c r="I13" s="15">
        <v>1006140</v>
      </c>
      <c r="J13" s="15">
        <v>1148100</v>
      </c>
      <c r="K13" s="15">
        <v>1061220</v>
      </c>
      <c r="L13" s="15">
        <v>1145040</v>
      </c>
      <c r="M13" s="15">
        <v>1530330</v>
      </c>
      <c r="N13" s="15">
        <v>1164910</v>
      </c>
      <c r="O13" s="15">
        <v>1169200</v>
      </c>
      <c r="P13" s="15">
        <v>772020</v>
      </c>
      <c r="Q13" s="15">
        <v>1199656</v>
      </c>
      <c r="R13" s="15">
        <v>1104997</v>
      </c>
      <c r="S13" s="15">
        <v>14000</v>
      </c>
      <c r="T13" s="15">
        <v>606412</v>
      </c>
      <c r="U13" s="15">
        <v>0</v>
      </c>
      <c r="V13" s="15">
        <v>0</v>
      </c>
      <c r="W13" s="17">
        <f>SUM(C13:V13)</f>
        <v>17790855</v>
      </c>
      <c r="X13" s="17">
        <f t="shared" si="0"/>
        <v>889542.75</v>
      </c>
      <c r="Y13" s="14">
        <f>W13/W13</f>
        <v>1</v>
      </c>
    </row>
    <row r="14" spans="1:25" x14ac:dyDescent="0.15">
      <c r="A14" s="49" t="s">
        <v>68</v>
      </c>
      <c r="B14" s="54"/>
      <c r="C14" s="15">
        <v>0</v>
      </c>
      <c r="D14" s="15">
        <v>16300</v>
      </c>
      <c r="E14" s="15">
        <v>3910</v>
      </c>
      <c r="F14" s="15">
        <v>55120</v>
      </c>
      <c r="G14" s="15">
        <v>0</v>
      </c>
      <c r="H14" s="15">
        <v>131860</v>
      </c>
      <c r="I14" s="15">
        <v>0</v>
      </c>
      <c r="J14" s="15">
        <v>72800</v>
      </c>
      <c r="K14" s="15">
        <v>138780</v>
      </c>
      <c r="L14" s="15">
        <v>98400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7">
        <f>SUM(C14:V14)</f>
        <v>517170</v>
      </c>
      <c r="X14" s="17">
        <f t="shared" si="0"/>
        <v>25858.5</v>
      </c>
      <c r="Y14" s="14"/>
    </row>
    <row r="15" spans="1:25" x14ac:dyDescent="0.15">
      <c r="A15" s="48" t="s">
        <v>69</v>
      </c>
      <c r="B15" s="48"/>
      <c r="C15" s="15">
        <f t="shared" ref="C15:V15" si="1">SUM(C13/C11)</f>
        <v>250.2617230098146</v>
      </c>
      <c r="D15" s="15">
        <f t="shared" si="1"/>
        <v>218.60679904799119</v>
      </c>
      <c r="E15" s="15">
        <f t="shared" si="1"/>
        <v>261.53552734747501</v>
      </c>
      <c r="F15" s="15">
        <f t="shared" si="1"/>
        <v>222.15941532488296</v>
      </c>
      <c r="G15" s="15">
        <f t="shared" si="1"/>
        <v>319.30913506949128</v>
      </c>
      <c r="H15" s="15">
        <f t="shared" si="1"/>
        <v>203.15052289667861</v>
      </c>
      <c r="I15" s="15">
        <f t="shared" si="1"/>
        <v>285.90020459195273</v>
      </c>
      <c r="J15" s="15">
        <f t="shared" si="1"/>
        <v>197.99606801641775</v>
      </c>
      <c r="K15" s="15">
        <f t="shared" si="1"/>
        <v>222.09618684860408</v>
      </c>
      <c r="L15" s="15">
        <f t="shared" si="1"/>
        <v>231.84109822025144</v>
      </c>
      <c r="M15" s="15">
        <f t="shared" si="1"/>
        <v>178.88135593220338</v>
      </c>
      <c r="N15" s="15">
        <f t="shared" si="1"/>
        <v>185.15027734952398</v>
      </c>
      <c r="O15" s="15">
        <f t="shared" si="1"/>
        <v>183.01635751741409</v>
      </c>
      <c r="P15" s="15">
        <f t="shared" si="1"/>
        <v>192.16906456912432</v>
      </c>
      <c r="Q15" s="15">
        <f t="shared" si="1"/>
        <v>238.5950676213206</v>
      </c>
      <c r="R15" s="15">
        <f t="shared" si="1"/>
        <v>213.81934634958108</v>
      </c>
      <c r="S15" s="15" t="e">
        <f t="shared" si="1"/>
        <v>#DIV/0!</v>
      </c>
      <c r="T15" s="15" t="e">
        <f t="shared" si="1"/>
        <v>#DIV/0!</v>
      </c>
      <c r="U15" s="15" t="e">
        <f t="shared" si="1"/>
        <v>#DIV/0!</v>
      </c>
      <c r="V15" s="15" t="e">
        <f t="shared" si="1"/>
        <v>#DIV/0!</v>
      </c>
      <c r="W15" s="13">
        <f>SUM(W13/W11)</f>
        <v>222.88187828152425</v>
      </c>
      <c r="X15" s="17" t="e">
        <f t="shared" si="0"/>
        <v>#DIV/0!</v>
      </c>
      <c r="Y15" s="14"/>
    </row>
    <row r="16" spans="1:25" x14ac:dyDescent="0.15">
      <c r="A16" s="49" t="s">
        <v>70</v>
      </c>
      <c r="B16" s="54"/>
      <c r="C16" s="22">
        <f t="shared" ref="C16:W16" si="2">C13/(C12*24)</f>
        <v>4624.095374024012</v>
      </c>
      <c r="D16" s="22">
        <f t="shared" si="2"/>
        <v>5139.397313661354</v>
      </c>
      <c r="E16" s="22">
        <f t="shared" si="2"/>
        <v>5113.9226519337017</v>
      </c>
      <c r="F16" s="22">
        <f t="shared" si="2"/>
        <v>4677.1871243488713</v>
      </c>
      <c r="G16" s="22">
        <f t="shared" si="2"/>
        <v>4199.4676131322085</v>
      </c>
      <c r="H16" s="22">
        <f t="shared" si="2"/>
        <v>4638.136743587912</v>
      </c>
      <c r="I16" s="22">
        <f t="shared" si="2"/>
        <v>5812.4783362218359</v>
      </c>
      <c r="J16" s="22">
        <f t="shared" si="2"/>
        <v>4776.1214726478547</v>
      </c>
      <c r="K16" s="22">
        <f t="shared" si="2"/>
        <v>4834.7152619589979</v>
      </c>
      <c r="L16" s="22">
        <f t="shared" si="2"/>
        <v>5203.9387971519463</v>
      </c>
      <c r="M16" s="22">
        <f t="shared" si="2"/>
        <v>5982.5254104769347</v>
      </c>
      <c r="N16" s="22">
        <f t="shared" si="2"/>
        <v>5588.4384744543058</v>
      </c>
      <c r="O16" s="22">
        <f t="shared" si="2"/>
        <v>5274.9830814346933</v>
      </c>
      <c r="P16" s="22">
        <f t="shared" si="2"/>
        <v>5357.5294934073563</v>
      </c>
      <c r="Q16" s="22">
        <f t="shared" si="2"/>
        <v>7699.9743260590512</v>
      </c>
      <c r="R16" s="22">
        <f t="shared" si="2"/>
        <v>6222.4138901923989</v>
      </c>
      <c r="S16" s="22" t="e">
        <f t="shared" si="2"/>
        <v>#DIV/0!</v>
      </c>
      <c r="T16" s="22" t="e">
        <f t="shared" si="2"/>
        <v>#DIV/0!</v>
      </c>
      <c r="U16" s="22" t="e">
        <f t="shared" si="2"/>
        <v>#DIV/0!</v>
      </c>
      <c r="V16" s="22" t="e">
        <f t="shared" si="2"/>
        <v>#DIV/0!</v>
      </c>
      <c r="W16" s="24">
        <f t="shared" si="2"/>
        <v>5499.6048347209644</v>
      </c>
      <c r="X16" s="24" t="e">
        <f t="shared" si="0"/>
        <v>#DIV/0!</v>
      </c>
      <c r="Y16" s="14"/>
    </row>
    <row r="17" spans="1:25" x14ac:dyDescent="0.15">
      <c r="A17" s="51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0</v>
      </c>
      <c r="G17" s="15">
        <v>0</v>
      </c>
      <c r="H17" s="15">
        <v>268100</v>
      </c>
      <c r="I17" s="15">
        <v>58860</v>
      </c>
      <c r="J17" s="15">
        <v>0</v>
      </c>
      <c r="K17" s="15">
        <v>0</v>
      </c>
      <c r="L17" s="15">
        <v>75708</v>
      </c>
      <c r="M17" s="15">
        <v>213500</v>
      </c>
      <c r="N17" s="15">
        <v>51246</v>
      </c>
      <c r="O17" s="15">
        <v>268500</v>
      </c>
      <c r="P17" s="15">
        <v>56375</v>
      </c>
      <c r="Q17" s="15">
        <v>56708</v>
      </c>
      <c r="R17" s="15">
        <v>0</v>
      </c>
      <c r="S17" s="15">
        <v>0</v>
      </c>
      <c r="T17" s="15">
        <v>0</v>
      </c>
      <c r="U17" s="15">
        <v>0</v>
      </c>
      <c r="V17" s="15">
        <v>44688</v>
      </c>
      <c r="W17" s="17">
        <f t="shared" ref="W17:W28" si="3">SUM(C17:V17)</f>
        <v>1093685</v>
      </c>
      <c r="X17" s="17">
        <f t="shared" si="0"/>
        <v>54684.25</v>
      </c>
      <c r="Y17" s="14">
        <f>W17/W13</f>
        <v>6.147456094718326E-2</v>
      </c>
    </row>
    <row r="18" spans="1:25" x14ac:dyDescent="0.15">
      <c r="A18" s="51"/>
      <c r="B18" s="12" t="s">
        <v>73</v>
      </c>
      <c r="C18" s="15">
        <v>4825</v>
      </c>
      <c r="D18" s="15">
        <v>4025</v>
      </c>
      <c r="E18" s="15">
        <v>4400</v>
      </c>
      <c r="F18" s="15">
        <v>4025</v>
      </c>
      <c r="G18" s="15">
        <v>5250</v>
      </c>
      <c r="H18" s="15">
        <v>0</v>
      </c>
      <c r="I18" s="15">
        <v>6950</v>
      </c>
      <c r="J18" s="15">
        <v>4400</v>
      </c>
      <c r="K18" s="15">
        <v>4025</v>
      </c>
      <c r="L18" s="15">
        <v>4825</v>
      </c>
      <c r="M18" s="15">
        <v>0</v>
      </c>
      <c r="N18" s="15">
        <v>3633</v>
      </c>
      <c r="O18" s="15">
        <v>0</v>
      </c>
      <c r="P18" s="15">
        <v>4825</v>
      </c>
      <c r="Q18" s="15">
        <v>4825</v>
      </c>
      <c r="R18" s="15">
        <v>4825</v>
      </c>
      <c r="S18" s="15">
        <v>0</v>
      </c>
      <c r="T18" s="15">
        <v>0</v>
      </c>
      <c r="U18" s="15">
        <v>7075</v>
      </c>
      <c r="V18" s="15">
        <v>4400</v>
      </c>
      <c r="W18" s="17">
        <f t="shared" si="3"/>
        <v>72308</v>
      </c>
      <c r="X18" s="17">
        <f t="shared" si="0"/>
        <v>3615.4</v>
      </c>
      <c r="Y18" s="14">
        <f>W18/W13</f>
        <v>4.0643353003551545E-3</v>
      </c>
    </row>
    <row r="19" spans="1:25" x14ac:dyDescent="0.15">
      <c r="A19" s="51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7">
        <f t="shared" si="3"/>
        <v>0</v>
      </c>
      <c r="X19" s="17">
        <f t="shared" si="0"/>
        <v>0</v>
      </c>
      <c r="Y19" s="14">
        <f>W19/W13</f>
        <v>0</v>
      </c>
    </row>
    <row r="20" spans="1:25" x14ac:dyDescent="0.15">
      <c r="A20" s="51"/>
      <c r="B20" s="12" t="s">
        <v>75</v>
      </c>
      <c r="C20" s="15">
        <v>4950</v>
      </c>
      <c r="D20" s="15">
        <v>4766</v>
      </c>
      <c r="E20" s="15">
        <v>4950</v>
      </c>
      <c r="F20" s="15">
        <v>4766</v>
      </c>
      <c r="G20" s="15">
        <v>4950</v>
      </c>
      <c r="H20" s="15">
        <v>0</v>
      </c>
      <c r="I20" s="15">
        <v>8333</v>
      </c>
      <c r="J20" s="15">
        <v>4950</v>
      </c>
      <c r="K20" s="15">
        <v>4583</v>
      </c>
      <c r="L20" s="15">
        <v>4583</v>
      </c>
      <c r="M20" s="15">
        <v>5208</v>
      </c>
      <c r="N20" s="15">
        <v>4766</v>
      </c>
      <c r="O20" s="15">
        <v>0</v>
      </c>
      <c r="P20" s="15">
        <v>5208</v>
      </c>
      <c r="Q20" s="15">
        <v>5208</v>
      </c>
      <c r="R20" s="15">
        <v>4767</v>
      </c>
      <c r="S20" s="15">
        <v>0</v>
      </c>
      <c r="T20" s="15">
        <v>0</v>
      </c>
      <c r="U20" s="15">
        <v>0</v>
      </c>
      <c r="V20" s="15">
        <v>5133</v>
      </c>
      <c r="W20" s="17">
        <f t="shared" si="3"/>
        <v>77121</v>
      </c>
      <c r="X20" s="17">
        <f t="shared" si="0"/>
        <v>3856.05</v>
      </c>
      <c r="Y20" s="14">
        <f>W20/W13</f>
        <v>4.3348675485242278E-3</v>
      </c>
    </row>
    <row r="21" spans="1:25" x14ac:dyDescent="0.15">
      <c r="A21" s="51"/>
      <c r="B21" s="12" t="s">
        <v>76</v>
      </c>
      <c r="C21" s="15">
        <v>31595</v>
      </c>
      <c r="D21" s="15">
        <v>22013</v>
      </c>
      <c r="E21" s="15">
        <v>37617</v>
      </c>
      <c r="F21" s="15">
        <v>57070</v>
      </c>
      <c r="G21" s="15">
        <v>33485</v>
      </c>
      <c r="H21" s="15">
        <v>0</v>
      </c>
      <c r="I21" s="15">
        <v>46653</v>
      </c>
      <c r="J21" s="15">
        <v>48980</v>
      </c>
      <c r="K21" s="15">
        <v>35664</v>
      </c>
      <c r="L21" s="15">
        <v>23249</v>
      </c>
      <c r="M21" s="15">
        <v>19417</v>
      </c>
      <c r="N21" s="15">
        <v>28932</v>
      </c>
      <c r="O21" s="15">
        <v>0</v>
      </c>
      <c r="P21" s="15">
        <v>22121</v>
      </c>
      <c r="Q21" s="15">
        <v>47267</v>
      </c>
      <c r="R21" s="15">
        <v>46352</v>
      </c>
      <c r="S21" s="15">
        <v>0</v>
      </c>
      <c r="T21" s="15">
        <v>0</v>
      </c>
      <c r="U21" s="15">
        <v>0</v>
      </c>
      <c r="V21" s="15">
        <v>26368</v>
      </c>
      <c r="W21" s="17">
        <f t="shared" si="3"/>
        <v>526783</v>
      </c>
      <c r="X21" s="17">
        <f t="shared" si="0"/>
        <v>26339.15</v>
      </c>
      <c r="Y21" s="14">
        <f>W21/W13</f>
        <v>2.9609762993403073E-2</v>
      </c>
    </row>
    <row r="22" spans="1:25" x14ac:dyDescent="0.15">
      <c r="A22" s="51"/>
      <c r="B22" s="25" t="s">
        <v>77</v>
      </c>
      <c r="C22" s="26">
        <f t="shared" ref="C22:V22" si="4">SUM(C17:C21)</f>
        <v>41370</v>
      </c>
      <c r="D22" s="26">
        <f t="shared" si="4"/>
        <v>30804</v>
      </c>
      <c r="E22" s="26">
        <f t="shared" si="4"/>
        <v>46967</v>
      </c>
      <c r="F22" s="26">
        <f t="shared" si="4"/>
        <v>65861</v>
      </c>
      <c r="G22" s="26">
        <f t="shared" si="4"/>
        <v>43685</v>
      </c>
      <c r="H22" s="26">
        <f t="shared" si="4"/>
        <v>268100</v>
      </c>
      <c r="I22" s="26">
        <f t="shared" si="4"/>
        <v>120796</v>
      </c>
      <c r="J22" s="26">
        <f t="shared" si="4"/>
        <v>58330</v>
      </c>
      <c r="K22" s="26">
        <f t="shared" si="4"/>
        <v>44272</v>
      </c>
      <c r="L22" s="26">
        <f t="shared" si="4"/>
        <v>108365</v>
      </c>
      <c r="M22" s="26">
        <f t="shared" si="4"/>
        <v>238125</v>
      </c>
      <c r="N22" s="26">
        <f t="shared" si="4"/>
        <v>88577</v>
      </c>
      <c r="O22" s="26">
        <f t="shared" si="4"/>
        <v>268500</v>
      </c>
      <c r="P22" s="26">
        <f t="shared" si="4"/>
        <v>88529</v>
      </c>
      <c r="Q22" s="26">
        <f t="shared" si="4"/>
        <v>114008</v>
      </c>
      <c r="R22" s="26">
        <f t="shared" si="4"/>
        <v>55944</v>
      </c>
      <c r="S22" s="26">
        <f t="shared" si="4"/>
        <v>0</v>
      </c>
      <c r="T22" s="26">
        <f t="shared" si="4"/>
        <v>0</v>
      </c>
      <c r="U22" s="26">
        <f t="shared" si="4"/>
        <v>7075</v>
      </c>
      <c r="V22" s="26">
        <f t="shared" si="4"/>
        <v>80589</v>
      </c>
      <c r="W22" s="28">
        <f t="shared" si="3"/>
        <v>1769897</v>
      </c>
      <c r="X22" s="28">
        <f t="shared" si="0"/>
        <v>88494.85</v>
      </c>
      <c r="Y22" s="29">
        <f>W22/W13</f>
        <v>9.9483526789465718E-2</v>
      </c>
    </row>
    <row r="23" spans="1:25" x14ac:dyDescent="0.15">
      <c r="A23" s="51" t="s">
        <v>78</v>
      </c>
      <c r="B23" s="12" t="s">
        <v>79</v>
      </c>
      <c r="C23" s="15">
        <v>32640</v>
      </c>
      <c r="D23" s="15">
        <v>36600</v>
      </c>
      <c r="E23" s="15">
        <v>3969</v>
      </c>
      <c r="F23" s="15">
        <v>3969</v>
      </c>
      <c r="G23" s="15">
        <v>197994</v>
      </c>
      <c r="H23" s="15">
        <v>81500</v>
      </c>
      <c r="I23" s="15">
        <v>293300</v>
      </c>
      <c r="J23" s="15">
        <v>53122</v>
      </c>
      <c r="K23" s="15">
        <v>5400</v>
      </c>
      <c r="L23" s="15">
        <v>126460</v>
      </c>
      <c r="M23" s="15">
        <v>16560</v>
      </c>
      <c r="N23" s="15">
        <v>10100</v>
      </c>
      <c r="O23" s="15">
        <v>0</v>
      </c>
      <c r="P23" s="15">
        <v>360415</v>
      </c>
      <c r="Q23" s="15">
        <v>79527</v>
      </c>
      <c r="R23" s="15">
        <v>10975</v>
      </c>
      <c r="S23" s="15">
        <v>0</v>
      </c>
      <c r="T23" s="15">
        <v>0</v>
      </c>
      <c r="U23" s="15">
        <v>0</v>
      </c>
      <c r="V23" s="15">
        <v>0</v>
      </c>
      <c r="W23" s="17">
        <f t="shared" si="3"/>
        <v>1312531</v>
      </c>
      <c r="X23" s="17">
        <f t="shared" si="0"/>
        <v>65626.55</v>
      </c>
      <c r="Y23" s="14">
        <f>W23/W13</f>
        <v>7.3775599879825904E-2</v>
      </c>
    </row>
    <row r="24" spans="1:25" x14ac:dyDescent="0.15">
      <c r="A24" s="51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7">
        <f t="shared" si="3"/>
        <v>0</v>
      </c>
      <c r="X24" s="17">
        <f t="shared" si="0"/>
        <v>0</v>
      </c>
      <c r="Y24" s="14">
        <f>W24/W13</f>
        <v>0</v>
      </c>
    </row>
    <row r="25" spans="1:25" x14ac:dyDescent="0.15">
      <c r="A25" s="51"/>
      <c r="B25" s="12" t="s">
        <v>81</v>
      </c>
      <c r="C25" s="15">
        <f t="shared" ref="C25:V25" si="5">30000*C9/70000*C11</f>
        <v>12576</v>
      </c>
      <c r="D25" s="15">
        <f t="shared" si="5"/>
        <v>24129.428571428569</v>
      </c>
      <c r="E25" s="15">
        <f t="shared" si="5"/>
        <v>20223.857142857145</v>
      </c>
      <c r="F25" s="15">
        <f t="shared" si="5"/>
        <v>22518</v>
      </c>
      <c r="G25" s="15">
        <f t="shared" si="5"/>
        <v>3176.1428571428573</v>
      </c>
      <c r="H25" s="15">
        <f t="shared" si="5"/>
        <v>22826.142857142859</v>
      </c>
      <c r="I25" s="15">
        <f t="shared" si="5"/>
        <v>21115.199999999997</v>
      </c>
      <c r="J25" s="15">
        <f t="shared" si="5"/>
        <v>24851.142857142859</v>
      </c>
      <c r="K25" s="15">
        <f t="shared" si="5"/>
        <v>20478</v>
      </c>
      <c r="L25" s="15">
        <f t="shared" si="5"/>
        <v>21166.714285714286</v>
      </c>
      <c r="M25" s="15">
        <f t="shared" si="5"/>
        <v>36664.28571428571</v>
      </c>
      <c r="N25" s="15">
        <f t="shared" si="5"/>
        <v>26964.428571428569</v>
      </c>
      <c r="O25" s="15">
        <f t="shared" si="5"/>
        <v>27379.285714285714</v>
      </c>
      <c r="P25" s="15">
        <f t="shared" si="5"/>
        <v>17217.428571428572</v>
      </c>
      <c r="Q25" s="15">
        <f t="shared" si="5"/>
        <v>21548.571428571428</v>
      </c>
      <c r="R25" s="15">
        <f t="shared" si="5"/>
        <v>22148.142857142855</v>
      </c>
      <c r="S25" s="15">
        <f t="shared" si="5"/>
        <v>0</v>
      </c>
      <c r="T25" s="15">
        <f t="shared" si="5"/>
        <v>0</v>
      </c>
      <c r="U25" s="15">
        <f t="shared" si="5"/>
        <v>0</v>
      </c>
      <c r="V25" s="15">
        <f t="shared" si="5"/>
        <v>0</v>
      </c>
      <c r="W25" s="17">
        <f t="shared" si="3"/>
        <v>344982.77142857143</v>
      </c>
      <c r="X25" s="17">
        <f t="shared" si="0"/>
        <v>17249.138571428572</v>
      </c>
      <c r="Y25" s="14">
        <f>W25/W13</f>
        <v>1.939101698195907E-2</v>
      </c>
    </row>
    <row r="26" spans="1:25" x14ac:dyDescent="0.15">
      <c r="A26" s="51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7">
        <f t="shared" si="3"/>
        <v>0</v>
      </c>
      <c r="X26" s="17">
        <f t="shared" si="0"/>
        <v>0</v>
      </c>
      <c r="Y26" s="14">
        <f>W26/W13</f>
        <v>0</v>
      </c>
    </row>
    <row r="27" spans="1:25" x14ac:dyDescent="0.15">
      <c r="A27" s="51"/>
      <c r="B27" s="25" t="s">
        <v>82</v>
      </c>
      <c r="C27" s="26">
        <f t="shared" ref="C27:V27" si="6">SUM(C23:C26)</f>
        <v>45216</v>
      </c>
      <c r="D27" s="26">
        <f t="shared" si="6"/>
        <v>60729.428571428565</v>
      </c>
      <c r="E27" s="26">
        <f t="shared" si="6"/>
        <v>24192.857142857145</v>
      </c>
      <c r="F27" s="26">
        <f t="shared" si="6"/>
        <v>26487</v>
      </c>
      <c r="G27" s="26">
        <f t="shared" si="6"/>
        <v>201170.14285714287</v>
      </c>
      <c r="H27" s="26">
        <f t="shared" si="6"/>
        <v>104326.14285714286</v>
      </c>
      <c r="I27" s="26">
        <f t="shared" si="6"/>
        <v>314415.2</v>
      </c>
      <c r="J27" s="26">
        <f t="shared" si="6"/>
        <v>77973.142857142855</v>
      </c>
      <c r="K27" s="26">
        <f t="shared" si="6"/>
        <v>25878</v>
      </c>
      <c r="L27" s="26">
        <f t="shared" si="6"/>
        <v>147626.71428571429</v>
      </c>
      <c r="M27" s="26">
        <f t="shared" si="6"/>
        <v>53224.28571428571</v>
      </c>
      <c r="N27" s="26">
        <f t="shared" si="6"/>
        <v>37064.428571428565</v>
      </c>
      <c r="O27" s="26">
        <f t="shared" si="6"/>
        <v>27379.285714285714</v>
      </c>
      <c r="P27" s="26">
        <f t="shared" si="6"/>
        <v>377632.42857142858</v>
      </c>
      <c r="Q27" s="26">
        <f t="shared" si="6"/>
        <v>101075.57142857142</v>
      </c>
      <c r="R27" s="26">
        <f t="shared" si="6"/>
        <v>33123.142857142855</v>
      </c>
      <c r="S27" s="26">
        <f t="shared" si="6"/>
        <v>0</v>
      </c>
      <c r="T27" s="26">
        <f t="shared" si="6"/>
        <v>0</v>
      </c>
      <c r="U27" s="26">
        <f t="shared" si="6"/>
        <v>0</v>
      </c>
      <c r="V27" s="26">
        <f t="shared" si="6"/>
        <v>0</v>
      </c>
      <c r="W27" s="28">
        <f t="shared" si="3"/>
        <v>1657513.7714285715</v>
      </c>
      <c r="X27" s="28">
        <f t="shared" si="0"/>
        <v>82875.688571428575</v>
      </c>
      <c r="Y27" s="29">
        <f>W27/W13</f>
        <v>9.316661686178497E-2</v>
      </c>
    </row>
    <row r="28" spans="1:25" x14ac:dyDescent="0.15">
      <c r="A28" s="51" t="s">
        <v>83</v>
      </c>
      <c r="B28" s="9" t="s">
        <v>84</v>
      </c>
      <c r="C28" s="30">
        <v>1051</v>
      </c>
      <c r="D28" s="30">
        <v>1625</v>
      </c>
      <c r="E28" s="30">
        <v>1112</v>
      </c>
      <c r="F28" s="30">
        <v>1390</v>
      </c>
      <c r="G28" s="30">
        <v>266</v>
      </c>
      <c r="H28" s="30">
        <v>1345</v>
      </c>
      <c r="I28" s="30">
        <v>1291</v>
      </c>
      <c r="J28" s="30">
        <v>1325</v>
      </c>
      <c r="K28" s="30">
        <v>1330</v>
      </c>
      <c r="L28" s="30">
        <v>1012</v>
      </c>
      <c r="M28" s="30">
        <v>2348</v>
      </c>
      <c r="N28" s="30">
        <v>1523</v>
      </c>
      <c r="O28" s="30">
        <v>1668</v>
      </c>
      <c r="P28" s="30">
        <v>1124</v>
      </c>
      <c r="Q28" s="30">
        <v>1335</v>
      </c>
      <c r="R28" s="30">
        <v>1290</v>
      </c>
      <c r="S28" s="30">
        <v>0</v>
      </c>
      <c r="T28" s="30">
        <v>0</v>
      </c>
      <c r="U28" s="30">
        <v>0</v>
      </c>
      <c r="V28" s="30">
        <v>0</v>
      </c>
      <c r="W28" s="32">
        <f t="shared" si="3"/>
        <v>21035</v>
      </c>
      <c r="X28" s="32">
        <f t="shared" si="0"/>
        <v>1051.75</v>
      </c>
      <c r="Y28" s="11">
        <f>W28/W13</f>
        <v>1.1823490214495031E-3</v>
      </c>
    </row>
    <row r="29" spans="1:25" x14ac:dyDescent="0.15">
      <c r="A29" s="51"/>
      <c r="B29" s="33" t="s">
        <v>85</v>
      </c>
      <c r="C29" s="34">
        <f t="shared" ref="C29:W29" si="7">SUM(C11/C28)</f>
        <v>3.4900095147478591</v>
      </c>
      <c r="D29" s="34">
        <f t="shared" si="7"/>
        <v>3.4647384615384613</v>
      </c>
      <c r="E29" s="34">
        <f t="shared" si="7"/>
        <v>4.2436151079136692</v>
      </c>
      <c r="F29" s="34">
        <f t="shared" si="7"/>
        <v>3.78</v>
      </c>
      <c r="G29" s="34">
        <f t="shared" si="7"/>
        <v>2.78609022556391</v>
      </c>
      <c r="H29" s="34">
        <f t="shared" si="7"/>
        <v>3.9599256505576212</v>
      </c>
      <c r="I29" s="34">
        <f t="shared" si="7"/>
        <v>2.7259488768396589</v>
      </c>
      <c r="J29" s="34">
        <f t="shared" si="7"/>
        <v>4.3763018867924535</v>
      </c>
      <c r="K29" s="34">
        <f t="shared" si="7"/>
        <v>3.5926315789473682</v>
      </c>
      <c r="L29" s="34">
        <f t="shared" si="7"/>
        <v>4.8803359683794474</v>
      </c>
      <c r="M29" s="34">
        <f t="shared" si="7"/>
        <v>3.643526405451448</v>
      </c>
      <c r="N29" s="34">
        <f t="shared" si="7"/>
        <v>4.1311227839789888</v>
      </c>
      <c r="O29" s="34">
        <f t="shared" si="7"/>
        <v>3.8300359712230216</v>
      </c>
      <c r="P29" s="34">
        <f t="shared" si="7"/>
        <v>3.5741992882562279</v>
      </c>
      <c r="Q29" s="34">
        <f t="shared" si="7"/>
        <v>3.7662921348314606</v>
      </c>
      <c r="R29" s="34">
        <f t="shared" si="7"/>
        <v>4.0061240310077517</v>
      </c>
      <c r="S29" s="34" t="e">
        <f t="shared" si="7"/>
        <v>#DIV/0!</v>
      </c>
      <c r="T29" s="34" t="e">
        <f t="shared" si="7"/>
        <v>#DIV/0!</v>
      </c>
      <c r="U29" s="34" t="e">
        <f t="shared" si="7"/>
        <v>#DIV/0!</v>
      </c>
      <c r="V29" s="34" t="e">
        <f t="shared" si="7"/>
        <v>#DIV/0!</v>
      </c>
      <c r="W29" s="36">
        <f t="shared" si="7"/>
        <v>3.794718326598526</v>
      </c>
      <c r="X29" s="36" t="e">
        <f t="shared" si="0"/>
        <v>#DIV/0!</v>
      </c>
      <c r="Y29" s="33">
        <f>W29/W13</f>
        <v>2.1329600666176673E-7</v>
      </c>
    </row>
    <row r="30" spans="1:25" x14ac:dyDescent="0.15">
      <c r="A30" s="51"/>
      <c r="B30" s="12" t="s">
        <v>86</v>
      </c>
      <c r="C30" s="15">
        <v>125878</v>
      </c>
      <c r="D30" s="15">
        <v>194626</v>
      </c>
      <c r="E30" s="15">
        <v>133184</v>
      </c>
      <c r="F30" s="15">
        <v>166480</v>
      </c>
      <c r="G30" s="15">
        <v>31859</v>
      </c>
      <c r="H30" s="15">
        <v>161091</v>
      </c>
      <c r="I30" s="15">
        <v>154623</v>
      </c>
      <c r="J30" s="15">
        <v>158695</v>
      </c>
      <c r="K30" s="15">
        <v>159294</v>
      </c>
      <c r="L30" s="15">
        <v>121207</v>
      </c>
      <c r="M30" s="15">
        <v>281220</v>
      </c>
      <c r="N30" s="15">
        <v>182410</v>
      </c>
      <c r="O30" s="15">
        <v>199776</v>
      </c>
      <c r="P30" s="15">
        <v>134621</v>
      </c>
      <c r="Q30" s="15">
        <v>159893</v>
      </c>
      <c r="R30" s="15">
        <v>154503</v>
      </c>
      <c r="S30" s="15">
        <v>0</v>
      </c>
      <c r="T30" s="15">
        <v>0</v>
      </c>
      <c r="U30" s="15">
        <v>0</v>
      </c>
      <c r="V30" s="15">
        <v>0</v>
      </c>
      <c r="W30" s="17">
        <f t="shared" ref="W30:W42" si="8">SUM(C30:V30)</f>
        <v>2519360</v>
      </c>
      <c r="X30" s="17">
        <f t="shared" si="0"/>
        <v>125968</v>
      </c>
      <c r="Y30" s="14">
        <f>W30/W13</f>
        <v>0.14160983269213312</v>
      </c>
    </row>
    <row r="31" spans="1:25" x14ac:dyDescent="0.15">
      <c r="A31" s="51"/>
      <c r="B31" s="12" t="s">
        <v>87</v>
      </c>
      <c r="C31" s="15">
        <v>10650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5">
        <v>0</v>
      </c>
      <c r="K31" s="15">
        <v>9585</v>
      </c>
      <c r="L31" s="15">
        <v>0</v>
      </c>
      <c r="M31" s="15">
        <v>0</v>
      </c>
      <c r="N31" s="15">
        <v>11005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7">
        <f t="shared" si="8"/>
        <v>31240</v>
      </c>
      <c r="X31" s="17">
        <f t="shared" si="0"/>
        <v>1562</v>
      </c>
      <c r="Y31" s="14">
        <f>W31/W13</f>
        <v>1.7559583280286417E-3</v>
      </c>
    </row>
    <row r="32" spans="1:25" x14ac:dyDescent="0.15">
      <c r="A32" s="51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7">
        <f t="shared" si="8"/>
        <v>0</v>
      </c>
      <c r="X32" s="17">
        <f t="shared" si="0"/>
        <v>0</v>
      </c>
      <c r="Y32" s="14">
        <f>W32/W13</f>
        <v>0</v>
      </c>
    </row>
    <row r="33" spans="1:25" x14ac:dyDescent="0.15">
      <c r="A33" s="51"/>
      <c r="B33" s="25" t="s">
        <v>89</v>
      </c>
      <c r="C33" s="26">
        <f t="shared" ref="C33:V33" si="9">SUM(C30:C32)</f>
        <v>136528</v>
      </c>
      <c r="D33" s="26">
        <f t="shared" si="9"/>
        <v>194626</v>
      </c>
      <c r="E33" s="26">
        <f t="shared" si="9"/>
        <v>133184</v>
      </c>
      <c r="F33" s="26">
        <f t="shared" si="9"/>
        <v>166480</v>
      </c>
      <c r="G33" s="26">
        <f t="shared" si="9"/>
        <v>31859</v>
      </c>
      <c r="H33" s="26">
        <f t="shared" si="9"/>
        <v>161091</v>
      </c>
      <c r="I33" s="26">
        <f t="shared" si="9"/>
        <v>154623</v>
      </c>
      <c r="J33" s="26">
        <f t="shared" si="9"/>
        <v>158695</v>
      </c>
      <c r="K33" s="26">
        <f t="shared" si="9"/>
        <v>168879</v>
      </c>
      <c r="L33" s="26">
        <f t="shared" si="9"/>
        <v>121207</v>
      </c>
      <c r="M33" s="26">
        <f t="shared" si="9"/>
        <v>281220</v>
      </c>
      <c r="N33" s="26">
        <f t="shared" si="9"/>
        <v>193415</v>
      </c>
      <c r="O33" s="26">
        <f t="shared" si="9"/>
        <v>199776</v>
      </c>
      <c r="P33" s="26">
        <f t="shared" si="9"/>
        <v>134621</v>
      </c>
      <c r="Q33" s="26">
        <f t="shared" si="9"/>
        <v>159893</v>
      </c>
      <c r="R33" s="26">
        <f t="shared" si="9"/>
        <v>154503</v>
      </c>
      <c r="S33" s="26">
        <f t="shared" si="9"/>
        <v>0</v>
      </c>
      <c r="T33" s="26">
        <f t="shared" si="9"/>
        <v>0</v>
      </c>
      <c r="U33" s="26">
        <f t="shared" si="9"/>
        <v>0</v>
      </c>
      <c r="V33" s="26">
        <f t="shared" si="9"/>
        <v>0</v>
      </c>
      <c r="W33" s="28">
        <f t="shared" si="8"/>
        <v>2550600</v>
      </c>
      <c r="X33" s="28">
        <f t="shared" si="0"/>
        <v>127530</v>
      </c>
      <c r="Y33" s="29">
        <f>W33/W13</f>
        <v>0.14336579102016175</v>
      </c>
    </row>
    <row r="34" spans="1:25" x14ac:dyDescent="0.15">
      <c r="A34" s="51" t="s">
        <v>90</v>
      </c>
      <c r="B34" s="12" t="s">
        <v>91</v>
      </c>
      <c r="C34" s="15">
        <v>2012</v>
      </c>
      <c r="D34" s="15">
        <v>2008</v>
      </c>
      <c r="E34" s="15">
        <v>2008</v>
      </c>
      <c r="F34" s="15">
        <v>2008</v>
      </c>
      <c r="G34" s="15">
        <v>2008</v>
      </c>
      <c r="H34" s="15">
        <v>0</v>
      </c>
      <c r="I34" s="15">
        <v>2451</v>
      </c>
      <c r="J34" s="15">
        <v>2008</v>
      </c>
      <c r="K34" s="15">
        <v>2008</v>
      </c>
      <c r="L34" s="15">
        <v>2008</v>
      </c>
      <c r="M34" s="15">
        <v>2008</v>
      </c>
      <c r="N34" s="15">
        <v>2008</v>
      </c>
      <c r="O34" s="15">
        <v>0</v>
      </c>
      <c r="P34" s="15">
        <v>2008</v>
      </c>
      <c r="Q34" s="15">
        <v>2008</v>
      </c>
      <c r="R34" s="15">
        <v>2008</v>
      </c>
      <c r="S34" s="15">
        <v>0</v>
      </c>
      <c r="T34" s="15">
        <v>0</v>
      </c>
      <c r="U34" s="15">
        <v>0</v>
      </c>
      <c r="V34" s="15">
        <v>2008</v>
      </c>
      <c r="W34" s="17">
        <f t="shared" si="8"/>
        <v>30567</v>
      </c>
      <c r="X34" s="17">
        <f t="shared" si="0"/>
        <v>1528.35</v>
      </c>
      <c r="Y34" s="14">
        <f>W34/W13</f>
        <v>1.7181299043806495E-3</v>
      </c>
    </row>
    <row r="35" spans="1:25" x14ac:dyDescent="0.15">
      <c r="A35" s="51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7">
        <f t="shared" si="8"/>
        <v>0</v>
      </c>
      <c r="X35" s="17">
        <f t="shared" si="0"/>
        <v>0</v>
      </c>
      <c r="Y35" s="14">
        <f>W35/W13</f>
        <v>0</v>
      </c>
    </row>
    <row r="36" spans="1:25" x14ac:dyDescent="0.15">
      <c r="A36" s="51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7">
        <f t="shared" si="8"/>
        <v>0</v>
      </c>
      <c r="X36" s="17">
        <f t="shared" si="0"/>
        <v>0</v>
      </c>
      <c r="Y36" s="14">
        <f>W36/W13</f>
        <v>0</v>
      </c>
    </row>
    <row r="37" spans="1:25" x14ac:dyDescent="0.15">
      <c r="A37" s="51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5">
        <v>0</v>
      </c>
      <c r="K37" s="15">
        <v>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7">
        <f t="shared" si="8"/>
        <v>0</v>
      </c>
      <c r="X37" s="17">
        <f t="shared" si="0"/>
        <v>0</v>
      </c>
      <c r="Y37" s="14">
        <f>W37/W13</f>
        <v>0</v>
      </c>
    </row>
    <row r="38" spans="1:25" x14ac:dyDescent="0.15">
      <c r="A38" s="51"/>
      <c r="B38" s="12" t="s">
        <v>92</v>
      </c>
      <c r="C38" s="15">
        <v>5366</v>
      </c>
      <c r="D38" s="15">
        <v>5366</v>
      </c>
      <c r="E38" s="15">
        <v>5366</v>
      </c>
      <c r="F38" s="15">
        <v>5366</v>
      </c>
      <c r="G38" s="15">
        <v>5366</v>
      </c>
      <c r="H38" s="15">
        <v>10718</v>
      </c>
      <c r="I38" s="15">
        <v>10690</v>
      </c>
      <c r="J38" s="15">
        <v>5366</v>
      </c>
      <c r="K38" s="15">
        <v>5366</v>
      </c>
      <c r="L38" s="15">
        <v>7671</v>
      </c>
      <c r="M38" s="15">
        <v>8639</v>
      </c>
      <c r="N38" s="15">
        <v>5366</v>
      </c>
      <c r="O38" s="15">
        <v>5576</v>
      </c>
      <c r="P38" s="15">
        <v>7624</v>
      </c>
      <c r="Q38" s="15">
        <v>6832</v>
      </c>
      <c r="R38" s="15">
        <v>4621</v>
      </c>
      <c r="S38" s="15">
        <v>0</v>
      </c>
      <c r="T38" s="15">
        <v>0</v>
      </c>
      <c r="U38" s="15">
        <v>0</v>
      </c>
      <c r="V38" s="15">
        <v>5366</v>
      </c>
      <c r="W38" s="17">
        <f t="shared" si="8"/>
        <v>110665</v>
      </c>
      <c r="X38" s="17">
        <f t="shared" si="0"/>
        <v>5533.25</v>
      </c>
      <c r="Y38" s="14">
        <f>W38/W13</f>
        <v>6.2203306136776448E-3</v>
      </c>
    </row>
    <row r="39" spans="1:25" x14ac:dyDescent="0.15">
      <c r="A39" s="51"/>
      <c r="B39" s="25" t="s">
        <v>93</v>
      </c>
      <c r="C39" s="26">
        <f t="shared" ref="C39:V39" si="10">SUM(C34:C38)</f>
        <v>7378</v>
      </c>
      <c r="D39" s="26">
        <f t="shared" si="10"/>
        <v>7374</v>
      </c>
      <c r="E39" s="26">
        <f t="shared" si="10"/>
        <v>7374</v>
      </c>
      <c r="F39" s="26">
        <f t="shared" si="10"/>
        <v>7374</v>
      </c>
      <c r="G39" s="26">
        <f t="shared" si="10"/>
        <v>7374</v>
      </c>
      <c r="H39" s="26">
        <f t="shared" si="10"/>
        <v>10718</v>
      </c>
      <c r="I39" s="26">
        <f t="shared" si="10"/>
        <v>13141</v>
      </c>
      <c r="J39" s="26">
        <f t="shared" si="10"/>
        <v>7374</v>
      </c>
      <c r="K39" s="26">
        <f t="shared" si="10"/>
        <v>7374</v>
      </c>
      <c r="L39" s="26">
        <f t="shared" si="10"/>
        <v>9679</v>
      </c>
      <c r="M39" s="26">
        <f t="shared" si="10"/>
        <v>10647</v>
      </c>
      <c r="N39" s="26">
        <f t="shared" si="10"/>
        <v>7374</v>
      </c>
      <c r="O39" s="26">
        <f t="shared" si="10"/>
        <v>5576</v>
      </c>
      <c r="P39" s="26">
        <f t="shared" si="10"/>
        <v>9632</v>
      </c>
      <c r="Q39" s="26">
        <f t="shared" si="10"/>
        <v>8840</v>
      </c>
      <c r="R39" s="26">
        <f t="shared" si="10"/>
        <v>6629</v>
      </c>
      <c r="S39" s="26">
        <f t="shared" si="10"/>
        <v>0</v>
      </c>
      <c r="T39" s="26">
        <f t="shared" si="10"/>
        <v>0</v>
      </c>
      <c r="U39" s="26">
        <f t="shared" si="10"/>
        <v>0</v>
      </c>
      <c r="V39" s="26">
        <f t="shared" si="10"/>
        <v>7374</v>
      </c>
      <c r="W39" s="28">
        <f t="shared" si="8"/>
        <v>141232</v>
      </c>
      <c r="X39" s="28">
        <f t="shared" si="0"/>
        <v>7061.6</v>
      </c>
      <c r="Y39" s="29">
        <f>W39/W13</f>
        <v>7.9384605180582938E-3</v>
      </c>
    </row>
    <row r="40" spans="1:25" x14ac:dyDescent="0.15">
      <c r="A40" s="51" t="s">
        <v>94</v>
      </c>
      <c r="B40" s="12" t="s">
        <v>95</v>
      </c>
      <c r="C40" s="15">
        <v>17390</v>
      </c>
      <c r="D40" s="15">
        <v>106700</v>
      </c>
      <c r="E40" s="15">
        <v>86040</v>
      </c>
      <c r="F40" s="15">
        <v>72560</v>
      </c>
      <c r="G40" s="15">
        <v>11300</v>
      </c>
      <c r="H40" s="15">
        <v>98150</v>
      </c>
      <c r="I40" s="15">
        <v>143370</v>
      </c>
      <c r="J40" s="15">
        <v>109710</v>
      </c>
      <c r="K40" s="15">
        <v>67060</v>
      </c>
      <c r="L40" s="15">
        <v>85080</v>
      </c>
      <c r="M40" s="15">
        <v>232240</v>
      </c>
      <c r="N40" s="15">
        <v>141030</v>
      </c>
      <c r="O40" s="15">
        <v>165110</v>
      </c>
      <c r="P40" s="15">
        <v>105990</v>
      </c>
      <c r="Q40" s="15">
        <v>126560</v>
      </c>
      <c r="R40" s="15">
        <v>102770</v>
      </c>
      <c r="S40" s="15">
        <v>0</v>
      </c>
      <c r="T40" s="15">
        <v>0</v>
      </c>
      <c r="U40" s="15">
        <v>0</v>
      </c>
      <c r="V40" s="15">
        <v>0</v>
      </c>
      <c r="W40" s="17">
        <f t="shared" si="8"/>
        <v>1671060</v>
      </c>
      <c r="X40" s="17">
        <f t="shared" si="0"/>
        <v>83553</v>
      </c>
      <c r="Y40" s="14">
        <f>W40/W13</f>
        <v>9.3928032126617864E-2</v>
      </c>
    </row>
    <row r="41" spans="1:25" x14ac:dyDescent="0.15">
      <c r="A41" s="51"/>
      <c r="B41" s="12" t="s">
        <v>96</v>
      </c>
      <c r="C41" s="15">
        <v>520</v>
      </c>
      <c r="D41" s="15">
        <v>-38683</v>
      </c>
      <c r="E41" s="15">
        <v>-36834</v>
      </c>
      <c r="F41" s="15">
        <v>-33287</v>
      </c>
      <c r="G41" s="15">
        <v>-2237</v>
      </c>
      <c r="H41" s="15">
        <v>-41792</v>
      </c>
      <c r="I41" s="15">
        <v>-55181</v>
      </c>
      <c r="J41" s="15">
        <v>-53590</v>
      </c>
      <c r="K41" s="15">
        <v>-35120</v>
      </c>
      <c r="L41" s="15">
        <v>-35569</v>
      </c>
      <c r="M41" s="15">
        <v>-74450</v>
      </c>
      <c r="N41" s="15">
        <v>-60673</v>
      </c>
      <c r="O41" s="15">
        <v>-65142</v>
      </c>
      <c r="P41" s="15">
        <v>-33855</v>
      </c>
      <c r="Q41" s="15">
        <v>-101500</v>
      </c>
      <c r="R41" s="15">
        <v>-101500</v>
      </c>
      <c r="S41" s="15">
        <v>0</v>
      </c>
      <c r="T41" s="15">
        <v>0</v>
      </c>
      <c r="U41" s="15">
        <v>0</v>
      </c>
      <c r="V41" s="15">
        <v>0</v>
      </c>
      <c r="W41" s="17">
        <f t="shared" si="8"/>
        <v>-768893</v>
      </c>
      <c r="X41" s="17">
        <f t="shared" si="0"/>
        <v>-38444.65</v>
      </c>
      <c r="Y41" s="14">
        <f>W41/W13</f>
        <v>-4.3218440035625041E-2</v>
      </c>
    </row>
    <row r="42" spans="1:25" x14ac:dyDescent="0.15">
      <c r="A42" s="51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5">
        <v>0</v>
      </c>
      <c r="K42" s="15">
        <v>0</v>
      </c>
      <c r="L42" s="15">
        <v>0</v>
      </c>
      <c r="M42" s="15">
        <v>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7">
        <f t="shared" si="8"/>
        <v>0</v>
      </c>
      <c r="X42" s="17">
        <f t="shared" si="0"/>
        <v>0</v>
      </c>
      <c r="Y42" s="14">
        <f>W42/W13</f>
        <v>0</v>
      </c>
    </row>
    <row r="43" spans="1:25" x14ac:dyDescent="0.15">
      <c r="A43" s="51"/>
      <c r="B43" s="12" t="s">
        <v>98</v>
      </c>
      <c r="C43" s="15">
        <v>-5564.8</v>
      </c>
      <c r="D43" s="15">
        <v>-34144</v>
      </c>
      <c r="E43" s="15">
        <v>-27532.799999999999</v>
      </c>
      <c r="F43" s="15">
        <v>-23219.200000000001</v>
      </c>
      <c r="G43" s="15">
        <v>-3616</v>
      </c>
      <c r="H43" s="15">
        <v>-31408</v>
      </c>
      <c r="I43" s="15">
        <v>-45878.400000000001</v>
      </c>
      <c r="J43" s="15">
        <v>-35107.199999999997</v>
      </c>
      <c r="K43" s="15">
        <v>-21459.200000000001</v>
      </c>
      <c r="L43" s="15">
        <v>-27225.599999999999</v>
      </c>
      <c r="M43" s="15">
        <v>-74316.800000000003</v>
      </c>
      <c r="N43" s="15">
        <v>-45129.599999999999</v>
      </c>
      <c r="O43" s="15">
        <v>-52835.199999999997</v>
      </c>
      <c r="P43" s="15">
        <v>-33916.800000000003</v>
      </c>
      <c r="Q43" s="15">
        <v>-40499.199999999997</v>
      </c>
      <c r="R43" s="15">
        <v>-32886.400000000001</v>
      </c>
      <c r="S43" s="15">
        <v>0</v>
      </c>
      <c r="T43" s="15">
        <v>0</v>
      </c>
      <c r="U43" s="15">
        <v>0</v>
      </c>
      <c r="V43" s="15">
        <v>0</v>
      </c>
      <c r="W43" s="17">
        <f>SUM(C43:V43)</f>
        <v>-534739.20000000007</v>
      </c>
      <c r="X43" s="17">
        <f>AVERAGE(B43:V43)</f>
        <v>-26736.960000000003</v>
      </c>
      <c r="Y43" s="14">
        <f>W43/W13</f>
        <v>-3.0056970280517719E-2</v>
      </c>
    </row>
    <row r="44" spans="1:25" x14ac:dyDescent="0.15">
      <c r="A44" s="51"/>
      <c r="B44" s="25" t="s">
        <v>99</v>
      </c>
      <c r="C44" s="26">
        <f t="shared" ref="C44:W44" si="11">SUM(C40:C43)</f>
        <v>12345.2</v>
      </c>
      <c r="D44" s="26">
        <f t="shared" si="11"/>
        <v>33873</v>
      </c>
      <c r="E44" s="26">
        <f t="shared" si="11"/>
        <v>21673.200000000001</v>
      </c>
      <c r="F44" s="26">
        <f t="shared" si="11"/>
        <v>16053.8</v>
      </c>
      <c r="G44" s="26">
        <f t="shared" si="11"/>
        <v>5447</v>
      </c>
      <c r="H44" s="26">
        <f t="shared" si="11"/>
        <v>24950</v>
      </c>
      <c r="I44" s="26">
        <f t="shared" si="11"/>
        <v>42310.6</v>
      </c>
      <c r="J44" s="26">
        <f t="shared" si="11"/>
        <v>21012.800000000003</v>
      </c>
      <c r="K44" s="26">
        <f t="shared" si="11"/>
        <v>10480.799999999999</v>
      </c>
      <c r="L44" s="26">
        <f t="shared" si="11"/>
        <v>22285.4</v>
      </c>
      <c r="M44" s="26">
        <f t="shared" si="11"/>
        <v>83473.2</v>
      </c>
      <c r="N44" s="26">
        <f t="shared" si="11"/>
        <v>35227.4</v>
      </c>
      <c r="O44" s="26">
        <f t="shared" si="11"/>
        <v>47132.800000000003</v>
      </c>
      <c r="P44" s="26">
        <f t="shared" si="11"/>
        <v>38218.199999999997</v>
      </c>
      <c r="Q44" s="26">
        <f t="shared" si="11"/>
        <v>-15439.199999999997</v>
      </c>
      <c r="R44" s="26">
        <f t="shared" si="11"/>
        <v>-31616.400000000001</v>
      </c>
      <c r="S44" s="26">
        <f t="shared" si="11"/>
        <v>0</v>
      </c>
      <c r="T44" s="26">
        <f t="shared" si="11"/>
        <v>0</v>
      </c>
      <c r="U44" s="26">
        <f t="shared" si="11"/>
        <v>0</v>
      </c>
      <c r="V44" s="26">
        <f t="shared" si="11"/>
        <v>0</v>
      </c>
      <c r="W44" s="28">
        <f t="shared" si="11"/>
        <v>367427.79999999993</v>
      </c>
      <c r="X44" s="28">
        <f>AVERAGE(B44:V44)</f>
        <v>18371.389999999996</v>
      </c>
      <c r="Y44" s="29">
        <f>W44/W13</f>
        <v>2.0652621810475096E-2</v>
      </c>
    </row>
    <row r="45" spans="1:25" x14ac:dyDescent="0.15">
      <c r="A45" s="51" t="s">
        <v>100</v>
      </c>
      <c r="B45" s="12" t="s">
        <v>101</v>
      </c>
      <c r="C45" s="15">
        <v>360672</v>
      </c>
      <c r="D45" s="15">
        <v>485520</v>
      </c>
      <c r="E45" s="15">
        <v>346800</v>
      </c>
      <c r="F45" s="15">
        <v>346800</v>
      </c>
      <c r="G45" s="15">
        <v>97104</v>
      </c>
      <c r="H45" s="15">
        <v>319056</v>
      </c>
      <c r="I45" s="15">
        <v>291312</v>
      </c>
      <c r="J45" s="15">
        <v>388416</v>
      </c>
      <c r="K45" s="15">
        <v>291312</v>
      </c>
      <c r="L45" s="15">
        <v>360672</v>
      </c>
      <c r="M45" s="15">
        <v>319056</v>
      </c>
      <c r="N45" s="15">
        <v>319056</v>
      </c>
      <c r="O45" s="15">
        <v>360672</v>
      </c>
      <c r="P45" s="15">
        <v>235824</v>
      </c>
      <c r="Q45" s="15">
        <v>194208</v>
      </c>
      <c r="R45" s="15">
        <v>221952</v>
      </c>
      <c r="S45" s="15">
        <v>0</v>
      </c>
      <c r="T45" s="15">
        <v>0</v>
      </c>
      <c r="U45" s="15">
        <v>0</v>
      </c>
      <c r="V45" s="15">
        <v>0</v>
      </c>
      <c r="W45" s="17">
        <f t="shared" ref="W45:W60" si="12">SUM(C45:V45)</f>
        <v>4938432</v>
      </c>
      <c r="X45" s="17">
        <f t="shared" ref="X45:X60" si="13">AVERAGE(C45:V45)</f>
        <v>246921.60000000001</v>
      </c>
      <c r="Y45" s="14">
        <f>W45/W13</f>
        <v>0.27758261196552947</v>
      </c>
    </row>
    <row r="46" spans="1:25" x14ac:dyDescent="0.15">
      <c r="A46" s="51"/>
      <c r="B46" s="12" t="s">
        <v>102</v>
      </c>
      <c r="C46" s="15">
        <v>20262</v>
      </c>
      <c r="D46" s="15">
        <v>27275</v>
      </c>
      <c r="E46" s="15">
        <v>19482</v>
      </c>
      <c r="F46" s="15">
        <v>19482</v>
      </c>
      <c r="G46" s="15">
        <v>5455</v>
      </c>
      <c r="H46" s="15">
        <v>17924</v>
      </c>
      <c r="I46" s="15">
        <v>16366</v>
      </c>
      <c r="J46" s="15">
        <v>21820</v>
      </c>
      <c r="K46" s="15">
        <v>16365</v>
      </c>
      <c r="L46" s="15">
        <v>20262</v>
      </c>
      <c r="M46" s="15">
        <v>17924</v>
      </c>
      <c r="N46" s="15">
        <v>17924</v>
      </c>
      <c r="O46" s="15">
        <v>20262</v>
      </c>
      <c r="P46" s="15">
        <v>13248</v>
      </c>
      <c r="Q46" s="15">
        <v>10911</v>
      </c>
      <c r="R46" s="15">
        <v>12469</v>
      </c>
      <c r="S46" s="15">
        <v>0</v>
      </c>
      <c r="T46" s="15">
        <v>0</v>
      </c>
      <c r="U46" s="15">
        <v>0</v>
      </c>
      <c r="V46" s="15">
        <v>0</v>
      </c>
      <c r="W46" s="17">
        <f t="shared" si="12"/>
        <v>277431</v>
      </c>
      <c r="X46" s="17">
        <f t="shared" si="13"/>
        <v>13871.55</v>
      </c>
      <c r="Y46" s="14">
        <f>W46/W13</f>
        <v>1.5594022884229005E-2</v>
      </c>
    </row>
    <row r="47" spans="1:25" x14ac:dyDescent="0.15">
      <c r="A47" s="51"/>
      <c r="B47" s="12" t="s">
        <v>103</v>
      </c>
      <c r="C47" s="15">
        <v>66099</v>
      </c>
      <c r="D47" s="15">
        <v>88978</v>
      </c>
      <c r="E47" s="15">
        <v>63557</v>
      </c>
      <c r="F47" s="15">
        <v>63557</v>
      </c>
      <c r="G47" s="15">
        <v>17796</v>
      </c>
      <c r="H47" s="15">
        <v>58472</v>
      </c>
      <c r="I47" s="15">
        <v>53388</v>
      </c>
      <c r="J47" s="15">
        <v>71182</v>
      </c>
      <c r="K47" s="15">
        <v>53388</v>
      </c>
      <c r="L47" s="15">
        <v>66099</v>
      </c>
      <c r="M47" s="15">
        <v>58472</v>
      </c>
      <c r="N47" s="15">
        <v>58473</v>
      </c>
      <c r="O47" s="15">
        <v>66098</v>
      </c>
      <c r="P47" s="15">
        <v>43219</v>
      </c>
      <c r="Q47" s="15">
        <v>35592</v>
      </c>
      <c r="R47" s="15">
        <v>40677</v>
      </c>
      <c r="S47" s="15">
        <v>0</v>
      </c>
      <c r="T47" s="15">
        <v>0</v>
      </c>
      <c r="U47" s="15">
        <v>0</v>
      </c>
      <c r="V47" s="15">
        <v>0</v>
      </c>
      <c r="W47" s="17">
        <f t="shared" si="12"/>
        <v>905047</v>
      </c>
      <c r="X47" s="17">
        <f t="shared" si="13"/>
        <v>45252.35</v>
      </c>
      <c r="Y47" s="14">
        <f>W47/W13</f>
        <v>5.0871473012398784E-2</v>
      </c>
    </row>
    <row r="48" spans="1:25" x14ac:dyDescent="0.15">
      <c r="A48" s="51"/>
      <c r="B48" s="12" t="s">
        <v>104</v>
      </c>
      <c r="C48" s="15">
        <v>3740</v>
      </c>
      <c r="D48" s="15">
        <v>5035</v>
      </c>
      <c r="E48" s="15">
        <v>3596</v>
      </c>
      <c r="F48" s="15">
        <v>3596</v>
      </c>
      <c r="G48" s="15">
        <v>1007</v>
      </c>
      <c r="H48" s="15">
        <v>3308</v>
      </c>
      <c r="I48" s="15">
        <v>3022</v>
      </c>
      <c r="J48" s="15">
        <v>4028</v>
      </c>
      <c r="K48" s="15">
        <v>3021</v>
      </c>
      <c r="L48" s="15">
        <v>3740</v>
      </c>
      <c r="M48" s="15">
        <v>3309</v>
      </c>
      <c r="N48" s="15">
        <v>3308</v>
      </c>
      <c r="O48" s="15">
        <v>3741</v>
      </c>
      <c r="P48" s="15">
        <v>2446</v>
      </c>
      <c r="Q48" s="15">
        <v>2015</v>
      </c>
      <c r="R48" s="15">
        <v>2301</v>
      </c>
      <c r="S48" s="15">
        <v>0</v>
      </c>
      <c r="T48" s="15">
        <v>0</v>
      </c>
      <c r="U48" s="15">
        <v>0</v>
      </c>
      <c r="V48" s="15">
        <v>0</v>
      </c>
      <c r="W48" s="17">
        <f t="shared" si="12"/>
        <v>51213</v>
      </c>
      <c r="X48" s="17">
        <f t="shared" si="13"/>
        <v>2560.65</v>
      </c>
      <c r="Y48" s="14">
        <f>W48/W13</f>
        <v>2.8786137597096935E-3</v>
      </c>
    </row>
    <row r="49" spans="1:25" x14ac:dyDescent="0.15">
      <c r="A49" s="51"/>
      <c r="B49" s="25" t="s">
        <v>105</v>
      </c>
      <c r="C49" s="26">
        <f t="shared" ref="C49:V49" si="14">SUM(C45:C48)</f>
        <v>450773</v>
      </c>
      <c r="D49" s="26">
        <f t="shared" si="14"/>
        <v>606808</v>
      </c>
      <c r="E49" s="26">
        <f t="shared" si="14"/>
        <v>433435</v>
      </c>
      <c r="F49" s="26">
        <f t="shared" si="14"/>
        <v>433435</v>
      </c>
      <c r="G49" s="26">
        <f t="shared" si="14"/>
        <v>121362</v>
      </c>
      <c r="H49" s="26">
        <f t="shared" si="14"/>
        <v>398760</v>
      </c>
      <c r="I49" s="26">
        <f t="shared" si="14"/>
        <v>364088</v>
      </c>
      <c r="J49" s="26">
        <f t="shared" si="14"/>
        <v>485446</v>
      </c>
      <c r="K49" s="26">
        <f t="shared" si="14"/>
        <v>364086</v>
      </c>
      <c r="L49" s="26">
        <f t="shared" si="14"/>
        <v>450773</v>
      </c>
      <c r="M49" s="26">
        <f t="shared" si="14"/>
        <v>398761</v>
      </c>
      <c r="N49" s="26">
        <f t="shared" si="14"/>
        <v>398761</v>
      </c>
      <c r="O49" s="26">
        <f t="shared" si="14"/>
        <v>450773</v>
      </c>
      <c r="P49" s="26">
        <f t="shared" si="14"/>
        <v>294737</v>
      </c>
      <c r="Q49" s="26">
        <f t="shared" si="14"/>
        <v>242726</v>
      </c>
      <c r="R49" s="26">
        <f t="shared" si="14"/>
        <v>277399</v>
      </c>
      <c r="S49" s="26">
        <f t="shared" si="14"/>
        <v>0</v>
      </c>
      <c r="T49" s="26">
        <f t="shared" si="14"/>
        <v>0</v>
      </c>
      <c r="U49" s="26">
        <f t="shared" si="14"/>
        <v>0</v>
      </c>
      <c r="V49" s="26">
        <f t="shared" si="14"/>
        <v>0</v>
      </c>
      <c r="W49" s="28">
        <f t="shared" si="12"/>
        <v>6172123</v>
      </c>
      <c r="X49" s="28">
        <f t="shared" si="13"/>
        <v>308606.15000000002</v>
      </c>
      <c r="Y49" s="29">
        <f>W49/W13</f>
        <v>0.34692672162186694</v>
      </c>
    </row>
    <row r="50" spans="1:25" x14ac:dyDescent="0.15">
      <c r="A50" s="51" t="s">
        <v>106</v>
      </c>
      <c r="B50" s="12" t="s">
        <v>107</v>
      </c>
      <c r="C50" s="15">
        <v>6500</v>
      </c>
      <c r="D50" s="15">
        <v>6500</v>
      </c>
      <c r="E50" s="15">
        <v>6500</v>
      </c>
      <c r="F50" s="15">
        <v>6500</v>
      </c>
      <c r="G50" s="15">
        <v>6500</v>
      </c>
      <c r="H50" s="15">
        <v>6500</v>
      </c>
      <c r="I50" s="15">
        <v>6500</v>
      </c>
      <c r="J50" s="15">
        <v>6500</v>
      </c>
      <c r="K50" s="15">
        <v>6500</v>
      </c>
      <c r="L50" s="15">
        <v>6500</v>
      </c>
      <c r="M50" s="15">
        <v>6500</v>
      </c>
      <c r="N50" s="15">
        <v>6500</v>
      </c>
      <c r="O50" s="15">
        <v>6500</v>
      </c>
      <c r="P50" s="15">
        <v>6500</v>
      </c>
      <c r="Q50" s="15">
        <v>6500</v>
      </c>
      <c r="R50" s="15">
        <v>6500</v>
      </c>
      <c r="S50" s="15">
        <v>0</v>
      </c>
      <c r="T50" s="15">
        <v>0</v>
      </c>
      <c r="U50" s="15">
        <v>6500</v>
      </c>
      <c r="V50" s="15">
        <v>6500</v>
      </c>
      <c r="W50" s="17">
        <f t="shared" si="12"/>
        <v>117000</v>
      </c>
      <c r="X50" s="17">
        <f t="shared" si="13"/>
        <v>5850</v>
      </c>
      <c r="Y50" s="14">
        <f>W50/W13</f>
        <v>6.5764124321175121E-3</v>
      </c>
    </row>
    <row r="51" spans="1:25" x14ac:dyDescent="0.15">
      <c r="A51" s="51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7">
        <f t="shared" si="12"/>
        <v>0</v>
      </c>
      <c r="X51" s="17">
        <f t="shared" si="13"/>
        <v>0</v>
      </c>
      <c r="Y51" s="14">
        <f>W51/W13</f>
        <v>0</v>
      </c>
    </row>
    <row r="52" spans="1:25" x14ac:dyDescent="0.15">
      <c r="A52" s="51"/>
      <c r="B52" s="12" t="s">
        <v>109</v>
      </c>
      <c r="C52" s="15">
        <v>0</v>
      </c>
      <c r="D52" s="15">
        <v>0</v>
      </c>
      <c r="E52" s="15">
        <v>0</v>
      </c>
      <c r="F52" s="15">
        <v>130000</v>
      </c>
      <c r="G52" s="15">
        <v>0</v>
      </c>
      <c r="H52" s="15">
        <v>0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7">
        <f t="shared" si="12"/>
        <v>130000</v>
      </c>
      <c r="X52" s="17">
        <f t="shared" si="13"/>
        <v>6500</v>
      </c>
      <c r="Y52" s="14">
        <f>W52/W13</f>
        <v>7.3071249245750137E-3</v>
      </c>
    </row>
    <row r="53" spans="1:25" x14ac:dyDescent="0.15">
      <c r="A53" s="51"/>
      <c r="B53" s="12" t="s">
        <v>110</v>
      </c>
      <c r="C53" s="15">
        <v>90074.444444444438</v>
      </c>
      <c r="D53" s="15">
        <v>90074.444444444438</v>
      </c>
      <c r="E53" s="15">
        <v>90074.444444444438</v>
      </c>
      <c r="F53" s="15">
        <v>90074.444444444438</v>
      </c>
      <c r="G53" s="15">
        <v>90074.444444444438</v>
      </c>
      <c r="H53" s="15">
        <v>90074.444444444438</v>
      </c>
      <c r="I53" s="15">
        <v>90074.444444444438</v>
      </c>
      <c r="J53" s="15">
        <v>90074.444444444438</v>
      </c>
      <c r="K53" s="15">
        <v>90074.444444444438</v>
      </c>
      <c r="L53" s="15">
        <v>90074.444444444438</v>
      </c>
      <c r="M53" s="15">
        <v>90074.444444444438</v>
      </c>
      <c r="N53" s="15">
        <v>90074.444444444438</v>
      </c>
      <c r="O53" s="15">
        <v>90074.444444444438</v>
      </c>
      <c r="P53" s="15">
        <v>90074.444444444438</v>
      </c>
      <c r="Q53" s="15">
        <v>90074.444444444438</v>
      </c>
      <c r="R53" s="15">
        <v>90074.444444444438</v>
      </c>
      <c r="S53" s="15">
        <v>0</v>
      </c>
      <c r="T53" s="15">
        <v>0</v>
      </c>
      <c r="U53" s="15">
        <v>90074.444444444438</v>
      </c>
      <c r="V53" s="15">
        <v>90074.444444444438</v>
      </c>
      <c r="W53" s="17">
        <f t="shared" si="12"/>
        <v>1621340.0000000005</v>
      </c>
      <c r="X53" s="17">
        <f t="shared" si="13"/>
        <v>81067.000000000029</v>
      </c>
      <c r="Y53" s="14">
        <f>W53/W13</f>
        <v>9.1133337886234275E-2</v>
      </c>
    </row>
    <row r="54" spans="1:25" x14ac:dyDescent="0.15">
      <c r="A54" s="51"/>
      <c r="B54" s="12" t="s">
        <v>111</v>
      </c>
      <c r="C54" s="15">
        <v>67419.111111111109</v>
      </c>
      <c r="D54" s="15">
        <v>67419.111111111109</v>
      </c>
      <c r="E54" s="15">
        <v>67419.111111111109</v>
      </c>
      <c r="F54" s="15">
        <v>67419.111111111109</v>
      </c>
      <c r="G54" s="15">
        <v>67419.111111111109</v>
      </c>
      <c r="H54" s="15">
        <v>67419.111111111109</v>
      </c>
      <c r="I54" s="15">
        <v>67419.111111111109</v>
      </c>
      <c r="J54" s="15">
        <v>67419.111111111109</v>
      </c>
      <c r="K54" s="15">
        <v>67419.111111111109</v>
      </c>
      <c r="L54" s="15">
        <v>67419.111111111109</v>
      </c>
      <c r="M54" s="15">
        <v>67419.111111111109</v>
      </c>
      <c r="N54" s="15">
        <v>67419.111111111109</v>
      </c>
      <c r="O54" s="15">
        <v>67419.111111111109</v>
      </c>
      <c r="P54" s="15">
        <v>67419.111111111109</v>
      </c>
      <c r="Q54" s="15">
        <v>67419.111111111109</v>
      </c>
      <c r="R54" s="15">
        <v>67419.111111111109</v>
      </c>
      <c r="S54" s="15">
        <v>0</v>
      </c>
      <c r="T54" s="15">
        <v>0</v>
      </c>
      <c r="U54" s="15">
        <v>67419.111111111109</v>
      </c>
      <c r="V54" s="15">
        <v>67419.111111111109</v>
      </c>
      <c r="W54" s="17">
        <f t="shared" si="12"/>
        <v>1213543.9999999998</v>
      </c>
      <c r="X54" s="17">
        <f t="shared" si="13"/>
        <v>60677.19999999999</v>
      </c>
      <c r="Y54" s="14">
        <f>W54/W13</f>
        <v>6.8211673918988136E-2</v>
      </c>
    </row>
    <row r="55" spans="1:25" x14ac:dyDescent="0.15">
      <c r="A55" s="51"/>
      <c r="B55" s="25" t="s">
        <v>112</v>
      </c>
      <c r="C55" s="26">
        <f t="shared" ref="C55:V55" si="15">SUM(C50:C54)</f>
        <v>163993.55555555556</v>
      </c>
      <c r="D55" s="26">
        <f t="shared" si="15"/>
        <v>163993.55555555556</v>
      </c>
      <c r="E55" s="26">
        <f t="shared" si="15"/>
        <v>163993.55555555556</v>
      </c>
      <c r="F55" s="26">
        <f t="shared" si="15"/>
        <v>293993.55555555556</v>
      </c>
      <c r="G55" s="26">
        <f t="shared" si="15"/>
        <v>163993.55555555556</v>
      </c>
      <c r="H55" s="26">
        <f t="shared" si="15"/>
        <v>163993.55555555556</v>
      </c>
      <c r="I55" s="26">
        <f t="shared" si="15"/>
        <v>163993.55555555556</v>
      </c>
      <c r="J55" s="26">
        <f t="shared" si="15"/>
        <v>163993.55555555556</v>
      </c>
      <c r="K55" s="26">
        <f t="shared" si="15"/>
        <v>163993.55555555556</v>
      </c>
      <c r="L55" s="26">
        <f t="shared" si="15"/>
        <v>163993.55555555556</v>
      </c>
      <c r="M55" s="26">
        <f t="shared" si="15"/>
        <v>163993.55555555556</v>
      </c>
      <c r="N55" s="26">
        <f t="shared" si="15"/>
        <v>163993.55555555556</v>
      </c>
      <c r="O55" s="26">
        <f t="shared" si="15"/>
        <v>163993.55555555556</v>
      </c>
      <c r="P55" s="26">
        <f t="shared" si="15"/>
        <v>163993.55555555556</v>
      </c>
      <c r="Q55" s="26">
        <f t="shared" si="15"/>
        <v>163993.55555555556</v>
      </c>
      <c r="R55" s="26">
        <f t="shared" si="15"/>
        <v>163993.55555555556</v>
      </c>
      <c r="S55" s="26">
        <f t="shared" si="15"/>
        <v>0</v>
      </c>
      <c r="T55" s="26">
        <f t="shared" si="15"/>
        <v>0</v>
      </c>
      <c r="U55" s="26">
        <f t="shared" si="15"/>
        <v>163993.55555555556</v>
      </c>
      <c r="V55" s="26">
        <f t="shared" si="15"/>
        <v>163993.55555555556</v>
      </c>
      <c r="W55" s="28">
        <f t="shared" si="12"/>
        <v>3081883.9999999995</v>
      </c>
      <c r="X55" s="28">
        <f t="shared" si="13"/>
        <v>154094.19999999998</v>
      </c>
      <c r="Y55" s="29">
        <f>W55/W13</f>
        <v>0.17322854916191491</v>
      </c>
    </row>
    <row r="56" spans="1:25" x14ac:dyDescent="0.15">
      <c r="A56" s="48" t="s">
        <v>113</v>
      </c>
      <c r="B56" s="48"/>
      <c r="C56" s="15">
        <f t="shared" ref="C56:V56" si="16">SUM(C49+C22+C27+C33+C39+C44+C55)</f>
        <v>857603.75555555546</v>
      </c>
      <c r="D56" s="15">
        <f t="shared" si="16"/>
        <v>1098207.9841269841</v>
      </c>
      <c r="E56" s="15">
        <f t="shared" si="16"/>
        <v>830819.61269841273</v>
      </c>
      <c r="F56" s="15">
        <f t="shared" si="16"/>
        <v>1009684.3555555556</v>
      </c>
      <c r="G56" s="15">
        <f t="shared" si="16"/>
        <v>574890.69841269846</v>
      </c>
      <c r="H56" s="15">
        <f t="shared" si="16"/>
        <v>1131938.6984126985</v>
      </c>
      <c r="I56" s="15">
        <f t="shared" si="16"/>
        <v>1173367.3555555556</v>
      </c>
      <c r="J56" s="15">
        <f t="shared" si="16"/>
        <v>972824.49841269851</v>
      </c>
      <c r="K56" s="15">
        <f t="shared" si="16"/>
        <v>784963.35555555555</v>
      </c>
      <c r="L56" s="15">
        <f t="shared" si="16"/>
        <v>1023929.66984127</v>
      </c>
      <c r="M56" s="15">
        <f t="shared" si="16"/>
        <v>1229444.0412698411</v>
      </c>
      <c r="N56" s="15">
        <f t="shared" si="16"/>
        <v>924412.38412698405</v>
      </c>
      <c r="O56" s="15">
        <f t="shared" si="16"/>
        <v>1163130.6412698412</v>
      </c>
      <c r="P56" s="15">
        <f t="shared" si="16"/>
        <v>1107363.1841269841</v>
      </c>
      <c r="Q56" s="15">
        <f t="shared" si="16"/>
        <v>775096.92698412691</v>
      </c>
      <c r="R56" s="15">
        <f t="shared" si="16"/>
        <v>659975.29841269832</v>
      </c>
      <c r="S56" s="15">
        <f t="shared" si="16"/>
        <v>0</v>
      </c>
      <c r="T56" s="15">
        <f t="shared" si="16"/>
        <v>0</v>
      </c>
      <c r="U56" s="15">
        <f t="shared" si="16"/>
        <v>171068.55555555556</v>
      </c>
      <c r="V56" s="15">
        <f t="shared" si="16"/>
        <v>251956.55555555556</v>
      </c>
      <c r="W56" s="17">
        <f t="shared" si="12"/>
        <v>15740677.571428575</v>
      </c>
      <c r="X56" s="17">
        <f t="shared" si="13"/>
        <v>787033.87857142871</v>
      </c>
      <c r="Y56" s="14">
        <f>W56/W13</f>
        <v>0.8847622877837279</v>
      </c>
    </row>
    <row r="57" spans="1:25" x14ac:dyDescent="0.15">
      <c r="A57" s="48" t="s">
        <v>114</v>
      </c>
      <c r="B57" s="48"/>
      <c r="C57" s="15">
        <f t="shared" ref="C57:V57" si="17">SUM(C13+C14-C56)</f>
        <v>60356.244444444543</v>
      </c>
      <c r="D57" s="15">
        <f t="shared" si="17"/>
        <v>148892.01587301586</v>
      </c>
      <c r="E57" s="15">
        <f t="shared" si="17"/>
        <v>407250.38730158727</v>
      </c>
      <c r="F57" s="15">
        <f t="shared" si="17"/>
        <v>212705.64444444445</v>
      </c>
      <c r="G57" s="15">
        <f t="shared" si="17"/>
        <v>-338250.69841269846</v>
      </c>
      <c r="H57" s="15">
        <f t="shared" si="17"/>
        <v>81921.301587301539</v>
      </c>
      <c r="I57" s="15">
        <f t="shared" si="17"/>
        <v>-167227.35555555555</v>
      </c>
      <c r="J57" s="15">
        <f t="shared" si="17"/>
        <v>248075.50158730149</v>
      </c>
      <c r="K57" s="15">
        <f t="shared" si="17"/>
        <v>415036.64444444445</v>
      </c>
      <c r="L57" s="15">
        <f t="shared" si="17"/>
        <v>219510.33015873004</v>
      </c>
      <c r="M57" s="15">
        <f t="shared" si="17"/>
        <v>300885.95873015886</v>
      </c>
      <c r="N57" s="15">
        <f t="shared" si="17"/>
        <v>240497.61587301595</v>
      </c>
      <c r="O57" s="15">
        <f t="shared" si="17"/>
        <v>6069.3587301587686</v>
      </c>
      <c r="P57" s="15">
        <f t="shared" si="17"/>
        <v>-335343.1841269841</v>
      </c>
      <c r="Q57" s="15">
        <f t="shared" si="17"/>
        <v>424559.07301587309</v>
      </c>
      <c r="R57" s="15">
        <f t="shared" si="17"/>
        <v>445021.70158730168</v>
      </c>
      <c r="S57" s="15">
        <f t="shared" si="17"/>
        <v>14000</v>
      </c>
      <c r="T57" s="15">
        <f>SUM(T13+T14-T56)</f>
        <v>606412</v>
      </c>
      <c r="U57" s="15">
        <f t="shared" si="17"/>
        <v>-171068.55555555556</v>
      </c>
      <c r="V57" s="15">
        <f t="shared" si="17"/>
        <v>-251956.55555555556</v>
      </c>
      <c r="W57" s="17">
        <f t="shared" si="12"/>
        <v>2567347.4285714291</v>
      </c>
      <c r="X57" s="17">
        <f t="shared" si="13"/>
        <v>128367.37142857145</v>
      </c>
      <c r="Y57" s="14">
        <f>W57/W13</f>
        <v>0.14430714142582968</v>
      </c>
    </row>
    <row r="58" spans="1:25" x14ac:dyDescent="0.15">
      <c r="A58" s="48" t="s">
        <v>115</v>
      </c>
      <c r="B58" s="48"/>
      <c r="C58" s="15">
        <v>126042.4054054054</v>
      </c>
      <c r="D58" s="15">
        <v>126042.4054054054</v>
      </c>
      <c r="E58" s="15">
        <v>126042.4054054054</v>
      </c>
      <c r="F58" s="15">
        <v>126042.4054054054</v>
      </c>
      <c r="G58" s="15">
        <v>126042.4054054054</v>
      </c>
      <c r="H58" s="15">
        <v>126042.4054054054</v>
      </c>
      <c r="I58" s="15">
        <v>126042.4054054054</v>
      </c>
      <c r="J58" s="15">
        <v>126042.4054054054</v>
      </c>
      <c r="K58" s="15">
        <v>126042.4054054054</v>
      </c>
      <c r="L58" s="15">
        <v>126042.4054054054</v>
      </c>
      <c r="M58" s="15">
        <v>126042.4054054054</v>
      </c>
      <c r="N58" s="15">
        <v>126042.4054054054</v>
      </c>
      <c r="O58" s="15">
        <v>126042.4054054054</v>
      </c>
      <c r="P58" s="15">
        <v>126042.4054054054</v>
      </c>
      <c r="Q58" s="15">
        <v>126042.4054054054</v>
      </c>
      <c r="R58" s="15">
        <v>126042.4054054054</v>
      </c>
      <c r="S58" s="15">
        <v>0</v>
      </c>
      <c r="T58" s="15">
        <v>0</v>
      </c>
      <c r="U58" s="15">
        <v>126042.4054054054</v>
      </c>
      <c r="V58" s="15">
        <v>126042.4054054054</v>
      </c>
      <c r="W58" s="17">
        <f t="shared" si="12"/>
        <v>2268763.2972972975</v>
      </c>
      <c r="X58" s="17">
        <f t="shared" si="13"/>
        <v>113438.16486486487</v>
      </c>
      <c r="Y58" s="14">
        <f>W58/W13</f>
        <v>0.12752412952032363</v>
      </c>
    </row>
    <row r="59" spans="1:25" x14ac:dyDescent="0.15">
      <c r="A59" s="48" t="s">
        <v>116</v>
      </c>
      <c r="B59" s="48"/>
      <c r="C59" s="15">
        <v>118890.78378378379</v>
      </c>
      <c r="D59" s="15">
        <v>118890.78378378379</v>
      </c>
      <c r="E59" s="15">
        <v>118890.78378378379</v>
      </c>
      <c r="F59" s="15">
        <v>118890.78378378379</v>
      </c>
      <c r="G59" s="15">
        <v>118890.78378378379</v>
      </c>
      <c r="H59" s="15">
        <v>118890.78378378379</v>
      </c>
      <c r="I59" s="15">
        <v>118890.78378378379</v>
      </c>
      <c r="J59" s="15">
        <v>118890.78378378379</v>
      </c>
      <c r="K59" s="15">
        <v>118890.78378378379</v>
      </c>
      <c r="L59" s="15">
        <v>118890.78378378379</v>
      </c>
      <c r="M59" s="15">
        <v>118890.78378378379</v>
      </c>
      <c r="N59" s="15">
        <v>118890.78378378379</v>
      </c>
      <c r="O59" s="15">
        <v>118890.78378378379</v>
      </c>
      <c r="P59" s="15">
        <v>118890.78378378379</v>
      </c>
      <c r="Q59" s="15">
        <v>118890.78378378379</v>
      </c>
      <c r="R59" s="15">
        <v>118890.78378378379</v>
      </c>
      <c r="S59" s="15">
        <v>0</v>
      </c>
      <c r="T59" s="15">
        <v>0</v>
      </c>
      <c r="U59" s="15">
        <v>118890.78378378379</v>
      </c>
      <c r="V59" s="15">
        <v>118890.78378378379</v>
      </c>
      <c r="W59" s="17">
        <f t="shared" si="12"/>
        <v>2140034.108108107</v>
      </c>
      <c r="X59" s="17">
        <f t="shared" si="13"/>
        <v>107001.70540540534</v>
      </c>
      <c r="Y59" s="14">
        <f>W59/W13</f>
        <v>0.12028843515998006</v>
      </c>
    </row>
    <row r="60" spans="1:25" x14ac:dyDescent="0.15">
      <c r="A60" s="48" t="s">
        <v>117</v>
      </c>
      <c r="B60" s="48"/>
      <c r="C60" s="15">
        <f t="shared" ref="C60:V60" si="18">SUM(C57-(C58+C59))</f>
        <v>-184576.94474474463</v>
      </c>
      <c r="D60" s="15">
        <f t="shared" si="18"/>
        <v>-96041.173316173314</v>
      </c>
      <c r="E60" s="15">
        <f t="shared" si="18"/>
        <v>162317.19811239809</v>
      </c>
      <c r="F60" s="15">
        <f t="shared" si="18"/>
        <v>-32227.544744744722</v>
      </c>
      <c r="G60" s="15">
        <f t="shared" si="18"/>
        <v>-583183.88760188757</v>
      </c>
      <c r="H60" s="15">
        <f t="shared" si="18"/>
        <v>-163011.88760188763</v>
      </c>
      <c r="I60" s="15">
        <f t="shared" si="18"/>
        <v>-412160.54474474472</v>
      </c>
      <c r="J60" s="15">
        <f t="shared" si="18"/>
        <v>3142.3123981123208</v>
      </c>
      <c r="K60" s="15">
        <f t="shared" si="18"/>
        <v>170103.45525525528</v>
      </c>
      <c r="L60" s="15">
        <f t="shared" si="18"/>
        <v>-25422.859030459134</v>
      </c>
      <c r="M60" s="15">
        <f t="shared" si="18"/>
        <v>55952.76954096969</v>
      </c>
      <c r="N60" s="15">
        <f t="shared" si="18"/>
        <v>-4435.5733161732205</v>
      </c>
      <c r="O60" s="15">
        <f t="shared" si="18"/>
        <v>-238863.8304590304</v>
      </c>
      <c r="P60" s="15">
        <f t="shared" si="18"/>
        <v>-580276.37331617321</v>
      </c>
      <c r="Q60" s="15">
        <f t="shared" si="18"/>
        <v>179625.88382668392</v>
      </c>
      <c r="R60" s="15">
        <f t="shared" si="18"/>
        <v>200088.51239811251</v>
      </c>
      <c r="S60" s="15">
        <f t="shared" si="18"/>
        <v>14000</v>
      </c>
      <c r="T60" s="15">
        <f t="shared" si="18"/>
        <v>606412</v>
      </c>
      <c r="U60" s="15">
        <f t="shared" si="18"/>
        <v>-416001.74474474473</v>
      </c>
      <c r="V60" s="15">
        <f t="shared" si="18"/>
        <v>-496889.74474474473</v>
      </c>
      <c r="W60" s="17">
        <f t="shared" si="12"/>
        <v>-1841449.9768339754</v>
      </c>
      <c r="X60" s="17">
        <f t="shared" si="13"/>
        <v>-92072.498841698776</v>
      </c>
      <c r="Y60" s="14">
        <f>W60/W13</f>
        <v>-0.10350542325447402</v>
      </c>
    </row>
    <row r="61" spans="1:25" x14ac:dyDescent="0.15">
      <c r="A61" s="12"/>
      <c r="B61" s="37" t="s">
        <v>46</v>
      </c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</row>
    <row r="62" spans="1:25" x14ac:dyDescent="0.15">
      <c r="A62" s="13"/>
      <c r="B62" s="38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</row>
    <row r="63" spans="1:25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</row>
    <row r="64" spans="1:25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</row>
    <row r="65" spans="1:22" x14ac:dyDescent="0.15">
      <c r="A65" s="13"/>
      <c r="B65" s="41" t="s">
        <v>41</v>
      </c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</row>
    <row r="66" spans="1:22" x14ac:dyDescent="0.15">
      <c r="A66" s="12"/>
      <c r="B66" s="42" t="s">
        <v>47</v>
      </c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</row>
    <row r="67" spans="1:22" x14ac:dyDescent="0.15">
      <c r="A67" s="12"/>
      <c r="B67" s="38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</row>
    <row r="68" spans="1:22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</row>
    <row r="69" spans="1:22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</row>
    <row r="70" spans="1:22" x14ac:dyDescent="0.15">
      <c r="A70" s="12"/>
      <c r="B70" s="41" t="s">
        <v>41</v>
      </c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</row>
    <row r="71" spans="1:22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</row>
    <row r="72" spans="1:22" x14ac:dyDescent="0.15">
      <c r="A72" s="12"/>
      <c r="B72" s="38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</row>
    <row r="73" spans="1:22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</row>
    <row r="74" spans="1:22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</row>
    <row r="75" spans="1:22" x14ac:dyDescent="0.15">
      <c r="A75" s="12"/>
      <c r="B75" s="41" t="s">
        <v>41</v>
      </c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</row>
    <row r="76" spans="1:22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</row>
    <row r="77" spans="1:22" x14ac:dyDescent="0.15">
      <c r="A77" s="12"/>
      <c r="B77" s="38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</row>
    <row r="78" spans="1:22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</row>
    <row r="79" spans="1:22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</row>
    <row r="80" spans="1:22" x14ac:dyDescent="0.15">
      <c r="A80" s="12"/>
      <c r="B80" s="41" t="s">
        <v>41</v>
      </c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</row>
    <row r="81" spans="1:22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</row>
    <row r="82" spans="1:22" x14ac:dyDescent="0.15">
      <c r="A82" s="12"/>
      <c r="B82" s="38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</row>
    <row r="83" spans="1:22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</row>
    <row r="84" spans="1:22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</row>
    <row r="85" spans="1:22" x14ac:dyDescent="0.15">
      <c r="A85" s="12"/>
      <c r="B85" s="41" t="s">
        <v>41</v>
      </c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</row>
    <row r="86" spans="1:22" x14ac:dyDescent="0.1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</row>
    <row r="87" spans="1:22" x14ac:dyDescent="0.15">
      <c r="A87" s="12"/>
      <c r="B87" s="38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</row>
    <row r="88" spans="1:22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</row>
    <row r="89" spans="1:22" x14ac:dyDescent="0.15">
      <c r="B89" s="41" t="s">
        <v>125</v>
      </c>
    </row>
    <row r="90" spans="1:22" x14ac:dyDescent="0.15">
      <c r="B90" s="41" t="s">
        <v>41</v>
      </c>
    </row>
    <row r="92" spans="1:22" x14ac:dyDescent="0.15">
      <c r="B92" s="38"/>
    </row>
    <row r="93" spans="1:22" x14ac:dyDescent="0.15">
      <c r="B93" s="40" t="s">
        <v>124</v>
      </c>
    </row>
    <row r="94" spans="1:22" x14ac:dyDescent="0.15">
      <c r="B94" s="41" t="s">
        <v>125</v>
      </c>
    </row>
    <row r="95" spans="1:22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print="0" autoLine="0" r:id="rId5">
            <anchor>
              <from>
                <xdr:col>0</xdr:col>
                <xdr:colOff>190500</xdr:colOff>
                <xdr:row>0</xdr:row>
                <xdr:rowOff>95250</xdr:rowOff>
              </from>
              <to>
                <xdr:col>1</xdr:col>
                <xdr:colOff>657225</xdr:colOff>
                <xdr:row>1</xdr:row>
                <xdr:rowOff>257175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4DD00-A92B-4F52-8437-60E017B3C4DC}">
  <sheetPr codeName="Sheet6"/>
  <dimension ref="A2:L102"/>
  <sheetViews>
    <sheetView workbookViewId="0">
      <selection activeCell="J12" sqref="J12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6" width="11" style="1" bestFit="1" customWidth="1"/>
    <col min="7" max="9" width="12.25" style="1" bestFit="1" customWidth="1"/>
    <col min="10" max="10" width="13.25" style="1" bestFit="1" customWidth="1"/>
    <col min="11" max="11" width="10" style="1" bestFit="1" customWidth="1"/>
    <col min="12" max="12" width="11" style="1" bestFit="1" customWidth="1"/>
    <col min="13" max="217" width="9" style="1"/>
    <col min="218" max="218" width="2.875" style="1" bestFit="1" customWidth="1"/>
    <col min="219" max="219" width="16.625" style="1" bestFit="1" customWidth="1"/>
    <col min="220" max="220" width="11.375" style="1" bestFit="1" customWidth="1"/>
    <col min="221" max="222" width="14.125" style="1" bestFit="1" customWidth="1"/>
    <col min="223" max="223" width="11.375" style="1" bestFit="1" customWidth="1"/>
    <col min="224" max="226" width="12.5" style="1" bestFit="1" customWidth="1"/>
    <col min="227" max="227" width="11" style="1" bestFit="1" customWidth="1"/>
    <col min="228" max="247" width="13" style="1" bestFit="1" customWidth="1"/>
    <col min="248" max="251" width="11" style="1" bestFit="1" customWidth="1"/>
    <col min="252" max="254" width="12.25" style="1" bestFit="1" customWidth="1"/>
    <col min="255" max="265" width="11" style="1" bestFit="1" customWidth="1"/>
    <col min="266" max="266" width="13.25" style="1" bestFit="1" customWidth="1"/>
    <col min="267" max="267" width="10" style="1" bestFit="1" customWidth="1"/>
    <col min="268" max="268" width="11" style="1" bestFit="1" customWidth="1"/>
    <col min="269" max="473" width="9" style="1"/>
    <col min="474" max="474" width="2.875" style="1" bestFit="1" customWidth="1"/>
    <col min="475" max="475" width="16.625" style="1" bestFit="1" customWidth="1"/>
    <col min="476" max="476" width="11.375" style="1" bestFit="1" customWidth="1"/>
    <col min="477" max="478" width="14.125" style="1" bestFit="1" customWidth="1"/>
    <col min="479" max="479" width="11.375" style="1" bestFit="1" customWidth="1"/>
    <col min="480" max="482" width="12.5" style="1" bestFit="1" customWidth="1"/>
    <col min="483" max="483" width="11" style="1" bestFit="1" customWidth="1"/>
    <col min="484" max="503" width="13" style="1" bestFit="1" customWidth="1"/>
    <col min="504" max="507" width="11" style="1" bestFit="1" customWidth="1"/>
    <col min="508" max="510" width="12.25" style="1" bestFit="1" customWidth="1"/>
    <col min="511" max="521" width="11" style="1" bestFit="1" customWidth="1"/>
    <col min="522" max="522" width="13.25" style="1" bestFit="1" customWidth="1"/>
    <col min="523" max="523" width="10" style="1" bestFit="1" customWidth="1"/>
    <col min="524" max="524" width="11" style="1" bestFit="1" customWidth="1"/>
    <col min="525" max="729" width="9" style="1"/>
    <col min="730" max="730" width="2.875" style="1" bestFit="1" customWidth="1"/>
    <col min="731" max="731" width="16.625" style="1" bestFit="1" customWidth="1"/>
    <col min="732" max="732" width="11.375" style="1" bestFit="1" customWidth="1"/>
    <col min="733" max="734" width="14.125" style="1" bestFit="1" customWidth="1"/>
    <col min="735" max="735" width="11.375" style="1" bestFit="1" customWidth="1"/>
    <col min="736" max="738" width="12.5" style="1" bestFit="1" customWidth="1"/>
    <col min="739" max="739" width="11" style="1" bestFit="1" customWidth="1"/>
    <col min="740" max="759" width="13" style="1" bestFit="1" customWidth="1"/>
    <col min="760" max="763" width="11" style="1" bestFit="1" customWidth="1"/>
    <col min="764" max="766" width="12.25" style="1" bestFit="1" customWidth="1"/>
    <col min="767" max="777" width="11" style="1" bestFit="1" customWidth="1"/>
    <col min="778" max="778" width="13.25" style="1" bestFit="1" customWidth="1"/>
    <col min="779" max="779" width="10" style="1" bestFit="1" customWidth="1"/>
    <col min="780" max="780" width="11" style="1" bestFit="1" customWidth="1"/>
    <col min="781" max="985" width="9" style="1"/>
    <col min="986" max="986" width="2.875" style="1" bestFit="1" customWidth="1"/>
    <col min="987" max="987" width="16.625" style="1" bestFit="1" customWidth="1"/>
    <col min="988" max="988" width="11.375" style="1" bestFit="1" customWidth="1"/>
    <col min="989" max="990" width="14.125" style="1" bestFit="1" customWidth="1"/>
    <col min="991" max="991" width="11.375" style="1" bestFit="1" customWidth="1"/>
    <col min="992" max="994" width="12.5" style="1" bestFit="1" customWidth="1"/>
    <col min="995" max="995" width="11" style="1" bestFit="1" customWidth="1"/>
    <col min="996" max="1015" width="13" style="1" bestFit="1" customWidth="1"/>
    <col min="1016" max="1019" width="11" style="1" bestFit="1" customWidth="1"/>
    <col min="1020" max="1022" width="12.25" style="1" bestFit="1" customWidth="1"/>
    <col min="1023" max="1033" width="11" style="1" bestFit="1" customWidth="1"/>
    <col min="1034" max="1034" width="13.25" style="1" bestFit="1" customWidth="1"/>
    <col min="1035" max="1035" width="10" style="1" bestFit="1" customWidth="1"/>
    <col min="1036" max="1036" width="11" style="1" bestFit="1" customWidth="1"/>
    <col min="1037" max="1241" width="9" style="1"/>
    <col min="1242" max="1242" width="2.875" style="1" bestFit="1" customWidth="1"/>
    <col min="1243" max="1243" width="16.625" style="1" bestFit="1" customWidth="1"/>
    <col min="1244" max="1244" width="11.375" style="1" bestFit="1" customWidth="1"/>
    <col min="1245" max="1246" width="14.125" style="1" bestFit="1" customWidth="1"/>
    <col min="1247" max="1247" width="11.375" style="1" bestFit="1" customWidth="1"/>
    <col min="1248" max="1250" width="12.5" style="1" bestFit="1" customWidth="1"/>
    <col min="1251" max="1251" width="11" style="1" bestFit="1" customWidth="1"/>
    <col min="1252" max="1271" width="13" style="1" bestFit="1" customWidth="1"/>
    <col min="1272" max="1275" width="11" style="1" bestFit="1" customWidth="1"/>
    <col min="1276" max="1278" width="12.25" style="1" bestFit="1" customWidth="1"/>
    <col min="1279" max="1289" width="11" style="1" bestFit="1" customWidth="1"/>
    <col min="1290" max="1290" width="13.25" style="1" bestFit="1" customWidth="1"/>
    <col min="1291" max="1291" width="10" style="1" bestFit="1" customWidth="1"/>
    <col min="1292" max="1292" width="11" style="1" bestFit="1" customWidth="1"/>
    <col min="1293" max="1497" width="9" style="1"/>
    <col min="1498" max="1498" width="2.875" style="1" bestFit="1" customWidth="1"/>
    <col min="1499" max="1499" width="16.625" style="1" bestFit="1" customWidth="1"/>
    <col min="1500" max="1500" width="11.375" style="1" bestFit="1" customWidth="1"/>
    <col min="1501" max="1502" width="14.125" style="1" bestFit="1" customWidth="1"/>
    <col min="1503" max="1503" width="11.375" style="1" bestFit="1" customWidth="1"/>
    <col min="1504" max="1506" width="12.5" style="1" bestFit="1" customWidth="1"/>
    <col min="1507" max="1507" width="11" style="1" bestFit="1" customWidth="1"/>
    <col min="1508" max="1527" width="13" style="1" bestFit="1" customWidth="1"/>
    <col min="1528" max="1531" width="11" style="1" bestFit="1" customWidth="1"/>
    <col min="1532" max="1534" width="12.25" style="1" bestFit="1" customWidth="1"/>
    <col min="1535" max="1545" width="11" style="1" bestFit="1" customWidth="1"/>
    <col min="1546" max="1546" width="13.25" style="1" bestFit="1" customWidth="1"/>
    <col min="1547" max="1547" width="10" style="1" bestFit="1" customWidth="1"/>
    <col min="1548" max="1548" width="11" style="1" bestFit="1" customWidth="1"/>
    <col min="1549" max="1753" width="9" style="1"/>
    <col min="1754" max="1754" width="2.875" style="1" bestFit="1" customWidth="1"/>
    <col min="1755" max="1755" width="16.625" style="1" bestFit="1" customWidth="1"/>
    <col min="1756" max="1756" width="11.375" style="1" bestFit="1" customWidth="1"/>
    <col min="1757" max="1758" width="14.125" style="1" bestFit="1" customWidth="1"/>
    <col min="1759" max="1759" width="11.375" style="1" bestFit="1" customWidth="1"/>
    <col min="1760" max="1762" width="12.5" style="1" bestFit="1" customWidth="1"/>
    <col min="1763" max="1763" width="11" style="1" bestFit="1" customWidth="1"/>
    <col min="1764" max="1783" width="13" style="1" bestFit="1" customWidth="1"/>
    <col min="1784" max="1787" width="11" style="1" bestFit="1" customWidth="1"/>
    <col min="1788" max="1790" width="12.25" style="1" bestFit="1" customWidth="1"/>
    <col min="1791" max="1801" width="11" style="1" bestFit="1" customWidth="1"/>
    <col min="1802" max="1802" width="13.25" style="1" bestFit="1" customWidth="1"/>
    <col min="1803" max="1803" width="10" style="1" bestFit="1" customWidth="1"/>
    <col min="1804" max="1804" width="11" style="1" bestFit="1" customWidth="1"/>
    <col min="1805" max="2009" width="9" style="1"/>
    <col min="2010" max="2010" width="2.875" style="1" bestFit="1" customWidth="1"/>
    <col min="2011" max="2011" width="16.625" style="1" bestFit="1" customWidth="1"/>
    <col min="2012" max="2012" width="11.375" style="1" bestFit="1" customWidth="1"/>
    <col min="2013" max="2014" width="14.125" style="1" bestFit="1" customWidth="1"/>
    <col min="2015" max="2015" width="11.375" style="1" bestFit="1" customWidth="1"/>
    <col min="2016" max="2018" width="12.5" style="1" bestFit="1" customWidth="1"/>
    <col min="2019" max="2019" width="11" style="1" bestFit="1" customWidth="1"/>
    <col min="2020" max="2039" width="13" style="1" bestFit="1" customWidth="1"/>
    <col min="2040" max="2043" width="11" style="1" bestFit="1" customWidth="1"/>
    <col min="2044" max="2046" width="12.25" style="1" bestFit="1" customWidth="1"/>
    <col min="2047" max="2057" width="11" style="1" bestFit="1" customWidth="1"/>
    <col min="2058" max="2058" width="13.25" style="1" bestFit="1" customWidth="1"/>
    <col min="2059" max="2059" width="10" style="1" bestFit="1" customWidth="1"/>
    <col min="2060" max="2060" width="11" style="1" bestFit="1" customWidth="1"/>
    <col min="2061" max="2265" width="9" style="1"/>
    <col min="2266" max="2266" width="2.875" style="1" bestFit="1" customWidth="1"/>
    <col min="2267" max="2267" width="16.625" style="1" bestFit="1" customWidth="1"/>
    <col min="2268" max="2268" width="11.375" style="1" bestFit="1" customWidth="1"/>
    <col min="2269" max="2270" width="14.125" style="1" bestFit="1" customWidth="1"/>
    <col min="2271" max="2271" width="11.375" style="1" bestFit="1" customWidth="1"/>
    <col min="2272" max="2274" width="12.5" style="1" bestFit="1" customWidth="1"/>
    <col min="2275" max="2275" width="11" style="1" bestFit="1" customWidth="1"/>
    <col min="2276" max="2295" width="13" style="1" bestFit="1" customWidth="1"/>
    <col min="2296" max="2299" width="11" style="1" bestFit="1" customWidth="1"/>
    <col min="2300" max="2302" width="12.25" style="1" bestFit="1" customWidth="1"/>
    <col min="2303" max="2313" width="11" style="1" bestFit="1" customWidth="1"/>
    <col min="2314" max="2314" width="13.25" style="1" bestFit="1" customWidth="1"/>
    <col min="2315" max="2315" width="10" style="1" bestFit="1" customWidth="1"/>
    <col min="2316" max="2316" width="11" style="1" bestFit="1" customWidth="1"/>
    <col min="2317" max="2521" width="9" style="1"/>
    <col min="2522" max="2522" width="2.875" style="1" bestFit="1" customWidth="1"/>
    <col min="2523" max="2523" width="16.625" style="1" bestFit="1" customWidth="1"/>
    <col min="2524" max="2524" width="11.375" style="1" bestFit="1" customWidth="1"/>
    <col min="2525" max="2526" width="14.125" style="1" bestFit="1" customWidth="1"/>
    <col min="2527" max="2527" width="11.375" style="1" bestFit="1" customWidth="1"/>
    <col min="2528" max="2530" width="12.5" style="1" bestFit="1" customWidth="1"/>
    <col min="2531" max="2531" width="11" style="1" bestFit="1" customWidth="1"/>
    <col min="2532" max="2551" width="13" style="1" bestFit="1" customWidth="1"/>
    <col min="2552" max="2555" width="11" style="1" bestFit="1" customWidth="1"/>
    <col min="2556" max="2558" width="12.25" style="1" bestFit="1" customWidth="1"/>
    <col min="2559" max="2569" width="11" style="1" bestFit="1" customWidth="1"/>
    <col min="2570" max="2570" width="13.25" style="1" bestFit="1" customWidth="1"/>
    <col min="2571" max="2571" width="10" style="1" bestFit="1" customWidth="1"/>
    <col min="2572" max="2572" width="11" style="1" bestFit="1" customWidth="1"/>
    <col min="2573" max="2777" width="9" style="1"/>
    <col min="2778" max="2778" width="2.875" style="1" bestFit="1" customWidth="1"/>
    <col min="2779" max="2779" width="16.625" style="1" bestFit="1" customWidth="1"/>
    <col min="2780" max="2780" width="11.375" style="1" bestFit="1" customWidth="1"/>
    <col min="2781" max="2782" width="14.125" style="1" bestFit="1" customWidth="1"/>
    <col min="2783" max="2783" width="11.375" style="1" bestFit="1" customWidth="1"/>
    <col min="2784" max="2786" width="12.5" style="1" bestFit="1" customWidth="1"/>
    <col min="2787" max="2787" width="11" style="1" bestFit="1" customWidth="1"/>
    <col min="2788" max="2807" width="13" style="1" bestFit="1" customWidth="1"/>
    <col min="2808" max="2811" width="11" style="1" bestFit="1" customWidth="1"/>
    <col min="2812" max="2814" width="12.25" style="1" bestFit="1" customWidth="1"/>
    <col min="2815" max="2825" width="11" style="1" bestFit="1" customWidth="1"/>
    <col min="2826" max="2826" width="13.25" style="1" bestFit="1" customWidth="1"/>
    <col min="2827" max="2827" width="10" style="1" bestFit="1" customWidth="1"/>
    <col min="2828" max="2828" width="11" style="1" bestFit="1" customWidth="1"/>
    <col min="2829" max="3033" width="9" style="1"/>
    <col min="3034" max="3034" width="2.875" style="1" bestFit="1" customWidth="1"/>
    <col min="3035" max="3035" width="16.625" style="1" bestFit="1" customWidth="1"/>
    <col min="3036" max="3036" width="11.375" style="1" bestFit="1" customWidth="1"/>
    <col min="3037" max="3038" width="14.125" style="1" bestFit="1" customWidth="1"/>
    <col min="3039" max="3039" width="11.375" style="1" bestFit="1" customWidth="1"/>
    <col min="3040" max="3042" width="12.5" style="1" bestFit="1" customWidth="1"/>
    <col min="3043" max="3043" width="11" style="1" bestFit="1" customWidth="1"/>
    <col min="3044" max="3063" width="13" style="1" bestFit="1" customWidth="1"/>
    <col min="3064" max="3067" width="11" style="1" bestFit="1" customWidth="1"/>
    <col min="3068" max="3070" width="12.25" style="1" bestFit="1" customWidth="1"/>
    <col min="3071" max="3081" width="11" style="1" bestFit="1" customWidth="1"/>
    <col min="3082" max="3082" width="13.25" style="1" bestFit="1" customWidth="1"/>
    <col min="3083" max="3083" width="10" style="1" bestFit="1" customWidth="1"/>
    <col min="3084" max="3084" width="11" style="1" bestFit="1" customWidth="1"/>
    <col min="3085" max="3289" width="9" style="1"/>
    <col min="3290" max="3290" width="2.875" style="1" bestFit="1" customWidth="1"/>
    <col min="3291" max="3291" width="16.625" style="1" bestFit="1" customWidth="1"/>
    <col min="3292" max="3292" width="11.375" style="1" bestFit="1" customWidth="1"/>
    <col min="3293" max="3294" width="14.125" style="1" bestFit="1" customWidth="1"/>
    <col min="3295" max="3295" width="11.375" style="1" bestFit="1" customWidth="1"/>
    <col min="3296" max="3298" width="12.5" style="1" bestFit="1" customWidth="1"/>
    <col min="3299" max="3299" width="11" style="1" bestFit="1" customWidth="1"/>
    <col min="3300" max="3319" width="13" style="1" bestFit="1" customWidth="1"/>
    <col min="3320" max="3323" width="11" style="1" bestFit="1" customWidth="1"/>
    <col min="3324" max="3326" width="12.25" style="1" bestFit="1" customWidth="1"/>
    <col min="3327" max="3337" width="11" style="1" bestFit="1" customWidth="1"/>
    <col min="3338" max="3338" width="13.25" style="1" bestFit="1" customWidth="1"/>
    <col min="3339" max="3339" width="10" style="1" bestFit="1" customWidth="1"/>
    <col min="3340" max="3340" width="11" style="1" bestFit="1" customWidth="1"/>
    <col min="3341" max="3545" width="9" style="1"/>
    <col min="3546" max="3546" width="2.875" style="1" bestFit="1" customWidth="1"/>
    <col min="3547" max="3547" width="16.625" style="1" bestFit="1" customWidth="1"/>
    <col min="3548" max="3548" width="11.375" style="1" bestFit="1" customWidth="1"/>
    <col min="3549" max="3550" width="14.125" style="1" bestFit="1" customWidth="1"/>
    <col min="3551" max="3551" width="11.375" style="1" bestFit="1" customWidth="1"/>
    <col min="3552" max="3554" width="12.5" style="1" bestFit="1" customWidth="1"/>
    <col min="3555" max="3555" width="11" style="1" bestFit="1" customWidth="1"/>
    <col min="3556" max="3575" width="13" style="1" bestFit="1" customWidth="1"/>
    <col min="3576" max="3579" width="11" style="1" bestFit="1" customWidth="1"/>
    <col min="3580" max="3582" width="12.25" style="1" bestFit="1" customWidth="1"/>
    <col min="3583" max="3593" width="11" style="1" bestFit="1" customWidth="1"/>
    <col min="3594" max="3594" width="13.25" style="1" bestFit="1" customWidth="1"/>
    <col min="3595" max="3595" width="10" style="1" bestFit="1" customWidth="1"/>
    <col min="3596" max="3596" width="11" style="1" bestFit="1" customWidth="1"/>
    <col min="3597" max="3801" width="9" style="1"/>
    <col min="3802" max="3802" width="2.875" style="1" bestFit="1" customWidth="1"/>
    <col min="3803" max="3803" width="16.625" style="1" bestFit="1" customWidth="1"/>
    <col min="3804" max="3804" width="11.375" style="1" bestFit="1" customWidth="1"/>
    <col min="3805" max="3806" width="14.125" style="1" bestFit="1" customWidth="1"/>
    <col min="3807" max="3807" width="11.375" style="1" bestFit="1" customWidth="1"/>
    <col min="3808" max="3810" width="12.5" style="1" bestFit="1" customWidth="1"/>
    <col min="3811" max="3811" width="11" style="1" bestFit="1" customWidth="1"/>
    <col min="3812" max="3831" width="13" style="1" bestFit="1" customWidth="1"/>
    <col min="3832" max="3835" width="11" style="1" bestFit="1" customWidth="1"/>
    <col min="3836" max="3838" width="12.25" style="1" bestFit="1" customWidth="1"/>
    <col min="3839" max="3849" width="11" style="1" bestFit="1" customWidth="1"/>
    <col min="3850" max="3850" width="13.25" style="1" bestFit="1" customWidth="1"/>
    <col min="3851" max="3851" width="10" style="1" bestFit="1" customWidth="1"/>
    <col min="3852" max="3852" width="11" style="1" bestFit="1" customWidth="1"/>
    <col min="3853" max="4057" width="9" style="1"/>
    <col min="4058" max="4058" width="2.875" style="1" bestFit="1" customWidth="1"/>
    <col min="4059" max="4059" width="16.625" style="1" bestFit="1" customWidth="1"/>
    <col min="4060" max="4060" width="11.375" style="1" bestFit="1" customWidth="1"/>
    <col min="4061" max="4062" width="14.125" style="1" bestFit="1" customWidth="1"/>
    <col min="4063" max="4063" width="11.375" style="1" bestFit="1" customWidth="1"/>
    <col min="4064" max="4066" width="12.5" style="1" bestFit="1" customWidth="1"/>
    <col min="4067" max="4067" width="11" style="1" bestFit="1" customWidth="1"/>
    <col min="4068" max="4087" width="13" style="1" bestFit="1" customWidth="1"/>
    <col min="4088" max="4091" width="11" style="1" bestFit="1" customWidth="1"/>
    <col min="4092" max="4094" width="12.25" style="1" bestFit="1" customWidth="1"/>
    <col min="4095" max="4105" width="11" style="1" bestFit="1" customWidth="1"/>
    <col min="4106" max="4106" width="13.25" style="1" bestFit="1" customWidth="1"/>
    <col min="4107" max="4107" width="10" style="1" bestFit="1" customWidth="1"/>
    <col min="4108" max="4108" width="11" style="1" bestFit="1" customWidth="1"/>
    <col min="4109" max="4313" width="9" style="1"/>
    <col min="4314" max="4314" width="2.875" style="1" bestFit="1" customWidth="1"/>
    <col min="4315" max="4315" width="16.625" style="1" bestFit="1" customWidth="1"/>
    <col min="4316" max="4316" width="11.375" style="1" bestFit="1" customWidth="1"/>
    <col min="4317" max="4318" width="14.125" style="1" bestFit="1" customWidth="1"/>
    <col min="4319" max="4319" width="11.375" style="1" bestFit="1" customWidth="1"/>
    <col min="4320" max="4322" width="12.5" style="1" bestFit="1" customWidth="1"/>
    <col min="4323" max="4323" width="11" style="1" bestFit="1" customWidth="1"/>
    <col min="4324" max="4343" width="13" style="1" bestFit="1" customWidth="1"/>
    <col min="4344" max="4347" width="11" style="1" bestFit="1" customWidth="1"/>
    <col min="4348" max="4350" width="12.25" style="1" bestFit="1" customWidth="1"/>
    <col min="4351" max="4361" width="11" style="1" bestFit="1" customWidth="1"/>
    <col min="4362" max="4362" width="13.25" style="1" bestFit="1" customWidth="1"/>
    <col min="4363" max="4363" width="10" style="1" bestFit="1" customWidth="1"/>
    <col min="4364" max="4364" width="11" style="1" bestFit="1" customWidth="1"/>
    <col min="4365" max="4569" width="9" style="1"/>
    <col min="4570" max="4570" width="2.875" style="1" bestFit="1" customWidth="1"/>
    <col min="4571" max="4571" width="16.625" style="1" bestFit="1" customWidth="1"/>
    <col min="4572" max="4572" width="11.375" style="1" bestFit="1" customWidth="1"/>
    <col min="4573" max="4574" width="14.125" style="1" bestFit="1" customWidth="1"/>
    <col min="4575" max="4575" width="11.375" style="1" bestFit="1" customWidth="1"/>
    <col min="4576" max="4578" width="12.5" style="1" bestFit="1" customWidth="1"/>
    <col min="4579" max="4579" width="11" style="1" bestFit="1" customWidth="1"/>
    <col min="4580" max="4599" width="13" style="1" bestFit="1" customWidth="1"/>
    <col min="4600" max="4603" width="11" style="1" bestFit="1" customWidth="1"/>
    <col min="4604" max="4606" width="12.25" style="1" bestFit="1" customWidth="1"/>
    <col min="4607" max="4617" width="11" style="1" bestFit="1" customWidth="1"/>
    <col min="4618" max="4618" width="13.25" style="1" bestFit="1" customWidth="1"/>
    <col min="4619" max="4619" width="10" style="1" bestFit="1" customWidth="1"/>
    <col min="4620" max="4620" width="11" style="1" bestFit="1" customWidth="1"/>
    <col min="4621" max="4825" width="9" style="1"/>
    <col min="4826" max="4826" width="2.875" style="1" bestFit="1" customWidth="1"/>
    <col min="4827" max="4827" width="16.625" style="1" bestFit="1" customWidth="1"/>
    <col min="4828" max="4828" width="11.375" style="1" bestFit="1" customWidth="1"/>
    <col min="4829" max="4830" width="14.125" style="1" bestFit="1" customWidth="1"/>
    <col min="4831" max="4831" width="11.375" style="1" bestFit="1" customWidth="1"/>
    <col min="4832" max="4834" width="12.5" style="1" bestFit="1" customWidth="1"/>
    <col min="4835" max="4835" width="11" style="1" bestFit="1" customWidth="1"/>
    <col min="4836" max="4855" width="13" style="1" bestFit="1" customWidth="1"/>
    <col min="4856" max="4859" width="11" style="1" bestFit="1" customWidth="1"/>
    <col min="4860" max="4862" width="12.25" style="1" bestFit="1" customWidth="1"/>
    <col min="4863" max="4873" width="11" style="1" bestFit="1" customWidth="1"/>
    <col min="4874" max="4874" width="13.25" style="1" bestFit="1" customWidth="1"/>
    <col min="4875" max="4875" width="10" style="1" bestFit="1" customWidth="1"/>
    <col min="4876" max="4876" width="11" style="1" bestFit="1" customWidth="1"/>
    <col min="4877" max="5081" width="9" style="1"/>
    <col min="5082" max="5082" width="2.875" style="1" bestFit="1" customWidth="1"/>
    <col min="5083" max="5083" width="16.625" style="1" bestFit="1" customWidth="1"/>
    <col min="5084" max="5084" width="11.375" style="1" bestFit="1" customWidth="1"/>
    <col min="5085" max="5086" width="14.125" style="1" bestFit="1" customWidth="1"/>
    <col min="5087" max="5087" width="11.375" style="1" bestFit="1" customWidth="1"/>
    <col min="5088" max="5090" width="12.5" style="1" bestFit="1" customWidth="1"/>
    <col min="5091" max="5091" width="11" style="1" bestFit="1" customWidth="1"/>
    <col min="5092" max="5111" width="13" style="1" bestFit="1" customWidth="1"/>
    <col min="5112" max="5115" width="11" style="1" bestFit="1" customWidth="1"/>
    <col min="5116" max="5118" width="12.25" style="1" bestFit="1" customWidth="1"/>
    <col min="5119" max="5129" width="11" style="1" bestFit="1" customWidth="1"/>
    <col min="5130" max="5130" width="13.25" style="1" bestFit="1" customWidth="1"/>
    <col min="5131" max="5131" width="10" style="1" bestFit="1" customWidth="1"/>
    <col min="5132" max="5132" width="11" style="1" bestFit="1" customWidth="1"/>
    <col min="5133" max="5337" width="9" style="1"/>
    <col min="5338" max="5338" width="2.875" style="1" bestFit="1" customWidth="1"/>
    <col min="5339" max="5339" width="16.625" style="1" bestFit="1" customWidth="1"/>
    <col min="5340" max="5340" width="11.375" style="1" bestFit="1" customWidth="1"/>
    <col min="5341" max="5342" width="14.125" style="1" bestFit="1" customWidth="1"/>
    <col min="5343" max="5343" width="11.375" style="1" bestFit="1" customWidth="1"/>
    <col min="5344" max="5346" width="12.5" style="1" bestFit="1" customWidth="1"/>
    <col min="5347" max="5347" width="11" style="1" bestFit="1" customWidth="1"/>
    <col min="5348" max="5367" width="13" style="1" bestFit="1" customWidth="1"/>
    <col min="5368" max="5371" width="11" style="1" bestFit="1" customWidth="1"/>
    <col min="5372" max="5374" width="12.25" style="1" bestFit="1" customWidth="1"/>
    <col min="5375" max="5385" width="11" style="1" bestFit="1" customWidth="1"/>
    <col min="5386" max="5386" width="13.25" style="1" bestFit="1" customWidth="1"/>
    <col min="5387" max="5387" width="10" style="1" bestFit="1" customWidth="1"/>
    <col min="5388" max="5388" width="11" style="1" bestFit="1" customWidth="1"/>
    <col min="5389" max="5593" width="9" style="1"/>
    <col min="5594" max="5594" width="2.875" style="1" bestFit="1" customWidth="1"/>
    <col min="5595" max="5595" width="16.625" style="1" bestFit="1" customWidth="1"/>
    <col min="5596" max="5596" width="11.375" style="1" bestFit="1" customWidth="1"/>
    <col min="5597" max="5598" width="14.125" style="1" bestFit="1" customWidth="1"/>
    <col min="5599" max="5599" width="11.375" style="1" bestFit="1" customWidth="1"/>
    <col min="5600" max="5602" width="12.5" style="1" bestFit="1" customWidth="1"/>
    <col min="5603" max="5603" width="11" style="1" bestFit="1" customWidth="1"/>
    <col min="5604" max="5623" width="13" style="1" bestFit="1" customWidth="1"/>
    <col min="5624" max="5627" width="11" style="1" bestFit="1" customWidth="1"/>
    <col min="5628" max="5630" width="12.25" style="1" bestFit="1" customWidth="1"/>
    <col min="5631" max="5641" width="11" style="1" bestFit="1" customWidth="1"/>
    <col min="5642" max="5642" width="13.25" style="1" bestFit="1" customWidth="1"/>
    <col min="5643" max="5643" width="10" style="1" bestFit="1" customWidth="1"/>
    <col min="5644" max="5644" width="11" style="1" bestFit="1" customWidth="1"/>
    <col min="5645" max="5849" width="9" style="1"/>
    <col min="5850" max="5850" width="2.875" style="1" bestFit="1" customWidth="1"/>
    <col min="5851" max="5851" width="16.625" style="1" bestFit="1" customWidth="1"/>
    <col min="5852" max="5852" width="11.375" style="1" bestFit="1" customWidth="1"/>
    <col min="5853" max="5854" width="14.125" style="1" bestFit="1" customWidth="1"/>
    <col min="5855" max="5855" width="11.375" style="1" bestFit="1" customWidth="1"/>
    <col min="5856" max="5858" width="12.5" style="1" bestFit="1" customWidth="1"/>
    <col min="5859" max="5859" width="11" style="1" bestFit="1" customWidth="1"/>
    <col min="5860" max="5879" width="13" style="1" bestFit="1" customWidth="1"/>
    <col min="5880" max="5883" width="11" style="1" bestFit="1" customWidth="1"/>
    <col min="5884" max="5886" width="12.25" style="1" bestFit="1" customWidth="1"/>
    <col min="5887" max="5897" width="11" style="1" bestFit="1" customWidth="1"/>
    <col min="5898" max="5898" width="13.25" style="1" bestFit="1" customWidth="1"/>
    <col min="5899" max="5899" width="10" style="1" bestFit="1" customWidth="1"/>
    <col min="5900" max="5900" width="11" style="1" bestFit="1" customWidth="1"/>
    <col min="5901" max="6105" width="9" style="1"/>
    <col min="6106" max="6106" width="2.875" style="1" bestFit="1" customWidth="1"/>
    <col min="6107" max="6107" width="16.625" style="1" bestFit="1" customWidth="1"/>
    <col min="6108" max="6108" width="11.375" style="1" bestFit="1" customWidth="1"/>
    <col min="6109" max="6110" width="14.125" style="1" bestFit="1" customWidth="1"/>
    <col min="6111" max="6111" width="11.375" style="1" bestFit="1" customWidth="1"/>
    <col min="6112" max="6114" width="12.5" style="1" bestFit="1" customWidth="1"/>
    <col min="6115" max="6115" width="11" style="1" bestFit="1" customWidth="1"/>
    <col min="6116" max="6135" width="13" style="1" bestFit="1" customWidth="1"/>
    <col min="6136" max="6139" width="11" style="1" bestFit="1" customWidth="1"/>
    <col min="6140" max="6142" width="12.25" style="1" bestFit="1" customWidth="1"/>
    <col min="6143" max="6153" width="11" style="1" bestFit="1" customWidth="1"/>
    <col min="6154" max="6154" width="13.25" style="1" bestFit="1" customWidth="1"/>
    <col min="6155" max="6155" width="10" style="1" bestFit="1" customWidth="1"/>
    <col min="6156" max="6156" width="11" style="1" bestFit="1" customWidth="1"/>
    <col min="6157" max="6361" width="9" style="1"/>
    <col min="6362" max="6362" width="2.875" style="1" bestFit="1" customWidth="1"/>
    <col min="6363" max="6363" width="16.625" style="1" bestFit="1" customWidth="1"/>
    <col min="6364" max="6364" width="11.375" style="1" bestFit="1" customWidth="1"/>
    <col min="6365" max="6366" width="14.125" style="1" bestFit="1" customWidth="1"/>
    <col min="6367" max="6367" width="11.375" style="1" bestFit="1" customWidth="1"/>
    <col min="6368" max="6370" width="12.5" style="1" bestFit="1" customWidth="1"/>
    <col min="6371" max="6371" width="11" style="1" bestFit="1" customWidth="1"/>
    <col min="6372" max="6391" width="13" style="1" bestFit="1" customWidth="1"/>
    <col min="6392" max="6395" width="11" style="1" bestFit="1" customWidth="1"/>
    <col min="6396" max="6398" width="12.25" style="1" bestFit="1" customWidth="1"/>
    <col min="6399" max="6409" width="11" style="1" bestFit="1" customWidth="1"/>
    <col min="6410" max="6410" width="13.25" style="1" bestFit="1" customWidth="1"/>
    <col min="6411" max="6411" width="10" style="1" bestFit="1" customWidth="1"/>
    <col min="6412" max="6412" width="11" style="1" bestFit="1" customWidth="1"/>
    <col min="6413" max="6617" width="9" style="1"/>
    <col min="6618" max="6618" width="2.875" style="1" bestFit="1" customWidth="1"/>
    <col min="6619" max="6619" width="16.625" style="1" bestFit="1" customWidth="1"/>
    <col min="6620" max="6620" width="11.375" style="1" bestFit="1" customWidth="1"/>
    <col min="6621" max="6622" width="14.125" style="1" bestFit="1" customWidth="1"/>
    <col min="6623" max="6623" width="11.375" style="1" bestFit="1" customWidth="1"/>
    <col min="6624" max="6626" width="12.5" style="1" bestFit="1" customWidth="1"/>
    <col min="6627" max="6627" width="11" style="1" bestFit="1" customWidth="1"/>
    <col min="6628" max="6647" width="13" style="1" bestFit="1" customWidth="1"/>
    <col min="6648" max="6651" width="11" style="1" bestFit="1" customWidth="1"/>
    <col min="6652" max="6654" width="12.25" style="1" bestFit="1" customWidth="1"/>
    <col min="6655" max="6665" width="11" style="1" bestFit="1" customWidth="1"/>
    <col min="6666" max="6666" width="13.25" style="1" bestFit="1" customWidth="1"/>
    <col min="6667" max="6667" width="10" style="1" bestFit="1" customWidth="1"/>
    <col min="6668" max="6668" width="11" style="1" bestFit="1" customWidth="1"/>
    <col min="6669" max="6873" width="9" style="1"/>
    <col min="6874" max="6874" width="2.875" style="1" bestFit="1" customWidth="1"/>
    <col min="6875" max="6875" width="16.625" style="1" bestFit="1" customWidth="1"/>
    <col min="6876" max="6876" width="11.375" style="1" bestFit="1" customWidth="1"/>
    <col min="6877" max="6878" width="14.125" style="1" bestFit="1" customWidth="1"/>
    <col min="6879" max="6879" width="11.375" style="1" bestFit="1" customWidth="1"/>
    <col min="6880" max="6882" width="12.5" style="1" bestFit="1" customWidth="1"/>
    <col min="6883" max="6883" width="11" style="1" bestFit="1" customWidth="1"/>
    <col min="6884" max="6903" width="13" style="1" bestFit="1" customWidth="1"/>
    <col min="6904" max="6907" width="11" style="1" bestFit="1" customWidth="1"/>
    <col min="6908" max="6910" width="12.25" style="1" bestFit="1" customWidth="1"/>
    <col min="6911" max="6921" width="11" style="1" bestFit="1" customWidth="1"/>
    <col min="6922" max="6922" width="13.25" style="1" bestFit="1" customWidth="1"/>
    <col min="6923" max="6923" width="10" style="1" bestFit="1" customWidth="1"/>
    <col min="6924" max="6924" width="11" style="1" bestFit="1" customWidth="1"/>
    <col min="6925" max="7129" width="9" style="1"/>
    <col min="7130" max="7130" width="2.875" style="1" bestFit="1" customWidth="1"/>
    <col min="7131" max="7131" width="16.625" style="1" bestFit="1" customWidth="1"/>
    <col min="7132" max="7132" width="11.375" style="1" bestFit="1" customWidth="1"/>
    <col min="7133" max="7134" width="14.125" style="1" bestFit="1" customWidth="1"/>
    <col min="7135" max="7135" width="11.375" style="1" bestFit="1" customWidth="1"/>
    <col min="7136" max="7138" width="12.5" style="1" bestFit="1" customWidth="1"/>
    <col min="7139" max="7139" width="11" style="1" bestFit="1" customWidth="1"/>
    <col min="7140" max="7159" width="13" style="1" bestFit="1" customWidth="1"/>
    <col min="7160" max="7163" width="11" style="1" bestFit="1" customWidth="1"/>
    <col min="7164" max="7166" width="12.25" style="1" bestFit="1" customWidth="1"/>
    <col min="7167" max="7177" width="11" style="1" bestFit="1" customWidth="1"/>
    <col min="7178" max="7178" width="13.25" style="1" bestFit="1" customWidth="1"/>
    <col min="7179" max="7179" width="10" style="1" bestFit="1" customWidth="1"/>
    <col min="7180" max="7180" width="11" style="1" bestFit="1" customWidth="1"/>
    <col min="7181" max="7385" width="9" style="1"/>
    <col min="7386" max="7386" width="2.875" style="1" bestFit="1" customWidth="1"/>
    <col min="7387" max="7387" width="16.625" style="1" bestFit="1" customWidth="1"/>
    <col min="7388" max="7388" width="11.375" style="1" bestFit="1" customWidth="1"/>
    <col min="7389" max="7390" width="14.125" style="1" bestFit="1" customWidth="1"/>
    <col min="7391" max="7391" width="11.375" style="1" bestFit="1" customWidth="1"/>
    <col min="7392" max="7394" width="12.5" style="1" bestFit="1" customWidth="1"/>
    <col min="7395" max="7395" width="11" style="1" bestFit="1" customWidth="1"/>
    <col min="7396" max="7415" width="13" style="1" bestFit="1" customWidth="1"/>
    <col min="7416" max="7419" width="11" style="1" bestFit="1" customWidth="1"/>
    <col min="7420" max="7422" width="12.25" style="1" bestFit="1" customWidth="1"/>
    <col min="7423" max="7433" width="11" style="1" bestFit="1" customWidth="1"/>
    <col min="7434" max="7434" width="13.25" style="1" bestFit="1" customWidth="1"/>
    <col min="7435" max="7435" width="10" style="1" bestFit="1" customWidth="1"/>
    <col min="7436" max="7436" width="11" style="1" bestFit="1" customWidth="1"/>
    <col min="7437" max="7641" width="9" style="1"/>
    <col min="7642" max="7642" width="2.875" style="1" bestFit="1" customWidth="1"/>
    <col min="7643" max="7643" width="16.625" style="1" bestFit="1" customWidth="1"/>
    <col min="7644" max="7644" width="11.375" style="1" bestFit="1" customWidth="1"/>
    <col min="7645" max="7646" width="14.125" style="1" bestFit="1" customWidth="1"/>
    <col min="7647" max="7647" width="11.375" style="1" bestFit="1" customWidth="1"/>
    <col min="7648" max="7650" width="12.5" style="1" bestFit="1" customWidth="1"/>
    <col min="7651" max="7651" width="11" style="1" bestFit="1" customWidth="1"/>
    <col min="7652" max="7671" width="13" style="1" bestFit="1" customWidth="1"/>
    <col min="7672" max="7675" width="11" style="1" bestFit="1" customWidth="1"/>
    <col min="7676" max="7678" width="12.25" style="1" bestFit="1" customWidth="1"/>
    <col min="7679" max="7689" width="11" style="1" bestFit="1" customWidth="1"/>
    <col min="7690" max="7690" width="13.25" style="1" bestFit="1" customWidth="1"/>
    <col min="7691" max="7691" width="10" style="1" bestFit="1" customWidth="1"/>
    <col min="7692" max="7692" width="11" style="1" bestFit="1" customWidth="1"/>
    <col min="7693" max="7897" width="9" style="1"/>
    <col min="7898" max="7898" width="2.875" style="1" bestFit="1" customWidth="1"/>
    <col min="7899" max="7899" width="16.625" style="1" bestFit="1" customWidth="1"/>
    <col min="7900" max="7900" width="11.375" style="1" bestFit="1" customWidth="1"/>
    <col min="7901" max="7902" width="14.125" style="1" bestFit="1" customWidth="1"/>
    <col min="7903" max="7903" width="11.375" style="1" bestFit="1" customWidth="1"/>
    <col min="7904" max="7906" width="12.5" style="1" bestFit="1" customWidth="1"/>
    <col min="7907" max="7907" width="11" style="1" bestFit="1" customWidth="1"/>
    <col min="7908" max="7927" width="13" style="1" bestFit="1" customWidth="1"/>
    <col min="7928" max="7931" width="11" style="1" bestFit="1" customWidth="1"/>
    <col min="7932" max="7934" width="12.25" style="1" bestFit="1" customWidth="1"/>
    <col min="7935" max="7945" width="11" style="1" bestFit="1" customWidth="1"/>
    <col min="7946" max="7946" width="13.25" style="1" bestFit="1" customWidth="1"/>
    <col min="7947" max="7947" width="10" style="1" bestFit="1" customWidth="1"/>
    <col min="7948" max="7948" width="11" style="1" bestFit="1" customWidth="1"/>
    <col min="7949" max="8153" width="9" style="1"/>
    <col min="8154" max="8154" width="2.875" style="1" bestFit="1" customWidth="1"/>
    <col min="8155" max="8155" width="16.625" style="1" bestFit="1" customWidth="1"/>
    <col min="8156" max="8156" width="11.375" style="1" bestFit="1" customWidth="1"/>
    <col min="8157" max="8158" width="14.125" style="1" bestFit="1" customWidth="1"/>
    <col min="8159" max="8159" width="11.375" style="1" bestFit="1" customWidth="1"/>
    <col min="8160" max="8162" width="12.5" style="1" bestFit="1" customWidth="1"/>
    <col min="8163" max="8163" width="11" style="1" bestFit="1" customWidth="1"/>
    <col min="8164" max="8183" width="13" style="1" bestFit="1" customWidth="1"/>
    <col min="8184" max="8187" width="11" style="1" bestFit="1" customWidth="1"/>
    <col min="8188" max="8190" width="12.25" style="1" bestFit="1" customWidth="1"/>
    <col min="8191" max="8201" width="11" style="1" bestFit="1" customWidth="1"/>
    <col min="8202" max="8202" width="13.25" style="1" bestFit="1" customWidth="1"/>
    <col min="8203" max="8203" width="10" style="1" bestFit="1" customWidth="1"/>
    <col min="8204" max="8204" width="11" style="1" bestFit="1" customWidth="1"/>
    <col min="8205" max="8409" width="9" style="1"/>
    <col min="8410" max="8410" width="2.875" style="1" bestFit="1" customWidth="1"/>
    <col min="8411" max="8411" width="16.625" style="1" bestFit="1" customWidth="1"/>
    <col min="8412" max="8412" width="11.375" style="1" bestFit="1" customWidth="1"/>
    <col min="8413" max="8414" width="14.125" style="1" bestFit="1" customWidth="1"/>
    <col min="8415" max="8415" width="11.375" style="1" bestFit="1" customWidth="1"/>
    <col min="8416" max="8418" width="12.5" style="1" bestFit="1" customWidth="1"/>
    <col min="8419" max="8419" width="11" style="1" bestFit="1" customWidth="1"/>
    <col min="8420" max="8439" width="13" style="1" bestFit="1" customWidth="1"/>
    <col min="8440" max="8443" width="11" style="1" bestFit="1" customWidth="1"/>
    <col min="8444" max="8446" width="12.25" style="1" bestFit="1" customWidth="1"/>
    <col min="8447" max="8457" width="11" style="1" bestFit="1" customWidth="1"/>
    <col min="8458" max="8458" width="13.25" style="1" bestFit="1" customWidth="1"/>
    <col min="8459" max="8459" width="10" style="1" bestFit="1" customWidth="1"/>
    <col min="8460" max="8460" width="11" style="1" bestFit="1" customWidth="1"/>
    <col min="8461" max="8665" width="9" style="1"/>
    <col min="8666" max="8666" width="2.875" style="1" bestFit="1" customWidth="1"/>
    <col min="8667" max="8667" width="16.625" style="1" bestFit="1" customWidth="1"/>
    <col min="8668" max="8668" width="11.375" style="1" bestFit="1" customWidth="1"/>
    <col min="8669" max="8670" width="14.125" style="1" bestFit="1" customWidth="1"/>
    <col min="8671" max="8671" width="11.375" style="1" bestFit="1" customWidth="1"/>
    <col min="8672" max="8674" width="12.5" style="1" bestFit="1" customWidth="1"/>
    <col min="8675" max="8675" width="11" style="1" bestFit="1" customWidth="1"/>
    <col min="8676" max="8695" width="13" style="1" bestFit="1" customWidth="1"/>
    <col min="8696" max="8699" width="11" style="1" bestFit="1" customWidth="1"/>
    <col min="8700" max="8702" width="12.25" style="1" bestFit="1" customWidth="1"/>
    <col min="8703" max="8713" width="11" style="1" bestFit="1" customWidth="1"/>
    <col min="8714" max="8714" width="13.25" style="1" bestFit="1" customWidth="1"/>
    <col min="8715" max="8715" width="10" style="1" bestFit="1" customWidth="1"/>
    <col min="8716" max="8716" width="11" style="1" bestFit="1" customWidth="1"/>
    <col min="8717" max="8921" width="9" style="1"/>
    <col min="8922" max="8922" width="2.875" style="1" bestFit="1" customWidth="1"/>
    <col min="8923" max="8923" width="16.625" style="1" bestFit="1" customWidth="1"/>
    <col min="8924" max="8924" width="11.375" style="1" bestFit="1" customWidth="1"/>
    <col min="8925" max="8926" width="14.125" style="1" bestFit="1" customWidth="1"/>
    <col min="8927" max="8927" width="11.375" style="1" bestFit="1" customWidth="1"/>
    <col min="8928" max="8930" width="12.5" style="1" bestFit="1" customWidth="1"/>
    <col min="8931" max="8931" width="11" style="1" bestFit="1" customWidth="1"/>
    <col min="8932" max="8951" width="13" style="1" bestFit="1" customWidth="1"/>
    <col min="8952" max="8955" width="11" style="1" bestFit="1" customWidth="1"/>
    <col min="8956" max="8958" width="12.25" style="1" bestFit="1" customWidth="1"/>
    <col min="8959" max="8969" width="11" style="1" bestFit="1" customWidth="1"/>
    <col min="8970" max="8970" width="13.25" style="1" bestFit="1" customWidth="1"/>
    <col min="8971" max="8971" width="10" style="1" bestFit="1" customWidth="1"/>
    <col min="8972" max="8972" width="11" style="1" bestFit="1" customWidth="1"/>
    <col min="8973" max="9177" width="9" style="1"/>
    <col min="9178" max="9178" width="2.875" style="1" bestFit="1" customWidth="1"/>
    <col min="9179" max="9179" width="16.625" style="1" bestFit="1" customWidth="1"/>
    <col min="9180" max="9180" width="11.375" style="1" bestFit="1" customWidth="1"/>
    <col min="9181" max="9182" width="14.125" style="1" bestFit="1" customWidth="1"/>
    <col min="9183" max="9183" width="11.375" style="1" bestFit="1" customWidth="1"/>
    <col min="9184" max="9186" width="12.5" style="1" bestFit="1" customWidth="1"/>
    <col min="9187" max="9187" width="11" style="1" bestFit="1" customWidth="1"/>
    <col min="9188" max="9207" width="13" style="1" bestFit="1" customWidth="1"/>
    <col min="9208" max="9211" width="11" style="1" bestFit="1" customWidth="1"/>
    <col min="9212" max="9214" width="12.25" style="1" bestFit="1" customWidth="1"/>
    <col min="9215" max="9225" width="11" style="1" bestFit="1" customWidth="1"/>
    <col min="9226" max="9226" width="13.25" style="1" bestFit="1" customWidth="1"/>
    <col min="9227" max="9227" width="10" style="1" bestFit="1" customWidth="1"/>
    <col min="9228" max="9228" width="11" style="1" bestFit="1" customWidth="1"/>
    <col min="9229" max="9433" width="9" style="1"/>
    <col min="9434" max="9434" width="2.875" style="1" bestFit="1" customWidth="1"/>
    <col min="9435" max="9435" width="16.625" style="1" bestFit="1" customWidth="1"/>
    <col min="9436" max="9436" width="11.375" style="1" bestFit="1" customWidth="1"/>
    <col min="9437" max="9438" width="14.125" style="1" bestFit="1" customWidth="1"/>
    <col min="9439" max="9439" width="11.375" style="1" bestFit="1" customWidth="1"/>
    <col min="9440" max="9442" width="12.5" style="1" bestFit="1" customWidth="1"/>
    <col min="9443" max="9443" width="11" style="1" bestFit="1" customWidth="1"/>
    <col min="9444" max="9463" width="13" style="1" bestFit="1" customWidth="1"/>
    <col min="9464" max="9467" width="11" style="1" bestFit="1" customWidth="1"/>
    <col min="9468" max="9470" width="12.25" style="1" bestFit="1" customWidth="1"/>
    <col min="9471" max="9481" width="11" style="1" bestFit="1" customWidth="1"/>
    <col min="9482" max="9482" width="13.25" style="1" bestFit="1" customWidth="1"/>
    <col min="9483" max="9483" width="10" style="1" bestFit="1" customWidth="1"/>
    <col min="9484" max="9484" width="11" style="1" bestFit="1" customWidth="1"/>
    <col min="9485" max="9689" width="9" style="1"/>
    <col min="9690" max="9690" width="2.875" style="1" bestFit="1" customWidth="1"/>
    <col min="9691" max="9691" width="16.625" style="1" bestFit="1" customWidth="1"/>
    <col min="9692" max="9692" width="11.375" style="1" bestFit="1" customWidth="1"/>
    <col min="9693" max="9694" width="14.125" style="1" bestFit="1" customWidth="1"/>
    <col min="9695" max="9695" width="11.375" style="1" bestFit="1" customWidth="1"/>
    <col min="9696" max="9698" width="12.5" style="1" bestFit="1" customWidth="1"/>
    <col min="9699" max="9699" width="11" style="1" bestFit="1" customWidth="1"/>
    <col min="9700" max="9719" width="13" style="1" bestFit="1" customWidth="1"/>
    <col min="9720" max="9723" width="11" style="1" bestFit="1" customWidth="1"/>
    <col min="9724" max="9726" width="12.25" style="1" bestFit="1" customWidth="1"/>
    <col min="9727" max="9737" width="11" style="1" bestFit="1" customWidth="1"/>
    <col min="9738" max="9738" width="13.25" style="1" bestFit="1" customWidth="1"/>
    <col min="9739" max="9739" width="10" style="1" bestFit="1" customWidth="1"/>
    <col min="9740" max="9740" width="11" style="1" bestFit="1" customWidth="1"/>
    <col min="9741" max="9945" width="9" style="1"/>
    <col min="9946" max="9946" width="2.875" style="1" bestFit="1" customWidth="1"/>
    <col min="9947" max="9947" width="16.625" style="1" bestFit="1" customWidth="1"/>
    <col min="9948" max="9948" width="11.375" style="1" bestFit="1" customWidth="1"/>
    <col min="9949" max="9950" width="14.125" style="1" bestFit="1" customWidth="1"/>
    <col min="9951" max="9951" width="11.375" style="1" bestFit="1" customWidth="1"/>
    <col min="9952" max="9954" width="12.5" style="1" bestFit="1" customWidth="1"/>
    <col min="9955" max="9955" width="11" style="1" bestFit="1" customWidth="1"/>
    <col min="9956" max="9975" width="13" style="1" bestFit="1" customWidth="1"/>
    <col min="9976" max="9979" width="11" style="1" bestFit="1" customWidth="1"/>
    <col min="9980" max="9982" width="12.25" style="1" bestFit="1" customWidth="1"/>
    <col min="9983" max="9993" width="11" style="1" bestFit="1" customWidth="1"/>
    <col min="9994" max="9994" width="13.25" style="1" bestFit="1" customWidth="1"/>
    <col min="9995" max="9995" width="10" style="1" bestFit="1" customWidth="1"/>
    <col min="9996" max="9996" width="11" style="1" bestFit="1" customWidth="1"/>
    <col min="9997" max="10201" width="9" style="1"/>
    <col min="10202" max="10202" width="2.875" style="1" bestFit="1" customWidth="1"/>
    <col min="10203" max="10203" width="16.625" style="1" bestFit="1" customWidth="1"/>
    <col min="10204" max="10204" width="11.375" style="1" bestFit="1" customWidth="1"/>
    <col min="10205" max="10206" width="14.125" style="1" bestFit="1" customWidth="1"/>
    <col min="10207" max="10207" width="11.375" style="1" bestFit="1" customWidth="1"/>
    <col min="10208" max="10210" width="12.5" style="1" bestFit="1" customWidth="1"/>
    <col min="10211" max="10211" width="11" style="1" bestFit="1" customWidth="1"/>
    <col min="10212" max="10231" width="13" style="1" bestFit="1" customWidth="1"/>
    <col min="10232" max="10235" width="11" style="1" bestFit="1" customWidth="1"/>
    <col min="10236" max="10238" width="12.25" style="1" bestFit="1" customWidth="1"/>
    <col min="10239" max="10249" width="11" style="1" bestFit="1" customWidth="1"/>
    <col min="10250" max="10250" width="13.25" style="1" bestFit="1" customWidth="1"/>
    <col min="10251" max="10251" width="10" style="1" bestFit="1" customWidth="1"/>
    <col min="10252" max="10252" width="11" style="1" bestFit="1" customWidth="1"/>
    <col min="10253" max="10457" width="9" style="1"/>
    <col min="10458" max="10458" width="2.875" style="1" bestFit="1" customWidth="1"/>
    <col min="10459" max="10459" width="16.625" style="1" bestFit="1" customWidth="1"/>
    <col min="10460" max="10460" width="11.375" style="1" bestFit="1" customWidth="1"/>
    <col min="10461" max="10462" width="14.125" style="1" bestFit="1" customWidth="1"/>
    <col min="10463" max="10463" width="11.375" style="1" bestFit="1" customWidth="1"/>
    <col min="10464" max="10466" width="12.5" style="1" bestFit="1" customWidth="1"/>
    <col min="10467" max="10467" width="11" style="1" bestFit="1" customWidth="1"/>
    <col min="10468" max="10487" width="13" style="1" bestFit="1" customWidth="1"/>
    <col min="10488" max="10491" width="11" style="1" bestFit="1" customWidth="1"/>
    <col min="10492" max="10494" width="12.25" style="1" bestFit="1" customWidth="1"/>
    <col min="10495" max="10505" width="11" style="1" bestFit="1" customWidth="1"/>
    <col min="10506" max="10506" width="13.25" style="1" bestFit="1" customWidth="1"/>
    <col min="10507" max="10507" width="10" style="1" bestFit="1" customWidth="1"/>
    <col min="10508" max="10508" width="11" style="1" bestFit="1" customWidth="1"/>
    <col min="10509" max="10713" width="9" style="1"/>
    <col min="10714" max="10714" width="2.875" style="1" bestFit="1" customWidth="1"/>
    <col min="10715" max="10715" width="16.625" style="1" bestFit="1" customWidth="1"/>
    <col min="10716" max="10716" width="11.375" style="1" bestFit="1" customWidth="1"/>
    <col min="10717" max="10718" width="14.125" style="1" bestFit="1" customWidth="1"/>
    <col min="10719" max="10719" width="11.375" style="1" bestFit="1" customWidth="1"/>
    <col min="10720" max="10722" width="12.5" style="1" bestFit="1" customWidth="1"/>
    <col min="10723" max="10723" width="11" style="1" bestFit="1" customWidth="1"/>
    <col min="10724" max="10743" width="13" style="1" bestFit="1" customWidth="1"/>
    <col min="10744" max="10747" width="11" style="1" bestFit="1" customWidth="1"/>
    <col min="10748" max="10750" width="12.25" style="1" bestFit="1" customWidth="1"/>
    <col min="10751" max="10761" width="11" style="1" bestFit="1" customWidth="1"/>
    <col min="10762" max="10762" width="13.25" style="1" bestFit="1" customWidth="1"/>
    <col min="10763" max="10763" width="10" style="1" bestFit="1" customWidth="1"/>
    <col min="10764" max="10764" width="11" style="1" bestFit="1" customWidth="1"/>
    <col min="10765" max="10969" width="9" style="1"/>
    <col min="10970" max="10970" width="2.875" style="1" bestFit="1" customWidth="1"/>
    <col min="10971" max="10971" width="16.625" style="1" bestFit="1" customWidth="1"/>
    <col min="10972" max="10972" width="11.375" style="1" bestFit="1" customWidth="1"/>
    <col min="10973" max="10974" width="14.125" style="1" bestFit="1" customWidth="1"/>
    <col min="10975" max="10975" width="11.375" style="1" bestFit="1" customWidth="1"/>
    <col min="10976" max="10978" width="12.5" style="1" bestFit="1" customWidth="1"/>
    <col min="10979" max="10979" width="11" style="1" bestFit="1" customWidth="1"/>
    <col min="10980" max="10999" width="13" style="1" bestFit="1" customWidth="1"/>
    <col min="11000" max="11003" width="11" style="1" bestFit="1" customWidth="1"/>
    <col min="11004" max="11006" width="12.25" style="1" bestFit="1" customWidth="1"/>
    <col min="11007" max="11017" width="11" style="1" bestFit="1" customWidth="1"/>
    <col min="11018" max="11018" width="13.25" style="1" bestFit="1" customWidth="1"/>
    <col min="11019" max="11019" width="10" style="1" bestFit="1" customWidth="1"/>
    <col min="11020" max="11020" width="11" style="1" bestFit="1" customWidth="1"/>
    <col min="11021" max="11225" width="9" style="1"/>
    <col min="11226" max="11226" width="2.875" style="1" bestFit="1" customWidth="1"/>
    <col min="11227" max="11227" width="16.625" style="1" bestFit="1" customWidth="1"/>
    <col min="11228" max="11228" width="11.375" style="1" bestFit="1" customWidth="1"/>
    <col min="11229" max="11230" width="14.125" style="1" bestFit="1" customWidth="1"/>
    <col min="11231" max="11231" width="11.375" style="1" bestFit="1" customWidth="1"/>
    <col min="11232" max="11234" width="12.5" style="1" bestFit="1" customWidth="1"/>
    <col min="11235" max="11235" width="11" style="1" bestFit="1" customWidth="1"/>
    <col min="11236" max="11255" width="13" style="1" bestFit="1" customWidth="1"/>
    <col min="11256" max="11259" width="11" style="1" bestFit="1" customWidth="1"/>
    <col min="11260" max="11262" width="12.25" style="1" bestFit="1" customWidth="1"/>
    <col min="11263" max="11273" width="11" style="1" bestFit="1" customWidth="1"/>
    <col min="11274" max="11274" width="13.25" style="1" bestFit="1" customWidth="1"/>
    <col min="11275" max="11275" width="10" style="1" bestFit="1" customWidth="1"/>
    <col min="11276" max="11276" width="11" style="1" bestFit="1" customWidth="1"/>
    <col min="11277" max="11481" width="9" style="1"/>
    <col min="11482" max="11482" width="2.875" style="1" bestFit="1" customWidth="1"/>
    <col min="11483" max="11483" width="16.625" style="1" bestFit="1" customWidth="1"/>
    <col min="11484" max="11484" width="11.375" style="1" bestFit="1" customWidth="1"/>
    <col min="11485" max="11486" width="14.125" style="1" bestFit="1" customWidth="1"/>
    <col min="11487" max="11487" width="11.375" style="1" bestFit="1" customWidth="1"/>
    <col min="11488" max="11490" width="12.5" style="1" bestFit="1" customWidth="1"/>
    <col min="11491" max="11491" width="11" style="1" bestFit="1" customWidth="1"/>
    <col min="11492" max="11511" width="13" style="1" bestFit="1" customWidth="1"/>
    <col min="11512" max="11515" width="11" style="1" bestFit="1" customWidth="1"/>
    <col min="11516" max="11518" width="12.25" style="1" bestFit="1" customWidth="1"/>
    <col min="11519" max="11529" width="11" style="1" bestFit="1" customWidth="1"/>
    <col min="11530" max="11530" width="13.25" style="1" bestFit="1" customWidth="1"/>
    <col min="11531" max="11531" width="10" style="1" bestFit="1" customWidth="1"/>
    <col min="11532" max="11532" width="11" style="1" bestFit="1" customWidth="1"/>
    <col min="11533" max="11737" width="9" style="1"/>
    <col min="11738" max="11738" width="2.875" style="1" bestFit="1" customWidth="1"/>
    <col min="11739" max="11739" width="16.625" style="1" bestFit="1" customWidth="1"/>
    <col min="11740" max="11740" width="11.375" style="1" bestFit="1" customWidth="1"/>
    <col min="11741" max="11742" width="14.125" style="1" bestFit="1" customWidth="1"/>
    <col min="11743" max="11743" width="11.375" style="1" bestFit="1" customWidth="1"/>
    <col min="11744" max="11746" width="12.5" style="1" bestFit="1" customWidth="1"/>
    <col min="11747" max="11747" width="11" style="1" bestFit="1" customWidth="1"/>
    <col min="11748" max="11767" width="13" style="1" bestFit="1" customWidth="1"/>
    <col min="11768" max="11771" width="11" style="1" bestFit="1" customWidth="1"/>
    <col min="11772" max="11774" width="12.25" style="1" bestFit="1" customWidth="1"/>
    <col min="11775" max="11785" width="11" style="1" bestFit="1" customWidth="1"/>
    <col min="11786" max="11786" width="13.25" style="1" bestFit="1" customWidth="1"/>
    <col min="11787" max="11787" width="10" style="1" bestFit="1" customWidth="1"/>
    <col min="11788" max="11788" width="11" style="1" bestFit="1" customWidth="1"/>
    <col min="11789" max="11993" width="9" style="1"/>
    <col min="11994" max="11994" width="2.875" style="1" bestFit="1" customWidth="1"/>
    <col min="11995" max="11995" width="16.625" style="1" bestFit="1" customWidth="1"/>
    <col min="11996" max="11996" width="11.375" style="1" bestFit="1" customWidth="1"/>
    <col min="11997" max="11998" width="14.125" style="1" bestFit="1" customWidth="1"/>
    <col min="11999" max="11999" width="11.375" style="1" bestFit="1" customWidth="1"/>
    <col min="12000" max="12002" width="12.5" style="1" bestFit="1" customWidth="1"/>
    <col min="12003" max="12003" width="11" style="1" bestFit="1" customWidth="1"/>
    <col min="12004" max="12023" width="13" style="1" bestFit="1" customWidth="1"/>
    <col min="12024" max="12027" width="11" style="1" bestFit="1" customWidth="1"/>
    <col min="12028" max="12030" width="12.25" style="1" bestFit="1" customWidth="1"/>
    <col min="12031" max="12041" width="11" style="1" bestFit="1" customWidth="1"/>
    <col min="12042" max="12042" width="13.25" style="1" bestFit="1" customWidth="1"/>
    <col min="12043" max="12043" width="10" style="1" bestFit="1" customWidth="1"/>
    <col min="12044" max="12044" width="11" style="1" bestFit="1" customWidth="1"/>
    <col min="12045" max="12249" width="9" style="1"/>
    <col min="12250" max="12250" width="2.875" style="1" bestFit="1" customWidth="1"/>
    <col min="12251" max="12251" width="16.625" style="1" bestFit="1" customWidth="1"/>
    <col min="12252" max="12252" width="11.375" style="1" bestFit="1" customWidth="1"/>
    <col min="12253" max="12254" width="14.125" style="1" bestFit="1" customWidth="1"/>
    <col min="12255" max="12255" width="11.375" style="1" bestFit="1" customWidth="1"/>
    <col min="12256" max="12258" width="12.5" style="1" bestFit="1" customWidth="1"/>
    <col min="12259" max="12259" width="11" style="1" bestFit="1" customWidth="1"/>
    <col min="12260" max="12279" width="13" style="1" bestFit="1" customWidth="1"/>
    <col min="12280" max="12283" width="11" style="1" bestFit="1" customWidth="1"/>
    <col min="12284" max="12286" width="12.25" style="1" bestFit="1" customWidth="1"/>
    <col min="12287" max="12297" width="11" style="1" bestFit="1" customWidth="1"/>
    <col min="12298" max="12298" width="13.25" style="1" bestFit="1" customWidth="1"/>
    <col min="12299" max="12299" width="10" style="1" bestFit="1" customWidth="1"/>
    <col min="12300" max="12300" width="11" style="1" bestFit="1" customWidth="1"/>
    <col min="12301" max="12505" width="9" style="1"/>
    <col min="12506" max="12506" width="2.875" style="1" bestFit="1" customWidth="1"/>
    <col min="12507" max="12507" width="16.625" style="1" bestFit="1" customWidth="1"/>
    <col min="12508" max="12508" width="11.375" style="1" bestFit="1" customWidth="1"/>
    <col min="12509" max="12510" width="14.125" style="1" bestFit="1" customWidth="1"/>
    <col min="12511" max="12511" width="11.375" style="1" bestFit="1" customWidth="1"/>
    <col min="12512" max="12514" width="12.5" style="1" bestFit="1" customWidth="1"/>
    <col min="12515" max="12515" width="11" style="1" bestFit="1" customWidth="1"/>
    <col min="12516" max="12535" width="13" style="1" bestFit="1" customWidth="1"/>
    <col min="12536" max="12539" width="11" style="1" bestFit="1" customWidth="1"/>
    <col min="12540" max="12542" width="12.25" style="1" bestFit="1" customWidth="1"/>
    <col min="12543" max="12553" width="11" style="1" bestFit="1" customWidth="1"/>
    <col min="12554" max="12554" width="13.25" style="1" bestFit="1" customWidth="1"/>
    <col min="12555" max="12555" width="10" style="1" bestFit="1" customWidth="1"/>
    <col min="12556" max="12556" width="11" style="1" bestFit="1" customWidth="1"/>
    <col min="12557" max="12761" width="9" style="1"/>
    <col min="12762" max="12762" width="2.875" style="1" bestFit="1" customWidth="1"/>
    <col min="12763" max="12763" width="16.625" style="1" bestFit="1" customWidth="1"/>
    <col min="12764" max="12764" width="11.375" style="1" bestFit="1" customWidth="1"/>
    <col min="12765" max="12766" width="14.125" style="1" bestFit="1" customWidth="1"/>
    <col min="12767" max="12767" width="11.375" style="1" bestFit="1" customWidth="1"/>
    <col min="12768" max="12770" width="12.5" style="1" bestFit="1" customWidth="1"/>
    <col min="12771" max="12771" width="11" style="1" bestFit="1" customWidth="1"/>
    <col min="12772" max="12791" width="13" style="1" bestFit="1" customWidth="1"/>
    <col min="12792" max="12795" width="11" style="1" bestFit="1" customWidth="1"/>
    <col min="12796" max="12798" width="12.25" style="1" bestFit="1" customWidth="1"/>
    <col min="12799" max="12809" width="11" style="1" bestFit="1" customWidth="1"/>
    <col min="12810" max="12810" width="13.25" style="1" bestFit="1" customWidth="1"/>
    <col min="12811" max="12811" width="10" style="1" bestFit="1" customWidth="1"/>
    <col min="12812" max="12812" width="11" style="1" bestFit="1" customWidth="1"/>
    <col min="12813" max="13017" width="9" style="1"/>
    <col min="13018" max="13018" width="2.875" style="1" bestFit="1" customWidth="1"/>
    <col min="13019" max="13019" width="16.625" style="1" bestFit="1" customWidth="1"/>
    <col min="13020" max="13020" width="11.375" style="1" bestFit="1" customWidth="1"/>
    <col min="13021" max="13022" width="14.125" style="1" bestFit="1" customWidth="1"/>
    <col min="13023" max="13023" width="11.375" style="1" bestFit="1" customWidth="1"/>
    <col min="13024" max="13026" width="12.5" style="1" bestFit="1" customWidth="1"/>
    <col min="13027" max="13027" width="11" style="1" bestFit="1" customWidth="1"/>
    <col min="13028" max="13047" width="13" style="1" bestFit="1" customWidth="1"/>
    <col min="13048" max="13051" width="11" style="1" bestFit="1" customWidth="1"/>
    <col min="13052" max="13054" width="12.25" style="1" bestFit="1" customWidth="1"/>
    <col min="13055" max="13065" width="11" style="1" bestFit="1" customWidth="1"/>
    <col min="13066" max="13066" width="13.25" style="1" bestFit="1" customWidth="1"/>
    <col min="13067" max="13067" width="10" style="1" bestFit="1" customWidth="1"/>
    <col min="13068" max="13068" width="11" style="1" bestFit="1" customWidth="1"/>
    <col min="13069" max="13273" width="9" style="1"/>
    <col min="13274" max="13274" width="2.875" style="1" bestFit="1" customWidth="1"/>
    <col min="13275" max="13275" width="16.625" style="1" bestFit="1" customWidth="1"/>
    <col min="13276" max="13276" width="11.375" style="1" bestFit="1" customWidth="1"/>
    <col min="13277" max="13278" width="14.125" style="1" bestFit="1" customWidth="1"/>
    <col min="13279" max="13279" width="11.375" style="1" bestFit="1" customWidth="1"/>
    <col min="13280" max="13282" width="12.5" style="1" bestFit="1" customWidth="1"/>
    <col min="13283" max="13283" width="11" style="1" bestFit="1" customWidth="1"/>
    <col min="13284" max="13303" width="13" style="1" bestFit="1" customWidth="1"/>
    <col min="13304" max="13307" width="11" style="1" bestFit="1" customWidth="1"/>
    <col min="13308" max="13310" width="12.25" style="1" bestFit="1" customWidth="1"/>
    <col min="13311" max="13321" width="11" style="1" bestFit="1" customWidth="1"/>
    <col min="13322" max="13322" width="13.25" style="1" bestFit="1" customWidth="1"/>
    <col min="13323" max="13323" width="10" style="1" bestFit="1" customWidth="1"/>
    <col min="13324" max="13324" width="11" style="1" bestFit="1" customWidth="1"/>
    <col min="13325" max="13529" width="9" style="1"/>
    <col min="13530" max="13530" width="2.875" style="1" bestFit="1" customWidth="1"/>
    <col min="13531" max="13531" width="16.625" style="1" bestFit="1" customWidth="1"/>
    <col min="13532" max="13532" width="11.375" style="1" bestFit="1" customWidth="1"/>
    <col min="13533" max="13534" width="14.125" style="1" bestFit="1" customWidth="1"/>
    <col min="13535" max="13535" width="11.375" style="1" bestFit="1" customWidth="1"/>
    <col min="13536" max="13538" width="12.5" style="1" bestFit="1" customWidth="1"/>
    <col min="13539" max="13539" width="11" style="1" bestFit="1" customWidth="1"/>
    <col min="13540" max="13559" width="13" style="1" bestFit="1" customWidth="1"/>
    <col min="13560" max="13563" width="11" style="1" bestFit="1" customWidth="1"/>
    <col min="13564" max="13566" width="12.25" style="1" bestFit="1" customWidth="1"/>
    <col min="13567" max="13577" width="11" style="1" bestFit="1" customWidth="1"/>
    <col min="13578" max="13578" width="13.25" style="1" bestFit="1" customWidth="1"/>
    <col min="13579" max="13579" width="10" style="1" bestFit="1" customWidth="1"/>
    <col min="13580" max="13580" width="11" style="1" bestFit="1" customWidth="1"/>
    <col min="13581" max="13785" width="9" style="1"/>
    <col min="13786" max="13786" width="2.875" style="1" bestFit="1" customWidth="1"/>
    <col min="13787" max="13787" width="16.625" style="1" bestFit="1" customWidth="1"/>
    <col min="13788" max="13788" width="11.375" style="1" bestFit="1" customWidth="1"/>
    <col min="13789" max="13790" width="14.125" style="1" bestFit="1" customWidth="1"/>
    <col min="13791" max="13791" width="11.375" style="1" bestFit="1" customWidth="1"/>
    <col min="13792" max="13794" width="12.5" style="1" bestFit="1" customWidth="1"/>
    <col min="13795" max="13795" width="11" style="1" bestFit="1" customWidth="1"/>
    <col min="13796" max="13815" width="13" style="1" bestFit="1" customWidth="1"/>
    <col min="13816" max="13819" width="11" style="1" bestFit="1" customWidth="1"/>
    <col min="13820" max="13822" width="12.25" style="1" bestFit="1" customWidth="1"/>
    <col min="13823" max="13833" width="11" style="1" bestFit="1" customWidth="1"/>
    <col min="13834" max="13834" width="13.25" style="1" bestFit="1" customWidth="1"/>
    <col min="13835" max="13835" width="10" style="1" bestFit="1" customWidth="1"/>
    <col min="13836" max="13836" width="11" style="1" bestFit="1" customWidth="1"/>
    <col min="13837" max="14041" width="9" style="1"/>
    <col min="14042" max="14042" width="2.875" style="1" bestFit="1" customWidth="1"/>
    <col min="14043" max="14043" width="16.625" style="1" bestFit="1" customWidth="1"/>
    <col min="14044" max="14044" width="11.375" style="1" bestFit="1" customWidth="1"/>
    <col min="14045" max="14046" width="14.125" style="1" bestFit="1" customWidth="1"/>
    <col min="14047" max="14047" width="11.375" style="1" bestFit="1" customWidth="1"/>
    <col min="14048" max="14050" width="12.5" style="1" bestFit="1" customWidth="1"/>
    <col min="14051" max="14051" width="11" style="1" bestFit="1" customWidth="1"/>
    <col min="14052" max="14071" width="13" style="1" bestFit="1" customWidth="1"/>
    <col min="14072" max="14075" width="11" style="1" bestFit="1" customWidth="1"/>
    <col min="14076" max="14078" width="12.25" style="1" bestFit="1" customWidth="1"/>
    <col min="14079" max="14089" width="11" style="1" bestFit="1" customWidth="1"/>
    <col min="14090" max="14090" width="13.25" style="1" bestFit="1" customWidth="1"/>
    <col min="14091" max="14091" width="10" style="1" bestFit="1" customWidth="1"/>
    <col min="14092" max="14092" width="11" style="1" bestFit="1" customWidth="1"/>
    <col min="14093" max="14297" width="9" style="1"/>
    <col min="14298" max="14298" width="2.875" style="1" bestFit="1" customWidth="1"/>
    <col min="14299" max="14299" width="16.625" style="1" bestFit="1" customWidth="1"/>
    <col min="14300" max="14300" width="11.375" style="1" bestFit="1" customWidth="1"/>
    <col min="14301" max="14302" width="14.125" style="1" bestFit="1" customWidth="1"/>
    <col min="14303" max="14303" width="11.375" style="1" bestFit="1" customWidth="1"/>
    <col min="14304" max="14306" width="12.5" style="1" bestFit="1" customWidth="1"/>
    <col min="14307" max="14307" width="11" style="1" bestFit="1" customWidth="1"/>
    <col min="14308" max="14327" width="13" style="1" bestFit="1" customWidth="1"/>
    <col min="14328" max="14331" width="11" style="1" bestFit="1" customWidth="1"/>
    <col min="14332" max="14334" width="12.25" style="1" bestFit="1" customWidth="1"/>
    <col min="14335" max="14345" width="11" style="1" bestFit="1" customWidth="1"/>
    <col min="14346" max="14346" width="13.25" style="1" bestFit="1" customWidth="1"/>
    <col min="14347" max="14347" width="10" style="1" bestFit="1" customWidth="1"/>
    <col min="14348" max="14348" width="11" style="1" bestFit="1" customWidth="1"/>
    <col min="14349" max="14553" width="9" style="1"/>
    <col min="14554" max="14554" width="2.875" style="1" bestFit="1" customWidth="1"/>
    <col min="14555" max="14555" width="16.625" style="1" bestFit="1" customWidth="1"/>
    <col min="14556" max="14556" width="11.375" style="1" bestFit="1" customWidth="1"/>
    <col min="14557" max="14558" width="14.125" style="1" bestFit="1" customWidth="1"/>
    <col min="14559" max="14559" width="11.375" style="1" bestFit="1" customWidth="1"/>
    <col min="14560" max="14562" width="12.5" style="1" bestFit="1" customWidth="1"/>
    <col min="14563" max="14563" width="11" style="1" bestFit="1" customWidth="1"/>
    <col min="14564" max="14583" width="13" style="1" bestFit="1" customWidth="1"/>
    <col min="14584" max="14587" width="11" style="1" bestFit="1" customWidth="1"/>
    <col min="14588" max="14590" width="12.25" style="1" bestFit="1" customWidth="1"/>
    <col min="14591" max="14601" width="11" style="1" bestFit="1" customWidth="1"/>
    <col min="14602" max="14602" width="13.25" style="1" bestFit="1" customWidth="1"/>
    <col min="14603" max="14603" width="10" style="1" bestFit="1" customWidth="1"/>
    <col min="14604" max="14604" width="11" style="1" bestFit="1" customWidth="1"/>
    <col min="14605" max="14809" width="9" style="1"/>
    <col min="14810" max="14810" width="2.875" style="1" bestFit="1" customWidth="1"/>
    <col min="14811" max="14811" width="16.625" style="1" bestFit="1" customWidth="1"/>
    <col min="14812" max="14812" width="11.375" style="1" bestFit="1" customWidth="1"/>
    <col min="14813" max="14814" width="14.125" style="1" bestFit="1" customWidth="1"/>
    <col min="14815" max="14815" width="11.375" style="1" bestFit="1" customWidth="1"/>
    <col min="14816" max="14818" width="12.5" style="1" bestFit="1" customWidth="1"/>
    <col min="14819" max="14819" width="11" style="1" bestFit="1" customWidth="1"/>
    <col min="14820" max="14839" width="13" style="1" bestFit="1" customWidth="1"/>
    <col min="14840" max="14843" width="11" style="1" bestFit="1" customWidth="1"/>
    <col min="14844" max="14846" width="12.25" style="1" bestFit="1" customWidth="1"/>
    <col min="14847" max="14857" width="11" style="1" bestFit="1" customWidth="1"/>
    <col min="14858" max="14858" width="13.25" style="1" bestFit="1" customWidth="1"/>
    <col min="14859" max="14859" width="10" style="1" bestFit="1" customWidth="1"/>
    <col min="14860" max="14860" width="11" style="1" bestFit="1" customWidth="1"/>
    <col min="14861" max="15065" width="9" style="1"/>
    <col min="15066" max="15066" width="2.875" style="1" bestFit="1" customWidth="1"/>
    <col min="15067" max="15067" width="16.625" style="1" bestFit="1" customWidth="1"/>
    <col min="15068" max="15068" width="11.375" style="1" bestFit="1" customWidth="1"/>
    <col min="15069" max="15070" width="14.125" style="1" bestFit="1" customWidth="1"/>
    <col min="15071" max="15071" width="11.375" style="1" bestFit="1" customWidth="1"/>
    <col min="15072" max="15074" width="12.5" style="1" bestFit="1" customWidth="1"/>
    <col min="15075" max="15075" width="11" style="1" bestFit="1" customWidth="1"/>
    <col min="15076" max="15095" width="13" style="1" bestFit="1" customWidth="1"/>
    <col min="15096" max="15099" width="11" style="1" bestFit="1" customWidth="1"/>
    <col min="15100" max="15102" width="12.25" style="1" bestFit="1" customWidth="1"/>
    <col min="15103" max="15113" width="11" style="1" bestFit="1" customWidth="1"/>
    <col min="15114" max="15114" width="13.25" style="1" bestFit="1" customWidth="1"/>
    <col min="15115" max="15115" width="10" style="1" bestFit="1" customWidth="1"/>
    <col min="15116" max="15116" width="11" style="1" bestFit="1" customWidth="1"/>
    <col min="15117" max="15321" width="9" style="1"/>
    <col min="15322" max="15322" width="2.875" style="1" bestFit="1" customWidth="1"/>
    <col min="15323" max="15323" width="16.625" style="1" bestFit="1" customWidth="1"/>
    <col min="15324" max="15324" width="11.375" style="1" bestFit="1" customWidth="1"/>
    <col min="15325" max="15326" width="14.125" style="1" bestFit="1" customWidth="1"/>
    <col min="15327" max="15327" width="11.375" style="1" bestFit="1" customWidth="1"/>
    <col min="15328" max="15330" width="12.5" style="1" bestFit="1" customWidth="1"/>
    <col min="15331" max="15331" width="11" style="1" bestFit="1" customWidth="1"/>
    <col min="15332" max="15351" width="13" style="1" bestFit="1" customWidth="1"/>
    <col min="15352" max="15355" width="11" style="1" bestFit="1" customWidth="1"/>
    <col min="15356" max="15358" width="12.25" style="1" bestFit="1" customWidth="1"/>
    <col min="15359" max="15369" width="11" style="1" bestFit="1" customWidth="1"/>
    <col min="15370" max="15370" width="13.25" style="1" bestFit="1" customWidth="1"/>
    <col min="15371" max="15371" width="10" style="1" bestFit="1" customWidth="1"/>
    <col min="15372" max="15372" width="11" style="1" bestFit="1" customWidth="1"/>
    <col min="15373" max="15577" width="9" style="1"/>
    <col min="15578" max="15578" width="2.875" style="1" bestFit="1" customWidth="1"/>
    <col min="15579" max="15579" width="16.625" style="1" bestFit="1" customWidth="1"/>
    <col min="15580" max="15580" width="11.375" style="1" bestFit="1" customWidth="1"/>
    <col min="15581" max="15582" width="14.125" style="1" bestFit="1" customWidth="1"/>
    <col min="15583" max="15583" width="11.375" style="1" bestFit="1" customWidth="1"/>
    <col min="15584" max="15586" width="12.5" style="1" bestFit="1" customWidth="1"/>
    <col min="15587" max="15587" width="11" style="1" bestFit="1" customWidth="1"/>
    <col min="15588" max="15607" width="13" style="1" bestFit="1" customWidth="1"/>
    <col min="15608" max="15611" width="11" style="1" bestFit="1" customWidth="1"/>
    <col min="15612" max="15614" width="12.25" style="1" bestFit="1" customWidth="1"/>
    <col min="15615" max="15625" width="11" style="1" bestFit="1" customWidth="1"/>
    <col min="15626" max="15626" width="13.25" style="1" bestFit="1" customWidth="1"/>
    <col min="15627" max="15627" width="10" style="1" bestFit="1" customWidth="1"/>
    <col min="15628" max="15628" width="11" style="1" bestFit="1" customWidth="1"/>
    <col min="15629" max="15833" width="9" style="1"/>
    <col min="15834" max="15834" width="2.875" style="1" bestFit="1" customWidth="1"/>
    <col min="15835" max="15835" width="16.625" style="1" bestFit="1" customWidth="1"/>
    <col min="15836" max="15836" width="11.375" style="1" bestFit="1" customWidth="1"/>
    <col min="15837" max="15838" width="14.125" style="1" bestFit="1" customWidth="1"/>
    <col min="15839" max="15839" width="11.375" style="1" bestFit="1" customWidth="1"/>
    <col min="15840" max="15842" width="12.5" style="1" bestFit="1" customWidth="1"/>
    <col min="15843" max="15843" width="11" style="1" bestFit="1" customWidth="1"/>
    <col min="15844" max="15863" width="13" style="1" bestFit="1" customWidth="1"/>
    <col min="15864" max="15867" width="11" style="1" bestFit="1" customWidth="1"/>
    <col min="15868" max="15870" width="12.25" style="1" bestFit="1" customWidth="1"/>
    <col min="15871" max="15881" width="11" style="1" bestFit="1" customWidth="1"/>
    <col min="15882" max="15882" width="13.25" style="1" bestFit="1" customWidth="1"/>
    <col min="15883" max="15883" width="10" style="1" bestFit="1" customWidth="1"/>
    <col min="15884" max="15884" width="11" style="1" bestFit="1" customWidth="1"/>
    <col min="15885" max="16089" width="9" style="1"/>
    <col min="16090" max="16090" width="2.875" style="1" bestFit="1" customWidth="1"/>
    <col min="16091" max="16091" width="16.625" style="1" bestFit="1" customWidth="1"/>
    <col min="16092" max="16092" width="11.375" style="1" bestFit="1" customWidth="1"/>
    <col min="16093" max="16094" width="14.125" style="1" bestFit="1" customWidth="1"/>
    <col min="16095" max="16095" width="11.375" style="1" bestFit="1" customWidth="1"/>
    <col min="16096" max="16098" width="12.5" style="1" bestFit="1" customWidth="1"/>
    <col min="16099" max="16099" width="11" style="1" bestFit="1" customWidth="1"/>
    <col min="16100" max="16119" width="13" style="1" bestFit="1" customWidth="1"/>
    <col min="16120" max="16123" width="11" style="1" bestFit="1" customWidth="1"/>
    <col min="16124" max="16126" width="12.25" style="1" bestFit="1" customWidth="1"/>
    <col min="16127" max="16137" width="11" style="1" bestFit="1" customWidth="1"/>
    <col min="16138" max="16138" width="13.25" style="1" bestFit="1" customWidth="1"/>
    <col min="16139" max="16139" width="10" style="1" bestFit="1" customWidth="1"/>
    <col min="16140" max="16140" width="11" style="1" bestFit="1" customWidth="1"/>
    <col min="16141" max="16384" width="9" style="1"/>
  </cols>
  <sheetData>
    <row r="2" spans="1:12" ht="30.75" customHeight="1" x14ac:dyDescent="0.15"/>
    <row r="3" spans="1:12" ht="17.25" x14ac:dyDescent="0.2">
      <c r="A3" s="47">
        <v>45658</v>
      </c>
      <c r="B3" s="47"/>
      <c r="C3" s="45" t="s">
        <v>222</v>
      </c>
    </row>
    <row r="4" spans="1:12" s="5" customFormat="1" x14ac:dyDescent="0.15">
      <c r="A4" s="48" t="s">
        <v>0</v>
      </c>
      <c r="B4" s="48"/>
      <c r="C4" s="2" t="s">
        <v>27</v>
      </c>
      <c r="D4" s="2" t="s">
        <v>28</v>
      </c>
      <c r="E4" s="2" t="s">
        <v>29</v>
      </c>
      <c r="F4" s="2" t="s">
        <v>30</v>
      </c>
      <c r="G4" s="2" t="s">
        <v>31</v>
      </c>
      <c r="H4" s="2" t="s">
        <v>32</v>
      </c>
      <c r="I4" s="2" t="s">
        <v>33</v>
      </c>
      <c r="J4" s="3" t="s">
        <v>41</v>
      </c>
      <c r="K4" s="3" t="s">
        <v>42</v>
      </c>
      <c r="L4" s="4" t="s">
        <v>43</v>
      </c>
    </row>
    <row r="5" spans="1:12" s="5" customFormat="1" hidden="1" x14ac:dyDescent="0.15">
      <c r="A5" s="49" t="s">
        <v>44</v>
      </c>
      <c r="B5" s="50"/>
      <c r="C5" s="2">
        <v>6</v>
      </c>
      <c r="D5" s="2">
        <v>6</v>
      </c>
      <c r="E5" s="2">
        <v>6</v>
      </c>
      <c r="F5" s="2">
        <v>6</v>
      </c>
      <c r="G5" s="2">
        <v>6</v>
      </c>
      <c r="H5" s="2">
        <v>6</v>
      </c>
      <c r="I5" s="2">
        <v>6</v>
      </c>
      <c r="J5" s="3"/>
      <c r="K5" s="3"/>
      <c r="L5" s="4"/>
    </row>
    <row r="6" spans="1:12" s="5" customFormat="1" hidden="1" x14ac:dyDescent="0.15">
      <c r="A6" s="49" t="s">
        <v>45</v>
      </c>
      <c r="B6" s="50"/>
      <c r="C6" s="2" t="s">
        <v>48</v>
      </c>
      <c r="D6" s="2" t="s">
        <v>48</v>
      </c>
      <c r="E6" s="2" t="s">
        <v>48</v>
      </c>
      <c r="F6" s="2" t="s">
        <v>48</v>
      </c>
      <c r="G6" s="2" t="s">
        <v>48</v>
      </c>
      <c r="H6" s="2" t="s">
        <v>48</v>
      </c>
      <c r="I6" s="2" t="s">
        <v>48</v>
      </c>
      <c r="J6" s="3"/>
      <c r="K6" s="3"/>
      <c r="L6" s="4"/>
    </row>
    <row r="7" spans="1:12" s="5" customFormat="1" x14ac:dyDescent="0.15">
      <c r="A7" s="46" t="s">
        <v>51</v>
      </c>
      <c r="B7" s="46"/>
      <c r="C7" s="6" t="s">
        <v>175</v>
      </c>
      <c r="D7" s="6" t="s">
        <v>176</v>
      </c>
      <c r="E7" s="6" t="s">
        <v>179</v>
      </c>
      <c r="F7" s="43" t="s">
        <v>212</v>
      </c>
      <c r="G7" s="44" t="s">
        <v>185</v>
      </c>
      <c r="H7" s="6" t="s">
        <v>177</v>
      </c>
      <c r="I7" s="6" t="s">
        <v>184</v>
      </c>
      <c r="J7" s="7"/>
      <c r="K7" s="7"/>
      <c r="L7" s="8"/>
    </row>
    <row r="8" spans="1:12" s="5" customFormat="1" x14ac:dyDescent="0.15">
      <c r="A8" s="46" t="s">
        <v>52</v>
      </c>
      <c r="B8" s="46"/>
      <c r="C8" s="6" t="s">
        <v>208</v>
      </c>
      <c r="D8" s="6" t="s">
        <v>209</v>
      </c>
      <c r="E8" s="6" t="s">
        <v>210</v>
      </c>
      <c r="F8" s="6" t="s">
        <v>211</v>
      </c>
      <c r="G8" s="6" t="s">
        <v>213</v>
      </c>
      <c r="H8" s="6" t="s">
        <v>214</v>
      </c>
      <c r="I8" s="6" t="s">
        <v>215</v>
      </c>
      <c r="J8" s="7"/>
      <c r="K8" s="7"/>
      <c r="L8" s="8"/>
    </row>
    <row r="9" spans="1:12" x14ac:dyDescent="0.15">
      <c r="A9" s="52" t="s">
        <v>53</v>
      </c>
      <c r="B9" s="53"/>
      <c r="C9" s="9">
        <v>8</v>
      </c>
      <c r="D9" s="9">
        <v>8</v>
      </c>
      <c r="E9" s="9">
        <v>8</v>
      </c>
      <c r="F9" s="9">
        <v>10</v>
      </c>
      <c r="G9" s="9">
        <v>10</v>
      </c>
      <c r="H9" s="9">
        <v>10</v>
      </c>
      <c r="I9" s="9">
        <v>10</v>
      </c>
      <c r="J9" s="10">
        <f>SUM(C9:I9)</f>
        <v>64</v>
      </c>
      <c r="K9" s="10"/>
      <c r="L9" s="11"/>
    </row>
    <row r="10" spans="1:12" x14ac:dyDescent="0.15">
      <c r="A10" s="48" t="s">
        <v>54</v>
      </c>
      <c r="B10" s="48"/>
      <c r="C10" s="12" t="s">
        <v>63</v>
      </c>
      <c r="D10" s="12" t="s">
        <v>63</v>
      </c>
      <c r="E10" s="12" t="s">
        <v>57</v>
      </c>
      <c r="F10" s="12" t="s">
        <v>58</v>
      </c>
      <c r="G10" s="12" t="s">
        <v>60</v>
      </c>
      <c r="H10" s="12" t="s">
        <v>60</v>
      </c>
      <c r="I10" s="12" t="s">
        <v>60</v>
      </c>
      <c r="J10" s="13"/>
      <c r="K10" s="13"/>
      <c r="L10" s="14"/>
    </row>
    <row r="11" spans="1:12" x14ac:dyDescent="0.15">
      <c r="A11" s="48" t="s">
        <v>65</v>
      </c>
      <c r="B11" s="48"/>
      <c r="C11" s="15">
        <v>6709</v>
      </c>
      <c r="D11" s="15">
        <v>6112</v>
      </c>
      <c r="E11" s="15">
        <v>8537</v>
      </c>
      <c r="F11" s="15">
        <v>8228</v>
      </c>
      <c r="G11" s="15">
        <v>4753</v>
      </c>
      <c r="H11" s="15">
        <v>5068</v>
      </c>
      <c r="I11" s="15">
        <v>2686</v>
      </c>
      <c r="J11" s="17">
        <f>SUM(C11:I11)</f>
        <v>42093</v>
      </c>
      <c r="K11" s="17">
        <f t="shared" ref="K11:K42" si="0">AVERAGE(C11:I11)</f>
        <v>6013.2857142857147</v>
      </c>
      <c r="L11" s="14"/>
    </row>
    <row r="12" spans="1:12" x14ac:dyDescent="0.15">
      <c r="A12" s="49" t="s">
        <v>66</v>
      </c>
      <c r="B12" s="54"/>
      <c r="C12" s="19">
        <v>8.8368055555555554</v>
      </c>
      <c r="D12" s="19">
        <v>7.6534722222222218</v>
      </c>
      <c r="E12" s="19">
        <v>11.084027777777777</v>
      </c>
      <c r="F12" s="19">
        <v>11.299305555555556</v>
      </c>
      <c r="G12" s="19">
        <v>9.1180555555555554</v>
      </c>
      <c r="H12" s="19">
        <v>8.1236111111111118</v>
      </c>
      <c r="I12" s="19">
        <v>5.2326388888888893</v>
      </c>
      <c r="J12" s="21">
        <f>SUM(C12:I12)</f>
        <v>61.347916666666663</v>
      </c>
      <c r="K12" s="21">
        <f t="shared" si="0"/>
        <v>8.7639880952380942</v>
      </c>
      <c r="L12" s="14"/>
    </row>
    <row r="13" spans="1:12" x14ac:dyDescent="0.15">
      <c r="A13" s="48" t="s">
        <v>67</v>
      </c>
      <c r="B13" s="48"/>
      <c r="C13" s="15">
        <v>1618580</v>
      </c>
      <c r="D13" s="15">
        <v>1465171</v>
      </c>
      <c r="E13" s="15">
        <v>1821761</v>
      </c>
      <c r="F13" s="15">
        <v>1251120</v>
      </c>
      <c r="G13" s="15">
        <v>1136122</v>
      </c>
      <c r="H13" s="15">
        <v>1260709</v>
      </c>
      <c r="I13" s="15">
        <v>618487</v>
      </c>
      <c r="J13" s="17">
        <f>SUM(C13:I13)</f>
        <v>9171950</v>
      </c>
      <c r="K13" s="17">
        <f t="shared" si="0"/>
        <v>1310278.5714285714</v>
      </c>
      <c r="L13" s="14">
        <f>J13/J13</f>
        <v>1</v>
      </c>
    </row>
    <row r="14" spans="1:12" x14ac:dyDescent="0.15">
      <c r="A14" s="49" t="s">
        <v>68</v>
      </c>
      <c r="B14" s="54"/>
      <c r="C14" s="15">
        <v>0</v>
      </c>
      <c r="D14" s="15">
        <v>0</v>
      </c>
      <c r="E14" s="15">
        <v>0</v>
      </c>
      <c r="F14" s="15">
        <v>29070</v>
      </c>
      <c r="G14" s="15">
        <v>0</v>
      </c>
      <c r="H14" s="15">
        <v>0</v>
      </c>
      <c r="I14" s="15">
        <v>0</v>
      </c>
      <c r="J14" s="17">
        <f>SUM(C14:I14)</f>
        <v>29070</v>
      </c>
      <c r="K14" s="17">
        <f t="shared" si="0"/>
        <v>4152.8571428571431</v>
      </c>
      <c r="L14" s="14"/>
    </row>
    <row r="15" spans="1:12" x14ac:dyDescent="0.15">
      <c r="A15" s="48" t="s">
        <v>69</v>
      </c>
      <c r="B15" s="48"/>
      <c r="C15" s="15">
        <f t="shared" ref="C15:I15" si="1">SUM(C13/C11)</f>
        <v>241.2550305559696</v>
      </c>
      <c r="D15" s="15">
        <f t="shared" si="1"/>
        <v>239.72038612565444</v>
      </c>
      <c r="E15" s="15">
        <f t="shared" si="1"/>
        <v>213.39592362656671</v>
      </c>
      <c r="F15" s="15">
        <f t="shared" si="1"/>
        <v>152.05639280505591</v>
      </c>
      <c r="G15" s="15">
        <f t="shared" si="1"/>
        <v>239.03261098253734</v>
      </c>
      <c r="H15" s="15">
        <f t="shared" si="1"/>
        <v>248.75868192580899</v>
      </c>
      <c r="I15" s="15">
        <f t="shared" si="1"/>
        <v>230.26321667907669</v>
      </c>
      <c r="J15" s="13">
        <f>SUM(J13/J11)</f>
        <v>217.89727508136744</v>
      </c>
      <c r="K15" s="17">
        <f t="shared" si="0"/>
        <v>223.49746324295282</v>
      </c>
      <c r="L15" s="14"/>
    </row>
    <row r="16" spans="1:12" x14ac:dyDescent="0.15">
      <c r="A16" s="49" t="s">
        <v>70</v>
      </c>
      <c r="B16" s="54"/>
      <c r="C16" s="22">
        <f t="shared" ref="C16:J16" si="2">C13/(C12*24)</f>
        <v>7631.8113948919454</v>
      </c>
      <c r="D16" s="22">
        <f t="shared" si="2"/>
        <v>7976.6137374103982</v>
      </c>
      <c r="E16" s="22">
        <f t="shared" si="2"/>
        <v>6848.2964726520895</v>
      </c>
      <c r="F16" s="22">
        <f t="shared" si="2"/>
        <v>4613.5578636838545</v>
      </c>
      <c r="G16" s="22">
        <f t="shared" si="2"/>
        <v>5191.7227722772286</v>
      </c>
      <c r="H16" s="22">
        <f t="shared" si="2"/>
        <v>6466.2797059326367</v>
      </c>
      <c r="I16" s="22">
        <f t="shared" si="2"/>
        <v>4924.91307232913</v>
      </c>
      <c r="J16" s="24">
        <f t="shared" si="2"/>
        <v>6229.4631032023635</v>
      </c>
      <c r="K16" s="24">
        <f t="shared" si="0"/>
        <v>6236.1707170253267</v>
      </c>
      <c r="L16" s="14"/>
    </row>
    <row r="17" spans="1:12" x14ac:dyDescent="0.15">
      <c r="A17" s="51" t="s">
        <v>71</v>
      </c>
      <c r="B17" s="12" t="s">
        <v>72</v>
      </c>
      <c r="C17" s="15">
        <v>0</v>
      </c>
      <c r="D17" s="15">
        <v>215200</v>
      </c>
      <c r="E17" s="15">
        <v>0</v>
      </c>
      <c r="F17" s="15">
        <v>0</v>
      </c>
      <c r="G17" s="15">
        <v>0</v>
      </c>
      <c r="H17" s="15">
        <v>0</v>
      </c>
      <c r="I17" s="15">
        <v>0</v>
      </c>
      <c r="J17" s="17">
        <f t="shared" ref="J17:J28" si="3">SUM(C17:I17)</f>
        <v>215200</v>
      </c>
      <c r="K17" s="17">
        <f t="shared" si="0"/>
        <v>30742.857142857141</v>
      </c>
      <c r="L17" s="14">
        <f>J17/J13</f>
        <v>2.3462840508288858E-2</v>
      </c>
    </row>
    <row r="18" spans="1:12" x14ac:dyDescent="0.15">
      <c r="A18" s="51"/>
      <c r="B18" s="12" t="s">
        <v>73</v>
      </c>
      <c r="C18" s="15">
        <v>3241</v>
      </c>
      <c r="D18" s="15">
        <v>0</v>
      </c>
      <c r="E18" s="15">
        <v>4417</v>
      </c>
      <c r="F18" s="15">
        <v>4025</v>
      </c>
      <c r="G18" s="15">
        <v>4417</v>
      </c>
      <c r="H18" s="15">
        <v>4417</v>
      </c>
      <c r="I18" s="15">
        <v>4825</v>
      </c>
      <c r="J18" s="17">
        <f t="shared" si="3"/>
        <v>25342</v>
      </c>
      <c r="K18" s="17">
        <f t="shared" si="0"/>
        <v>3620.2857142857142</v>
      </c>
      <c r="L18" s="14">
        <f>J18/J13</f>
        <v>2.7629893316034214E-3</v>
      </c>
    </row>
    <row r="19" spans="1:12" x14ac:dyDescent="0.15">
      <c r="A19" s="51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7">
        <f t="shared" si="3"/>
        <v>0</v>
      </c>
      <c r="K19" s="17">
        <f t="shared" si="0"/>
        <v>0</v>
      </c>
      <c r="L19" s="14">
        <f>J19/J13</f>
        <v>0</v>
      </c>
    </row>
    <row r="20" spans="1:12" x14ac:dyDescent="0.15">
      <c r="A20" s="51"/>
      <c r="B20" s="12" t="s">
        <v>75</v>
      </c>
      <c r="C20" s="15">
        <v>4550</v>
      </c>
      <c r="D20" s="15">
        <v>4583</v>
      </c>
      <c r="E20" s="15">
        <v>4766</v>
      </c>
      <c r="F20" s="15">
        <v>4583</v>
      </c>
      <c r="G20" s="15">
        <v>4766</v>
      </c>
      <c r="H20" s="15">
        <v>4766</v>
      </c>
      <c r="I20" s="15">
        <v>4950</v>
      </c>
      <c r="J20" s="17">
        <f t="shared" si="3"/>
        <v>32964</v>
      </c>
      <c r="K20" s="17">
        <f t="shared" si="0"/>
        <v>4709.1428571428569</v>
      </c>
      <c r="L20" s="14">
        <f>J20/J13</f>
        <v>3.5940012756284106E-3</v>
      </c>
    </row>
    <row r="21" spans="1:12" x14ac:dyDescent="0.15">
      <c r="A21" s="51"/>
      <c r="B21" s="12" t="s">
        <v>76</v>
      </c>
      <c r="C21" s="15">
        <v>49238</v>
      </c>
      <c r="D21" s="15">
        <v>31013</v>
      </c>
      <c r="E21" s="15">
        <v>49888</v>
      </c>
      <c r="F21" s="15">
        <v>27811</v>
      </c>
      <c r="G21" s="15">
        <v>36771</v>
      </c>
      <c r="H21" s="15">
        <v>37316</v>
      </c>
      <c r="I21" s="15">
        <v>49900</v>
      </c>
      <c r="J21" s="17">
        <f t="shared" si="3"/>
        <v>281937</v>
      </c>
      <c r="K21" s="17">
        <f t="shared" si="0"/>
        <v>40276.714285714283</v>
      </c>
      <c r="L21" s="14">
        <f>J21/J13</f>
        <v>3.0739046767590317E-2</v>
      </c>
    </row>
    <row r="22" spans="1:12" x14ac:dyDescent="0.15">
      <c r="A22" s="51"/>
      <c r="B22" s="25" t="s">
        <v>77</v>
      </c>
      <c r="C22" s="26">
        <f t="shared" ref="C22:I22" si="4">SUM(C17:C21)</f>
        <v>57029</v>
      </c>
      <c r="D22" s="26">
        <f t="shared" si="4"/>
        <v>250796</v>
      </c>
      <c r="E22" s="26">
        <f t="shared" si="4"/>
        <v>59071</v>
      </c>
      <c r="F22" s="26">
        <f t="shared" si="4"/>
        <v>36419</v>
      </c>
      <c r="G22" s="26">
        <f t="shared" si="4"/>
        <v>45954</v>
      </c>
      <c r="H22" s="26">
        <f t="shared" si="4"/>
        <v>46499</v>
      </c>
      <c r="I22" s="26">
        <f t="shared" si="4"/>
        <v>59675</v>
      </c>
      <c r="J22" s="28">
        <f t="shared" si="3"/>
        <v>555443</v>
      </c>
      <c r="K22" s="28">
        <f t="shared" si="0"/>
        <v>79349</v>
      </c>
      <c r="L22" s="29">
        <f>J22/J13</f>
        <v>6.0558877883111005E-2</v>
      </c>
    </row>
    <row r="23" spans="1:12" x14ac:dyDescent="0.15">
      <c r="A23" s="51" t="s">
        <v>78</v>
      </c>
      <c r="B23" s="12" t="s">
        <v>79</v>
      </c>
      <c r="C23" s="15">
        <v>0</v>
      </c>
      <c r="D23" s="15">
        <v>0</v>
      </c>
      <c r="E23" s="15">
        <v>147758</v>
      </c>
      <c r="F23" s="15">
        <v>13300</v>
      </c>
      <c r="G23" s="15">
        <v>0</v>
      </c>
      <c r="H23" s="15">
        <v>0</v>
      </c>
      <c r="I23" s="15">
        <v>23440</v>
      </c>
      <c r="J23" s="17">
        <f t="shared" si="3"/>
        <v>184498</v>
      </c>
      <c r="K23" s="17">
        <f t="shared" si="0"/>
        <v>26356.857142857141</v>
      </c>
      <c r="L23" s="14">
        <f>J23/J13</f>
        <v>2.0115460725363746E-2</v>
      </c>
    </row>
    <row r="24" spans="1:12" x14ac:dyDescent="0.15">
      <c r="A24" s="51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5">
        <v>0</v>
      </c>
      <c r="J24" s="17">
        <f t="shared" si="3"/>
        <v>0</v>
      </c>
      <c r="K24" s="17">
        <f t="shared" si="0"/>
        <v>0</v>
      </c>
      <c r="L24" s="14">
        <f>J24/J13</f>
        <v>0</v>
      </c>
    </row>
    <row r="25" spans="1:12" x14ac:dyDescent="0.15">
      <c r="A25" s="51"/>
      <c r="B25" s="12" t="s">
        <v>81</v>
      </c>
      <c r="C25" s="15">
        <f t="shared" ref="C25:I25" si="5">30000*C9/70000*C11</f>
        <v>23002.285714285714</v>
      </c>
      <c r="D25" s="15">
        <f t="shared" si="5"/>
        <v>20955.428571428569</v>
      </c>
      <c r="E25" s="15">
        <f t="shared" si="5"/>
        <v>29269.714285714283</v>
      </c>
      <c r="F25" s="15">
        <f t="shared" si="5"/>
        <v>35262.857142857145</v>
      </c>
      <c r="G25" s="15">
        <f t="shared" si="5"/>
        <v>20370</v>
      </c>
      <c r="H25" s="15">
        <f t="shared" si="5"/>
        <v>21720</v>
      </c>
      <c r="I25" s="15">
        <f t="shared" si="5"/>
        <v>11511.428571428571</v>
      </c>
      <c r="J25" s="17">
        <f t="shared" si="3"/>
        <v>162091.71428571429</v>
      </c>
      <c r="K25" s="17">
        <f t="shared" si="0"/>
        <v>23155.959183673469</v>
      </c>
      <c r="L25" s="14">
        <f>J25/J13</f>
        <v>1.7672546654279003E-2</v>
      </c>
    </row>
    <row r="26" spans="1:12" x14ac:dyDescent="0.15">
      <c r="A26" s="51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7">
        <f t="shared" si="3"/>
        <v>0</v>
      </c>
      <c r="K26" s="17">
        <f t="shared" si="0"/>
        <v>0</v>
      </c>
      <c r="L26" s="14">
        <f>J26/J13</f>
        <v>0</v>
      </c>
    </row>
    <row r="27" spans="1:12" x14ac:dyDescent="0.15">
      <c r="A27" s="51"/>
      <c r="B27" s="25" t="s">
        <v>82</v>
      </c>
      <c r="C27" s="26">
        <f t="shared" ref="C27:I27" si="6">SUM(C23:C26)</f>
        <v>23002.285714285714</v>
      </c>
      <c r="D27" s="26">
        <f t="shared" si="6"/>
        <v>20955.428571428569</v>
      </c>
      <c r="E27" s="26">
        <f t="shared" si="6"/>
        <v>177027.71428571429</v>
      </c>
      <c r="F27" s="26">
        <f t="shared" si="6"/>
        <v>48562.857142857145</v>
      </c>
      <c r="G27" s="26">
        <f t="shared" si="6"/>
        <v>20370</v>
      </c>
      <c r="H27" s="26">
        <f t="shared" si="6"/>
        <v>21720</v>
      </c>
      <c r="I27" s="26">
        <f t="shared" si="6"/>
        <v>34951.428571428572</v>
      </c>
      <c r="J27" s="28">
        <f t="shared" si="3"/>
        <v>346589.71428571432</v>
      </c>
      <c r="K27" s="28">
        <f t="shared" si="0"/>
        <v>49512.816326530614</v>
      </c>
      <c r="L27" s="29">
        <f>J27/J13</f>
        <v>3.7788007379642753E-2</v>
      </c>
    </row>
    <row r="28" spans="1:12" x14ac:dyDescent="0.15">
      <c r="A28" s="51" t="s">
        <v>83</v>
      </c>
      <c r="B28" s="9" t="s">
        <v>84</v>
      </c>
      <c r="C28" s="30">
        <v>1652</v>
      </c>
      <c r="D28" s="30">
        <v>1513</v>
      </c>
      <c r="E28" s="30">
        <v>2199</v>
      </c>
      <c r="F28" s="30">
        <v>2050</v>
      </c>
      <c r="G28" s="30">
        <v>1263</v>
      </c>
      <c r="H28" s="30">
        <v>1352</v>
      </c>
      <c r="I28" s="30">
        <v>662</v>
      </c>
      <c r="J28" s="32">
        <f t="shared" si="3"/>
        <v>10691</v>
      </c>
      <c r="K28" s="32">
        <f t="shared" si="0"/>
        <v>1527.2857142857142</v>
      </c>
      <c r="L28" s="11">
        <f>J28/J13</f>
        <v>1.1656190886343688E-3</v>
      </c>
    </row>
    <row r="29" spans="1:12" x14ac:dyDescent="0.15">
      <c r="A29" s="51"/>
      <c r="B29" s="33" t="s">
        <v>85</v>
      </c>
      <c r="C29" s="34">
        <f t="shared" ref="C29:J29" si="7">SUM(C11/C28)</f>
        <v>4.0611380145278453</v>
      </c>
      <c r="D29" s="34">
        <f t="shared" si="7"/>
        <v>4.0396563119629878</v>
      </c>
      <c r="E29" s="34">
        <f t="shared" si="7"/>
        <v>3.8822191905411549</v>
      </c>
      <c r="F29" s="34">
        <f t="shared" si="7"/>
        <v>4.0136585365853659</v>
      </c>
      <c r="G29" s="34">
        <f t="shared" si="7"/>
        <v>3.7632620744259699</v>
      </c>
      <c r="H29" s="34">
        <f t="shared" si="7"/>
        <v>3.7485207100591715</v>
      </c>
      <c r="I29" s="34">
        <f t="shared" si="7"/>
        <v>4.0574018126888216</v>
      </c>
      <c r="J29" s="36">
        <f t="shared" si="7"/>
        <v>3.9372369282574127</v>
      </c>
      <c r="K29" s="36">
        <f t="shared" si="0"/>
        <v>3.9379795215416169</v>
      </c>
      <c r="L29" s="33">
        <f>J29/J13</f>
        <v>4.2926934057178818E-7</v>
      </c>
    </row>
    <row r="30" spans="1:12" x14ac:dyDescent="0.15">
      <c r="A30" s="51"/>
      <c r="B30" s="12" t="s">
        <v>86</v>
      </c>
      <c r="C30" s="15">
        <v>197860</v>
      </c>
      <c r="D30" s="15">
        <v>181212</v>
      </c>
      <c r="E30" s="15">
        <v>263374</v>
      </c>
      <c r="F30" s="15">
        <v>245529</v>
      </c>
      <c r="G30" s="15">
        <v>151270</v>
      </c>
      <c r="H30" s="15">
        <v>161929</v>
      </c>
      <c r="I30" s="15">
        <v>79288</v>
      </c>
      <c r="J30" s="17">
        <f t="shared" ref="J30:J42" si="8">SUM(C30:I30)</f>
        <v>1280462</v>
      </c>
      <c r="K30" s="17">
        <f t="shared" si="0"/>
        <v>182923.14285714287</v>
      </c>
      <c r="L30" s="14">
        <f>J30/J13</f>
        <v>0.13960629964184279</v>
      </c>
    </row>
    <row r="31" spans="1:12" x14ac:dyDescent="0.15">
      <c r="A31" s="51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5">
        <v>0</v>
      </c>
      <c r="J31" s="17">
        <f t="shared" si="8"/>
        <v>0</v>
      </c>
      <c r="K31" s="17">
        <f t="shared" si="0"/>
        <v>0</v>
      </c>
      <c r="L31" s="14">
        <f>J31/J13</f>
        <v>0</v>
      </c>
    </row>
    <row r="32" spans="1:12" x14ac:dyDescent="0.15">
      <c r="A32" s="51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7">
        <f t="shared" si="8"/>
        <v>0</v>
      </c>
      <c r="K32" s="17">
        <f t="shared" si="0"/>
        <v>0</v>
      </c>
      <c r="L32" s="14">
        <f>J32/J13</f>
        <v>0</v>
      </c>
    </row>
    <row r="33" spans="1:12" x14ac:dyDescent="0.15">
      <c r="A33" s="51"/>
      <c r="B33" s="25" t="s">
        <v>89</v>
      </c>
      <c r="C33" s="26">
        <f t="shared" ref="C33:I33" si="9">SUM(C30:C32)</f>
        <v>197860</v>
      </c>
      <c r="D33" s="26">
        <f t="shared" si="9"/>
        <v>181212</v>
      </c>
      <c r="E33" s="26">
        <f t="shared" si="9"/>
        <v>263374</v>
      </c>
      <c r="F33" s="26">
        <f t="shared" si="9"/>
        <v>245529</v>
      </c>
      <c r="G33" s="26">
        <f t="shared" si="9"/>
        <v>151270</v>
      </c>
      <c r="H33" s="26">
        <f t="shared" si="9"/>
        <v>161929</v>
      </c>
      <c r="I33" s="26">
        <f t="shared" si="9"/>
        <v>79288</v>
      </c>
      <c r="J33" s="28">
        <f t="shared" si="8"/>
        <v>1280462</v>
      </c>
      <c r="K33" s="28">
        <f t="shared" si="0"/>
        <v>182923.14285714287</v>
      </c>
      <c r="L33" s="29">
        <f>J33/J13</f>
        <v>0.13960629964184279</v>
      </c>
    </row>
    <row r="34" spans="1:12" x14ac:dyDescent="0.15">
      <c r="A34" s="51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2008</v>
      </c>
      <c r="G34" s="15">
        <v>2012</v>
      </c>
      <c r="H34" s="15">
        <v>2008</v>
      </c>
      <c r="I34" s="15">
        <v>2625</v>
      </c>
      <c r="J34" s="17">
        <f t="shared" si="8"/>
        <v>14677</v>
      </c>
      <c r="K34" s="17">
        <f t="shared" si="0"/>
        <v>2096.7142857142858</v>
      </c>
      <c r="L34" s="14">
        <f>J34/J13</f>
        <v>1.6002049727702396E-3</v>
      </c>
    </row>
    <row r="35" spans="1:12" x14ac:dyDescent="0.15">
      <c r="A35" s="51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5">
        <v>0</v>
      </c>
      <c r="J35" s="17">
        <f t="shared" si="8"/>
        <v>0</v>
      </c>
      <c r="K35" s="17">
        <f t="shared" si="0"/>
        <v>0</v>
      </c>
      <c r="L35" s="14">
        <f>J35/J13</f>
        <v>0</v>
      </c>
    </row>
    <row r="36" spans="1:12" x14ac:dyDescent="0.15">
      <c r="A36" s="51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5">
        <v>0</v>
      </c>
      <c r="J36" s="17">
        <f t="shared" si="8"/>
        <v>0</v>
      </c>
      <c r="K36" s="17">
        <f t="shared" si="0"/>
        <v>0</v>
      </c>
      <c r="L36" s="14">
        <f>J36/J13</f>
        <v>0</v>
      </c>
    </row>
    <row r="37" spans="1:12" x14ac:dyDescent="0.15">
      <c r="A37" s="51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5">
        <v>0</v>
      </c>
      <c r="J37" s="17">
        <f t="shared" si="8"/>
        <v>0</v>
      </c>
      <c r="K37" s="17">
        <f t="shared" si="0"/>
        <v>0</v>
      </c>
      <c r="L37" s="14">
        <f>J37/J13</f>
        <v>0</v>
      </c>
    </row>
    <row r="38" spans="1:12" x14ac:dyDescent="0.15">
      <c r="A38" s="51"/>
      <c r="B38" s="12" t="s">
        <v>92</v>
      </c>
      <c r="C38" s="15">
        <v>5366</v>
      </c>
      <c r="D38" s="15">
        <v>10370</v>
      </c>
      <c r="E38" s="15">
        <v>5366</v>
      </c>
      <c r="F38" s="15">
        <v>5366</v>
      </c>
      <c r="G38" s="15">
        <v>4621</v>
      </c>
      <c r="H38" s="15">
        <v>4621</v>
      </c>
      <c r="I38" s="15">
        <v>4621</v>
      </c>
      <c r="J38" s="17">
        <f t="shared" si="8"/>
        <v>40331</v>
      </c>
      <c r="K38" s="17">
        <f t="shared" si="0"/>
        <v>5761.5714285714284</v>
      </c>
      <c r="L38" s="14">
        <f>J38/J13</f>
        <v>4.3972110619879086E-3</v>
      </c>
    </row>
    <row r="39" spans="1:12" x14ac:dyDescent="0.15">
      <c r="A39" s="51"/>
      <c r="B39" s="25" t="s">
        <v>93</v>
      </c>
      <c r="C39" s="26">
        <f t="shared" ref="C39:I39" si="10">SUM(C34:C38)</f>
        <v>7374</v>
      </c>
      <c r="D39" s="26">
        <f t="shared" si="10"/>
        <v>12378</v>
      </c>
      <c r="E39" s="26">
        <f t="shared" si="10"/>
        <v>7374</v>
      </c>
      <c r="F39" s="26">
        <f t="shared" si="10"/>
        <v>7374</v>
      </c>
      <c r="G39" s="26">
        <f t="shared" si="10"/>
        <v>6633</v>
      </c>
      <c r="H39" s="26">
        <f t="shared" si="10"/>
        <v>6629</v>
      </c>
      <c r="I39" s="26">
        <f t="shared" si="10"/>
        <v>7246</v>
      </c>
      <c r="J39" s="28">
        <f t="shared" si="8"/>
        <v>55008</v>
      </c>
      <c r="K39" s="28">
        <f t="shared" si="0"/>
        <v>7858.2857142857147</v>
      </c>
      <c r="L39" s="29">
        <f>J39/J13</f>
        <v>5.9974160347581488E-3</v>
      </c>
    </row>
    <row r="40" spans="1:12" x14ac:dyDescent="0.15">
      <c r="A40" s="51" t="s">
        <v>94</v>
      </c>
      <c r="B40" s="12" t="s">
        <v>95</v>
      </c>
      <c r="C40" s="15">
        <v>120200</v>
      </c>
      <c r="D40" s="15">
        <v>113130</v>
      </c>
      <c r="E40" s="15">
        <v>268090</v>
      </c>
      <c r="F40" s="15">
        <v>170570</v>
      </c>
      <c r="G40" s="15">
        <v>45400</v>
      </c>
      <c r="H40" s="15">
        <v>67470</v>
      </c>
      <c r="I40" s="15">
        <v>24710</v>
      </c>
      <c r="J40" s="17">
        <f t="shared" si="8"/>
        <v>809570</v>
      </c>
      <c r="K40" s="17">
        <f t="shared" si="0"/>
        <v>115652.85714285714</v>
      </c>
      <c r="L40" s="14">
        <f>J40/J13</f>
        <v>8.8265854044123654E-2</v>
      </c>
    </row>
    <row r="41" spans="1:12" x14ac:dyDescent="0.15">
      <c r="A41" s="51"/>
      <c r="B41" s="12" t="s">
        <v>96</v>
      </c>
      <c r="C41" s="15">
        <v>-120200</v>
      </c>
      <c r="D41" s="15">
        <v>-109250</v>
      </c>
      <c r="E41" s="15">
        <v>-231944</v>
      </c>
      <c r="F41" s="15">
        <v>0</v>
      </c>
      <c r="G41" s="15">
        <v>0</v>
      </c>
      <c r="H41" s="15">
        <v>0</v>
      </c>
      <c r="I41" s="15">
        <v>0</v>
      </c>
      <c r="J41" s="17">
        <f t="shared" si="8"/>
        <v>-461394</v>
      </c>
      <c r="K41" s="17">
        <f t="shared" si="0"/>
        <v>-65913.428571428565</v>
      </c>
      <c r="L41" s="14">
        <f>J41/J13</f>
        <v>-5.0304896995731554E-2</v>
      </c>
    </row>
    <row r="42" spans="1:12" x14ac:dyDescent="0.15">
      <c r="A42" s="51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5">
        <v>0</v>
      </c>
      <c r="J42" s="17">
        <f t="shared" si="8"/>
        <v>0</v>
      </c>
      <c r="K42" s="17">
        <f t="shared" si="0"/>
        <v>0</v>
      </c>
      <c r="L42" s="14">
        <f>J42/J13</f>
        <v>0</v>
      </c>
    </row>
    <row r="43" spans="1:12" x14ac:dyDescent="0.15">
      <c r="A43" s="51"/>
      <c r="B43" s="12" t="s">
        <v>98</v>
      </c>
      <c r="C43" s="15">
        <v>-38464</v>
      </c>
      <c r="D43" s="15">
        <v>-36201.599999999999</v>
      </c>
      <c r="E43" s="15">
        <v>-85788.800000000003</v>
      </c>
      <c r="F43" s="15">
        <v>-54582.400000000001</v>
      </c>
      <c r="G43" s="15">
        <v>-14528</v>
      </c>
      <c r="H43" s="15">
        <v>-21590.400000000001</v>
      </c>
      <c r="I43" s="15">
        <v>-7907.2</v>
      </c>
      <c r="J43" s="17">
        <f>SUM(C43:I43)</f>
        <v>-259062.40000000002</v>
      </c>
      <c r="K43" s="17">
        <f>AVERAGE(B43:I43)</f>
        <v>-37008.914285714287</v>
      </c>
      <c r="L43" s="14">
        <f>J43/J13</f>
        <v>-2.8245073294119575E-2</v>
      </c>
    </row>
    <row r="44" spans="1:12" x14ac:dyDescent="0.15">
      <c r="A44" s="51"/>
      <c r="B44" s="25" t="s">
        <v>99</v>
      </c>
      <c r="C44" s="26">
        <f t="shared" ref="C44:J44" si="11">SUM(C40:C43)</f>
        <v>-38464</v>
      </c>
      <c r="D44" s="26">
        <f t="shared" si="11"/>
        <v>-32321.599999999999</v>
      </c>
      <c r="E44" s="26">
        <f t="shared" si="11"/>
        <v>-49642.8</v>
      </c>
      <c r="F44" s="26">
        <f t="shared" si="11"/>
        <v>115987.6</v>
      </c>
      <c r="G44" s="26">
        <f t="shared" si="11"/>
        <v>30872</v>
      </c>
      <c r="H44" s="26">
        <f t="shared" si="11"/>
        <v>45879.6</v>
      </c>
      <c r="I44" s="26">
        <f t="shared" si="11"/>
        <v>16802.8</v>
      </c>
      <c r="J44" s="28">
        <f t="shared" si="11"/>
        <v>89113.599999999977</v>
      </c>
      <c r="K44" s="28">
        <f>AVERAGE(B44:I44)</f>
        <v>12730.514285714284</v>
      </c>
      <c r="L44" s="29">
        <f>J44/J13</f>
        <v>9.7158837542725349E-3</v>
      </c>
    </row>
    <row r="45" spans="1:12" x14ac:dyDescent="0.15">
      <c r="A45" s="51" t="s">
        <v>100</v>
      </c>
      <c r="B45" s="12" t="s">
        <v>101</v>
      </c>
      <c r="C45" s="15">
        <v>291312</v>
      </c>
      <c r="D45" s="15">
        <v>263568</v>
      </c>
      <c r="E45" s="15">
        <v>305184</v>
      </c>
      <c r="F45" s="15">
        <v>319056</v>
      </c>
      <c r="G45" s="15">
        <v>443904</v>
      </c>
      <c r="H45" s="15">
        <v>305184</v>
      </c>
      <c r="I45" s="15">
        <v>249696</v>
      </c>
      <c r="J45" s="17">
        <f t="shared" ref="J45:J59" si="12">SUM(C45:I45)</f>
        <v>2177904</v>
      </c>
      <c r="K45" s="17">
        <f t="shared" ref="K45:K60" si="13">AVERAGE(C45:I45)</f>
        <v>311129.14285714284</v>
      </c>
      <c r="L45" s="14">
        <f>J45/J13</f>
        <v>0.23745266818942537</v>
      </c>
    </row>
    <row r="46" spans="1:12" x14ac:dyDescent="0.15">
      <c r="A46" s="51"/>
      <c r="B46" s="12" t="s">
        <v>102</v>
      </c>
      <c r="C46" s="15">
        <v>16365</v>
      </c>
      <c r="D46" s="15">
        <v>14807</v>
      </c>
      <c r="E46" s="15">
        <v>17144</v>
      </c>
      <c r="F46" s="15">
        <v>17924</v>
      </c>
      <c r="G46" s="15">
        <v>24936</v>
      </c>
      <c r="H46" s="15">
        <v>17145</v>
      </c>
      <c r="I46" s="15">
        <v>14027</v>
      </c>
      <c r="J46" s="17">
        <f t="shared" si="12"/>
        <v>122348</v>
      </c>
      <c r="K46" s="17">
        <f t="shared" si="13"/>
        <v>17478.285714285714</v>
      </c>
      <c r="L46" s="14">
        <f>J46/J13</f>
        <v>1.3339366219833296E-2</v>
      </c>
    </row>
    <row r="47" spans="1:12" x14ac:dyDescent="0.15">
      <c r="A47" s="51"/>
      <c r="B47" s="12" t="s">
        <v>103</v>
      </c>
      <c r="C47" s="15">
        <v>53388</v>
      </c>
      <c r="D47" s="15">
        <v>48303</v>
      </c>
      <c r="E47" s="15">
        <v>55929</v>
      </c>
      <c r="F47" s="15">
        <v>58472</v>
      </c>
      <c r="G47" s="15">
        <v>81352</v>
      </c>
      <c r="H47" s="15">
        <v>55931</v>
      </c>
      <c r="I47" s="15">
        <v>45761</v>
      </c>
      <c r="J47" s="17">
        <f t="shared" si="12"/>
        <v>399136</v>
      </c>
      <c r="K47" s="17">
        <f t="shared" si="13"/>
        <v>57019.428571428572</v>
      </c>
      <c r="L47" s="14">
        <f>J47/J13</f>
        <v>4.351702745871925E-2</v>
      </c>
    </row>
    <row r="48" spans="1:12" x14ac:dyDescent="0.15">
      <c r="A48" s="51"/>
      <c r="B48" s="12" t="s">
        <v>104</v>
      </c>
      <c r="C48" s="15">
        <v>3021</v>
      </c>
      <c r="D48" s="15">
        <v>2733</v>
      </c>
      <c r="E48" s="15">
        <v>3164</v>
      </c>
      <c r="F48" s="15">
        <v>3308</v>
      </c>
      <c r="G48" s="15">
        <v>4597</v>
      </c>
      <c r="H48" s="15">
        <v>3166</v>
      </c>
      <c r="I48" s="15">
        <v>2586</v>
      </c>
      <c r="J48" s="17">
        <f t="shared" si="12"/>
        <v>22575</v>
      </c>
      <c r="K48" s="17">
        <f t="shared" si="13"/>
        <v>3225</v>
      </c>
      <c r="L48" s="14">
        <f>J48/J13</f>
        <v>2.4613086639155251E-3</v>
      </c>
    </row>
    <row r="49" spans="1:12" x14ac:dyDescent="0.15">
      <c r="A49" s="51"/>
      <c r="B49" s="25" t="s">
        <v>105</v>
      </c>
      <c r="C49" s="26">
        <f t="shared" ref="C49:I49" si="14">SUM(C45:C48)</f>
        <v>364086</v>
      </c>
      <c r="D49" s="26">
        <f t="shared" si="14"/>
        <v>329411</v>
      </c>
      <c r="E49" s="26">
        <f t="shared" si="14"/>
        <v>381421</v>
      </c>
      <c r="F49" s="26">
        <f t="shared" si="14"/>
        <v>398760</v>
      </c>
      <c r="G49" s="26">
        <f t="shared" si="14"/>
        <v>554789</v>
      </c>
      <c r="H49" s="26">
        <f t="shared" si="14"/>
        <v>381426</v>
      </c>
      <c r="I49" s="26">
        <f t="shared" si="14"/>
        <v>312070</v>
      </c>
      <c r="J49" s="28">
        <f t="shared" si="12"/>
        <v>2721963</v>
      </c>
      <c r="K49" s="28">
        <f t="shared" si="13"/>
        <v>388851.85714285716</v>
      </c>
      <c r="L49" s="29">
        <f>J49/J13</f>
        <v>0.29677037053189342</v>
      </c>
    </row>
    <row r="50" spans="1:12" x14ac:dyDescent="0.15">
      <c r="A50" s="51" t="s">
        <v>106</v>
      </c>
      <c r="B50" s="12" t="s">
        <v>107</v>
      </c>
      <c r="C50" s="15">
        <v>21428.571428571428</v>
      </c>
      <c r="D50" s="15">
        <v>21428.571428571428</v>
      </c>
      <c r="E50" s="15">
        <v>21428.571428571428</v>
      </c>
      <c r="F50" s="15">
        <v>21428.571428571428</v>
      </c>
      <c r="G50" s="15">
        <v>21428.571428571428</v>
      </c>
      <c r="H50" s="15">
        <v>21428.571428571428</v>
      </c>
      <c r="I50" s="15">
        <v>21428.571428571428</v>
      </c>
      <c r="J50" s="17">
        <f t="shared" si="12"/>
        <v>149999.99999999997</v>
      </c>
      <c r="K50" s="17">
        <f t="shared" si="13"/>
        <v>21428.571428571424</v>
      </c>
      <c r="L50" s="14">
        <f>J50/J13</f>
        <v>1.6354210391465278E-2</v>
      </c>
    </row>
    <row r="51" spans="1:12" x14ac:dyDescent="0.15">
      <c r="A51" s="51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5">
        <v>0</v>
      </c>
      <c r="J51" s="17">
        <f t="shared" si="12"/>
        <v>0</v>
      </c>
      <c r="K51" s="17">
        <f t="shared" si="13"/>
        <v>0</v>
      </c>
      <c r="L51" s="14">
        <f>J51/J13</f>
        <v>0</v>
      </c>
    </row>
    <row r="52" spans="1:12" x14ac:dyDescent="0.15">
      <c r="A52" s="51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5">
        <v>0</v>
      </c>
      <c r="J52" s="17">
        <f t="shared" si="12"/>
        <v>0</v>
      </c>
      <c r="K52" s="17">
        <f t="shared" si="13"/>
        <v>0</v>
      </c>
      <c r="L52" s="14">
        <f>J52/J13</f>
        <v>0</v>
      </c>
    </row>
    <row r="53" spans="1:12" x14ac:dyDescent="0.15">
      <c r="A53" s="51"/>
      <c r="B53" s="12" t="s">
        <v>110</v>
      </c>
      <c r="C53" s="15">
        <v>99476.857142857145</v>
      </c>
      <c r="D53" s="15">
        <v>99476.857142857145</v>
      </c>
      <c r="E53" s="15">
        <v>99476.857142857145</v>
      </c>
      <c r="F53" s="15">
        <v>99476.857142857145</v>
      </c>
      <c r="G53" s="15">
        <v>99476.857142857145</v>
      </c>
      <c r="H53" s="15">
        <v>99476.857142857145</v>
      </c>
      <c r="I53" s="15">
        <v>99476.857142857145</v>
      </c>
      <c r="J53" s="17">
        <f t="shared" si="12"/>
        <v>696338</v>
      </c>
      <c r="K53" s="17">
        <f t="shared" si="13"/>
        <v>99476.857142857145</v>
      </c>
      <c r="L53" s="14">
        <f>J53/J13</f>
        <v>7.5920387703814346E-2</v>
      </c>
    </row>
    <row r="54" spans="1:12" x14ac:dyDescent="0.15">
      <c r="A54" s="51"/>
      <c r="B54" s="12" t="s">
        <v>111</v>
      </c>
      <c r="C54" s="15">
        <v>67419.142857142855</v>
      </c>
      <c r="D54" s="15">
        <v>67419.142857142855</v>
      </c>
      <c r="E54" s="15">
        <v>67419.142857142855</v>
      </c>
      <c r="F54" s="15">
        <v>67419.142857142855</v>
      </c>
      <c r="G54" s="15">
        <v>67419.142857142855</v>
      </c>
      <c r="H54" s="15">
        <v>67419.142857142855</v>
      </c>
      <c r="I54" s="15">
        <v>67419.142857142855</v>
      </c>
      <c r="J54" s="17">
        <f t="shared" si="12"/>
        <v>471933.99999999994</v>
      </c>
      <c r="K54" s="17">
        <f t="shared" si="13"/>
        <v>67419.142857142855</v>
      </c>
      <c r="L54" s="14">
        <f>J54/J13</f>
        <v>5.1454052845905172E-2</v>
      </c>
    </row>
    <row r="55" spans="1:12" x14ac:dyDescent="0.15">
      <c r="A55" s="51"/>
      <c r="B55" s="25" t="s">
        <v>112</v>
      </c>
      <c r="C55" s="26">
        <f t="shared" ref="C55:I55" si="15">SUM(C50:C54)</f>
        <v>188324.57142857142</v>
      </c>
      <c r="D55" s="26">
        <f t="shared" si="15"/>
        <v>188324.57142857142</v>
      </c>
      <c r="E55" s="26">
        <f t="shared" si="15"/>
        <v>188324.57142857142</v>
      </c>
      <c r="F55" s="26">
        <f t="shared" si="15"/>
        <v>188324.57142857142</v>
      </c>
      <c r="G55" s="26">
        <f t="shared" si="15"/>
        <v>188324.57142857142</v>
      </c>
      <c r="H55" s="26">
        <f t="shared" si="15"/>
        <v>188324.57142857142</v>
      </c>
      <c r="I55" s="26">
        <f t="shared" si="15"/>
        <v>188324.57142857142</v>
      </c>
      <c r="J55" s="28">
        <f t="shared" si="12"/>
        <v>1318271.9999999998</v>
      </c>
      <c r="K55" s="28">
        <f t="shared" si="13"/>
        <v>188324.57142857139</v>
      </c>
      <c r="L55" s="29">
        <f>J55/J13</f>
        <v>0.14372865094118478</v>
      </c>
    </row>
    <row r="56" spans="1:12" x14ac:dyDescent="0.15">
      <c r="A56" s="48" t="s">
        <v>113</v>
      </c>
      <c r="B56" s="48"/>
      <c r="C56" s="15">
        <f t="shared" ref="C56:I56" si="16">SUM(C49+C22+C27+C33+C39+C44+C55)</f>
        <v>799211.85714285704</v>
      </c>
      <c r="D56" s="15">
        <f t="shared" si="16"/>
        <v>950755.39999999991</v>
      </c>
      <c r="E56" s="15">
        <f t="shared" si="16"/>
        <v>1026949.4857142856</v>
      </c>
      <c r="F56" s="15">
        <f t="shared" si="16"/>
        <v>1040957.0285714285</v>
      </c>
      <c r="G56" s="15">
        <f t="shared" si="16"/>
        <v>998212.57142857136</v>
      </c>
      <c r="H56" s="15">
        <f t="shared" si="16"/>
        <v>852407.17142857146</v>
      </c>
      <c r="I56" s="15">
        <f t="shared" si="16"/>
        <v>698357.8</v>
      </c>
      <c r="J56" s="17">
        <f t="shared" si="12"/>
        <v>6366851.3142857142</v>
      </c>
      <c r="K56" s="17">
        <f t="shared" si="13"/>
        <v>909550.18775510206</v>
      </c>
      <c r="L56" s="14">
        <f>J56/J13</f>
        <v>0.69416550616670547</v>
      </c>
    </row>
    <row r="57" spans="1:12" x14ac:dyDescent="0.15">
      <c r="A57" s="48" t="s">
        <v>114</v>
      </c>
      <c r="B57" s="48"/>
      <c r="C57" s="15">
        <f t="shared" ref="C57:I57" si="17">SUM(C13+C14-C56)</f>
        <v>819368.14285714296</v>
      </c>
      <c r="D57" s="15">
        <f t="shared" si="17"/>
        <v>514415.60000000009</v>
      </c>
      <c r="E57" s="15">
        <f t="shared" si="17"/>
        <v>794811.51428571437</v>
      </c>
      <c r="F57" s="15">
        <f t="shared" si="17"/>
        <v>239232.9714285715</v>
      </c>
      <c r="G57" s="15">
        <f t="shared" si="17"/>
        <v>137909.42857142864</v>
      </c>
      <c r="H57" s="15">
        <f t="shared" si="17"/>
        <v>408301.82857142854</v>
      </c>
      <c r="I57" s="15">
        <f t="shared" si="17"/>
        <v>-79870.800000000047</v>
      </c>
      <c r="J57" s="17">
        <f>SUM(C57:I57)</f>
        <v>2834168.6857142858</v>
      </c>
      <c r="K57" s="17">
        <f t="shared" si="13"/>
        <v>404881.24081632652</v>
      </c>
      <c r="L57" s="14">
        <f>J57/J13</f>
        <v>0.30900393980716051</v>
      </c>
    </row>
    <row r="58" spans="1:12" x14ac:dyDescent="0.15">
      <c r="A58" s="48" t="s">
        <v>115</v>
      </c>
      <c r="B58" s="48"/>
      <c r="C58" s="15">
        <v>126042.4054054054</v>
      </c>
      <c r="D58" s="15">
        <v>126042.4054054054</v>
      </c>
      <c r="E58" s="15">
        <v>126042.4054054054</v>
      </c>
      <c r="F58" s="15">
        <v>126042.4054054054</v>
      </c>
      <c r="G58" s="15">
        <v>126042.4054054054</v>
      </c>
      <c r="H58" s="15">
        <v>126042.4054054054</v>
      </c>
      <c r="I58" s="15">
        <v>126042.4054054054</v>
      </c>
      <c r="J58" s="17">
        <f t="shared" si="12"/>
        <v>882296.83783783787</v>
      </c>
      <c r="K58" s="17">
        <f t="shared" si="13"/>
        <v>126042.40540540541</v>
      </c>
      <c r="L58" s="14">
        <f>J58/J13</f>
        <v>9.6195120758163513E-2</v>
      </c>
    </row>
    <row r="59" spans="1:12" x14ac:dyDescent="0.15">
      <c r="A59" s="48" t="s">
        <v>116</v>
      </c>
      <c r="B59" s="48"/>
      <c r="C59" s="15">
        <v>118890.78378378379</v>
      </c>
      <c r="D59" s="15">
        <v>118890.78378378379</v>
      </c>
      <c r="E59" s="15">
        <v>118890.78378378379</v>
      </c>
      <c r="F59" s="15">
        <v>118890.78378378379</v>
      </c>
      <c r="G59" s="15">
        <v>118890.78378378379</v>
      </c>
      <c r="H59" s="15">
        <v>118890.78378378379</v>
      </c>
      <c r="I59" s="15">
        <v>118890.78378378379</v>
      </c>
      <c r="J59" s="17">
        <f t="shared" si="12"/>
        <v>832235.48648648651</v>
      </c>
      <c r="K59" s="17">
        <f t="shared" si="13"/>
        <v>118890.78378378379</v>
      </c>
      <c r="L59" s="14">
        <f>J59/J13</f>
        <v>9.0737028274956416E-2</v>
      </c>
    </row>
    <row r="60" spans="1:12" x14ac:dyDescent="0.15">
      <c r="A60" s="48" t="s">
        <v>117</v>
      </c>
      <c r="B60" s="48"/>
      <c r="C60" s="15">
        <f t="shared" ref="C60:I60" si="18">SUM(C57-(C58+C59))</f>
        <v>574434.95366795384</v>
      </c>
      <c r="D60" s="15">
        <f t="shared" si="18"/>
        <v>269482.41081081092</v>
      </c>
      <c r="E60" s="15">
        <f t="shared" si="18"/>
        <v>549878.32509652525</v>
      </c>
      <c r="F60" s="15">
        <f t="shared" si="18"/>
        <v>-5700.2177606176701</v>
      </c>
      <c r="G60" s="15">
        <f t="shared" si="18"/>
        <v>-107023.76061776053</v>
      </c>
      <c r="H60" s="15">
        <f t="shared" si="18"/>
        <v>163368.63938223937</v>
      </c>
      <c r="I60" s="15">
        <f t="shared" si="18"/>
        <v>-324803.98918918922</v>
      </c>
      <c r="J60" s="17">
        <f>SUM(C60:I60)</f>
        <v>1119636.3613899623</v>
      </c>
      <c r="K60" s="17">
        <f t="shared" si="13"/>
        <v>159948.05162713747</v>
      </c>
      <c r="L60" s="14">
        <f>J60/J13</f>
        <v>0.12207179077404066</v>
      </c>
    </row>
    <row r="61" spans="1:12" x14ac:dyDescent="0.15">
      <c r="A61" s="12"/>
      <c r="B61" s="37" t="s">
        <v>46</v>
      </c>
      <c r="C61" s="12"/>
      <c r="D61" s="12"/>
      <c r="E61" s="12"/>
      <c r="F61" s="12"/>
      <c r="G61" s="12"/>
      <c r="H61" s="12"/>
      <c r="I61" s="12"/>
    </row>
    <row r="62" spans="1:12" x14ac:dyDescent="0.15">
      <c r="A62" s="13"/>
      <c r="B62" s="38"/>
      <c r="C62" s="12"/>
      <c r="D62" s="12"/>
      <c r="E62" s="12"/>
      <c r="F62" s="12"/>
      <c r="G62" s="12"/>
      <c r="H62" s="12"/>
      <c r="I62" s="12"/>
    </row>
    <row r="63" spans="1:12" x14ac:dyDescent="0.15">
      <c r="A63" s="13"/>
      <c r="B63" s="40" t="s">
        <v>124</v>
      </c>
      <c r="C63" s="12"/>
      <c r="D63" s="12"/>
      <c r="E63" s="12"/>
      <c r="F63" s="12"/>
      <c r="G63" s="12"/>
      <c r="H63" s="12"/>
      <c r="I63" s="12"/>
    </row>
    <row r="64" spans="1:12" x14ac:dyDescent="0.15">
      <c r="A64" s="13"/>
      <c r="B64" s="41" t="s">
        <v>125</v>
      </c>
      <c r="C64" s="12"/>
      <c r="D64" s="12"/>
      <c r="E64" s="12"/>
      <c r="F64" s="12"/>
      <c r="G64" s="12"/>
      <c r="H64" s="12"/>
      <c r="I64" s="12"/>
    </row>
    <row r="65" spans="1:9" x14ac:dyDescent="0.15">
      <c r="A65" s="13"/>
      <c r="B65" s="41" t="s">
        <v>41</v>
      </c>
      <c r="C65" s="12"/>
      <c r="D65" s="12"/>
      <c r="E65" s="12"/>
      <c r="F65" s="12"/>
      <c r="G65" s="12"/>
      <c r="H65" s="12"/>
      <c r="I65" s="12"/>
    </row>
    <row r="66" spans="1:9" x14ac:dyDescent="0.15">
      <c r="A66" s="12"/>
      <c r="B66" s="42" t="s">
        <v>47</v>
      </c>
      <c r="C66" s="12"/>
      <c r="D66" s="12"/>
      <c r="E66" s="12"/>
      <c r="F66" s="12"/>
      <c r="G66" s="12"/>
      <c r="H66" s="12"/>
      <c r="I66" s="12"/>
    </row>
    <row r="67" spans="1:9" x14ac:dyDescent="0.15">
      <c r="A67" s="12"/>
      <c r="B67" s="38"/>
      <c r="C67" s="12"/>
      <c r="D67" s="12"/>
      <c r="E67" s="12"/>
      <c r="F67" s="12"/>
      <c r="G67" s="12"/>
      <c r="H67" s="12"/>
      <c r="I67" s="12"/>
    </row>
    <row r="68" spans="1:9" x14ac:dyDescent="0.15">
      <c r="A68" s="12"/>
      <c r="B68" s="40" t="s">
        <v>124</v>
      </c>
      <c r="C68" s="12"/>
      <c r="D68" s="12"/>
      <c r="E68" s="12"/>
      <c r="F68" s="12"/>
      <c r="G68" s="12"/>
      <c r="H68" s="12"/>
      <c r="I68" s="12"/>
    </row>
    <row r="69" spans="1:9" x14ac:dyDescent="0.15">
      <c r="A69" s="12"/>
      <c r="B69" s="41" t="s">
        <v>125</v>
      </c>
      <c r="C69" s="12"/>
      <c r="D69" s="12"/>
      <c r="E69" s="12"/>
      <c r="F69" s="12"/>
      <c r="G69" s="12"/>
      <c r="H69" s="12"/>
      <c r="I69" s="12"/>
    </row>
    <row r="70" spans="1:9" x14ac:dyDescent="0.15">
      <c r="A70" s="12"/>
      <c r="B70" s="41" t="s">
        <v>41</v>
      </c>
      <c r="C70" s="12"/>
      <c r="D70" s="12"/>
      <c r="E70" s="12"/>
      <c r="F70" s="12"/>
      <c r="G70" s="12"/>
      <c r="H70" s="12"/>
      <c r="I70" s="12"/>
    </row>
    <row r="71" spans="1:9" x14ac:dyDescent="0.15">
      <c r="A71" s="12"/>
      <c r="B71" s="12" t="s">
        <v>129</v>
      </c>
      <c r="C71" s="12"/>
      <c r="D71" s="12"/>
      <c r="E71" s="12"/>
      <c r="F71" s="12"/>
      <c r="G71" s="12"/>
      <c r="H71" s="12"/>
      <c r="I71" s="12"/>
    </row>
    <row r="72" spans="1:9" x14ac:dyDescent="0.15">
      <c r="A72" s="12"/>
      <c r="B72" s="38"/>
      <c r="C72" s="12"/>
      <c r="D72" s="12"/>
      <c r="E72" s="12"/>
      <c r="F72" s="12"/>
      <c r="G72" s="12"/>
      <c r="H72" s="12"/>
      <c r="I72" s="12"/>
    </row>
    <row r="73" spans="1:9" x14ac:dyDescent="0.15">
      <c r="A73" s="12"/>
      <c r="B73" s="40" t="s">
        <v>124</v>
      </c>
      <c r="C73" s="12"/>
      <c r="D73" s="12"/>
      <c r="E73" s="12"/>
      <c r="F73" s="12"/>
      <c r="G73" s="12"/>
      <c r="H73" s="12"/>
      <c r="I73" s="12"/>
    </row>
    <row r="74" spans="1:9" x14ac:dyDescent="0.15">
      <c r="A74" s="12"/>
      <c r="B74" s="41" t="s">
        <v>125</v>
      </c>
      <c r="C74" s="12"/>
      <c r="D74" s="12"/>
      <c r="E74" s="12"/>
      <c r="F74" s="12"/>
      <c r="G74" s="12"/>
      <c r="H74" s="12"/>
      <c r="I74" s="12"/>
    </row>
    <row r="75" spans="1:9" x14ac:dyDescent="0.15">
      <c r="A75" s="12"/>
      <c r="B75" s="41" t="s">
        <v>41</v>
      </c>
      <c r="C75" s="12"/>
      <c r="D75" s="12"/>
      <c r="E75" s="12"/>
      <c r="F75" s="12"/>
      <c r="G75" s="12"/>
      <c r="H75" s="12"/>
      <c r="I75" s="12"/>
    </row>
    <row r="76" spans="1:9" x14ac:dyDescent="0.15">
      <c r="A76" s="12"/>
      <c r="B76" s="12" t="s">
        <v>133</v>
      </c>
      <c r="C76" s="12"/>
      <c r="D76" s="12"/>
      <c r="E76" s="12"/>
      <c r="F76" s="12"/>
      <c r="G76" s="12"/>
      <c r="H76" s="12"/>
      <c r="I76" s="12"/>
    </row>
    <row r="77" spans="1:9" x14ac:dyDescent="0.15">
      <c r="A77" s="12"/>
      <c r="B77" s="38"/>
      <c r="C77" s="12"/>
      <c r="D77" s="12"/>
      <c r="E77" s="12"/>
      <c r="F77" s="12"/>
      <c r="G77" s="12"/>
      <c r="H77" s="12"/>
      <c r="I77" s="12"/>
    </row>
    <row r="78" spans="1:9" x14ac:dyDescent="0.15">
      <c r="A78" s="12"/>
      <c r="B78" s="40" t="s">
        <v>124</v>
      </c>
      <c r="C78" s="12"/>
      <c r="D78" s="12"/>
      <c r="E78" s="12"/>
      <c r="F78" s="12"/>
      <c r="G78" s="12"/>
      <c r="H78" s="12"/>
      <c r="I78" s="12"/>
    </row>
    <row r="79" spans="1:9" x14ac:dyDescent="0.15">
      <c r="A79" s="12"/>
      <c r="B79" s="41" t="s">
        <v>125</v>
      </c>
      <c r="C79" s="12"/>
      <c r="D79" s="12"/>
      <c r="E79" s="12"/>
      <c r="F79" s="12"/>
      <c r="G79" s="12"/>
      <c r="H79" s="12"/>
      <c r="I79" s="12"/>
    </row>
    <row r="80" spans="1:9" x14ac:dyDescent="0.15">
      <c r="A80" s="12"/>
      <c r="B80" s="41" t="s">
        <v>41</v>
      </c>
      <c r="C80" s="12"/>
      <c r="D80" s="12"/>
      <c r="E80" s="12"/>
      <c r="F80" s="12"/>
      <c r="G80" s="12"/>
      <c r="H80" s="12"/>
      <c r="I80" s="12"/>
    </row>
    <row r="81" spans="1:9" x14ac:dyDescent="0.15">
      <c r="A81" s="12"/>
      <c r="B81" s="12" t="s">
        <v>137</v>
      </c>
      <c r="C81" s="12"/>
      <c r="D81" s="12"/>
      <c r="E81" s="12"/>
      <c r="F81" s="12"/>
      <c r="G81" s="12"/>
      <c r="H81" s="12"/>
      <c r="I81" s="12"/>
    </row>
    <row r="82" spans="1:9" x14ac:dyDescent="0.15">
      <c r="A82" s="12"/>
      <c r="B82" s="38"/>
      <c r="C82" s="12"/>
      <c r="D82" s="12"/>
      <c r="E82" s="12"/>
      <c r="F82" s="12"/>
      <c r="G82" s="12"/>
      <c r="H82" s="12"/>
      <c r="I82" s="12"/>
    </row>
    <row r="83" spans="1:9" x14ac:dyDescent="0.15">
      <c r="A83" s="12"/>
      <c r="B83" s="40" t="s">
        <v>124</v>
      </c>
      <c r="C83" s="12"/>
      <c r="D83" s="12"/>
      <c r="E83" s="12"/>
      <c r="F83" s="12"/>
      <c r="G83" s="12"/>
      <c r="H83" s="12"/>
      <c r="I83" s="12"/>
    </row>
    <row r="84" spans="1:9" x14ac:dyDescent="0.15">
      <c r="A84" s="12"/>
      <c r="B84" s="41" t="s">
        <v>125</v>
      </c>
      <c r="C84" s="12"/>
      <c r="D84" s="12"/>
      <c r="E84" s="12"/>
      <c r="F84" s="12"/>
      <c r="G84" s="12"/>
      <c r="H84" s="12"/>
      <c r="I84" s="12"/>
    </row>
    <row r="85" spans="1:9" x14ac:dyDescent="0.15">
      <c r="A85" s="12"/>
      <c r="B85" s="41" t="s">
        <v>41</v>
      </c>
      <c r="C85" s="12"/>
      <c r="D85" s="12"/>
      <c r="E85" s="12"/>
      <c r="F85" s="12"/>
      <c r="G85" s="12"/>
      <c r="H85" s="12"/>
      <c r="I85" s="12"/>
    </row>
    <row r="86" spans="1:9" x14ac:dyDescent="0.15">
      <c r="A86" s="12"/>
      <c r="B86" s="12"/>
      <c r="C86" s="12"/>
      <c r="D86" s="12"/>
      <c r="E86" s="12"/>
      <c r="F86" s="12"/>
      <c r="G86" s="12"/>
      <c r="H86" s="12"/>
      <c r="I86" s="12"/>
    </row>
    <row r="87" spans="1:9" x14ac:dyDescent="0.15">
      <c r="A87" s="12"/>
      <c r="B87" s="38"/>
      <c r="C87" s="12"/>
      <c r="D87" s="12"/>
      <c r="E87" s="12"/>
      <c r="F87" s="12"/>
      <c r="G87" s="12"/>
      <c r="H87" s="12"/>
      <c r="I87" s="12"/>
    </row>
    <row r="88" spans="1:9" x14ac:dyDescent="0.15">
      <c r="A88" s="12"/>
      <c r="B88" s="40" t="s">
        <v>124</v>
      </c>
      <c r="C88" s="12"/>
      <c r="D88" s="12"/>
      <c r="E88" s="12"/>
      <c r="F88" s="12"/>
      <c r="G88" s="12"/>
      <c r="H88" s="12"/>
      <c r="I88" s="12"/>
    </row>
    <row r="89" spans="1:9" x14ac:dyDescent="0.15">
      <c r="B89" s="41" t="s">
        <v>125</v>
      </c>
    </row>
    <row r="90" spans="1:9" x14ac:dyDescent="0.15">
      <c r="B90" s="41" t="s">
        <v>41</v>
      </c>
    </row>
    <row r="92" spans="1:9" x14ac:dyDescent="0.15">
      <c r="B92" s="38"/>
    </row>
    <row r="93" spans="1:9" x14ac:dyDescent="0.15">
      <c r="B93" s="40" t="s">
        <v>124</v>
      </c>
    </row>
    <row r="94" spans="1:9" x14ac:dyDescent="0.15">
      <c r="B94" s="41" t="s">
        <v>125</v>
      </c>
    </row>
    <row r="95" spans="1:9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print="0" autoLine="0" r:id="rId5">
            <anchor>
              <from>
                <xdr:col>0</xdr:col>
                <xdr:colOff>190500</xdr:colOff>
                <xdr:row>0</xdr:row>
                <xdr:rowOff>95250</xdr:rowOff>
              </from>
              <to>
                <xdr:col>1</xdr:col>
                <xdr:colOff>657225</xdr:colOff>
                <xdr:row>1</xdr:row>
                <xdr:rowOff>257175</xdr:rowOff>
              </to>
            </anchor>
          </controlPr>
        </control>
      </mc:Choice>
      <mc:Fallback>
        <control shapeId="12289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69572-F4B8-414F-90CC-5141F0B84BD2}">
  <sheetPr codeName="Sheet4"/>
  <dimension ref="A2:K102"/>
  <sheetViews>
    <sheetView workbookViewId="0">
      <selection activeCell="I44" sqref="I44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8" width="11" style="1" bestFit="1" customWidth="1"/>
    <col min="9" max="9" width="13.25" style="1" bestFit="1" customWidth="1"/>
    <col min="10" max="10" width="10" style="1" bestFit="1" customWidth="1"/>
    <col min="11" max="11" width="11" style="1" bestFit="1" customWidth="1"/>
    <col min="12" max="216" width="9" style="1"/>
    <col min="217" max="217" width="2.875" style="1" bestFit="1" customWidth="1"/>
    <col min="218" max="218" width="16.625" style="1" bestFit="1" customWidth="1"/>
    <col min="219" max="219" width="11.375" style="1" bestFit="1" customWidth="1"/>
    <col min="220" max="221" width="14.125" style="1" bestFit="1" customWidth="1"/>
    <col min="222" max="222" width="11.375" style="1" bestFit="1" customWidth="1"/>
    <col min="223" max="225" width="12.5" style="1" bestFit="1" customWidth="1"/>
    <col min="226" max="226" width="11" style="1" bestFit="1" customWidth="1"/>
    <col min="227" max="246" width="13" style="1" bestFit="1" customWidth="1"/>
    <col min="247" max="250" width="11" style="1" bestFit="1" customWidth="1"/>
    <col min="251" max="253" width="12.25" style="1" bestFit="1" customWidth="1"/>
    <col min="254" max="264" width="11" style="1" bestFit="1" customWidth="1"/>
    <col min="265" max="265" width="13.25" style="1" bestFit="1" customWidth="1"/>
    <col min="266" max="266" width="10" style="1" bestFit="1" customWidth="1"/>
    <col min="267" max="267" width="11" style="1" bestFit="1" customWidth="1"/>
    <col min="268" max="472" width="9" style="1"/>
    <col min="473" max="473" width="2.875" style="1" bestFit="1" customWidth="1"/>
    <col min="474" max="474" width="16.625" style="1" bestFit="1" customWidth="1"/>
    <col min="475" max="475" width="11.375" style="1" bestFit="1" customWidth="1"/>
    <col min="476" max="477" width="14.125" style="1" bestFit="1" customWidth="1"/>
    <col min="478" max="478" width="11.375" style="1" bestFit="1" customWidth="1"/>
    <col min="479" max="481" width="12.5" style="1" bestFit="1" customWidth="1"/>
    <col min="482" max="482" width="11" style="1" bestFit="1" customWidth="1"/>
    <col min="483" max="502" width="13" style="1" bestFit="1" customWidth="1"/>
    <col min="503" max="506" width="11" style="1" bestFit="1" customWidth="1"/>
    <col min="507" max="509" width="12.25" style="1" bestFit="1" customWidth="1"/>
    <col min="510" max="520" width="11" style="1" bestFit="1" customWidth="1"/>
    <col min="521" max="521" width="13.25" style="1" bestFit="1" customWidth="1"/>
    <col min="522" max="522" width="10" style="1" bestFit="1" customWidth="1"/>
    <col min="523" max="523" width="11" style="1" bestFit="1" customWidth="1"/>
    <col min="524" max="728" width="9" style="1"/>
    <col min="729" max="729" width="2.875" style="1" bestFit="1" customWidth="1"/>
    <col min="730" max="730" width="16.625" style="1" bestFit="1" customWidth="1"/>
    <col min="731" max="731" width="11.375" style="1" bestFit="1" customWidth="1"/>
    <col min="732" max="733" width="14.125" style="1" bestFit="1" customWidth="1"/>
    <col min="734" max="734" width="11.375" style="1" bestFit="1" customWidth="1"/>
    <col min="735" max="737" width="12.5" style="1" bestFit="1" customWidth="1"/>
    <col min="738" max="738" width="11" style="1" bestFit="1" customWidth="1"/>
    <col min="739" max="758" width="13" style="1" bestFit="1" customWidth="1"/>
    <col min="759" max="762" width="11" style="1" bestFit="1" customWidth="1"/>
    <col min="763" max="765" width="12.25" style="1" bestFit="1" customWidth="1"/>
    <col min="766" max="776" width="11" style="1" bestFit="1" customWidth="1"/>
    <col min="777" max="777" width="13.25" style="1" bestFit="1" customWidth="1"/>
    <col min="778" max="778" width="10" style="1" bestFit="1" customWidth="1"/>
    <col min="779" max="779" width="11" style="1" bestFit="1" customWidth="1"/>
    <col min="780" max="984" width="9" style="1"/>
    <col min="985" max="985" width="2.875" style="1" bestFit="1" customWidth="1"/>
    <col min="986" max="986" width="16.625" style="1" bestFit="1" customWidth="1"/>
    <col min="987" max="987" width="11.375" style="1" bestFit="1" customWidth="1"/>
    <col min="988" max="989" width="14.125" style="1" bestFit="1" customWidth="1"/>
    <col min="990" max="990" width="11.375" style="1" bestFit="1" customWidth="1"/>
    <col min="991" max="993" width="12.5" style="1" bestFit="1" customWidth="1"/>
    <col min="994" max="994" width="11" style="1" bestFit="1" customWidth="1"/>
    <col min="995" max="1014" width="13" style="1" bestFit="1" customWidth="1"/>
    <col min="1015" max="1018" width="11" style="1" bestFit="1" customWidth="1"/>
    <col min="1019" max="1021" width="12.25" style="1" bestFit="1" customWidth="1"/>
    <col min="1022" max="1032" width="11" style="1" bestFit="1" customWidth="1"/>
    <col min="1033" max="1033" width="13.25" style="1" bestFit="1" customWidth="1"/>
    <col min="1034" max="1034" width="10" style="1" bestFit="1" customWidth="1"/>
    <col min="1035" max="1035" width="11" style="1" bestFit="1" customWidth="1"/>
    <col min="1036" max="1240" width="9" style="1"/>
    <col min="1241" max="1241" width="2.875" style="1" bestFit="1" customWidth="1"/>
    <col min="1242" max="1242" width="16.625" style="1" bestFit="1" customWidth="1"/>
    <col min="1243" max="1243" width="11.375" style="1" bestFit="1" customWidth="1"/>
    <col min="1244" max="1245" width="14.125" style="1" bestFit="1" customWidth="1"/>
    <col min="1246" max="1246" width="11.375" style="1" bestFit="1" customWidth="1"/>
    <col min="1247" max="1249" width="12.5" style="1" bestFit="1" customWidth="1"/>
    <col min="1250" max="1250" width="11" style="1" bestFit="1" customWidth="1"/>
    <col min="1251" max="1270" width="13" style="1" bestFit="1" customWidth="1"/>
    <col min="1271" max="1274" width="11" style="1" bestFit="1" customWidth="1"/>
    <col min="1275" max="1277" width="12.25" style="1" bestFit="1" customWidth="1"/>
    <col min="1278" max="1288" width="11" style="1" bestFit="1" customWidth="1"/>
    <col min="1289" max="1289" width="13.25" style="1" bestFit="1" customWidth="1"/>
    <col min="1290" max="1290" width="10" style="1" bestFit="1" customWidth="1"/>
    <col min="1291" max="1291" width="11" style="1" bestFit="1" customWidth="1"/>
    <col min="1292" max="1496" width="9" style="1"/>
    <col min="1497" max="1497" width="2.875" style="1" bestFit="1" customWidth="1"/>
    <col min="1498" max="1498" width="16.625" style="1" bestFit="1" customWidth="1"/>
    <col min="1499" max="1499" width="11.375" style="1" bestFit="1" customWidth="1"/>
    <col min="1500" max="1501" width="14.125" style="1" bestFit="1" customWidth="1"/>
    <col min="1502" max="1502" width="11.375" style="1" bestFit="1" customWidth="1"/>
    <col min="1503" max="1505" width="12.5" style="1" bestFit="1" customWidth="1"/>
    <col min="1506" max="1506" width="11" style="1" bestFit="1" customWidth="1"/>
    <col min="1507" max="1526" width="13" style="1" bestFit="1" customWidth="1"/>
    <col min="1527" max="1530" width="11" style="1" bestFit="1" customWidth="1"/>
    <col min="1531" max="1533" width="12.25" style="1" bestFit="1" customWidth="1"/>
    <col min="1534" max="1544" width="11" style="1" bestFit="1" customWidth="1"/>
    <col min="1545" max="1545" width="13.25" style="1" bestFit="1" customWidth="1"/>
    <col min="1546" max="1546" width="10" style="1" bestFit="1" customWidth="1"/>
    <col min="1547" max="1547" width="11" style="1" bestFit="1" customWidth="1"/>
    <col min="1548" max="1752" width="9" style="1"/>
    <col min="1753" max="1753" width="2.875" style="1" bestFit="1" customWidth="1"/>
    <col min="1754" max="1754" width="16.625" style="1" bestFit="1" customWidth="1"/>
    <col min="1755" max="1755" width="11.375" style="1" bestFit="1" customWidth="1"/>
    <col min="1756" max="1757" width="14.125" style="1" bestFit="1" customWidth="1"/>
    <col min="1758" max="1758" width="11.375" style="1" bestFit="1" customWidth="1"/>
    <col min="1759" max="1761" width="12.5" style="1" bestFit="1" customWidth="1"/>
    <col min="1762" max="1762" width="11" style="1" bestFit="1" customWidth="1"/>
    <col min="1763" max="1782" width="13" style="1" bestFit="1" customWidth="1"/>
    <col min="1783" max="1786" width="11" style="1" bestFit="1" customWidth="1"/>
    <col min="1787" max="1789" width="12.25" style="1" bestFit="1" customWidth="1"/>
    <col min="1790" max="1800" width="11" style="1" bestFit="1" customWidth="1"/>
    <col min="1801" max="1801" width="13.25" style="1" bestFit="1" customWidth="1"/>
    <col min="1802" max="1802" width="10" style="1" bestFit="1" customWidth="1"/>
    <col min="1803" max="1803" width="11" style="1" bestFit="1" customWidth="1"/>
    <col min="1804" max="2008" width="9" style="1"/>
    <col min="2009" max="2009" width="2.875" style="1" bestFit="1" customWidth="1"/>
    <col min="2010" max="2010" width="16.625" style="1" bestFit="1" customWidth="1"/>
    <col min="2011" max="2011" width="11.375" style="1" bestFit="1" customWidth="1"/>
    <col min="2012" max="2013" width="14.125" style="1" bestFit="1" customWidth="1"/>
    <col min="2014" max="2014" width="11.375" style="1" bestFit="1" customWidth="1"/>
    <col min="2015" max="2017" width="12.5" style="1" bestFit="1" customWidth="1"/>
    <col min="2018" max="2018" width="11" style="1" bestFit="1" customWidth="1"/>
    <col min="2019" max="2038" width="13" style="1" bestFit="1" customWidth="1"/>
    <col min="2039" max="2042" width="11" style="1" bestFit="1" customWidth="1"/>
    <col min="2043" max="2045" width="12.25" style="1" bestFit="1" customWidth="1"/>
    <col min="2046" max="2056" width="11" style="1" bestFit="1" customWidth="1"/>
    <col min="2057" max="2057" width="13.25" style="1" bestFit="1" customWidth="1"/>
    <col min="2058" max="2058" width="10" style="1" bestFit="1" customWidth="1"/>
    <col min="2059" max="2059" width="11" style="1" bestFit="1" customWidth="1"/>
    <col min="2060" max="2264" width="9" style="1"/>
    <col min="2265" max="2265" width="2.875" style="1" bestFit="1" customWidth="1"/>
    <col min="2266" max="2266" width="16.625" style="1" bestFit="1" customWidth="1"/>
    <col min="2267" max="2267" width="11.375" style="1" bestFit="1" customWidth="1"/>
    <col min="2268" max="2269" width="14.125" style="1" bestFit="1" customWidth="1"/>
    <col min="2270" max="2270" width="11.375" style="1" bestFit="1" customWidth="1"/>
    <col min="2271" max="2273" width="12.5" style="1" bestFit="1" customWidth="1"/>
    <col min="2274" max="2274" width="11" style="1" bestFit="1" customWidth="1"/>
    <col min="2275" max="2294" width="13" style="1" bestFit="1" customWidth="1"/>
    <col min="2295" max="2298" width="11" style="1" bestFit="1" customWidth="1"/>
    <col min="2299" max="2301" width="12.25" style="1" bestFit="1" customWidth="1"/>
    <col min="2302" max="2312" width="11" style="1" bestFit="1" customWidth="1"/>
    <col min="2313" max="2313" width="13.25" style="1" bestFit="1" customWidth="1"/>
    <col min="2314" max="2314" width="10" style="1" bestFit="1" customWidth="1"/>
    <col min="2315" max="2315" width="11" style="1" bestFit="1" customWidth="1"/>
    <col min="2316" max="2520" width="9" style="1"/>
    <col min="2521" max="2521" width="2.875" style="1" bestFit="1" customWidth="1"/>
    <col min="2522" max="2522" width="16.625" style="1" bestFit="1" customWidth="1"/>
    <col min="2523" max="2523" width="11.375" style="1" bestFit="1" customWidth="1"/>
    <col min="2524" max="2525" width="14.125" style="1" bestFit="1" customWidth="1"/>
    <col min="2526" max="2526" width="11.375" style="1" bestFit="1" customWidth="1"/>
    <col min="2527" max="2529" width="12.5" style="1" bestFit="1" customWidth="1"/>
    <col min="2530" max="2530" width="11" style="1" bestFit="1" customWidth="1"/>
    <col min="2531" max="2550" width="13" style="1" bestFit="1" customWidth="1"/>
    <col min="2551" max="2554" width="11" style="1" bestFit="1" customWidth="1"/>
    <col min="2555" max="2557" width="12.25" style="1" bestFit="1" customWidth="1"/>
    <col min="2558" max="2568" width="11" style="1" bestFit="1" customWidth="1"/>
    <col min="2569" max="2569" width="13.25" style="1" bestFit="1" customWidth="1"/>
    <col min="2570" max="2570" width="10" style="1" bestFit="1" customWidth="1"/>
    <col min="2571" max="2571" width="11" style="1" bestFit="1" customWidth="1"/>
    <col min="2572" max="2776" width="9" style="1"/>
    <col min="2777" max="2777" width="2.875" style="1" bestFit="1" customWidth="1"/>
    <col min="2778" max="2778" width="16.625" style="1" bestFit="1" customWidth="1"/>
    <col min="2779" max="2779" width="11.375" style="1" bestFit="1" customWidth="1"/>
    <col min="2780" max="2781" width="14.125" style="1" bestFit="1" customWidth="1"/>
    <col min="2782" max="2782" width="11.375" style="1" bestFit="1" customWidth="1"/>
    <col min="2783" max="2785" width="12.5" style="1" bestFit="1" customWidth="1"/>
    <col min="2786" max="2786" width="11" style="1" bestFit="1" customWidth="1"/>
    <col min="2787" max="2806" width="13" style="1" bestFit="1" customWidth="1"/>
    <col min="2807" max="2810" width="11" style="1" bestFit="1" customWidth="1"/>
    <col min="2811" max="2813" width="12.25" style="1" bestFit="1" customWidth="1"/>
    <col min="2814" max="2824" width="11" style="1" bestFit="1" customWidth="1"/>
    <col min="2825" max="2825" width="13.25" style="1" bestFit="1" customWidth="1"/>
    <col min="2826" max="2826" width="10" style="1" bestFit="1" customWidth="1"/>
    <col min="2827" max="2827" width="11" style="1" bestFit="1" customWidth="1"/>
    <col min="2828" max="3032" width="9" style="1"/>
    <col min="3033" max="3033" width="2.875" style="1" bestFit="1" customWidth="1"/>
    <col min="3034" max="3034" width="16.625" style="1" bestFit="1" customWidth="1"/>
    <col min="3035" max="3035" width="11.375" style="1" bestFit="1" customWidth="1"/>
    <col min="3036" max="3037" width="14.125" style="1" bestFit="1" customWidth="1"/>
    <col min="3038" max="3038" width="11.375" style="1" bestFit="1" customWidth="1"/>
    <col min="3039" max="3041" width="12.5" style="1" bestFit="1" customWidth="1"/>
    <col min="3042" max="3042" width="11" style="1" bestFit="1" customWidth="1"/>
    <col min="3043" max="3062" width="13" style="1" bestFit="1" customWidth="1"/>
    <col min="3063" max="3066" width="11" style="1" bestFit="1" customWidth="1"/>
    <col min="3067" max="3069" width="12.25" style="1" bestFit="1" customWidth="1"/>
    <col min="3070" max="3080" width="11" style="1" bestFit="1" customWidth="1"/>
    <col min="3081" max="3081" width="13.25" style="1" bestFit="1" customWidth="1"/>
    <col min="3082" max="3082" width="10" style="1" bestFit="1" customWidth="1"/>
    <col min="3083" max="3083" width="11" style="1" bestFit="1" customWidth="1"/>
    <col min="3084" max="3288" width="9" style="1"/>
    <col min="3289" max="3289" width="2.875" style="1" bestFit="1" customWidth="1"/>
    <col min="3290" max="3290" width="16.625" style="1" bestFit="1" customWidth="1"/>
    <col min="3291" max="3291" width="11.375" style="1" bestFit="1" customWidth="1"/>
    <col min="3292" max="3293" width="14.125" style="1" bestFit="1" customWidth="1"/>
    <col min="3294" max="3294" width="11.375" style="1" bestFit="1" customWidth="1"/>
    <col min="3295" max="3297" width="12.5" style="1" bestFit="1" customWidth="1"/>
    <col min="3298" max="3298" width="11" style="1" bestFit="1" customWidth="1"/>
    <col min="3299" max="3318" width="13" style="1" bestFit="1" customWidth="1"/>
    <col min="3319" max="3322" width="11" style="1" bestFit="1" customWidth="1"/>
    <col min="3323" max="3325" width="12.25" style="1" bestFit="1" customWidth="1"/>
    <col min="3326" max="3336" width="11" style="1" bestFit="1" customWidth="1"/>
    <col min="3337" max="3337" width="13.25" style="1" bestFit="1" customWidth="1"/>
    <col min="3338" max="3338" width="10" style="1" bestFit="1" customWidth="1"/>
    <col min="3339" max="3339" width="11" style="1" bestFit="1" customWidth="1"/>
    <col min="3340" max="3544" width="9" style="1"/>
    <col min="3545" max="3545" width="2.875" style="1" bestFit="1" customWidth="1"/>
    <col min="3546" max="3546" width="16.625" style="1" bestFit="1" customWidth="1"/>
    <col min="3547" max="3547" width="11.375" style="1" bestFit="1" customWidth="1"/>
    <col min="3548" max="3549" width="14.125" style="1" bestFit="1" customWidth="1"/>
    <col min="3550" max="3550" width="11.375" style="1" bestFit="1" customWidth="1"/>
    <col min="3551" max="3553" width="12.5" style="1" bestFit="1" customWidth="1"/>
    <col min="3554" max="3554" width="11" style="1" bestFit="1" customWidth="1"/>
    <col min="3555" max="3574" width="13" style="1" bestFit="1" customWidth="1"/>
    <col min="3575" max="3578" width="11" style="1" bestFit="1" customWidth="1"/>
    <col min="3579" max="3581" width="12.25" style="1" bestFit="1" customWidth="1"/>
    <col min="3582" max="3592" width="11" style="1" bestFit="1" customWidth="1"/>
    <col min="3593" max="3593" width="13.25" style="1" bestFit="1" customWidth="1"/>
    <col min="3594" max="3594" width="10" style="1" bestFit="1" customWidth="1"/>
    <col min="3595" max="3595" width="11" style="1" bestFit="1" customWidth="1"/>
    <col min="3596" max="3800" width="9" style="1"/>
    <col min="3801" max="3801" width="2.875" style="1" bestFit="1" customWidth="1"/>
    <col min="3802" max="3802" width="16.625" style="1" bestFit="1" customWidth="1"/>
    <col min="3803" max="3803" width="11.375" style="1" bestFit="1" customWidth="1"/>
    <col min="3804" max="3805" width="14.125" style="1" bestFit="1" customWidth="1"/>
    <col min="3806" max="3806" width="11.375" style="1" bestFit="1" customWidth="1"/>
    <col min="3807" max="3809" width="12.5" style="1" bestFit="1" customWidth="1"/>
    <col min="3810" max="3810" width="11" style="1" bestFit="1" customWidth="1"/>
    <col min="3811" max="3830" width="13" style="1" bestFit="1" customWidth="1"/>
    <col min="3831" max="3834" width="11" style="1" bestFit="1" customWidth="1"/>
    <col min="3835" max="3837" width="12.25" style="1" bestFit="1" customWidth="1"/>
    <col min="3838" max="3848" width="11" style="1" bestFit="1" customWidth="1"/>
    <col min="3849" max="3849" width="13.25" style="1" bestFit="1" customWidth="1"/>
    <col min="3850" max="3850" width="10" style="1" bestFit="1" customWidth="1"/>
    <col min="3851" max="3851" width="11" style="1" bestFit="1" customWidth="1"/>
    <col min="3852" max="4056" width="9" style="1"/>
    <col min="4057" max="4057" width="2.875" style="1" bestFit="1" customWidth="1"/>
    <col min="4058" max="4058" width="16.625" style="1" bestFit="1" customWidth="1"/>
    <col min="4059" max="4059" width="11.375" style="1" bestFit="1" customWidth="1"/>
    <col min="4060" max="4061" width="14.125" style="1" bestFit="1" customWidth="1"/>
    <col min="4062" max="4062" width="11.375" style="1" bestFit="1" customWidth="1"/>
    <col min="4063" max="4065" width="12.5" style="1" bestFit="1" customWidth="1"/>
    <col min="4066" max="4066" width="11" style="1" bestFit="1" customWidth="1"/>
    <col min="4067" max="4086" width="13" style="1" bestFit="1" customWidth="1"/>
    <col min="4087" max="4090" width="11" style="1" bestFit="1" customWidth="1"/>
    <col min="4091" max="4093" width="12.25" style="1" bestFit="1" customWidth="1"/>
    <col min="4094" max="4104" width="11" style="1" bestFit="1" customWidth="1"/>
    <col min="4105" max="4105" width="13.25" style="1" bestFit="1" customWidth="1"/>
    <col min="4106" max="4106" width="10" style="1" bestFit="1" customWidth="1"/>
    <col min="4107" max="4107" width="11" style="1" bestFit="1" customWidth="1"/>
    <col min="4108" max="4312" width="9" style="1"/>
    <col min="4313" max="4313" width="2.875" style="1" bestFit="1" customWidth="1"/>
    <col min="4314" max="4314" width="16.625" style="1" bestFit="1" customWidth="1"/>
    <col min="4315" max="4315" width="11.375" style="1" bestFit="1" customWidth="1"/>
    <col min="4316" max="4317" width="14.125" style="1" bestFit="1" customWidth="1"/>
    <col min="4318" max="4318" width="11.375" style="1" bestFit="1" customWidth="1"/>
    <col min="4319" max="4321" width="12.5" style="1" bestFit="1" customWidth="1"/>
    <col min="4322" max="4322" width="11" style="1" bestFit="1" customWidth="1"/>
    <col min="4323" max="4342" width="13" style="1" bestFit="1" customWidth="1"/>
    <col min="4343" max="4346" width="11" style="1" bestFit="1" customWidth="1"/>
    <col min="4347" max="4349" width="12.25" style="1" bestFit="1" customWidth="1"/>
    <col min="4350" max="4360" width="11" style="1" bestFit="1" customWidth="1"/>
    <col min="4361" max="4361" width="13.25" style="1" bestFit="1" customWidth="1"/>
    <col min="4362" max="4362" width="10" style="1" bestFit="1" customWidth="1"/>
    <col min="4363" max="4363" width="11" style="1" bestFit="1" customWidth="1"/>
    <col min="4364" max="4568" width="9" style="1"/>
    <col min="4569" max="4569" width="2.875" style="1" bestFit="1" customWidth="1"/>
    <col min="4570" max="4570" width="16.625" style="1" bestFit="1" customWidth="1"/>
    <col min="4571" max="4571" width="11.375" style="1" bestFit="1" customWidth="1"/>
    <col min="4572" max="4573" width="14.125" style="1" bestFit="1" customWidth="1"/>
    <col min="4574" max="4574" width="11.375" style="1" bestFit="1" customWidth="1"/>
    <col min="4575" max="4577" width="12.5" style="1" bestFit="1" customWidth="1"/>
    <col min="4578" max="4578" width="11" style="1" bestFit="1" customWidth="1"/>
    <col min="4579" max="4598" width="13" style="1" bestFit="1" customWidth="1"/>
    <col min="4599" max="4602" width="11" style="1" bestFit="1" customWidth="1"/>
    <col min="4603" max="4605" width="12.25" style="1" bestFit="1" customWidth="1"/>
    <col min="4606" max="4616" width="11" style="1" bestFit="1" customWidth="1"/>
    <col min="4617" max="4617" width="13.25" style="1" bestFit="1" customWidth="1"/>
    <col min="4618" max="4618" width="10" style="1" bestFit="1" customWidth="1"/>
    <col min="4619" max="4619" width="11" style="1" bestFit="1" customWidth="1"/>
    <col min="4620" max="4824" width="9" style="1"/>
    <col min="4825" max="4825" width="2.875" style="1" bestFit="1" customWidth="1"/>
    <col min="4826" max="4826" width="16.625" style="1" bestFit="1" customWidth="1"/>
    <col min="4827" max="4827" width="11.375" style="1" bestFit="1" customWidth="1"/>
    <col min="4828" max="4829" width="14.125" style="1" bestFit="1" customWidth="1"/>
    <col min="4830" max="4830" width="11.375" style="1" bestFit="1" customWidth="1"/>
    <col min="4831" max="4833" width="12.5" style="1" bestFit="1" customWidth="1"/>
    <col min="4834" max="4834" width="11" style="1" bestFit="1" customWidth="1"/>
    <col min="4835" max="4854" width="13" style="1" bestFit="1" customWidth="1"/>
    <col min="4855" max="4858" width="11" style="1" bestFit="1" customWidth="1"/>
    <col min="4859" max="4861" width="12.25" style="1" bestFit="1" customWidth="1"/>
    <col min="4862" max="4872" width="11" style="1" bestFit="1" customWidth="1"/>
    <col min="4873" max="4873" width="13.25" style="1" bestFit="1" customWidth="1"/>
    <col min="4874" max="4874" width="10" style="1" bestFit="1" customWidth="1"/>
    <col min="4875" max="4875" width="11" style="1" bestFit="1" customWidth="1"/>
    <col min="4876" max="5080" width="9" style="1"/>
    <col min="5081" max="5081" width="2.875" style="1" bestFit="1" customWidth="1"/>
    <col min="5082" max="5082" width="16.625" style="1" bestFit="1" customWidth="1"/>
    <col min="5083" max="5083" width="11.375" style="1" bestFit="1" customWidth="1"/>
    <col min="5084" max="5085" width="14.125" style="1" bestFit="1" customWidth="1"/>
    <col min="5086" max="5086" width="11.375" style="1" bestFit="1" customWidth="1"/>
    <col min="5087" max="5089" width="12.5" style="1" bestFit="1" customWidth="1"/>
    <col min="5090" max="5090" width="11" style="1" bestFit="1" customWidth="1"/>
    <col min="5091" max="5110" width="13" style="1" bestFit="1" customWidth="1"/>
    <col min="5111" max="5114" width="11" style="1" bestFit="1" customWidth="1"/>
    <col min="5115" max="5117" width="12.25" style="1" bestFit="1" customWidth="1"/>
    <col min="5118" max="5128" width="11" style="1" bestFit="1" customWidth="1"/>
    <col min="5129" max="5129" width="13.25" style="1" bestFit="1" customWidth="1"/>
    <col min="5130" max="5130" width="10" style="1" bestFit="1" customWidth="1"/>
    <col min="5131" max="5131" width="11" style="1" bestFit="1" customWidth="1"/>
    <col min="5132" max="5336" width="9" style="1"/>
    <col min="5337" max="5337" width="2.875" style="1" bestFit="1" customWidth="1"/>
    <col min="5338" max="5338" width="16.625" style="1" bestFit="1" customWidth="1"/>
    <col min="5339" max="5339" width="11.375" style="1" bestFit="1" customWidth="1"/>
    <col min="5340" max="5341" width="14.125" style="1" bestFit="1" customWidth="1"/>
    <col min="5342" max="5342" width="11.375" style="1" bestFit="1" customWidth="1"/>
    <col min="5343" max="5345" width="12.5" style="1" bestFit="1" customWidth="1"/>
    <col min="5346" max="5346" width="11" style="1" bestFit="1" customWidth="1"/>
    <col min="5347" max="5366" width="13" style="1" bestFit="1" customWidth="1"/>
    <col min="5367" max="5370" width="11" style="1" bestFit="1" customWidth="1"/>
    <col min="5371" max="5373" width="12.25" style="1" bestFit="1" customWidth="1"/>
    <col min="5374" max="5384" width="11" style="1" bestFit="1" customWidth="1"/>
    <col min="5385" max="5385" width="13.25" style="1" bestFit="1" customWidth="1"/>
    <col min="5386" max="5386" width="10" style="1" bestFit="1" customWidth="1"/>
    <col min="5387" max="5387" width="11" style="1" bestFit="1" customWidth="1"/>
    <col min="5388" max="5592" width="9" style="1"/>
    <col min="5593" max="5593" width="2.875" style="1" bestFit="1" customWidth="1"/>
    <col min="5594" max="5594" width="16.625" style="1" bestFit="1" customWidth="1"/>
    <col min="5595" max="5595" width="11.375" style="1" bestFit="1" customWidth="1"/>
    <col min="5596" max="5597" width="14.125" style="1" bestFit="1" customWidth="1"/>
    <col min="5598" max="5598" width="11.375" style="1" bestFit="1" customWidth="1"/>
    <col min="5599" max="5601" width="12.5" style="1" bestFit="1" customWidth="1"/>
    <col min="5602" max="5602" width="11" style="1" bestFit="1" customWidth="1"/>
    <col min="5603" max="5622" width="13" style="1" bestFit="1" customWidth="1"/>
    <col min="5623" max="5626" width="11" style="1" bestFit="1" customWidth="1"/>
    <col min="5627" max="5629" width="12.25" style="1" bestFit="1" customWidth="1"/>
    <col min="5630" max="5640" width="11" style="1" bestFit="1" customWidth="1"/>
    <col min="5641" max="5641" width="13.25" style="1" bestFit="1" customWidth="1"/>
    <col min="5642" max="5642" width="10" style="1" bestFit="1" customWidth="1"/>
    <col min="5643" max="5643" width="11" style="1" bestFit="1" customWidth="1"/>
    <col min="5644" max="5848" width="9" style="1"/>
    <col min="5849" max="5849" width="2.875" style="1" bestFit="1" customWidth="1"/>
    <col min="5850" max="5850" width="16.625" style="1" bestFit="1" customWidth="1"/>
    <col min="5851" max="5851" width="11.375" style="1" bestFit="1" customWidth="1"/>
    <col min="5852" max="5853" width="14.125" style="1" bestFit="1" customWidth="1"/>
    <col min="5854" max="5854" width="11.375" style="1" bestFit="1" customWidth="1"/>
    <col min="5855" max="5857" width="12.5" style="1" bestFit="1" customWidth="1"/>
    <col min="5858" max="5858" width="11" style="1" bestFit="1" customWidth="1"/>
    <col min="5859" max="5878" width="13" style="1" bestFit="1" customWidth="1"/>
    <col min="5879" max="5882" width="11" style="1" bestFit="1" customWidth="1"/>
    <col min="5883" max="5885" width="12.25" style="1" bestFit="1" customWidth="1"/>
    <col min="5886" max="5896" width="11" style="1" bestFit="1" customWidth="1"/>
    <col min="5897" max="5897" width="13.25" style="1" bestFit="1" customWidth="1"/>
    <col min="5898" max="5898" width="10" style="1" bestFit="1" customWidth="1"/>
    <col min="5899" max="5899" width="11" style="1" bestFit="1" customWidth="1"/>
    <col min="5900" max="6104" width="9" style="1"/>
    <col min="6105" max="6105" width="2.875" style="1" bestFit="1" customWidth="1"/>
    <col min="6106" max="6106" width="16.625" style="1" bestFit="1" customWidth="1"/>
    <col min="6107" max="6107" width="11.375" style="1" bestFit="1" customWidth="1"/>
    <col min="6108" max="6109" width="14.125" style="1" bestFit="1" customWidth="1"/>
    <col min="6110" max="6110" width="11.375" style="1" bestFit="1" customWidth="1"/>
    <col min="6111" max="6113" width="12.5" style="1" bestFit="1" customWidth="1"/>
    <col min="6114" max="6114" width="11" style="1" bestFit="1" customWidth="1"/>
    <col min="6115" max="6134" width="13" style="1" bestFit="1" customWidth="1"/>
    <col min="6135" max="6138" width="11" style="1" bestFit="1" customWidth="1"/>
    <col min="6139" max="6141" width="12.25" style="1" bestFit="1" customWidth="1"/>
    <col min="6142" max="6152" width="11" style="1" bestFit="1" customWidth="1"/>
    <col min="6153" max="6153" width="13.25" style="1" bestFit="1" customWidth="1"/>
    <col min="6154" max="6154" width="10" style="1" bestFit="1" customWidth="1"/>
    <col min="6155" max="6155" width="11" style="1" bestFit="1" customWidth="1"/>
    <col min="6156" max="6360" width="9" style="1"/>
    <col min="6361" max="6361" width="2.875" style="1" bestFit="1" customWidth="1"/>
    <col min="6362" max="6362" width="16.625" style="1" bestFit="1" customWidth="1"/>
    <col min="6363" max="6363" width="11.375" style="1" bestFit="1" customWidth="1"/>
    <col min="6364" max="6365" width="14.125" style="1" bestFit="1" customWidth="1"/>
    <col min="6366" max="6366" width="11.375" style="1" bestFit="1" customWidth="1"/>
    <col min="6367" max="6369" width="12.5" style="1" bestFit="1" customWidth="1"/>
    <col min="6370" max="6370" width="11" style="1" bestFit="1" customWidth="1"/>
    <col min="6371" max="6390" width="13" style="1" bestFit="1" customWidth="1"/>
    <col min="6391" max="6394" width="11" style="1" bestFit="1" customWidth="1"/>
    <col min="6395" max="6397" width="12.25" style="1" bestFit="1" customWidth="1"/>
    <col min="6398" max="6408" width="11" style="1" bestFit="1" customWidth="1"/>
    <col min="6409" max="6409" width="13.25" style="1" bestFit="1" customWidth="1"/>
    <col min="6410" max="6410" width="10" style="1" bestFit="1" customWidth="1"/>
    <col min="6411" max="6411" width="11" style="1" bestFit="1" customWidth="1"/>
    <col min="6412" max="6616" width="9" style="1"/>
    <col min="6617" max="6617" width="2.875" style="1" bestFit="1" customWidth="1"/>
    <col min="6618" max="6618" width="16.625" style="1" bestFit="1" customWidth="1"/>
    <col min="6619" max="6619" width="11.375" style="1" bestFit="1" customWidth="1"/>
    <col min="6620" max="6621" width="14.125" style="1" bestFit="1" customWidth="1"/>
    <col min="6622" max="6622" width="11.375" style="1" bestFit="1" customWidth="1"/>
    <col min="6623" max="6625" width="12.5" style="1" bestFit="1" customWidth="1"/>
    <col min="6626" max="6626" width="11" style="1" bestFit="1" customWidth="1"/>
    <col min="6627" max="6646" width="13" style="1" bestFit="1" customWidth="1"/>
    <col min="6647" max="6650" width="11" style="1" bestFit="1" customWidth="1"/>
    <col min="6651" max="6653" width="12.25" style="1" bestFit="1" customWidth="1"/>
    <col min="6654" max="6664" width="11" style="1" bestFit="1" customWidth="1"/>
    <col min="6665" max="6665" width="13.25" style="1" bestFit="1" customWidth="1"/>
    <col min="6666" max="6666" width="10" style="1" bestFit="1" customWidth="1"/>
    <col min="6667" max="6667" width="11" style="1" bestFit="1" customWidth="1"/>
    <col min="6668" max="6872" width="9" style="1"/>
    <col min="6873" max="6873" width="2.875" style="1" bestFit="1" customWidth="1"/>
    <col min="6874" max="6874" width="16.625" style="1" bestFit="1" customWidth="1"/>
    <col min="6875" max="6875" width="11.375" style="1" bestFit="1" customWidth="1"/>
    <col min="6876" max="6877" width="14.125" style="1" bestFit="1" customWidth="1"/>
    <col min="6878" max="6878" width="11.375" style="1" bestFit="1" customWidth="1"/>
    <col min="6879" max="6881" width="12.5" style="1" bestFit="1" customWidth="1"/>
    <col min="6882" max="6882" width="11" style="1" bestFit="1" customWidth="1"/>
    <col min="6883" max="6902" width="13" style="1" bestFit="1" customWidth="1"/>
    <col min="6903" max="6906" width="11" style="1" bestFit="1" customWidth="1"/>
    <col min="6907" max="6909" width="12.25" style="1" bestFit="1" customWidth="1"/>
    <col min="6910" max="6920" width="11" style="1" bestFit="1" customWidth="1"/>
    <col min="6921" max="6921" width="13.25" style="1" bestFit="1" customWidth="1"/>
    <col min="6922" max="6922" width="10" style="1" bestFit="1" customWidth="1"/>
    <col min="6923" max="6923" width="11" style="1" bestFit="1" customWidth="1"/>
    <col min="6924" max="7128" width="9" style="1"/>
    <col min="7129" max="7129" width="2.875" style="1" bestFit="1" customWidth="1"/>
    <col min="7130" max="7130" width="16.625" style="1" bestFit="1" customWidth="1"/>
    <col min="7131" max="7131" width="11.375" style="1" bestFit="1" customWidth="1"/>
    <col min="7132" max="7133" width="14.125" style="1" bestFit="1" customWidth="1"/>
    <col min="7134" max="7134" width="11.375" style="1" bestFit="1" customWidth="1"/>
    <col min="7135" max="7137" width="12.5" style="1" bestFit="1" customWidth="1"/>
    <col min="7138" max="7138" width="11" style="1" bestFit="1" customWidth="1"/>
    <col min="7139" max="7158" width="13" style="1" bestFit="1" customWidth="1"/>
    <col min="7159" max="7162" width="11" style="1" bestFit="1" customWidth="1"/>
    <col min="7163" max="7165" width="12.25" style="1" bestFit="1" customWidth="1"/>
    <col min="7166" max="7176" width="11" style="1" bestFit="1" customWidth="1"/>
    <col min="7177" max="7177" width="13.25" style="1" bestFit="1" customWidth="1"/>
    <col min="7178" max="7178" width="10" style="1" bestFit="1" customWidth="1"/>
    <col min="7179" max="7179" width="11" style="1" bestFit="1" customWidth="1"/>
    <col min="7180" max="7384" width="9" style="1"/>
    <col min="7385" max="7385" width="2.875" style="1" bestFit="1" customWidth="1"/>
    <col min="7386" max="7386" width="16.625" style="1" bestFit="1" customWidth="1"/>
    <col min="7387" max="7387" width="11.375" style="1" bestFit="1" customWidth="1"/>
    <col min="7388" max="7389" width="14.125" style="1" bestFit="1" customWidth="1"/>
    <col min="7390" max="7390" width="11.375" style="1" bestFit="1" customWidth="1"/>
    <col min="7391" max="7393" width="12.5" style="1" bestFit="1" customWidth="1"/>
    <col min="7394" max="7394" width="11" style="1" bestFit="1" customWidth="1"/>
    <col min="7395" max="7414" width="13" style="1" bestFit="1" customWidth="1"/>
    <col min="7415" max="7418" width="11" style="1" bestFit="1" customWidth="1"/>
    <col min="7419" max="7421" width="12.25" style="1" bestFit="1" customWidth="1"/>
    <col min="7422" max="7432" width="11" style="1" bestFit="1" customWidth="1"/>
    <col min="7433" max="7433" width="13.25" style="1" bestFit="1" customWidth="1"/>
    <col min="7434" max="7434" width="10" style="1" bestFit="1" customWidth="1"/>
    <col min="7435" max="7435" width="11" style="1" bestFit="1" customWidth="1"/>
    <col min="7436" max="7640" width="9" style="1"/>
    <col min="7641" max="7641" width="2.875" style="1" bestFit="1" customWidth="1"/>
    <col min="7642" max="7642" width="16.625" style="1" bestFit="1" customWidth="1"/>
    <col min="7643" max="7643" width="11.375" style="1" bestFit="1" customWidth="1"/>
    <col min="7644" max="7645" width="14.125" style="1" bestFit="1" customWidth="1"/>
    <col min="7646" max="7646" width="11.375" style="1" bestFit="1" customWidth="1"/>
    <col min="7647" max="7649" width="12.5" style="1" bestFit="1" customWidth="1"/>
    <col min="7650" max="7650" width="11" style="1" bestFit="1" customWidth="1"/>
    <col min="7651" max="7670" width="13" style="1" bestFit="1" customWidth="1"/>
    <col min="7671" max="7674" width="11" style="1" bestFit="1" customWidth="1"/>
    <col min="7675" max="7677" width="12.25" style="1" bestFit="1" customWidth="1"/>
    <col min="7678" max="7688" width="11" style="1" bestFit="1" customWidth="1"/>
    <col min="7689" max="7689" width="13.25" style="1" bestFit="1" customWidth="1"/>
    <col min="7690" max="7690" width="10" style="1" bestFit="1" customWidth="1"/>
    <col min="7691" max="7691" width="11" style="1" bestFit="1" customWidth="1"/>
    <col min="7692" max="7896" width="9" style="1"/>
    <col min="7897" max="7897" width="2.875" style="1" bestFit="1" customWidth="1"/>
    <col min="7898" max="7898" width="16.625" style="1" bestFit="1" customWidth="1"/>
    <col min="7899" max="7899" width="11.375" style="1" bestFit="1" customWidth="1"/>
    <col min="7900" max="7901" width="14.125" style="1" bestFit="1" customWidth="1"/>
    <col min="7902" max="7902" width="11.375" style="1" bestFit="1" customWidth="1"/>
    <col min="7903" max="7905" width="12.5" style="1" bestFit="1" customWidth="1"/>
    <col min="7906" max="7906" width="11" style="1" bestFit="1" customWidth="1"/>
    <col min="7907" max="7926" width="13" style="1" bestFit="1" customWidth="1"/>
    <col min="7927" max="7930" width="11" style="1" bestFit="1" customWidth="1"/>
    <col min="7931" max="7933" width="12.25" style="1" bestFit="1" customWidth="1"/>
    <col min="7934" max="7944" width="11" style="1" bestFit="1" customWidth="1"/>
    <col min="7945" max="7945" width="13.25" style="1" bestFit="1" customWidth="1"/>
    <col min="7946" max="7946" width="10" style="1" bestFit="1" customWidth="1"/>
    <col min="7947" max="7947" width="11" style="1" bestFit="1" customWidth="1"/>
    <col min="7948" max="8152" width="9" style="1"/>
    <col min="8153" max="8153" width="2.875" style="1" bestFit="1" customWidth="1"/>
    <col min="8154" max="8154" width="16.625" style="1" bestFit="1" customWidth="1"/>
    <col min="8155" max="8155" width="11.375" style="1" bestFit="1" customWidth="1"/>
    <col min="8156" max="8157" width="14.125" style="1" bestFit="1" customWidth="1"/>
    <col min="8158" max="8158" width="11.375" style="1" bestFit="1" customWidth="1"/>
    <col min="8159" max="8161" width="12.5" style="1" bestFit="1" customWidth="1"/>
    <col min="8162" max="8162" width="11" style="1" bestFit="1" customWidth="1"/>
    <col min="8163" max="8182" width="13" style="1" bestFit="1" customWidth="1"/>
    <col min="8183" max="8186" width="11" style="1" bestFit="1" customWidth="1"/>
    <col min="8187" max="8189" width="12.25" style="1" bestFit="1" customWidth="1"/>
    <col min="8190" max="8200" width="11" style="1" bestFit="1" customWidth="1"/>
    <col min="8201" max="8201" width="13.25" style="1" bestFit="1" customWidth="1"/>
    <col min="8202" max="8202" width="10" style="1" bestFit="1" customWidth="1"/>
    <col min="8203" max="8203" width="11" style="1" bestFit="1" customWidth="1"/>
    <col min="8204" max="8408" width="9" style="1"/>
    <col min="8409" max="8409" width="2.875" style="1" bestFit="1" customWidth="1"/>
    <col min="8410" max="8410" width="16.625" style="1" bestFit="1" customWidth="1"/>
    <col min="8411" max="8411" width="11.375" style="1" bestFit="1" customWidth="1"/>
    <col min="8412" max="8413" width="14.125" style="1" bestFit="1" customWidth="1"/>
    <col min="8414" max="8414" width="11.375" style="1" bestFit="1" customWidth="1"/>
    <col min="8415" max="8417" width="12.5" style="1" bestFit="1" customWidth="1"/>
    <col min="8418" max="8418" width="11" style="1" bestFit="1" customWidth="1"/>
    <col min="8419" max="8438" width="13" style="1" bestFit="1" customWidth="1"/>
    <col min="8439" max="8442" width="11" style="1" bestFit="1" customWidth="1"/>
    <col min="8443" max="8445" width="12.25" style="1" bestFit="1" customWidth="1"/>
    <col min="8446" max="8456" width="11" style="1" bestFit="1" customWidth="1"/>
    <col min="8457" max="8457" width="13.25" style="1" bestFit="1" customWidth="1"/>
    <col min="8458" max="8458" width="10" style="1" bestFit="1" customWidth="1"/>
    <col min="8459" max="8459" width="11" style="1" bestFit="1" customWidth="1"/>
    <col min="8460" max="8664" width="9" style="1"/>
    <col min="8665" max="8665" width="2.875" style="1" bestFit="1" customWidth="1"/>
    <col min="8666" max="8666" width="16.625" style="1" bestFit="1" customWidth="1"/>
    <col min="8667" max="8667" width="11.375" style="1" bestFit="1" customWidth="1"/>
    <col min="8668" max="8669" width="14.125" style="1" bestFit="1" customWidth="1"/>
    <col min="8670" max="8670" width="11.375" style="1" bestFit="1" customWidth="1"/>
    <col min="8671" max="8673" width="12.5" style="1" bestFit="1" customWidth="1"/>
    <col min="8674" max="8674" width="11" style="1" bestFit="1" customWidth="1"/>
    <col min="8675" max="8694" width="13" style="1" bestFit="1" customWidth="1"/>
    <col min="8695" max="8698" width="11" style="1" bestFit="1" customWidth="1"/>
    <col min="8699" max="8701" width="12.25" style="1" bestFit="1" customWidth="1"/>
    <col min="8702" max="8712" width="11" style="1" bestFit="1" customWidth="1"/>
    <col min="8713" max="8713" width="13.25" style="1" bestFit="1" customWidth="1"/>
    <col min="8714" max="8714" width="10" style="1" bestFit="1" customWidth="1"/>
    <col min="8715" max="8715" width="11" style="1" bestFit="1" customWidth="1"/>
    <col min="8716" max="8920" width="9" style="1"/>
    <col min="8921" max="8921" width="2.875" style="1" bestFit="1" customWidth="1"/>
    <col min="8922" max="8922" width="16.625" style="1" bestFit="1" customWidth="1"/>
    <col min="8923" max="8923" width="11.375" style="1" bestFit="1" customWidth="1"/>
    <col min="8924" max="8925" width="14.125" style="1" bestFit="1" customWidth="1"/>
    <col min="8926" max="8926" width="11.375" style="1" bestFit="1" customWidth="1"/>
    <col min="8927" max="8929" width="12.5" style="1" bestFit="1" customWidth="1"/>
    <col min="8930" max="8930" width="11" style="1" bestFit="1" customWidth="1"/>
    <col min="8931" max="8950" width="13" style="1" bestFit="1" customWidth="1"/>
    <col min="8951" max="8954" width="11" style="1" bestFit="1" customWidth="1"/>
    <col min="8955" max="8957" width="12.25" style="1" bestFit="1" customWidth="1"/>
    <col min="8958" max="8968" width="11" style="1" bestFit="1" customWidth="1"/>
    <col min="8969" max="8969" width="13.25" style="1" bestFit="1" customWidth="1"/>
    <col min="8970" max="8970" width="10" style="1" bestFit="1" customWidth="1"/>
    <col min="8971" max="8971" width="11" style="1" bestFit="1" customWidth="1"/>
    <col min="8972" max="9176" width="9" style="1"/>
    <col min="9177" max="9177" width="2.875" style="1" bestFit="1" customWidth="1"/>
    <col min="9178" max="9178" width="16.625" style="1" bestFit="1" customWidth="1"/>
    <col min="9179" max="9179" width="11.375" style="1" bestFit="1" customWidth="1"/>
    <col min="9180" max="9181" width="14.125" style="1" bestFit="1" customWidth="1"/>
    <col min="9182" max="9182" width="11.375" style="1" bestFit="1" customWidth="1"/>
    <col min="9183" max="9185" width="12.5" style="1" bestFit="1" customWidth="1"/>
    <col min="9186" max="9186" width="11" style="1" bestFit="1" customWidth="1"/>
    <col min="9187" max="9206" width="13" style="1" bestFit="1" customWidth="1"/>
    <col min="9207" max="9210" width="11" style="1" bestFit="1" customWidth="1"/>
    <col min="9211" max="9213" width="12.25" style="1" bestFit="1" customWidth="1"/>
    <col min="9214" max="9224" width="11" style="1" bestFit="1" customWidth="1"/>
    <col min="9225" max="9225" width="13.25" style="1" bestFit="1" customWidth="1"/>
    <col min="9226" max="9226" width="10" style="1" bestFit="1" customWidth="1"/>
    <col min="9227" max="9227" width="11" style="1" bestFit="1" customWidth="1"/>
    <col min="9228" max="9432" width="9" style="1"/>
    <col min="9433" max="9433" width="2.875" style="1" bestFit="1" customWidth="1"/>
    <col min="9434" max="9434" width="16.625" style="1" bestFit="1" customWidth="1"/>
    <col min="9435" max="9435" width="11.375" style="1" bestFit="1" customWidth="1"/>
    <col min="9436" max="9437" width="14.125" style="1" bestFit="1" customWidth="1"/>
    <col min="9438" max="9438" width="11.375" style="1" bestFit="1" customWidth="1"/>
    <col min="9439" max="9441" width="12.5" style="1" bestFit="1" customWidth="1"/>
    <col min="9442" max="9442" width="11" style="1" bestFit="1" customWidth="1"/>
    <col min="9443" max="9462" width="13" style="1" bestFit="1" customWidth="1"/>
    <col min="9463" max="9466" width="11" style="1" bestFit="1" customWidth="1"/>
    <col min="9467" max="9469" width="12.25" style="1" bestFit="1" customWidth="1"/>
    <col min="9470" max="9480" width="11" style="1" bestFit="1" customWidth="1"/>
    <col min="9481" max="9481" width="13.25" style="1" bestFit="1" customWidth="1"/>
    <col min="9482" max="9482" width="10" style="1" bestFit="1" customWidth="1"/>
    <col min="9483" max="9483" width="11" style="1" bestFit="1" customWidth="1"/>
    <col min="9484" max="9688" width="9" style="1"/>
    <col min="9689" max="9689" width="2.875" style="1" bestFit="1" customWidth="1"/>
    <col min="9690" max="9690" width="16.625" style="1" bestFit="1" customWidth="1"/>
    <col min="9691" max="9691" width="11.375" style="1" bestFit="1" customWidth="1"/>
    <col min="9692" max="9693" width="14.125" style="1" bestFit="1" customWidth="1"/>
    <col min="9694" max="9694" width="11.375" style="1" bestFit="1" customWidth="1"/>
    <col min="9695" max="9697" width="12.5" style="1" bestFit="1" customWidth="1"/>
    <col min="9698" max="9698" width="11" style="1" bestFit="1" customWidth="1"/>
    <col min="9699" max="9718" width="13" style="1" bestFit="1" customWidth="1"/>
    <col min="9719" max="9722" width="11" style="1" bestFit="1" customWidth="1"/>
    <col min="9723" max="9725" width="12.25" style="1" bestFit="1" customWidth="1"/>
    <col min="9726" max="9736" width="11" style="1" bestFit="1" customWidth="1"/>
    <col min="9737" max="9737" width="13.25" style="1" bestFit="1" customWidth="1"/>
    <col min="9738" max="9738" width="10" style="1" bestFit="1" customWidth="1"/>
    <col min="9739" max="9739" width="11" style="1" bestFit="1" customWidth="1"/>
    <col min="9740" max="9944" width="9" style="1"/>
    <col min="9945" max="9945" width="2.875" style="1" bestFit="1" customWidth="1"/>
    <col min="9946" max="9946" width="16.625" style="1" bestFit="1" customWidth="1"/>
    <col min="9947" max="9947" width="11.375" style="1" bestFit="1" customWidth="1"/>
    <col min="9948" max="9949" width="14.125" style="1" bestFit="1" customWidth="1"/>
    <col min="9950" max="9950" width="11.375" style="1" bestFit="1" customWidth="1"/>
    <col min="9951" max="9953" width="12.5" style="1" bestFit="1" customWidth="1"/>
    <col min="9954" max="9954" width="11" style="1" bestFit="1" customWidth="1"/>
    <col min="9955" max="9974" width="13" style="1" bestFit="1" customWidth="1"/>
    <col min="9975" max="9978" width="11" style="1" bestFit="1" customWidth="1"/>
    <col min="9979" max="9981" width="12.25" style="1" bestFit="1" customWidth="1"/>
    <col min="9982" max="9992" width="11" style="1" bestFit="1" customWidth="1"/>
    <col min="9993" max="9993" width="13.25" style="1" bestFit="1" customWidth="1"/>
    <col min="9994" max="9994" width="10" style="1" bestFit="1" customWidth="1"/>
    <col min="9995" max="9995" width="11" style="1" bestFit="1" customWidth="1"/>
    <col min="9996" max="10200" width="9" style="1"/>
    <col min="10201" max="10201" width="2.875" style="1" bestFit="1" customWidth="1"/>
    <col min="10202" max="10202" width="16.625" style="1" bestFit="1" customWidth="1"/>
    <col min="10203" max="10203" width="11.375" style="1" bestFit="1" customWidth="1"/>
    <col min="10204" max="10205" width="14.125" style="1" bestFit="1" customWidth="1"/>
    <col min="10206" max="10206" width="11.375" style="1" bestFit="1" customWidth="1"/>
    <col min="10207" max="10209" width="12.5" style="1" bestFit="1" customWidth="1"/>
    <col min="10210" max="10210" width="11" style="1" bestFit="1" customWidth="1"/>
    <col min="10211" max="10230" width="13" style="1" bestFit="1" customWidth="1"/>
    <col min="10231" max="10234" width="11" style="1" bestFit="1" customWidth="1"/>
    <col min="10235" max="10237" width="12.25" style="1" bestFit="1" customWidth="1"/>
    <col min="10238" max="10248" width="11" style="1" bestFit="1" customWidth="1"/>
    <col min="10249" max="10249" width="13.25" style="1" bestFit="1" customWidth="1"/>
    <col min="10250" max="10250" width="10" style="1" bestFit="1" customWidth="1"/>
    <col min="10251" max="10251" width="11" style="1" bestFit="1" customWidth="1"/>
    <col min="10252" max="10456" width="9" style="1"/>
    <col min="10457" max="10457" width="2.875" style="1" bestFit="1" customWidth="1"/>
    <col min="10458" max="10458" width="16.625" style="1" bestFit="1" customWidth="1"/>
    <col min="10459" max="10459" width="11.375" style="1" bestFit="1" customWidth="1"/>
    <col min="10460" max="10461" width="14.125" style="1" bestFit="1" customWidth="1"/>
    <col min="10462" max="10462" width="11.375" style="1" bestFit="1" customWidth="1"/>
    <col min="10463" max="10465" width="12.5" style="1" bestFit="1" customWidth="1"/>
    <col min="10466" max="10466" width="11" style="1" bestFit="1" customWidth="1"/>
    <col min="10467" max="10486" width="13" style="1" bestFit="1" customWidth="1"/>
    <col min="10487" max="10490" width="11" style="1" bestFit="1" customWidth="1"/>
    <col min="10491" max="10493" width="12.25" style="1" bestFit="1" customWidth="1"/>
    <col min="10494" max="10504" width="11" style="1" bestFit="1" customWidth="1"/>
    <col min="10505" max="10505" width="13.25" style="1" bestFit="1" customWidth="1"/>
    <col min="10506" max="10506" width="10" style="1" bestFit="1" customWidth="1"/>
    <col min="10507" max="10507" width="11" style="1" bestFit="1" customWidth="1"/>
    <col min="10508" max="10712" width="9" style="1"/>
    <col min="10713" max="10713" width="2.875" style="1" bestFit="1" customWidth="1"/>
    <col min="10714" max="10714" width="16.625" style="1" bestFit="1" customWidth="1"/>
    <col min="10715" max="10715" width="11.375" style="1" bestFit="1" customWidth="1"/>
    <col min="10716" max="10717" width="14.125" style="1" bestFit="1" customWidth="1"/>
    <col min="10718" max="10718" width="11.375" style="1" bestFit="1" customWidth="1"/>
    <col min="10719" max="10721" width="12.5" style="1" bestFit="1" customWidth="1"/>
    <col min="10722" max="10722" width="11" style="1" bestFit="1" customWidth="1"/>
    <col min="10723" max="10742" width="13" style="1" bestFit="1" customWidth="1"/>
    <col min="10743" max="10746" width="11" style="1" bestFit="1" customWidth="1"/>
    <col min="10747" max="10749" width="12.25" style="1" bestFit="1" customWidth="1"/>
    <col min="10750" max="10760" width="11" style="1" bestFit="1" customWidth="1"/>
    <col min="10761" max="10761" width="13.25" style="1" bestFit="1" customWidth="1"/>
    <col min="10762" max="10762" width="10" style="1" bestFit="1" customWidth="1"/>
    <col min="10763" max="10763" width="11" style="1" bestFit="1" customWidth="1"/>
    <col min="10764" max="10968" width="9" style="1"/>
    <col min="10969" max="10969" width="2.875" style="1" bestFit="1" customWidth="1"/>
    <col min="10970" max="10970" width="16.625" style="1" bestFit="1" customWidth="1"/>
    <col min="10971" max="10971" width="11.375" style="1" bestFit="1" customWidth="1"/>
    <col min="10972" max="10973" width="14.125" style="1" bestFit="1" customWidth="1"/>
    <col min="10974" max="10974" width="11.375" style="1" bestFit="1" customWidth="1"/>
    <col min="10975" max="10977" width="12.5" style="1" bestFit="1" customWidth="1"/>
    <col min="10978" max="10978" width="11" style="1" bestFit="1" customWidth="1"/>
    <col min="10979" max="10998" width="13" style="1" bestFit="1" customWidth="1"/>
    <col min="10999" max="11002" width="11" style="1" bestFit="1" customWidth="1"/>
    <col min="11003" max="11005" width="12.25" style="1" bestFit="1" customWidth="1"/>
    <col min="11006" max="11016" width="11" style="1" bestFit="1" customWidth="1"/>
    <col min="11017" max="11017" width="13.25" style="1" bestFit="1" customWidth="1"/>
    <col min="11018" max="11018" width="10" style="1" bestFit="1" customWidth="1"/>
    <col min="11019" max="11019" width="11" style="1" bestFit="1" customWidth="1"/>
    <col min="11020" max="11224" width="9" style="1"/>
    <col min="11225" max="11225" width="2.875" style="1" bestFit="1" customWidth="1"/>
    <col min="11226" max="11226" width="16.625" style="1" bestFit="1" customWidth="1"/>
    <col min="11227" max="11227" width="11.375" style="1" bestFit="1" customWidth="1"/>
    <col min="11228" max="11229" width="14.125" style="1" bestFit="1" customWidth="1"/>
    <col min="11230" max="11230" width="11.375" style="1" bestFit="1" customWidth="1"/>
    <col min="11231" max="11233" width="12.5" style="1" bestFit="1" customWidth="1"/>
    <col min="11234" max="11234" width="11" style="1" bestFit="1" customWidth="1"/>
    <col min="11235" max="11254" width="13" style="1" bestFit="1" customWidth="1"/>
    <col min="11255" max="11258" width="11" style="1" bestFit="1" customWidth="1"/>
    <col min="11259" max="11261" width="12.25" style="1" bestFit="1" customWidth="1"/>
    <col min="11262" max="11272" width="11" style="1" bestFit="1" customWidth="1"/>
    <col min="11273" max="11273" width="13.25" style="1" bestFit="1" customWidth="1"/>
    <col min="11274" max="11274" width="10" style="1" bestFit="1" customWidth="1"/>
    <col min="11275" max="11275" width="11" style="1" bestFit="1" customWidth="1"/>
    <col min="11276" max="11480" width="9" style="1"/>
    <col min="11481" max="11481" width="2.875" style="1" bestFit="1" customWidth="1"/>
    <col min="11482" max="11482" width="16.625" style="1" bestFit="1" customWidth="1"/>
    <col min="11483" max="11483" width="11.375" style="1" bestFit="1" customWidth="1"/>
    <col min="11484" max="11485" width="14.125" style="1" bestFit="1" customWidth="1"/>
    <col min="11486" max="11486" width="11.375" style="1" bestFit="1" customWidth="1"/>
    <col min="11487" max="11489" width="12.5" style="1" bestFit="1" customWidth="1"/>
    <col min="11490" max="11490" width="11" style="1" bestFit="1" customWidth="1"/>
    <col min="11491" max="11510" width="13" style="1" bestFit="1" customWidth="1"/>
    <col min="11511" max="11514" width="11" style="1" bestFit="1" customWidth="1"/>
    <col min="11515" max="11517" width="12.25" style="1" bestFit="1" customWidth="1"/>
    <col min="11518" max="11528" width="11" style="1" bestFit="1" customWidth="1"/>
    <col min="11529" max="11529" width="13.25" style="1" bestFit="1" customWidth="1"/>
    <col min="11530" max="11530" width="10" style="1" bestFit="1" customWidth="1"/>
    <col min="11531" max="11531" width="11" style="1" bestFit="1" customWidth="1"/>
    <col min="11532" max="11736" width="9" style="1"/>
    <col min="11737" max="11737" width="2.875" style="1" bestFit="1" customWidth="1"/>
    <col min="11738" max="11738" width="16.625" style="1" bestFit="1" customWidth="1"/>
    <col min="11739" max="11739" width="11.375" style="1" bestFit="1" customWidth="1"/>
    <col min="11740" max="11741" width="14.125" style="1" bestFit="1" customWidth="1"/>
    <col min="11742" max="11742" width="11.375" style="1" bestFit="1" customWidth="1"/>
    <col min="11743" max="11745" width="12.5" style="1" bestFit="1" customWidth="1"/>
    <col min="11746" max="11746" width="11" style="1" bestFit="1" customWidth="1"/>
    <col min="11747" max="11766" width="13" style="1" bestFit="1" customWidth="1"/>
    <col min="11767" max="11770" width="11" style="1" bestFit="1" customWidth="1"/>
    <col min="11771" max="11773" width="12.25" style="1" bestFit="1" customWidth="1"/>
    <col min="11774" max="11784" width="11" style="1" bestFit="1" customWidth="1"/>
    <col min="11785" max="11785" width="13.25" style="1" bestFit="1" customWidth="1"/>
    <col min="11786" max="11786" width="10" style="1" bestFit="1" customWidth="1"/>
    <col min="11787" max="11787" width="11" style="1" bestFit="1" customWidth="1"/>
    <col min="11788" max="11992" width="9" style="1"/>
    <col min="11993" max="11993" width="2.875" style="1" bestFit="1" customWidth="1"/>
    <col min="11994" max="11994" width="16.625" style="1" bestFit="1" customWidth="1"/>
    <col min="11995" max="11995" width="11.375" style="1" bestFit="1" customWidth="1"/>
    <col min="11996" max="11997" width="14.125" style="1" bestFit="1" customWidth="1"/>
    <col min="11998" max="11998" width="11.375" style="1" bestFit="1" customWidth="1"/>
    <col min="11999" max="12001" width="12.5" style="1" bestFit="1" customWidth="1"/>
    <col min="12002" max="12002" width="11" style="1" bestFit="1" customWidth="1"/>
    <col min="12003" max="12022" width="13" style="1" bestFit="1" customWidth="1"/>
    <col min="12023" max="12026" width="11" style="1" bestFit="1" customWidth="1"/>
    <col min="12027" max="12029" width="12.25" style="1" bestFit="1" customWidth="1"/>
    <col min="12030" max="12040" width="11" style="1" bestFit="1" customWidth="1"/>
    <col min="12041" max="12041" width="13.25" style="1" bestFit="1" customWidth="1"/>
    <col min="12042" max="12042" width="10" style="1" bestFit="1" customWidth="1"/>
    <col min="12043" max="12043" width="11" style="1" bestFit="1" customWidth="1"/>
    <col min="12044" max="12248" width="9" style="1"/>
    <col min="12249" max="12249" width="2.875" style="1" bestFit="1" customWidth="1"/>
    <col min="12250" max="12250" width="16.625" style="1" bestFit="1" customWidth="1"/>
    <col min="12251" max="12251" width="11.375" style="1" bestFit="1" customWidth="1"/>
    <col min="12252" max="12253" width="14.125" style="1" bestFit="1" customWidth="1"/>
    <col min="12254" max="12254" width="11.375" style="1" bestFit="1" customWidth="1"/>
    <col min="12255" max="12257" width="12.5" style="1" bestFit="1" customWidth="1"/>
    <col min="12258" max="12258" width="11" style="1" bestFit="1" customWidth="1"/>
    <col min="12259" max="12278" width="13" style="1" bestFit="1" customWidth="1"/>
    <col min="12279" max="12282" width="11" style="1" bestFit="1" customWidth="1"/>
    <col min="12283" max="12285" width="12.25" style="1" bestFit="1" customWidth="1"/>
    <col min="12286" max="12296" width="11" style="1" bestFit="1" customWidth="1"/>
    <col min="12297" max="12297" width="13.25" style="1" bestFit="1" customWidth="1"/>
    <col min="12298" max="12298" width="10" style="1" bestFit="1" customWidth="1"/>
    <col min="12299" max="12299" width="11" style="1" bestFit="1" customWidth="1"/>
    <col min="12300" max="12504" width="9" style="1"/>
    <col min="12505" max="12505" width="2.875" style="1" bestFit="1" customWidth="1"/>
    <col min="12506" max="12506" width="16.625" style="1" bestFit="1" customWidth="1"/>
    <col min="12507" max="12507" width="11.375" style="1" bestFit="1" customWidth="1"/>
    <col min="12508" max="12509" width="14.125" style="1" bestFit="1" customWidth="1"/>
    <col min="12510" max="12510" width="11.375" style="1" bestFit="1" customWidth="1"/>
    <col min="12511" max="12513" width="12.5" style="1" bestFit="1" customWidth="1"/>
    <col min="12514" max="12514" width="11" style="1" bestFit="1" customWidth="1"/>
    <col min="12515" max="12534" width="13" style="1" bestFit="1" customWidth="1"/>
    <col min="12535" max="12538" width="11" style="1" bestFit="1" customWidth="1"/>
    <col min="12539" max="12541" width="12.25" style="1" bestFit="1" customWidth="1"/>
    <col min="12542" max="12552" width="11" style="1" bestFit="1" customWidth="1"/>
    <col min="12553" max="12553" width="13.25" style="1" bestFit="1" customWidth="1"/>
    <col min="12554" max="12554" width="10" style="1" bestFit="1" customWidth="1"/>
    <col min="12555" max="12555" width="11" style="1" bestFit="1" customWidth="1"/>
    <col min="12556" max="12760" width="9" style="1"/>
    <col min="12761" max="12761" width="2.875" style="1" bestFit="1" customWidth="1"/>
    <col min="12762" max="12762" width="16.625" style="1" bestFit="1" customWidth="1"/>
    <col min="12763" max="12763" width="11.375" style="1" bestFit="1" customWidth="1"/>
    <col min="12764" max="12765" width="14.125" style="1" bestFit="1" customWidth="1"/>
    <col min="12766" max="12766" width="11.375" style="1" bestFit="1" customWidth="1"/>
    <col min="12767" max="12769" width="12.5" style="1" bestFit="1" customWidth="1"/>
    <col min="12770" max="12770" width="11" style="1" bestFit="1" customWidth="1"/>
    <col min="12771" max="12790" width="13" style="1" bestFit="1" customWidth="1"/>
    <col min="12791" max="12794" width="11" style="1" bestFit="1" customWidth="1"/>
    <col min="12795" max="12797" width="12.25" style="1" bestFit="1" customWidth="1"/>
    <col min="12798" max="12808" width="11" style="1" bestFit="1" customWidth="1"/>
    <col min="12809" max="12809" width="13.25" style="1" bestFit="1" customWidth="1"/>
    <col min="12810" max="12810" width="10" style="1" bestFit="1" customWidth="1"/>
    <col min="12811" max="12811" width="11" style="1" bestFit="1" customWidth="1"/>
    <col min="12812" max="13016" width="9" style="1"/>
    <col min="13017" max="13017" width="2.875" style="1" bestFit="1" customWidth="1"/>
    <col min="13018" max="13018" width="16.625" style="1" bestFit="1" customWidth="1"/>
    <col min="13019" max="13019" width="11.375" style="1" bestFit="1" customWidth="1"/>
    <col min="13020" max="13021" width="14.125" style="1" bestFit="1" customWidth="1"/>
    <col min="13022" max="13022" width="11.375" style="1" bestFit="1" customWidth="1"/>
    <col min="13023" max="13025" width="12.5" style="1" bestFit="1" customWidth="1"/>
    <col min="13026" max="13026" width="11" style="1" bestFit="1" customWidth="1"/>
    <col min="13027" max="13046" width="13" style="1" bestFit="1" customWidth="1"/>
    <col min="13047" max="13050" width="11" style="1" bestFit="1" customWidth="1"/>
    <col min="13051" max="13053" width="12.25" style="1" bestFit="1" customWidth="1"/>
    <col min="13054" max="13064" width="11" style="1" bestFit="1" customWidth="1"/>
    <col min="13065" max="13065" width="13.25" style="1" bestFit="1" customWidth="1"/>
    <col min="13066" max="13066" width="10" style="1" bestFit="1" customWidth="1"/>
    <col min="13067" max="13067" width="11" style="1" bestFit="1" customWidth="1"/>
    <col min="13068" max="13272" width="9" style="1"/>
    <col min="13273" max="13273" width="2.875" style="1" bestFit="1" customWidth="1"/>
    <col min="13274" max="13274" width="16.625" style="1" bestFit="1" customWidth="1"/>
    <col min="13275" max="13275" width="11.375" style="1" bestFit="1" customWidth="1"/>
    <col min="13276" max="13277" width="14.125" style="1" bestFit="1" customWidth="1"/>
    <col min="13278" max="13278" width="11.375" style="1" bestFit="1" customWidth="1"/>
    <col min="13279" max="13281" width="12.5" style="1" bestFit="1" customWidth="1"/>
    <col min="13282" max="13282" width="11" style="1" bestFit="1" customWidth="1"/>
    <col min="13283" max="13302" width="13" style="1" bestFit="1" customWidth="1"/>
    <col min="13303" max="13306" width="11" style="1" bestFit="1" customWidth="1"/>
    <col min="13307" max="13309" width="12.25" style="1" bestFit="1" customWidth="1"/>
    <col min="13310" max="13320" width="11" style="1" bestFit="1" customWidth="1"/>
    <col min="13321" max="13321" width="13.25" style="1" bestFit="1" customWidth="1"/>
    <col min="13322" max="13322" width="10" style="1" bestFit="1" customWidth="1"/>
    <col min="13323" max="13323" width="11" style="1" bestFit="1" customWidth="1"/>
    <col min="13324" max="13528" width="9" style="1"/>
    <col min="13529" max="13529" width="2.875" style="1" bestFit="1" customWidth="1"/>
    <col min="13530" max="13530" width="16.625" style="1" bestFit="1" customWidth="1"/>
    <col min="13531" max="13531" width="11.375" style="1" bestFit="1" customWidth="1"/>
    <col min="13532" max="13533" width="14.125" style="1" bestFit="1" customWidth="1"/>
    <col min="13534" max="13534" width="11.375" style="1" bestFit="1" customWidth="1"/>
    <col min="13535" max="13537" width="12.5" style="1" bestFit="1" customWidth="1"/>
    <col min="13538" max="13538" width="11" style="1" bestFit="1" customWidth="1"/>
    <col min="13539" max="13558" width="13" style="1" bestFit="1" customWidth="1"/>
    <col min="13559" max="13562" width="11" style="1" bestFit="1" customWidth="1"/>
    <col min="13563" max="13565" width="12.25" style="1" bestFit="1" customWidth="1"/>
    <col min="13566" max="13576" width="11" style="1" bestFit="1" customWidth="1"/>
    <col min="13577" max="13577" width="13.25" style="1" bestFit="1" customWidth="1"/>
    <col min="13578" max="13578" width="10" style="1" bestFit="1" customWidth="1"/>
    <col min="13579" max="13579" width="11" style="1" bestFit="1" customWidth="1"/>
    <col min="13580" max="13784" width="9" style="1"/>
    <col min="13785" max="13785" width="2.875" style="1" bestFit="1" customWidth="1"/>
    <col min="13786" max="13786" width="16.625" style="1" bestFit="1" customWidth="1"/>
    <col min="13787" max="13787" width="11.375" style="1" bestFit="1" customWidth="1"/>
    <col min="13788" max="13789" width="14.125" style="1" bestFit="1" customWidth="1"/>
    <col min="13790" max="13790" width="11.375" style="1" bestFit="1" customWidth="1"/>
    <col min="13791" max="13793" width="12.5" style="1" bestFit="1" customWidth="1"/>
    <col min="13794" max="13794" width="11" style="1" bestFit="1" customWidth="1"/>
    <col min="13795" max="13814" width="13" style="1" bestFit="1" customWidth="1"/>
    <col min="13815" max="13818" width="11" style="1" bestFit="1" customWidth="1"/>
    <col min="13819" max="13821" width="12.25" style="1" bestFit="1" customWidth="1"/>
    <col min="13822" max="13832" width="11" style="1" bestFit="1" customWidth="1"/>
    <col min="13833" max="13833" width="13.25" style="1" bestFit="1" customWidth="1"/>
    <col min="13834" max="13834" width="10" style="1" bestFit="1" customWidth="1"/>
    <col min="13835" max="13835" width="11" style="1" bestFit="1" customWidth="1"/>
    <col min="13836" max="14040" width="9" style="1"/>
    <col min="14041" max="14041" width="2.875" style="1" bestFit="1" customWidth="1"/>
    <col min="14042" max="14042" width="16.625" style="1" bestFit="1" customWidth="1"/>
    <col min="14043" max="14043" width="11.375" style="1" bestFit="1" customWidth="1"/>
    <col min="14044" max="14045" width="14.125" style="1" bestFit="1" customWidth="1"/>
    <col min="14046" max="14046" width="11.375" style="1" bestFit="1" customWidth="1"/>
    <col min="14047" max="14049" width="12.5" style="1" bestFit="1" customWidth="1"/>
    <col min="14050" max="14050" width="11" style="1" bestFit="1" customWidth="1"/>
    <col min="14051" max="14070" width="13" style="1" bestFit="1" customWidth="1"/>
    <col min="14071" max="14074" width="11" style="1" bestFit="1" customWidth="1"/>
    <col min="14075" max="14077" width="12.25" style="1" bestFit="1" customWidth="1"/>
    <col min="14078" max="14088" width="11" style="1" bestFit="1" customWidth="1"/>
    <col min="14089" max="14089" width="13.25" style="1" bestFit="1" customWidth="1"/>
    <col min="14090" max="14090" width="10" style="1" bestFit="1" customWidth="1"/>
    <col min="14091" max="14091" width="11" style="1" bestFit="1" customWidth="1"/>
    <col min="14092" max="14296" width="9" style="1"/>
    <col min="14297" max="14297" width="2.875" style="1" bestFit="1" customWidth="1"/>
    <col min="14298" max="14298" width="16.625" style="1" bestFit="1" customWidth="1"/>
    <col min="14299" max="14299" width="11.375" style="1" bestFit="1" customWidth="1"/>
    <col min="14300" max="14301" width="14.125" style="1" bestFit="1" customWidth="1"/>
    <col min="14302" max="14302" width="11.375" style="1" bestFit="1" customWidth="1"/>
    <col min="14303" max="14305" width="12.5" style="1" bestFit="1" customWidth="1"/>
    <col min="14306" max="14306" width="11" style="1" bestFit="1" customWidth="1"/>
    <col min="14307" max="14326" width="13" style="1" bestFit="1" customWidth="1"/>
    <col min="14327" max="14330" width="11" style="1" bestFit="1" customWidth="1"/>
    <col min="14331" max="14333" width="12.25" style="1" bestFit="1" customWidth="1"/>
    <col min="14334" max="14344" width="11" style="1" bestFit="1" customWidth="1"/>
    <col min="14345" max="14345" width="13.25" style="1" bestFit="1" customWidth="1"/>
    <col min="14346" max="14346" width="10" style="1" bestFit="1" customWidth="1"/>
    <col min="14347" max="14347" width="11" style="1" bestFit="1" customWidth="1"/>
    <col min="14348" max="14552" width="9" style="1"/>
    <col min="14553" max="14553" width="2.875" style="1" bestFit="1" customWidth="1"/>
    <col min="14554" max="14554" width="16.625" style="1" bestFit="1" customWidth="1"/>
    <col min="14555" max="14555" width="11.375" style="1" bestFit="1" customWidth="1"/>
    <col min="14556" max="14557" width="14.125" style="1" bestFit="1" customWidth="1"/>
    <col min="14558" max="14558" width="11.375" style="1" bestFit="1" customWidth="1"/>
    <col min="14559" max="14561" width="12.5" style="1" bestFit="1" customWidth="1"/>
    <col min="14562" max="14562" width="11" style="1" bestFit="1" customWidth="1"/>
    <col min="14563" max="14582" width="13" style="1" bestFit="1" customWidth="1"/>
    <col min="14583" max="14586" width="11" style="1" bestFit="1" customWidth="1"/>
    <col min="14587" max="14589" width="12.25" style="1" bestFit="1" customWidth="1"/>
    <col min="14590" max="14600" width="11" style="1" bestFit="1" customWidth="1"/>
    <col min="14601" max="14601" width="13.25" style="1" bestFit="1" customWidth="1"/>
    <col min="14602" max="14602" width="10" style="1" bestFit="1" customWidth="1"/>
    <col min="14603" max="14603" width="11" style="1" bestFit="1" customWidth="1"/>
    <col min="14604" max="14808" width="9" style="1"/>
    <col min="14809" max="14809" width="2.875" style="1" bestFit="1" customWidth="1"/>
    <col min="14810" max="14810" width="16.625" style="1" bestFit="1" customWidth="1"/>
    <col min="14811" max="14811" width="11.375" style="1" bestFit="1" customWidth="1"/>
    <col min="14812" max="14813" width="14.125" style="1" bestFit="1" customWidth="1"/>
    <col min="14814" max="14814" width="11.375" style="1" bestFit="1" customWidth="1"/>
    <col min="14815" max="14817" width="12.5" style="1" bestFit="1" customWidth="1"/>
    <col min="14818" max="14818" width="11" style="1" bestFit="1" customWidth="1"/>
    <col min="14819" max="14838" width="13" style="1" bestFit="1" customWidth="1"/>
    <col min="14839" max="14842" width="11" style="1" bestFit="1" customWidth="1"/>
    <col min="14843" max="14845" width="12.25" style="1" bestFit="1" customWidth="1"/>
    <col min="14846" max="14856" width="11" style="1" bestFit="1" customWidth="1"/>
    <col min="14857" max="14857" width="13.25" style="1" bestFit="1" customWidth="1"/>
    <col min="14858" max="14858" width="10" style="1" bestFit="1" customWidth="1"/>
    <col min="14859" max="14859" width="11" style="1" bestFit="1" customWidth="1"/>
    <col min="14860" max="15064" width="9" style="1"/>
    <col min="15065" max="15065" width="2.875" style="1" bestFit="1" customWidth="1"/>
    <col min="15066" max="15066" width="16.625" style="1" bestFit="1" customWidth="1"/>
    <col min="15067" max="15067" width="11.375" style="1" bestFit="1" customWidth="1"/>
    <col min="15068" max="15069" width="14.125" style="1" bestFit="1" customWidth="1"/>
    <col min="15070" max="15070" width="11.375" style="1" bestFit="1" customWidth="1"/>
    <col min="15071" max="15073" width="12.5" style="1" bestFit="1" customWidth="1"/>
    <col min="15074" max="15074" width="11" style="1" bestFit="1" customWidth="1"/>
    <col min="15075" max="15094" width="13" style="1" bestFit="1" customWidth="1"/>
    <col min="15095" max="15098" width="11" style="1" bestFit="1" customWidth="1"/>
    <col min="15099" max="15101" width="12.25" style="1" bestFit="1" customWidth="1"/>
    <col min="15102" max="15112" width="11" style="1" bestFit="1" customWidth="1"/>
    <col min="15113" max="15113" width="13.25" style="1" bestFit="1" customWidth="1"/>
    <col min="15114" max="15114" width="10" style="1" bestFit="1" customWidth="1"/>
    <col min="15115" max="15115" width="11" style="1" bestFit="1" customWidth="1"/>
    <col min="15116" max="15320" width="9" style="1"/>
    <col min="15321" max="15321" width="2.875" style="1" bestFit="1" customWidth="1"/>
    <col min="15322" max="15322" width="16.625" style="1" bestFit="1" customWidth="1"/>
    <col min="15323" max="15323" width="11.375" style="1" bestFit="1" customWidth="1"/>
    <col min="15324" max="15325" width="14.125" style="1" bestFit="1" customWidth="1"/>
    <col min="15326" max="15326" width="11.375" style="1" bestFit="1" customWidth="1"/>
    <col min="15327" max="15329" width="12.5" style="1" bestFit="1" customWidth="1"/>
    <col min="15330" max="15330" width="11" style="1" bestFit="1" customWidth="1"/>
    <col min="15331" max="15350" width="13" style="1" bestFit="1" customWidth="1"/>
    <col min="15351" max="15354" width="11" style="1" bestFit="1" customWidth="1"/>
    <col min="15355" max="15357" width="12.25" style="1" bestFit="1" customWidth="1"/>
    <col min="15358" max="15368" width="11" style="1" bestFit="1" customWidth="1"/>
    <col min="15369" max="15369" width="13.25" style="1" bestFit="1" customWidth="1"/>
    <col min="15370" max="15370" width="10" style="1" bestFit="1" customWidth="1"/>
    <col min="15371" max="15371" width="11" style="1" bestFit="1" customWidth="1"/>
    <col min="15372" max="15576" width="9" style="1"/>
    <col min="15577" max="15577" width="2.875" style="1" bestFit="1" customWidth="1"/>
    <col min="15578" max="15578" width="16.625" style="1" bestFit="1" customWidth="1"/>
    <col min="15579" max="15579" width="11.375" style="1" bestFit="1" customWidth="1"/>
    <col min="15580" max="15581" width="14.125" style="1" bestFit="1" customWidth="1"/>
    <col min="15582" max="15582" width="11.375" style="1" bestFit="1" customWidth="1"/>
    <col min="15583" max="15585" width="12.5" style="1" bestFit="1" customWidth="1"/>
    <col min="15586" max="15586" width="11" style="1" bestFit="1" customWidth="1"/>
    <col min="15587" max="15606" width="13" style="1" bestFit="1" customWidth="1"/>
    <col min="15607" max="15610" width="11" style="1" bestFit="1" customWidth="1"/>
    <col min="15611" max="15613" width="12.25" style="1" bestFit="1" customWidth="1"/>
    <col min="15614" max="15624" width="11" style="1" bestFit="1" customWidth="1"/>
    <col min="15625" max="15625" width="13.25" style="1" bestFit="1" customWidth="1"/>
    <col min="15626" max="15626" width="10" style="1" bestFit="1" customWidth="1"/>
    <col min="15627" max="15627" width="11" style="1" bestFit="1" customWidth="1"/>
    <col min="15628" max="15832" width="9" style="1"/>
    <col min="15833" max="15833" width="2.875" style="1" bestFit="1" customWidth="1"/>
    <col min="15834" max="15834" width="16.625" style="1" bestFit="1" customWidth="1"/>
    <col min="15835" max="15835" width="11.375" style="1" bestFit="1" customWidth="1"/>
    <col min="15836" max="15837" width="14.125" style="1" bestFit="1" customWidth="1"/>
    <col min="15838" max="15838" width="11.375" style="1" bestFit="1" customWidth="1"/>
    <col min="15839" max="15841" width="12.5" style="1" bestFit="1" customWidth="1"/>
    <col min="15842" max="15842" width="11" style="1" bestFit="1" customWidth="1"/>
    <col min="15843" max="15862" width="13" style="1" bestFit="1" customWidth="1"/>
    <col min="15863" max="15866" width="11" style="1" bestFit="1" customWidth="1"/>
    <col min="15867" max="15869" width="12.25" style="1" bestFit="1" customWidth="1"/>
    <col min="15870" max="15880" width="11" style="1" bestFit="1" customWidth="1"/>
    <col min="15881" max="15881" width="13.25" style="1" bestFit="1" customWidth="1"/>
    <col min="15882" max="15882" width="10" style="1" bestFit="1" customWidth="1"/>
    <col min="15883" max="15883" width="11" style="1" bestFit="1" customWidth="1"/>
    <col min="15884" max="16088" width="9" style="1"/>
    <col min="16089" max="16089" width="2.875" style="1" bestFit="1" customWidth="1"/>
    <col min="16090" max="16090" width="16.625" style="1" bestFit="1" customWidth="1"/>
    <col min="16091" max="16091" width="11.375" style="1" bestFit="1" customWidth="1"/>
    <col min="16092" max="16093" width="14.125" style="1" bestFit="1" customWidth="1"/>
    <col min="16094" max="16094" width="11.375" style="1" bestFit="1" customWidth="1"/>
    <col min="16095" max="16097" width="12.5" style="1" bestFit="1" customWidth="1"/>
    <col min="16098" max="16098" width="11" style="1" bestFit="1" customWidth="1"/>
    <col min="16099" max="16118" width="13" style="1" bestFit="1" customWidth="1"/>
    <col min="16119" max="16122" width="11" style="1" bestFit="1" customWidth="1"/>
    <col min="16123" max="16125" width="12.25" style="1" bestFit="1" customWidth="1"/>
    <col min="16126" max="16136" width="11" style="1" bestFit="1" customWidth="1"/>
    <col min="16137" max="16137" width="13.25" style="1" bestFit="1" customWidth="1"/>
    <col min="16138" max="16138" width="10" style="1" bestFit="1" customWidth="1"/>
    <col min="16139" max="16139" width="11" style="1" bestFit="1" customWidth="1"/>
    <col min="16140" max="16384" width="9" style="1"/>
  </cols>
  <sheetData>
    <row r="2" spans="1:11" ht="30.75" customHeight="1" x14ac:dyDescent="0.15"/>
    <row r="3" spans="1:11" ht="17.25" x14ac:dyDescent="0.2">
      <c r="A3" s="47">
        <v>45658</v>
      </c>
      <c r="B3" s="47"/>
      <c r="C3" s="45" t="s">
        <v>223</v>
      </c>
    </row>
    <row r="4" spans="1:11" s="5" customFormat="1" x14ac:dyDescent="0.15">
      <c r="A4" s="48" t="s">
        <v>0</v>
      </c>
      <c r="B4" s="48"/>
      <c r="C4" s="2" t="s">
        <v>155</v>
      </c>
      <c r="D4" s="2" t="s">
        <v>156</v>
      </c>
      <c r="E4" s="2" t="s">
        <v>34</v>
      </c>
      <c r="F4" s="2" t="s">
        <v>35</v>
      </c>
      <c r="G4" s="2" t="s">
        <v>36</v>
      </c>
      <c r="H4" s="2" t="s">
        <v>37</v>
      </c>
      <c r="I4" s="3" t="s">
        <v>41</v>
      </c>
      <c r="J4" s="3" t="s">
        <v>42</v>
      </c>
      <c r="K4" s="4" t="s">
        <v>43</v>
      </c>
    </row>
    <row r="5" spans="1:11" s="5" customFormat="1" hidden="1" x14ac:dyDescent="0.15">
      <c r="A5" s="49" t="s">
        <v>44</v>
      </c>
      <c r="B5" s="50"/>
      <c r="C5" s="2">
        <v>7</v>
      </c>
      <c r="D5" s="2">
        <v>7</v>
      </c>
      <c r="E5" s="2">
        <v>7</v>
      </c>
      <c r="F5" s="2">
        <v>7</v>
      </c>
      <c r="G5" s="2">
        <v>7</v>
      </c>
      <c r="H5" s="2">
        <v>7</v>
      </c>
      <c r="I5" s="3"/>
      <c r="J5" s="3"/>
      <c r="K5" s="4"/>
    </row>
    <row r="6" spans="1:11" s="5" customFormat="1" hidden="1" x14ac:dyDescent="0.15">
      <c r="A6" s="49" t="s">
        <v>45</v>
      </c>
      <c r="B6" s="50"/>
      <c r="C6" s="2" t="s">
        <v>49</v>
      </c>
      <c r="D6" s="2" t="s">
        <v>49</v>
      </c>
      <c r="E6" s="2" t="s">
        <v>49</v>
      </c>
      <c r="F6" s="2" t="s">
        <v>49</v>
      </c>
      <c r="G6" s="2" t="s">
        <v>49</v>
      </c>
      <c r="H6" s="2" t="s">
        <v>49</v>
      </c>
      <c r="I6" s="3"/>
      <c r="J6" s="3"/>
      <c r="K6" s="4"/>
    </row>
    <row r="7" spans="1:11" s="5" customFormat="1" x14ac:dyDescent="0.15">
      <c r="A7" s="46" t="s">
        <v>51</v>
      </c>
      <c r="B7" s="46"/>
      <c r="C7" s="44" t="s">
        <v>186</v>
      </c>
      <c r="D7" s="44" t="s">
        <v>187</v>
      </c>
      <c r="E7" s="6" t="s">
        <v>173</v>
      </c>
      <c r="F7" s="6" t="s">
        <v>178</v>
      </c>
      <c r="G7" s="44" t="s">
        <v>187</v>
      </c>
      <c r="H7" s="6"/>
      <c r="I7" s="7"/>
      <c r="J7" s="7"/>
      <c r="K7" s="8"/>
    </row>
    <row r="8" spans="1:11" s="5" customFormat="1" x14ac:dyDescent="0.15">
      <c r="A8" s="46" t="s">
        <v>52</v>
      </c>
      <c r="B8" s="46"/>
      <c r="C8" s="6" t="s">
        <v>216</v>
      </c>
      <c r="D8" s="6" t="s">
        <v>217</v>
      </c>
      <c r="E8" s="6" t="s">
        <v>218</v>
      </c>
      <c r="F8" s="6" t="s">
        <v>191</v>
      </c>
      <c r="G8" s="6" t="s">
        <v>219</v>
      </c>
      <c r="H8" s="6"/>
      <c r="I8" s="7"/>
      <c r="J8" s="7"/>
      <c r="K8" s="8"/>
    </row>
    <row r="9" spans="1:11" x14ac:dyDescent="0.15">
      <c r="A9" s="52" t="s">
        <v>53</v>
      </c>
      <c r="B9" s="53"/>
      <c r="C9" s="9">
        <v>14</v>
      </c>
      <c r="D9" s="9">
        <v>14</v>
      </c>
      <c r="E9" s="9">
        <v>8</v>
      </c>
      <c r="F9" s="9">
        <v>8</v>
      </c>
      <c r="G9" s="9">
        <v>8</v>
      </c>
      <c r="H9" s="9"/>
      <c r="I9" s="10">
        <f>SUM(C9:H9)</f>
        <v>52</v>
      </c>
      <c r="J9" s="10"/>
      <c r="K9" s="11"/>
    </row>
    <row r="10" spans="1:11" x14ac:dyDescent="0.15">
      <c r="A10" s="48" t="s">
        <v>54</v>
      </c>
      <c r="B10" s="48"/>
      <c r="C10" s="12" t="s">
        <v>64</v>
      </c>
      <c r="D10" s="12" t="s">
        <v>64</v>
      </c>
      <c r="E10" s="12" t="s">
        <v>61</v>
      </c>
      <c r="F10" s="12" t="s">
        <v>61</v>
      </c>
      <c r="G10" s="12" t="s">
        <v>61</v>
      </c>
      <c r="H10" s="12"/>
      <c r="I10" s="13"/>
      <c r="J10" s="13"/>
      <c r="K10" s="14"/>
    </row>
    <row r="11" spans="1:11" x14ac:dyDescent="0.15">
      <c r="A11" s="48" t="s">
        <v>65</v>
      </c>
      <c r="B11" s="48"/>
      <c r="C11" s="15">
        <v>3952.5</v>
      </c>
      <c r="D11" s="15">
        <v>2662.5</v>
      </c>
      <c r="E11" s="15">
        <v>1696.3</v>
      </c>
      <c r="F11" s="15">
        <v>4373.4000000000005</v>
      </c>
      <c r="G11" s="15">
        <v>1093</v>
      </c>
      <c r="H11" s="15">
        <v>0</v>
      </c>
      <c r="I11" s="17">
        <f>SUM(C11:H11)</f>
        <v>13777.7</v>
      </c>
      <c r="J11" s="17">
        <f t="shared" ref="J11:J42" si="0">AVERAGE(C11:H11)</f>
        <v>2296.2833333333333</v>
      </c>
      <c r="K11" s="14"/>
    </row>
    <row r="12" spans="1:11" x14ac:dyDescent="0.15">
      <c r="A12" s="49" t="s">
        <v>66</v>
      </c>
      <c r="B12" s="54"/>
      <c r="C12" s="19">
        <v>7.4652777777777777</v>
      </c>
      <c r="D12" s="19">
        <v>3.7819444444444446</v>
      </c>
      <c r="E12" s="19">
        <v>3.3118055555555554</v>
      </c>
      <c r="F12" s="19">
        <v>7.6437499999999998</v>
      </c>
      <c r="G12" s="19">
        <v>1.8277777777777777</v>
      </c>
      <c r="H12" s="19">
        <v>0</v>
      </c>
      <c r="I12" s="21">
        <f>SUM(C12:H12)</f>
        <v>24.030555555555555</v>
      </c>
      <c r="J12" s="21">
        <f t="shared" si="0"/>
        <v>4.0050925925925922</v>
      </c>
      <c r="K12" s="14"/>
    </row>
    <row r="13" spans="1:11" x14ac:dyDescent="0.15">
      <c r="A13" s="48" t="s">
        <v>67</v>
      </c>
      <c r="B13" s="48"/>
      <c r="C13" s="15">
        <v>1754700</v>
      </c>
      <c r="D13" s="15">
        <v>755100</v>
      </c>
      <c r="E13" s="15">
        <v>441500</v>
      </c>
      <c r="F13" s="15">
        <v>1077800</v>
      </c>
      <c r="G13" s="15">
        <v>242300</v>
      </c>
      <c r="H13" s="15">
        <v>310718</v>
      </c>
      <c r="I13" s="17">
        <f>SUM(C13:H13)</f>
        <v>4582118</v>
      </c>
      <c r="J13" s="17">
        <f t="shared" si="0"/>
        <v>763686.33333333337</v>
      </c>
      <c r="K13" s="14">
        <f>I13/I13</f>
        <v>1</v>
      </c>
    </row>
    <row r="14" spans="1:11" x14ac:dyDescent="0.15">
      <c r="A14" s="49" t="s">
        <v>68</v>
      </c>
      <c r="B14" s="54"/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7">
        <f>SUM(C14:H14)</f>
        <v>0</v>
      </c>
      <c r="J14" s="17">
        <f t="shared" si="0"/>
        <v>0</v>
      </c>
      <c r="K14" s="14"/>
    </row>
    <row r="15" spans="1:11" x14ac:dyDescent="0.15">
      <c r="A15" s="48" t="s">
        <v>69</v>
      </c>
      <c r="B15" s="48"/>
      <c r="C15" s="15">
        <f t="shared" ref="C15:H15" si="1">SUM(C13/C11)</f>
        <v>443.94686907020872</v>
      </c>
      <c r="D15" s="15">
        <f t="shared" si="1"/>
        <v>283.6056338028169</v>
      </c>
      <c r="E15" s="15">
        <f t="shared" si="1"/>
        <v>260.27235748393565</v>
      </c>
      <c r="F15" s="15">
        <f t="shared" si="1"/>
        <v>246.44441395710427</v>
      </c>
      <c r="G15" s="15">
        <f t="shared" si="1"/>
        <v>221.68344007319305</v>
      </c>
      <c r="H15" s="15" t="e">
        <f t="shared" si="1"/>
        <v>#DIV/0!</v>
      </c>
      <c r="I15" s="13">
        <f>SUM(I13/I11)</f>
        <v>332.57495808444077</v>
      </c>
      <c r="J15" s="17" t="e">
        <f t="shared" si="0"/>
        <v>#DIV/0!</v>
      </c>
      <c r="K15" s="14"/>
    </row>
    <row r="16" spans="1:11" x14ac:dyDescent="0.15">
      <c r="A16" s="49" t="s">
        <v>70</v>
      </c>
      <c r="B16" s="54"/>
      <c r="C16" s="22">
        <f t="shared" ref="C16:I16" si="2">C13/(C12*24)</f>
        <v>9793.6744186046508</v>
      </c>
      <c r="D16" s="22">
        <f t="shared" si="2"/>
        <v>8319.1333088505326</v>
      </c>
      <c r="E16" s="22">
        <f t="shared" si="2"/>
        <v>5554.6236108198782</v>
      </c>
      <c r="F16" s="22">
        <f t="shared" si="2"/>
        <v>5875.1703461433635</v>
      </c>
      <c r="G16" s="22">
        <f t="shared" si="2"/>
        <v>5523.5562310030391</v>
      </c>
      <c r="H16" s="22" t="e">
        <f t="shared" si="2"/>
        <v>#DIV/0!</v>
      </c>
      <c r="I16" s="24">
        <f t="shared" si="2"/>
        <v>7944.950872731476</v>
      </c>
      <c r="J16" s="24" t="e">
        <f t="shared" si="0"/>
        <v>#DIV/0!</v>
      </c>
      <c r="K16" s="14"/>
    </row>
    <row r="17" spans="1:11" x14ac:dyDescent="0.15">
      <c r="A17" s="51" t="s">
        <v>71</v>
      </c>
      <c r="B17" s="12" t="s">
        <v>72</v>
      </c>
      <c r="C17" s="15">
        <v>0</v>
      </c>
      <c r="D17" s="15">
        <v>0</v>
      </c>
      <c r="E17" s="15">
        <v>0</v>
      </c>
      <c r="F17" s="15">
        <v>0</v>
      </c>
      <c r="G17" s="15">
        <v>48750</v>
      </c>
      <c r="H17" s="15">
        <v>0</v>
      </c>
      <c r="I17" s="17">
        <f t="shared" ref="I17:I28" si="3">SUM(C17:H17)</f>
        <v>48750</v>
      </c>
      <c r="J17" s="17">
        <f t="shared" si="0"/>
        <v>8125</v>
      </c>
      <c r="K17" s="14">
        <f>I17/I13</f>
        <v>1.0639184761282883E-2</v>
      </c>
    </row>
    <row r="18" spans="1:11" x14ac:dyDescent="0.15">
      <c r="A18" s="51"/>
      <c r="B18" s="12" t="s">
        <v>73</v>
      </c>
      <c r="C18" s="15">
        <v>6950</v>
      </c>
      <c r="D18" s="15">
        <v>7075</v>
      </c>
      <c r="E18" s="15">
        <v>4025</v>
      </c>
      <c r="F18" s="15">
        <v>4825</v>
      </c>
      <c r="G18" s="15">
        <v>2410</v>
      </c>
      <c r="H18" s="15">
        <v>0</v>
      </c>
      <c r="I18" s="17">
        <f t="shared" si="3"/>
        <v>25285</v>
      </c>
      <c r="J18" s="17">
        <f t="shared" si="0"/>
        <v>4214.166666666667</v>
      </c>
      <c r="K18" s="14">
        <f>I18/I13</f>
        <v>5.5181904961853889E-3</v>
      </c>
    </row>
    <row r="19" spans="1:11" x14ac:dyDescent="0.15">
      <c r="A19" s="51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7">
        <f t="shared" si="3"/>
        <v>0</v>
      </c>
      <c r="J19" s="17">
        <f t="shared" si="0"/>
        <v>0</v>
      </c>
      <c r="K19" s="14">
        <f>I19/I13</f>
        <v>0</v>
      </c>
    </row>
    <row r="20" spans="1:11" x14ac:dyDescent="0.15">
      <c r="A20" s="51"/>
      <c r="B20" s="12" t="s">
        <v>75</v>
      </c>
      <c r="C20" s="15">
        <v>8333</v>
      </c>
      <c r="D20" s="15">
        <v>9333</v>
      </c>
      <c r="E20" s="15">
        <v>4583</v>
      </c>
      <c r="F20" s="15">
        <v>4950</v>
      </c>
      <c r="G20" s="15">
        <v>4766</v>
      </c>
      <c r="H20" s="15">
        <v>0</v>
      </c>
      <c r="I20" s="17">
        <f t="shared" si="3"/>
        <v>31965</v>
      </c>
      <c r="J20" s="17">
        <f t="shared" si="0"/>
        <v>5327.5</v>
      </c>
      <c r="K20" s="14">
        <f>I20/I13</f>
        <v>6.9760316080904067E-3</v>
      </c>
    </row>
    <row r="21" spans="1:11" x14ac:dyDescent="0.15">
      <c r="A21" s="51"/>
      <c r="B21" s="12" t="s">
        <v>76</v>
      </c>
      <c r="C21" s="15">
        <v>45533</v>
      </c>
      <c r="D21" s="15">
        <v>37504</v>
      </c>
      <c r="E21" s="15">
        <v>27800</v>
      </c>
      <c r="F21" s="15">
        <v>35758</v>
      </c>
      <c r="G21" s="15">
        <v>34656</v>
      </c>
      <c r="H21" s="15">
        <v>0</v>
      </c>
      <c r="I21" s="17">
        <f t="shared" si="3"/>
        <v>181251</v>
      </c>
      <c r="J21" s="17">
        <f t="shared" si="0"/>
        <v>30208.5</v>
      </c>
      <c r="K21" s="14">
        <f>I21/I13</f>
        <v>3.9556161582918643E-2</v>
      </c>
    </row>
    <row r="22" spans="1:11" x14ac:dyDescent="0.15">
      <c r="A22" s="51"/>
      <c r="B22" s="25" t="s">
        <v>77</v>
      </c>
      <c r="C22" s="26">
        <f t="shared" ref="C22:H22" si="4">SUM(C17:C21)</f>
        <v>60816</v>
      </c>
      <c r="D22" s="26">
        <f t="shared" si="4"/>
        <v>53912</v>
      </c>
      <c r="E22" s="26">
        <f t="shared" si="4"/>
        <v>36408</v>
      </c>
      <c r="F22" s="26">
        <f t="shared" si="4"/>
        <v>45533</v>
      </c>
      <c r="G22" s="26">
        <f t="shared" si="4"/>
        <v>90582</v>
      </c>
      <c r="H22" s="26">
        <f t="shared" si="4"/>
        <v>0</v>
      </c>
      <c r="I22" s="28">
        <f t="shared" si="3"/>
        <v>287251</v>
      </c>
      <c r="J22" s="28">
        <f t="shared" si="0"/>
        <v>47875.166666666664</v>
      </c>
      <c r="K22" s="29">
        <f>I22/I13</f>
        <v>6.2689568448477326E-2</v>
      </c>
    </row>
    <row r="23" spans="1:11" x14ac:dyDescent="0.15">
      <c r="A23" s="51" t="s">
        <v>78</v>
      </c>
      <c r="B23" s="12" t="s">
        <v>79</v>
      </c>
      <c r="C23" s="15">
        <v>24400</v>
      </c>
      <c r="D23" s="15">
        <v>0</v>
      </c>
      <c r="E23" s="15">
        <v>0</v>
      </c>
      <c r="F23" s="15">
        <v>0</v>
      </c>
      <c r="G23" s="15">
        <v>0</v>
      </c>
      <c r="H23" s="15">
        <v>0</v>
      </c>
      <c r="I23" s="17">
        <f t="shared" si="3"/>
        <v>24400</v>
      </c>
      <c r="J23" s="17">
        <f t="shared" si="0"/>
        <v>4066.6666666666665</v>
      </c>
      <c r="K23" s="14">
        <f>I23/I13</f>
        <v>5.3250483728267146E-3</v>
      </c>
    </row>
    <row r="24" spans="1:11" x14ac:dyDescent="0.15">
      <c r="A24" s="51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5">
        <v>0</v>
      </c>
      <c r="H24" s="15">
        <v>0</v>
      </c>
      <c r="I24" s="17">
        <f t="shared" si="3"/>
        <v>0</v>
      </c>
      <c r="J24" s="17">
        <f t="shared" si="0"/>
        <v>0</v>
      </c>
      <c r="K24" s="14">
        <f>I24/I13</f>
        <v>0</v>
      </c>
    </row>
    <row r="25" spans="1:11" x14ac:dyDescent="0.15">
      <c r="A25" s="51"/>
      <c r="B25" s="12" t="s">
        <v>81</v>
      </c>
      <c r="C25" s="15">
        <f t="shared" ref="C25:H25" si="5">30000*C9/70000*C11</f>
        <v>23715</v>
      </c>
      <c r="D25" s="15">
        <f t="shared" si="5"/>
        <v>15975</v>
      </c>
      <c r="E25" s="15">
        <f t="shared" si="5"/>
        <v>5815.8857142857141</v>
      </c>
      <c r="F25" s="15">
        <f t="shared" si="5"/>
        <v>14994.514285714287</v>
      </c>
      <c r="G25" s="15">
        <f t="shared" si="5"/>
        <v>3747.4285714285711</v>
      </c>
      <c r="H25" s="15">
        <f t="shared" si="5"/>
        <v>0</v>
      </c>
      <c r="I25" s="17">
        <f t="shared" si="3"/>
        <v>64247.828571428574</v>
      </c>
      <c r="J25" s="17">
        <f t="shared" si="0"/>
        <v>10707.971428571429</v>
      </c>
      <c r="K25" s="14">
        <f>I25/I13</f>
        <v>1.4021426024259648E-2</v>
      </c>
    </row>
    <row r="26" spans="1:11" x14ac:dyDescent="0.15">
      <c r="A26" s="51"/>
      <c r="B26" s="12"/>
      <c r="C26" s="15">
        <v>0</v>
      </c>
      <c r="D26" s="15">
        <v>0</v>
      </c>
      <c r="E26" s="15">
        <v>0</v>
      </c>
      <c r="F26" s="15">
        <v>0</v>
      </c>
      <c r="G26" s="15">
        <v>0</v>
      </c>
      <c r="H26" s="15">
        <v>0</v>
      </c>
      <c r="I26" s="17">
        <f t="shared" si="3"/>
        <v>0</v>
      </c>
      <c r="J26" s="17">
        <f t="shared" si="0"/>
        <v>0</v>
      </c>
      <c r="K26" s="14">
        <f>I26/I13</f>
        <v>0</v>
      </c>
    </row>
    <row r="27" spans="1:11" x14ac:dyDescent="0.15">
      <c r="A27" s="51"/>
      <c r="B27" s="25" t="s">
        <v>82</v>
      </c>
      <c r="C27" s="26">
        <f t="shared" ref="C27:H27" si="6">SUM(C23:C26)</f>
        <v>48115</v>
      </c>
      <c r="D27" s="26">
        <f t="shared" si="6"/>
        <v>15975</v>
      </c>
      <c r="E27" s="26">
        <f t="shared" si="6"/>
        <v>5815.8857142857141</v>
      </c>
      <c r="F27" s="26">
        <f t="shared" si="6"/>
        <v>14994.514285714287</v>
      </c>
      <c r="G27" s="26">
        <f t="shared" si="6"/>
        <v>3747.4285714285711</v>
      </c>
      <c r="H27" s="26">
        <f t="shared" si="6"/>
        <v>0</v>
      </c>
      <c r="I27" s="28">
        <f t="shared" si="3"/>
        <v>88647.828571428574</v>
      </c>
      <c r="J27" s="28">
        <f t="shared" si="0"/>
        <v>14774.638095238095</v>
      </c>
      <c r="K27" s="29">
        <f>I27/I13</f>
        <v>1.9346474397086363E-2</v>
      </c>
    </row>
    <row r="28" spans="1:11" x14ac:dyDescent="0.15">
      <c r="A28" s="51" t="s">
        <v>83</v>
      </c>
      <c r="B28" s="9" t="s">
        <v>84</v>
      </c>
      <c r="C28" s="30">
        <v>1452</v>
      </c>
      <c r="D28" s="30">
        <v>839</v>
      </c>
      <c r="E28" s="30">
        <v>306</v>
      </c>
      <c r="F28" s="30">
        <v>874</v>
      </c>
      <c r="G28" s="30">
        <v>333</v>
      </c>
      <c r="H28" s="30">
        <v>0</v>
      </c>
      <c r="I28" s="32">
        <f t="shared" si="3"/>
        <v>3804</v>
      </c>
      <c r="J28" s="32">
        <f t="shared" si="0"/>
        <v>634</v>
      </c>
      <c r="K28" s="11">
        <f>I28/I13</f>
        <v>8.3018377091118121E-4</v>
      </c>
    </row>
    <row r="29" spans="1:11" x14ac:dyDescent="0.15">
      <c r="A29" s="51"/>
      <c r="B29" s="33" t="s">
        <v>85</v>
      </c>
      <c r="C29" s="34">
        <f t="shared" ref="C29:I29" si="7">SUM(C11/C28)</f>
        <v>2.7221074380165291</v>
      </c>
      <c r="D29" s="34">
        <f t="shared" si="7"/>
        <v>3.1734207389749702</v>
      </c>
      <c r="E29" s="34">
        <f t="shared" si="7"/>
        <v>5.5434640522875815</v>
      </c>
      <c r="F29" s="34">
        <f t="shared" si="7"/>
        <v>5.003890160183067</v>
      </c>
      <c r="G29" s="34">
        <f t="shared" si="7"/>
        <v>3.2822822822822824</v>
      </c>
      <c r="H29" s="34" t="e">
        <f t="shared" si="7"/>
        <v>#DIV/0!</v>
      </c>
      <c r="I29" s="36">
        <f t="shared" si="7"/>
        <v>3.6218980021030496</v>
      </c>
      <c r="J29" s="36" t="e">
        <f t="shared" si="0"/>
        <v>#DIV/0!</v>
      </c>
      <c r="K29" s="33">
        <f>I29/I13</f>
        <v>7.9044188781324479E-7</v>
      </c>
    </row>
    <row r="30" spans="1:11" x14ac:dyDescent="0.15">
      <c r="A30" s="51"/>
      <c r="B30" s="12" t="s">
        <v>86</v>
      </c>
      <c r="C30" s="15">
        <v>182272</v>
      </c>
      <c r="D30" s="15">
        <v>105462</v>
      </c>
      <c r="E30" s="15">
        <v>38463</v>
      </c>
      <c r="F30" s="15">
        <v>109860</v>
      </c>
      <c r="G30" s="15">
        <v>41857</v>
      </c>
      <c r="H30" s="15">
        <v>0</v>
      </c>
      <c r="I30" s="17">
        <f t="shared" ref="I30:I42" si="8">SUM(C30:H30)</f>
        <v>477914</v>
      </c>
      <c r="J30" s="17">
        <f t="shared" si="0"/>
        <v>79652.333333333328</v>
      </c>
      <c r="K30" s="14">
        <f>I30/I13</f>
        <v>0.10429980196930765</v>
      </c>
    </row>
    <row r="31" spans="1:11" x14ac:dyDescent="0.15">
      <c r="A31" s="51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5">
        <v>0</v>
      </c>
      <c r="H31" s="15">
        <v>0</v>
      </c>
      <c r="I31" s="17">
        <f t="shared" si="8"/>
        <v>0</v>
      </c>
      <c r="J31" s="17">
        <f t="shared" si="0"/>
        <v>0</v>
      </c>
      <c r="K31" s="14">
        <f>I31/I13</f>
        <v>0</v>
      </c>
    </row>
    <row r="32" spans="1:11" x14ac:dyDescent="0.15">
      <c r="A32" s="51"/>
      <c r="B32" s="12" t="s">
        <v>88</v>
      </c>
      <c r="C32" s="15">
        <v>3207</v>
      </c>
      <c r="D32" s="15">
        <v>3929</v>
      </c>
      <c r="E32" s="15">
        <v>837</v>
      </c>
      <c r="F32" s="15">
        <v>3467</v>
      </c>
      <c r="G32" s="15">
        <v>2302</v>
      </c>
      <c r="H32" s="15">
        <v>0</v>
      </c>
      <c r="I32" s="17">
        <f t="shared" si="8"/>
        <v>13742</v>
      </c>
      <c r="J32" s="17">
        <f t="shared" si="0"/>
        <v>2290.3333333333335</v>
      </c>
      <c r="K32" s="14">
        <f>I32/I13</f>
        <v>2.9990497844010126E-3</v>
      </c>
    </row>
    <row r="33" spans="1:11" x14ac:dyDescent="0.15">
      <c r="A33" s="51"/>
      <c r="B33" s="25" t="s">
        <v>89</v>
      </c>
      <c r="C33" s="26">
        <f t="shared" ref="C33:H33" si="9">SUM(C30:C32)</f>
        <v>185479</v>
      </c>
      <c r="D33" s="26">
        <f t="shared" si="9"/>
        <v>109391</v>
      </c>
      <c r="E33" s="26">
        <f t="shared" si="9"/>
        <v>39300</v>
      </c>
      <c r="F33" s="26">
        <f t="shared" si="9"/>
        <v>113327</v>
      </c>
      <c r="G33" s="26">
        <f t="shared" si="9"/>
        <v>44159</v>
      </c>
      <c r="H33" s="26">
        <f t="shared" si="9"/>
        <v>0</v>
      </c>
      <c r="I33" s="28">
        <f t="shared" si="8"/>
        <v>491656</v>
      </c>
      <c r="J33" s="28">
        <f t="shared" si="0"/>
        <v>81942.666666666672</v>
      </c>
      <c r="K33" s="29">
        <f>I33/I13</f>
        <v>0.10729885175370865</v>
      </c>
    </row>
    <row r="34" spans="1:11" x14ac:dyDescent="0.15">
      <c r="A34" s="51" t="s">
        <v>90</v>
      </c>
      <c r="B34" s="12" t="s">
        <v>91</v>
      </c>
      <c r="C34" s="15">
        <v>2451</v>
      </c>
      <c r="D34" s="15">
        <v>2451</v>
      </c>
      <c r="E34" s="15">
        <v>2008</v>
      </c>
      <c r="F34" s="15">
        <v>2008</v>
      </c>
      <c r="G34" s="15">
        <v>2008</v>
      </c>
      <c r="H34" s="15">
        <v>0</v>
      </c>
      <c r="I34" s="17">
        <f t="shared" si="8"/>
        <v>10926</v>
      </c>
      <c r="J34" s="17">
        <f t="shared" si="0"/>
        <v>1821</v>
      </c>
      <c r="K34" s="14">
        <f>I34/I13</f>
        <v>2.3844868246518315E-3</v>
      </c>
    </row>
    <row r="35" spans="1:11" x14ac:dyDescent="0.15">
      <c r="A35" s="51"/>
      <c r="B35" s="12"/>
      <c r="C35" s="15">
        <v>0</v>
      </c>
      <c r="D35" s="15">
        <v>0</v>
      </c>
      <c r="E35" s="15">
        <v>0</v>
      </c>
      <c r="F35" s="15">
        <v>0</v>
      </c>
      <c r="G35" s="15">
        <v>0</v>
      </c>
      <c r="H35" s="15">
        <v>0</v>
      </c>
      <c r="I35" s="17">
        <f t="shared" si="8"/>
        <v>0</v>
      </c>
      <c r="J35" s="17">
        <f t="shared" si="0"/>
        <v>0</v>
      </c>
      <c r="K35" s="14">
        <f>I35/I13</f>
        <v>0</v>
      </c>
    </row>
    <row r="36" spans="1:11" x14ac:dyDescent="0.15">
      <c r="A36" s="51"/>
      <c r="B36" s="12"/>
      <c r="C36" s="15">
        <v>0</v>
      </c>
      <c r="D36" s="15">
        <v>0</v>
      </c>
      <c r="E36" s="15">
        <v>0</v>
      </c>
      <c r="F36" s="15">
        <v>0</v>
      </c>
      <c r="G36" s="15">
        <v>0</v>
      </c>
      <c r="H36" s="15">
        <v>0</v>
      </c>
      <c r="I36" s="17">
        <f t="shared" si="8"/>
        <v>0</v>
      </c>
      <c r="J36" s="17">
        <f t="shared" si="0"/>
        <v>0</v>
      </c>
      <c r="K36" s="14">
        <f>I36/I13</f>
        <v>0</v>
      </c>
    </row>
    <row r="37" spans="1:11" x14ac:dyDescent="0.15">
      <c r="A37" s="51"/>
      <c r="B37" s="12"/>
      <c r="C37" s="15">
        <v>0</v>
      </c>
      <c r="D37" s="15">
        <v>0</v>
      </c>
      <c r="E37" s="15">
        <v>0</v>
      </c>
      <c r="F37" s="15">
        <v>0</v>
      </c>
      <c r="G37" s="15">
        <v>0</v>
      </c>
      <c r="H37" s="15">
        <v>0</v>
      </c>
      <c r="I37" s="17">
        <f t="shared" si="8"/>
        <v>0</v>
      </c>
      <c r="J37" s="17">
        <f t="shared" si="0"/>
        <v>0</v>
      </c>
      <c r="K37" s="14">
        <f>I37/I13</f>
        <v>0</v>
      </c>
    </row>
    <row r="38" spans="1:11" x14ac:dyDescent="0.15">
      <c r="A38" s="51"/>
      <c r="B38" s="12" t="s">
        <v>92</v>
      </c>
      <c r="C38" s="15">
        <v>10690</v>
      </c>
      <c r="D38" s="15">
        <v>10690</v>
      </c>
      <c r="E38" s="15">
        <v>5366</v>
      </c>
      <c r="F38" s="15">
        <v>5366</v>
      </c>
      <c r="G38" s="15">
        <v>7978</v>
      </c>
      <c r="H38" s="15">
        <v>0</v>
      </c>
      <c r="I38" s="17">
        <f t="shared" si="8"/>
        <v>40090</v>
      </c>
      <c r="J38" s="17">
        <f t="shared" si="0"/>
        <v>6681.666666666667</v>
      </c>
      <c r="K38" s="14">
        <f>I38/I13</f>
        <v>8.7492290683042206E-3</v>
      </c>
    </row>
    <row r="39" spans="1:11" x14ac:dyDescent="0.15">
      <c r="A39" s="51"/>
      <c r="B39" s="25" t="s">
        <v>93</v>
      </c>
      <c r="C39" s="26">
        <f t="shared" ref="C39:H39" si="10">SUM(C34:C38)</f>
        <v>13141</v>
      </c>
      <c r="D39" s="26">
        <f t="shared" si="10"/>
        <v>13141</v>
      </c>
      <c r="E39" s="26">
        <f t="shared" si="10"/>
        <v>7374</v>
      </c>
      <c r="F39" s="26">
        <f t="shared" si="10"/>
        <v>7374</v>
      </c>
      <c r="G39" s="26">
        <f t="shared" si="10"/>
        <v>9986</v>
      </c>
      <c r="H39" s="26">
        <f t="shared" si="10"/>
        <v>0</v>
      </c>
      <c r="I39" s="28">
        <f t="shared" si="8"/>
        <v>51016</v>
      </c>
      <c r="J39" s="28">
        <f t="shared" si="0"/>
        <v>8502.6666666666661</v>
      </c>
      <c r="K39" s="29">
        <f>I39/I13</f>
        <v>1.1133715892956052E-2</v>
      </c>
    </row>
    <row r="40" spans="1:11" x14ac:dyDescent="0.15">
      <c r="A40" s="51" t="s">
        <v>94</v>
      </c>
      <c r="B40" s="12" t="s">
        <v>95</v>
      </c>
      <c r="C40" s="15">
        <v>121130</v>
      </c>
      <c r="D40" s="15">
        <v>134070</v>
      </c>
      <c r="E40" s="15">
        <v>64540</v>
      </c>
      <c r="F40" s="15">
        <v>177140</v>
      </c>
      <c r="G40" s="15">
        <v>44510</v>
      </c>
      <c r="H40" s="15">
        <v>0</v>
      </c>
      <c r="I40" s="17">
        <f t="shared" si="8"/>
        <v>541390</v>
      </c>
      <c r="J40" s="17">
        <f t="shared" si="0"/>
        <v>90231.666666666672</v>
      </c>
      <c r="K40" s="14">
        <f>I40/I13</f>
        <v>0.1181527843674039</v>
      </c>
    </row>
    <row r="41" spans="1:11" x14ac:dyDescent="0.15">
      <c r="A41" s="51"/>
      <c r="B41" s="12" t="s">
        <v>96</v>
      </c>
      <c r="C41" s="15">
        <v>-100094</v>
      </c>
      <c r="D41" s="15">
        <v>-89688</v>
      </c>
      <c r="E41" s="15">
        <v>-38313</v>
      </c>
      <c r="F41" s="15">
        <v>-102131</v>
      </c>
      <c r="G41" s="15">
        <v>-25028</v>
      </c>
      <c r="H41" s="15">
        <v>0</v>
      </c>
      <c r="I41" s="17">
        <f t="shared" si="8"/>
        <v>-355254</v>
      </c>
      <c r="J41" s="17">
        <f t="shared" si="0"/>
        <v>-59209</v>
      </c>
      <c r="K41" s="14">
        <f>I41/I13</f>
        <v>-7.7530521911482853E-2</v>
      </c>
    </row>
    <row r="42" spans="1:11" x14ac:dyDescent="0.15">
      <c r="A42" s="51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5">
        <v>0</v>
      </c>
      <c r="H42" s="15">
        <v>0</v>
      </c>
      <c r="I42" s="17">
        <f t="shared" si="8"/>
        <v>0</v>
      </c>
      <c r="J42" s="17">
        <f t="shared" si="0"/>
        <v>0</v>
      </c>
      <c r="K42" s="14">
        <f>I42/I13</f>
        <v>0</v>
      </c>
    </row>
    <row r="43" spans="1:11" x14ac:dyDescent="0.15">
      <c r="A43" s="51"/>
      <c r="B43" s="12" t="s">
        <v>98</v>
      </c>
      <c r="C43" s="15">
        <v>-38761.599999999999</v>
      </c>
      <c r="D43" s="15">
        <v>-42902.400000000001</v>
      </c>
      <c r="E43" s="15">
        <v>-20652.8</v>
      </c>
      <c r="F43" s="15">
        <v>-56684.800000000003</v>
      </c>
      <c r="G43" s="15">
        <v>-14243.2</v>
      </c>
      <c r="H43" s="15">
        <v>0</v>
      </c>
      <c r="I43" s="17">
        <f>SUM(C43:H43)</f>
        <v>-173244.80000000002</v>
      </c>
      <c r="J43" s="17">
        <f>AVERAGE(B43:H43)</f>
        <v>-28874.133333333335</v>
      </c>
      <c r="K43" s="14">
        <f>I43/I13</f>
        <v>-3.7808890997569247E-2</v>
      </c>
    </row>
    <row r="44" spans="1:11" x14ac:dyDescent="0.15">
      <c r="A44" s="51"/>
      <c r="B44" s="25" t="s">
        <v>99</v>
      </c>
      <c r="C44" s="26">
        <f t="shared" ref="C44:I44" si="11">SUM(C40:C43)</f>
        <v>-17725.599999999999</v>
      </c>
      <c r="D44" s="26">
        <f t="shared" si="11"/>
        <v>1479.5999999999985</v>
      </c>
      <c r="E44" s="26">
        <f t="shared" si="11"/>
        <v>5574.2000000000007</v>
      </c>
      <c r="F44" s="26">
        <f t="shared" si="11"/>
        <v>18324.199999999997</v>
      </c>
      <c r="G44" s="26">
        <f t="shared" si="11"/>
        <v>5238.7999999999993</v>
      </c>
      <c r="H44" s="26">
        <f t="shared" si="11"/>
        <v>0</v>
      </c>
      <c r="I44" s="28">
        <f t="shared" si="11"/>
        <v>12891.199999999983</v>
      </c>
      <c r="J44" s="28">
        <f>AVERAGE(B44:H44)</f>
        <v>2148.5333333333328</v>
      </c>
      <c r="K44" s="29">
        <f>I44/I13</f>
        <v>2.8133714583517891E-3</v>
      </c>
    </row>
    <row r="45" spans="1:11" x14ac:dyDescent="0.15">
      <c r="A45" s="51" t="s">
        <v>100</v>
      </c>
      <c r="B45" s="12" t="s">
        <v>101</v>
      </c>
      <c r="C45" s="15">
        <v>367035</v>
      </c>
      <c r="D45" s="15">
        <v>163127</v>
      </c>
      <c r="E45" s="15">
        <v>224298</v>
      </c>
      <c r="F45" s="15">
        <v>387426</v>
      </c>
      <c r="G45" s="15">
        <v>81563</v>
      </c>
      <c r="H45" s="15">
        <v>0</v>
      </c>
      <c r="I45" s="17">
        <f t="shared" ref="I45:I60" si="12">SUM(C45:H45)</f>
        <v>1223449</v>
      </c>
      <c r="J45" s="17">
        <f t="shared" ref="J45:J60" si="13">AVERAGE(C45:H45)</f>
        <v>203908.16666666666</v>
      </c>
      <c r="K45" s="14">
        <f>I45/I13</f>
        <v>0.26700512732321602</v>
      </c>
    </row>
    <row r="46" spans="1:11" x14ac:dyDescent="0.15">
      <c r="A46" s="51"/>
      <c r="B46" s="12" t="s">
        <v>102</v>
      </c>
      <c r="C46" s="15">
        <v>24948</v>
      </c>
      <c r="D46" s="15">
        <v>11088</v>
      </c>
      <c r="E46" s="15">
        <v>15246</v>
      </c>
      <c r="F46" s="15">
        <v>26332</v>
      </c>
      <c r="G46" s="15">
        <v>5544</v>
      </c>
      <c r="H46" s="15">
        <v>0</v>
      </c>
      <c r="I46" s="17">
        <f t="shared" si="12"/>
        <v>83158</v>
      </c>
      <c r="J46" s="17">
        <f t="shared" si="13"/>
        <v>13859.666666666666</v>
      </c>
      <c r="K46" s="14">
        <f>I46/I13</f>
        <v>1.8148375925718194E-2</v>
      </c>
    </row>
    <row r="47" spans="1:11" x14ac:dyDescent="0.15">
      <c r="A47" s="51"/>
      <c r="B47" s="12" t="s">
        <v>103</v>
      </c>
      <c r="C47" s="15">
        <v>63813</v>
      </c>
      <c r="D47" s="15">
        <v>28361</v>
      </c>
      <c r="E47" s="15">
        <v>38998</v>
      </c>
      <c r="F47" s="15">
        <v>67357</v>
      </c>
      <c r="G47" s="15">
        <v>14181</v>
      </c>
      <c r="H47" s="15">
        <v>0</v>
      </c>
      <c r="I47" s="17">
        <f t="shared" si="12"/>
        <v>212710</v>
      </c>
      <c r="J47" s="17">
        <f t="shared" si="13"/>
        <v>35451.666666666664</v>
      </c>
      <c r="K47" s="14">
        <f>I47/I13</f>
        <v>4.6421763909179119E-2</v>
      </c>
    </row>
    <row r="48" spans="1:11" x14ac:dyDescent="0.15">
      <c r="A48" s="51"/>
      <c r="B48" s="12" t="s">
        <v>104</v>
      </c>
      <c r="C48" s="15">
        <v>2842</v>
      </c>
      <c r="D48" s="15">
        <v>1263</v>
      </c>
      <c r="E48" s="15">
        <v>1738</v>
      </c>
      <c r="F48" s="15">
        <v>2999</v>
      </c>
      <c r="G48" s="15">
        <v>632</v>
      </c>
      <c r="H48" s="15">
        <v>0</v>
      </c>
      <c r="I48" s="17">
        <f t="shared" si="12"/>
        <v>9474</v>
      </c>
      <c r="J48" s="17">
        <f t="shared" si="13"/>
        <v>1579</v>
      </c>
      <c r="K48" s="14">
        <f>I48/I13</f>
        <v>2.0676027985311596E-3</v>
      </c>
    </row>
    <row r="49" spans="1:11" x14ac:dyDescent="0.15">
      <c r="A49" s="51"/>
      <c r="B49" s="25" t="s">
        <v>105</v>
      </c>
      <c r="C49" s="26">
        <f t="shared" ref="C49:H49" si="14">SUM(C45:C48)</f>
        <v>458638</v>
      </c>
      <c r="D49" s="26">
        <f t="shared" si="14"/>
        <v>203839</v>
      </c>
      <c r="E49" s="26">
        <f t="shared" si="14"/>
        <v>280280</v>
      </c>
      <c r="F49" s="26">
        <f t="shared" si="14"/>
        <v>484114</v>
      </c>
      <c r="G49" s="26">
        <f t="shared" si="14"/>
        <v>101920</v>
      </c>
      <c r="H49" s="26">
        <f t="shared" si="14"/>
        <v>0</v>
      </c>
      <c r="I49" s="28">
        <f t="shared" si="12"/>
        <v>1528791</v>
      </c>
      <c r="J49" s="28">
        <f t="shared" si="13"/>
        <v>254798.5</v>
      </c>
      <c r="K49" s="29">
        <f>I49/I13</f>
        <v>0.33364286995664449</v>
      </c>
    </row>
    <row r="50" spans="1:11" x14ac:dyDescent="0.15">
      <c r="A50" s="51" t="s">
        <v>106</v>
      </c>
      <c r="B50" s="12" t="s">
        <v>107</v>
      </c>
      <c r="C50" s="15">
        <v>59400</v>
      </c>
      <c r="D50" s="15">
        <v>59400</v>
      </c>
      <c r="E50" s="15">
        <v>59400</v>
      </c>
      <c r="F50" s="15">
        <v>59400</v>
      </c>
      <c r="G50" s="15">
        <v>59400</v>
      </c>
      <c r="H50" s="15">
        <v>0</v>
      </c>
      <c r="I50" s="17">
        <f t="shared" si="12"/>
        <v>297000</v>
      </c>
      <c r="J50" s="17">
        <f t="shared" si="13"/>
        <v>49500</v>
      </c>
      <c r="K50" s="14">
        <f>I50/I13</f>
        <v>6.481718716104648E-2</v>
      </c>
    </row>
    <row r="51" spans="1:11" x14ac:dyDescent="0.15">
      <c r="A51" s="51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5">
        <v>0</v>
      </c>
      <c r="H51" s="15">
        <v>0</v>
      </c>
      <c r="I51" s="17">
        <f t="shared" si="12"/>
        <v>0</v>
      </c>
      <c r="J51" s="17">
        <f t="shared" si="13"/>
        <v>0</v>
      </c>
      <c r="K51" s="14">
        <f>I51/I13</f>
        <v>0</v>
      </c>
    </row>
    <row r="52" spans="1:11" x14ac:dyDescent="0.15">
      <c r="A52" s="51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5">
        <v>0</v>
      </c>
      <c r="H52" s="15">
        <v>0</v>
      </c>
      <c r="I52" s="17">
        <f t="shared" si="12"/>
        <v>0</v>
      </c>
      <c r="J52" s="17">
        <f t="shared" si="13"/>
        <v>0</v>
      </c>
      <c r="K52" s="14">
        <f>I52/I13</f>
        <v>0</v>
      </c>
    </row>
    <row r="53" spans="1:11" x14ac:dyDescent="0.15">
      <c r="A53" s="51"/>
      <c r="B53" s="12" t="s">
        <v>110</v>
      </c>
      <c r="C53" s="15">
        <v>82665.8</v>
      </c>
      <c r="D53" s="15">
        <v>82665.8</v>
      </c>
      <c r="E53" s="15">
        <v>82665.8</v>
      </c>
      <c r="F53" s="15">
        <v>82665.8</v>
      </c>
      <c r="G53" s="15">
        <v>82665.8</v>
      </c>
      <c r="H53" s="15">
        <v>0</v>
      </c>
      <c r="I53" s="17">
        <f t="shared" si="12"/>
        <v>413329</v>
      </c>
      <c r="J53" s="17">
        <f t="shared" si="13"/>
        <v>68888.166666666672</v>
      </c>
      <c r="K53" s="14">
        <f>I53/I13</f>
        <v>9.0204791757872674E-2</v>
      </c>
    </row>
    <row r="54" spans="1:11" x14ac:dyDescent="0.15">
      <c r="A54" s="51"/>
      <c r="B54" s="12" t="s">
        <v>111</v>
      </c>
      <c r="C54" s="15">
        <v>31001.4</v>
      </c>
      <c r="D54" s="15">
        <v>31001.4</v>
      </c>
      <c r="E54" s="15">
        <v>31001.4</v>
      </c>
      <c r="F54" s="15">
        <v>31001.4</v>
      </c>
      <c r="G54" s="15">
        <v>31001.4</v>
      </c>
      <c r="H54" s="15">
        <v>0</v>
      </c>
      <c r="I54" s="17">
        <f t="shared" si="12"/>
        <v>155007</v>
      </c>
      <c r="J54" s="17">
        <f t="shared" si="13"/>
        <v>25834.5</v>
      </c>
      <c r="K54" s="14">
        <f>I54/I13</f>
        <v>3.3828679226506168E-2</v>
      </c>
    </row>
    <row r="55" spans="1:11" x14ac:dyDescent="0.15">
      <c r="A55" s="51"/>
      <c r="B55" s="25" t="s">
        <v>112</v>
      </c>
      <c r="C55" s="26">
        <f t="shared" ref="C55:H55" si="15">SUM(C50:C54)</f>
        <v>173067.19999999998</v>
      </c>
      <c r="D55" s="26">
        <f t="shared" si="15"/>
        <v>173067.19999999998</v>
      </c>
      <c r="E55" s="26">
        <f t="shared" si="15"/>
        <v>173067.19999999998</v>
      </c>
      <c r="F55" s="26">
        <f t="shared" si="15"/>
        <v>173067.19999999998</v>
      </c>
      <c r="G55" s="26">
        <f t="shared" si="15"/>
        <v>173067.19999999998</v>
      </c>
      <c r="H55" s="26">
        <f t="shared" si="15"/>
        <v>0</v>
      </c>
      <c r="I55" s="28">
        <f t="shared" si="12"/>
        <v>865335.99999999988</v>
      </c>
      <c r="J55" s="28">
        <f t="shared" si="13"/>
        <v>144222.66666666666</v>
      </c>
      <c r="K55" s="29">
        <f>I55/I13</f>
        <v>0.18885065814542529</v>
      </c>
    </row>
    <row r="56" spans="1:11" x14ac:dyDescent="0.15">
      <c r="A56" s="48" t="s">
        <v>113</v>
      </c>
      <c r="B56" s="48"/>
      <c r="C56" s="15">
        <f t="shared" ref="C56:H56" si="16">SUM(C49+C22+C27+C33+C39+C44+C55)</f>
        <v>921530.6</v>
      </c>
      <c r="D56" s="15">
        <f t="shared" si="16"/>
        <v>570804.79999999993</v>
      </c>
      <c r="E56" s="15">
        <f t="shared" si="16"/>
        <v>547819.28571428568</v>
      </c>
      <c r="F56" s="15">
        <f t="shared" si="16"/>
        <v>856733.91428571416</v>
      </c>
      <c r="G56" s="15">
        <f t="shared" si="16"/>
        <v>428700.42857142852</v>
      </c>
      <c r="H56" s="15">
        <f t="shared" si="16"/>
        <v>0</v>
      </c>
      <c r="I56" s="17">
        <f t="shared" si="12"/>
        <v>3325589.0285714283</v>
      </c>
      <c r="J56" s="17">
        <f t="shared" si="13"/>
        <v>554264.83809523808</v>
      </c>
      <c r="K56" s="14">
        <f>I56/I13</f>
        <v>0.72577551005264995</v>
      </c>
    </row>
    <row r="57" spans="1:11" x14ac:dyDescent="0.15">
      <c r="A57" s="48" t="s">
        <v>114</v>
      </c>
      <c r="B57" s="48"/>
      <c r="C57" s="15">
        <f t="shared" ref="C57:H57" si="17">SUM(C13+C14-C56)</f>
        <v>833169.4</v>
      </c>
      <c r="D57" s="15">
        <f t="shared" si="17"/>
        <v>184295.20000000007</v>
      </c>
      <c r="E57" s="15">
        <f t="shared" si="17"/>
        <v>-106319.28571428568</v>
      </c>
      <c r="F57" s="15">
        <f t="shared" si="17"/>
        <v>221066.08571428584</v>
      </c>
      <c r="G57" s="15">
        <f t="shared" si="17"/>
        <v>-186400.42857142852</v>
      </c>
      <c r="H57" s="15">
        <f t="shared" si="17"/>
        <v>310718</v>
      </c>
      <c r="I57" s="17">
        <f t="shared" si="12"/>
        <v>1256528.9714285717</v>
      </c>
      <c r="J57" s="17">
        <f t="shared" si="13"/>
        <v>209421.49523809529</v>
      </c>
      <c r="K57" s="14">
        <f>I57/I13</f>
        <v>0.27422448994735005</v>
      </c>
    </row>
    <row r="58" spans="1:11" x14ac:dyDescent="0.15">
      <c r="A58" s="48" t="s">
        <v>115</v>
      </c>
      <c r="B58" s="48"/>
      <c r="C58" s="15">
        <v>126042.4054054054</v>
      </c>
      <c r="D58" s="15">
        <v>126042.4054054054</v>
      </c>
      <c r="E58" s="15">
        <v>126042.4054054054</v>
      </c>
      <c r="F58" s="15">
        <v>126042.4054054054</v>
      </c>
      <c r="G58" s="15">
        <v>126042.4054054054</v>
      </c>
      <c r="H58" s="15">
        <v>0</v>
      </c>
      <c r="I58" s="17">
        <f t="shared" si="12"/>
        <v>630212.02702702698</v>
      </c>
      <c r="J58" s="17">
        <f t="shared" si="13"/>
        <v>105035.33783783783</v>
      </c>
      <c r="K58" s="14">
        <f>I58/I13</f>
        <v>0.13753727578098751</v>
      </c>
    </row>
    <row r="59" spans="1:11" x14ac:dyDescent="0.15">
      <c r="A59" s="48" t="s">
        <v>116</v>
      </c>
      <c r="B59" s="48"/>
      <c r="C59" s="15">
        <v>118890.78378378379</v>
      </c>
      <c r="D59" s="15">
        <v>118890.78378378379</v>
      </c>
      <c r="E59" s="15">
        <v>118890.78378378379</v>
      </c>
      <c r="F59" s="15">
        <v>118890.78378378379</v>
      </c>
      <c r="G59" s="15">
        <v>118890.78378378379</v>
      </c>
      <c r="H59" s="15">
        <v>0</v>
      </c>
      <c r="I59" s="17">
        <f t="shared" si="12"/>
        <v>594453.91891891893</v>
      </c>
      <c r="J59" s="17">
        <f t="shared" si="13"/>
        <v>99075.653153153151</v>
      </c>
      <c r="K59" s="14">
        <f>I59/I13</f>
        <v>0.12973343744506774</v>
      </c>
    </row>
    <row r="60" spans="1:11" x14ac:dyDescent="0.15">
      <c r="A60" s="48" t="s">
        <v>117</v>
      </c>
      <c r="B60" s="48"/>
      <c r="C60" s="15">
        <f t="shared" ref="C60:H60" si="18">SUM(C57-(C58+C59))</f>
        <v>588236.21081081079</v>
      </c>
      <c r="D60" s="15">
        <f t="shared" si="18"/>
        <v>-60637.989189189102</v>
      </c>
      <c r="E60" s="15">
        <f t="shared" si="18"/>
        <v>-351252.47490347485</v>
      </c>
      <c r="F60" s="15">
        <f t="shared" si="18"/>
        <v>-23867.103474903328</v>
      </c>
      <c r="G60" s="15">
        <f t="shared" si="18"/>
        <v>-431333.61776061769</v>
      </c>
      <c r="H60" s="15">
        <f t="shared" si="18"/>
        <v>310718</v>
      </c>
      <c r="I60" s="17">
        <f t="shared" si="12"/>
        <v>31863.025482625759</v>
      </c>
      <c r="J60" s="17">
        <f t="shared" si="13"/>
        <v>5310.5042471042934</v>
      </c>
      <c r="K60" s="14">
        <f>I60/I13</f>
        <v>6.9537767212947722E-3</v>
      </c>
    </row>
    <row r="61" spans="1:11" x14ac:dyDescent="0.15">
      <c r="A61" s="12"/>
      <c r="B61" s="37" t="s">
        <v>46</v>
      </c>
      <c r="C61" s="12"/>
      <c r="D61" s="12"/>
      <c r="E61" s="12"/>
      <c r="F61" s="12"/>
      <c r="G61" s="12"/>
      <c r="H61" s="12"/>
    </row>
    <row r="62" spans="1:11" x14ac:dyDescent="0.15">
      <c r="A62" s="13"/>
      <c r="B62" s="38"/>
      <c r="C62" s="12"/>
      <c r="D62" s="12"/>
      <c r="E62" s="12"/>
      <c r="F62" s="12"/>
      <c r="G62" s="12"/>
      <c r="H62" s="12"/>
    </row>
    <row r="63" spans="1:11" x14ac:dyDescent="0.15">
      <c r="A63" s="13"/>
      <c r="B63" s="40" t="s">
        <v>124</v>
      </c>
      <c r="C63" s="12"/>
      <c r="D63" s="12"/>
      <c r="E63" s="12"/>
      <c r="F63" s="12"/>
      <c r="G63" s="12"/>
      <c r="H63" s="12"/>
    </row>
    <row r="64" spans="1:11" x14ac:dyDescent="0.15">
      <c r="A64" s="13"/>
      <c r="B64" s="41" t="s">
        <v>125</v>
      </c>
      <c r="C64" s="12"/>
      <c r="D64" s="12"/>
      <c r="E64" s="12"/>
      <c r="F64" s="12"/>
      <c r="G64" s="12"/>
      <c r="H64" s="12"/>
    </row>
    <row r="65" spans="1:8" x14ac:dyDescent="0.15">
      <c r="A65" s="13"/>
      <c r="B65" s="41" t="s">
        <v>41</v>
      </c>
      <c r="C65" s="12"/>
      <c r="D65" s="12"/>
      <c r="E65" s="12"/>
      <c r="F65" s="12"/>
      <c r="G65" s="12"/>
      <c r="H65" s="12"/>
    </row>
    <row r="66" spans="1:8" x14ac:dyDescent="0.15">
      <c r="A66" s="12"/>
      <c r="B66" s="42" t="s">
        <v>47</v>
      </c>
      <c r="C66" s="12"/>
      <c r="D66" s="12"/>
      <c r="E66" s="12"/>
      <c r="F66" s="12"/>
      <c r="G66" s="12"/>
      <c r="H66" s="12"/>
    </row>
    <row r="67" spans="1:8" x14ac:dyDescent="0.15">
      <c r="A67" s="12"/>
      <c r="B67" s="38"/>
      <c r="C67" s="12"/>
      <c r="D67" s="12"/>
      <c r="E67" s="12"/>
      <c r="F67" s="12"/>
      <c r="G67" s="12"/>
      <c r="H67" s="12"/>
    </row>
    <row r="68" spans="1:8" x14ac:dyDescent="0.15">
      <c r="A68" s="12"/>
      <c r="B68" s="40" t="s">
        <v>124</v>
      </c>
      <c r="C68" s="12"/>
      <c r="D68" s="12"/>
      <c r="E68" s="12"/>
      <c r="F68" s="12"/>
      <c r="G68" s="12"/>
      <c r="H68" s="12"/>
    </row>
    <row r="69" spans="1:8" x14ac:dyDescent="0.15">
      <c r="A69" s="12"/>
      <c r="B69" s="41" t="s">
        <v>125</v>
      </c>
      <c r="C69" s="12"/>
      <c r="D69" s="12"/>
      <c r="E69" s="12"/>
      <c r="F69" s="12"/>
      <c r="G69" s="12"/>
      <c r="H69" s="12"/>
    </row>
    <row r="70" spans="1:8" x14ac:dyDescent="0.15">
      <c r="A70" s="12"/>
      <c r="B70" s="41" t="s">
        <v>41</v>
      </c>
      <c r="C70" s="12"/>
      <c r="D70" s="12"/>
      <c r="E70" s="12"/>
      <c r="F70" s="12"/>
      <c r="G70" s="12"/>
      <c r="H70" s="12"/>
    </row>
    <row r="71" spans="1:8" x14ac:dyDescent="0.15">
      <c r="A71" s="12"/>
      <c r="B71" s="12" t="s">
        <v>129</v>
      </c>
      <c r="C71" s="12"/>
      <c r="D71" s="12"/>
      <c r="E71" s="12"/>
      <c r="F71" s="12"/>
      <c r="G71" s="12"/>
      <c r="H71" s="12"/>
    </row>
    <row r="72" spans="1:8" x14ac:dyDescent="0.15">
      <c r="A72" s="12"/>
      <c r="B72" s="38"/>
      <c r="C72" s="12"/>
      <c r="D72" s="12"/>
      <c r="E72" s="12"/>
      <c r="F72" s="12"/>
      <c r="G72" s="12"/>
      <c r="H72" s="12"/>
    </row>
    <row r="73" spans="1:8" x14ac:dyDescent="0.15">
      <c r="A73" s="12"/>
      <c r="B73" s="40" t="s">
        <v>124</v>
      </c>
      <c r="C73" s="12"/>
      <c r="D73" s="12"/>
      <c r="E73" s="12"/>
      <c r="F73" s="12"/>
      <c r="G73" s="12"/>
      <c r="H73" s="12"/>
    </row>
    <row r="74" spans="1:8" x14ac:dyDescent="0.15">
      <c r="A74" s="12"/>
      <c r="B74" s="41" t="s">
        <v>125</v>
      </c>
      <c r="C74" s="12"/>
      <c r="D74" s="12"/>
      <c r="E74" s="12"/>
      <c r="F74" s="12"/>
      <c r="G74" s="12"/>
      <c r="H74" s="12"/>
    </row>
    <row r="75" spans="1:8" x14ac:dyDescent="0.15">
      <c r="A75" s="12"/>
      <c r="B75" s="41" t="s">
        <v>41</v>
      </c>
      <c r="C75" s="12"/>
      <c r="D75" s="12"/>
      <c r="E75" s="12"/>
      <c r="F75" s="12"/>
      <c r="G75" s="12"/>
      <c r="H75" s="12"/>
    </row>
    <row r="76" spans="1:8" x14ac:dyDescent="0.15">
      <c r="A76" s="12"/>
      <c r="B76" s="12" t="s">
        <v>133</v>
      </c>
      <c r="C76" s="12"/>
      <c r="D76" s="12"/>
      <c r="E76" s="12"/>
      <c r="F76" s="12"/>
      <c r="G76" s="12"/>
      <c r="H76" s="12"/>
    </row>
    <row r="77" spans="1:8" x14ac:dyDescent="0.15">
      <c r="A77" s="12"/>
      <c r="B77" s="38"/>
      <c r="C77" s="12"/>
      <c r="D77" s="12"/>
      <c r="E77" s="12"/>
      <c r="F77" s="12"/>
      <c r="G77" s="12"/>
      <c r="H77" s="12"/>
    </row>
    <row r="78" spans="1:8" x14ac:dyDescent="0.15">
      <c r="A78" s="12"/>
      <c r="B78" s="40" t="s">
        <v>124</v>
      </c>
      <c r="C78" s="12"/>
      <c r="D78" s="12"/>
      <c r="E78" s="12"/>
      <c r="F78" s="12"/>
      <c r="G78" s="12"/>
      <c r="H78" s="12"/>
    </row>
    <row r="79" spans="1:8" x14ac:dyDescent="0.15">
      <c r="A79" s="12"/>
      <c r="B79" s="41" t="s">
        <v>125</v>
      </c>
      <c r="C79" s="12"/>
      <c r="D79" s="12"/>
      <c r="E79" s="12"/>
      <c r="F79" s="12"/>
      <c r="G79" s="12"/>
      <c r="H79" s="12"/>
    </row>
    <row r="80" spans="1:8" x14ac:dyDescent="0.15">
      <c r="A80" s="12"/>
      <c r="B80" s="41" t="s">
        <v>41</v>
      </c>
      <c r="C80" s="12"/>
      <c r="D80" s="12"/>
      <c r="E80" s="12"/>
      <c r="F80" s="12"/>
      <c r="G80" s="12"/>
      <c r="H80" s="12"/>
    </row>
    <row r="81" spans="1:8" x14ac:dyDescent="0.15">
      <c r="A81" s="12"/>
      <c r="B81" s="12" t="s">
        <v>137</v>
      </c>
      <c r="C81" s="12"/>
      <c r="D81" s="12"/>
      <c r="E81" s="12"/>
      <c r="F81" s="12"/>
      <c r="G81" s="12"/>
      <c r="H81" s="12"/>
    </row>
    <row r="82" spans="1:8" x14ac:dyDescent="0.15">
      <c r="A82" s="12"/>
      <c r="B82" s="38"/>
      <c r="C82" s="12"/>
      <c r="D82" s="12"/>
      <c r="E82" s="12"/>
      <c r="F82" s="12"/>
      <c r="G82" s="12"/>
      <c r="H82" s="12"/>
    </row>
    <row r="83" spans="1:8" x14ac:dyDescent="0.15">
      <c r="A83" s="12"/>
      <c r="B83" s="40" t="s">
        <v>124</v>
      </c>
      <c r="C83" s="12"/>
      <c r="D83" s="12"/>
      <c r="E83" s="12"/>
      <c r="F83" s="12"/>
      <c r="G83" s="12"/>
      <c r="H83" s="12"/>
    </row>
    <row r="84" spans="1:8" x14ac:dyDescent="0.15">
      <c r="A84" s="12"/>
      <c r="B84" s="41" t="s">
        <v>125</v>
      </c>
      <c r="C84" s="12"/>
      <c r="D84" s="12"/>
      <c r="E84" s="12"/>
      <c r="F84" s="12"/>
      <c r="G84" s="12"/>
      <c r="H84" s="12"/>
    </row>
    <row r="85" spans="1:8" x14ac:dyDescent="0.15">
      <c r="A85" s="12"/>
      <c r="B85" s="41" t="s">
        <v>41</v>
      </c>
      <c r="C85" s="12"/>
      <c r="D85" s="12"/>
      <c r="E85" s="12"/>
      <c r="F85" s="12"/>
      <c r="G85" s="12"/>
      <c r="H85" s="12"/>
    </row>
    <row r="86" spans="1:8" x14ac:dyDescent="0.15">
      <c r="A86" s="12"/>
      <c r="B86" s="12"/>
      <c r="C86" s="12"/>
      <c r="D86" s="12"/>
      <c r="E86" s="12"/>
      <c r="F86" s="12"/>
      <c r="G86" s="12"/>
      <c r="H86" s="12"/>
    </row>
    <row r="87" spans="1:8" x14ac:dyDescent="0.15">
      <c r="A87" s="12"/>
      <c r="B87" s="38"/>
      <c r="C87" s="12"/>
      <c r="D87" s="12"/>
      <c r="E87" s="12"/>
      <c r="F87" s="12"/>
      <c r="G87" s="12"/>
      <c r="H87" s="12"/>
    </row>
    <row r="88" spans="1:8" x14ac:dyDescent="0.15">
      <c r="A88" s="12"/>
      <c r="B88" s="40" t="s">
        <v>124</v>
      </c>
      <c r="C88" s="12"/>
      <c r="D88" s="12"/>
      <c r="E88" s="12"/>
      <c r="F88" s="12"/>
      <c r="G88" s="12"/>
      <c r="H88" s="12"/>
    </row>
    <row r="89" spans="1:8" x14ac:dyDescent="0.15">
      <c r="B89" s="41" t="s">
        <v>125</v>
      </c>
    </row>
    <row r="90" spans="1:8" x14ac:dyDescent="0.15">
      <c r="B90" s="41" t="s">
        <v>41</v>
      </c>
    </row>
    <row r="92" spans="1:8" x14ac:dyDescent="0.15">
      <c r="B92" s="38"/>
    </row>
    <row r="93" spans="1:8" x14ac:dyDescent="0.15">
      <c r="B93" s="40" t="s">
        <v>124</v>
      </c>
    </row>
    <row r="94" spans="1:8" x14ac:dyDescent="0.15">
      <c r="B94" s="41" t="s">
        <v>125</v>
      </c>
    </row>
    <row r="95" spans="1:8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print="0" autoLine="0" r:id="rId5">
            <anchor>
              <from>
                <xdr:col>0</xdr:col>
                <xdr:colOff>190500</xdr:colOff>
                <xdr:row>0</xdr:row>
                <xdr:rowOff>95250</xdr:rowOff>
              </from>
              <to>
                <xdr:col>1</xdr:col>
                <xdr:colOff>657225</xdr:colOff>
                <xdr:row>1</xdr:row>
                <xdr:rowOff>257175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98109-6940-4714-982D-9C7E53EC23C8}">
  <sheetPr codeName="Sheet7"/>
  <dimension ref="A2:J102"/>
  <sheetViews>
    <sheetView workbookViewId="0">
      <selection activeCell="H43" sqref="H43"/>
    </sheetView>
  </sheetViews>
  <sheetFormatPr defaultRowHeight="13.5" x14ac:dyDescent="0.15"/>
  <cols>
    <col min="1" max="1" width="2.875" style="1" bestFit="1" customWidth="1"/>
    <col min="2" max="2" width="16.625" style="1" bestFit="1" customWidth="1"/>
    <col min="3" max="7" width="11" style="1" bestFit="1" customWidth="1"/>
    <col min="8" max="8" width="13.25" style="1" bestFit="1" customWidth="1"/>
    <col min="9" max="9" width="10" style="1" bestFit="1" customWidth="1"/>
    <col min="10" max="10" width="11" style="1" bestFit="1" customWidth="1"/>
    <col min="11" max="215" width="9" style="1"/>
    <col min="216" max="216" width="2.875" style="1" bestFit="1" customWidth="1"/>
    <col min="217" max="217" width="16.625" style="1" bestFit="1" customWidth="1"/>
    <col min="218" max="218" width="11.375" style="1" bestFit="1" customWidth="1"/>
    <col min="219" max="220" width="14.125" style="1" bestFit="1" customWidth="1"/>
    <col min="221" max="221" width="11.375" style="1" bestFit="1" customWidth="1"/>
    <col min="222" max="224" width="12.5" style="1" bestFit="1" customWidth="1"/>
    <col min="225" max="225" width="11" style="1" bestFit="1" customWidth="1"/>
    <col min="226" max="245" width="13" style="1" bestFit="1" customWidth="1"/>
    <col min="246" max="249" width="11" style="1" bestFit="1" customWidth="1"/>
    <col min="250" max="252" width="12.25" style="1" bestFit="1" customWidth="1"/>
    <col min="253" max="263" width="11" style="1" bestFit="1" customWidth="1"/>
    <col min="264" max="264" width="13.25" style="1" bestFit="1" customWidth="1"/>
    <col min="265" max="265" width="10" style="1" bestFit="1" customWidth="1"/>
    <col min="266" max="266" width="11" style="1" bestFit="1" customWidth="1"/>
    <col min="267" max="471" width="9" style="1"/>
    <col min="472" max="472" width="2.875" style="1" bestFit="1" customWidth="1"/>
    <col min="473" max="473" width="16.625" style="1" bestFit="1" customWidth="1"/>
    <col min="474" max="474" width="11.375" style="1" bestFit="1" customWidth="1"/>
    <col min="475" max="476" width="14.125" style="1" bestFit="1" customWidth="1"/>
    <col min="477" max="477" width="11.375" style="1" bestFit="1" customWidth="1"/>
    <col min="478" max="480" width="12.5" style="1" bestFit="1" customWidth="1"/>
    <col min="481" max="481" width="11" style="1" bestFit="1" customWidth="1"/>
    <col min="482" max="501" width="13" style="1" bestFit="1" customWidth="1"/>
    <col min="502" max="505" width="11" style="1" bestFit="1" customWidth="1"/>
    <col min="506" max="508" width="12.25" style="1" bestFit="1" customWidth="1"/>
    <col min="509" max="519" width="11" style="1" bestFit="1" customWidth="1"/>
    <col min="520" max="520" width="13.25" style="1" bestFit="1" customWidth="1"/>
    <col min="521" max="521" width="10" style="1" bestFit="1" customWidth="1"/>
    <col min="522" max="522" width="11" style="1" bestFit="1" customWidth="1"/>
    <col min="523" max="727" width="9" style="1"/>
    <col min="728" max="728" width="2.875" style="1" bestFit="1" customWidth="1"/>
    <col min="729" max="729" width="16.625" style="1" bestFit="1" customWidth="1"/>
    <col min="730" max="730" width="11.375" style="1" bestFit="1" customWidth="1"/>
    <col min="731" max="732" width="14.125" style="1" bestFit="1" customWidth="1"/>
    <col min="733" max="733" width="11.375" style="1" bestFit="1" customWidth="1"/>
    <col min="734" max="736" width="12.5" style="1" bestFit="1" customWidth="1"/>
    <col min="737" max="737" width="11" style="1" bestFit="1" customWidth="1"/>
    <col min="738" max="757" width="13" style="1" bestFit="1" customWidth="1"/>
    <col min="758" max="761" width="11" style="1" bestFit="1" customWidth="1"/>
    <col min="762" max="764" width="12.25" style="1" bestFit="1" customWidth="1"/>
    <col min="765" max="775" width="11" style="1" bestFit="1" customWidth="1"/>
    <col min="776" max="776" width="13.25" style="1" bestFit="1" customWidth="1"/>
    <col min="777" max="777" width="10" style="1" bestFit="1" customWidth="1"/>
    <col min="778" max="778" width="11" style="1" bestFit="1" customWidth="1"/>
    <col min="779" max="983" width="9" style="1"/>
    <col min="984" max="984" width="2.875" style="1" bestFit="1" customWidth="1"/>
    <col min="985" max="985" width="16.625" style="1" bestFit="1" customWidth="1"/>
    <col min="986" max="986" width="11.375" style="1" bestFit="1" customWidth="1"/>
    <col min="987" max="988" width="14.125" style="1" bestFit="1" customWidth="1"/>
    <col min="989" max="989" width="11.375" style="1" bestFit="1" customWidth="1"/>
    <col min="990" max="992" width="12.5" style="1" bestFit="1" customWidth="1"/>
    <col min="993" max="993" width="11" style="1" bestFit="1" customWidth="1"/>
    <col min="994" max="1013" width="13" style="1" bestFit="1" customWidth="1"/>
    <col min="1014" max="1017" width="11" style="1" bestFit="1" customWidth="1"/>
    <col min="1018" max="1020" width="12.25" style="1" bestFit="1" customWidth="1"/>
    <col min="1021" max="1031" width="11" style="1" bestFit="1" customWidth="1"/>
    <col min="1032" max="1032" width="13.25" style="1" bestFit="1" customWidth="1"/>
    <col min="1033" max="1033" width="10" style="1" bestFit="1" customWidth="1"/>
    <col min="1034" max="1034" width="11" style="1" bestFit="1" customWidth="1"/>
    <col min="1035" max="1239" width="9" style="1"/>
    <col min="1240" max="1240" width="2.875" style="1" bestFit="1" customWidth="1"/>
    <col min="1241" max="1241" width="16.625" style="1" bestFit="1" customWidth="1"/>
    <col min="1242" max="1242" width="11.375" style="1" bestFit="1" customWidth="1"/>
    <col min="1243" max="1244" width="14.125" style="1" bestFit="1" customWidth="1"/>
    <col min="1245" max="1245" width="11.375" style="1" bestFit="1" customWidth="1"/>
    <col min="1246" max="1248" width="12.5" style="1" bestFit="1" customWidth="1"/>
    <col min="1249" max="1249" width="11" style="1" bestFit="1" customWidth="1"/>
    <col min="1250" max="1269" width="13" style="1" bestFit="1" customWidth="1"/>
    <col min="1270" max="1273" width="11" style="1" bestFit="1" customWidth="1"/>
    <col min="1274" max="1276" width="12.25" style="1" bestFit="1" customWidth="1"/>
    <col min="1277" max="1287" width="11" style="1" bestFit="1" customWidth="1"/>
    <col min="1288" max="1288" width="13.25" style="1" bestFit="1" customWidth="1"/>
    <col min="1289" max="1289" width="10" style="1" bestFit="1" customWidth="1"/>
    <col min="1290" max="1290" width="11" style="1" bestFit="1" customWidth="1"/>
    <col min="1291" max="1495" width="9" style="1"/>
    <col min="1496" max="1496" width="2.875" style="1" bestFit="1" customWidth="1"/>
    <col min="1497" max="1497" width="16.625" style="1" bestFit="1" customWidth="1"/>
    <col min="1498" max="1498" width="11.375" style="1" bestFit="1" customWidth="1"/>
    <col min="1499" max="1500" width="14.125" style="1" bestFit="1" customWidth="1"/>
    <col min="1501" max="1501" width="11.375" style="1" bestFit="1" customWidth="1"/>
    <col min="1502" max="1504" width="12.5" style="1" bestFit="1" customWidth="1"/>
    <col min="1505" max="1505" width="11" style="1" bestFit="1" customWidth="1"/>
    <col min="1506" max="1525" width="13" style="1" bestFit="1" customWidth="1"/>
    <col min="1526" max="1529" width="11" style="1" bestFit="1" customWidth="1"/>
    <col min="1530" max="1532" width="12.25" style="1" bestFit="1" customWidth="1"/>
    <col min="1533" max="1543" width="11" style="1" bestFit="1" customWidth="1"/>
    <col min="1544" max="1544" width="13.25" style="1" bestFit="1" customWidth="1"/>
    <col min="1545" max="1545" width="10" style="1" bestFit="1" customWidth="1"/>
    <col min="1546" max="1546" width="11" style="1" bestFit="1" customWidth="1"/>
    <col min="1547" max="1751" width="9" style="1"/>
    <col min="1752" max="1752" width="2.875" style="1" bestFit="1" customWidth="1"/>
    <col min="1753" max="1753" width="16.625" style="1" bestFit="1" customWidth="1"/>
    <col min="1754" max="1754" width="11.375" style="1" bestFit="1" customWidth="1"/>
    <col min="1755" max="1756" width="14.125" style="1" bestFit="1" customWidth="1"/>
    <col min="1757" max="1757" width="11.375" style="1" bestFit="1" customWidth="1"/>
    <col min="1758" max="1760" width="12.5" style="1" bestFit="1" customWidth="1"/>
    <col min="1761" max="1761" width="11" style="1" bestFit="1" customWidth="1"/>
    <col min="1762" max="1781" width="13" style="1" bestFit="1" customWidth="1"/>
    <col min="1782" max="1785" width="11" style="1" bestFit="1" customWidth="1"/>
    <col min="1786" max="1788" width="12.25" style="1" bestFit="1" customWidth="1"/>
    <col min="1789" max="1799" width="11" style="1" bestFit="1" customWidth="1"/>
    <col min="1800" max="1800" width="13.25" style="1" bestFit="1" customWidth="1"/>
    <col min="1801" max="1801" width="10" style="1" bestFit="1" customWidth="1"/>
    <col min="1802" max="1802" width="11" style="1" bestFit="1" customWidth="1"/>
    <col min="1803" max="2007" width="9" style="1"/>
    <col min="2008" max="2008" width="2.875" style="1" bestFit="1" customWidth="1"/>
    <col min="2009" max="2009" width="16.625" style="1" bestFit="1" customWidth="1"/>
    <col min="2010" max="2010" width="11.375" style="1" bestFit="1" customWidth="1"/>
    <col min="2011" max="2012" width="14.125" style="1" bestFit="1" customWidth="1"/>
    <col min="2013" max="2013" width="11.375" style="1" bestFit="1" customWidth="1"/>
    <col min="2014" max="2016" width="12.5" style="1" bestFit="1" customWidth="1"/>
    <col min="2017" max="2017" width="11" style="1" bestFit="1" customWidth="1"/>
    <col min="2018" max="2037" width="13" style="1" bestFit="1" customWidth="1"/>
    <col min="2038" max="2041" width="11" style="1" bestFit="1" customWidth="1"/>
    <col min="2042" max="2044" width="12.25" style="1" bestFit="1" customWidth="1"/>
    <col min="2045" max="2055" width="11" style="1" bestFit="1" customWidth="1"/>
    <col min="2056" max="2056" width="13.25" style="1" bestFit="1" customWidth="1"/>
    <col min="2057" max="2057" width="10" style="1" bestFit="1" customWidth="1"/>
    <col min="2058" max="2058" width="11" style="1" bestFit="1" customWidth="1"/>
    <col min="2059" max="2263" width="9" style="1"/>
    <col min="2264" max="2264" width="2.875" style="1" bestFit="1" customWidth="1"/>
    <col min="2265" max="2265" width="16.625" style="1" bestFit="1" customWidth="1"/>
    <col min="2266" max="2266" width="11.375" style="1" bestFit="1" customWidth="1"/>
    <col min="2267" max="2268" width="14.125" style="1" bestFit="1" customWidth="1"/>
    <col min="2269" max="2269" width="11.375" style="1" bestFit="1" customWidth="1"/>
    <col min="2270" max="2272" width="12.5" style="1" bestFit="1" customWidth="1"/>
    <col min="2273" max="2273" width="11" style="1" bestFit="1" customWidth="1"/>
    <col min="2274" max="2293" width="13" style="1" bestFit="1" customWidth="1"/>
    <col min="2294" max="2297" width="11" style="1" bestFit="1" customWidth="1"/>
    <col min="2298" max="2300" width="12.25" style="1" bestFit="1" customWidth="1"/>
    <col min="2301" max="2311" width="11" style="1" bestFit="1" customWidth="1"/>
    <col min="2312" max="2312" width="13.25" style="1" bestFit="1" customWidth="1"/>
    <col min="2313" max="2313" width="10" style="1" bestFit="1" customWidth="1"/>
    <col min="2314" max="2314" width="11" style="1" bestFit="1" customWidth="1"/>
    <col min="2315" max="2519" width="9" style="1"/>
    <col min="2520" max="2520" width="2.875" style="1" bestFit="1" customWidth="1"/>
    <col min="2521" max="2521" width="16.625" style="1" bestFit="1" customWidth="1"/>
    <col min="2522" max="2522" width="11.375" style="1" bestFit="1" customWidth="1"/>
    <col min="2523" max="2524" width="14.125" style="1" bestFit="1" customWidth="1"/>
    <col min="2525" max="2525" width="11.375" style="1" bestFit="1" customWidth="1"/>
    <col min="2526" max="2528" width="12.5" style="1" bestFit="1" customWidth="1"/>
    <col min="2529" max="2529" width="11" style="1" bestFit="1" customWidth="1"/>
    <col min="2530" max="2549" width="13" style="1" bestFit="1" customWidth="1"/>
    <col min="2550" max="2553" width="11" style="1" bestFit="1" customWidth="1"/>
    <col min="2554" max="2556" width="12.25" style="1" bestFit="1" customWidth="1"/>
    <col min="2557" max="2567" width="11" style="1" bestFit="1" customWidth="1"/>
    <col min="2568" max="2568" width="13.25" style="1" bestFit="1" customWidth="1"/>
    <col min="2569" max="2569" width="10" style="1" bestFit="1" customWidth="1"/>
    <col min="2570" max="2570" width="11" style="1" bestFit="1" customWidth="1"/>
    <col min="2571" max="2775" width="9" style="1"/>
    <col min="2776" max="2776" width="2.875" style="1" bestFit="1" customWidth="1"/>
    <col min="2777" max="2777" width="16.625" style="1" bestFit="1" customWidth="1"/>
    <col min="2778" max="2778" width="11.375" style="1" bestFit="1" customWidth="1"/>
    <col min="2779" max="2780" width="14.125" style="1" bestFit="1" customWidth="1"/>
    <col min="2781" max="2781" width="11.375" style="1" bestFit="1" customWidth="1"/>
    <col min="2782" max="2784" width="12.5" style="1" bestFit="1" customWidth="1"/>
    <col min="2785" max="2785" width="11" style="1" bestFit="1" customWidth="1"/>
    <col min="2786" max="2805" width="13" style="1" bestFit="1" customWidth="1"/>
    <col min="2806" max="2809" width="11" style="1" bestFit="1" customWidth="1"/>
    <col min="2810" max="2812" width="12.25" style="1" bestFit="1" customWidth="1"/>
    <col min="2813" max="2823" width="11" style="1" bestFit="1" customWidth="1"/>
    <col min="2824" max="2824" width="13.25" style="1" bestFit="1" customWidth="1"/>
    <col min="2825" max="2825" width="10" style="1" bestFit="1" customWidth="1"/>
    <col min="2826" max="2826" width="11" style="1" bestFit="1" customWidth="1"/>
    <col min="2827" max="3031" width="9" style="1"/>
    <col min="3032" max="3032" width="2.875" style="1" bestFit="1" customWidth="1"/>
    <col min="3033" max="3033" width="16.625" style="1" bestFit="1" customWidth="1"/>
    <col min="3034" max="3034" width="11.375" style="1" bestFit="1" customWidth="1"/>
    <col min="3035" max="3036" width="14.125" style="1" bestFit="1" customWidth="1"/>
    <col min="3037" max="3037" width="11.375" style="1" bestFit="1" customWidth="1"/>
    <col min="3038" max="3040" width="12.5" style="1" bestFit="1" customWidth="1"/>
    <col min="3041" max="3041" width="11" style="1" bestFit="1" customWidth="1"/>
    <col min="3042" max="3061" width="13" style="1" bestFit="1" customWidth="1"/>
    <col min="3062" max="3065" width="11" style="1" bestFit="1" customWidth="1"/>
    <col min="3066" max="3068" width="12.25" style="1" bestFit="1" customWidth="1"/>
    <col min="3069" max="3079" width="11" style="1" bestFit="1" customWidth="1"/>
    <col min="3080" max="3080" width="13.25" style="1" bestFit="1" customWidth="1"/>
    <col min="3081" max="3081" width="10" style="1" bestFit="1" customWidth="1"/>
    <col min="3082" max="3082" width="11" style="1" bestFit="1" customWidth="1"/>
    <col min="3083" max="3287" width="9" style="1"/>
    <col min="3288" max="3288" width="2.875" style="1" bestFit="1" customWidth="1"/>
    <col min="3289" max="3289" width="16.625" style="1" bestFit="1" customWidth="1"/>
    <col min="3290" max="3290" width="11.375" style="1" bestFit="1" customWidth="1"/>
    <col min="3291" max="3292" width="14.125" style="1" bestFit="1" customWidth="1"/>
    <col min="3293" max="3293" width="11.375" style="1" bestFit="1" customWidth="1"/>
    <col min="3294" max="3296" width="12.5" style="1" bestFit="1" customWidth="1"/>
    <col min="3297" max="3297" width="11" style="1" bestFit="1" customWidth="1"/>
    <col min="3298" max="3317" width="13" style="1" bestFit="1" customWidth="1"/>
    <col min="3318" max="3321" width="11" style="1" bestFit="1" customWidth="1"/>
    <col min="3322" max="3324" width="12.25" style="1" bestFit="1" customWidth="1"/>
    <col min="3325" max="3335" width="11" style="1" bestFit="1" customWidth="1"/>
    <col min="3336" max="3336" width="13.25" style="1" bestFit="1" customWidth="1"/>
    <col min="3337" max="3337" width="10" style="1" bestFit="1" customWidth="1"/>
    <col min="3338" max="3338" width="11" style="1" bestFit="1" customWidth="1"/>
    <col min="3339" max="3543" width="9" style="1"/>
    <col min="3544" max="3544" width="2.875" style="1" bestFit="1" customWidth="1"/>
    <col min="3545" max="3545" width="16.625" style="1" bestFit="1" customWidth="1"/>
    <col min="3546" max="3546" width="11.375" style="1" bestFit="1" customWidth="1"/>
    <col min="3547" max="3548" width="14.125" style="1" bestFit="1" customWidth="1"/>
    <col min="3549" max="3549" width="11.375" style="1" bestFit="1" customWidth="1"/>
    <col min="3550" max="3552" width="12.5" style="1" bestFit="1" customWidth="1"/>
    <col min="3553" max="3553" width="11" style="1" bestFit="1" customWidth="1"/>
    <col min="3554" max="3573" width="13" style="1" bestFit="1" customWidth="1"/>
    <col min="3574" max="3577" width="11" style="1" bestFit="1" customWidth="1"/>
    <col min="3578" max="3580" width="12.25" style="1" bestFit="1" customWidth="1"/>
    <col min="3581" max="3591" width="11" style="1" bestFit="1" customWidth="1"/>
    <col min="3592" max="3592" width="13.25" style="1" bestFit="1" customWidth="1"/>
    <col min="3593" max="3593" width="10" style="1" bestFit="1" customWidth="1"/>
    <col min="3594" max="3594" width="11" style="1" bestFit="1" customWidth="1"/>
    <col min="3595" max="3799" width="9" style="1"/>
    <col min="3800" max="3800" width="2.875" style="1" bestFit="1" customWidth="1"/>
    <col min="3801" max="3801" width="16.625" style="1" bestFit="1" customWidth="1"/>
    <col min="3802" max="3802" width="11.375" style="1" bestFit="1" customWidth="1"/>
    <col min="3803" max="3804" width="14.125" style="1" bestFit="1" customWidth="1"/>
    <col min="3805" max="3805" width="11.375" style="1" bestFit="1" customWidth="1"/>
    <col min="3806" max="3808" width="12.5" style="1" bestFit="1" customWidth="1"/>
    <col min="3809" max="3809" width="11" style="1" bestFit="1" customWidth="1"/>
    <col min="3810" max="3829" width="13" style="1" bestFit="1" customWidth="1"/>
    <col min="3830" max="3833" width="11" style="1" bestFit="1" customWidth="1"/>
    <col min="3834" max="3836" width="12.25" style="1" bestFit="1" customWidth="1"/>
    <col min="3837" max="3847" width="11" style="1" bestFit="1" customWidth="1"/>
    <col min="3848" max="3848" width="13.25" style="1" bestFit="1" customWidth="1"/>
    <col min="3849" max="3849" width="10" style="1" bestFit="1" customWidth="1"/>
    <col min="3850" max="3850" width="11" style="1" bestFit="1" customWidth="1"/>
    <col min="3851" max="4055" width="9" style="1"/>
    <col min="4056" max="4056" width="2.875" style="1" bestFit="1" customWidth="1"/>
    <col min="4057" max="4057" width="16.625" style="1" bestFit="1" customWidth="1"/>
    <col min="4058" max="4058" width="11.375" style="1" bestFit="1" customWidth="1"/>
    <col min="4059" max="4060" width="14.125" style="1" bestFit="1" customWidth="1"/>
    <col min="4061" max="4061" width="11.375" style="1" bestFit="1" customWidth="1"/>
    <col min="4062" max="4064" width="12.5" style="1" bestFit="1" customWidth="1"/>
    <col min="4065" max="4065" width="11" style="1" bestFit="1" customWidth="1"/>
    <col min="4066" max="4085" width="13" style="1" bestFit="1" customWidth="1"/>
    <col min="4086" max="4089" width="11" style="1" bestFit="1" customWidth="1"/>
    <col min="4090" max="4092" width="12.25" style="1" bestFit="1" customWidth="1"/>
    <col min="4093" max="4103" width="11" style="1" bestFit="1" customWidth="1"/>
    <col min="4104" max="4104" width="13.25" style="1" bestFit="1" customWidth="1"/>
    <col min="4105" max="4105" width="10" style="1" bestFit="1" customWidth="1"/>
    <col min="4106" max="4106" width="11" style="1" bestFit="1" customWidth="1"/>
    <col min="4107" max="4311" width="9" style="1"/>
    <col min="4312" max="4312" width="2.875" style="1" bestFit="1" customWidth="1"/>
    <col min="4313" max="4313" width="16.625" style="1" bestFit="1" customWidth="1"/>
    <col min="4314" max="4314" width="11.375" style="1" bestFit="1" customWidth="1"/>
    <col min="4315" max="4316" width="14.125" style="1" bestFit="1" customWidth="1"/>
    <col min="4317" max="4317" width="11.375" style="1" bestFit="1" customWidth="1"/>
    <col min="4318" max="4320" width="12.5" style="1" bestFit="1" customWidth="1"/>
    <col min="4321" max="4321" width="11" style="1" bestFit="1" customWidth="1"/>
    <col min="4322" max="4341" width="13" style="1" bestFit="1" customWidth="1"/>
    <col min="4342" max="4345" width="11" style="1" bestFit="1" customWidth="1"/>
    <col min="4346" max="4348" width="12.25" style="1" bestFit="1" customWidth="1"/>
    <col min="4349" max="4359" width="11" style="1" bestFit="1" customWidth="1"/>
    <col min="4360" max="4360" width="13.25" style="1" bestFit="1" customWidth="1"/>
    <col min="4361" max="4361" width="10" style="1" bestFit="1" customWidth="1"/>
    <col min="4362" max="4362" width="11" style="1" bestFit="1" customWidth="1"/>
    <col min="4363" max="4567" width="9" style="1"/>
    <col min="4568" max="4568" width="2.875" style="1" bestFit="1" customWidth="1"/>
    <col min="4569" max="4569" width="16.625" style="1" bestFit="1" customWidth="1"/>
    <col min="4570" max="4570" width="11.375" style="1" bestFit="1" customWidth="1"/>
    <col min="4571" max="4572" width="14.125" style="1" bestFit="1" customWidth="1"/>
    <col min="4573" max="4573" width="11.375" style="1" bestFit="1" customWidth="1"/>
    <col min="4574" max="4576" width="12.5" style="1" bestFit="1" customWidth="1"/>
    <col min="4577" max="4577" width="11" style="1" bestFit="1" customWidth="1"/>
    <col min="4578" max="4597" width="13" style="1" bestFit="1" customWidth="1"/>
    <col min="4598" max="4601" width="11" style="1" bestFit="1" customWidth="1"/>
    <col min="4602" max="4604" width="12.25" style="1" bestFit="1" customWidth="1"/>
    <col min="4605" max="4615" width="11" style="1" bestFit="1" customWidth="1"/>
    <col min="4616" max="4616" width="13.25" style="1" bestFit="1" customWidth="1"/>
    <col min="4617" max="4617" width="10" style="1" bestFit="1" customWidth="1"/>
    <col min="4618" max="4618" width="11" style="1" bestFit="1" customWidth="1"/>
    <col min="4619" max="4823" width="9" style="1"/>
    <col min="4824" max="4824" width="2.875" style="1" bestFit="1" customWidth="1"/>
    <col min="4825" max="4825" width="16.625" style="1" bestFit="1" customWidth="1"/>
    <col min="4826" max="4826" width="11.375" style="1" bestFit="1" customWidth="1"/>
    <col min="4827" max="4828" width="14.125" style="1" bestFit="1" customWidth="1"/>
    <col min="4829" max="4829" width="11.375" style="1" bestFit="1" customWidth="1"/>
    <col min="4830" max="4832" width="12.5" style="1" bestFit="1" customWidth="1"/>
    <col min="4833" max="4833" width="11" style="1" bestFit="1" customWidth="1"/>
    <col min="4834" max="4853" width="13" style="1" bestFit="1" customWidth="1"/>
    <col min="4854" max="4857" width="11" style="1" bestFit="1" customWidth="1"/>
    <col min="4858" max="4860" width="12.25" style="1" bestFit="1" customWidth="1"/>
    <col min="4861" max="4871" width="11" style="1" bestFit="1" customWidth="1"/>
    <col min="4872" max="4872" width="13.25" style="1" bestFit="1" customWidth="1"/>
    <col min="4873" max="4873" width="10" style="1" bestFit="1" customWidth="1"/>
    <col min="4874" max="4874" width="11" style="1" bestFit="1" customWidth="1"/>
    <col min="4875" max="5079" width="9" style="1"/>
    <col min="5080" max="5080" width="2.875" style="1" bestFit="1" customWidth="1"/>
    <col min="5081" max="5081" width="16.625" style="1" bestFit="1" customWidth="1"/>
    <col min="5082" max="5082" width="11.375" style="1" bestFit="1" customWidth="1"/>
    <col min="5083" max="5084" width="14.125" style="1" bestFit="1" customWidth="1"/>
    <col min="5085" max="5085" width="11.375" style="1" bestFit="1" customWidth="1"/>
    <col min="5086" max="5088" width="12.5" style="1" bestFit="1" customWidth="1"/>
    <col min="5089" max="5089" width="11" style="1" bestFit="1" customWidth="1"/>
    <col min="5090" max="5109" width="13" style="1" bestFit="1" customWidth="1"/>
    <col min="5110" max="5113" width="11" style="1" bestFit="1" customWidth="1"/>
    <col min="5114" max="5116" width="12.25" style="1" bestFit="1" customWidth="1"/>
    <col min="5117" max="5127" width="11" style="1" bestFit="1" customWidth="1"/>
    <col min="5128" max="5128" width="13.25" style="1" bestFit="1" customWidth="1"/>
    <col min="5129" max="5129" width="10" style="1" bestFit="1" customWidth="1"/>
    <col min="5130" max="5130" width="11" style="1" bestFit="1" customWidth="1"/>
    <col min="5131" max="5335" width="9" style="1"/>
    <col min="5336" max="5336" width="2.875" style="1" bestFit="1" customWidth="1"/>
    <col min="5337" max="5337" width="16.625" style="1" bestFit="1" customWidth="1"/>
    <col min="5338" max="5338" width="11.375" style="1" bestFit="1" customWidth="1"/>
    <col min="5339" max="5340" width="14.125" style="1" bestFit="1" customWidth="1"/>
    <col min="5341" max="5341" width="11.375" style="1" bestFit="1" customWidth="1"/>
    <col min="5342" max="5344" width="12.5" style="1" bestFit="1" customWidth="1"/>
    <col min="5345" max="5345" width="11" style="1" bestFit="1" customWidth="1"/>
    <col min="5346" max="5365" width="13" style="1" bestFit="1" customWidth="1"/>
    <col min="5366" max="5369" width="11" style="1" bestFit="1" customWidth="1"/>
    <col min="5370" max="5372" width="12.25" style="1" bestFit="1" customWidth="1"/>
    <col min="5373" max="5383" width="11" style="1" bestFit="1" customWidth="1"/>
    <col min="5384" max="5384" width="13.25" style="1" bestFit="1" customWidth="1"/>
    <col min="5385" max="5385" width="10" style="1" bestFit="1" customWidth="1"/>
    <col min="5386" max="5386" width="11" style="1" bestFit="1" customWidth="1"/>
    <col min="5387" max="5591" width="9" style="1"/>
    <col min="5592" max="5592" width="2.875" style="1" bestFit="1" customWidth="1"/>
    <col min="5593" max="5593" width="16.625" style="1" bestFit="1" customWidth="1"/>
    <col min="5594" max="5594" width="11.375" style="1" bestFit="1" customWidth="1"/>
    <col min="5595" max="5596" width="14.125" style="1" bestFit="1" customWidth="1"/>
    <col min="5597" max="5597" width="11.375" style="1" bestFit="1" customWidth="1"/>
    <col min="5598" max="5600" width="12.5" style="1" bestFit="1" customWidth="1"/>
    <col min="5601" max="5601" width="11" style="1" bestFit="1" customWidth="1"/>
    <col min="5602" max="5621" width="13" style="1" bestFit="1" customWidth="1"/>
    <col min="5622" max="5625" width="11" style="1" bestFit="1" customWidth="1"/>
    <col min="5626" max="5628" width="12.25" style="1" bestFit="1" customWidth="1"/>
    <col min="5629" max="5639" width="11" style="1" bestFit="1" customWidth="1"/>
    <col min="5640" max="5640" width="13.25" style="1" bestFit="1" customWidth="1"/>
    <col min="5641" max="5641" width="10" style="1" bestFit="1" customWidth="1"/>
    <col min="5642" max="5642" width="11" style="1" bestFit="1" customWidth="1"/>
    <col min="5643" max="5847" width="9" style="1"/>
    <col min="5848" max="5848" width="2.875" style="1" bestFit="1" customWidth="1"/>
    <col min="5849" max="5849" width="16.625" style="1" bestFit="1" customWidth="1"/>
    <col min="5850" max="5850" width="11.375" style="1" bestFit="1" customWidth="1"/>
    <col min="5851" max="5852" width="14.125" style="1" bestFit="1" customWidth="1"/>
    <col min="5853" max="5853" width="11.375" style="1" bestFit="1" customWidth="1"/>
    <col min="5854" max="5856" width="12.5" style="1" bestFit="1" customWidth="1"/>
    <col min="5857" max="5857" width="11" style="1" bestFit="1" customWidth="1"/>
    <col min="5858" max="5877" width="13" style="1" bestFit="1" customWidth="1"/>
    <col min="5878" max="5881" width="11" style="1" bestFit="1" customWidth="1"/>
    <col min="5882" max="5884" width="12.25" style="1" bestFit="1" customWidth="1"/>
    <col min="5885" max="5895" width="11" style="1" bestFit="1" customWidth="1"/>
    <col min="5896" max="5896" width="13.25" style="1" bestFit="1" customWidth="1"/>
    <col min="5897" max="5897" width="10" style="1" bestFit="1" customWidth="1"/>
    <col min="5898" max="5898" width="11" style="1" bestFit="1" customWidth="1"/>
    <col min="5899" max="6103" width="9" style="1"/>
    <col min="6104" max="6104" width="2.875" style="1" bestFit="1" customWidth="1"/>
    <col min="6105" max="6105" width="16.625" style="1" bestFit="1" customWidth="1"/>
    <col min="6106" max="6106" width="11.375" style="1" bestFit="1" customWidth="1"/>
    <col min="6107" max="6108" width="14.125" style="1" bestFit="1" customWidth="1"/>
    <col min="6109" max="6109" width="11.375" style="1" bestFit="1" customWidth="1"/>
    <col min="6110" max="6112" width="12.5" style="1" bestFit="1" customWidth="1"/>
    <col min="6113" max="6113" width="11" style="1" bestFit="1" customWidth="1"/>
    <col min="6114" max="6133" width="13" style="1" bestFit="1" customWidth="1"/>
    <col min="6134" max="6137" width="11" style="1" bestFit="1" customWidth="1"/>
    <col min="6138" max="6140" width="12.25" style="1" bestFit="1" customWidth="1"/>
    <col min="6141" max="6151" width="11" style="1" bestFit="1" customWidth="1"/>
    <col min="6152" max="6152" width="13.25" style="1" bestFit="1" customWidth="1"/>
    <col min="6153" max="6153" width="10" style="1" bestFit="1" customWidth="1"/>
    <col min="6154" max="6154" width="11" style="1" bestFit="1" customWidth="1"/>
    <col min="6155" max="6359" width="9" style="1"/>
    <col min="6360" max="6360" width="2.875" style="1" bestFit="1" customWidth="1"/>
    <col min="6361" max="6361" width="16.625" style="1" bestFit="1" customWidth="1"/>
    <col min="6362" max="6362" width="11.375" style="1" bestFit="1" customWidth="1"/>
    <col min="6363" max="6364" width="14.125" style="1" bestFit="1" customWidth="1"/>
    <col min="6365" max="6365" width="11.375" style="1" bestFit="1" customWidth="1"/>
    <col min="6366" max="6368" width="12.5" style="1" bestFit="1" customWidth="1"/>
    <col min="6369" max="6369" width="11" style="1" bestFit="1" customWidth="1"/>
    <col min="6370" max="6389" width="13" style="1" bestFit="1" customWidth="1"/>
    <col min="6390" max="6393" width="11" style="1" bestFit="1" customWidth="1"/>
    <col min="6394" max="6396" width="12.25" style="1" bestFit="1" customWidth="1"/>
    <col min="6397" max="6407" width="11" style="1" bestFit="1" customWidth="1"/>
    <col min="6408" max="6408" width="13.25" style="1" bestFit="1" customWidth="1"/>
    <col min="6409" max="6409" width="10" style="1" bestFit="1" customWidth="1"/>
    <col min="6410" max="6410" width="11" style="1" bestFit="1" customWidth="1"/>
    <col min="6411" max="6615" width="9" style="1"/>
    <col min="6616" max="6616" width="2.875" style="1" bestFit="1" customWidth="1"/>
    <col min="6617" max="6617" width="16.625" style="1" bestFit="1" customWidth="1"/>
    <col min="6618" max="6618" width="11.375" style="1" bestFit="1" customWidth="1"/>
    <col min="6619" max="6620" width="14.125" style="1" bestFit="1" customWidth="1"/>
    <col min="6621" max="6621" width="11.375" style="1" bestFit="1" customWidth="1"/>
    <col min="6622" max="6624" width="12.5" style="1" bestFit="1" customWidth="1"/>
    <col min="6625" max="6625" width="11" style="1" bestFit="1" customWidth="1"/>
    <col min="6626" max="6645" width="13" style="1" bestFit="1" customWidth="1"/>
    <col min="6646" max="6649" width="11" style="1" bestFit="1" customWidth="1"/>
    <col min="6650" max="6652" width="12.25" style="1" bestFit="1" customWidth="1"/>
    <col min="6653" max="6663" width="11" style="1" bestFit="1" customWidth="1"/>
    <col min="6664" max="6664" width="13.25" style="1" bestFit="1" customWidth="1"/>
    <col min="6665" max="6665" width="10" style="1" bestFit="1" customWidth="1"/>
    <col min="6666" max="6666" width="11" style="1" bestFit="1" customWidth="1"/>
    <col min="6667" max="6871" width="9" style="1"/>
    <col min="6872" max="6872" width="2.875" style="1" bestFit="1" customWidth="1"/>
    <col min="6873" max="6873" width="16.625" style="1" bestFit="1" customWidth="1"/>
    <col min="6874" max="6874" width="11.375" style="1" bestFit="1" customWidth="1"/>
    <col min="6875" max="6876" width="14.125" style="1" bestFit="1" customWidth="1"/>
    <col min="6877" max="6877" width="11.375" style="1" bestFit="1" customWidth="1"/>
    <col min="6878" max="6880" width="12.5" style="1" bestFit="1" customWidth="1"/>
    <col min="6881" max="6881" width="11" style="1" bestFit="1" customWidth="1"/>
    <col min="6882" max="6901" width="13" style="1" bestFit="1" customWidth="1"/>
    <col min="6902" max="6905" width="11" style="1" bestFit="1" customWidth="1"/>
    <col min="6906" max="6908" width="12.25" style="1" bestFit="1" customWidth="1"/>
    <col min="6909" max="6919" width="11" style="1" bestFit="1" customWidth="1"/>
    <col min="6920" max="6920" width="13.25" style="1" bestFit="1" customWidth="1"/>
    <col min="6921" max="6921" width="10" style="1" bestFit="1" customWidth="1"/>
    <col min="6922" max="6922" width="11" style="1" bestFit="1" customWidth="1"/>
    <col min="6923" max="7127" width="9" style="1"/>
    <col min="7128" max="7128" width="2.875" style="1" bestFit="1" customWidth="1"/>
    <col min="7129" max="7129" width="16.625" style="1" bestFit="1" customWidth="1"/>
    <col min="7130" max="7130" width="11.375" style="1" bestFit="1" customWidth="1"/>
    <col min="7131" max="7132" width="14.125" style="1" bestFit="1" customWidth="1"/>
    <col min="7133" max="7133" width="11.375" style="1" bestFit="1" customWidth="1"/>
    <col min="7134" max="7136" width="12.5" style="1" bestFit="1" customWidth="1"/>
    <col min="7137" max="7137" width="11" style="1" bestFit="1" customWidth="1"/>
    <col min="7138" max="7157" width="13" style="1" bestFit="1" customWidth="1"/>
    <col min="7158" max="7161" width="11" style="1" bestFit="1" customWidth="1"/>
    <col min="7162" max="7164" width="12.25" style="1" bestFit="1" customWidth="1"/>
    <col min="7165" max="7175" width="11" style="1" bestFit="1" customWidth="1"/>
    <col min="7176" max="7176" width="13.25" style="1" bestFit="1" customWidth="1"/>
    <col min="7177" max="7177" width="10" style="1" bestFit="1" customWidth="1"/>
    <col min="7178" max="7178" width="11" style="1" bestFit="1" customWidth="1"/>
    <col min="7179" max="7383" width="9" style="1"/>
    <col min="7384" max="7384" width="2.875" style="1" bestFit="1" customWidth="1"/>
    <col min="7385" max="7385" width="16.625" style="1" bestFit="1" customWidth="1"/>
    <col min="7386" max="7386" width="11.375" style="1" bestFit="1" customWidth="1"/>
    <col min="7387" max="7388" width="14.125" style="1" bestFit="1" customWidth="1"/>
    <col min="7389" max="7389" width="11.375" style="1" bestFit="1" customWidth="1"/>
    <col min="7390" max="7392" width="12.5" style="1" bestFit="1" customWidth="1"/>
    <col min="7393" max="7393" width="11" style="1" bestFit="1" customWidth="1"/>
    <col min="7394" max="7413" width="13" style="1" bestFit="1" customWidth="1"/>
    <col min="7414" max="7417" width="11" style="1" bestFit="1" customWidth="1"/>
    <col min="7418" max="7420" width="12.25" style="1" bestFit="1" customWidth="1"/>
    <col min="7421" max="7431" width="11" style="1" bestFit="1" customWidth="1"/>
    <col min="7432" max="7432" width="13.25" style="1" bestFit="1" customWidth="1"/>
    <col min="7433" max="7433" width="10" style="1" bestFit="1" customWidth="1"/>
    <col min="7434" max="7434" width="11" style="1" bestFit="1" customWidth="1"/>
    <col min="7435" max="7639" width="9" style="1"/>
    <col min="7640" max="7640" width="2.875" style="1" bestFit="1" customWidth="1"/>
    <col min="7641" max="7641" width="16.625" style="1" bestFit="1" customWidth="1"/>
    <col min="7642" max="7642" width="11.375" style="1" bestFit="1" customWidth="1"/>
    <col min="7643" max="7644" width="14.125" style="1" bestFit="1" customWidth="1"/>
    <col min="7645" max="7645" width="11.375" style="1" bestFit="1" customWidth="1"/>
    <col min="7646" max="7648" width="12.5" style="1" bestFit="1" customWidth="1"/>
    <col min="7649" max="7649" width="11" style="1" bestFit="1" customWidth="1"/>
    <col min="7650" max="7669" width="13" style="1" bestFit="1" customWidth="1"/>
    <col min="7670" max="7673" width="11" style="1" bestFit="1" customWidth="1"/>
    <col min="7674" max="7676" width="12.25" style="1" bestFit="1" customWidth="1"/>
    <col min="7677" max="7687" width="11" style="1" bestFit="1" customWidth="1"/>
    <col min="7688" max="7688" width="13.25" style="1" bestFit="1" customWidth="1"/>
    <col min="7689" max="7689" width="10" style="1" bestFit="1" customWidth="1"/>
    <col min="7690" max="7690" width="11" style="1" bestFit="1" customWidth="1"/>
    <col min="7691" max="7895" width="9" style="1"/>
    <col min="7896" max="7896" width="2.875" style="1" bestFit="1" customWidth="1"/>
    <col min="7897" max="7897" width="16.625" style="1" bestFit="1" customWidth="1"/>
    <col min="7898" max="7898" width="11.375" style="1" bestFit="1" customWidth="1"/>
    <col min="7899" max="7900" width="14.125" style="1" bestFit="1" customWidth="1"/>
    <col min="7901" max="7901" width="11.375" style="1" bestFit="1" customWidth="1"/>
    <col min="7902" max="7904" width="12.5" style="1" bestFit="1" customWidth="1"/>
    <col min="7905" max="7905" width="11" style="1" bestFit="1" customWidth="1"/>
    <col min="7906" max="7925" width="13" style="1" bestFit="1" customWidth="1"/>
    <col min="7926" max="7929" width="11" style="1" bestFit="1" customWidth="1"/>
    <col min="7930" max="7932" width="12.25" style="1" bestFit="1" customWidth="1"/>
    <col min="7933" max="7943" width="11" style="1" bestFit="1" customWidth="1"/>
    <col min="7944" max="7944" width="13.25" style="1" bestFit="1" customWidth="1"/>
    <col min="7945" max="7945" width="10" style="1" bestFit="1" customWidth="1"/>
    <col min="7946" max="7946" width="11" style="1" bestFit="1" customWidth="1"/>
    <col min="7947" max="8151" width="9" style="1"/>
    <col min="8152" max="8152" width="2.875" style="1" bestFit="1" customWidth="1"/>
    <col min="8153" max="8153" width="16.625" style="1" bestFit="1" customWidth="1"/>
    <col min="8154" max="8154" width="11.375" style="1" bestFit="1" customWidth="1"/>
    <col min="8155" max="8156" width="14.125" style="1" bestFit="1" customWidth="1"/>
    <col min="8157" max="8157" width="11.375" style="1" bestFit="1" customWidth="1"/>
    <col min="8158" max="8160" width="12.5" style="1" bestFit="1" customWidth="1"/>
    <col min="8161" max="8161" width="11" style="1" bestFit="1" customWidth="1"/>
    <col min="8162" max="8181" width="13" style="1" bestFit="1" customWidth="1"/>
    <col min="8182" max="8185" width="11" style="1" bestFit="1" customWidth="1"/>
    <col min="8186" max="8188" width="12.25" style="1" bestFit="1" customWidth="1"/>
    <col min="8189" max="8199" width="11" style="1" bestFit="1" customWidth="1"/>
    <col min="8200" max="8200" width="13.25" style="1" bestFit="1" customWidth="1"/>
    <col min="8201" max="8201" width="10" style="1" bestFit="1" customWidth="1"/>
    <col min="8202" max="8202" width="11" style="1" bestFit="1" customWidth="1"/>
    <col min="8203" max="8407" width="9" style="1"/>
    <col min="8408" max="8408" width="2.875" style="1" bestFit="1" customWidth="1"/>
    <col min="8409" max="8409" width="16.625" style="1" bestFit="1" customWidth="1"/>
    <col min="8410" max="8410" width="11.375" style="1" bestFit="1" customWidth="1"/>
    <col min="8411" max="8412" width="14.125" style="1" bestFit="1" customWidth="1"/>
    <col min="8413" max="8413" width="11.375" style="1" bestFit="1" customWidth="1"/>
    <col min="8414" max="8416" width="12.5" style="1" bestFit="1" customWidth="1"/>
    <col min="8417" max="8417" width="11" style="1" bestFit="1" customWidth="1"/>
    <col min="8418" max="8437" width="13" style="1" bestFit="1" customWidth="1"/>
    <col min="8438" max="8441" width="11" style="1" bestFit="1" customWidth="1"/>
    <col min="8442" max="8444" width="12.25" style="1" bestFit="1" customWidth="1"/>
    <col min="8445" max="8455" width="11" style="1" bestFit="1" customWidth="1"/>
    <col min="8456" max="8456" width="13.25" style="1" bestFit="1" customWidth="1"/>
    <col min="8457" max="8457" width="10" style="1" bestFit="1" customWidth="1"/>
    <col min="8458" max="8458" width="11" style="1" bestFit="1" customWidth="1"/>
    <col min="8459" max="8663" width="9" style="1"/>
    <col min="8664" max="8664" width="2.875" style="1" bestFit="1" customWidth="1"/>
    <col min="8665" max="8665" width="16.625" style="1" bestFit="1" customWidth="1"/>
    <col min="8666" max="8666" width="11.375" style="1" bestFit="1" customWidth="1"/>
    <col min="8667" max="8668" width="14.125" style="1" bestFit="1" customWidth="1"/>
    <col min="8669" max="8669" width="11.375" style="1" bestFit="1" customWidth="1"/>
    <col min="8670" max="8672" width="12.5" style="1" bestFit="1" customWidth="1"/>
    <col min="8673" max="8673" width="11" style="1" bestFit="1" customWidth="1"/>
    <col min="8674" max="8693" width="13" style="1" bestFit="1" customWidth="1"/>
    <col min="8694" max="8697" width="11" style="1" bestFit="1" customWidth="1"/>
    <col min="8698" max="8700" width="12.25" style="1" bestFit="1" customWidth="1"/>
    <col min="8701" max="8711" width="11" style="1" bestFit="1" customWidth="1"/>
    <col min="8712" max="8712" width="13.25" style="1" bestFit="1" customWidth="1"/>
    <col min="8713" max="8713" width="10" style="1" bestFit="1" customWidth="1"/>
    <col min="8714" max="8714" width="11" style="1" bestFit="1" customWidth="1"/>
    <col min="8715" max="8919" width="9" style="1"/>
    <col min="8920" max="8920" width="2.875" style="1" bestFit="1" customWidth="1"/>
    <col min="8921" max="8921" width="16.625" style="1" bestFit="1" customWidth="1"/>
    <col min="8922" max="8922" width="11.375" style="1" bestFit="1" customWidth="1"/>
    <col min="8923" max="8924" width="14.125" style="1" bestFit="1" customWidth="1"/>
    <col min="8925" max="8925" width="11.375" style="1" bestFit="1" customWidth="1"/>
    <col min="8926" max="8928" width="12.5" style="1" bestFit="1" customWidth="1"/>
    <col min="8929" max="8929" width="11" style="1" bestFit="1" customWidth="1"/>
    <col min="8930" max="8949" width="13" style="1" bestFit="1" customWidth="1"/>
    <col min="8950" max="8953" width="11" style="1" bestFit="1" customWidth="1"/>
    <col min="8954" max="8956" width="12.25" style="1" bestFit="1" customWidth="1"/>
    <col min="8957" max="8967" width="11" style="1" bestFit="1" customWidth="1"/>
    <col min="8968" max="8968" width="13.25" style="1" bestFit="1" customWidth="1"/>
    <col min="8969" max="8969" width="10" style="1" bestFit="1" customWidth="1"/>
    <col min="8970" max="8970" width="11" style="1" bestFit="1" customWidth="1"/>
    <col min="8971" max="9175" width="9" style="1"/>
    <col min="9176" max="9176" width="2.875" style="1" bestFit="1" customWidth="1"/>
    <col min="9177" max="9177" width="16.625" style="1" bestFit="1" customWidth="1"/>
    <col min="9178" max="9178" width="11.375" style="1" bestFit="1" customWidth="1"/>
    <col min="9179" max="9180" width="14.125" style="1" bestFit="1" customWidth="1"/>
    <col min="9181" max="9181" width="11.375" style="1" bestFit="1" customWidth="1"/>
    <col min="9182" max="9184" width="12.5" style="1" bestFit="1" customWidth="1"/>
    <col min="9185" max="9185" width="11" style="1" bestFit="1" customWidth="1"/>
    <col min="9186" max="9205" width="13" style="1" bestFit="1" customWidth="1"/>
    <col min="9206" max="9209" width="11" style="1" bestFit="1" customWidth="1"/>
    <col min="9210" max="9212" width="12.25" style="1" bestFit="1" customWidth="1"/>
    <col min="9213" max="9223" width="11" style="1" bestFit="1" customWidth="1"/>
    <col min="9224" max="9224" width="13.25" style="1" bestFit="1" customWidth="1"/>
    <col min="9225" max="9225" width="10" style="1" bestFit="1" customWidth="1"/>
    <col min="9226" max="9226" width="11" style="1" bestFit="1" customWidth="1"/>
    <col min="9227" max="9431" width="9" style="1"/>
    <col min="9432" max="9432" width="2.875" style="1" bestFit="1" customWidth="1"/>
    <col min="9433" max="9433" width="16.625" style="1" bestFit="1" customWidth="1"/>
    <col min="9434" max="9434" width="11.375" style="1" bestFit="1" customWidth="1"/>
    <col min="9435" max="9436" width="14.125" style="1" bestFit="1" customWidth="1"/>
    <col min="9437" max="9437" width="11.375" style="1" bestFit="1" customWidth="1"/>
    <col min="9438" max="9440" width="12.5" style="1" bestFit="1" customWidth="1"/>
    <col min="9441" max="9441" width="11" style="1" bestFit="1" customWidth="1"/>
    <col min="9442" max="9461" width="13" style="1" bestFit="1" customWidth="1"/>
    <col min="9462" max="9465" width="11" style="1" bestFit="1" customWidth="1"/>
    <col min="9466" max="9468" width="12.25" style="1" bestFit="1" customWidth="1"/>
    <col min="9469" max="9479" width="11" style="1" bestFit="1" customWidth="1"/>
    <col min="9480" max="9480" width="13.25" style="1" bestFit="1" customWidth="1"/>
    <col min="9481" max="9481" width="10" style="1" bestFit="1" customWidth="1"/>
    <col min="9482" max="9482" width="11" style="1" bestFit="1" customWidth="1"/>
    <col min="9483" max="9687" width="9" style="1"/>
    <col min="9688" max="9688" width="2.875" style="1" bestFit="1" customWidth="1"/>
    <col min="9689" max="9689" width="16.625" style="1" bestFit="1" customWidth="1"/>
    <col min="9690" max="9690" width="11.375" style="1" bestFit="1" customWidth="1"/>
    <col min="9691" max="9692" width="14.125" style="1" bestFit="1" customWidth="1"/>
    <col min="9693" max="9693" width="11.375" style="1" bestFit="1" customWidth="1"/>
    <col min="9694" max="9696" width="12.5" style="1" bestFit="1" customWidth="1"/>
    <col min="9697" max="9697" width="11" style="1" bestFit="1" customWidth="1"/>
    <col min="9698" max="9717" width="13" style="1" bestFit="1" customWidth="1"/>
    <col min="9718" max="9721" width="11" style="1" bestFit="1" customWidth="1"/>
    <col min="9722" max="9724" width="12.25" style="1" bestFit="1" customWidth="1"/>
    <col min="9725" max="9735" width="11" style="1" bestFit="1" customWidth="1"/>
    <col min="9736" max="9736" width="13.25" style="1" bestFit="1" customWidth="1"/>
    <col min="9737" max="9737" width="10" style="1" bestFit="1" customWidth="1"/>
    <col min="9738" max="9738" width="11" style="1" bestFit="1" customWidth="1"/>
    <col min="9739" max="9943" width="9" style="1"/>
    <col min="9944" max="9944" width="2.875" style="1" bestFit="1" customWidth="1"/>
    <col min="9945" max="9945" width="16.625" style="1" bestFit="1" customWidth="1"/>
    <col min="9946" max="9946" width="11.375" style="1" bestFit="1" customWidth="1"/>
    <col min="9947" max="9948" width="14.125" style="1" bestFit="1" customWidth="1"/>
    <col min="9949" max="9949" width="11.375" style="1" bestFit="1" customWidth="1"/>
    <col min="9950" max="9952" width="12.5" style="1" bestFit="1" customWidth="1"/>
    <col min="9953" max="9953" width="11" style="1" bestFit="1" customWidth="1"/>
    <col min="9954" max="9973" width="13" style="1" bestFit="1" customWidth="1"/>
    <col min="9974" max="9977" width="11" style="1" bestFit="1" customWidth="1"/>
    <col min="9978" max="9980" width="12.25" style="1" bestFit="1" customWidth="1"/>
    <col min="9981" max="9991" width="11" style="1" bestFit="1" customWidth="1"/>
    <col min="9992" max="9992" width="13.25" style="1" bestFit="1" customWidth="1"/>
    <col min="9993" max="9993" width="10" style="1" bestFit="1" customWidth="1"/>
    <col min="9994" max="9994" width="11" style="1" bestFit="1" customWidth="1"/>
    <col min="9995" max="10199" width="9" style="1"/>
    <col min="10200" max="10200" width="2.875" style="1" bestFit="1" customWidth="1"/>
    <col min="10201" max="10201" width="16.625" style="1" bestFit="1" customWidth="1"/>
    <col min="10202" max="10202" width="11.375" style="1" bestFit="1" customWidth="1"/>
    <col min="10203" max="10204" width="14.125" style="1" bestFit="1" customWidth="1"/>
    <col min="10205" max="10205" width="11.375" style="1" bestFit="1" customWidth="1"/>
    <col min="10206" max="10208" width="12.5" style="1" bestFit="1" customWidth="1"/>
    <col min="10209" max="10209" width="11" style="1" bestFit="1" customWidth="1"/>
    <col min="10210" max="10229" width="13" style="1" bestFit="1" customWidth="1"/>
    <col min="10230" max="10233" width="11" style="1" bestFit="1" customWidth="1"/>
    <col min="10234" max="10236" width="12.25" style="1" bestFit="1" customWidth="1"/>
    <col min="10237" max="10247" width="11" style="1" bestFit="1" customWidth="1"/>
    <col min="10248" max="10248" width="13.25" style="1" bestFit="1" customWidth="1"/>
    <col min="10249" max="10249" width="10" style="1" bestFit="1" customWidth="1"/>
    <col min="10250" max="10250" width="11" style="1" bestFit="1" customWidth="1"/>
    <col min="10251" max="10455" width="9" style="1"/>
    <col min="10456" max="10456" width="2.875" style="1" bestFit="1" customWidth="1"/>
    <col min="10457" max="10457" width="16.625" style="1" bestFit="1" customWidth="1"/>
    <col min="10458" max="10458" width="11.375" style="1" bestFit="1" customWidth="1"/>
    <col min="10459" max="10460" width="14.125" style="1" bestFit="1" customWidth="1"/>
    <col min="10461" max="10461" width="11.375" style="1" bestFit="1" customWidth="1"/>
    <col min="10462" max="10464" width="12.5" style="1" bestFit="1" customWidth="1"/>
    <col min="10465" max="10465" width="11" style="1" bestFit="1" customWidth="1"/>
    <col min="10466" max="10485" width="13" style="1" bestFit="1" customWidth="1"/>
    <col min="10486" max="10489" width="11" style="1" bestFit="1" customWidth="1"/>
    <col min="10490" max="10492" width="12.25" style="1" bestFit="1" customWidth="1"/>
    <col min="10493" max="10503" width="11" style="1" bestFit="1" customWidth="1"/>
    <col min="10504" max="10504" width="13.25" style="1" bestFit="1" customWidth="1"/>
    <col min="10505" max="10505" width="10" style="1" bestFit="1" customWidth="1"/>
    <col min="10506" max="10506" width="11" style="1" bestFit="1" customWidth="1"/>
    <col min="10507" max="10711" width="9" style="1"/>
    <col min="10712" max="10712" width="2.875" style="1" bestFit="1" customWidth="1"/>
    <col min="10713" max="10713" width="16.625" style="1" bestFit="1" customWidth="1"/>
    <col min="10714" max="10714" width="11.375" style="1" bestFit="1" customWidth="1"/>
    <col min="10715" max="10716" width="14.125" style="1" bestFit="1" customWidth="1"/>
    <col min="10717" max="10717" width="11.375" style="1" bestFit="1" customWidth="1"/>
    <col min="10718" max="10720" width="12.5" style="1" bestFit="1" customWidth="1"/>
    <col min="10721" max="10721" width="11" style="1" bestFit="1" customWidth="1"/>
    <col min="10722" max="10741" width="13" style="1" bestFit="1" customWidth="1"/>
    <col min="10742" max="10745" width="11" style="1" bestFit="1" customWidth="1"/>
    <col min="10746" max="10748" width="12.25" style="1" bestFit="1" customWidth="1"/>
    <col min="10749" max="10759" width="11" style="1" bestFit="1" customWidth="1"/>
    <col min="10760" max="10760" width="13.25" style="1" bestFit="1" customWidth="1"/>
    <col min="10761" max="10761" width="10" style="1" bestFit="1" customWidth="1"/>
    <col min="10762" max="10762" width="11" style="1" bestFit="1" customWidth="1"/>
    <col min="10763" max="10967" width="9" style="1"/>
    <col min="10968" max="10968" width="2.875" style="1" bestFit="1" customWidth="1"/>
    <col min="10969" max="10969" width="16.625" style="1" bestFit="1" customWidth="1"/>
    <col min="10970" max="10970" width="11.375" style="1" bestFit="1" customWidth="1"/>
    <col min="10971" max="10972" width="14.125" style="1" bestFit="1" customWidth="1"/>
    <col min="10973" max="10973" width="11.375" style="1" bestFit="1" customWidth="1"/>
    <col min="10974" max="10976" width="12.5" style="1" bestFit="1" customWidth="1"/>
    <col min="10977" max="10977" width="11" style="1" bestFit="1" customWidth="1"/>
    <col min="10978" max="10997" width="13" style="1" bestFit="1" customWidth="1"/>
    <col min="10998" max="11001" width="11" style="1" bestFit="1" customWidth="1"/>
    <col min="11002" max="11004" width="12.25" style="1" bestFit="1" customWidth="1"/>
    <col min="11005" max="11015" width="11" style="1" bestFit="1" customWidth="1"/>
    <col min="11016" max="11016" width="13.25" style="1" bestFit="1" customWidth="1"/>
    <col min="11017" max="11017" width="10" style="1" bestFit="1" customWidth="1"/>
    <col min="11018" max="11018" width="11" style="1" bestFit="1" customWidth="1"/>
    <col min="11019" max="11223" width="9" style="1"/>
    <col min="11224" max="11224" width="2.875" style="1" bestFit="1" customWidth="1"/>
    <col min="11225" max="11225" width="16.625" style="1" bestFit="1" customWidth="1"/>
    <col min="11226" max="11226" width="11.375" style="1" bestFit="1" customWidth="1"/>
    <col min="11227" max="11228" width="14.125" style="1" bestFit="1" customWidth="1"/>
    <col min="11229" max="11229" width="11.375" style="1" bestFit="1" customWidth="1"/>
    <col min="11230" max="11232" width="12.5" style="1" bestFit="1" customWidth="1"/>
    <col min="11233" max="11233" width="11" style="1" bestFit="1" customWidth="1"/>
    <col min="11234" max="11253" width="13" style="1" bestFit="1" customWidth="1"/>
    <col min="11254" max="11257" width="11" style="1" bestFit="1" customWidth="1"/>
    <col min="11258" max="11260" width="12.25" style="1" bestFit="1" customWidth="1"/>
    <col min="11261" max="11271" width="11" style="1" bestFit="1" customWidth="1"/>
    <col min="11272" max="11272" width="13.25" style="1" bestFit="1" customWidth="1"/>
    <col min="11273" max="11273" width="10" style="1" bestFit="1" customWidth="1"/>
    <col min="11274" max="11274" width="11" style="1" bestFit="1" customWidth="1"/>
    <col min="11275" max="11479" width="9" style="1"/>
    <col min="11480" max="11480" width="2.875" style="1" bestFit="1" customWidth="1"/>
    <col min="11481" max="11481" width="16.625" style="1" bestFit="1" customWidth="1"/>
    <col min="11482" max="11482" width="11.375" style="1" bestFit="1" customWidth="1"/>
    <col min="11483" max="11484" width="14.125" style="1" bestFit="1" customWidth="1"/>
    <col min="11485" max="11485" width="11.375" style="1" bestFit="1" customWidth="1"/>
    <col min="11486" max="11488" width="12.5" style="1" bestFit="1" customWidth="1"/>
    <col min="11489" max="11489" width="11" style="1" bestFit="1" customWidth="1"/>
    <col min="11490" max="11509" width="13" style="1" bestFit="1" customWidth="1"/>
    <col min="11510" max="11513" width="11" style="1" bestFit="1" customWidth="1"/>
    <col min="11514" max="11516" width="12.25" style="1" bestFit="1" customWidth="1"/>
    <col min="11517" max="11527" width="11" style="1" bestFit="1" customWidth="1"/>
    <col min="11528" max="11528" width="13.25" style="1" bestFit="1" customWidth="1"/>
    <col min="11529" max="11529" width="10" style="1" bestFit="1" customWidth="1"/>
    <col min="11530" max="11530" width="11" style="1" bestFit="1" customWidth="1"/>
    <col min="11531" max="11735" width="9" style="1"/>
    <col min="11736" max="11736" width="2.875" style="1" bestFit="1" customWidth="1"/>
    <col min="11737" max="11737" width="16.625" style="1" bestFit="1" customWidth="1"/>
    <col min="11738" max="11738" width="11.375" style="1" bestFit="1" customWidth="1"/>
    <col min="11739" max="11740" width="14.125" style="1" bestFit="1" customWidth="1"/>
    <col min="11741" max="11741" width="11.375" style="1" bestFit="1" customWidth="1"/>
    <col min="11742" max="11744" width="12.5" style="1" bestFit="1" customWidth="1"/>
    <col min="11745" max="11745" width="11" style="1" bestFit="1" customWidth="1"/>
    <col min="11746" max="11765" width="13" style="1" bestFit="1" customWidth="1"/>
    <col min="11766" max="11769" width="11" style="1" bestFit="1" customWidth="1"/>
    <col min="11770" max="11772" width="12.25" style="1" bestFit="1" customWidth="1"/>
    <col min="11773" max="11783" width="11" style="1" bestFit="1" customWidth="1"/>
    <col min="11784" max="11784" width="13.25" style="1" bestFit="1" customWidth="1"/>
    <col min="11785" max="11785" width="10" style="1" bestFit="1" customWidth="1"/>
    <col min="11786" max="11786" width="11" style="1" bestFit="1" customWidth="1"/>
    <col min="11787" max="11991" width="9" style="1"/>
    <col min="11992" max="11992" width="2.875" style="1" bestFit="1" customWidth="1"/>
    <col min="11993" max="11993" width="16.625" style="1" bestFit="1" customWidth="1"/>
    <col min="11994" max="11994" width="11.375" style="1" bestFit="1" customWidth="1"/>
    <col min="11995" max="11996" width="14.125" style="1" bestFit="1" customWidth="1"/>
    <col min="11997" max="11997" width="11.375" style="1" bestFit="1" customWidth="1"/>
    <col min="11998" max="12000" width="12.5" style="1" bestFit="1" customWidth="1"/>
    <col min="12001" max="12001" width="11" style="1" bestFit="1" customWidth="1"/>
    <col min="12002" max="12021" width="13" style="1" bestFit="1" customWidth="1"/>
    <col min="12022" max="12025" width="11" style="1" bestFit="1" customWidth="1"/>
    <col min="12026" max="12028" width="12.25" style="1" bestFit="1" customWidth="1"/>
    <col min="12029" max="12039" width="11" style="1" bestFit="1" customWidth="1"/>
    <col min="12040" max="12040" width="13.25" style="1" bestFit="1" customWidth="1"/>
    <col min="12041" max="12041" width="10" style="1" bestFit="1" customWidth="1"/>
    <col min="12042" max="12042" width="11" style="1" bestFit="1" customWidth="1"/>
    <col min="12043" max="12247" width="9" style="1"/>
    <col min="12248" max="12248" width="2.875" style="1" bestFit="1" customWidth="1"/>
    <col min="12249" max="12249" width="16.625" style="1" bestFit="1" customWidth="1"/>
    <col min="12250" max="12250" width="11.375" style="1" bestFit="1" customWidth="1"/>
    <col min="12251" max="12252" width="14.125" style="1" bestFit="1" customWidth="1"/>
    <col min="12253" max="12253" width="11.375" style="1" bestFit="1" customWidth="1"/>
    <col min="12254" max="12256" width="12.5" style="1" bestFit="1" customWidth="1"/>
    <col min="12257" max="12257" width="11" style="1" bestFit="1" customWidth="1"/>
    <col min="12258" max="12277" width="13" style="1" bestFit="1" customWidth="1"/>
    <col min="12278" max="12281" width="11" style="1" bestFit="1" customWidth="1"/>
    <col min="12282" max="12284" width="12.25" style="1" bestFit="1" customWidth="1"/>
    <col min="12285" max="12295" width="11" style="1" bestFit="1" customWidth="1"/>
    <col min="12296" max="12296" width="13.25" style="1" bestFit="1" customWidth="1"/>
    <col min="12297" max="12297" width="10" style="1" bestFit="1" customWidth="1"/>
    <col min="12298" max="12298" width="11" style="1" bestFit="1" customWidth="1"/>
    <col min="12299" max="12503" width="9" style="1"/>
    <col min="12504" max="12504" width="2.875" style="1" bestFit="1" customWidth="1"/>
    <col min="12505" max="12505" width="16.625" style="1" bestFit="1" customWidth="1"/>
    <col min="12506" max="12506" width="11.375" style="1" bestFit="1" customWidth="1"/>
    <col min="12507" max="12508" width="14.125" style="1" bestFit="1" customWidth="1"/>
    <col min="12509" max="12509" width="11.375" style="1" bestFit="1" customWidth="1"/>
    <col min="12510" max="12512" width="12.5" style="1" bestFit="1" customWidth="1"/>
    <col min="12513" max="12513" width="11" style="1" bestFit="1" customWidth="1"/>
    <col min="12514" max="12533" width="13" style="1" bestFit="1" customWidth="1"/>
    <col min="12534" max="12537" width="11" style="1" bestFit="1" customWidth="1"/>
    <col min="12538" max="12540" width="12.25" style="1" bestFit="1" customWidth="1"/>
    <col min="12541" max="12551" width="11" style="1" bestFit="1" customWidth="1"/>
    <col min="12552" max="12552" width="13.25" style="1" bestFit="1" customWidth="1"/>
    <col min="12553" max="12553" width="10" style="1" bestFit="1" customWidth="1"/>
    <col min="12554" max="12554" width="11" style="1" bestFit="1" customWidth="1"/>
    <col min="12555" max="12759" width="9" style="1"/>
    <col min="12760" max="12760" width="2.875" style="1" bestFit="1" customWidth="1"/>
    <col min="12761" max="12761" width="16.625" style="1" bestFit="1" customWidth="1"/>
    <col min="12762" max="12762" width="11.375" style="1" bestFit="1" customWidth="1"/>
    <col min="12763" max="12764" width="14.125" style="1" bestFit="1" customWidth="1"/>
    <col min="12765" max="12765" width="11.375" style="1" bestFit="1" customWidth="1"/>
    <col min="12766" max="12768" width="12.5" style="1" bestFit="1" customWidth="1"/>
    <col min="12769" max="12769" width="11" style="1" bestFit="1" customWidth="1"/>
    <col min="12770" max="12789" width="13" style="1" bestFit="1" customWidth="1"/>
    <col min="12790" max="12793" width="11" style="1" bestFit="1" customWidth="1"/>
    <col min="12794" max="12796" width="12.25" style="1" bestFit="1" customWidth="1"/>
    <col min="12797" max="12807" width="11" style="1" bestFit="1" customWidth="1"/>
    <col min="12808" max="12808" width="13.25" style="1" bestFit="1" customWidth="1"/>
    <col min="12809" max="12809" width="10" style="1" bestFit="1" customWidth="1"/>
    <col min="12810" max="12810" width="11" style="1" bestFit="1" customWidth="1"/>
    <col min="12811" max="13015" width="9" style="1"/>
    <col min="13016" max="13016" width="2.875" style="1" bestFit="1" customWidth="1"/>
    <col min="13017" max="13017" width="16.625" style="1" bestFit="1" customWidth="1"/>
    <col min="13018" max="13018" width="11.375" style="1" bestFit="1" customWidth="1"/>
    <col min="13019" max="13020" width="14.125" style="1" bestFit="1" customWidth="1"/>
    <col min="13021" max="13021" width="11.375" style="1" bestFit="1" customWidth="1"/>
    <col min="13022" max="13024" width="12.5" style="1" bestFit="1" customWidth="1"/>
    <col min="13025" max="13025" width="11" style="1" bestFit="1" customWidth="1"/>
    <col min="13026" max="13045" width="13" style="1" bestFit="1" customWidth="1"/>
    <col min="13046" max="13049" width="11" style="1" bestFit="1" customWidth="1"/>
    <col min="13050" max="13052" width="12.25" style="1" bestFit="1" customWidth="1"/>
    <col min="13053" max="13063" width="11" style="1" bestFit="1" customWidth="1"/>
    <col min="13064" max="13064" width="13.25" style="1" bestFit="1" customWidth="1"/>
    <col min="13065" max="13065" width="10" style="1" bestFit="1" customWidth="1"/>
    <col min="13066" max="13066" width="11" style="1" bestFit="1" customWidth="1"/>
    <col min="13067" max="13271" width="9" style="1"/>
    <col min="13272" max="13272" width="2.875" style="1" bestFit="1" customWidth="1"/>
    <col min="13273" max="13273" width="16.625" style="1" bestFit="1" customWidth="1"/>
    <col min="13274" max="13274" width="11.375" style="1" bestFit="1" customWidth="1"/>
    <col min="13275" max="13276" width="14.125" style="1" bestFit="1" customWidth="1"/>
    <col min="13277" max="13277" width="11.375" style="1" bestFit="1" customWidth="1"/>
    <col min="13278" max="13280" width="12.5" style="1" bestFit="1" customWidth="1"/>
    <col min="13281" max="13281" width="11" style="1" bestFit="1" customWidth="1"/>
    <col min="13282" max="13301" width="13" style="1" bestFit="1" customWidth="1"/>
    <col min="13302" max="13305" width="11" style="1" bestFit="1" customWidth="1"/>
    <col min="13306" max="13308" width="12.25" style="1" bestFit="1" customWidth="1"/>
    <col min="13309" max="13319" width="11" style="1" bestFit="1" customWidth="1"/>
    <col min="13320" max="13320" width="13.25" style="1" bestFit="1" customWidth="1"/>
    <col min="13321" max="13321" width="10" style="1" bestFit="1" customWidth="1"/>
    <col min="13322" max="13322" width="11" style="1" bestFit="1" customWidth="1"/>
    <col min="13323" max="13527" width="9" style="1"/>
    <col min="13528" max="13528" width="2.875" style="1" bestFit="1" customWidth="1"/>
    <col min="13529" max="13529" width="16.625" style="1" bestFit="1" customWidth="1"/>
    <col min="13530" max="13530" width="11.375" style="1" bestFit="1" customWidth="1"/>
    <col min="13531" max="13532" width="14.125" style="1" bestFit="1" customWidth="1"/>
    <col min="13533" max="13533" width="11.375" style="1" bestFit="1" customWidth="1"/>
    <col min="13534" max="13536" width="12.5" style="1" bestFit="1" customWidth="1"/>
    <col min="13537" max="13537" width="11" style="1" bestFit="1" customWidth="1"/>
    <col min="13538" max="13557" width="13" style="1" bestFit="1" customWidth="1"/>
    <col min="13558" max="13561" width="11" style="1" bestFit="1" customWidth="1"/>
    <col min="13562" max="13564" width="12.25" style="1" bestFit="1" customWidth="1"/>
    <col min="13565" max="13575" width="11" style="1" bestFit="1" customWidth="1"/>
    <col min="13576" max="13576" width="13.25" style="1" bestFit="1" customWidth="1"/>
    <col min="13577" max="13577" width="10" style="1" bestFit="1" customWidth="1"/>
    <col min="13578" max="13578" width="11" style="1" bestFit="1" customWidth="1"/>
    <col min="13579" max="13783" width="9" style="1"/>
    <col min="13784" max="13784" width="2.875" style="1" bestFit="1" customWidth="1"/>
    <col min="13785" max="13785" width="16.625" style="1" bestFit="1" customWidth="1"/>
    <col min="13786" max="13786" width="11.375" style="1" bestFit="1" customWidth="1"/>
    <col min="13787" max="13788" width="14.125" style="1" bestFit="1" customWidth="1"/>
    <col min="13789" max="13789" width="11.375" style="1" bestFit="1" customWidth="1"/>
    <col min="13790" max="13792" width="12.5" style="1" bestFit="1" customWidth="1"/>
    <col min="13793" max="13793" width="11" style="1" bestFit="1" customWidth="1"/>
    <col min="13794" max="13813" width="13" style="1" bestFit="1" customWidth="1"/>
    <col min="13814" max="13817" width="11" style="1" bestFit="1" customWidth="1"/>
    <col min="13818" max="13820" width="12.25" style="1" bestFit="1" customWidth="1"/>
    <col min="13821" max="13831" width="11" style="1" bestFit="1" customWidth="1"/>
    <col min="13832" max="13832" width="13.25" style="1" bestFit="1" customWidth="1"/>
    <col min="13833" max="13833" width="10" style="1" bestFit="1" customWidth="1"/>
    <col min="13834" max="13834" width="11" style="1" bestFit="1" customWidth="1"/>
    <col min="13835" max="14039" width="9" style="1"/>
    <col min="14040" max="14040" width="2.875" style="1" bestFit="1" customWidth="1"/>
    <col min="14041" max="14041" width="16.625" style="1" bestFit="1" customWidth="1"/>
    <col min="14042" max="14042" width="11.375" style="1" bestFit="1" customWidth="1"/>
    <col min="14043" max="14044" width="14.125" style="1" bestFit="1" customWidth="1"/>
    <col min="14045" max="14045" width="11.375" style="1" bestFit="1" customWidth="1"/>
    <col min="14046" max="14048" width="12.5" style="1" bestFit="1" customWidth="1"/>
    <col min="14049" max="14049" width="11" style="1" bestFit="1" customWidth="1"/>
    <col min="14050" max="14069" width="13" style="1" bestFit="1" customWidth="1"/>
    <col min="14070" max="14073" width="11" style="1" bestFit="1" customWidth="1"/>
    <col min="14074" max="14076" width="12.25" style="1" bestFit="1" customWidth="1"/>
    <col min="14077" max="14087" width="11" style="1" bestFit="1" customWidth="1"/>
    <col min="14088" max="14088" width="13.25" style="1" bestFit="1" customWidth="1"/>
    <col min="14089" max="14089" width="10" style="1" bestFit="1" customWidth="1"/>
    <col min="14090" max="14090" width="11" style="1" bestFit="1" customWidth="1"/>
    <col min="14091" max="14295" width="9" style="1"/>
    <col min="14296" max="14296" width="2.875" style="1" bestFit="1" customWidth="1"/>
    <col min="14297" max="14297" width="16.625" style="1" bestFit="1" customWidth="1"/>
    <col min="14298" max="14298" width="11.375" style="1" bestFit="1" customWidth="1"/>
    <col min="14299" max="14300" width="14.125" style="1" bestFit="1" customWidth="1"/>
    <col min="14301" max="14301" width="11.375" style="1" bestFit="1" customWidth="1"/>
    <col min="14302" max="14304" width="12.5" style="1" bestFit="1" customWidth="1"/>
    <col min="14305" max="14305" width="11" style="1" bestFit="1" customWidth="1"/>
    <col min="14306" max="14325" width="13" style="1" bestFit="1" customWidth="1"/>
    <col min="14326" max="14329" width="11" style="1" bestFit="1" customWidth="1"/>
    <col min="14330" max="14332" width="12.25" style="1" bestFit="1" customWidth="1"/>
    <col min="14333" max="14343" width="11" style="1" bestFit="1" customWidth="1"/>
    <col min="14344" max="14344" width="13.25" style="1" bestFit="1" customWidth="1"/>
    <col min="14345" max="14345" width="10" style="1" bestFit="1" customWidth="1"/>
    <col min="14346" max="14346" width="11" style="1" bestFit="1" customWidth="1"/>
    <col min="14347" max="14551" width="9" style="1"/>
    <col min="14552" max="14552" width="2.875" style="1" bestFit="1" customWidth="1"/>
    <col min="14553" max="14553" width="16.625" style="1" bestFit="1" customWidth="1"/>
    <col min="14554" max="14554" width="11.375" style="1" bestFit="1" customWidth="1"/>
    <col min="14555" max="14556" width="14.125" style="1" bestFit="1" customWidth="1"/>
    <col min="14557" max="14557" width="11.375" style="1" bestFit="1" customWidth="1"/>
    <col min="14558" max="14560" width="12.5" style="1" bestFit="1" customWidth="1"/>
    <col min="14561" max="14561" width="11" style="1" bestFit="1" customWidth="1"/>
    <col min="14562" max="14581" width="13" style="1" bestFit="1" customWidth="1"/>
    <col min="14582" max="14585" width="11" style="1" bestFit="1" customWidth="1"/>
    <col min="14586" max="14588" width="12.25" style="1" bestFit="1" customWidth="1"/>
    <col min="14589" max="14599" width="11" style="1" bestFit="1" customWidth="1"/>
    <col min="14600" max="14600" width="13.25" style="1" bestFit="1" customWidth="1"/>
    <col min="14601" max="14601" width="10" style="1" bestFit="1" customWidth="1"/>
    <col min="14602" max="14602" width="11" style="1" bestFit="1" customWidth="1"/>
    <col min="14603" max="14807" width="9" style="1"/>
    <col min="14808" max="14808" width="2.875" style="1" bestFit="1" customWidth="1"/>
    <col min="14809" max="14809" width="16.625" style="1" bestFit="1" customWidth="1"/>
    <col min="14810" max="14810" width="11.375" style="1" bestFit="1" customWidth="1"/>
    <col min="14811" max="14812" width="14.125" style="1" bestFit="1" customWidth="1"/>
    <col min="14813" max="14813" width="11.375" style="1" bestFit="1" customWidth="1"/>
    <col min="14814" max="14816" width="12.5" style="1" bestFit="1" customWidth="1"/>
    <col min="14817" max="14817" width="11" style="1" bestFit="1" customWidth="1"/>
    <col min="14818" max="14837" width="13" style="1" bestFit="1" customWidth="1"/>
    <col min="14838" max="14841" width="11" style="1" bestFit="1" customWidth="1"/>
    <col min="14842" max="14844" width="12.25" style="1" bestFit="1" customWidth="1"/>
    <col min="14845" max="14855" width="11" style="1" bestFit="1" customWidth="1"/>
    <col min="14856" max="14856" width="13.25" style="1" bestFit="1" customWidth="1"/>
    <col min="14857" max="14857" width="10" style="1" bestFit="1" customWidth="1"/>
    <col min="14858" max="14858" width="11" style="1" bestFit="1" customWidth="1"/>
    <col min="14859" max="15063" width="9" style="1"/>
    <col min="15064" max="15064" width="2.875" style="1" bestFit="1" customWidth="1"/>
    <col min="15065" max="15065" width="16.625" style="1" bestFit="1" customWidth="1"/>
    <col min="15066" max="15066" width="11.375" style="1" bestFit="1" customWidth="1"/>
    <col min="15067" max="15068" width="14.125" style="1" bestFit="1" customWidth="1"/>
    <col min="15069" max="15069" width="11.375" style="1" bestFit="1" customWidth="1"/>
    <col min="15070" max="15072" width="12.5" style="1" bestFit="1" customWidth="1"/>
    <col min="15073" max="15073" width="11" style="1" bestFit="1" customWidth="1"/>
    <col min="15074" max="15093" width="13" style="1" bestFit="1" customWidth="1"/>
    <col min="15094" max="15097" width="11" style="1" bestFit="1" customWidth="1"/>
    <col min="15098" max="15100" width="12.25" style="1" bestFit="1" customWidth="1"/>
    <col min="15101" max="15111" width="11" style="1" bestFit="1" customWidth="1"/>
    <col min="15112" max="15112" width="13.25" style="1" bestFit="1" customWidth="1"/>
    <col min="15113" max="15113" width="10" style="1" bestFit="1" customWidth="1"/>
    <col min="15114" max="15114" width="11" style="1" bestFit="1" customWidth="1"/>
    <col min="15115" max="15319" width="9" style="1"/>
    <col min="15320" max="15320" width="2.875" style="1" bestFit="1" customWidth="1"/>
    <col min="15321" max="15321" width="16.625" style="1" bestFit="1" customWidth="1"/>
    <col min="15322" max="15322" width="11.375" style="1" bestFit="1" customWidth="1"/>
    <col min="15323" max="15324" width="14.125" style="1" bestFit="1" customWidth="1"/>
    <col min="15325" max="15325" width="11.375" style="1" bestFit="1" customWidth="1"/>
    <col min="15326" max="15328" width="12.5" style="1" bestFit="1" customWidth="1"/>
    <col min="15329" max="15329" width="11" style="1" bestFit="1" customWidth="1"/>
    <col min="15330" max="15349" width="13" style="1" bestFit="1" customWidth="1"/>
    <col min="15350" max="15353" width="11" style="1" bestFit="1" customWidth="1"/>
    <col min="15354" max="15356" width="12.25" style="1" bestFit="1" customWidth="1"/>
    <col min="15357" max="15367" width="11" style="1" bestFit="1" customWidth="1"/>
    <col min="15368" max="15368" width="13.25" style="1" bestFit="1" customWidth="1"/>
    <col min="15369" max="15369" width="10" style="1" bestFit="1" customWidth="1"/>
    <col min="15370" max="15370" width="11" style="1" bestFit="1" customWidth="1"/>
    <col min="15371" max="15575" width="9" style="1"/>
    <col min="15576" max="15576" width="2.875" style="1" bestFit="1" customWidth="1"/>
    <col min="15577" max="15577" width="16.625" style="1" bestFit="1" customWidth="1"/>
    <col min="15578" max="15578" width="11.375" style="1" bestFit="1" customWidth="1"/>
    <col min="15579" max="15580" width="14.125" style="1" bestFit="1" customWidth="1"/>
    <col min="15581" max="15581" width="11.375" style="1" bestFit="1" customWidth="1"/>
    <col min="15582" max="15584" width="12.5" style="1" bestFit="1" customWidth="1"/>
    <col min="15585" max="15585" width="11" style="1" bestFit="1" customWidth="1"/>
    <col min="15586" max="15605" width="13" style="1" bestFit="1" customWidth="1"/>
    <col min="15606" max="15609" width="11" style="1" bestFit="1" customWidth="1"/>
    <col min="15610" max="15612" width="12.25" style="1" bestFit="1" customWidth="1"/>
    <col min="15613" max="15623" width="11" style="1" bestFit="1" customWidth="1"/>
    <col min="15624" max="15624" width="13.25" style="1" bestFit="1" customWidth="1"/>
    <col min="15625" max="15625" width="10" style="1" bestFit="1" customWidth="1"/>
    <col min="15626" max="15626" width="11" style="1" bestFit="1" customWidth="1"/>
    <col min="15627" max="15831" width="9" style="1"/>
    <col min="15832" max="15832" width="2.875" style="1" bestFit="1" customWidth="1"/>
    <col min="15833" max="15833" width="16.625" style="1" bestFit="1" customWidth="1"/>
    <col min="15834" max="15834" width="11.375" style="1" bestFit="1" customWidth="1"/>
    <col min="15835" max="15836" width="14.125" style="1" bestFit="1" customWidth="1"/>
    <col min="15837" max="15837" width="11.375" style="1" bestFit="1" customWidth="1"/>
    <col min="15838" max="15840" width="12.5" style="1" bestFit="1" customWidth="1"/>
    <col min="15841" max="15841" width="11" style="1" bestFit="1" customWidth="1"/>
    <col min="15842" max="15861" width="13" style="1" bestFit="1" customWidth="1"/>
    <col min="15862" max="15865" width="11" style="1" bestFit="1" customWidth="1"/>
    <col min="15866" max="15868" width="12.25" style="1" bestFit="1" customWidth="1"/>
    <col min="15869" max="15879" width="11" style="1" bestFit="1" customWidth="1"/>
    <col min="15880" max="15880" width="13.25" style="1" bestFit="1" customWidth="1"/>
    <col min="15881" max="15881" width="10" style="1" bestFit="1" customWidth="1"/>
    <col min="15882" max="15882" width="11" style="1" bestFit="1" customWidth="1"/>
    <col min="15883" max="16087" width="9" style="1"/>
    <col min="16088" max="16088" width="2.875" style="1" bestFit="1" customWidth="1"/>
    <col min="16089" max="16089" width="16.625" style="1" bestFit="1" customWidth="1"/>
    <col min="16090" max="16090" width="11.375" style="1" bestFit="1" customWidth="1"/>
    <col min="16091" max="16092" width="14.125" style="1" bestFit="1" customWidth="1"/>
    <col min="16093" max="16093" width="11.375" style="1" bestFit="1" customWidth="1"/>
    <col min="16094" max="16096" width="12.5" style="1" bestFit="1" customWidth="1"/>
    <col min="16097" max="16097" width="11" style="1" bestFit="1" customWidth="1"/>
    <col min="16098" max="16117" width="13" style="1" bestFit="1" customWidth="1"/>
    <col min="16118" max="16121" width="11" style="1" bestFit="1" customWidth="1"/>
    <col min="16122" max="16124" width="12.25" style="1" bestFit="1" customWidth="1"/>
    <col min="16125" max="16135" width="11" style="1" bestFit="1" customWidth="1"/>
    <col min="16136" max="16136" width="13.25" style="1" bestFit="1" customWidth="1"/>
    <col min="16137" max="16137" width="10" style="1" bestFit="1" customWidth="1"/>
    <col min="16138" max="16138" width="11" style="1" bestFit="1" customWidth="1"/>
    <col min="16139" max="16384" width="9" style="1"/>
  </cols>
  <sheetData>
    <row r="2" spans="1:10" ht="30.75" customHeight="1" x14ac:dyDescent="0.15"/>
    <row r="3" spans="1:10" ht="17.25" x14ac:dyDescent="0.2">
      <c r="A3" s="47">
        <v>45658</v>
      </c>
      <c r="B3" s="47"/>
      <c r="C3" s="45" t="s">
        <v>224</v>
      </c>
    </row>
    <row r="4" spans="1:10" s="5" customFormat="1" x14ac:dyDescent="0.15">
      <c r="A4" s="48" t="s">
        <v>0</v>
      </c>
      <c r="B4" s="48"/>
      <c r="C4" s="2" t="s">
        <v>38</v>
      </c>
      <c r="D4" s="2" t="s">
        <v>39</v>
      </c>
      <c r="E4" s="2" t="s">
        <v>40</v>
      </c>
      <c r="F4" s="2" t="s">
        <v>153</v>
      </c>
      <c r="G4" s="3" t="s">
        <v>154</v>
      </c>
      <c r="H4" s="3" t="s">
        <v>41</v>
      </c>
      <c r="I4" s="3" t="s">
        <v>42</v>
      </c>
      <c r="J4" s="4" t="s">
        <v>43</v>
      </c>
    </row>
    <row r="5" spans="1:10" s="5" customFormat="1" hidden="1" x14ac:dyDescent="0.15">
      <c r="A5" s="49" t="s">
        <v>44</v>
      </c>
      <c r="B5" s="50"/>
      <c r="C5" s="2">
        <v>8</v>
      </c>
      <c r="D5" s="2">
        <v>8</v>
      </c>
      <c r="E5" s="2">
        <v>8</v>
      </c>
      <c r="F5" s="2">
        <v>8</v>
      </c>
      <c r="G5" s="3">
        <v>8</v>
      </c>
      <c r="H5" s="3"/>
      <c r="I5" s="3"/>
      <c r="J5" s="4"/>
    </row>
    <row r="6" spans="1:10" s="5" customFormat="1" hidden="1" x14ac:dyDescent="0.15">
      <c r="A6" s="49" t="s">
        <v>45</v>
      </c>
      <c r="B6" s="50"/>
      <c r="C6" s="2" t="s">
        <v>50</v>
      </c>
      <c r="D6" s="2" t="s">
        <v>50</v>
      </c>
      <c r="E6" s="2" t="s">
        <v>50</v>
      </c>
      <c r="F6" s="2" t="s">
        <v>50</v>
      </c>
      <c r="G6" s="3" t="s">
        <v>50</v>
      </c>
      <c r="H6" s="3"/>
      <c r="I6" s="3"/>
      <c r="J6" s="4"/>
    </row>
    <row r="7" spans="1:10" s="5" customFormat="1" x14ac:dyDescent="0.15">
      <c r="A7" s="46" t="s">
        <v>51</v>
      </c>
      <c r="B7" s="46"/>
      <c r="C7" s="6"/>
      <c r="D7" s="6"/>
      <c r="E7" s="6"/>
      <c r="F7" s="6"/>
      <c r="G7" s="7"/>
      <c r="H7" s="7"/>
      <c r="I7" s="7"/>
      <c r="J7" s="8"/>
    </row>
    <row r="8" spans="1:10" s="5" customFormat="1" x14ac:dyDescent="0.15">
      <c r="A8" s="46" t="s">
        <v>52</v>
      </c>
      <c r="B8" s="46"/>
      <c r="C8" s="6"/>
      <c r="D8" s="6"/>
      <c r="E8" s="6"/>
      <c r="F8" s="6"/>
      <c r="G8" s="7"/>
      <c r="H8" s="7"/>
      <c r="I8" s="7"/>
      <c r="J8" s="8"/>
    </row>
    <row r="9" spans="1:10" x14ac:dyDescent="0.15">
      <c r="A9" s="52" t="s">
        <v>53</v>
      </c>
      <c r="B9" s="53"/>
      <c r="C9" s="9"/>
      <c r="D9" s="9"/>
      <c r="E9" s="9"/>
      <c r="F9" s="9"/>
      <c r="G9" s="10"/>
      <c r="H9" s="10">
        <f>SUM(C9:G9)</f>
        <v>0</v>
      </c>
      <c r="I9" s="10"/>
      <c r="J9" s="11"/>
    </row>
    <row r="10" spans="1:10" x14ac:dyDescent="0.15">
      <c r="A10" s="48" t="s">
        <v>54</v>
      </c>
      <c r="B10" s="48"/>
      <c r="C10" s="12" t="s">
        <v>61</v>
      </c>
      <c r="D10" s="12"/>
      <c r="E10" s="12"/>
      <c r="F10" s="12"/>
      <c r="G10" s="13"/>
      <c r="H10" s="13"/>
      <c r="I10" s="13"/>
      <c r="J10" s="14"/>
    </row>
    <row r="11" spans="1:10" x14ac:dyDescent="0.15">
      <c r="A11" s="48" t="s">
        <v>65</v>
      </c>
      <c r="B11" s="48"/>
      <c r="C11" s="15">
        <v>38</v>
      </c>
      <c r="D11" s="15">
        <v>0</v>
      </c>
      <c r="E11" s="15">
        <v>0</v>
      </c>
      <c r="F11" s="15">
        <v>0</v>
      </c>
      <c r="G11" s="16">
        <v>0</v>
      </c>
      <c r="H11" s="17">
        <f>SUM(C11:G11)</f>
        <v>38</v>
      </c>
      <c r="I11" s="17">
        <f t="shared" ref="I11:I42" si="0">AVERAGE(C11:G11)</f>
        <v>7.6</v>
      </c>
      <c r="J11" s="14"/>
    </row>
    <row r="12" spans="1:10" x14ac:dyDescent="0.15">
      <c r="A12" s="49" t="s">
        <v>66</v>
      </c>
      <c r="B12" s="54"/>
      <c r="C12" s="19">
        <v>8.7499999999999994E-2</v>
      </c>
      <c r="D12" s="19">
        <v>0</v>
      </c>
      <c r="E12" s="19">
        <v>0</v>
      </c>
      <c r="F12" s="19">
        <v>0</v>
      </c>
      <c r="G12" s="20">
        <v>0</v>
      </c>
      <c r="H12" s="21">
        <f>SUM(C12:G12)</f>
        <v>8.7499999999999994E-2</v>
      </c>
      <c r="I12" s="21">
        <f t="shared" si="0"/>
        <v>1.7499999999999998E-2</v>
      </c>
      <c r="J12" s="14"/>
    </row>
    <row r="13" spans="1:10" x14ac:dyDescent="0.15">
      <c r="A13" s="48" t="s">
        <v>67</v>
      </c>
      <c r="B13" s="48"/>
      <c r="C13" s="15">
        <v>0</v>
      </c>
      <c r="D13" s="15">
        <v>0</v>
      </c>
      <c r="E13" s="15">
        <v>0</v>
      </c>
      <c r="F13" s="15">
        <v>0</v>
      </c>
      <c r="G13" s="16">
        <v>0</v>
      </c>
      <c r="H13" s="17">
        <f>SUM(C13:G13)</f>
        <v>0</v>
      </c>
      <c r="I13" s="17">
        <f t="shared" si="0"/>
        <v>0</v>
      </c>
      <c r="J13" s="14" t="e">
        <f>H13/H13</f>
        <v>#DIV/0!</v>
      </c>
    </row>
    <row r="14" spans="1:10" x14ac:dyDescent="0.15">
      <c r="A14" s="49" t="s">
        <v>68</v>
      </c>
      <c r="B14" s="54"/>
      <c r="C14" s="15">
        <v>0</v>
      </c>
      <c r="D14" s="15">
        <v>0</v>
      </c>
      <c r="E14" s="15">
        <v>0</v>
      </c>
      <c r="F14" s="15">
        <v>0</v>
      </c>
      <c r="G14" s="16">
        <v>0</v>
      </c>
      <c r="H14" s="17">
        <f>SUM(C14:G14)</f>
        <v>0</v>
      </c>
      <c r="I14" s="17">
        <f t="shared" si="0"/>
        <v>0</v>
      </c>
      <c r="J14" s="14"/>
    </row>
    <row r="15" spans="1:10" x14ac:dyDescent="0.15">
      <c r="A15" s="48" t="s">
        <v>69</v>
      </c>
      <c r="B15" s="48"/>
      <c r="C15" s="15">
        <f t="shared" ref="C15:G15" si="1">SUM(C13/C11)</f>
        <v>0</v>
      </c>
      <c r="D15" s="15" t="e">
        <f t="shared" si="1"/>
        <v>#DIV/0!</v>
      </c>
      <c r="E15" s="15" t="e">
        <f t="shared" si="1"/>
        <v>#DIV/0!</v>
      </c>
      <c r="F15" s="15" t="e">
        <f t="shared" si="1"/>
        <v>#DIV/0!</v>
      </c>
      <c r="G15" s="16" t="e">
        <f t="shared" si="1"/>
        <v>#DIV/0!</v>
      </c>
      <c r="H15" s="13">
        <f>SUM(H13/H11)</f>
        <v>0</v>
      </c>
      <c r="I15" s="17" t="e">
        <f t="shared" si="0"/>
        <v>#DIV/0!</v>
      </c>
      <c r="J15" s="14"/>
    </row>
    <row r="16" spans="1:10" x14ac:dyDescent="0.15">
      <c r="A16" s="49" t="s">
        <v>70</v>
      </c>
      <c r="B16" s="54"/>
      <c r="C16" s="22">
        <f t="shared" ref="C16:H16" si="2">C13/(C12*24)</f>
        <v>0</v>
      </c>
      <c r="D16" s="22" t="e">
        <f t="shared" si="2"/>
        <v>#DIV/0!</v>
      </c>
      <c r="E16" s="22" t="e">
        <f t="shared" si="2"/>
        <v>#DIV/0!</v>
      </c>
      <c r="F16" s="22" t="e">
        <f t="shared" si="2"/>
        <v>#DIV/0!</v>
      </c>
      <c r="G16" s="23" t="e">
        <f t="shared" si="2"/>
        <v>#DIV/0!</v>
      </c>
      <c r="H16" s="24">
        <f t="shared" si="2"/>
        <v>0</v>
      </c>
      <c r="I16" s="24" t="e">
        <f t="shared" si="0"/>
        <v>#DIV/0!</v>
      </c>
      <c r="J16" s="14"/>
    </row>
    <row r="17" spans="1:10" x14ac:dyDescent="0.15">
      <c r="A17" s="51" t="s">
        <v>71</v>
      </c>
      <c r="B17" s="12" t="s">
        <v>72</v>
      </c>
      <c r="C17" s="15">
        <v>271700</v>
      </c>
      <c r="D17" s="15">
        <v>189600</v>
      </c>
      <c r="E17" s="15">
        <v>245000</v>
      </c>
      <c r="F17" s="15">
        <v>0</v>
      </c>
      <c r="G17" s="16">
        <v>82900</v>
      </c>
      <c r="H17" s="17">
        <f t="shared" ref="H17:H28" si="3">SUM(C17:G17)</f>
        <v>789200</v>
      </c>
      <c r="I17" s="17">
        <f t="shared" si="0"/>
        <v>157840</v>
      </c>
      <c r="J17" s="14" t="e">
        <f>H17/H13</f>
        <v>#DIV/0!</v>
      </c>
    </row>
    <row r="18" spans="1:10" x14ac:dyDescent="0.15">
      <c r="A18" s="51"/>
      <c r="B18" s="12" t="s">
        <v>73</v>
      </c>
      <c r="C18" s="15">
        <v>0</v>
      </c>
      <c r="D18" s="15">
        <v>0</v>
      </c>
      <c r="E18" s="15">
        <v>0</v>
      </c>
      <c r="F18" s="15">
        <v>6000</v>
      </c>
      <c r="G18" s="16">
        <v>6950</v>
      </c>
      <c r="H18" s="17">
        <f t="shared" si="3"/>
        <v>12950</v>
      </c>
      <c r="I18" s="17">
        <f t="shared" si="0"/>
        <v>2590</v>
      </c>
      <c r="J18" s="14" t="e">
        <f>H18/H13</f>
        <v>#DIV/0!</v>
      </c>
    </row>
    <row r="19" spans="1:10" x14ac:dyDescent="0.15">
      <c r="A19" s="51"/>
      <c r="B19" s="12" t="s">
        <v>74</v>
      </c>
      <c r="C19" s="15">
        <v>0</v>
      </c>
      <c r="D19" s="15">
        <v>0</v>
      </c>
      <c r="E19" s="15">
        <v>0</v>
      </c>
      <c r="F19" s="15">
        <v>0</v>
      </c>
      <c r="G19" s="16">
        <v>0</v>
      </c>
      <c r="H19" s="17">
        <f t="shared" si="3"/>
        <v>0</v>
      </c>
      <c r="I19" s="17">
        <f t="shared" si="0"/>
        <v>0</v>
      </c>
      <c r="J19" s="14" t="e">
        <f>H19/H13</f>
        <v>#DIV/0!</v>
      </c>
    </row>
    <row r="20" spans="1:10" x14ac:dyDescent="0.15">
      <c r="A20" s="51"/>
      <c r="B20" s="12" t="s">
        <v>75</v>
      </c>
      <c r="C20" s="15">
        <v>4583</v>
      </c>
      <c r="D20" s="15">
        <v>4583</v>
      </c>
      <c r="E20" s="15">
        <v>4766</v>
      </c>
      <c r="F20" s="15">
        <v>8666</v>
      </c>
      <c r="G20" s="16">
        <v>8333</v>
      </c>
      <c r="H20" s="17">
        <f t="shared" si="3"/>
        <v>30931</v>
      </c>
      <c r="I20" s="17">
        <f t="shared" si="0"/>
        <v>6186.2</v>
      </c>
      <c r="J20" s="14" t="e">
        <f>H20/H13</f>
        <v>#DIV/0!</v>
      </c>
    </row>
    <row r="21" spans="1:10" x14ac:dyDescent="0.15">
      <c r="A21" s="51"/>
      <c r="B21" s="12" t="s">
        <v>76</v>
      </c>
      <c r="C21" s="15">
        <v>33521</v>
      </c>
      <c r="D21" s="15">
        <v>31475</v>
      </c>
      <c r="E21" s="15">
        <v>40944</v>
      </c>
      <c r="F21" s="15">
        <v>15026</v>
      </c>
      <c r="G21" s="16">
        <v>35621</v>
      </c>
      <c r="H21" s="17">
        <f t="shared" si="3"/>
        <v>156587</v>
      </c>
      <c r="I21" s="17">
        <f t="shared" si="0"/>
        <v>31317.4</v>
      </c>
      <c r="J21" s="14" t="e">
        <f>H21/H13</f>
        <v>#DIV/0!</v>
      </c>
    </row>
    <row r="22" spans="1:10" x14ac:dyDescent="0.15">
      <c r="A22" s="51"/>
      <c r="B22" s="25" t="s">
        <v>77</v>
      </c>
      <c r="C22" s="26">
        <f t="shared" ref="C22:G22" si="4">SUM(C17:C21)</f>
        <v>309804</v>
      </c>
      <c r="D22" s="26">
        <f t="shared" si="4"/>
        <v>225658</v>
      </c>
      <c r="E22" s="26">
        <f t="shared" si="4"/>
        <v>290710</v>
      </c>
      <c r="F22" s="26">
        <f t="shared" si="4"/>
        <v>29692</v>
      </c>
      <c r="G22" s="27">
        <f t="shared" si="4"/>
        <v>133804</v>
      </c>
      <c r="H22" s="28">
        <f t="shared" si="3"/>
        <v>989668</v>
      </c>
      <c r="I22" s="28">
        <f t="shared" si="0"/>
        <v>197933.6</v>
      </c>
      <c r="J22" s="29" t="e">
        <f>H22/H13</f>
        <v>#DIV/0!</v>
      </c>
    </row>
    <row r="23" spans="1:10" x14ac:dyDescent="0.15">
      <c r="A23" s="51" t="s">
        <v>78</v>
      </c>
      <c r="B23" s="12" t="s">
        <v>79</v>
      </c>
      <c r="C23" s="15">
        <v>0</v>
      </c>
      <c r="D23" s="15">
        <v>5000</v>
      </c>
      <c r="E23" s="15">
        <v>0</v>
      </c>
      <c r="F23" s="15">
        <v>0</v>
      </c>
      <c r="G23" s="16">
        <v>359050</v>
      </c>
      <c r="H23" s="17">
        <f t="shared" si="3"/>
        <v>364050</v>
      </c>
      <c r="I23" s="17">
        <f t="shared" si="0"/>
        <v>72810</v>
      </c>
      <c r="J23" s="14" t="e">
        <f>H23/H13</f>
        <v>#DIV/0!</v>
      </c>
    </row>
    <row r="24" spans="1:10" x14ac:dyDescent="0.15">
      <c r="A24" s="51"/>
      <c r="B24" s="12" t="s">
        <v>80</v>
      </c>
      <c r="C24" s="15">
        <v>0</v>
      </c>
      <c r="D24" s="15">
        <v>0</v>
      </c>
      <c r="E24" s="15">
        <v>0</v>
      </c>
      <c r="F24" s="15">
        <v>0</v>
      </c>
      <c r="G24" s="16">
        <v>0</v>
      </c>
      <c r="H24" s="17">
        <f t="shared" si="3"/>
        <v>0</v>
      </c>
      <c r="I24" s="17">
        <f t="shared" si="0"/>
        <v>0</v>
      </c>
      <c r="J24" s="14" t="e">
        <f>H24/H13</f>
        <v>#DIV/0!</v>
      </c>
    </row>
    <row r="25" spans="1:10" x14ac:dyDescent="0.15">
      <c r="A25" s="51"/>
      <c r="B25" s="12" t="s">
        <v>81</v>
      </c>
      <c r="C25" s="15">
        <f t="shared" ref="C25:G25" si="5">30000*C9/70000*C11</f>
        <v>0</v>
      </c>
      <c r="D25" s="15">
        <f t="shared" si="5"/>
        <v>0</v>
      </c>
      <c r="E25" s="15">
        <f t="shared" si="5"/>
        <v>0</v>
      </c>
      <c r="F25" s="15">
        <f t="shared" si="5"/>
        <v>0</v>
      </c>
      <c r="G25" s="16">
        <f t="shared" si="5"/>
        <v>0</v>
      </c>
      <c r="H25" s="17">
        <f t="shared" si="3"/>
        <v>0</v>
      </c>
      <c r="I25" s="17">
        <f t="shared" si="0"/>
        <v>0</v>
      </c>
      <c r="J25" s="14" t="e">
        <f>H25/H13</f>
        <v>#DIV/0!</v>
      </c>
    </row>
    <row r="26" spans="1:10" x14ac:dyDescent="0.15">
      <c r="A26" s="51"/>
      <c r="B26" s="12"/>
      <c r="C26" s="15">
        <v>0</v>
      </c>
      <c r="D26" s="15">
        <v>0</v>
      </c>
      <c r="E26" s="15">
        <v>0</v>
      </c>
      <c r="F26" s="15">
        <v>0</v>
      </c>
      <c r="G26" s="16">
        <v>0</v>
      </c>
      <c r="H26" s="17">
        <f t="shared" si="3"/>
        <v>0</v>
      </c>
      <c r="I26" s="17">
        <f t="shared" si="0"/>
        <v>0</v>
      </c>
      <c r="J26" s="14" t="e">
        <f>H26/H13</f>
        <v>#DIV/0!</v>
      </c>
    </row>
    <row r="27" spans="1:10" x14ac:dyDescent="0.15">
      <c r="A27" s="51"/>
      <c r="B27" s="25" t="s">
        <v>82</v>
      </c>
      <c r="C27" s="26">
        <f t="shared" ref="C27:G27" si="6">SUM(C23:C26)</f>
        <v>0</v>
      </c>
      <c r="D27" s="26">
        <f t="shared" si="6"/>
        <v>5000</v>
      </c>
      <c r="E27" s="26">
        <f t="shared" si="6"/>
        <v>0</v>
      </c>
      <c r="F27" s="26">
        <f t="shared" si="6"/>
        <v>0</v>
      </c>
      <c r="G27" s="27">
        <f t="shared" si="6"/>
        <v>359050</v>
      </c>
      <c r="H27" s="28">
        <f t="shared" si="3"/>
        <v>364050</v>
      </c>
      <c r="I27" s="28">
        <f t="shared" si="0"/>
        <v>72810</v>
      </c>
      <c r="J27" s="29" t="e">
        <f>H27/H13</f>
        <v>#DIV/0!</v>
      </c>
    </row>
    <row r="28" spans="1:10" x14ac:dyDescent="0.15">
      <c r="A28" s="51" t="s">
        <v>83</v>
      </c>
      <c r="B28" s="9" t="s">
        <v>84</v>
      </c>
      <c r="C28" s="30">
        <v>0</v>
      </c>
      <c r="D28" s="30">
        <v>0</v>
      </c>
      <c r="E28" s="30">
        <v>0</v>
      </c>
      <c r="F28" s="30">
        <v>0</v>
      </c>
      <c r="G28" s="31">
        <v>0</v>
      </c>
      <c r="H28" s="32">
        <f t="shared" si="3"/>
        <v>0</v>
      </c>
      <c r="I28" s="32">
        <f t="shared" si="0"/>
        <v>0</v>
      </c>
      <c r="J28" s="11" t="e">
        <f>H28/H13</f>
        <v>#DIV/0!</v>
      </c>
    </row>
    <row r="29" spans="1:10" x14ac:dyDescent="0.15">
      <c r="A29" s="51"/>
      <c r="B29" s="33" t="s">
        <v>85</v>
      </c>
      <c r="C29" s="34" t="e">
        <f t="shared" ref="C29:H29" si="7">SUM(C11/C28)</f>
        <v>#DIV/0!</v>
      </c>
      <c r="D29" s="34" t="e">
        <f t="shared" si="7"/>
        <v>#DIV/0!</v>
      </c>
      <c r="E29" s="34" t="e">
        <f t="shared" si="7"/>
        <v>#DIV/0!</v>
      </c>
      <c r="F29" s="34" t="e">
        <f t="shared" si="7"/>
        <v>#DIV/0!</v>
      </c>
      <c r="G29" s="35" t="e">
        <f t="shared" si="7"/>
        <v>#DIV/0!</v>
      </c>
      <c r="H29" s="36" t="e">
        <f t="shared" si="7"/>
        <v>#DIV/0!</v>
      </c>
      <c r="I29" s="36" t="e">
        <f t="shared" si="0"/>
        <v>#DIV/0!</v>
      </c>
      <c r="J29" s="33" t="e">
        <f>H29/H13</f>
        <v>#DIV/0!</v>
      </c>
    </row>
    <row r="30" spans="1:10" x14ac:dyDescent="0.15">
      <c r="A30" s="51"/>
      <c r="B30" s="12" t="s">
        <v>86</v>
      </c>
      <c r="C30" s="15">
        <v>0</v>
      </c>
      <c r="D30" s="15">
        <v>0</v>
      </c>
      <c r="E30" s="15">
        <v>0</v>
      </c>
      <c r="F30" s="15">
        <v>0</v>
      </c>
      <c r="G30" s="16">
        <v>0</v>
      </c>
      <c r="H30" s="17">
        <f t="shared" ref="H30:H43" si="8">SUM(C30:G30)</f>
        <v>0</v>
      </c>
      <c r="I30" s="17">
        <f t="shared" si="0"/>
        <v>0</v>
      </c>
      <c r="J30" s="14" t="e">
        <f>H30/H13</f>
        <v>#DIV/0!</v>
      </c>
    </row>
    <row r="31" spans="1:10" x14ac:dyDescent="0.15">
      <c r="A31" s="51"/>
      <c r="B31" s="12" t="s">
        <v>87</v>
      </c>
      <c r="C31" s="15">
        <v>0</v>
      </c>
      <c r="D31" s="15">
        <v>0</v>
      </c>
      <c r="E31" s="15">
        <v>0</v>
      </c>
      <c r="F31" s="15">
        <v>0</v>
      </c>
      <c r="G31" s="16">
        <v>0</v>
      </c>
      <c r="H31" s="17">
        <f t="shared" si="8"/>
        <v>0</v>
      </c>
      <c r="I31" s="17">
        <f t="shared" si="0"/>
        <v>0</v>
      </c>
      <c r="J31" s="14" t="e">
        <f>H31/H13</f>
        <v>#DIV/0!</v>
      </c>
    </row>
    <row r="32" spans="1:10" x14ac:dyDescent="0.15">
      <c r="A32" s="51"/>
      <c r="B32" s="12" t="s">
        <v>88</v>
      </c>
      <c r="C32" s="15">
        <v>0</v>
      </c>
      <c r="D32" s="15">
        <v>0</v>
      </c>
      <c r="E32" s="15">
        <v>0</v>
      </c>
      <c r="F32" s="15">
        <v>0</v>
      </c>
      <c r="G32" s="16">
        <v>0</v>
      </c>
      <c r="H32" s="17">
        <f t="shared" si="8"/>
        <v>0</v>
      </c>
      <c r="I32" s="17">
        <f t="shared" si="0"/>
        <v>0</v>
      </c>
      <c r="J32" s="14" t="e">
        <f>H32/H13</f>
        <v>#DIV/0!</v>
      </c>
    </row>
    <row r="33" spans="1:10" x14ac:dyDescent="0.15">
      <c r="A33" s="51"/>
      <c r="B33" s="25" t="s">
        <v>89</v>
      </c>
      <c r="C33" s="26">
        <f t="shared" ref="C33:G33" si="9">SUM(C30:C32)</f>
        <v>0</v>
      </c>
      <c r="D33" s="26">
        <f t="shared" si="9"/>
        <v>0</v>
      </c>
      <c r="E33" s="26">
        <f t="shared" si="9"/>
        <v>0</v>
      </c>
      <c r="F33" s="26">
        <f t="shared" si="9"/>
        <v>0</v>
      </c>
      <c r="G33" s="27">
        <f t="shared" si="9"/>
        <v>0</v>
      </c>
      <c r="H33" s="28">
        <f t="shared" si="8"/>
        <v>0</v>
      </c>
      <c r="I33" s="28">
        <f t="shared" si="0"/>
        <v>0</v>
      </c>
      <c r="J33" s="29" t="e">
        <f>H33/H13</f>
        <v>#DIV/0!</v>
      </c>
    </row>
    <row r="34" spans="1:10" x14ac:dyDescent="0.15">
      <c r="A34" s="51" t="s">
        <v>90</v>
      </c>
      <c r="B34" s="12" t="s">
        <v>91</v>
      </c>
      <c r="C34" s="15">
        <v>2008</v>
      </c>
      <c r="D34" s="15">
        <v>2008</v>
      </c>
      <c r="E34" s="15">
        <v>2008</v>
      </c>
      <c r="F34" s="15">
        <v>2451</v>
      </c>
      <c r="G34" s="16">
        <v>2451</v>
      </c>
      <c r="H34" s="17">
        <f t="shared" si="8"/>
        <v>10926</v>
      </c>
      <c r="I34" s="17">
        <f t="shared" si="0"/>
        <v>2185.1999999999998</v>
      </c>
      <c r="J34" s="14" t="e">
        <f>H34/H13</f>
        <v>#DIV/0!</v>
      </c>
    </row>
    <row r="35" spans="1:10" x14ac:dyDescent="0.15">
      <c r="A35" s="51"/>
      <c r="B35" s="12"/>
      <c r="C35" s="15">
        <v>0</v>
      </c>
      <c r="D35" s="15">
        <v>0</v>
      </c>
      <c r="E35" s="15">
        <v>0</v>
      </c>
      <c r="F35" s="15">
        <v>0</v>
      </c>
      <c r="G35" s="16">
        <v>0</v>
      </c>
      <c r="H35" s="17">
        <f t="shared" si="8"/>
        <v>0</v>
      </c>
      <c r="I35" s="17">
        <f t="shared" si="0"/>
        <v>0</v>
      </c>
      <c r="J35" s="14" t="e">
        <f>H35/H13</f>
        <v>#DIV/0!</v>
      </c>
    </row>
    <row r="36" spans="1:10" x14ac:dyDescent="0.15">
      <c r="A36" s="51"/>
      <c r="B36" s="12"/>
      <c r="C36" s="15">
        <v>0</v>
      </c>
      <c r="D36" s="15">
        <v>0</v>
      </c>
      <c r="E36" s="15">
        <v>0</v>
      </c>
      <c r="F36" s="15">
        <v>0</v>
      </c>
      <c r="G36" s="16">
        <v>0</v>
      </c>
      <c r="H36" s="17">
        <f t="shared" si="8"/>
        <v>0</v>
      </c>
      <c r="I36" s="17">
        <f t="shared" si="0"/>
        <v>0</v>
      </c>
      <c r="J36" s="14" t="e">
        <f>H36/H13</f>
        <v>#DIV/0!</v>
      </c>
    </row>
    <row r="37" spans="1:10" x14ac:dyDescent="0.15">
      <c r="A37" s="51"/>
      <c r="B37" s="12"/>
      <c r="C37" s="15">
        <v>0</v>
      </c>
      <c r="D37" s="15">
        <v>0</v>
      </c>
      <c r="E37" s="15">
        <v>0</v>
      </c>
      <c r="F37" s="15">
        <v>0</v>
      </c>
      <c r="G37" s="16">
        <v>0</v>
      </c>
      <c r="H37" s="17">
        <f t="shared" si="8"/>
        <v>0</v>
      </c>
      <c r="I37" s="17">
        <f t="shared" si="0"/>
        <v>0</v>
      </c>
      <c r="J37" s="14" t="e">
        <f>H37/H13</f>
        <v>#DIV/0!</v>
      </c>
    </row>
    <row r="38" spans="1:10" x14ac:dyDescent="0.15">
      <c r="A38" s="51"/>
      <c r="B38" s="12" t="s">
        <v>92</v>
      </c>
      <c r="C38" s="15">
        <v>9667</v>
      </c>
      <c r="D38" s="15">
        <v>8428</v>
      </c>
      <c r="E38" s="15">
        <v>12255</v>
      </c>
      <c r="F38" s="15">
        <v>10690</v>
      </c>
      <c r="G38" s="16">
        <v>10690</v>
      </c>
      <c r="H38" s="17">
        <f t="shared" si="8"/>
        <v>51730</v>
      </c>
      <c r="I38" s="17">
        <f t="shared" si="0"/>
        <v>10346</v>
      </c>
      <c r="J38" s="14" t="e">
        <f>H38/H13</f>
        <v>#DIV/0!</v>
      </c>
    </row>
    <row r="39" spans="1:10" x14ac:dyDescent="0.15">
      <c r="A39" s="51"/>
      <c r="B39" s="25" t="s">
        <v>93</v>
      </c>
      <c r="C39" s="26">
        <f t="shared" ref="C39:G39" si="10">SUM(C34:C38)</f>
        <v>11675</v>
      </c>
      <c r="D39" s="26">
        <f t="shared" si="10"/>
        <v>10436</v>
      </c>
      <c r="E39" s="26">
        <f t="shared" si="10"/>
        <v>14263</v>
      </c>
      <c r="F39" s="26">
        <f t="shared" si="10"/>
        <v>13141</v>
      </c>
      <c r="G39" s="27">
        <f t="shared" si="10"/>
        <v>13141</v>
      </c>
      <c r="H39" s="28">
        <f t="shared" si="8"/>
        <v>62656</v>
      </c>
      <c r="I39" s="28">
        <f t="shared" si="0"/>
        <v>12531.2</v>
      </c>
      <c r="J39" s="29" t="e">
        <f>H39/H13</f>
        <v>#DIV/0!</v>
      </c>
    </row>
    <row r="40" spans="1:10" x14ac:dyDescent="0.15">
      <c r="A40" s="51" t="s">
        <v>94</v>
      </c>
      <c r="B40" s="12" t="s">
        <v>95</v>
      </c>
      <c r="C40" s="15">
        <v>0</v>
      </c>
      <c r="D40" s="15">
        <v>0</v>
      </c>
      <c r="E40" s="15">
        <v>0</v>
      </c>
      <c r="F40" s="15">
        <v>0</v>
      </c>
      <c r="G40" s="16">
        <v>0</v>
      </c>
      <c r="H40" s="17">
        <f t="shared" si="8"/>
        <v>0</v>
      </c>
      <c r="I40" s="17">
        <f t="shared" si="0"/>
        <v>0</v>
      </c>
      <c r="J40" s="14" t="e">
        <f>H40/H13</f>
        <v>#DIV/0!</v>
      </c>
    </row>
    <row r="41" spans="1:10" x14ac:dyDescent="0.15">
      <c r="A41" s="51"/>
      <c r="B41" s="12" t="s">
        <v>96</v>
      </c>
      <c r="C41" s="15">
        <v>0</v>
      </c>
      <c r="D41" s="15">
        <v>0</v>
      </c>
      <c r="E41" s="15">
        <v>0</v>
      </c>
      <c r="F41" s="15">
        <v>0</v>
      </c>
      <c r="G41" s="16">
        <v>0</v>
      </c>
      <c r="H41" s="17">
        <f t="shared" si="8"/>
        <v>0</v>
      </c>
      <c r="I41" s="17">
        <f t="shared" si="0"/>
        <v>0</v>
      </c>
      <c r="J41" s="14" t="e">
        <f>H41/H13</f>
        <v>#DIV/0!</v>
      </c>
    </row>
    <row r="42" spans="1:10" x14ac:dyDescent="0.15">
      <c r="A42" s="51"/>
      <c r="B42" s="12" t="s">
        <v>97</v>
      </c>
      <c r="C42" s="15">
        <v>0</v>
      </c>
      <c r="D42" s="15">
        <v>0</v>
      </c>
      <c r="E42" s="15">
        <v>0</v>
      </c>
      <c r="F42" s="15">
        <v>0</v>
      </c>
      <c r="G42" s="16">
        <v>0</v>
      </c>
      <c r="H42" s="17">
        <f t="shared" si="8"/>
        <v>0</v>
      </c>
      <c r="I42" s="17">
        <f t="shared" si="0"/>
        <v>0</v>
      </c>
      <c r="J42" s="14" t="e">
        <f>H42/H13</f>
        <v>#DIV/0!</v>
      </c>
    </row>
    <row r="43" spans="1:10" x14ac:dyDescent="0.15">
      <c r="A43" s="51"/>
      <c r="B43" s="12" t="s">
        <v>98</v>
      </c>
      <c r="C43" s="15">
        <v>0</v>
      </c>
      <c r="D43" s="15">
        <v>0</v>
      </c>
      <c r="E43" s="15">
        <v>0</v>
      </c>
      <c r="F43" s="15">
        <v>0</v>
      </c>
      <c r="G43" s="16">
        <v>0</v>
      </c>
      <c r="H43" s="17">
        <f t="shared" si="8"/>
        <v>0</v>
      </c>
      <c r="I43" s="17">
        <f>AVERAGE(B43:G43)</f>
        <v>0</v>
      </c>
      <c r="J43" s="14" t="e">
        <f>H43/H13</f>
        <v>#DIV/0!</v>
      </c>
    </row>
    <row r="44" spans="1:10" x14ac:dyDescent="0.15">
      <c r="A44" s="51"/>
      <c r="B44" s="25" t="s">
        <v>99</v>
      </c>
      <c r="C44" s="26">
        <f t="shared" ref="C44:H44" si="11">SUM(C40:C43)</f>
        <v>0</v>
      </c>
      <c r="D44" s="26">
        <f t="shared" si="11"/>
        <v>0</v>
      </c>
      <c r="E44" s="26">
        <f t="shared" si="11"/>
        <v>0</v>
      </c>
      <c r="F44" s="26">
        <f t="shared" si="11"/>
        <v>0</v>
      </c>
      <c r="G44" s="27">
        <f t="shared" si="11"/>
        <v>0</v>
      </c>
      <c r="H44" s="28">
        <f t="shared" si="11"/>
        <v>0</v>
      </c>
      <c r="I44" s="28">
        <f>AVERAGE(B44:G44)</f>
        <v>0</v>
      </c>
      <c r="J44" s="29" t="e">
        <f>H44/H13</f>
        <v>#DIV/0!</v>
      </c>
    </row>
    <row r="45" spans="1:10" x14ac:dyDescent="0.15">
      <c r="A45" s="51" t="s">
        <v>100</v>
      </c>
      <c r="B45" s="12" t="s">
        <v>101</v>
      </c>
      <c r="C45" s="15">
        <v>0</v>
      </c>
      <c r="D45" s="15">
        <v>0</v>
      </c>
      <c r="E45" s="15">
        <v>0</v>
      </c>
      <c r="F45" s="15">
        <v>0</v>
      </c>
      <c r="G45" s="16">
        <v>0</v>
      </c>
      <c r="H45" s="17">
        <f t="shared" ref="H45:H60" si="12">SUM(C45:G45)</f>
        <v>0</v>
      </c>
      <c r="I45" s="17">
        <f t="shared" ref="I45:I60" si="13">AVERAGE(C45:G45)</f>
        <v>0</v>
      </c>
      <c r="J45" s="14" t="e">
        <f>H45/H13</f>
        <v>#DIV/0!</v>
      </c>
    </row>
    <row r="46" spans="1:10" x14ac:dyDescent="0.15">
      <c r="A46" s="51"/>
      <c r="B46" s="12" t="s">
        <v>102</v>
      </c>
      <c r="C46" s="15">
        <v>0</v>
      </c>
      <c r="D46" s="15">
        <v>0</v>
      </c>
      <c r="E46" s="15">
        <v>0</v>
      </c>
      <c r="F46" s="15">
        <v>0</v>
      </c>
      <c r="G46" s="16">
        <v>0</v>
      </c>
      <c r="H46" s="17">
        <f t="shared" si="12"/>
        <v>0</v>
      </c>
      <c r="I46" s="17">
        <f t="shared" si="13"/>
        <v>0</v>
      </c>
      <c r="J46" s="14" t="e">
        <f>H46/H13</f>
        <v>#DIV/0!</v>
      </c>
    </row>
    <row r="47" spans="1:10" x14ac:dyDescent="0.15">
      <c r="A47" s="51"/>
      <c r="B47" s="12" t="s">
        <v>103</v>
      </c>
      <c r="C47" s="15">
        <v>0</v>
      </c>
      <c r="D47" s="15">
        <v>0</v>
      </c>
      <c r="E47" s="15">
        <v>0</v>
      </c>
      <c r="F47" s="15">
        <v>0</v>
      </c>
      <c r="G47" s="16">
        <v>0</v>
      </c>
      <c r="H47" s="17">
        <f t="shared" si="12"/>
        <v>0</v>
      </c>
      <c r="I47" s="17">
        <f t="shared" si="13"/>
        <v>0</v>
      </c>
      <c r="J47" s="14" t="e">
        <f>H47/H13</f>
        <v>#DIV/0!</v>
      </c>
    </row>
    <row r="48" spans="1:10" x14ac:dyDescent="0.15">
      <c r="A48" s="51"/>
      <c r="B48" s="12" t="s">
        <v>104</v>
      </c>
      <c r="C48" s="15">
        <v>0</v>
      </c>
      <c r="D48" s="15">
        <v>0</v>
      </c>
      <c r="E48" s="15">
        <v>0</v>
      </c>
      <c r="F48" s="15">
        <v>0</v>
      </c>
      <c r="G48" s="16">
        <v>0</v>
      </c>
      <c r="H48" s="17">
        <f t="shared" si="12"/>
        <v>0</v>
      </c>
      <c r="I48" s="17">
        <f t="shared" si="13"/>
        <v>0</v>
      </c>
      <c r="J48" s="14" t="e">
        <f>H48/H13</f>
        <v>#DIV/0!</v>
      </c>
    </row>
    <row r="49" spans="1:10" x14ac:dyDescent="0.15">
      <c r="A49" s="51"/>
      <c r="B49" s="25" t="s">
        <v>105</v>
      </c>
      <c r="C49" s="26">
        <f t="shared" ref="C49:G49" si="14">SUM(C45:C48)</f>
        <v>0</v>
      </c>
      <c r="D49" s="26">
        <f t="shared" si="14"/>
        <v>0</v>
      </c>
      <c r="E49" s="26">
        <f t="shared" si="14"/>
        <v>0</v>
      </c>
      <c r="F49" s="26">
        <f t="shared" si="14"/>
        <v>0</v>
      </c>
      <c r="G49" s="27">
        <f t="shared" si="14"/>
        <v>0</v>
      </c>
      <c r="H49" s="28">
        <f t="shared" si="12"/>
        <v>0</v>
      </c>
      <c r="I49" s="28">
        <f t="shared" si="13"/>
        <v>0</v>
      </c>
      <c r="J49" s="29" t="e">
        <f>H49/H13</f>
        <v>#DIV/0!</v>
      </c>
    </row>
    <row r="50" spans="1:10" x14ac:dyDescent="0.15">
      <c r="A50" s="51" t="s">
        <v>106</v>
      </c>
      <c r="B50" s="12" t="s">
        <v>107</v>
      </c>
      <c r="C50" s="15">
        <v>0</v>
      </c>
      <c r="D50" s="15">
        <v>0</v>
      </c>
      <c r="E50" s="15">
        <v>0</v>
      </c>
      <c r="F50" s="15">
        <v>0</v>
      </c>
      <c r="G50" s="16">
        <v>0</v>
      </c>
      <c r="H50" s="17">
        <f t="shared" si="12"/>
        <v>0</v>
      </c>
      <c r="I50" s="17">
        <f t="shared" si="13"/>
        <v>0</v>
      </c>
      <c r="J50" s="14" t="e">
        <f>H50/H13</f>
        <v>#DIV/0!</v>
      </c>
    </row>
    <row r="51" spans="1:10" x14ac:dyDescent="0.15">
      <c r="A51" s="51"/>
      <c r="B51" s="12" t="s">
        <v>108</v>
      </c>
      <c r="C51" s="15">
        <v>0</v>
      </c>
      <c r="D51" s="15">
        <v>0</v>
      </c>
      <c r="E51" s="15">
        <v>0</v>
      </c>
      <c r="F51" s="15">
        <v>0</v>
      </c>
      <c r="G51" s="16">
        <v>0</v>
      </c>
      <c r="H51" s="17">
        <f t="shared" si="12"/>
        <v>0</v>
      </c>
      <c r="I51" s="17">
        <f t="shared" si="13"/>
        <v>0</v>
      </c>
      <c r="J51" s="14" t="e">
        <f>H51/H13</f>
        <v>#DIV/0!</v>
      </c>
    </row>
    <row r="52" spans="1:10" x14ac:dyDescent="0.15">
      <c r="A52" s="51"/>
      <c r="B52" s="12" t="s">
        <v>109</v>
      </c>
      <c r="C52" s="15">
        <v>0</v>
      </c>
      <c r="D52" s="15">
        <v>0</v>
      </c>
      <c r="E52" s="15">
        <v>0</v>
      </c>
      <c r="F52" s="15">
        <v>0</v>
      </c>
      <c r="G52" s="16">
        <v>0</v>
      </c>
      <c r="H52" s="17">
        <f t="shared" si="12"/>
        <v>0</v>
      </c>
      <c r="I52" s="17">
        <f t="shared" si="13"/>
        <v>0</v>
      </c>
      <c r="J52" s="14" t="e">
        <f>H52/H13</f>
        <v>#DIV/0!</v>
      </c>
    </row>
    <row r="53" spans="1:10" x14ac:dyDescent="0.15">
      <c r="A53" s="51"/>
      <c r="B53" s="12" t="s">
        <v>110</v>
      </c>
      <c r="C53" s="15">
        <v>0</v>
      </c>
      <c r="D53" s="15">
        <v>0</v>
      </c>
      <c r="E53" s="15">
        <v>0</v>
      </c>
      <c r="F53" s="15">
        <v>0</v>
      </c>
      <c r="G53" s="16">
        <v>0</v>
      </c>
      <c r="H53" s="17">
        <f t="shared" si="12"/>
        <v>0</v>
      </c>
      <c r="I53" s="17">
        <f t="shared" si="13"/>
        <v>0</v>
      </c>
      <c r="J53" s="14" t="e">
        <f>H53/H13</f>
        <v>#DIV/0!</v>
      </c>
    </row>
    <row r="54" spans="1:10" x14ac:dyDescent="0.15">
      <c r="A54" s="51"/>
      <c r="B54" s="12" t="s">
        <v>111</v>
      </c>
      <c r="C54" s="15">
        <v>0</v>
      </c>
      <c r="D54" s="15">
        <v>0</v>
      </c>
      <c r="E54" s="15">
        <v>0</v>
      </c>
      <c r="F54" s="15">
        <v>0</v>
      </c>
      <c r="G54" s="16">
        <v>0</v>
      </c>
      <c r="H54" s="17">
        <f t="shared" si="12"/>
        <v>0</v>
      </c>
      <c r="I54" s="17">
        <f t="shared" si="13"/>
        <v>0</v>
      </c>
      <c r="J54" s="14" t="e">
        <f>H54/H13</f>
        <v>#DIV/0!</v>
      </c>
    </row>
    <row r="55" spans="1:10" x14ac:dyDescent="0.15">
      <c r="A55" s="51"/>
      <c r="B55" s="25" t="s">
        <v>112</v>
      </c>
      <c r="C55" s="26">
        <f t="shared" ref="C55:G55" si="15">SUM(C50:C54)</f>
        <v>0</v>
      </c>
      <c r="D55" s="26">
        <f t="shared" si="15"/>
        <v>0</v>
      </c>
      <c r="E55" s="26">
        <f t="shared" si="15"/>
        <v>0</v>
      </c>
      <c r="F55" s="26">
        <f t="shared" si="15"/>
        <v>0</v>
      </c>
      <c r="G55" s="27">
        <f t="shared" si="15"/>
        <v>0</v>
      </c>
      <c r="H55" s="28">
        <f t="shared" si="12"/>
        <v>0</v>
      </c>
      <c r="I55" s="28">
        <f t="shared" si="13"/>
        <v>0</v>
      </c>
      <c r="J55" s="29" t="e">
        <f>H55/H13</f>
        <v>#DIV/0!</v>
      </c>
    </row>
    <row r="56" spans="1:10" x14ac:dyDescent="0.15">
      <c r="A56" s="48" t="s">
        <v>113</v>
      </c>
      <c r="B56" s="48"/>
      <c r="C56" s="15">
        <f t="shared" ref="C56:G56" si="16">SUM(C49+C22+C27+C33+C39+C44+C55)</f>
        <v>321479</v>
      </c>
      <c r="D56" s="15">
        <f t="shared" si="16"/>
        <v>241094</v>
      </c>
      <c r="E56" s="15">
        <f t="shared" si="16"/>
        <v>304973</v>
      </c>
      <c r="F56" s="15">
        <f t="shared" si="16"/>
        <v>42833</v>
      </c>
      <c r="G56" s="16">
        <f t="shared" si="16"/>
        <v>505995</v>
      </c>
      <c r="H56" s="17">
        <f t="shared" si="12"/>
        <v>1416374</v>
      </c>
      <c r="I56" s="17">
        <f t="shared" si="13"/>
        <v>283274.8</v>
      </c>
      <c r="J56" s="14" t="e">
        <f>H56/H13</f>
        <v>#DIV/0!</v>
      </c>
    </row>
    <row r="57" spans="1:10" x14ac:dyDescent="0.15">
      <c r="A57" s="48" t="s">
        <v>114</v>
      </c>
      <c r="B57" s="48"/>
      <c r="C57" s="15">
        <f t="shared" ref="C57:F57" si="17">SUM(C13+C14-C56)</f>
        <v>-321479</v>
      </c>
      <c r="D57" s="15">
        <f t="shared" si="17"/>
        <v>-241094</v>
      </c>
      <c r="E57" s="15">
        <f t="shared" si="17"/>
        <v>-304973</v>
      </c>
      <c r="F57" s="15">
        <f t="shared" si="17"/>
        <v>-42833</v>
      </c>
      <c r="G57" s="16">
        <f>SUM(G13+G14-G56)</f>
        <v>-505995</v>
      </c>
      <c r="H57" s="17">
        <f t="shared" si="12"/>
        <v>-1416374</v>
      </c>
      <c r="I57" s="17">
        <f t="shared" si="13"/>
        <v>-283274.8</v>
      </c>
      <c r="J57" s="14" t="e">
        <f>H57/H13</f>
        <v>#DIV/0!</v>
      </c>
    </row>
    <row r="58" spans="1:10" x14ac:dyDescent="0.15">
      <c r="A58" s="48" t="s">
        <v>115</v>
      </c>
      <c r="B58" s="48"/>
      <c r="C58" s="15">
        <v>0</v>
      </c>
      <c r="D58" s="15">
        <v>0</v>
      </c>
      <c r="E58" s="15">
        <v>0</v>
      </c>
      <c r="F58" s="15">
        <v>0</v>
      </c>
      <c r="G58" s="16">
        <v>0</v>
      </c>
      <c r="H58" s="17">
        <f t="shared" si="12"/>
        <v>0</v>
      </c>
      <c r="I58" s="17">
        <f t="shared" si="13"/>
        <v>0</v>
      </c>
      <c r="J58" s="14" t="e">
        <f>H58/H13</f>
        <v>#DIV/0!</v>
      </c>
    </row>
    <row r="59" spans="1:10" x14ac:dyDescent="0.15">
      <c r="A59" s="48" t="s">
        <v>116</v>
      </c>
      <c r="B59" s="48"/>
      <c r="C59" s="15">
        <v>0</v>
      </c>
      <c r="D59" s="15">
        <v>0</v>
      </c>
      <c r="E59" s="15">
        <v>0</v>
      </c>
      <c r="F59" s="15">
        <v>0</v>
      </c>
      <c r="G59" s="16">
        <v>0</v>
      </c>
      <c r="H59" s="17">
        <f t="shared" si="12"/>
        <v>0</v>
      </c>
      <c r="I59" s="17">
        <f t="shared" si="13"/>
        <v>0</v>
      </c>
      <c r="J59" s="14" t="e">
        <f>H59/H13</f>
        <v>#DIV/0!</v>
      </c>
    </row>
    <row r="60" spans="1:10" x14ac:dyDescent="0.15">
      <c r="A60" s="48" t="s">
        <v>117</v>
      </c>
      <c r="B60" s="48"/>
      <c r="C60" s="15">
        <f t="shared" ref="C60:G60" si="18">SUM(C57-(C58+C59))</f>
        <v>-321479</v>
      </c>
      <c r="D60" s="15">
        <f t="shared" si="18"/>
        <v>-241094</v>
      </c>
      <c r="E60" s="15">
        <f t="shared" si="18"/>
        <v>-304973</v>
      </c>
      <c r="F60" s="15">
        <f t="shared" si="18"/>
        <v>-42833</v>
      </c>
      <c r="G60" s="16">
        <f t="shared" si="18"/>
        <v>-505995</v>
      </c>
      <c r="H60" s="17">
        <f t="shared" si="12"/>
        <v>-1416374</v>
      </c>
      <c r="I60" s="17">
        <f t="shared" si="13"/>
        <v>-283274.8</v>
      </c>
      <c r="J60" s="14" t="e">
        <f>H60/H13</f>
        <v>#DIV/0!</v>
      </c>
    </row>
    <row r="61" spans="1:10" x14ac:dyDescent="0.15">
      <c r="A61" s="12"/>
      <c r="B61" s="37" t="s">
        <v>46</v>
      </c>
      <c r="C61" s="12"/>
      <c r="D61" s="12"/>
      <c r="E61" s="12"/>
      <c r="F61" s="12"/>
      <c r="G61" s="12"/>
    </row>
    <row r="62" spans="1:10" x14ac:dyDescent="0.15">
      <c r="A62" s="13"/>
      <c r="B62" s="38"/>
      <c r="C62" s="12"/>
      <c r="D62" s="12"/>
      <c r="E62" s="12"/>
      <c r="F62" s="12"/>
      <c r="G62" s="12"/>
    </row>
    <row r="63" spans="1:10" x14ac:dyDescent="0.15">
      <c r="A63" s="13"/>
      <c r="B63" s="40" t="s">
        <v>124</v>
      </c>
      <c r="C63" s="12"/>
      <c r="D63" s="12"/>
      <c r="E63" s="12"/>
      <c r="F63" s="12"/>
      <c r="G63" s="12"/>
    </row>
    <row r="64" spans="1:10" x14ac:dyDescent="0.15">
      <c r="A64" s="13"/>
      <c r="B64" s="41" t="s">
        <v>125</v>
      </c>
      <c r="C64" s="12"/>
      <c r="D64" s="12"/>
      <c r="E64" s="12"/>
      <c r="F64" s="12"/>
      <c r="G64" s="12"/>
    </row>
    <row r="65" spans="1:7" x14ac:dyDescent="0.15">
      <c r="A65" s="13"/>
      <c r="B65" s="41" t="s">
        <v>41</v>
      </c>
      <c r="C65" s="12"/>
      <c r="D65" s="12"/>
      <c r="E65" s="12"/>
      <c r="F65" s="12"/>
      <c r="G65" s="12"/>
    </row>
    <row r="66" spans="1:7" x14ac:dyDescent="0.15">
      <c r="A66" s="12"/>
      <c r="B66" s="42" t="s">
        <v>47</v>
      </c>
      <c r="C66" s="12"/>
      <c r="D66" s="12"/>
      <c r="E66" s="12"/>
      <c r="F66" s="12"/>
      <c r="G66" s="12"/>
    </row>
    <row r="67" spans="1:7" x14ac:dyDescent="0.15">
      <c r="A67" s="12"/>
      <c r="B67" s="38"/>
      <c r="C67" s="12"/>
      <c r="D67" s="12"/>
      <c r="E67" s="12"/>
      <c r="F67" s="12"/>
      <c r="G67" s="12"/>
    </row>
    <row r="68" spans="1:7" x14ac:dyDescent="0.15">
      <c r="A68" s="12"/>
      <c r="B68" s="40" t="s">
        <v>124</v>
      </c>
      <c r="C68" s="12"/>
      <c r="D68" s="12"/>
      <c r="E68" s="12"/>
      <c r="F68" s="12"/>
      <c r="G68" s="12"/>
    </row>
    <row r="69" spans="1:7" x14ac:dyDescent="0.15">
      <c r="A69" s="12"/>
      <c r="B69" s="41" t="s">
        <v>125</v>
      </c>
      <c r="C69" s="12"/>
      <c r="D69" s="12"/>
      <c r="E69" s="12"/>
      <c r="F69" s="12"/>
      <c r="G69" s="12"/>
    </row>
    <row r="70" spans="1:7" x14ac:dyDescent="0.15">
      <c r="A70" s="12"/>
      <c r="B70" s="41" t="s">
        <v>41</v>
      </c>
      <c r="C70" s="12"/>
      <c r="D70" s="12"/>
      <c r="E70" s="12"/>
      <c r="F70" s="12"/>
      <c r="G70" s="12"/>
    </row>
    <row r="71" spans="1:7" x14ac:dyDescent="0.15">
      <c r="A71" s="12"/>
      <c r="B71" s="12" t="s">
        <v>129</v>
      </c>
      <c r="C71" s="12"/>
      <c r="D71" s="12"/>
      <c r="E71" s="12"/>
      <c r="F71" s="12"/>
      <c r="G71" s="12"/>
    </row>
    <row r="72" spans="1:7" x14ac:dyDescent="0.15">
      <c r="A72" s="12"/>
      <c r="B72" s="38"/>
      <c r="C72" s="12"/>
      <c r="D72" s="12"/>
      <c r="E72" s="12"/>
      <c r="F72" s="12"/>
      <c r="G72" s="12"/>
    </row>
    <row r="73" spans="1:7" x14ac:dyDescent="0.15">
      <c r="A73" s="12"/>
      <c r="B73" s="40" t="s">
        <v>124</v>
      </c>
      <c r="C73" s="12"/>
      <c r="D73" s="12"/>
      <c r="E73" s="12"/>
      <c r="F73" s="12"/>
      <c r="G73" s="12"/>
    </row>
    <row r="74" spans="1:7" x14ac:dyDescent="0.15">
      <c r="A74" s="12"/>
      <c r="B74" s="41" t="s">
        <v>125</v>
      </c>
      <c r="C74" s="12"/>
      <c r="D74" s="12"/>
      <c r="E74" s="12"/>
      <c r="F74" s="12"/>
      <c r="G74" s="12"/>
    </row>
    <row r="75" spans="1:7" x14ac:dyDescent="0.15">
      <c r="A75" s="12"/>
      <c r="B75" s="41" t="s">
        <v>41</v>
      </c>
      <c r="C75" s="12"/>
      <c r="D75" s="12"/>
      <c r="E75" s="12"/>
      <c r="F75" s="12"/>
      <c r="G75" s="12"/>
    </row>
    <row r="76" spans="1:7" x14ac:dyDescent="0.15">
      <c r="A76" s="12"/>
      <c r="B76" s="12" t="s">
        <v>133</v>
      </c>
      <c r="C76" s="12"/>
      <c r="D76" s="12"/>
      <c r="E76" s="12"/>
      <c r="F76" s="12"/>
      <c r="G76" s="12"/>
    </row>
    <row r="77" spans="1:7" x14ac:dyDescent="0.15">
      <c r="A77" s="12"/>
      <c r="B77" s="38"/>
      <c r="C77" s="12"/>
      <c r="D77" s="12"/>
      <c r="E77" s="12"/>
      <c r="F77" s="12"/>
      <c r="G77" s="12"/>
    </row>
    <row r="78" spans="1:7" x14ac:dyDescent="0.15">
      <c r="A78" s="12"/>
      <c r="B78" s="40" t="s">
        <v>124</v>
      </c>
      <c r="C78" s="12"/>
      <c r="D78" s="12"/>
      <c r="E78" s="12"/>
      <c r="F78" s="12"/>
      <c r="G78" s="12"/>
    </row>
    <row r="79" spans="1:7" x14ac:dyDescent="0.15">
      <c r="A79" s="12"/>
      <c r="B79" s="41" t="s">
        <v>125</v>
      </c>
      <c r="C79" s="12"/>
      <c r="D79" s="12"/>
      <c r="E79" s="12"/>
      <c r="F79" s="12"/>
      <c r="G79" s="12"/>
    </row>
    <row r="80" spans="1:7" x14ac:dyDescent="0.15">
      <c r="A80" s="12"/>
      <c r="B80" s="41" t="s">
        <v>41</v>
      </c>
      <c r="C80" s="12"/>
      <c r="D80" s="12"/>
      <c r="E80" s="12"/>
      <c r="F80" s="12"/>
      <c r="G80" s="12"/>
    </row>
    <row r="81" spans="1:7" x14ac:dyDescent="0.15">
      <c r="A81" s="12"/>
      <c r="B81" s="12" t="s">
        <v>137</v>
      </c>
      <c r="C81" s="12"/>
      <c r="D81" s="12"/>
      <c r="E81" s="12"/>
      <c r="F81" s="12"/>
      <c r="G81" s="12"/>
    </row>
    <row r="82" spans="1:7" x14ac:dyDescent="0.15">
      <c r="A82" s="12"/>
      <c r="B82" s="38"/>
      <c r="C82" s="12"/>
      <c r="D82" s="12"/>
      <c r="E82" s="12"/>
      <c r="F82" s="12"/>
      <c r="G82" s="12"/>
    </row>
    <row r="83" spans="1:7" x14ac:dyDescent="0.15">
      <c r="A83" s="12"/>
      <c r="B83" s="40" t="s">
        <v>124</v>
      </c>
      <c r="C83" s="12"/>
      <c r="D83" s="12"/>
      <c r="E83" s="12"/>
      <c r="F83" s="12"/>
      <c r="G83" s="12"/>
    </row>
    <row r="84" spans="1:7" x14ac:dyDescent="0.15">
      <c r="A84" s="12"/>
      <c r="B84" s="41" t="s">
        <v>125</v>
      </c>
      <c r="C84" s="12"/>
      <c r="D84" s="12"/>
      <c r="E84" s="12"/>
      <c r="F84" s="12"/>
      <c r="G84" s="12"/>
    </row>
    <row r="85" spans="1:7" x14ac:dyDescent="0.15">
      <c r="A85" s="12"/>
      <c r="B85" s="41" t="s">
        <v>41</v>
      </c>
      <c r="C85" s="12"/>
      <c r="D85" s="12"/>
      <c r="E85" s="12"/>
      <c r="F85" s="12"/>
      <c r="G85" s="12"/>
    </row>
    <row r="86" spans="1:7" x14ac:dyDescent="0.15">
      <c r="A86" s="12"/>
      <c r="B86" s="12"/>
      <c r="C86" s="12"/>
      <c r="D86" s="12"/>
      <c r="E86" s="12"/>
      <c r="F86" s="12"/>
      <c r="G86" s="12"/>
    </row>
    <row r="87" spans="1:7" x14ac:dyDescent="0.15">
      <c r="A87" s="12"/>
      <c r="B87" s="38"/>
      <c r="C87" s="12"/>
      <c r="D87" s="12"/>
      <c r="E87" s="12"/>
      <c r="F87" s="12"/>
      <c r="G87" s="12"/>
    </row>
    <row r="88" spans="1:7" x14ac:dyDescent="0.15">
      <c r="A88" s="12"/>
      <c r="B88" s="40" t="s">
        <v>124</v>
      </c>
      <c r="C88" s="12"/>
      <c r="D88" s="12"/>
      <c r="E88" s="12"/>
      <c r="F88" s="12"/>
      <c r="G88" s="12"/>
    </row>
    <row r="89" spans="1:7" x14ac:dyDescent="0.15">
      <c r="B89" s="41" t="s">
        <v>125</v>
      </c>
    </row>
    <row r="90" spans="1:7" x14ac:dyDescent="0.15">
      <c r="B90" s="41" t="s">
        <v>41</v>
      </c>
    </row>
    <row r="92" spans="1:7" x14ac:dyDescent="0.15">
      <c r="B92" s="38"/>
    </row>
    <row r="93" spans="1:7" x14ac:dyDescent="0.15">
      <c r="B93" s="40" t="s">
        <v>124</v>
      </c>
    </row>
    <row r="94" spans="1:7" x14ac:dyDescent="0.15">
      <c r="B94" s="41" t="s">
        <v>125</v>
      </c>
    </row>
    <row r="95" spans="1:7" x14ac:dyDescent="0.15">
      <c r="B95" s="41" t="s">
        <v>41</v>
      </c>
    </row>
    <row r="97" spans="2:2" x14ac:dyDescent="0.15">
      <c r="B97" s="38"/>
    </row>
    <row r="98" spans="2:2" x14ac:dyDescent="0.15">
      <c r="B98" s="40" t="s">
        <v>124</v>
      </c>
    </row>
    <row r="99" spans="2:2" x14ac:dyDescent="0.15">
      <c r="B99" s="41" t="s">
        <v>125</v>
      </c>
    </row>
    <row r="100" spans="2:2" x14ac:dyDescent="0.15">
      <c r="B100" s="41" t="s">
        <v>41</v>
      </c>
    </row>
    <row r="102" spans="2:2" x14ac:dyDescent="0.15">
      <c r="B102" s="12" t="s">
        <v>150</v>
      </c>
    </row>
  </sheetData>
  <mergeCells count="26">
    <mergeCell ref="A59:B59"/>
    <mergeCell ref="A60:B60"/>
    <mergeCell ref="A40:A44"/>
    <mergeCell ref="A45:A49"/>
    <mergeCell ref="A50:A55"/>
    <mergeCell ref="A56:B56"/>
    <mergeCell ref="A57:B57"/>
    <mergeCell ref="A58:B58"/>
    <mergeCell ref="A34:A39"/>
    <mergeCell ref="A9:B9"/>
    <mergeCell ref="A10:B10"/>
    <mergeCell ref="A11:B11"/>
    <mergeCell ref="A12:B12"/>
    <mergeCell ref="A13:B13"/>
    <mergeCell ref="A14:B14"/>
    <mergeCell ref="A15:B15"/>
    <mergeCell ref="A16:B16"/>
    <mergeCell ref="A17:A22"/>
    <mergeCell ref="A23:A27"/>
    <mergeCell ref="A28:A33"/>
    <mergeCell ref="A8:B8"/>
    <mergeCell ref="A3:B3"/>
    <mergeCell ref="A4:B4"/>
    <mergeCell ref="A5:B5"/>
    <mergeCell ref="A6:B6"/>
    <mergeCell ref="A7:B7"/>
  </mergeCells>
  <phoneticPr fontId="3"/>
  <pageMargins left="0.66929133858267698" right="0.196850393700787" top="0.31496062992126" bottom="0.35433070866141703" header="0.196850393700787" footer="0.196850393700787"/>
  <pageSetup paperSize="12" scale="90" orientation="landscape" r:id="rId1"/>
  <headerFooter alignWithMargins="0">
    <oddHeader>&amp;C&amp;"ＭＳ Ｐ明朝,太字"&amp;18
□□　車両別原価計算書　□□</oddHeader>
    <oddFooter>&amp;R&amp;P</oddFooter>
  </headerFooter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print="0" autoLine="0" r:id="rId5">
            <anchor>
              <from>
                <xdr:col>0</xdr:col>
                <xdr:colOff>190500</xdr:colOff>
                <xdr:row>0</xdr:row>
                <xdr:rowOff>95250</xdr:rowOff>
              </from>
              <to>
                <xdr:col>1</xdr:col>
                <xdr:colOff>657225</xdr:colOff>
                <xdr:row>1</xdr:row>
                <xdr:rowOff>257175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14</vt:i4>
      </vt:variant>
    </vt:vector>
  </HeadingPairs>
  <TitlesOfParts>
    <vt:vector size="21" baseType="lpstr">
      <vt:lpstr>全社</vt:lpstr>
      <vt:lpstr>東京(営)</vt:lpstr>
      <vt:lpstr>東北部門</vt:lpstr>
      <vt:lpstr>小名浜(営)</vt:lpstr>
      <vt:lpstr>仙台(営)</vt:lpstr>
      <vt:lpstr>川崎(営)</vt:lpstr>
      <vt:lpstr>九州(営)</vt:lpstr>
      <vt:lpstr>'九州(営)'!Print_Area</vt:lpstr>
      <vt:lpstr>'小名浜(営)'!Print_Area</vt:lpstr>
      <vt:lpstr>'仙台(営)'!Print_Area</vt:lpstr>
      <vt:lpstr>'川崎(営)'!Print_Area</vt:lpstr>
      <vt:lpstr>全社!Print_Area</vt:lpstr>
      <vt:lpstr>'東京(営)'!Print_Area</vt:lpstr>
      <vt:lpstr>東北部門!Print_Area</vt:lpstr>
      <vt:lpstr>'九州(営)'!Print_Titles</vt:lpstr>
      <vt:lpstr>'小名浜(営)'!Print_Titles</vt:lpstr>
      <vt:lpstr>'仙台(営)'!Print_Titles</vt:lpstr>
      <vt:lpstr>'川崎(営)'!Print_Titles</vt:lpstr>
      <vt:lpstr>全社!Print_Titles</vt:lpstr>
      <vt:lpstr>'東京(営)'!Print_Titles</vt:lpstr>
      <vt:lpstr>東北部門!Print_Titles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kinoshita</dc:creator>
  <cp:lastModifiedBy>asada@waka-trans.com</cp:lastModifiedBy>
  <cp:lastPrinted>2025-02-27T05:31:39Z</cp:lastPrinted>
  <dcterms:created xsi:type="dcterms:W3CDTF">2025-02-21T05:17:12Z</dcterms:created>
  <dcterms:modified xsi:type="dcterms:W3CDTF">2025-02-27T05:31:45Z</dcterms:modified>
</cp:coreProperties>
</file>