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7.3月\"/>
    </mc:Choice>
  </mc:AlternateContent>
  <xr:revisionPtr revIDLastSave="0" documentId="13_ncr:1_{145D61F8-9C31-4F15-9A2B-985EDEBEF5C1}" xr6:coauthVersionLast="47" xr6:coauthVersionMax="47" xr10:uidLastSave="{00000000-0000-0000-0000-000000000000}"/>
  <bookViews>
    <workbookView xWindow="-120" yWindow="-120" windowWidth="29040" windowHeight="15840" xr2:uid="{C4E0D145-1987-4C07-90D8-29920B1EB060}"/>
  </bookViews>
  <sheets>
    <sheet name="全社" sheetId="1" r:id="rId1"/>
    <sheet name="東京" sheetId="2" r:id="rId2"/>
    <sheet name="東北部門" sheetId="3" r:id="rId3"/>
    <sheet name="小名浜" sheetId="7" r:id="rId4"/>
    <sheet name="仙台" sheetId="8" r:id="rId5"/>
    <sheet name="川崎" sheetId="4" r:id="rId6"/>
    <sheet name="本社経費扱い" sheetId="5" r:id="rId7"/>
  </sheets>
  <definedNames>
    <definedName name="_xlnm.Print_Area" localSheetId="3">小名浜!$A$1:$Y$60</definedName>
    <definedName name="_xlnm.Print_Area" localSheetId="4">仙台!$A$1:$L$60</definedName>
    <definedName name="_xlnm.Print_Area" localSheetId="5">川崎!$A$1:$M$60</definedName>
    <definedName name="_xlnm.Print_Area" localSheetId="0">全社!$A$1:$AU$60</definedName>
    <definedName name="_xlnm.Print_Area" localSheetId="1">東京!$A$1:$N$60</definedName>
    <definedName name="_xlnm.Print_Area" localSheetId="2">東北部門!$A$1:$AD$60</definedName>
    <definedName name="_xlnm.Print_Area" localSheetId="6">本社経費扱い!$A$1:$D$60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  <definedName name="_xlnm.Print_Titles" localSheetId="6">本社経費扱い!$A:$B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9" i="4" l="1"/>
  <c r="K58" i="4"/>
  <c r="K54" i="4"/>
  <c r="K53" i="4"/>
  <c r="K52" i="4"/>
  <c r="K51" i="4"/>
  <c r="K50" i="4"/>
  <c r="K48" i="4"/>
  <c r="K47" i="4"/>
  <c r="K46" i="4"/>
  <c r="K45" i="4"/>
  <c r="K43" i="4"/>
  <c r="K42" i="4"/>
  <c r="K41" i="4"/>
  <c r="K40" i="4"/>
  <c r="K38" i="4"/>
  <c r="K37" i="4"/>
  <c r="K36" i="4"/>
  <c r="K35" i="4"/>
  <c r="K34" i="4"/>
  <c r="K32" i="4"/>
  <c r="K31" i="4"/>
  <c r="K30" i="4"/>
  <c r="K28" i="4"/>
  <c r="K26" i="4"/>
  <c r="K24" i="4"/>
  <c r="K23" i="4"/>
  <c r="K21" i="4"/>
  <c r="K20" i="4"/>
  <c r="K19" i="4"/>
  <c r="K18" i="4"/>
  <c r="K17" i="4"/>
  <c r="K14" i="4"/>
  <c r="K13" i="4"/>
  <c r="K12" i="4"/>
  <c r="K11" i="4"/>
  <c r="K9" i="4"/>
  <c r="L59" i="2"/>
  <c r="L58" i="2"/>
  <c r="L54" i="2"/>
  <c r="L53" i="2"/>
  <c r="L52" i="2"/>
  <c r="L51" i="2"/>
  <c r="L50" i="2"/>
  <c r="L48" i="2"/>
  <c r="L47" i="2"/>
  <c r="L46" i="2"/>
  <c r="L45" i="2"/>
  <c r="L43" i="2"/>
  <c r="L42" i="2"/>
  <c r="L41" i="2"/>
  <c r="L40" i="2"/>
  <c r="L38" i="2"/>
  <c r="L37" i="2"/>
  <c r="L36" i="2"/>
  <c r="L35" i="2"/>
  <c r="L34" i="2"/>
  <c r="L32" i="2"/>
  <c r="L31" i="2"/>
  <c r="L30" i="2"/>
  <c r="L28" i="2"/>
  <c r="L26" i="2"/>
  <c r="L24" i="2"/>
  <c r="L23" i="2"/>
  <c r="L21" i="2"/>
  <c r="L20" i="2"/>
  <c r="L19" i="2"/>
  <c r="L18" i="2"/>
  <c r="L17" i="2"/>
  <c r="L14" i="2"/>
  <c r="L13" i="2"/>
  <c r="L12" i="2"/>
  <c r="L11" i="2"/>
  <c r="L9" i="2"/>
  <c r="K59" i="8"/>
  <c r="J59" i="8"/>
  <c r="K58" i="8"/>
  <c r="J58" i="8"/>
  <c r="I55" i="8"/>
  <c r="H55" i="8"/>
  <c r="G55" i="8"/>
  <c r="F55" i="8"/>
  <c r="E55" i="8"/>
  <c r="D55" i="8"/>
  <c r="C55" i="8"/>
  <c r="K54" i="8"/>
  <c r="J54" i="8"/>
  <c r="K53" i="8"/>
  <c r="J53" i="8"/>
  <c r="K52" i="8"/>
  <c r="J52" i="8"/>
  <c r="K51" i="8"/>
  <c r="J51" i="8"/>
  <c r="K50" i="8"/>
  <c r="J50" i="8"/>
  <c r="I49" i="8"/>
  <c r="H49" i="8"/>
  <c r="G49" i="8"/>
  <c r="F49" i="8"/>
  <c r="E49" i="8"/>
  <c r="D49" i="8"/>
  <c r="C49" i="8"/>
  <c r="K48" i="8"/>
  <c r="J48" i="8"/>
  <c r="K47" i="8"/>
  <c r="J47" i="8"/>
  <c r="K46" i="8"/>
  <c r="J46" i="8"/>
  <c r="K45" i="8"/>
  <c r="J45" i="8"/>
  <c r="I44" i="8"/>
  <c r="H44" i="8"/>
  <c r="G44" i="8"/>
  <c r="F44" i="8"/>
  <c r="E44" i="8"/>
  <c r="D44" i="8"/>
  <c r="C44" i="8"/>
  <c r="J44" i="8" s="1"/>
  <c r="K43" i="8"/>
  <c r="J43" i="8"/>
  <c r="K42" i="8"/>
  <c r="J42" i="8"/>
  <c r="K41" i="8"/>
  <c r="J41" i="8"/>
  <c r="K40" i="8"/>
  <c r="J40" i="8"/>
  <c r="I39" i="8"/>
  <c r="H39" i="8"/>
  <c r="G39" i="8"/>
  <c r="F39" i="8"/>
  <c r="E39" i="8"/>
  <c r="D39" i="8"/>
  <c r="C39" i="8"/>
  <c r="J39" i="8" s="1"/>
  <c r="K38" i="8"/>
  <c r="J38" i="8"/>
  <c r="K37" i="8"/>
  <c r="J37" i="8"/>
  <c r="K36" i="8"/>
  <c r="J36" i="8"/>
  <c r="K35" i="8"/>
  <c r="J35" i="8"/>
  <c r="K34" i="8"/>
  <c r="J34" i="8"/>
  <c r="I33" i="8"/>
  <c r="H33" i="8"/>
  <c r="G33" i="8"/>
  <c r="F33" i="8"/>
  <c r="E33" i="8"/>
  <c r="D33" i="8"/>
  <c r="C33" i="8"/>
  <c r="K33" i="8" s="1"/>
  <c r="K32" i="8"/>
  <c r="J32" i="8"/>
  <c r="K31" i="8"/>
  <c r="J31" i="8"/>
  <c r="K30" i="8"/>
  <c r="J30" i="8"/>
  <c r="I29" i="8"/>
  <c r="H29" i="8"/>
  <c r="G29" i="8"/>
  <c r="F29" i="8"/>
  <c r="E29" i="8"/>
  <c r="D29" i="8"/>
  <c r="C29" i="8"/>
  <c r="K28" i="8"/>
  <c r="J28" i="8"/>
  <c r="K26" i="8"/>
  <c r="J26" i="8"/>
  <c r="I25" i="8"/>
  <c r="I27" i="8" s="1"/>
  <c r="H25" i="8"/>
  <c r="H27" i="8" s="1"/>
  <c r="G25" i="8"/>
  <c r="G27" i="8" s="1"/>
  <c r="F25" i="8"/>
  <c r="F27" i="8" s="1"/>
  <c r="E25" i="8"/>
  <c r="E27" i="8" s="1"/>
  <c r="D25" i="8"/>
  <c r="D27" i="8" s="1"/>
  <c r="C25" i="8"/>
  <c r="C27" i="8" s="1"/>
  <c r="K25" i="8"/>
  <c r="K24" i="8"/>
  <c r="J24" i="8"/>
  <c r="K23" i="8"/>
  <c r="J23" i="8"/>
  <c r="I22" i="8"/>
  <c r="H22" i="8"/>
  <c r="G22" i="8"/>
  <c r="F22" i="8"/>
  <c r="E22" i="8"/>
  <c r="D22" i="8"/>
  <c r="C22" i="8"/>
  <c r="K22" i="8" s="1"/>
  <c r="J22" i="8"/>
  <c r="K21" i="8"/>
  <c r="J21" i="8"/>
  <c r="K20" i="8"/>
  <c r="J20" i="8"/>
  <c r="K19" i="8"/>
  <c r="J19" i="8"/>
  <c r="K18" i="8"/>
  <c r="J18" i="8"/>
  <c r="K17" i="8"/>
  <c r="J17" i="8"/>
  <c r="I16" i="8"/>
  <c r="H16" i="8"/>
  <c r="G16" i="8"/>
  <c r="F16" i="8"/>
  <c r="E16" i="8"/>
  <c r="D16" i="8"/>
  <c r="C16" i="8"/>
  <c r="K16" i="8" s="1"/>
  <c r="I15" i="8"/>
  <c r="H15" i="8"/>
  <c r="G15" i="8"/>
  <c r="F15" i="8"/>
  <c r="E15" i="8"/>
  <c r="D15" i="8"/>
  <c r="C15" i="8"/>
  <c r="K14" i="8"/>
  <c r="J14" i="8"/>
  <c r="K13" i="8"/>
  <c r="J13" i="8"/>
  <c r="K12" i="8"/>
  <c r="J12" i="8"/>
  <c r="K11" i="8"/>
  <c r="J11" i="8"/>
  <c r="J9" i="8"/>
  <c r="X59" i="7"/>
  <c r="W59" i="7"/>
  <c r="X58" i="7"/>
  <c r="W58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X54" i="7"/>
  <c r="W54" i="7"/>
  <c r="X53" i="7"/>
  <c r="W53" i="7"/>
  <c r="X52" i="7"/>
  <c r="W52" i="7"/>
  <c r="X51" i="7"/>
  <c r="W51" i="7"/>
  <c r="X50" i="7"/>
  <c r="W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X48" i="7"/>
  <c r="W48" i="7"/>
  <c r="X47" i="7"/>
  <c r="W47" i="7"/>
  <c r="X46" i="7"/>
  <c r="W46" i="7"/>
  <c r="X45" i="7"/>
  <c r="W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X43" i="7"/>
  <c r="W43" i="7"/>
  <c r="X42" i="7"/>
  <c r="W42" i="7"/>
  <c r="X41" i="7"/>
  <c r="W41" i="7"/>
  <c r="X40" i="7"/>
  <c r="W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X38" i="7"/>
  <c r="W38" i="7"/>
  <c r="X37" i="7"/>
  <c r="W37" i="7"/>
  <c r="X36" i="7"/>
  <c r="W36" i="7"/>
  <c r="X35" i="7"/>
  <c r="W35" i="7"/>
  <c r="X34" i="7"/>
  <c r="W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X32" i="7"/>
  <c r="W32" i="7"/>
  <c r="X31" i="7"/>
  <c r="W31" i="7"/>
  <c r="X30" i="7"/>
  <c r="W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X28" i="7"/>
  <c r="W28" i="7"/>
  <c r="X26" i="7"/>
  <c r="W26" i="7"/>
  <c r="V25" i="7"/>
  <c r="V27" i="7" s="1"/>
  <c r="U25" i="7"/>
  <c r="U27" i="7" s="1"/>
  <c r="T25" i="7"/>
  <c r="T27" i="7" s="1"/>
  <c r="S25" i="7"/>
  <c r="S27" i="7" s="1"/>
  <c r="R25" i="7"/>
  <c r="R27" i="7" s="1"/>
  <c r="Q25" i="7"/>
  <c r="Q27" i="7" s="1"/>
  <c r="P25" i="7"/>
  <c r="P27" i="7" s="1"/>
  <c r="O25" i="7"/>
  <c r="O27" i="7" s="1"/>
  <c r="N25" i="7"/>
  <c r="N27" i="7" s="1"/>
  <c r="M25" i="7"/>
  <c r="M27" i="7" s="1"/>
  <c r="L25" i="7"/>
  <c r="L27" i="7" s="1"/>
  <c r="K25" i="7"/>
  <c r="K27" i="7" s="1"/>
  <c r="J25" i="7"/>
  <c r="J27" i="7" s="1"/>
  <c r="I25" i="7"/>
  <c r="I27" i="7" s="1"/>
  <c r="H25" i="7"/>
  <c r="H27" i="7" s="1"/>
  <c r="G25" i="7"/>
  <c r="G27" i="7" s="1"/>
  <c r="F25" i="7"/>
  <c r="F27" i="7" s="1"/>
  <c r="E25" i="7"/>
  <c r="E27" i="7" s="1"/>
  <c r="D25" i="7"/>
  <c r="D27" i="7" s="1"/>
  <c r="C25" i="7"/>
  <c r="X24" i="7"/>
  <c r="W24" i="7"/>
  <c r="X23" i="7"/>
  <c r="W23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X21" i="7"/>
  <c r="W21" i="7"/>
  <c r="X20" i="7"/>
  <c r="W20" i="7"/>
  <c r="X19" i="7"/>
  <c r="W19" i="7"/>
  <c r="X18" i="7"/>
  <c r="W18" i="7"/>
  <c r="X17" i="7"/>
  <c r="W17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X14" i="7"/>
  <c r="W14" i="7"/>
  <c r="X13" i="7"/>
  <c r="W13" i="7"/>
  <c r="X12" i="7"/>
  <c r="W12" i="7"/>
  <c r="X11" i="7"/>
  <c r="W11" i="7"/>
  <c r="W9" i="7"/>
  <c r="K15" i="2"/>
  <c r="K16" i="2"/>
  <c r="K22" i="2"/>
  <c r="K25" i="2"/>
  <c r="K27" i="2"/>
  <c r="K29" i="2"/>
  <c r="K33" i="2"/>
  <c r="K39" i="2"/>
  <c r="K44" i="2"/>
  <c r="K49" i="2"/>
  <c r="K55" i="2"/>
  <c r="K15" i="8" l="1"/>
  <c r="L17" i="8"/>
  <c r="L18" i="8"/>
  <c r="L20" i="8"/>
  <c r="L21" i="8"/>
  <c r="L22" i="8"/>
  <c r="L23" i="8"/>
  <c r="L24" i="8"/>
  <c r="G56" i="8"/>
  <c r="G57" i="8" s="1"/>
  <c r="G60" i="8" s="1"/>
  <c r="L26" i="8"/>
  <c r="L28" i="8"/>
  <c r="K29" i="8"/>
  <c r="L31" i="8"/>
  <c r="L32" i="8"/>
  <c r="L34" i="8"/>
  <c r="L35" i="8"/>
  <c r="L37" i="8"/>
  <c r="L38" i="8"/>
  <c r="L39" i="8"/>
  <c r="L40" i="8"/>
  <c r="L41" i="8"/>
  <c r="L42" i="8"/>
  <c r="L43" i="8"/>
  <c r="L44" i="8"/>
  <c r="L45" i="8"/>
  <c r="L46" i="8"/>
  <c r="L48" i="8"/>
  <c r="K49" i="8"/>
  <c r="L51" i="8"/>
  <c r="L52" i="8"/>
  <c r="L54" i="8"/>
  <c r="K55" i="8"/>
  <c r="L59" i="8"/>
  <c r="K56" i="2"/>
  <c r="K57" i="2" s="1"/>
  <c r="K60" i="2" s="1"/>
  <c r="E56" i="8"/>
  <c r="E57" i="8" s="1"/>
  <c r="E60" i="8" s="1"/>
  <c r="F56" i="8"/>
  <c r="F57" i="8" s="1"/>
  <c r="F60" i="8" s="1"/>
  <c r="K44" i="8"/>
  <c r="C56" i="8"/>
  <c r="C57" i="8" s="1"/>
  <c r="C60" i="8" s="1"/>
  <c r="I56" i="8"/>
  <c r="I57" i="8" s="1"/>
  <c r="I60" i="8" s="1"/>
  <c r="J15" i="8"/>
  <c r="L19" i="8"/>
  <c r="L30" i="8"/>
  <c r="L36" i="8"/>
  <c r="K39" i="8"/>
  <c r="L47" i="8"/>
  <c r="L50" i="8"/>
  <c r="L53" i="8"/>
  <c r="L58" i="8"/>
  <c r="W29" i="7"/>
  <c r="Y24" i="7"/>
  <c r="S56" i="7"/>
  <c r="S57" i="7" s="1"/>
  <c r="S60" i="7" s="1"/>
  <c r="Y19" i="7"/>
  <c r="Y37" i="7"/>
  <c r="Y58" i="7"/>
  <c r="N56" i="7"/>
  <c r="N57" i="7" s="1"/>
  <c r="N60" i="7" s="1"/>
  <c r="M56" i="7"/>
  <c r="M57" i="7" s="1"/>
  <c r="M60" i="7" s="1"/>
  <c r="Y45" i="7"/>
  <c r="Y17" i="7"/>
  <c r="Y20" i="7"/>
  <c r="G56" i="7"/>
  <c r="G57" i="7" s="1"/>
  <c r="G60" i="7" s="1"/>
  <c r="Y29" i="7"/>
  <c r="Y34" i="7"/>
  <c r="Y48" i="7"/>
  <c r="Y30" i="7"/>
  <c r="Y41" i="7"/>
  <c r="W44" i="7"/>
  <c r="Y44" i="7" s="1"/>
  <c r="Y52" i="7"/>
  <c r="Y28" i="7"/>
  <c r="Y36" i="7"/>
  <c r="Y47" i="7"/>
  <c r="W33" i="7"/>
  <c r="Y33" i="7" s="1"/>
  <c r="X55" i="7"/>
  <c r="F56" i="7"/>
  <c r="F57" i="7" s="1"/>
  <c r="F60" i="7" s="1"/>
  <c r="L56" i="7"/>
  <c r="L57" i="7" s="1"/>
  <c r="L60" i="7" s="1"/>
  <c r="R56" i="7"/>
  <c r="R57" i="7" s="1"/>
  <c r="R60" i="7" s="1"/>
  <c r="Y23" i="7"/>
  <c r="Y32" i="7"/>
  <c r="Y40" i="7"/>
  <c r="Y43" i="7"/>
  <c r="Y51" i="7"/>
  <c r="Y54" i="7"/>
  <c r="T56" i="7"/>
  <c r="T57" i="7" s="1"/>
  <c r="T60" i="7" s="1"/>
  <c r="X29" i="7"/>
  <c r="X15" i="7"/>
  <c r="W15" i="7"/>
  <c r="Y18" i="7"/>
  <c r="Y21" i="7"/>
  <c r="Y26" i="7"/>
  <c r="Y35" i="7"/>
  <c r="Y38" i="7"/>
  <c r="Y46" i="7"/>
  <c r="Y59" i="7"/>
  <c r="H56" i="7"/>
  <c r="H57" i="7" s="1"/>
  <c r="H60" i="7" s="1"/>
  <c r="D56" i="7"/>
  <c r="D57" i="7" s="1"/>
  <c r="D60" i="7" s="1"/>
  <c r="J56" i="7"/>
  <c r="J57" i="7" s="1"/>
  <c r="J60" i="7" s="1"/>
  <c r="P56" i="7"/>
  <c r="P57" i="7" s="1"/>
  <c r="P60" i="7" s="1"/>
  <c r="V56" i="7"/>
  <c r="V57" i="7" s="1"/>
  <c r="V60" i="7" s="1"/>
  <c r="X22" i="7"/>
  <c r="X39" i="7"/>
  <c r="E56" i="7"/>
  <c r="E57" i="7" s="1"/>
  <c r="E60" i="7" s="1"/>
  <c r="K56" i="7"/>
  <c r="K57" i="7" s="1"/>
  <c r="K60" i="7" s="1"/>
  <c r="Q56" i="7"/>
  <c r="Q57" i="7" s="1"/>
  <c r="Q60" i="7" s="1"/>
  <c r="X16" i="7"/>
  <c r="W25" i="7"/>
  <c r="Y25" i="7" s="1"/>
  <c r="Y31" i="7"/>
  <c r="Y42" i="7"/>
  <c r="Y50" i="7"/>
  <c r="Y53" i="7"/>
  <c r="D56" i="8"/>
  <c r="D57" i="8" s="1"/>
  <c r="D60" i="8" s="1"/>
  <c r="K27" i="8"/>
  <c r="H56" i="8"/>
  <c r="H57" i="8" s="1"/>
  <c r="H60" i="8" s="1"/>
  <c r="J49" i="8"/>
  <c r="L49" i="8" s="1"/>
  <c r="J29" i="8"/>
  <c r="L29" i="8" s="1"/>
  <c r="J25" i="8"/>
  <c r="L25" i="8" s="1"/>
  <c r="J27" i="8"/>
  <c r="L27" i="8" s="1"/>
  <c r="J33" i="8"/>
  <c r="L33" i="8" s="1"/>
  <c r="J55" i="8"/>
  <c r="L55" i="8" s="1"/>
  <c r="J16" i="8"/>
  <c r="L13" i="8"/>
  <c r="I56" i="7"/>
  <c r="I57" i="7" s="1"/>
  <c r="I60" i="7" s="1"/>
  <c r="O56" i="7"/>
  <c r="O57" i="7" s="1"/>
  <c r="O60" i="7" s="1"/>
  <c r="U56" i="7"/>
  <c r="U57" i="7" s="1"/>
  <c r="U60" i="7" s="1"/>
  <c r="W16" i="7"/>
  <c r="X33" i="7"/>
  <c r="W22" i="7"/>
  <c r="Y22" i="7" s="1"/>
  <c r="C27" i="7"/>
  <c r="W39" i="7"/>
  <c r="Y39" i="7" s="1"/>
  <c r="X25" i="7"/>
  <c r="X44" i="7"/>
  <c r="X49" i="7"/>
  <c r="W49" i="7"/>
  <c r="Y49" i="7" s="1"/>
  <c r="W55" i="7"/>
  <c r="Y55" i="7" s="1"/>
  <c r="Y13" i="7"/>
  <c r="J15" i="4"/>
  <c r="J16" i="4"/>
  <c r="J22" i="4"/>
  <c r="J25" i="4"/>
  <c r="J27" i="4"/>
  <c r="J29" i="4"/>
  <c r="J33" i="4"/>
  <c r="J39" i="4"/>
  <c r="J44" i="4"/>
  <c r="J49" i="4"/>
  <c r="J55" i="4"/>
  <c r="H15" i="4"/>
  <c r="H16" i="4"/>
  <c r="H22" i="4"/>
  <c r="H25" i="4"/>
  <c r="H27" i="4"/>
  <c r="H29" i="4"/>
  <c r="H33" i="4"/>
  <c r="H39" i="4"/>
  <c r="H44" i="4"/>
  <c r="H49" i="4"/>
  <c r="H55" i="4"/>
  <c r="I15" i="4"/>
  <c r="I16" i="4"/>
  <c r="I22" i="4"/>
  <c r="I25" i="4"/>
  <c r="I27" i="4"/>
  <c r="I29" i="4"/>
  <c r="I33" i="4"/>
  <c r="I39" i="4"/>
  <c r="I44" i="4"/>
  <c r="I49" i="4"/>
  <c r="I55" i="4"/>
  <c r="K29" i="4"/>
  <c r="H56" i="4" l="1"/>
  <c r="H57" i="4" s="1"/>
  <c r="H60" i="4" s="1"/>
  <c r="J56" i="4"/>
  <c r="J57" i="4" s="1"/>
  <c r="J60" i="4" s="1"/>
  <c r="K56" i="8"/>
  <c r="J56" i="8"/>
  <c r="L56" i="8" s="1"/>
  <c r="W27" i="7"/>
  <c r="Y27" i="7" s="1"/>
  <c r="X27" i="7"/>
  <c r="C56" i="7"/>
  <c r="I56" i="4"/>
  <c r="I57" i="4" s="1"/>
  <c r="I60" i="4" s="1"/>
  <c r="K15" i="4"/>
  <c r="E59" i="5"/>
  <c r="D59" i="5"/>
  <c r="E58" i="5"/>
  <c r="D58" i="5"/>
  <c r="C55" i="5"/>
  <c r="E55" i="5" s="1"/>
  <c r="E54" i="5"/>
  <c r="D54" i="5"/>
  <c r="E53" i="5"/>
  <c r="D53" i="5"/>
  <c r="E52" i="5"/>
  <c r="D52" i="5"/>
  <c r="E51" i="5"/>
  <c r="D51" i="5"/>
  <c r="E50" i="5"/>
  <c r="D50" i="5"/>
  <c r="C49" i="5"/>
  <c r="E48" i="5"/>
  <c r="D48" i="5"/>
  <c r="E47" i="5"/>
  <c r="D47" i="5"/>
  <c r="E46" i="5"/>
  <c r="D46" i="5"/>
  <c r="E45" i="5"/>
  <c r="D45" i="5"/>
  <c r="C44" i="5"/>
  <c r="E43" i="5"/>
  <c r="D43" i="5"/>
  <c r="E42" i="5"/>
  <c r="D42" i="5"/>
  <c r="E41" i="5"/>
  <c r="D41" i="5"/>
  <c r="E40" i="5"/>
  <c r="D40" i="5"/>
  <c r="C39" i="5"/>
  <c r="E38" i="5"/>
  <c r="D38" i="5"/>
  <c r="E37" i="5"/>
  <c r="D37" i="5"/>
  <c r="E36" i="5"/>
  <c r="D36" i="5"/>
  <c r="E35" i="5"/>
  <c r="D35" i="5"/>
  <c r="E34" i="5"/>
  <c r="D34" i="5"/>
  <c r="C33" i="5"/>
  <c r="E32" i="5"/>
  <c r="D32" i="5"/>
  <c r="E31" i="5"/>
  <c r="D31" i="5"/>
  <c r="E30" i="5"/>
  <c r="D30" i="5"/>
  <c r="C29" i="5"/>
  <c r="E29" i="5" s="1"/>
  <c r="E28" i="5"/>
  <c r="D28" i="5"/>
  <c r="E26" i="5"/>
  <c r="D26" i="5"/>
  <c r="C25" i="5"/>
  <c r="C27" i="5" s="1"/>
  <c r="E24" i="5"/>
  <c r="D24" i="5"/>
  <c r="E23" i="5"/>
  <c r="D23" i="5"/>
  <c r="C22" i="5"/>
  <c r="E21" i="5"/>
  <c r="D21" i="5"/>
  <c r="E20" i="5"/>
  <c r="D20" i="5"/>
  <c r="E19" i="5"/>
  <c r="D19" i="5"/>
  <c r="E18" i="5"/>
  <c r="D18" i="5"/>
  <c r="E17" i="5"/>
  <c r="D17" i="5"/>
  <c r="C16" i="5"/>
  <c r="E16" i="5" s="1"/>
  <c r="C15" i="5"/>
  <c r="E15" i="5" s="1"/>
  <c r="E14" i="5"/>
  <c r="D14" i="5"/>
  <c r="E13" i="5"/>
  <c r="D13" i="5"/>
  <c r="E12" i="5"/>
  <c r="D12" i="5"/>
  <c r="E11" i="5"/>
  <c r="D11" i="5"/>
  <c r="D9" i="5"/>
  <c r="L59" i="4"/>
  <c r="L58" i="4"/>
  <c r="G55" i="4"/>
  <c r="F55" i="4"/>
  <c r="E55" i="4"/>
  <c r="D55" i="4"/>
  <c r="C55" i="4"/>
  <c r="K55" i="4" s="1"/>
  <c r="L54" i="4"/>
  <c r="L53" i="4"/>
  <c r="M53" i="4"/>
  <c r="L52" i="4"/>
  <c r="L51" i="4"/>
  <c r="L50" i="4"/>
  <c r="G49" i="4"/>
  <c r="F49" i="4"/>
  <c r="E49" i="4"/>
  <c r="D49" i="4"/>
  <c r="C49" i="4"/>
  <c r="K49" i="4" s="1"/>
  <c r="L48" i="4"/>
  <c r="L47" i="4"/>
  <c r="M46" i="4"/>
  <c r="L46" i="4"/>
  <c r="L45" i="4"/>
  <c r="G44" i="4"/>
  <c r="F44" i="4"/>
  <c r="E44" i="4"/>
  <c r="D44" i="4"/>
  <c r="C44" i="4"/>
  <c r="K44" i="4" s="1"/>
  <c r="L43" i="4"/>
  <c r="L42" i="4"/>
  <c r="L41" i="4"/>
  <c r="L40" i="4"/>
  <c r="G39" i="4"/>
  <c r="F39" i="4"/>
  <c r="E39" i="4"/>
  <c r="D39" i="4"/>
  <c r="C39" i="4"/>
  <c r="K39" i="4" s="1"/>
  <c r="L38" i="4"/>
  <c r="L37" i="4"/>
  <c r="M37" i="4"/>
  <c r="L36" i="4"/>
  <c r="L35" i="4"/>
  <c r="M34" i="4"/>
  <c r="L34" i="4"/>
  <c r="G33" i="4"/>
  <c r="F33" i="4"/>
  <c r="E33" i="4"/>
  <c r="D33" i="4"/>
  <c r="C33" i="4"/>
  <c r="K33" i="4" s="1"/>
  <c r="L32" i="4"/>
  <c r="L31" i="4"/>
  <c r="L30" i="4"/>
  <c r="G29" i="4"/>
  <c r="F29" i="4"/>
  <c r="E29" i="4"/>
  <c r="D29" i="4"/>
  <c r="C29" i="4"/>
  <c r="L28" i="4"/>
  <c r="L26" i="4"/>
  <c r="G25" i="4"/>
  <c r="G27" i="4" s="1"/>
  <c r="F25" i="4"/>
  <c r="F27" i="4" s="1"/>
  <c r="E25" i="4"/>
  <c r="E27" i="4" s="1"/>
  <c r="D25" i="4"/>
  <c r="D27" i="4" s="1"/>
  <c r="C25" i="4"/>
  <c r="K25" i="4" s="1"/>
  <c r="L24" i="4"/>
  <c r="M24" i="4"/>
  <c r="L23" i="4"/>
  <c r="G22" i="4"/>
  <c r="F22" i="4"/>
  <c r="E22" i="4"/>
  <c r="D22" i="4"/>
  <c r="C22" i="4"/>
  <c r="K22" i="4" s="1"/>
  <c r="L21" i="4"/>
  <c r="M21" i="4"/>
  <c r="L20" i="4"/>
  <c r="L19" i="4"/>
  <c r="L18" i="4"/>
  <c r="M18" i="4"/>
  <c r="L17" i="4"/>
  <c r="G16" i="4"/>
  <c r="F16" i="4"/>
  <c r="E16" i="4"/>
  <c r="D16" i="4"/>
  <c r="C16" i="4"/>
  <c r="K16" i="4" s="1"/>
  <c r="G15" i="4"/>
  <c r="F15" i="4"/>
  <c r="E15" i="4"/>
  <c r="D15" i="4"/>
  <c r="C15" i="4"/>
  <c r="L14" i="4"/>
  <c r="L13" i="4"/>
  <c r="M51" i="4"/>
  <c r="L12" i="4"/>
  <c r="L11" i="4"/>
  <c r="AE59" i="3"/>
  <c r="AD59" i="3"/>
  <c r="AE58" i="3"/>
  <c r="AD58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E54" i="3"/>
  <c r="AD54" i="3"/>
  <c r="AE53" i="3"/>
  <c r="AD53" i="3"/>
  <c r="AE52" i="3"/>
  <c r="AD52" i="3"/>
  <c r="AE51" i="3"/>
  <c r="AD51" i="3"/>
  <c r="AE50" i="3"/>
  <c r="AD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E48" i="3"/>
  <c r="AD48" i="3"/>
  <c r="AE47" i="3"/>
  <c r="AD47" i="3"/>
  <c r="AE46" i="3"/>
  <c r="AD46" i="3"/>
  <c r="AE45" i="3"/>
  <c r="AD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E43" i="3"/>
  <c r="AD43" i="3"/>
  <c r="AE42" i="3"/>
  <c r="AD42" i="3"/>
  <c r="AE41" i="3"/>
  <c r="AD41" i="3"/>
  <c r="AE40" i="3"/>
  <c r="AD40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E38" i="3"/>
  <c r="AD38" i="3"/>
  <c r="AE37" i="3"/>
  <c r="AD37" i="3"/>
  <c r="AE36" i="3"/>
  <c r="AD36" i="3"/>
  <c r="AE35" i="3"/>
  <c r="AD35" i="3"/>
  <c r="AE34" i="3"/>
  <c r="AD34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E32" i="3"/>
  <c r="AD32" i="3"/>
  <c r="AE31" i="3"/>
  <c r="AD31" i="3"/>
  <c r="AE30" i="3"/>
  <c r="AD30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E28" i="3"/>
  <c r="AD28" i="3"/>
  <c r="AE26" i="3"/>
  <c r="AD26" i="3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E24" i="3"/>
  <c r="AD24" i="3"/>
  <c r="AE23" i="3"/>
  <c r="AD23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D22" i="3" s="1"/>
  <c r="AE21" i="3"/>
  <c r="AD21" i="3"/>
  <c r="AE20" i="3"/>
  <c r="AD20" i="3"/>
  <c r="AE19" i="3"/>
  <c r="AD19" i="3"/>
  <c r="AE18" i="3"/>
  <c r="AD18" i="3"/>
  <c r="AE17" i="3"/>
  <c r="AD17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E14" i="3"/>
  <c r="AD14" i="3"/>
  <c r="AE13" i="3"/>
  <c r="AD13" i="3"/>
  <c r="AE12" i="3"/>
  <c r="AD12" i="3"/>
  <c r="AE11" i="3"/>
  <c r="AD11" i="3"/>
  <c r="AD29" i="3" s="1"/>
  <c r="AD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M58" i="2"/>
  <c r="N58" i="2"/>
  <c r="J55" i="2"/>
  <c r="I55" i="2"/>
  <c r="H55" i="2"/>
  <c r="G55" i="2"/>
  <c r="F55" i="2"/>
  <c r="E55" i="2"/>
  <c r="D55" i="2"/>
  <c r="C55" i="2"/>
  <c r="L55" i="2" s="1"/>
  <c r="M54" i="2"/>
  <c r="M53" i="2"/>
  <c r="M52" i="2"/>
  <c r="M51" i="2"/>
  <c r="M50" i="2"/>
  <c r="J49" i="2"/>
  <c r="I49" i="2"/>
  <c r="H49" i="2"/>
  <c r="G49" i="2"/>
  <c r="F49" i="2"/>
  <c r="E49" i="2"/>
  <c r="D49" i="2"/>
  <c r="C49" i="2"/>
  <c r="L49" i="2" s="1"/>
  <c r="M48" i="2"/>
  <c r="M47" i="2"/>
  <c r="M46" i="2"/>
  <c r="M45" i="2"/>
  <c r="J44" i="2"/>
  <c r="I44" i="2"/>
  <c r="H44" i="2"/>
  <c r="G44" i="2"/>
  <c r="F44" i="2"/>
  <c r="E44" i="2"/>
  <c r="D44" i="2"/>
  <c r="C44" i="2"/>
  <c r="L44" i="2" s="1"/>
  <c r="M43" i="2"/>
  <c r="M42" i="2"/>
  <c r="M41" i="2"/>
  <c r="M40" i="2"/>
  <c r="J39" i="2"/>
  <c r="I39" i="2"/>
  <c r="H39" i="2"/>
  <c r="G39" i="2"/>
  <c r="F39" i="2"/>
  <c r="E39" i="2"/>
  <c r="D39" i="2"/>
  <c r="C39" i="2"/>
  <c r="L39" i="2" s="1"/>
  <c r="M38" i="2"/>
  <c r="M37" i="2"/>
  <c r="M36" i="2"/>
  <c r="M35" i="2"/>
  <c r="M34" i="2"/>
  <c r="J33" i="2"/>
  <c r="I33" i="2"/>
  <c r="H33" i="2"/>
  <c r="G33" i="2"/>
  <c r="F33" i="2"/>
  <c r="E33" i="2"/>
  <c r="D33" i="2"/>
  <c r="C33" i="2"/>
  <c r="L33" i="2" s="1"/>
  <c r="M32" i="2"/>
  <c r="M31" i="2"/>
  <c r="M30" i="2"/>
  <c r="J29" i="2"/>
  <c r="I29" i="2"/>
  <c r="H29" i="2"/>
  <c r="G29" i="2"/>
  <c r="F29" i="2"/>
  <c r="E29" i="2"/>
  <c r="D29" i="2"/>
  <c r="M29" i="2" s="1"/>
  <c r="C29" i="2"/>
  <c r="M28" i="2"/>
  <c r="M26" i="2"/>
  <c r="J25" i="2"/>
  <c r="J27" i="2" s="1"/>
  <c r="I25" i="2"/>
  <c r="I27" i="2" s="1"/>
  <c r="H25" i="2"/>
  <c r="H27" i="2" s="1"/>
  <c r="G25" i="2"/>
  <c r="G27" i="2" s="1"/>
  <c r="F25" i="2"/>
  <c r="F27" i="2" s="1"/>
  <c r="E25" i="2"/>
  <c r="E27" i="2" s="1"/>
  <c r="D25" i="2"/>
  <c r="D27" i="2" s="1"/>
  <c r="C25" i="2"/>
  <c r="M24" i="2"/>
  <c r="M23" i="2"/>
  <c r="J22" i="2"/>
  <c r="I22" i="2"/>
  <c r="H22" i="2"/>
  <c r="G22" i="2"/>
  <c r="F22" i="2"/>
  <c r="E22" i="2"/>
  <c r="D22" i="2"/>
  <c r="C22" i="2"/>
  <c r="L22" i="2" s="1"/>
  <c r="M21" i="2"/>
  <c r="M20" i="2"/>
  <c r="M19" i="2"/>
  <c r="M18" i="2"/>
  <c r="M17" i="2"/>
  <c r="J16" i="2"/>
  <c r="I16" i="2"/>
  <c r="H16" i="2"/>
  <c r="G16" i="2"/>
  <c r="F16" i="2"/>
  <c r="E16" i="2"/>
  <c r="D16" i="2"/>
  <c r="M16" i="2" s="1"/>
  <c r="C16" i="2"/>
  <c r="L16" i="2" s="1"/>
  <c r="J15" i="2"/>
  <c r="I15" i="2"/>
  <c r="H15" i="2"/>
  <c r="G15" i="2"/>
  <c r="F15" i="2"/>
  <c r="E15" i="2"/>
  <c r="D15" i="2"/>
  <c r="M15" i="2" s="1"/>
  <c r="C15" i="2"/>
  <c r="M14" i="2"/>
  <c r="M13" i="2"/>
  <c r="M12" i="2"/>
  <c r="M11" i="2"/>
  <c r="L2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V52" i="1"/>
  <c r="AU52" i="1"/>
  <c r="AV51" i="1"/>
  <c r="AU51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V48" i="1"/>
  <c r="AU48" i="1"/>
  <c r="AV47" i="1"/>
  <c r="AU47" i="1"/>
  <c r="AV46" i="1"/>
  <c r="AU46" i="1"/>
  <c r="AV45" i="1"/>
  <c r="AU45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V42" i="1"/>
  <c r="AU42" i="1"/>
  <c r="AV41" i="1"/>
  <c r="AU41" i="1"/>
  <c r="AV40" i="1"/>
  <c r="AU40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V38" i="1"/>
  <c r="AU38" i="1"/>
  <c r="AV37" i="1"/>
  <c r="AU37" i="1"/>
  <c r="AV36" i="1"/>
  <c r="AU36" i="1"/>
  <c r="AV35" i="1"/>
  <c r="AU35" i="1"/>
  <c r="AV34" i="1"/>
  <c r="AU34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U33" i="1" s="1"/>
  <c r="AV32" i="1"/>
  <c r="AU32" i="1"/>
  <c r="AV31" i="1"/>
  <c r="AU31" i="1"/>
  <c r="AV30" i="1"/>
  <c r="AU30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V29" i="1" s="1"/>
  <c r="C29" i="1"/>
  <c r="AV28" i="1"/>
  <c r="AU28" i="1"/>
  <c r="AV26" i="1"/>
  <c r="AU26" i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V24" i="1"/>
  <c r="AU24" i="1"/>
  <c r="AV23" i="1"/>
  <c r="AU23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V21" i="1"/>
  <c r="AU21" i="1"/>
  <c r="AV20" i="1"/>
  <c r="AU20" i="1"/>
  <c r="AV19" i="1"/>
  <c r="AU19" i="1"/>
  <c r="AV18" i="1"/>
  <c r="AU18" i="1"/>
  <c r="AV17" i="1"/>
  <c r="AU17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V16" i="1" s="1"/>
  <c r="C16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V15" i="1" s="1"/>
  <c r="C15" i="1"/>
  <c r="AV14" i="1"/>
  <c r="AU14" i="1"/>
  <c r="AV13" i="1"/>
  <c r="AU13" i="1"/>
  <c r="AV12" i="1"/>
  <c r="AU12" i="1"/>
  <c r="AV11" i="1"/>
  <c r="AU11" i="1"/>
  <c r="AU9" i="1"/>
  <c r="C27" i="2" l="1"/>
  <c r="L27" i="2" s="1"/>
  <c r="L25" i="2"/>
  <c r="AD16" i="3"/>
  <c r="AF22" i="3"/>
  <c r="AF23" i="3"/>
  <c r="H56" i="3"/>
  <c r="H57" i="3" s="1"/>
  <c r="H60" i="3" s="1"/>
  <c r="M56" i="3"/>
  <c r="M57" i="3" s="1"/>
  <c r="M60" i="3" s="1"/>
  <c r="N56" i="3"/>
  <c r="N57" i="3" s="1"/>
  <c r="N60" i="3" s="1"/>
  <c r="T56" i="3"/>
  <c r="T57" i="3" s="1"/>
  <c r="T60" i="3" s="1"/>
  <c r="Z56" i="3"/>
  <c r="Z57" i="3" s="1"/>
  <c r="Z60" i="3" s="1"/>
  <c r="AF32" i="3"/>
  <c r="AF40" i="3"/>
  <c r="AE44" i="3"/>
  <c r="AE55" i="3"/>
  <c r="AV33" i="1"/>
  <c r="AU22" i="1"/>
  <c r="AW22" i="1" s="1"/>
  <c r="AU39" i="1"/>
  <c r="AV22" i="1"/>
  <c r="AV39" i="1"/>
  <c r="K57" i="8"/>
  <c r="J57" i="8"/>
  <c r="L57" i="8" s="1"/>
  <c r="X56" i="7"/>
  <c r="W56" i="7"/>
  <c r="Y56" i="7" s="1"/>
  <c r="C57" i="7"/>
  <c r="E56" i="2"/>
  <c r="E57" i="2" s="1"/>
  <c r="E60" i="2" s="1"/>
  <c r="N51" i="2"/>
  <c r="N21" i="2"/>
  <c r="N31" i="2"/>
  <c r="N33" i="2"/>
  <c r="N34" i="2"/>
  <c r="L15" i="2"/>
  <c r="E22" i="5"/>
  <c r="E33" i="5"/>
  <c r="F43" i="5"/>
  <c r="E49" i="5"/>
  <c r="E44" i="5"/>
  <c r="D29" i="5"/>
  <c r="F29" i="5" s="1"/>
  <c r="F21" i="5"/>
  <c r="M22" i="4"/>
  <c r="M44" i="4"/>
  <c r="M49" i="4"/>
  <c r="M39" i="4"/>
  <c r="M55" i="4"/>
  <c r="M25" i="4"/>
  <c r="F24" i="5"/>
  <c r="F17" i="5"/>
  <c r="F51" i="5"/>
  <c r="F54" i="5"/>
  <c r="F32" i="5"/>
  <c r="F46" i="5"/>
  <c r="F50" i="5"/>
  <c r="F23" i="5"/>
  <c r="D55" i="5"/>
  <c r="F55" i="5" s="1"/>
  <c r="F36" i="5"/>
  <c r="E39" i="5"/>
  <c r="F19" i="5"/>
  <c r="F26" i="5"/>
  <c r="F41" i="5"/>
  <c r="C27" i="4"/>
  <c r="F20" i="5"/>
  <c r="E25" i="5"/>
  <c r="F47" i="5"/>
  <c r="F58" i="5"/>
  <c r="F34" i="5"/>
  <c r="F13" i="5"/>
  <c r="F18" i="5"/>
  <c r="L49" i="4"/>
  <c r="C56" i="5"/>
  <c r="C57" i="5" s="1"/>
  <c r="C60" i="5" s="1"/>
  <c r="F28" i="5"/>
  <c r="F30" i="5"/>
  <c r="F37" i="5"/>
  <c r="F45" i="5"/>
  <c r="F48" i="5"/>
  <c r="F52" i="5"/>
  <c r="F59" i="5"/>
  <c r="F31" i="5"/>
  <c r="F35" i="5"/>
  <c r="F38" i="5"/>
  <c r="F53" i="5"/>
  <c r="D33" i="5"/>
  <c r="F33" i="5" s="1"/>
  <c r="D16" i="5"/>
  <c r="F40" i="5"/>
  <c r="F42" i="5"/>
  <c r="L15" i="4"/>
  <c r="L29" i="4"/>
  <c r="L39" i="4"/>
  <c r="L44" i="4"/>
  <c r="M48" i="4"/>
  <c r="L22" i="4"/>
  <c r="M26" i="4"/>
  <c r="M33" i="4"/>
  <c r="M36" i="4"/>
  <c r="L16" i="4"/>
  <c r="M17" i="4"/>
  <c r="M43" i="4"/>
  <c r="L55" i="4"/>
  <c r="E56" i="4"/>
  <c r="E57" i="4" s="1"/>
  <c r="E60" i="4" s="1"/>
  <c r="M19" i="4"/>
  <c r="G56" i="4"/>
  <c r="G57" i="4" s="1"/>
  <c r="G60" i="4" s="1"/>
  <c r="M23" i="4"/>
  <c r="L25" i="4"/>
  <c r="M29" i="4"/>
  <c r="M31" i="4"/>
  <c r="M35" i="4"/>
  <c r="M47" i="4"/>
  <c r="M58" i="4"/>
  <c r="M20" i="4"/>
  <c r="M32" i="4"/>
  <c r="M45" i="4"/>
  <c r="M59" i="4"/>
  <c r="F56" i="4"/>
  <c r="F57" i="4" s="1"/>
  <c r="F60" i="4" s="1"/>
  <c r="M28" i="4"/>
  <c r="M30" i="4"/>
  <c r="M41" i="4"/>
  <c r="M54" i="4"/>
  <c r="L33" i="4"/>
  <c r="M52" i="4"/>
  <c r="M38" i="4"/>
  <c r="M42" i="4"/>
  <c r="M40" i="4"/>
  <c r="M50" i="4"/>
  <c r="AF51" i="3"/>
  <c r="AF54" i="3"/>
  <c r="AF35" i="3"/>
  <c r="AE39" i="3"/>
  <c r="AF59" i="3"/>
  <c r="AF30" i="3"/>
  <c r="AE33" i="3"/>
  <c r="AF52" i="3"/>
  <c r="AE15" i="3"/>
  <c r="AF47" i="3"/>
  <c r="AF26" i="3"/>
  <c r="AF50" i="3"/>
  <c r="AF53" i="3"/>
  <c r="AF42" i="3"/>
  <c r="AE16" i="3"/>
  <c r="G56" i="3"/>
  <c r="G57" i="3" s="1"/>
  <c r="G60" i="3" s="1"/>
  <c r="Y56" i="3"/>
  <c r="Y57" i="3" s="1"/>
  <c r="Y60" i="3" s="1"/>
  <c r="AE29" i="3"/>
  <c r="AF37" i="3"/>
  <c r="AF45" i="3"/>
  <c r="AE49" i="3"/>
  <c r="AF58" i="3"/>
  <c r="AF46" i="3"/>
  <c r="AD55" i="3"/>
  <c r="AF55" i="3" s="1"/>
  <c r="AF34" i="3"/>
  <c r="AF29" i="3"/>
  <c r="AF17" i="3"/>
  <c r="AF24" i="3"/>
  <c r="AF21" i="3"/>
  <c r="AF19" i="3"/>
  <c r="S56" i="3"/>
  <c r="S57" i="3" s="1"/>
  <c r="S60" i="3" s="1"/>
  <c r="C56" i="3"/>
  <c r="C57" i="3" s="1"/>
  <c r="C60" i="3" s="1"/>
  <c r="I56" i="3"/>
  <c r="I57" i="3" s="1"/>
  <c r="I60" i="3" s="1"/>
  <c r="O56" i="3"/>
  <c r="O57" i="3" s="1"/>
  <c r="O60" i="3" s="1"/>
  <c r="U56" i="3"/>
  <c r="U57" i="3" s="1"/>
  <c r="U60" i="3" s="1"/>
  <c r="AA56" i="3"/>
  <c r="AA57" i="3" s="1"/>
  <c r="AA60" i="3" s="1"/>
  <c r="AF28" i="3"/>
  <c r="AD33" i="3"/>
  <c r="AF33" i="3" s="1"/>
  <c r="AF20" i="3"/>
  <c r="AF36" i="3"/>
  <c r="AF41" i="3"/>
  <c r="AF18" i="3"/>
  <c r="AF13" i="3"/>
  <c r="AE22" i="3"/>
  <c r="AE25" i="3"/>
  <c r="AF31" i="3"/>
  <c r="AF38" i="3"/>
  <c r="AF43" i="3"/>
  <c r="AF48" i="3"/>
  <c r="F56" i="3"/>
  <c r="F57" i="3" s="1"/>
  <c r="F60" i="3" s="1"/>
  <c r="L56" i="3"/>
  <c r="L57" i="3" s="1"/>
  <c r="L60" i="3" s="1"/>
  <c r="R56" i="3"/>
  <c r="R57" i="3" s="1"/>
  <c r="R60" i="3" s="1"/>
  <c r="X56" i="3"/>
  <c r="X57" i="3" s="1"/>
  <c r="X60" i="3" s="1"/>
  <c r="N22" i="2"/>
  <c r="N24" i="2"/>
  <c r="N35" i="2"/>
  <c r="N50" i="2"/>
  <c r="N17" i="2"/>
  <c r="N20" i="2"/>
  <c r="M22" i="2"/>
  <c r="M55" i="2"/>
  <c r="N19" i="2"/>
  <c r="F56" i="2"/>
  <c r="F57" i="2" s="1"/>
  <c r="F60" i="2" s="1"/>
  <c r="N30" i="2"/>
  <c r="N40" i="2"/>
  <c r="N45" i="2"/>
  <c r="N18" i="2"/>
  <c r="N23" i="2"/>
  <c r="M33" i="2"/>
  <c r="G56" i="2"/>
  <c r="G57" i="2" s="1"/>
  <c r="G60" i="2" s="1"/>
  <c r="N55" i="2"/>
  <c r="N28" i="2"/>
  <c r="N38" i="2"/>
  <c r="N43" i="2"/>
  <c r="N48" i="2"/>
  <c r="N36" i="2"/>
  <c r="N39" i="2"/>
  <c r="N41" i="2"/>
  <c r="M44" i="2"/>
  <c r="N46" i="2"/>
  <c r="C56" i="2"/>
  <c r="I56" i="2"/>
  <c r="I57" i="2" s="1"/>
  <c r="I60" i="2" s="1"/>
  <c r="N54" i="2"/>
  <c r="N26" i="2"/>
  <c r="H56" i="2"/>
  <c r="H57" i="2" s="1"/>
  <c r="H60" i="2" s="1"/>
  <c r="N53" i="2"/>
  <c r="N29" i="2"/>
  <c r="N32" i="2"/>
  <c r="N37" i="2"/>
  <c r="M39" i="2"/>
  <c r="N42" i="2"/>
  <c r="N47" i="2"/>
  <c r="N52" i="2"/>
  <c r="N59" i="2"/>
  <c r="D27" i="5"/>
  <c r="F27" i="5" s="1"/>
  <c r="E27" i="5"/>
  <c r="D15" i="5"/>
  <c r="D22" i="5"/>
  <c r="F22" i="5" s="1"/>
  <c r="D25" i="5"/>
  <c r="F25" i="5" s="1"/>
  <c r="D39" i="5"/>
  <c r="F39" i="5" s="1"/>
  <c r="D44" i="5"/>
  <c r="F44" i="5" s="1"/>
  <c r="D49" i="5"/>
  <c r="F49" i="5" s="1"/>
  <c r="D56" i="4"/>
  <c r="D57" i="4" s="1"/>
  <c r="D60" i="4" s="1"/>
  <c r="M13" i="4"/>
  <c r="D56" i="3"/>
  <c r="D57" i="3" s="1"/>
  <c r="D60" i="3" s="1"/>
  <c r="J56" i="3"/>
  <c r="J57" i="3" s="1"/>
  <c r="J60" i="3" s="1"/>
  <c r="P56" i="3"/>
  <c r="P57" i="3" s="1"/>
  <c r="P60" i="3" s="1"/>
  <c r="V56" i="3"/>
  <c r="V57" i="3" s="1"/>
  <c r="V60" i="3" s="1"/>
  <c r="AB56" i="3"/>
  <c r="AB57" i="3" s="1"/>
  <c r="AB60" i="3" s="1"/>
  <c r="E56" i="3"/>
  <c r="E57" i="3" s="1"/>
  <c r="E60" i="3" s="1"/>
  <c r="K56" i="3"/>
  <c r="K57" i="3" s="1"/>
  <c r="K60" i="3" s="1"/>
  <c r="Q56" i="3"/>
  <c r="Q57" i="3" s="1"/>
  <c r="Q60" i="3" s="1"/>
  <c r="W56" i="3"/>
  <c r="W57" i="3" s="1"/>
  <c r="W60" i="3" s="1"/>
  <c r="AC56" i="3"/>
  <c r="AC57" i="3" s="1"/>
  <c r="AC60" i="3" s="1"/>
  <c r="AD27" i="3"/>
  <c r="AF27" i="3" s="1"/>
  <c r="AE27" i="3"/>
  <c r="AD15" i="3"/>
  <c r="AD25" i="3"/>
  <c r="AF25" i="3" s="1"/>
  <c r="AD39" i="3"/>
  <c r="AF39" i="3" s="1"/>
  <c r="AD44" i="3"/>
  <c r="AF44" i="3" s="1"/>
  <c r="AD49" i="3"/>
  <c r="AF49" i="3" s="1"/>
  <c r="J56" i="2"/>
  <c r="J57" i="2" s="1"/>
  <c r="J60" i="2" s="1"/>
  <c r="D56" i="2"/>
  <c r="N27" i="2"/>
  <c r="M27" i="2"/>
  <c r="N13" i="2"/>
  <c r="N25" i="2"/>
  <c r="N44" i="2"/>
  <c r="N49" i="2"/>
  <c r="M25" i="2"/>
  <c r="M49" i="2"/>
  <c r="N55" i="1"/>
  <c r="N56" i="1" s="1"/>
  <c r="N57" i="1" s="1"/>
  <c r="AF55" i="1"/>
  <c r="AF56" i="1" s="1"/>
  <c r="AF57" i="1" s="1"/>
  <c r="AV53" i="1"/>
  <c r="T55" i="1"/>
  <c r="T56" i="1" s="1"/>
  <c r="T57" i="1" s="1"/>
  <c r="AM55" i="1"/>
  <c r="AM56" i="1" s="1"/>
  <c r="AM57" i="1" s="1"/>
  <c r="Z55" i="1"/>
  <c r="Z56" i="1" s="1"/>
  <c r="Z57" i="1" s="1"/>
  <c r="O55" i="1"/>
  <c r="O56" i="1" s="1"/>
  <c r="O57" i="1" s="1"/>
  <c r="AG55" i="1"/>
  <c r="AG56" i="1" s="1"/>
  <c r="AG57" i="1" s="1"/>
  <c r="E55" i="1"/>
  <c r="E56" i="1" s="1"/>
  <c r="E57" i="1" s="1"/>
  <c r="K55" i="1"/>
  <c r="K56" i="1" s="1"/>
  <c r="K57" i="1" s="1"/>
  <c r="K60" i="1" s="1"/>
  <c r="W55" i="1"/>
  <c r="W56" i="1" s="1"/>
  <c r="W57" i="1" s="1"/>
  <c r="AC55" i="1"/>
  <c r="AC56" i="1" s="1"/>
  <c r="AC57" i="1" s="1"/>
  <c r="AO55" i="1"/>
  <c r="AO56" i="1" s="1"/>
  <c r="AO57" i="1" s="1"/>
  <c r="AO60" i="1" s="1"/>
  <c r="F55" i="1"/>
  <c r="F56" i="1" s="1"/>
  <c r="F57" i="1" s="1"/>
  <c r="F60" i="1" s="1"/>
  <c r="R55" i="1"/>
  <c r="R56" i="1" s="1"/>
  <c r="R57" i="1" s="1"/>
  <c r="R60" i="1" s="1"/>
  <c r="X55" i="1"/>
  <c r="X56" i="1" s="1"/>
  <c r="X57" i="1" s="1"/>
  <c r="AD55" i="1"/>
  <c r="AD56" i="1" s="1"/>
  <c r="AD57" i="1" s="1"/>
  <c r="AJ55" i="1"/>
  <c r="AJ56" i="1" s="1"/>
  <c r="AJ57" i="1" s="1"/>
  <c r="AP55" i="1"/>
  <c r="AP56" i="1" s="1"/>
  <c r="AP57" i="1" s="1"/>
  <c r="AP60" i="1" s="1"/>
  <c r="M55" i="1"/>
  <c r="M56" i="1" s="1"/>
  <c r="M57" i="1" s="1"/>
  <c r="S55" i="1"/>
  <c r="S56" i="1" s="1"/>
  <c r="S57" i="1" s="1"/>
  <c r="AK55" i="1"/>
  <c r="AK56" i="1" s="1"/>
  <c r="AK57" i="1" s="1"/>
  <c r="AQ55" i="1"/>
  <c r="AQ56" i="1" s="1"/>
  <c r="AQ57" i="1" s="1"/>
  <c r="J55" i="1"/>
  <c r="J56" i="1" s="1"/>
  <c r="J57" i="1" s="1"/>
  <c r="V55" i="1"/>
  <c r="V56" i="1" s="1"/>
  <c r="V57" i="1" s="1"/>
  <c r="V60" i="1" s="1"/>
  <c r="AB55" i="1"/>
  <c r="AB56" i="1" s="1"/>
  <c r="AB57" i="1" s="1"/>
  <c r="AT55" i="1"/>
  <c r="AT56" i="1" s="1"/>
  <c r="AT57" i="1" s="1"/>
  <c r="AU29" i="1"/>
  <c r="AW29" i="1" s="1"/>
  <c r="AU16" i="1"/>
  <c r="AU15" i="1"/>
  <c r="AW13" i="1"/>
  <c r="AW17" i="1"/>
  <c r="AW18" i="1"/>
  <c r="AW19" i="1"/>
  <c r="AW20" i="1"/>
  <c r="AW21" i="1"/>
  <c r="AW23" i="1"/>
  <c r="AW24" i="1"/>
  <c r="C27" i="1"/>
  <c r="AU25" i="1"/>
  <c r="AW25" i="1" s="1"/>
  <c r="D27" i="1"/>
  <c r="AV27" i="1" s="1"/>
  <c r="AV25" i="1"/>
  <c r="AW26" i="1"/>
  <c r="AW28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C44" i="1"/>
  <c r="AV43" i="1"/>
  <c r="AU43" i="1"/>
  <c r="AW43" i="1" s="1"/>
  <c r="AW45" i="1"/>
  <c r="AW46" i="1"/>
  <c r="AW47" i="1"/>
  <c r="AW48" i="1"/>
  <c r="AU49" i="1"/>
  <c r="AW49" i="1" s="1"/>
  <c r="AV49" i="1"/>
  <c r="C55" i="1"/>
  <c r="AW51" i="1"/>
  <c r="AW52" i="1"/>
  <c r="C57" i="2" l="1"/>
  <c r="L56" i="2"/>
  <c r="K27" i="4"/>
  <c r="M27" i="4" s="1"/>
  <c r="K60" i="8"/>
  <c r="J60" i="8"/>
  <c r="L60" i="8" s="1"/>
  <c r="X57" i="7"/>
  <c r="W57" i="7"/>
  <c r="Y57" i="7" s="1"/>
  <c r="C60" i="7"/>
  <c r="C56" i="4"/>
  <c r="L27" i="4"/>
  <c r="E60" i="5"/>
  <c r="E57" i="5"/>
  <c r="D56" i="5"/>
  <c r="F56" i="5" s="1"/>
  <c r="D57" i="5"/>
  <c r="F57" i="5" s="1"/>
  <c r="E56" i="5"/>
  <c r="AE60" i="3"/>
  <c r="AE57" i="3"/>
  <c r="AD56" i="3"/>
  <c r="AF56" i="3" s="1"/>
  <c r="AD57" i="3"/>
  <c r="AF57" i="3" s="1"/>
  <c r="AE56" i="3"/>
  <c r="C60" i="2"/>
  <c r="D57" i="2"/>
  <c r="M56" i="2"/>
  <c r="N56" i="2"/>
  <c r="W60" i="1"/>
  <c r="AV59" i="1"/>
  <c r="AT60" i="1"/>
  <c r="AG60" i="1"/>
  <c r="AU58" i="1"/>
  <c r="AW58" i="1" s="1"/>
  <c r="AQ60" i="1"/>
  <c r="AB60" i="1"/>
  <c r="AK60" i="1"/>
  <c r="AM60" i="1"/>
  <c r="AC60" i="1"/>
  <c r="AJ60" i="1"/>
  <c r="AD60" i="1"/>
  <c r="J60" i="1"/>
  <c r="AV58" i="1"/>
  <c r="AU59" i="1"/>
  <c r="AW59" i="1" s="1"/>
  <c r="AA55" i="1"/>
  <c r="AA56" i="1" s="1"/>
  <c r="AA57" i="1" s="1"/>
  <c r="AA60" i="1" s="1"/>
  <c r="AE55" i="1"/>
  <c r="AE56" i="1" s="1"/>
  <c r="AE57" i="1" s="1"/>
  <c r="AE60" i="1" s="1"/>
  <c r="I55" i="1"/>
  <c r="I56" i="1" s="1"/>
  <c r="I57" i="1" s="1"/>
  <c r="I60" i="1" s="1"/>
  <c r="Y55" i="1"/>
  <c r="Y56" i="1" s="1"/>
  <c r="Y57" i="1" s="1"/>
  <c r="Y60" i="1" s="1"/>
  <c r="AI55" i="1"/>
  <c r="AI56" i="1" s="1"/>
  <c r="AI57" i="1" s="1"/>
  <c r="AI60" i="1" s="1"/>
  <c r="AV54" i="1"/>
  <c r="AU54" i="1"/>
  <c r="AW54" i="1" s="1"/>
  <c r="H55" i="1"/>
  <c r="H56" i="1" s="1"/>
  <c r="H57" i="1" s="1"/>
  <c r="H60" i="1" s="1"/>
  <c r="AH55" i="1"/>
  <c r="AH56" i="1" s="1"/>
  <c r="AH57" i="1" s="1"/>
  <c r="AH60" i="1" s="1"/>
  <c r="G55" i="1"/>
  <c r="G56" i="1" s="1"/>
  <c r="G57" i="1" s="1"/>
  <c r="G60" i="1" s="1"/>
  <c r="L55" i="1"/>
  <c r="L56" i="1" s="1"/>
  <c r="L57" i="1" s="1"/>
  <c r="L60" i="1" s="1"/>
  <c r="Q55" i="1"/>
  <c r="Q56" i="1" s="1"/>
  <c r="Q57" i="1" s="1"/>
  <c r="Q60" i="1" s="1"/>
  <c r="AS55" i="1"/>
  <c r="AS56" i="1" s="1"/>
  <c r="AS57" i="1" s="1"/>
  <c r="AS60" i="1" s="1"/>
  <c r="AL55" i="1"/>
  <c r="AL56" i="1" s="1"/>
  <c r="AL57" i="1" s="1"/>
  <c r="AL60" i="1" s="1"/>
  <c r="U55" i="1"/>
  <c r="U56" i="1" s="1"/>
  <c r="U57" i="1" s="1"/>
  <c r="U60" i="1" s="1"/>
  <c r="P55" i="1"/>
  <c r="P56" i="1" s="1"/>
  <c r="P57" i="1" s="1"/>
  <c r="P60" i="1" s="1"/>
  <c r="AR55" i="1"/>
  <c r="AR56" i="1" s="1"/>
  <c r="AR57" i="1" s="1"/>
  <c r="AR60" i="1" s="1"/>
  <c r="AU53" i="1"/>
  <c r="AW53" i="1" s="1"/>
  <c r="AN55" i="1"/>
  <c r="AN56" i="1" s="1"/>
  <c r="AN57" i="1" s="1"/>
  <c r="AN60" i="1" s="1"/>
  <c r="D55" i="1"/>
  <c r="AU50" i="1"/>
  <c r="AW50" i="1" s="1"/>
  <c r="Z60" i="1"/>
  <c r="O60" i="1"/>
  <c r="E60" i="1"/>
  <c r="AF60" i="1"/>
  <c r="X60" i="1"/>
  <c r="N60" i="1"/>
  <c r="T60" i="1"/>
  <c r="S60" i="1"/>
  <c r="M60" i="1"/>
  <c r="AV50" i="1"/>
  <c r="C56" i="1"/>
  <c r="AV44" i="1"/>
  <c r="AU44" i="1"/>
  <c r="AW44" i="1" s="1"/>
  <c r="AU27" i="1"/>
  <c r="AW27" i="1" s="1"/>
  <c r="C57" i="4" l="1"/>
  <c r="K57" i="4" s="1"/>
  <c r="K56" i="4"/>
  <c r="M56" i="4" s="1"/>
  <c r="L57" i="2"/>
  <c r="X60" i="7"/>
  <c r="W60" i="7"/>
  <c r="Y60" i="7" s="1"/>
  <c r="L56" i="4"/>
  <c r="C60" i="4"/>
  <c r="K60" i="4" s="1"/>
  <c r="M57" i="4"/>
  <c r="L57" i="4"/>
  <c r="D60" i="5"/>
  <c r="F60" i="5" s="1"/>
  <c r="AD60" i="3"/>
  <c r="AF60" i="3" s="1"/>
  <c r="D60" i="2"/>
  <c r="M57" i="2"/>
  <c r="N57" i="2"/>
  <c r="AV55" i="1"/>
  <c r="AU55" i="1"/>
  <c r="AW55" i="1" s="1"/>
  <c r="D56" i="1"/>
  <c r="AU56" i="1" s="1"/>
  <c r="AW56" i="1" s="1"/>
  <c r="C57" i="1"/>
  <c r="M60" i="2" l="1"/>
  <c r="L60" i="2"/>
  <c r="M60" i="4"/>
  <c r="L60" i="4"/>
  <c r="N60" i="2"/>
  <c r="AV56" i="1"/>
  <c r="D57" i="1"/>
  <c r="AU57" i="1" s="1"/>
  <c r="AW57" i="1" s="1"/>
  <c r="C60" i="1"/>
  <c r="AV57" i="1" l="1"/>
  <c r="D60" i="1"/>
  <c r="AV60" i="1" s="1"/>
  <c r="AU60" i="1" l="1"/>
  <c r="AW60" i="1" s="1"/>
</calcChain>
</file>

<file path=xl/sharedStrings.xml><?xml version="1.0" encoding="utf-8"?>
<sst xmlns="http://schemas.openxmlformats.org/spreadsheetml/2006/main" count="1238" uniqueCount="231">
  <si>
    <t>全社</t>
    <rPh sb="0" eb="2">
      <t>ゼンシャ</t>
    </rPh>
    <phoneticPr fontId="3"/>
  </si>
  <si>
    <t>車番</t>
  </si>
  <si>
    <t>100</t>
  </si>
  <si>
    <t>1104</t>
  </si>
  <si>
    <t>1703</t>
  </si>
  <si>
    <t>3427</t>
  </si>
  <si>
    <t>2363</t>
  </si>
  <si>
    <t>3219</t>
  </si>
  <si>
    <t>3247</t>
  </si>
  <si>
    <t>3320</t>
  </si>
  <si>
    <t>1170</t>
  </si>
  <si>
    <t>00154</t>
  </si>
  <si>
    <t>01693</t>
  </si>
  <si>
    <t>11360</t>
  </si>
  <si>
    <t>19</t>
  </si>
  <si>
    <t>2401</t>
  </si>
  <si>
    <t>384-4247</t>
    <phoneticPr fontId="3"/>
  </si>
  <si>
    <t>643</t>
  </si>
  <si>
    <t>A3640</t>
  </si>
  <si>
    <t>A700</t>
  </si>
  <si>
    <t>A1116</t>
  </si>
  <si>
    <t>A1589</t>
  </si>
  <si>
    <t>A18</t>
  </si>
  <si>
    <t>A299</t>
  </si>
  <si>
    <t>530</t>
  </si>
  <si>
    <t>88888</t>
  </si>
  <si>
    <t>99999</t>
  </si>
  <si>
    <t>1447</t>
  </si>
  <si>
    <t>2402</t>
  </si>
  <si>
    <t>885</t>
  </si>
  <si>
    <t>5486</t>
  </si>
  <si>
    <t>C895</t>
  </si>
  <si>
    <t>6340</t>
  </si>
  <si>
    <t>A1246</t>
  </si>
  <si>
    <t>4055</t>
  </si>
  <si>
    <t>560</t>
  </si>
  <si>
    <t>827</t>
  </si>
  <si>
    <t>1825-6070</t>
    <phoneticPr fontId="3"/>
  </si>
  <si>
    <t>1862-5846</t>
    <phoneticPr fontId="3"/>
  </si>
  <si>
    <t>2491-7728</t>
    <phoneticPr fontId="3"/>
  </si>
  <si>
    <t>2919</t>
  </si>
  <si>
    <t>3148</t>
  </si>
  <si>
    <t>3677</t>
  </si>
  <si>
    <t>77777</t>
  </si>
  <si>
    <t>2602</t>
  </si>
  <si>
    <t>2637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</si>
  <si>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</si>
  <si>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</si>
  <si>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</si>
  <si>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</si>
  <si>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</si>
  <si>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</si>
  <si>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</si>
  <si>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</si>
  <si>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</si>
  <si>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</si>
  <si>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</si>
  <si>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</si>
  <si>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</si>
  <si>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</si>
  <si>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</si>
  <si>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</si>
  <si>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小幡</t>
    <rPh sb="0" eb="2">
      <t>コバタ</t>
    </rPh>
    <phoneticPr fontId="3"/>
  </si>
  <si>
    <t>雲藤　斎藤(健)</t>
    <rPh sb="0" eb="2">
      <t>ウンドウ</t>
    </rPh>
    <rPh sb="3" eb="5">
      <t>サイトウ</t>
    </rPh>
    <rPh sb="6" eb="7">
      <t>ケン</t>
    </rPh>
    <phoneticPr fontId="3"/>
  </si>
  <si>
    <t>味戸　他3名</t>
    <rPh sb="0" eb="2">
      <t>アジト</t>
    </rPh>
    <rPh sb="3" eb="4">
      <t>タ</t>
    </rPh>
    <rPh sb="5" eb="6">
      <t>メイ</t>
    </rPh>
    <phoneticPr fontId="3"/>
  </si>
  <si>
    <t>鈴木(富)</t>
    <rPh sb="0" eb="2">
      <t>スズキ</t>
    </rPh>
    <rPh sb="3" eb="4">
      <t>トミ</t>
    </rPh>
    <phoneticPr fontId="3"/>
  </si>
  <si>
    <t>山口　渡邊(浩)</t>
    <rPh sb="0" eb="2">
      <t>ヤマグチ</t>
    </rPh>
    <rPh sb="3" eb="5">
      <t>ワタナベ</t>
    </rPh>
    <rPh sb="6" eb="7">
      <t>ヒロ</t>
    </rPh>
    <phoneticPr fontId="3"/>
  </si>
  <si>
    <t>菊池　大平</t>
    <rPh sb="0" eb="2">
      <t>キクチ</t>
    </rPh>
    <rPh sb="3" eb="5">
      <t>オオヒラ</t>
    </rPh>
    <phoneticPr fontId="3"/>
  </si>
  <si>
    <t>荒木　小林</t>
    <rPh sb="0" eb="2">
      <t>アラキ</t>
    </rPh>
    <rPh sb="3" eb="5">
      <t>コバヤシ</t>
    </rPh>
    <phoneticPr fontId="3"/>
  </si>
  <si>
    <t>菊池　吉田</t>
    <rPh sb="0" eb="2">
      <t>キクチ</t>
    </rPh>
    <rPh sb="3" eb="5">
      <t>ヨシダ</t>
    </rPh>
    <phoneticPr fontId="3"/>
  </si>
  <si>
    <t>齋藤(健)　他3名</t>
    <rPh sb="0" eb="2">
      <t>サイトウ</t>
    </rPh>
    <rPh sb="3" eb="4">
      <t>ケン</t>
    </rPh>
    <rPh sb="6" eb="7">
      <t>ホカ</t>
    </rPh>
    <rPh sb="8" eb="9">
      <t>メイ</t>
    </rPh>
    <phoneticPr fontId="3"/>
  </si>
  <si>
    <t>大平　吉田</t>
    <rPh sb="0" eb="2">
      <t>オオヒラ</t>
    </rPh>
    <rPh sb="3" eb="5">
      <t>ヨシダ</t>
    </rPh>
    <phoneticPr fontId="3"/>
  </si>
  <si>
    <t>荒木　他2名</t>
    <rPh sb="0" eb="2">
      <t>アラキ</t>
    </rPh>
    <rPh sb="3" eb="4">
      <t>ホカ</t>
    </rPh>
    <rPh sb="5" eb="6">
      <t>メイ</t>
    </rPh>
    <phoneticPr fontId="3"/>
  </si>
  <si>
    <t>渡邉(進)　他3名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</si>
  <si>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鈴木(浩)　他3名</t>
    <rPh sb="0" eb="2">
      <t>スズキ</t>
    </rPh>
    <rPh sb="3" eb="4">
      <t>ヒロ</t>
    </rPh>
    <rPh sb="6" eb="7">
      <t>ホカ</t>
    </rPh>
    <rPh sb="8" eb="9">
      <t>メイ</t>
    </rPh>
    <phoneticPr fontId="3"/>
  </si>
  <si>
    <t>渡邊(浩)　他3名</t>
    <rPh sb="0" eb="2">
      <t>ワタナベ</t>
    </rPh>
    <rPh sb="3" eb="4">
      <t>ヒロ</t>
    </rPh>
    <rPh sb="6" eb="7">
      <t>ホカ</t>
    </rPh>
    <rPh sb="8" eb="9">
      <t>メイ</t>
    </rPh>
    <phoneticPr fontId="3"/>
  </si>
  <si>
    <t>鈴木(浩)　山口</t>
    <rPh sb="0" eb="2">
      <t>スズキ</t>
    </rPh>
    <rPh sb="3" eb="4">
      <t>ヒロ</t>
    </rPh>
    <rPh sb="6" eb="8">
      <t>ヤマグチ</t>
    </rPh>
    <phoneticPr fontId="3"/>
  </si>
  <si>
    <t>松本　他3名</t>
    <rPh sb="0" eb="2">
      <t>マツモト</t>
    </rPh>
    <rPh sb="3" eb="4">
      <t>ホカ</t>
    </rPh>
    <rPh sb="5" eb="6">
      <t>メイ</t>
    </rPh>
    <phoneticPr fontId="3"/>
  </si>
  <si>
    <t>髙橋(英)</t>
    <rPh sb="0" eb="2">
      <t>タカハシ</t>
    </rPh>
    <rPh sb="3" eb="4">
      <t>ヒデ</t>
    </rPh>
    <phoneticPr fontId="3"/>
  </si>
  <si>
    <t>髙橋(徹)</t>
    <rPh sb="0" eb="2">
      <t>タカハシ</t>
    </rPh>
    <rPh sb="3" eb="4">
      <t>トオル</t>
    </rPh>
    <phoneticPr fontId="3"/>
  </si>
  <si>
    <t>土谷　鈴木(貴)</t>
    <rPh sb="0" eb="2">
      <t>ツチヤ</t>
    </rPh>
    <rPh sb="3" eb="5">
      <t>スズキ</t>
    </rPh>
    <rPh sb="6" eb="7">
      <t>タカ</t>
    </rPh>
    <phoneticPr fontId="3"/>
  </si>
  <si>
    <t>佐藤(守)　小田島</t>
    <rPh sb="0" eb="2">
      <t>サトウ</t>
    </rPh>
    <rPh sb="3" eb="4">
      <t>マモ</t>
    </rPh>
    <rPh sb="6" eb="9">
      <t>オダシマ</t>
    </rPh>
    <phoneticPr fontId="3"/>
  </si>
  <si>
    <t>鈴木(大)　他5名</t>
    <rPh sb="0" eb="2">
      <t>スズキ</t>
    </rPh>
    <rPh sb="3" eb="4">
      <t>ダイ</t>
    </rPh>
    <rPh sb="6" eb="7">
      <t>ホカ</t>
    </rPh>
    <rPh sb="8" eb="9">
      <t>メイ</t>
    </rPh>
    <phoneticPr fontId="3"/>
  </si>
  <si>
    <t>白井　他3名</t>
    <rPh sb="0" eb="2">
      <t>シライ</t>
    </rPh>
    <rPh sb="3" eb="4">
      <t>ホカ</t>
    </rPh>
    <rPh sb="5" eb="6">
      <t>メイ</t>
    </rPh>
    <phoneticPr fontId="3"/>
  </si>
  <si>
    <t>伊藤(正)　他2名</t>
    <rPh sb="0" eb="2">
      <t>イトウ</t>
    </rPh>
    <rPh sb="3" eb="4">
      <t>タダシ</t>
    </rPh>
    <rPh sb="6" eb="7">
      <t>ホカ</t>
    </rPh>
    <rPh sb="8" eb="9">
      <t>メイ</t>
    </rPh>
    <phoneticPr fontId="3"/>
  </si>
  <si>
    <t>伊藤(正)　吉田</t>
    <rPh sb="0" eb="2">
      <t>イトウ</t>
    </rPh>
    <rPh sb="3" eb="4">
      <t>タダシ</t>
    </rPh>
    <rPh sb="6" eb="8">
      <t>ヨシダ</t>
    </rPh>
    <phoneticPr fontId="3"/>
  </si>
  <si>
    <t>吉田　他2名</t>
    <rPh sb="0" eb="2">
      <t>ヨシダ</t>
    </rPh>
    <rPh sb="3" eb="4">
      <t>ホカ</t>
    </rPh>
    <rPh sb="5" eb="6">
      <t>メイ</t>
    </rPh>
    <phoneticPr fontId="3"/>
  </si>
  <si>
    <t>菅原</t>
    <rPh sb="0" eb="2">
      <t>スガハラ</t>
    </rPh>
    <phoneticPr fontId="3"/>
  </si>
  <si>
    <t>吉田</t>
    <rPh sb="0" eb="2">
      <t>ヨシダ</t>
    </rPh>
    <phoneticPr fontId="3"/>
  </si>
  <si>
    <t>年式</t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</si>
  <si>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</si>
  <si>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</si>
  <si>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4">
      <t>レイワガンネン</t>
    </rPh>
    <rPh sb="5" eb="6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</si>
  <si>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</si>
  <si>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</si>
  <si>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</si>
  <si>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</si>
  <si>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</si>
  <si>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</si>
  <si>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</si>
  <si>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</si>
  <si>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</si>
  <si>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</si>
  <si>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</si>
  <si>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</si>
  <si>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</si>
  <si>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</si>
  <si>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</si>
  <si>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</si>
  <si>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</si>
  <si>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</si>
  <si>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</si>
  <si>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</si>
  <si>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</si>
  <si>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</si>
  <si>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</si>
  <si>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</si>
  <si>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</si>
  <si>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</si>
  <si>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</si>
  <si>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</si>
  <si>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</si>
  <si>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</si>
  <si>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</si>
  <si>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</si>
  <si>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タイヤ本数</t>
  </si>
  <si>
    <t>車種名</t>
  </si>
  <si>
    <t>ａ　吉田化学</t>
    <phoneticPr fontId="3"/>
  </si>
  <si>
    <t>Ｍ　メタノール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</si>
  <si>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</si>
  <si>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</si>
  <si>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</si>
  <si>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</si>
  <si>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</si>
  <si>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</si>
  <si>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Ａプロセス</t>
    <phoneticPr fontId="3"/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</si>
  <si>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</si>
  <si>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</si>
  <si>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</si>
  <si>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</si>
  <si>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</si>
  <si>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</si>
  <si>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</si>
  <si>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</si>
  <si>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</si>
  <si>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</si>
  <si>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</si>
  <si>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</si>
  <si>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</si>
  <si>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</si>
  <si>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</si>
  <si>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</si>
  <si>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</si>
  <si>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</si>
  <si>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</si>
  <si>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</si>
  <si>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</si>
  <si>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</si>
  <si>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</si>
  <si>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</si>
  <si>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</si>
  <si>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</si>
  <si>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</si>
  <si>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</si>
  <si>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</si>
  <si>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</si>
  <si>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</si>
  <si>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</si>
  <si>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</si>
  <si>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</si>
  <si>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</si>
  <si>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</si>
  <si>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</si>
  <si>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</si>
  <si>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</si>
  <si>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</si>
  <si>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</si>
  <si>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</si>
  <si>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</si>
  <si>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</si>
  <si>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</si>
  <si>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</si>
  <si>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</si>
  <si>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</si>
  <si>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</si>
  <si>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</si>
  <si>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</si>
  <si>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</si>
  <si>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</si>
  <si>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</si>
  <si>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</si>
  <si>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</si>
  <si>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</si>
  <si>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</si>
  <si>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</si>
  <si>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</si>
  <si>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</si>
  <si>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</si>
  <si>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</si>
  <si>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</si>
  <si>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</si>
  <si>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</si>
  <si>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</si>
  <si>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</si>
  <si>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</si>
  <si>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</si>
  <si>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</si>
  <si>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</si>
  <si>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</si>
  <si>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</si>
  <si>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</si>
  <si>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</si>
  <si>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</si>
  <si>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</si>
  <si>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</si>
  <si>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</si>
  <si>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</si>
  <si>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</si>
  <si>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</si>
  <si>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</si>
  <si>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</si>
  <si>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</si>
  <si>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</si>
  <si>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</si>
  <si>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</si>
  <si>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</si>
  <si>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</si>
  <si>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</si>
  <si>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本社経費扱い</t>
    <rPh sb="0" eb="5">
      <t>ホンシャケイヒアツカ</t>
    </rPh>
    <phoneticPr fontId="3"/>
  </si>
  <si>
    <t>2648</t>
  </si>
  <si>
    <t>令和3年9月</t>
    <rPh sb="0" eb="2">
      <t>レイワ</t>
    </rPh>
    <rPh sb="3" eb="4">
      <t>ネン</t>
    </rPh>
    <rPh sb="5" eb="6">
      <t>ガツ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</si>
</sst>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9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0E90F-C561-4986-B942-BE41E6CD2F84}">
  <sheetPr codeName="Sheet1"/>
  <dimension ref="A2:AW102"/>
  <sheetViews>
    <sheetView tabSelected="1" workbookViewId="0">
      <selection activeCell="AU37" sqref="AU1:AU1048576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.42578125" style="1" bestFit="1" customWidth="1"/>
    <col min="4" max="5" width="14.140625" style="1" bestFit="1" customWidth="1"/>
    <col min="6" max="6" width="11.42578125" style="1" bestFit="1" customWidth="1"/>
    <col min="7" max="10" width="12.42578125" style="1" bestFit="1" customWidth="1"/>
    <col min="11" max="30" width="13" style="1" bestFit="1" customWidth="1"/>
    <col min="31" max="34" width="11" style="1" bestFit="1" customWidth="1"/>
    <col min="35" max="37" width="12.28515625" style="1" bestFit="1" customWidth="1"/>
    <col min="38" max="46" width="11" style="1" bestFit="1" customWidth="1"/>
    <col min="47" max="47" width="13.28515625" style="1" bestFit="1" customWidth="1"/>
    <col min="48" max="48" width="10" style="1" bestFit="1" customWidth="1"/>
    <col min="49" max="49" width="11" style="1" bestFit="1" customWidth="1"/>
    <col min="50" max="255" width="9" style="1"/>
    <col min="256" max="256" width="2.85546875" style="1" bestFit="1" customWidth="1"/>
    <col min="257" max="257" width="16.5703125" style="1" bestFit="1" customWidth="1"/>
    <col min="258" max="258" width="11.42578125" style="1" bestFit="1" customWidth="1"/>
    <col min="259" max="260" width="14.140625" style="1" bestFit="1" customWidth="1"/>
    <col min="261" max="261" width="11.42578125" style="1" bestFit="1" customWidth="1"/>
    <col min="262" max="265" width="12.42578125" style="1" bestFit="1" customWidth="1"/>
    <col min="266" max="285" width="13" style="1" bestFit="1" customWidth="1"/>
    <col min="286" max="289" width="11" style="1" bestFit="1" customWidth="1"/>
    <col min="290" max="292" width="12.28515625" style="1" bestFit="1" customWidth="1"/>
    <col min="293" max="302" width="11" style="1" bestFit="1" customWidth="1"/>
    <col min="303" max="303" width="13.28515625" style="1" bestFit="1" customWidth="1"/>
    <col min="304" max="304" width="10" style="1" bestFit="1" customWidth="1"/>
    <col min="305" max="305" width="11" style="1" bestFit="1" customWidth="1"/>
    <col min="306" max="511" width="9" style="1"/>
    <col min="512" max="512" width="2.85546875" style="1" bestFit="1" customWidth="1"/>
    <col min="513" max="513" width="16.5703125" style="1" bestFit="1" customWidth="1"/>
    <col min="514" max="514" width="11.42578125" style="1" bestFit="1" customWidth="1"/>
    <col min="515" max="516" width="14.140625" style="1" bestFit="1" customWidth="1"/>
    <col min="517" max="517" width="11.42578125" style="1" bestFit="1" customWidth="1"/>
    <col min="518" max="521" width="12.42578125" style="1" bestFit="1" customWidth="1"/>
    <col min="522" max="541" width="13" style="1" bestFit="1" customWidth="1"/>
    <col min="542" max="545" width="11" style="1" bestFit="1" customWidth="1"/>
    <col min="546" max="548" width="12.28515625" style="1" bestFit="1" customWidth="1"/>
    <col min="549" max="558" width="11" style="1" bestFit="1" customWidth="1"/>
    <col min="559" max="559" width="13.28515625" style="1" bestFit="1" customWidth="1"/>
    <col min="560" max="560" width="10" style="1" bestFit="1" customWidth="1"/>
    <col min="561" max="561" width="11" style="1" bestFit="1" customWidth="1"/>
    <col min="562" max="767" width="9" style="1"/>
    <col min="768" max="768" width="2.85546875" style="1" bestFit="1" customWidth="1"/>
    <col min="769" max="769" width="16.5703125" style="1" bestFit="1" customWidth="1"/>
    <col min="770" max="770" width="11.42578125" style="1" bestFit="1" customWidth="1"/>
    <col min="771" max="772" width="14.140625" style="1" bestFit="1" customWidth="1"/>
    <col min="773" max="773" width="11.42578125" style="1" bestFit="1" customWidth="1"/>
    <col min="774" max="777" width="12.42578125" style="1" bestFit="1" customWidth="1"/>
    <col min="778" max="797" width="13" style="1" bestFit="1" customWidth="1"/>
    <col min="798" max="801" width="11" style="1" bestFit="1" customWidth="1"/>
    <col min="802" max="804" width="12.28515625" style="1" bestFit="1" customWidth="1"/>
    <col min="805" max="814" width="11" style="1" bestFit="1" customWidth="1"/>
    <col min="815" max="815" width="13.28515625" style="1" bestFit="1" customWidth="1"/>
    <col min="816" max="816" width="10" style="1" bestFit="1" customWidth="1"/>
    <col min="817" max="817" width="11" style="1" bestFit="1" customWidth="1"/>
    <col min="818" max="1023" width="9" style="1"/>
    <col min="1024" max="1024" width="2.85546875" style="1" bestFit="1" customWidth="1"/>
    <col min="1025" max="1025" width="16.5703125" style="1" bestFit="1" customWidth="1"/>
    <col min="1026" max="1026" width="11.42578125" style="1" bestFit="1" customWidth="1"/>
    <col min="1027" max="1028" width="14.140625" style="1" bestFit="1" customWidth="1"/>
    <col min="1029" max="1029" width="11.42578125" style="1" bestFit="1" customWidth="1"/>
    <col min="1030" max="1033" width="12.42578125" style="1" bestFit="1" customWidth="1"/>
    <col min="1034" max="1053" width="13" style="1" bestFit="1" customWidth="1"/>
    <col min="1054" max="1057" width="11" style="1" bestFit="1" customWidth="1"/>
    <col min="1058" max="1060" width="12.28515625" style="1" bestFit="1" customWidth="1"/>
    <col min="1061" max="1070" width="11" style="1" bestFit="1" customWidth="1"/>
    <col min="1071" max="1071" width="13.28515625" style="1" bestFit="1" customWidth="1"/>
    <col min="1072" max="1072" width="10" style="1" bestFit="1" customWidth="1"/>
    <col min="1073" max="1073" width="11" style="1" bestFit="1" customWidth="1"/>
    <col min="1074" max="1279" width="9" style="1"/>
    <col min="1280" max="1280" width="2.85546875" style="1" bestFit="1" customWidth="1"/>
    <col min="1281" max="1281" width="16.5703125" style="1" bestFit="1" customWidth="1"/>
    <col min="1282" max="1282" width="11.42578125" style="1" bestFit="1" customWidth="1"/>
    <col min="1283" max="1284" width="14.140625" style="1" bestFit="1" customWidth="1"/>
    <col min="1285" max="1285" width="11.42578125" style="1" bestFit="1" customWidth="1"/>
    <col min="1286" max="1289" width="12.42578125" style="1" bestFit="1" customWidth="1"/>
    <col min="1290" max="1309" width="13" style="1" bestFit="1" customWidth="1"/>
    <col min="1310" max="1313" width="11" style="1" bestFit="1" customWidth="1"/>
    <col min="1314" max="1316" width="12.28515625" style="1" bestFit="1" customWidth="1"/>
    <col min="1317" max="1326" width="11" style="1" bestFit="1" customWidth="1"/>
    <col min="1327" max="1327" width="13.28515625" style="1" bestFit="1" customWidth="1"/>
    <col min="1328" max="1328" width="10" style="1" bestFit="1" customWidth="1"/>
    <col min="1329" max="1329" width="11" style="1" bestFit="1" customWidth="1"/>
    <col min="1330" max="1535" width="9" style="1"/>
    <col min="1536" max="1536" width="2.85546875" style="1" bestFit="1" customWidth="1"/>
    <col min="1537" max="1537" width="16.5703125" style="1" bestFit="1" customWidth="1"/>
    <col min="1538" max="1538" width="11.42578125" style="1" bestFit="1" customWidth="1"/>
    <col min="1539" max="1540" width="14.140625" style="1" bestFit="1" customWidth="1"/>
    <col min="1541" max="1541" width="11.42578125" style="1" bestFit="1" customWidth="1"/>
    <col min="1542" max="1545" width="12.42578125" style="1" bestFit="1" customWidth="1"/>
    <col min="1546" max="1565" width="13" style="1" bestFit="1" customWidth="1"/>
    <col min="1566" max="1569" width="11" style="1" bestFit="1" customWidth="1"/>
    <col min="1570" max="1572" width="12.28515625" style="1" bestFit="1" customWidth="1"/>
    <col min="1573" max="1582" width="11" style="1" bestFit="1" customWidth="1"/>
    <col min="1583" max="1583" width="13.28515625" style="1" bestFit="1" customWidth="1"/>
    <col min="1584" max="1584" width="10" style="1" bestFit="1" customWidth="1"/>
    <col min="1585" max="1585" width="11" style="1" bestFit="1" customWidth="1"/>
    <col min="1586" max="1791" width="9" style="1"/>
    <col min="1792" max="1792" width="2.85546875" style="1" bestFit="1" customWidth="1"/>
    <col min="1793" max="1793" width="16.5703125" style="1" bestFit="1" customWidth="1"/>
    <col min="1794" max="1794" width="11.42578125" style="1" bestFit="1" customWidth="1"/>
    <col min="1795" max="1796" width="14.140625" style="1" bestFit="1" customWidth="1"/>
    <col min="1797" max="1797" width="11.42578125" style="1" bestFit="1" customWidth="1"/>
    <col min="1798" max="1801" width="12.42578125" style="1" bestFit="1" customWidth="1"/>
    <col min="1802" max="1821" width="13" style="1" bestFit="1" customWidth="1"/>
    <col min="1822" max="1825" width="11" style="1" bestFit="1" customWidth="1"/>
    <col min="1826" max="1828" width="12.28515625" style="1" bestFit="1" customWidth="1"/>
    <col min="1829" max="1838" width="11" style="1" bestFit="1" customWidth="1"/>
    <col min="1839" max="1839" width="13.28515625" style="1" bestFit="1" customWidth="1"/>
    <col min="1840" max="1840" width="10" style="1" bestFit="1" customWidth="1"/>
    <col min="1841" max="1841" width="11" style="1" bestFit="1" customWidth="1"/>
    <col min="1842" max="2047" width="9" style="1"/>
    <col min="2048" max="2048" width="2.85546875" style="1" bestFit="1" customWidth="1"/>
    <col min="2049" max="2049" width="16.5703125" style="1" bestFit="1" customWidth="1"/>
    <col min="2050" max="2050" width="11.42578125" style="1" bestFit="1" customWidth="1"/>
    <col min="2051" max="2052" width="14.140625" style="1" bestFit="1" customWidth="1"/>
    <col min="2053" max="2053" width="11.42578125" style="1" bestFit="1" customWidth="1"/>
    <col min="2054" max="2057" width="12.42578125" style="1" bestFit="1" customWidth="1"/>
    <col min="2058" max="2077" width="13" style="1" bestFit="1" customWidth="1"/>
    <col min="2078" max="2081" width="11" style="1" bestFit="1" customWidth="1"/>
    <col min="2082" max="2084" width="12.28515625" style="1" bestFit="1" customWidth="1"/>
    <col min="2085" max="2094" width="11" style="1" bestFit="1" customWidth="1"/>
    <col min="2095" max="2095" width="13.28515625" style="1" bestFit="1" customWidth="1"/>
    <col min="2096" max="2096" width="10" style="1" bestFit="1" customWidth="1"/>
    <col min="2097" max="2097" width="11" style="1" bestFit="1" customWidth="1"/>
    <col min="2098" max="2303" width="9" style="1"/>
    <col min="2304" max="2304" width="2.85546875" style="1" bestFit="1" customWidth="1"/>
    <col min="2305" max="2305" width="16.5703125" style="1" bestFit="1" customWidth="1"/>
    <col min="2306" max="2306" width="11.42578125" style="1" bestFit="1" customWidth="1"/>
    <col min="2307" max="2308" width="14.140625" style="1" bestFit="1" customWidth="1"/>
    <col min="2309" max="2309" width="11.42578125" style="1" bestFit="1" customWidth="1"/>
    <col min="2310" max="2313" width="12.42578125" style="1" bestFit="1" customWidth="1"/>
    <col min="2314" max="2333" width="13" style="1" bestFit="1" customWidth="1"/>
    <col min="2334" max="2337" width="11" style="1" bestFit="1" customWidth="1"/>
    <col min="2338" max="2340" width="12.28515625" style="1" bestFit="1" customWidth="1"/>
    <col min="2341" max="2350" width="11" style="1" bestFit="1" customWidth="1"/>
    <col min="2351" max="2351" width="13.28515625" style="1" bestFit="1" customWidth="1"/>
    <col min="2352" max="2352" width="10" style="1" bestFit="1" customWidth="1"/>
    <col min="2353" max="2353" width="11" style="1" bestFit="1" customWidth="1"/>
    <col min="2354" max="2559" width="9" style="1"/>
    <col min="2560" max="2560" width="2.85546875" style="1" bestFit="1" customWidth="1"/>
    <col min="2561" max="2561" width="16.5703125" style="1" bestFit="1" customWidth="1"/>
    <col min="2562" max="2562" width="11.42578125" style="1" bestFit="1" customWidth="1"/>
    <col min="2563" max="2564" width="14.140625" style="1" bestFit="1" customWidth="1"/>
    <col min="2565" max="2565" width="11.42578125" style="1" bestFit="1" customWidth="1"/>
    <col min="2566" max="2569" width="12.42578125" style="1" bestFit="1" customWidth="1"/>
    <col min="2570" max="2589" width="13" style="1" bestFit="1" customWidth="1"/>
    <col min="2590" max="2593" width="11" style="1" bestFit="1" customWidth="1"/>
    <col min="2594" max="2596" width="12.28515625" style="1" bestFit="1" customWidth="1"/>
    <col min="2597" max="2606" width="11" style="1" bestFit="1" customWidth="1"/>
    <col min="2607" max="2607" width="13.28515625" style="1" bestFit="1" customWidth="1"/>
    <col min="2608" max="2608" width="10" style="1" bestFit="1" customWidth="1"/>
    <col min="2609" max="2609" width="11" style="1" bestFit="1" customWidth="1"/>
    <col min="2610" max="2815" width="9" style="1"/>
    <col min="2816" max="2816" width="2.85546875" style="1" bestFit="1" customWidth="1"/>
    <col min="2817" max="2817" width="16.5703125" style="1" bestFit="1" customWidth="1"/>
    <col min="2818" max="2818" width="11.42578125" style="1" bestFit="1" customWidth="1"/>
    <col min="2819" max="2820" width="14.140625" style="1" bestFit="1" customWidth="1"/>
    <col min="2821" max="2821" width="11.42578125" style="1" bestFit="1" customWidth="1"/>
    <col min="2822" max="2825" width="12.42578125" style="1" bestFit="1" customWidth="1"/>
    <col min="2826" max="2845" width="13" style="1" bestFit="1" customWidth="1"/>
    <col min="2846" max="2849" width="11" style="1" bestFit="1" customWidth="1"/>
    <col min="2850" max="2852" width="12.28515625" style="1" bestFit="1" customWidth="1"/>
    <col min="2853" max="2862" width="11" style="1" bestFit="1" customWidth="1"/>
    <col min="2863" max="2863" width="13.28515625" style="1" bestFit="1" customWidth="1"/>
    <col min="2864" max="2864" width="10" style="1" bestFit="1" customWidth="1"/>
    <col min="2865" max="2865" width="11" style="1" bestFit="1" customWidth="1"/>
    <col min="2866" max="3071" width="9" style="1"/>
    <col min="3072" max="3072" width="2.85546875" style="1" bestFit="1" customWidth="1"/>
    <col min="3073" max="3073" width="16.5703125" style="1" bestFit="1" customWidth="1"/>
    <col min="3074" max="3074" width="11.42578125" style="1" bestFit="1" customWidth="1"/>
    <col min="3075" max="3076" width="14.140625" style="1" bestFit="1" customWidth="1"/>
    <col min="3077" max="3077" width="11.42578125" style="1" bestFit="1" customWidth="1"/>
    <col min="3078" max="3081" width="12.42578125" style="1" bestFit="1" customWidth="1"/>
    <col min="3082" max="3101" width="13" style="1" bestFit="1" customWidth="1"/>
    <col min="3102" max="3105" width="11" style="1" bestFit="1" customWidth="1"/>
    <col min="3106" max="3108" width="12.28515625" style="1" bestFit="1" customWidth="1"/>
    <col min="3109" max="3118" width="11" style="1" bestFit="1" customWidth="1"/>
    <col min="3119" max="3119" width="13.28515625" style="1" bestFit="1" customWidth="1"/>
    <col min="3120" max="3120" width="10" style="1" bestFit="1" customWidth="1"/>
    <col min="3121" max="3121" width="11" style="1" bestFit="1" customWidth="1"/>
    <col min="3122" max="3327" width="9" style="1"/>
    <col min="3328" max="3328" width="2.85546875" style="1" bestFit="1" customWidth="1"/>
    <col min="3329" max="3329" width="16.5703125" style="1" bestFit="1" customWidth="1"/>
    <col min="3330" max="3330" width="11.42578125" style="1" bestFit="1" customWidth="1"/>
    <col min="3331" max="3332" width="14.140625" style="1" bestFit="1" customWidth="1"/>
    <col min="3333" max="3333" width="11.42578125" style="1" bestFit="1" customWidth="1"/>
    <col min="3334" max="3337" width="12.42578125" style="1" bestFit="1" customWidth="1"/>
    <col min="3338" max="3357" width="13" style="1" bestFit="1" customWidth="1"/>
    <col min="3358" max="3361" width="11" style="1" bestFit="1" customWidth="1"/>
    <col min="3362" max="3364" width="12.28515625" style="1" bestFit="1" customWidth="1"/>
    <col min="3365" max="3374" width="11" style="1" bestFit="1" customWidth="1"/>
    <col min="3375" max="3375" width="13.28515625" style="1" bestFit="1" customWidth="1"/>
    <col min="3376" max="3376" width="10" style="1" bestFit="1" customWidth="1"/>
    <col min="3377" max="3377" width="11" style="1" bestFit="1" customWidth="1"/>
    <col min="3378" max="3583" width="9" style="1"/>
    <col min="3584" max="3584" width="2.85546875" style="1" bestFit="1" customWidth="1"/>
    <col min="3585" max="3585" width="16.5703125" style="1" bestFit="1" customWidth="1"/>
    <col min="3586" max="3586" width="11.42578125" style="1" bestFit="1" customWidth="1"/>
    <col min="3587" max="3588" width="14.140625" style="1" bestFit="1" customWidth="1"/>
    <col min="3589" max="3589" width="11.42578125" style="1" bestFit="1" customWidth="1"/>
    <col min="3590" max="3593" width="12.42578125" style="1" bestFit="1" customWidth="1"/>
    <col min="3594" max="3613" width="13" style="1" bestFit="1" customWidth="1"/>
    <col min="3614" max="3617" width="11" style="1" bestFit="1" customWidth="1"/>
    <col min="3618" max="3620" width="12.28515625" style="1" bestFit="1" customWidth="1"/>
    <col min="3621" max="3630" width="11" style="1" bestFit="1" customWidth="1"/>
    <col min="3631" max="3631" width="13.28515625" style="1" bestFit="1" customWidth="1"/>
    <col min="3632" max="3632" width="10" style="1" bestFit="1" customWidth="1"/>
    <col min="3633" max="3633" width="11" style="1" bestFit="1" customWidth="1"/>
    <col min="3634" max="3839" width="9" style="1"/>
    <col min="3840" max="3840" width="2.85546875" style="1" bestFit="1" customWidth="1"/>
    <col min="3841" max="3841" width="16.5703125" style="1" bestFit="1" customWidth="1"/>
    <col min="3842" max="3842" width="11.42578125" style="1" bestFit="1" customWidth="1"/>
    <col min="3843" max="3844" width="14.140625" style="1" bestFit="1" customWidth="1"/>
    <col min="3845" max="3845" width="11.42578125" style="1" bestFit="1" customWidth="1"/>
    <col min="3846" max="3849" width="12.42578125" style="1" bestFit="1" customWidth="1"/>
    <col min="3850" max="3869" width="13" style="1" bestFit="1" customWidth="1"/>
    <col min="3870" max="3873" width="11" style="1" bestFit="1" customWidth="1"/>
    <col min="3874" max="3876" width="12.28515625" style="1" bestFit="1" customWidth="1"/>
    <col min="3877" max="3886" width="11" style="1" bestFit="1" customWidth="1"/>
    <col min="3887" max="3887" width="13.28515625" style="1" bestFit="1" customWidth="1"/>
    <col min="3888" max="3888" width="10" style="1" bestFit="1" customWidth="1"/>
    <col min="3889" max="3889" width="11" style="1" bestFit="1" customWidth="1"/>
    <col min="3890" max="4095" width="9" style="1"/>
    <col min="4096" max="4096" width="2.85546875" style="1" bestFit="1" customWidth="1"/>
    <col min="4097" max="4097" width="16.5703125" style="1" bestFit="1" customWidth="1"/>
    <col min="4098" max="4098" width="11.42578125" style="1" bestFit="1" customWidth="1"/>
    <col min="4099" max="4100" width="14.140625" style="1" bestFit="1" customWidth="1"/>
    <col min="4101" max="4101" width="11.42578125" style="1" bestFit="1" customWidth="1"/>
    <col min="4102" max="4105" width="12.42578125" style="1" bestFit="1" customWidth="1"/>
    <col min="4106" max="4125" width="13" style="1" bestFit="1" customWidth="1"/>
    <col min="4126" max="4129" width="11" style="1" bestFit="1" customWidth="1"/>
    <col min="4130" max="4132" width="12.28515625" style="1" bestFit="1" customWidth="1"/>
    <col min="4133" max="4142" width="11" style="1" bestFit="1" customWidth="1"/>
    <col min="4143" max="4143" width="13.28515625" style="1" bestFit="1" customWidth="1"/>
    <col min="4144" max="4144" width="10" style="1" bestFit="1" customWidth="1"/>
    <col min="4145" max="4145" width="11" style="1" bestFit="1" customWidth="1"/>
    <col min="4146" max="4351" width="9" style="1"/>
    <col min="4352" max="4352" width="2.85546875" style="1" bestFit="1" customWidth="1"/>
    <col min="4353" max="4353" width="16.5703125" style="1" bestFit="1" customWidth="1"/>
    <col min="4354" max="4354" width="11.42578125" style="1" bestFit="1" customWidth="1"/>
    <col min="4355" max="4356" width="14.140625" style="1" bestFit="1" customWidth="1"/>
    <col min="4357" max="4357" width="11.42578125" style="1" bestFit="1" customWidth="1"/>
    <col min="4358" max="4361" width="12.42578125" style="1" bestFit="1" customWidth="1"/>
    <col min="4362" max="4381" width="13" style="1" bestFit="1" customWidth="1"/>
    <col min="4382" max="4385" width="11" style="1" bestFit="1" customWidth="1"/>
    <col min="4386" max="4388" width="12.28515625" style="1" bestFit="1" customWidth="1"/>
    <col min="4389" max="4398" width="11" style="1" bestFit="1" customWidth="1"/>
    <col min="4399" max="4399" width="13.28515625" style="1" bestFit="1" customWidth="1"/>
    <col min="4400" max="4400" width="10" style="1" bestFit="1" customWidth="1"/>
    <col min="4401" max="4401" width="11" style="1" bestFit="1" customWidth="1"/>
    <col min="4402" max="4607" width="9" style="1"/>
    <col min="4608" max="4608" width="2.85546875" style="1" bestFit="1" customWidth="1"/>
    <col min="4609" max="4609" width="16.5703125" style="1" bestFit="1" customWidth="1"/>
    <col min="4610" max="4610" width="11.42578125" style="1" bestFit="1" customWidth="1"/>
    <col min="4611" max="4612" width="14.140625" style="1" bestFit="1" customWidth="1"/>
    <col min="4613" max="4613" width="11.42578125" style="1" bestFit="1" customWidth="1"/>
    <col min="4614" max="4617" width="12.42578125" style="1" bestFit="1" customWidth="1"/>
    <col min="4618" max="4637" width="13" style="1" bestFit="1" customWidth="1"/>
    <col min="4638" max="4641" width="11" style="1" bestFit="1" customWidth="1"/>
    <col min="4642" max="4644" width="12.28515625" style="1" bestFit="1" customWidth="1"/>
    <col min="4645" max="4654" width="11" style="1" bestFit="1" customWidth="1"/>
    <col min="4655" max="4655" width="13.28515625" style="1" bestFit="1" customWidth="1"/>
    <col min="4656" max="4656" width="10" style="1" bestFit="1" customWidth="1"/>
    <col min="4657" max="4657" width="11" style="1" bestFit="1" customWidth="1"/>
    <col min="4658" max="4863" width="9" style="1"/>
    <col min="4864" max="4864" width="2.85546875" style="1" bestFit="1" customWidth="1"/>
    <col min="4865" max="4865" width="16.5703125" style="1" bestFit="1" customWidth="1"/>
    <col min="4866" max="4866" width="11.42578125" style="1" bestFit="1" customWidth="1"/>
    <col min="4867" max="4868" width="14.140625" style="1" bestFit="1" customWidth="1"/>
    <col min="4869" max="4869" width="11.42578125" style="1" bestFit="1" customWidth="1"/>
    <col min="4870" max="4873" width="12.42578125" style="1" bestFit="1" customWidth="1"/>
    <col min="4874" max="4893" width="13" style="1" bestFit="1" customWidth="1"/>
    <col min="4894" max="4897" width="11" style="1" bestFit="1" customWidth="1"/>
    <col min="4898" max="4900" width="12.28515625" style="1" bestFit="1" customWidth="1"/>
    <col min="4901" max="4910" width="11" style="1" bestFit="1" customWidth="1"/>
    <col min="4911" max="4911" width="13.28515625" style="1" bestFit="1" customWidth="1"/>
    <col min="4912" max="4912" width="10" style="1" bestFit="1" customWidth="1"/>
    <col min="4913" max="4913" width="11" style="1" bestFit="1" customWidth="1"/>
    <col min="4914" max="5119" width="9" style="1"/>
    <col min="5120" max="5120" width="2.85546875" style="1" bestFit="1" customWidth="1"/>
    <col min="5121" max="5121" width="16.5703125" style="1" bestFit="1" customWidth="1"/>
    <col min="5122" max="5122" width="11.42578125" style="1" bestFit="1" customWidth="1"/>
    <col min="5123" max="5124" width="14.140625" style="1" bestFit="1" customWidth="1"/>
    <col min="5125" max="5125" width="11.42578125" style="1" bestFit="1" customWidth="1"/>
    <col min="5126" max="5129" width="12.42578125" style="1" bestFit="1" customWidth="1"/>
    <col min="5130" max="5149" width="13" style="1" bestFit="1" customWidth="1"/>
    <col min="5150" max="5153" width="11" style="1" bestFit="1" customWidth="1"/>
    <col min="5154" max="5156" width="12.28515625" style="1" bestFit="1" customWidth="1"/>
    <col min="5157" max="5166" width="11" style="1" bestFit="1" customWidth="1"/>
    <col min="5167" max="5167" width="13.28515625" style="1" bestFit="1" customWidth="1"/>
    <col min="5168" max="5168" width="10" style="1" bestFit="1" customWidth="1"/>
    <col min="5169" max="5169" width="11" style="1" bestFit="1" customWidth="1"/>
    <col min="5170" max="5375" width="9" style="1"/>
    <col min="5376" max="5376" width="2.85546875" style="1" bestFit="1" customWidth="1"/>
    <col min="5377" max="5377" width="16.5703125" style="1" bestFit="1" customWidth="1"/>
    <col min="5378" max="5378" width="11.42578125" style="1" bestFit="1" customWidth="1"/>
    <col min="5379" max="5380" width="14.140625" style="1" bestFit="1" customWidth="1"/>
    <col min="5381" max="5381" width="11.42578125" style="1" bestFit="1" customWidth="1"/>
    <col min="5382" max="5385" width="12.42578125" style="1" bestFit="1" customWidth="1"/>
    <col min="5386" max="5405" width="13" style="1" bestFit="1" customWidth="1"/>
    <col min="5406" max="5409" width="11" style="1" bestFit="1" customWidth="1"/>
    <col min="5410" max="5412" width="12.28515625" style="1" bestFit="1" customWidth="1"/>
    <col min="5413" max="5422" width="11" style="1" bestFit="1" customWidth="1"/>
    <col min="5423" max="5423" width="13.28515625" style="1" bestFit="1" customWidth="1"/>
    <col min="5424" max="5424" width="10" style="1" bestFit="1" customWidth="1"/>
    <col min="5425" max="5425" width="11" style="1" bestFit="1" customWidth="1"/>
    <col min="5426" max="5631" width="9" style="1"/>
    <col min="5632" max="5632" width="2.85546875" style="1" bestFit="1" customWidth="1"/>
    <col min="5633" max="5633" width="16.5703125" style="1" bestFit="1" customWidth="1"/>
    <col min="5634" max="5634" width="11.42578125" style="1" bestFit="1" customWidth="1"/>
    <col min="5635" max="5636" width="14.140625" style="1" bestFit="1" customWidth="1"/>
    <col min="5637" max="5637" width="11.42578125" style="1" bestFit="1" customWidth="1"/>
    <col min="5638" max="5641" width="12.42578125" style="1" bestFit="1" customWidth="1"/>
    <col min="5642" max="5661" width="13" style="1" bestFit="1" customWidth="1"/>
    <col min="5662" max="5665" width="11" style="1" bestFit="1" customWidth="1"/>
    <col min="5666" max="5668" width="12.28515625" style="1" bestFit="1" customWidth="1"/>
    <col min="5669" max="5678" width="11" style="1" bestFit="1" customWidth="1"/>
    <col min="5679" max="5679" width="13.28515625" style="1" bestFit="1" customWidth="1"/>
    <col min="5680" max="5680" width="10" style="1" bestFit="1" customWidth="1"/>
    <col min="5681" max="5681" width="11" style="1" bestFit="1" customWidth="1"/>
    <col min="5682" max="5887" width="9" style="1"/>
    <col min="5888" max="5888" width="2.85546875" style="1" bestFit="1" customWidth="1"/>
    <col min="5889" max="5889" width="16.5703125" style="1" bestFit="1" customWidth="1"/>
    <col min="5890" max="5890" width="11.42578125" style="1" bestFit="1" customWidth="1"/>
    <col min="5891" max="5892" width="14.140625" style="1" bestFit="1" customWidth="1"/>
    <col min="5893" max="5893" width="11.42578125" style="1" bestFit="1" customWidth="1"/>
    <col min="5894" max="5897" width="12.42578125" style="1" bestFit="1" customWidth="1"/>
    <col min="5898" max="5917" width="13" style="1" bestFit="1" customWidth="1"/>
    <col min="5918" max="5921" width="11" style="1" bestFit="1" customWidth="1"/>
    <col min="5922" max="5924" width="12.28515625" style="1" bestFit="1" customWidth="1"/>
    <col min="5925" max="5934" width="11" style="1" bestFit="1" customWidth="1"/>
    <col min="5935" max="5935" width="13.28515625" style="1" bestFit="1" customWidth="1"/>
    <col min="5936" max="5936" width="10" style="1" bestFit="1" customWidth="1"/>
    <col min="5937" max="5937" width="11" style="1" bestFit="1" customWidth="1"/>
    <col min="5938" max="6143" width="9" style="1"/>
    <col min="6144" max="6144" width="2.85546875" style="1" bestFit="1" customWidth="1"/>
    <col min="6145" max="6145" width="16.5703125" style="1" bestFit="1" customWidth="1"/>
    <col min="6146" max="6146" width="11.42578125" style="1" bestFit="1" customWidth="1"/>
    <col min="6147" max="6148" width="14.140625" style="1" bestFit="1" customWidth="1"/>
    <col min="6149" max="6149" width="11.42578125" style="1" bestFit="1" customWidth="1"/>
    <col min="6150" max="6153" width="12.42578125" style="1" bestFit="1" customWidth="1"/>
    <col min="6154" max="6173" width="13" style="1" bestFit="1" customWidth="1"/>
    <col min="6174" max="6177" width="11" style="1" bestFit="1" customWidth="1"/>
    <col min="6178" max="6180" width="12.28515625" style="1" bestFit="1" customWidth="1"/>
    <col min="6181" max="6190" width="11" style="1" bestFit="1" customWidth="1"/>
    <col min="6191" max="6191" width="13.28515625" style="1" bestFit="1" customWidth="1"/>
    <col min="6192" max="6192" width="10" style="1" bestFit="1" customWidth="1"/>
    <col min="6193" max="6193" width="11" style="1" bestFit="1" customWidth="1"/>
    <col min="6194" max="6399" width="9" style="1"/>
    <col min="6400" max="6400" width="2.85546875" style="1" bestFit="1" customWidth="1"/>
    <col min="6401" max="6401" width="16.5703125" style="1" bestFit="1" customWidth="1"/>
    <col min="6402" max="6402" width="11.42578125" style="1" bestFit="1" customWidth="1"/>
    <col min="6403" max="6404" width="14.140625" style="1" bestFit="1" customWidth="1"/>
    <col min="6405" max="6405" width="11.42578125" style="1" bestFit="1" customWidth="1"/>
    <col min="6406" max="6409" width="12.42578125" style="1" bestFit="1" customWidth="1"/>
    <col min="6410" max="6429" width="13" style="1" bestFit="1" customWidth="1"/>
    <col min="6430" max="6433" width="11" style="1" bestFit="1" customWidth="1"/>
    <col min="6434" max="6436" width="12.28515625" style="1" bestFit="1" customWidth="1"/>
    <col min="6437" max="6446" width="11" style="1" bestFit="1" customWidth="1"/>
    <col min="6447" max="6447" width="13.28515625" style="1" bestFit="1" customWidth="1"/>
    <col min="6448" max="6448" width="10" style="1" bestFit="1" customWidth="1"/>
    <col min="6449" max="6449" width="11" style="1" bestFit="1" customWidth="1"/>
    <col min="6450" max="6655" width="9" style="1"/>
    <col min="6656" max="6656" width="2.85546875" style="1" bestFit="1" customWidth="1"/>
    <col min="6657" max="6657" width="16.5703125" style="1" bestFit="1" customWidth="1"/>
    <col min="6658" max="6658" width="11.42578125" style="1" bestFit="1" customWidth="1"/>
    <col min="6659" max="6660" width="14.140625" style="1" bestFit="1" customWidth="1"/>
    <col min="6661" max="6661" width="11.42578125" style="1" bestFit="1" customWidth="1"/>
    <col min="6662" max="6665" width="12.42578125" style="1" bestFit="1" customWidth="1"/>
    <col min="6666" max="6685" width="13" style="1" bestFit="1" customWidth="1"/>
    <col min="6686" max="6689" width="11" style="1" bestFit="1" customWidth="1"/>
    <col min="6690" max="6692" width="12.28515625" style="1" bestFit="1" customWidth="1"/>
    <col min="6693" max="6702" width="11" style="1" bestFit="1" customWidth="1"/>
    <col min="6703" max="6703" width="13.28515625" style="1" bestFit="1" customWidth="1"/>
    <col min="6704" max="6704" width="10" style="1" bestFit="1" customWidth="1"/>
    <col min="6705" max="6705" width="11" style="1" bestFit="1" customWidth="1"/>
    <col min="6706" max="6911" width="9" style="1"/>
    <col min="6912" max="6912" width="2.85546875" style="1" bestFit="1" customWidth="1"/>
    <col min="6913" max="6913" width="16.5703125" style="1" bestFit="1" customWidth="1"/>
    <col min="6914" max="6914" width="11.42578125" style="1" bestFit="1" customWidth="1"/>
    <col min="6915" max="6916" width="14.140625" style="1" bestFit="1" customWidth="1"/>
    <col min="6917" max="6917" width="11.42578125" style="1" bestFit="1" customWidth="1"/>
    <col min="6918" max="6921" width="12.42578125" style="1" bestFit="1" customWidth="1"/>
    <col min="6922" max="6941" width="13" style="1" bestFit="1" customWidth="1"/>
    <col min="6942" max="6945" width="11" style="1" bestFit="1" customWidth="1"/>
    <col min="6946" max="6948" width="12.28515625" style="1" bestFit="1" customWidth="1"/>
    <col min="6949" max="6958" width="11" style="1" bestFit="1" customWidth="1"/>
    <col min="6959" max="6959" width="13.28515625" style="1" bestFit="1" customWidth="1"/>
    <col min="6960" max="6960" width="10" style="1" bestFit="1" customWidth="1"/>
    <col min="6961" max="6961" width="11" style="1" bestFit="1" customWidth="1"/>
    <col min="6962" max="7167" width="9" style="1"/>
    <col min="7168" max="7168" width="2.85546875" style="1" bestFit="1" customWidth="1"/>
    <col min="7169" max="7169" width="16.5703125" style="1" bestFit="1" customWidth="1"/>
    <col min="7170" max="7170" width="11.42578125" style="1" bestFit="1" customWidth="1"/>
    <col min="7171" max="7172" width="14.140625" style="1" bestFit="1" customWidth="1"/>
    <col min="7173" max="7173" width="11.42578125" style="1" bestFit="1" customWidth="1"/>
    <col min="7174" max="7177" width="12.42578125" style="1" bestFit="1" customWidth="1"/>
    <col min="7178" max="7197" width="13" style="1" bestFit="1" customWidth="1"/>
    <col min="7198" max="7201" width="11" style="1" bestFit="1" customWidth="1"/>
    <col min="7202" max="7204" width="12.28515625" style="1" bestFit="1" customWidth="1"/>
    <col min="7205" max="7214" width="11" style="1" bestFit="1" customWidth="1"/>
    <col min="7215" max="7215" width="13.28515625" style="1" bestFit="1" customWidth="1"/>
    <col min="7216" max="7216" width="10" style="1" bestFit="1" customWidth="1"/>
    <col min="7217" max="7217" width="11" style="1" bestFit="1" customWidth="1"/>
    <col min="7218" max="7423" width="9" style="1"/>
    <col min="7424" max="7424" width="2.85546875" style="1" bestFit="1" customWidth="1"/>
    <col min="7425" max="7425" width="16.5703125" style="1" bestFit="1" customWidth="1"/>
    <col min="7426" max="7426" width="11.42578125" style="1" bestFit="1" customWidth="1"/>
    <col min="7427" max="7428" width="14.140625" style="1" bestFit="1" customWidth="1"/>
    <col min="7429" max="7429" width="11.42578125" style="1" bestFit="1" customWidth="1"/>
    <col min="7430" max="7433" width="12.42578125" style="1" bestFit="1" customWidth="1"/>
    <col min="7434" max="7453" width="13" style="1" bestFit="1" customWidth="1"/>
    <col min="7454" max="7457" width="11" style="1" bestFit="1" customWidth="1"/>
    <col min="7458" max="7460" width="12.28515625" style="1" bestFit="1" customWidth="1"/>
    <col min="7461" max="7470" width="11" style="1" bestFit="1" customWidth="1"/>
    <col min="7471" max="7471" width="13.28515625" style="1" bestFit="1" customWidth="1"/>
    <col min="7472" max="7472" width="10" style="1" bestFit="1" customWidth="1"/>
    <col min="7473" max="7473" width="11" style="1" bestFit="1" customWidth="1"/>
    <col min="7474" max="7679" width="9" style="1"/>
    <col min="7680" max="7680" width="2.85546875" style="1" bestFit="1" customWidth="1"/>
    <col min="7681" max="7681" width="16.5703125" style="1" bestFit="1" customWidth="1"/>
    <col min="7682" max="7682" width="11.42578125" style="1" bestFit="1" customWidth="1"/>
    <col min="7683" max="7684" width="14.140625" style="1" bestFit="1" customWidth="1"/>
    <col min="7685" max="7685" width="11.42578125" style="1" bestFit="1" customWidth="1"/>
    <col min="7686" max="7689" width="12.42578125" style="1" bestFit="1" customWidth="1"/>
    <col min="7690" max="7709" width="13" style="1" bestFit="1" customWidth="1"/>
    <col min="7710" max="7713" width="11" style="1" bestFit="1" customWidth="1"/>
    <col min="7714" max="7716" width="12.28515625" style="1" bestFit="1" customWidth="1"/>
    <col min="7717" max="7726" width="11" style="1" bestFit="1" customWidth="1"/>
    <col min="7727" max="7727" width="13.28515625" style="1" bestFit="1" customWidth="1"/>
    <col min="7728" max="7728" width="10" style="1" bestFit="1" customWidth="1"/>
    <col min="7729" max="7729" width="11" style="1" bestFit="1" customWidth="1"/>
    <col min="7730" max="7935" width="9" style="1"/>
    <col min="7936" max="7936" width="2.85546875" style="1" bestFit="1" customWidth="1"/>
    <col min="7937" max="7937" width="16.5703125" style="1" bestFit="1" customWidth="1"/>
    <col min="7938" max="7938" width="11.42578125" style="1" bestFit="1" customWidth="1"/>
    <col min="7939" max="7940" width="14.140625" style="1" bestFit="1" customWidth="1"/>
    <col min="7941" max="7941" width="11.42578125" style="1" bestFit="1" customWidth="1"/>
    <col min="7942" max="7945" width="12.42578125" style="1" bestFit="1" customWidth="1"/>
    <col min="7946" max="7965" width="13" style="1" bestFit="1" customWidth="1"/>
    <col min="7966" max="7969" width="11" style="1" bestFit="1" customWidth="1"/>
    <col min="7970" max="7972" width="12.28515625" style="1" bestFit="1" customWidth="1"/>
    <col min="7973" max="7982" width="11" style="1" bestFit="1" customWidth="1"/>
    <col min="7983" max="7983" width="13.28515625" style="1" bestFit="1" customWidth="1"/>
    <col min="7984" max="7984" width="10" style="1" bestFit="1" customWidth="1"/>
    <col min="7985" max="7985" width="11" style="1" bestFit="1" customWidth="1"/>
    <col min="7986" max="8191" width="9" style="1"/>
    <col min="8192" max="8192" width="2.85546875" style="1" bestFit="1" customWidth="1"/>
    <col min="8193" max="8193" width="16.5703125" style="1" bestFit="1" customWidth="1"/>
    <col min="8194" max="8194" width="11.42578125" style="1" bestFit="1" customWidth="1"/>
    <col min="8195" max="8196" width="14.140625" style="1" bestFit="1" customWidth="1"/>
    <col min="8197" max="8197" width="11.42578125" style="1" bestFit="1" customWidth="1"/>
    <col min="8198" max="8201" width="12.42578125" style="1" bestFit="1" customWidth="1"/>
    <col min="8202" max="8221" width="13" style="1" bestFit="1" customWidth="1"/>
    <col min="8222" max="8225" width="11" style="1" bestFit="1" customWidth="1"/>
    <col min="8226" max="8228" width="12.28515625" style="1" bestFit="1" customWidth="1"/>
    <col min="8229" max="8238" width="11" style="1" bestFit="1" customWidth="1"/>
    <col min="8239" max="8239" width="13.28515625" style="1" bestFit="1" customWidth="1"/>
    <col min="8240" max="8240" width="10" style="1" bestFit="1" customWidth="1"/>
    <col min="8241" max="8241" width="11" style="1" bestFit="1" customWidth="1"/>
    <col min="8242" max="8447" width="9" style="1"/>
    <col min="8448" max="8448" width="2.85546875" style="1" bestFit="1" customWidth="1"/>
    <col min="8449" max="8449" width="16.5703125" style="1" bestFit="1" customWidth="1"/>
    <col min="8450" max="8450" width="11.42578125" style="1" bestFit="1" customWidth="1"/>
    <col min="8451" max="8452" width="14.140625" style="1" bestFit="1" customWidth="1"/>
    <col min="8453" max="8453" width="11.42578125" style="1" bestFit="1" customWidth="1"/>
    <col min="8454" max="8457" width="12.42578125" style="1" bestFit="1" customWidth="1"/>
    <col min="8458" max="8477" width="13" style="1" bestFit="1" customWidth="1"/>
    <col min="8478" max="8481" width="11" style="1" bestFit="1" customWidth="1"/>
    <col min="8482" max="8484" width="12.28515625" style="1" bestFit="1" customWidth="1"/>
    <col min="8485" max="8494" width="11" style="1" bestFit="1" customWidth="1"/>
    <col min="8495" max="8495" width="13.28515625" style="1" bestFit="1" customWidth="1"/>
    <col min="8496" max="8496" width="10" style="1" bestFit="1" customWidth="1"/>
    <col min="8497" max="8497" width="11" style="1" bestFit="1" customWidth="1"/>
    <col min="8498" max="8703" width="9" style="1"/>
    <col min="8704" max="8704" width="2.85546875" style="1" bestFit="1" customWidth="1"/>
    <col min="8705" max="8705" width="16.5703125" style="1" bestFit="1" customWidth="1"/>
    <col min="8706" max="8706" width="11.42578125" style="1" bestFit="1" customWidth="1"/>
    <col min="8707" max="8708" width="14.140625" style="1" bestFit="1" customWidth="1"/>
    <col min="8709" max="8709" width="11.42578125" style="1" bestFit="1" customWidth="1"/>
    <col min="8710" max="8713" width="12.42578125" style="1" bestFit="1" customWidth="1"/>
    <col min="8714" max="8733" width="13" style="1" bestFit="1" customWidth="1"/>
    <col min="8734" max="8737" width="11" style="1" bestFit="1" customWidth="1"/>
    <col min="8738" max="8740" width="12.28515625" style="1" bestFit="1" customWidth="1"/>
    <col min="8741" max="8750" width="11" style="1" bestFit="1" customWidth="1"/>
    <col min="8751" max="8751" width="13.28515625" style="1" bestFit="1" customWidth="1"/>
    <col min="8752" max="8752" width="10" style="1" bestFit="1" customWidth="1"/>
    <col min="8753" max="8753" width="11" style="1" bestFit="1" customWidth="1"/>
    <col min="8754" max="8959" width="9" style="1"/>
    <col min="8960" max="8960" width="2.85546875" style="1" bestFit="1" customWidth="1"/>
    <col min="8961" max="8961" width="16.5703125" style="1" bestFit="1" customWidth="1"/>
    <col min="8962" max="8962" width="11.42578125" style="1" bestFit="1" customWidth="1"/>
    <col min="8963" max="8964" width="14.140625" style="1" bestFit="1" customWidth="1"/>
    <col min="8965" max="8965" width="11.42578125" style="1" bestFit="1" customWidth="1"/>
    <col min="8966" max="8969" width="12.42578125" style="1" bestFit="1" customWidth="1"/>
    <col min="8970" max="8989" width="13" style="1" bestFit="1" customWidth="1"/>
    <col min="8990" max="8993" width="11" style="1" bestFit="1" customWidth="1"/>
    <col min="8994" max="8996" width="12.28515625" style="1" bestFit="1" customWidth="1"/>
    <col min="8997" max="9006" width="11" style="1" bestFit="1" customWidth="1"/>
    <col min="9007" max="9007" width="13.28515625" style="1" bestFit="1" customWidth="1"/>
    <col min="9008" max="9008" width="10" style="1" bestFit="1" customWidth="1"/>
    <col min="9009" max="9009" width="11" style="1" bestFit="1" customWidth="1"/>
    <col min="9010" max="9215" width="9" style="1"/>
    <col min="9216" max="9216" width="2.85546875" style="1" bestFit="1" customWidth="1"/>
    <col min="9217" max="9217" width="16.5703125" style="1" bestFit="1" customWidth="1"/>
    <col min="9218" max="9218" width="11.42578125" style="1" bestFit="1" customWidth="1"/>
    <col min="9219" max="9220" width="14.140625" style="1" bestFit="1" customWidth="1"/>
    <col min="9221" max="9221" width="11.42578125" style="1" bestFit="1" customWidth="1"/>
    <col min="9222" max="9225" width="12.42578125" style="1" bestFit="1" customWidth="1"/>
    <col min="9226" max="9245" width="13" style="1" bestFit="1" customWidth="1"/>
    <col min="9246" max="9249" width="11" style="1" bestFit="1" customWidth="1"/>
    <col min="9250" max="9252" width="12.28515625" style="1" bestFit="1" customWidth="1"/>
    <col min="9253" max="9262" width="11" style="1" bestFit="1" customWidth="1"/>
    <col min="9263" max="9263" width="13.28515625" style="1" bestFit="1" customWidth="1"/>
    <col min="9264" max="9264" width="10" style="1" bestFit="1" customWidth="1"/>
    <col min="9265" max="9265" width="11" style="1" bestFit="1" customWidth="1"/>
    <col min="9266" max="9471" width="9" style="1"/>
    <col min="9472" max="9472" width="2.85546875" style="1" bestFit="1" customWidth="1"/>
    <col min="9473" max="9473" width="16.5703125" style="1" bestFit="1" customWidth="1"/>
    <col min="9474" max="9474" width="11.42578125" style="1" bestFit="1" customWidth="1"/>
    <col min="9475" max="9476" width="14.140625" style="1" bestFit="1" customWidth="1"/>
    <col min="9477" max="9477" width="11.42578125" style="1" bestFit="1" customWidth="1"/>
    <col min="9478" max="9481" width="12.42578125" style="1" bestFit="1" customWidth="1"/>
    <col min="9482" max="9501" width="13" style="1" bestFit="1" customWidth="1"/>
    <col min="9502" max="9505" width="11" style="1" bestFit="1" customWidth="1"/>
    <col min="9506" max="9508" width="12.28515625" style="1" bestFit="1" customWidth="1"/>
    <col min="9509" max="9518" width="11" style="1" bestFit="1" customWidth="1"/>
    <col min="9519" max="9519" width="13.28515625" style="1" bestFit="1" customWidth="1"/>
    <col min="9520" max="9520" width="10" style="1" bestFit="1" customWidth="1"/>
    <col min="9521" max="9521" width="11" style="1" bestFit="1" customWidth="1"/>
    <col min="9522" max="9727" width="9" style="1"/>
    <col min="9728" max="9728" width="2.85546875" style="1" bestFit="1" customWidth="1"/>
    <col min="9729" max="9729" width="16.5703125" style="1" bestFit="1" customWidth="1"/>
    <col min="9730" max="9730" width="11.42578125" style="1" bestFit="1" customWidth="1"/>
    <col min="9731" max="9732" width="14.140625" style="1" bestFit="1" customWidth="1"/>
    <col min="9733" max="9733" width="11.42578125" style="1" bestFit="1" customWidth="1"/>
    <col min="9734" max="9737" width="12.42578125" style="1" bestFit="1" customWidth="1"/>
    <col min="9738" max="9757" width="13" style="1" bestFit="1" customWidth="1"/>
    <col min="9758" max="9761" width="11" style="1" bestFit="1" customWidth="1"/>
    <col min="9762" max="9764" width="12.28515625" style="1" bestFit="1" customWidth="1"/>
    <col min="9765" max="9774" width="11" style="1" bestFit="1" customWidth="1"/>
    <col min="9775" max="9775" width="13.28515625" style="1" bestFit="1" customWidth="1"/>
    <col min="9776" max="9776" width="10" style="1" bestFit="1" customWidth="1"/>
    <col min="9777" max="9777" width="11" style="1" bestFit="1" customWidth="1"/>
    <col min="9778" max="9983" width="9" style="1"/>
    <col min="9984" max="9984" width="2.85546875" style="1" bestFit="1" customWidth="1"/>
    <col min="9985" max="9985" width="16.5703125" style="1" bestFit="1" customWidth="1"/>
    <col min="9986" max="9986" width="11.42578125" style="1" bestFit="1" customWidth="1"/>
    <col min="9987" max="9988" width="14.140625" style="1" bestFit="1" customWidth="1"/>
    <col min="9989" max="9989" width="11.42578125" style="1" bestFit="1" customWidth="1"/>
    <col min="9990" max="9993" width="12.42578125" style="1" bestFit="1" customWidth="1"/>
    <col min="9994" max="10013" width="13" style="1" bestFit="1" customWidth="1"/>
    <col min="10014" max="10017" width="11" style="1" bestFit="1" customWidth="1"/>
    <col min="10018" max="10020" width="12.28515625" style="1" bestFit="1" customWidth="1"/>
    <col min="10021" max="10030" width="11" style="1" bestFit="1" customWidth="1"/>
    <col min="10031" max="10031" width="13.28515625" style="1" bestFit="1" customWidth="1"/>
    <col min="10032" max="10032" width="10" style="1" bestFit="1" customWidth="1"/>
    <col min="10033" max="10033" width="11" style="1" bestFit="1" customWidth="1"/>
    <col min="10034" max="10239" width="9" style="1"/>
    <col min="10240" max="10240" width="2.85546875" style="1" bestFit="1" customWidth="1"/>
    <col min="10241" max="10241" width="16.5703125" style="1" bestFit="1" customWidth="1"/>
    <col min="10242" max="10242" width="11.42578125" style="1" bestFit="1" customWidth="1"/>
    <col min="10243" max="10244" width="14.140625" style="1" bestFit="1" customWidth="1"/>
    <col min="10245" max="10245" width="11.42578125" style="1" bestFit="1" customWidth="1"/>
    <col min="10246" max="10249" width="12.42578125" style="1" bestFit="1" customWidth="1"/>
    <col min="10250" max="10269" width="13" style="1" bestFit="1" customWidth="1"/>
    <col min="10270" max="10273" width="11" style="1" bestFit="1" customWidth="1"/>
    <col min="10274" max="10276" width="12.28515625" style="1" bestFit="1" customWidth="1"/>
    <col min="10277" max="10286" width="11" style="1" bestFit="1" customWidth="1"/>
    <col min="10287" max="10287" width="13.28515625" style="1" bestFit="1" customWidth="1"/>
    <col min="10288" max="10288" width="10" style="1" bestFit="1" customWidth="1"/>
    <col min="10289" max="10289" width="11" style="1" bestFit="1" customWidth="1"/>
    <col min="10290" max="10495" width="9" style="1"/>
    <col min="10496" max="10496" width="2.85546875" style="1" bestFit="1" customWidth="1"/>
    <col min="10497" max="10497" width="16.5703125" style="1" bestFit="1" customWidth="1"/>
    <col min="10498" max="10498" width="11.42578125" style="1" bestFit="1" customWidth="1"/>
    <col min="10499" max="10500" width="14.140625" style="1" bestFit="1" customWidth="1"/>
    <col min="10501" max="10501" width="11.42578125" style="1" bestFit="1" customWidth="1"/>
    <col min="10502" max="10505" width="12.42578125" style="1" bestFit="1" customWidth="1"/>
    <col min="10506" max="10525" width="13" style="1" bestFit="1" customWidth="1"/>
    <col min="10526" max="10529" width="11" style="1" bestFit="1" customWidth="1"/>
    <col min="10530" max="10532" width="12.28515625" style="1" bestFit="1" customWidth="1"/>
    <col min="10533" max="10542" width="11" style="1" bestFit="1" customWidth="1"/>
    <col min="10543" max="10543" width="13.28515625" style="1" bestFit="1" customWidth="1"/>
    <col min="10544" max="10544" width="10" style="1" bestFit="1" customWidth="1"/>
    <col min="10545" max="10545" width="11" style="1" bestFit="1" customWidth="1"/>
    <col min="10546" max="10751" width="9" style="1"/>
    <col min="10752" max="10752" width="2.85546875" style="1" bestFit="1" customWidth="1"/>
    <col min="10753" max="10753" width="16.5703125" style="1" bestFit="1" customWidth="1"/>
    <col min="10754" max="10754" width="11.42578125" style="1" bestFit="1" customWidth="1"/>
    <col min="10755" max="10756" width="14.140625" style="1" bestFit="1" customWidth="1"/>
    <col min="10757" max="10757" width="11.42578125" style="1" bestFit="1" customWidth="1"/>
    <col min="10758" max="10761" width="12.42578125" style="1" bestFit="1" customWidth="1"/>
    <col min="10762" max="10781" width="13" style="1" bestFit="1" customWidth="1"/>
    <col min="10782" max="10785" width="11" style="1" bestFit="1" customWidth="1"/>
    <col min="10786" max="10788" width="12.28515625" style="1" bestFit="1" customWidth="1"/>
    <col min="10789" max="10798" width="11" style="1" bestFit="1" customWidth="1"/>
    <col min="10799" max="10799" width="13.28515625" style="1" bestFit="1" customWidth="1"/>
    <col min="10800" max="10800" width="10" style="1" bestFit="1" customWidth="1"/>
    <col min="10801" max="10801" width="11" style="1" bestFit="1" customWidth="1"/>
    <col min="10802" max="11007" width="9" style="1"/>
    <col min="11008" max="11008" width="2.85546875" style="1" bestFit="1" customWidth="1"/>
    <col min="11009" max="11009" width="16.5703125" style="1" bestFit="1" customWidth="1"/>
    <col min="11010" max="11010" width="11.42578125" style="1" bestFit="1" customWidth="1"/>
    <col min="11011" max="11012" width="14.140625" style="1" bestFit="1" customWidth="1"/>
    <col min="11013" max="11013" width="11.42578125" style="1" bestFit="1" customWidth="1"/>
    <col min="11014" max="11017" width="12.42578125" style="1" bestFit="1" customWidth="1"/>
    <col min="11018" max="11037" width="13" style="1" bestFit="1" customWidth="1"/>
    <col min="11038" max="11041" width="11" style="1" bestFit="1" customWidth="1"/>
    <col min="11042" max="11044" width="12.28515625" style="1" bestFit="1" customWidth="1"/>
    <col min="11045" max="11054" width="11" style="1" bestFit="1" customWidth="1"/>
    <col min="11055" max="11055" width="13.28515625" style="1" bestFit="1" customWidth="1"/>
    <col min="11056" max="11056" width="10" style="1" bestFit="1" customWidth="1"/>
    <col min="11057" max="11057" width="11" style="1" bestFit="1" customWidth="1"/>
    <col min="11058" max="11263" width="9" style="1"/>
    <col min="11264" max="11264" width="2.85546875" style="1" bestFit="1" customWidth="1"/>
    <col min="11265" max="11265" width="16.5703125" style="1" bestFit="1" customWidth="1"/>
    <col min="11266" max="11266" width="11.42578125" style="1" bestFit="1" customWidth="1"/>
    <col min="11267" max="11268" width="14.140625" style="1" bestFit="1" customWidth="1"/>
    <col min="11269" max="11269" width="11.42578125" style="1" bestFit="1" customWidth="1"/>
    <col min="11270" max="11273" width="12.42578125" style="1" bestFit="1" customWidth="1"/>
    <col min="11274" max="11293" width="13" style="1" bestFit="1" customWidth="1"/>
    <col min="11294" max="11297" width="11" style="1" bestFit="1" customWidth="1"/>
    <col min="11298" max="11300" width="12.28515625" style="1" bestFit="1" customWidth="1"/>
    <col min="11301" max="11310" width="11" style="1" bestFit="1" customWidth="1"/>
    <col min="11311" max="11311" width="13.28515625" style="1" bestFit="1" customWidth="1"/>
    <col min="11312" max="11312" width="10" style="1" bestFit="1" customWidth="1"/>
    <col min="11313" max="11313" width="11" style="1" bestFit="1" customWidth="1"/>
    <col min="11314" max="11519" width="9" style="1"/>
    <col min="11520" max="11520" width="2.85546875" style="1" bestFit="1" customWidth="1"/>
    <col min="11521" max="11521" width="16.5703125" style="1" bestFit="1" customWidth="1"/>
    <col min="11522" max="11522" width="11.42578125" style="1" bestFit="1" customWidth="1"/>
    <col min="11523" max="11524" width="14.140625" style="1" bestFit="1" customWidth="1"/>
    <col min="11525" max="11525" width="11.42578125" style="1" bestFit="1" customWidth="1"/>
    <col min="11526" max="11529" width="12.42578125" style="1" bestFit="1" customWidth="1"/>
    <col min="11530" max="11549" width="13" style="1" bestFit="1" customWidth="1"/>
    <col min="11550" max="11553" width="11" style="1" bestFit="1" customWidth="1"/>
    <col min="11554" max="11556" width="12.28515625" style="1" bestFit="1" customWidth="1"/>
    <col min="11557" max="11566" width="11" style="1" bestFit="1" customWidth="1"/>
    <col min="11567" max="11567" width="13.28515625" style="1" bestFit="1" customWidth="1"/>
    <col min="11568" max="11568" width="10" style="1" bestFit="1" customWidth="1"/>
    <col min="11569" max="11569" width="11" style="1" bestFit="1" customWidth="1"/>
    <col min="11570" max="11775" width="9" style="1"/>
    <col min="11776" max="11776" width="2.85546875" style="1" bestFit="1" customWidth="1"/>
    <col min="11777" max="11777" width="16.5703125" style="1" bestFit="1" customWidth="1"/>
    <col min="11778" max="11778" width="11.42578125" style="1" bestFit="1" customWidth="1"/>
    <col min="11779" max="11780" width="14.140625" style="1" bestFit="1" customWidth="1"/>
    <col min="11781" max="11781" width="11.42578125" style="1" bestFit="1" customWidth="1"/>
    <col min="11782" max="11785" width="12.42578125" style="1" bestFit="1" customWidth="1"/>
    <col min="11786" max="11805" width="13" style="1" bestFit="1" customWidth="1"/>
    <col min="11806" max="11809" width="11" style="1" bestFit="1" customWidth="1"/>
    <col min="11810" max="11812" width="12.28515625" style="1" bestFit="1" customWidth="1"/>
    <col min="11813" max="11822" width="11" style="1" bestFit="1" customWidth="1"/>
    <col min="11823" max="11823" width="13.28515625" style="1" bestFit="1" customWidth="1"/>
    <col min="11824" max="11824" width="10" style="1" bestFit="1" customWidth="1"/>
    <col min="11825" max="11825" width="11" style="1" bestFit="1" customWidth="1"/>
    <col min="11826" max="12031" width="9" style="1"/>
    <col min="12032" max="12032" width="2.85546875" style="1" bestFit="1" customWidth="1"/>
    <col min="12033" max="12033" width="16.5703125" style="1" bestFit="1" customWidth="1"/>
    <col min="12034" max="12034" width="11.42578125" style="1" bestFit="1" customWidth="1"/>
    <col min="12035" max="12036" width="14.140625" style="1" bestFit="1" customWidth="1"/>
    <col min="12037" max="12037" width="11.42578125" style="1" bestFit="1" customWidth="1"/>
    <col min="12038" max="12041" width="12.42578125" style="1" bestFit="1" customWidth="1"/>
    <col min="12042" max="12061" width="13" style="1" bestFit="1" customWidth="1"/>
    <col min="12062" max="12065" width="11" style="1" bestFit="1" customWidth="1"/>
    <col min="12066" max="12068" width="12.28515625" style="1" bestFit="1" customWidth="1"/>
    <col min="12069" max="12078" width="11" style="1" bestFit="1" customWidth="1"/>
    <col min="12079" max="12079" width="13.28515625" style="1" bestFit="1" customWidth="1"/>
    <col min="12080" max="12080" width="10" style="1" bestFit="1" customWidth="1"/>
    <col min="12081" max="12081" width="11" style="1" bestFit="1" customWidth="1"/>
    <col min="12082" max="12287" width="9" style="1"/>
    <col min="12288" max="12288" width="2.85546875" style="1" bestFit="1" customWidth="1"/>
    <col min="12289" max="12289" width="16.5703125" style="1" bestFit="1" customWidth="1"/>
    <col min="12290" max="12290" width="11.42578125" style="1" bestFit="1" customWidth="1"/>
    <col min="12291" max="12292" width="14.140625" style="1" bestFit="1" customWidth="1"/>
    <col min="12293" max="12293" width="11.42578125" style="1" bestFit="1" customWidth="1"/>
    <col min="12294" max="12297" width="12.42578125" style="1" bestFit="1" customWidth="1"/>
    <col min="12298" max="12317" width="13" style="1" bestFit="1" customWidth="1"/>
    <col min="12318" max="12321" width="11" style="1" bestFit="1" customWidth="1"/>
    <col min="12322" max="12324" width="12.28515625" style="1" bestFit="1" customWidth="1"/>
    <col min="12325" max="12334" width="11" style="1" bestFit="1" customWidth="1"/>
    <col min="12335" max="12335" width="13.28515625" style="1" bestFit="1" customWidth="1"/>
    <col min="12336" max="12336" width="10" style="1" bestFit="1" customWidth="1"/>
    <col min="12337" max="12337" width="11" style="1" bestFit="1" customWidth="1"/>
    <col min="12338" max="12543" width="9" style="1"/>
    <col min="12544" max="12544" width="2.85546875" style="1" bestFit="1" customWidth="1"/>
    <col min="12545" max="12545" width="16.5703125" style="1" bestFit="1" customWidth="1"/>
    <col min="12546" max="12546" width="11.42578125" style="1" bestFit="1" customWidth="1"/>
    <col min="12547" max="12548" width="14.140625" style="1" bestFit="1" customWidth="1"/>
    <col min="12549" max="12549" width="11.42578125" style="1" bestFit="1" customWidth="1"/>
    <col min="12550" max="12553" width="12.42578125" style="1" bestFit="1" customWidth="1"/>
    <col min="12554" max="12573" width="13" style="1" bestFit="1" customWidth="1"/>
    <col min="12574" max="12577" width="11" style="1" bestFit="1" customWidth="1"/>
    <col min="12578" max="12580" width="12.28515625" style="1" bestFit="1" customWidth="1"/>
    <col min="12581" max="12590" width="11" style="1" bestFit="1" customWidth="1"/>
    <col min="12591" max="12591" width="13.28515625" style="1" bestFit="1" customWidth="1"/>
    <col min="12592" max="12592" width="10" style="1" bestFit="1" customWidth="1"/>
    <col min="12593" max="12593" width="11" style="1" bestFit="1" customWidth="1"/>
    <col min="12594" max="12799" width="9" style="1"/>
    <col min="12800" max="12800" width="2.85546875" style="1" bestFit="1" customWidth="1"/>
    <col min="12801" max="12801" width="16.5703125" style="1" bestFit="1" customWidth="1"/>
    <col min="12802" max="12802" width="11.42578125" style="1" bestFit="1" customWidth="1"/>
    <col min="12803" max="12804" width="14.140625" style="1" bestFit="1" customWidth="1"/>
    <col min="12805" max="12805" width="11.42578125" style="1" bestFit="1" customWidth="1"/>
    <col min="12806" max="12809" width="12.42578125" style="1" bestFit="1" customWidth="1"/>
    <col min="12810" max="12829" width="13" style="1" bestFit="1" customWidth="1"/>
    <col min="12830" max="12833" width="11" style="1" bestFit="1" customWidth="1"/>
    <col min="12834" max="12836" width="12.28515625" style="1" bestFit="1" customWidth="1"/>
    <col min="12837" max="12846" width="11" style="1" bestFit="1" customWidth="1"/>
    <col min="12847" max="12847" width="13.28515625" style="1" bestFit="1" customWidth="1"/>
    <col min="12848" max="12848" width="10" style="1" bestFit="1" customWidth="1"/>
    <col min="12849" max="12849" width="11" style="1" bestFit="1" customWidth="1"/>
    <col min="12850" max="13055" width="9" style="1"/>
    <col min="13056" max="13056" width="2.85546875" style="1" bestFit="1" customWidth="1"/>
    <col min="13057" max="13057" width="16.5703125" style="1" bestFit="1" customWidth="1"/>
    <col min="13058" max="13058" width="11.42578125" style="1" bestFit="1" customWidth="1"/>
    <col min="13059" max="13060" width="14.140625" style="1" bestFit="1" customWidth="1"/>
    <col min="13061" max="13061" width="11.42578125" style="1" bestFit="1" customWidth="1"/>
    <col min="13062" max="13065" width="12.42578125" style="1" bestFit="1" customWidth="1"/>
    <col min="13066" max="13085" width="13" style="1" bestFit="1" customWidth="1"/>
    <col min="13086" max="13089" width="11" style="1" bestFit="1" customWidth="1"/>
    <col min="13090" max="13092" width="12.28515625" style="1" bestFit="1" customWidth="1"/>
    <col min="13093" max="13102" width="11" style="1" bestFit="1" customWidth="1"/>
    <col min="13103" max="13103" width="13.28515625" style="1" bestFit="1" customWidth="1"/>
    <col min="13104" max="13104" width="10" style="1" bestFit="1" customWidth="1"/>
    <col min="13105" max="13105" width="11" style="1" bestFit="1" customWidth="1"/>
    <col min="13106" max="13311" width="9" style="1"/>
    <col min="13312" max="13312" width="2.85546875" style="1" bestFit="1" customWidth="1"/>
    <col min="13313" max="13313" width="16.5703125" style="1" bestFit="1" customWidth="1"/>
    <col min="13314" max="13314" width="11.42578125" style="1" bestFit="1" customWidth="1"/>
    <col min="13315" max="13316" width="14.140625" style="1" bestFit="1" customWidth="1"/>
    <col min="13317" max="13317" width="11.42578125" style="1" bestFit="1" customWidth="1"/>
    <col min="13318" max="13321" width="12.42578125" style="1" bestFit="1" customWidth="1"/>
    <col min="13322" max="13341" width="13" style="1" bestFit="1" customWidth="1"/>
    <col min="13342" max="13345" width="11" style="1" bestFit="1" customWidth="1"/>
    <col min="13346" max="13348" width="12.28515625" style="1" bestFit="1" customWidth="1"/>
    <col min="13349" max="13358" width="11" style="1" bestFit="1" customWidth="1"/>
    <col min="13359" max="13359" width="13.28515625" style="1" bestFit="1" customWidth="1"/>
    <col min="13360" max="13360" width="10" style="1" bestFit="1" customWidth="1"/>
    <col min="13361" max="13361" width="11" style="1" bestFit="1" customWidth="1"/>
    <col min="13362" max="13567" width="9" style="1"/>
    <col min="13568" max="13568" width="2.85546875" style="1" bestFit="1" customWidth="1"/>
    <col min="13569" max="13569" width="16.5703125" style="1" bestFit="1" customWidth="1"/>
    <col min="13570" max="13570" width="11.42578125" style="1" bestFit="1" customWidth="1"/>
    <col min="13571" max="13572" width="14.140625" style="1" bestFit="1" customWidth="1"/>
    <col min="13573" max="13573" width="11.42578125" style="1" bestFit="1" customWidth="1"/>
    <col min="13574" max="13577" width="12.42578125" style="1" bestFit="1" customWidth="1"/>
    <col min="13578" max="13597" width="13" style="1" bestFit="1" customWidth="1"/>
    <col min="13598" max="13601" width="11" style="1" bestFit="1" customWidth="1"/>
    <col min="13602" max="13604" width="12.28515625" style="1" bestFit="1" customWidth="1"/>
    <col min="13605" max="13614" width="11" style="1" bestFit="1" customWidth="1"/>
    <col min="13615" max="13615" width="13.28515625" style="1" bestFit="1" customWidth="1"/>
    <col min="13616" max="13616" width="10" style="1" bestFit="1" customWidth="1"/>
    <col min="13617" max="13617" width="11" style="1" bestFit="1" customWidth="1"/>
    <col min="13618" max="13823" width="9" style="1"/>
    <col min="13824" max="13824" width="2.85546875" style="1" bestFit="1" customWidth="1"/>
    <col min="13825" max="13825" width="16.5703125" style="1" bestFit="1" customWidth="1"/>
    <col min="13826" max="13826" width="11.42578125" style="1" bestFit="1" customWidth="1"/>
    <col min="13827" max="13828" width="14.140625" style="1" bestFit="1" customWidth="1"/>
    <col min="13829" max="13829" width="11.42578125" style="1" bestFit="1" customWidth="1"/>
    <col min="13830" max="13833" width="12.42578125" style="1" bestFit="1" customWidth="1"/>
    <col min="13834" max="13853" width="13" style="1" bestFit="1" customWidth="1"/>
    <col min="13854" max="13857" width="11" style="1" bestFit="1" customWidth="1"/>
    <col min="13858" max="13860" width="12.28515625" style="1" bestFit="1" customWidth="1"/>
    <col min="13861" max="13870" width="11" style="1" bestFit="1" customWidth="1"/>
    <col min="13871" max="13871" width="13.28515625" style="1" bestFit="1" customWidth="1"/>
    <col min="13872" max="13872" width="10" style="1" bestFit="1" customWidth="1"/>
    <col min="13873" max="13873" width="11" style="1" bestFit="1" customWidth="1"/>
    <col min="13874" max="14079" width="9" style="1"/>
    <col min="14080" max="14080" width="2.85546875" style="1" bestFit="1" customWidth="1"/>
    <col min="14081" max="14081" width="16.5703125" style="1" bestFit="1" customWidth="1"/>
    <col min="14082" max="14082" width="11.42578125" style="1" bestFit="1" customWidth="1"/>
    <col min="14083" max="14084" width="14.140625" style="1" bestFit="1" customWidth="1"/>
    <col min="14085" max="14085" width="11.42578125" style="1" bestFit="1" customWidth="1"/>
    <col min="14086" max="14089" width="12.42578125" style="1" bestFit="1" customWidth="1"/>
    <col min="14090" max="14109" width="13" style="1" bestFit="1" customWidth="1"/>
    <col min="14110" max="14113" width="11" style="1" bestFit="1" customWidth="1"/>
    <col min="14114" max="14116" width="12.28515625" style="1" bestFit="1" customWidth="1"/>
    <col min="14117" max="14126" width="11" style="1" bestFit="1" customWidth="1"/>
    <col min="14127" max="14127" width="13.28515625" style="1" bestFit="1" customWidth="1"/>
    <col min="14128" max="14128" width="10" style="1" bestFit="1" customWidth="1"/>
    <col min="14129" max="14129" width="11" style="1" bestFit="1" customWidth="1"/>
    <col min="14130" max="14335" width="9" style="1"/>
    <col min="14336" max="14336" width="2.85546875" style="1" bestFit="1" customWidth="1"/>
    <col min="14337" max="14337" width="16.5703125" style="1" bestFit="1" customWidth="1"/>
    <col min="14338" max="14338" width="11.42578125" style="1" bestFit="1" customWidth="1"/>
    <col min="14339" max="14340" width="14.140625" style="1" bestFit="1" customWidth="1"/>
    <col min="14341" max="14341" width="11.42578125" style="1" bestFit="1" customWidth="1"/>
    <col min="14342" max="14345" width="12.42578125" style="1" bestFit="1" customWidth="1"/>
    <col min="14346" max="14365" width="13" style="1" bestFit="1" customWidth="1"/>
    <col min="14366" max="14369" width="11" style="1" bestFit="1" customWidth="1"/>
    <col min="14370" max="14372" width="12.28515625" style="1" bestFit="1" customWidth="1"/>
    <col min="14373" max="14382" width="11" style="1" bestFit="1" customWidth="1"/>
    <col min="14383" max="14383" width="13.28515625" style="1" bestFit="1" customWidth="1"/>
    <col min="14384" max="14384" width="10" style="1" bestFit="1" customWidth="1"/>
    <col min="14385" max="14385" width="11" style="1" bestFit="1" customWidth="1"/>
    <col min="14386" max="14591" width="9" style="1"/>
    <col min="14592" max="14592" width="2.85546875" style="1" bestFit="1" customWidth="1"/>
    <col min="14593" max="14593" width="16.5703125" style="1" bestFit="1" customWidth="1"/>
    <col min="14594" max="14594" width="11.42578125" style="1" bestFit="1" customWidth="1"/>
    <col min="14595" max="14596" width="14.140625" style="1" bestFit="1" customWidth="1"/>
    <col min="14597" max="14597" width="11.42578125" style="1" bestFit="1" customWidth="1"/>
    <col min="14598" max="14601" width="12.42578125" style="1" bestFit="1" customWidth="1"/>
    <col min="14602" max="14621" width="13" style="1" bestFit="1" customWidth="1"/>
    <col min="14622" max="14625" width="11" style="1" bestFit="1" customWidth="1"/>
    <col min="14626" max="14628" width="12.28515625" style="1" bestFit="1" customWidth="1"/>
    <col min="14629" max="14638" width="11" style="1" bestFit="1" customWidth="1"/>
    <col min="14639" max="14639" width="13.28515625" style="1" bestFit="1" customWidth="1"/>
    <col min="14640" max="14640" width="10" style="1" bestFit="1" customWidth="1"/>
    <col min="14641" max="14641" width="11" style="1" bestFit="1" customWidth="1"/>
    <col min="14642" max="14847" width="9" style="1"/>
    <col min="14848" max="14848" width="2.85546875" style="1" bestFit="1" customWidth="1"/>
    <col min="14849" max="14849" width="16.5703125" style="1" bestFit="1" customWidth="1"/>
    <col min="14850" max="14850" width="11.42578125" style="1" bestFit="1" customWidth="1"/>
    <col min="14851" max="14852" width="14.140625" style="1" bestFit="1" customWidth="1"/>
    <col min="14853" max="14853" width="11.42578125" style="1" bestFit="1" customWidth="1"/>
    <col min="14854" max="14857" width="12.42578125" style="1" bestFit="1" customWidth="1"/>
    <col min="14858" max="14877" width="13" style="1" bestFit="1" customWidth="1"/>
    <col min="14878" max="14881" width="11" style="1" bestFit="1" customWidth="1"/>
    <col min="14882" max="14884" width="12.28515625" style="1" bestFit="1" customWidth="1"/>
    <col min="14885" max="14894" width="11" style="1" bestFit="1" customWidth="1"/>
    <col min="14895" max="14895" width="13.28515625" style="1" bestFit="1" customWidth="1"/>
    <col min="14896" max="14896" width="10" style="1" bestFit="1" customWidth="1"/>
    <col min="14897" max="14897" width="11" style="1" bestFit="1" customWidth="1"/>
    <col min="14898" max="15103" width="9" style="1"/>
    <col min="15104" max="15104" width="2.85546875" style="1" bestFit="1" customWidth="1"/>
    <col min="15105" max="15105" width="16.5703125" style="1" bestFit="1" customWidth="1"/>
    <col min="15106" max="15106" width="11.42578125" style="1" bestFit="1" customWidth="1"/>
    <col min="15107" max="15108" width="14.140625" style="1" bestFit="1" customWidth="1"/>
    <col min="15109" max="15109" width="11.42578125" style="1" bestFit="1" customWidth="1"/>
    <col min="15110" max="15113" width="12.42578125" style="1" bestFit="1" customWidth="1"/>
    <col min="15114" max="15133" width="13" style="1" bestFit="1" customWidth="1"/>
    <col min="15134" max="15137" width="11" style="1" bestFit="1" customWidth="1"/>
    <col min="15138" max="15140" width="12.28515625" style="1" bestFit="1" customWidth="1"/>
    <col min="15141" max="15150" width="11" style="1" bestFit="1" customWidth="1"/>
    <col min="15151" max="15151" width="13.28515625" style="1" bestFit="1" customWidth="1"/>
    <col min="15152" max="15152" width="10" style="1" bestFit="1" customWidth="1"/>
    <col min="15153" max="15153" width="11" style="1" bestFit="1" customWidth="1"/>
    <col min="15154" max="15359" width="9" style="1"/>
    <col min="15360" max="15360" width="2.85546875" style="1" bestFit="1" customWidth="1"/>
    <col min="15361" max="15361" width="16.5703125" style="1" bestFit="1" customWidth="1"/>
    <col min="15362" max="15362" width="11.42578125" style="1" bestFit="1" customWidth="1"/>
    <col min="15363" max="15364" width="14.140625" style="1" bestFit="1" customWidth="1"/>
    <col min="15365" max="15365" width="11.42578125" style="1" bestFit="1" customWidth="1"/>
    <col min="15366" max="15369" width="12.42578125" style="1" bestFit="1" customWidth="1"/>
    <col min="15370" max="15389" width="13" style="1" bestFit="1" customWidth="1"/>
    <col min="15390" max="15393" width="11" style="1" bestFit="1" customWidth="1"/>
    <col min="15394" max="15396" width="12.28515625" style="1" bestFit="1" customWidth="1"/>
    <col min="15397" max="15406" width="11" style="1" bestFit="1" customWidth="1"/>
    <col min="15407" max="15407" width="13.28515625" style="1" bestFit="1" customWidth="1"/>
    <col min="15408" max="15408" width="10" style="1" bestFit="1" customWidth="1"/>
    <col min="15409" max="15409" width="11" style="1" bestFit="1" customWidth="1"/>
    <col min="15410" max="15615" width="9" style="1"/>
    <col min="15616" max="15616" width="2.85546875" style="1" bestFit="1" customWidth="1"/>
    <col min="15617" max="15617" width="16.5703125" style="1" bestFit="1" customWidth="1"/>
    <col min="15618" max="15618" width="11.42578125" style="1" bestFit="1" customWidth="1"/>
    <col min="15619" max="15620" width="14.140625" style="1" bestFit="1" customWidth="1"/>
    <col min="15621" max="15621" width="11.42578125" style="1" bestFit="1" customWidth="1"/>
    <col min="15622" max="15625" width="12.42578125" style="1" bestFit="1" customWidth="1"/>
    <col min="15626" max="15645" width="13" style="1" bestFit="1" customWidth="1"/>
    <col min="15646" max="15649" width="11" style="1" bestFit="1" customWidth="1"/>
    <col min="15650" max="15652" width="12.28515625" style="1" bestFit="1" customWidth="1"/>
    <col min="15653" max="15662" width="11" style="1" bestFit="1" customWidth="1"/>
    <col min="15663" max="15663" width="13.28515625" style="1" bestFit="1" customWidth="1"/>
    <col min="15664" max="15664" width="10" style="1" bestFit="1" customWidth="1"/>
    <col min="15665" max="15665" width="11" style="1" bestFit="1" customWidth="1"/>
    <col min="15666" max="15871" width="9" style="1"/>
    <col min="15872" max="15872" width="2.85546875" style="1" bestFit="1" customWidth="1"/>
    <col min="15873" max="15873" width="16.5703125" style="1" bestFit="1" customWidth="1"/>
    <col min="15874" max="15874" width="11.42578125" style="1" bestFit="1" customWidth="1"/>
    <col min="15875" max="15876" width="14.140625" style="1" bestFit="1" customWidth="1"/>
    <col min="15877" max="15877" width="11.42578125" style="1" bestFit="1" customWidth="1"/>
    <col min="15878" max="15881" width="12.42578125" style="1" bestFit="1" customWidth="1"/>
    <col min="15882" max="15901" width="13" style="1" bestFit="1" customWidth="1"/>
    <col min="15902" max="15905" width="11" style="1" bestFit="1" customWidth="1"/>
    <col min="15906" max="15908" width="12.28515625" style="1" bestFit="1" customWidth="1"/>
    <col min="15909" max="15918" width="11" style="1" bestFit="1" customWidth="1"/>
    <col min="15919" max="15919" width="13.28515625" style="1" bestFit="1" customWidth="1"/>
    <col min="15920" max="15920" width="10" style="1" bestFit="1" customWidth="1"/>
    <col min="15921" max="15921" width="11" style="1" bestFit="1" customWidth="1"/>
    <col min="15922" max="16127" width="9" style="1"/>
    <col min="16128" max="16128" width="2.85546875" style="1" bestFit="1" customWidth="1"/>
    <col min="16129" max="16129" width="16.5703125" style="1" bestFit="1" customWidth="1"/>
    <col min="16130" max="16130" width="11.42578125" style="1" bestFit="1" customWidth="1"/>
    <col min="16131" max="16132" width="14.140625" style="1" bestFit="1" customWidth="1"/>
    <col min="16133" max="16133" width="11.42578125" style="1" bestFit="1" customWidth="1"/>
    <col min="16134" max="16137" width="12.42578125" style="1" bestFit="1" customWidth="1"/>
    <col min="16138" max="16157" width="13" style="1" bestFit="1" customWidth="1"/>
    <col min="16158" max="16161" width="11" style="1" bestFit="1" customWidth="1"/>
    <col min="16162" max="16164" width="12.28515625" style="1" bestFit="1" customWidth="1"/>
    <col min="16165" max="16174" width="11" style="1" bestFit="1" customWidth="1"/>
    <col min="16175" max="16175" width="13.28515625" style="1" bestFit="1" customWidth="1"/>
    <col min="16176" max="16176" width="10" style="1" bestFit="1" customWidth="1"/>
    <col min="16177" max="16177" width="11" style="1" bestFit="1" customWidth="1"/>
    <col min="16178" max="16384" width="9" style="1"/>
  </cols>
  <sheetData>
    <row r="2" spans="1:49" ht="30.75" customHeight="1"/>
    <row r="3" spans="1:49" ht="17.25">
      <c r="A3" s="53">
        <v>45717</v>
      </c>
      <c r="B3" s="53"/>
      <c r="C3" s="40" t="s">
        <v>0</v>
      </c>
    </row>
    <row r="4" spans="1:49" s="3" customFormat="1">
      <c r="A4" s="46" t="s">
        <v>1</v>
      </c>
      <c r="B4" s="46"/>
      <c r="C4" s="42" t="s">
        <v>2</v>
      </c>
      <c r="D4" s="42" t="s">
        <v>3</v>
      </c>
      <c r="E4" s="42" t="s">
        <v>4</v>
      </c>
      <c r="F4" s="42" t="s">
        <v>5</v>
      </c>
      <c r="G4" s="42" t="s">
        <v>6</v>
      </c>
      <c r="H4" s="42" t="s">
        <v>7</v>
      </c>
      <c r="I4" s="42" t="s">
        <v>8</v>
      </c>
      <c r="J4" s="42" t="s">
        <v>9</v>
      </c>
      <c r="K4" s="42" t="s">
        <v>10</v>
      </c>
      <c r="L4" s="42" t="s">
        <v>11</v>
      </c>
      <c r="M4" s="42" t="s">
        <v>12</v>
      </c>
      <c r="N4" s="42" t="s">
        <v>13</v>
      </c>
      <c r="O4" s="42" t="s">
        <v>14</v>
      </c>
      <c r="P4" s="42" t="s">
        <v>15</v>
      </c>
      <c r="Q4" s="42" t="s">
        <v>16</v>
      </c>
      <c r="R4" s="42" t="s">
        <v>17</v>
      </c>
      <c r="S4" s="42" t="s">
        <v>18</v>
      </c>
      <c r="T4" s="42" t="s">
        <v>19</v>
      </c>
      <c r="U4" s="42" t="s">
        <v>20</v>
      </c>
      <c r="V4" s="42" t="s">
        <v>21</v>
      </c>
      <c r="W4" s="42" t="s">
        <v>22</v>
      </c>
      <c r="X4" s="42" t="s">
        <v>23</v>
      </c>
      <c r="Y4" s="42" t="s">
        <v>24</v>
      </c>
      <c r="Z4" s="42" t="s">
        <v>25</v>
      </c>
      <c r="AA4" s="42" t="s">
        <v>26</v>
      </c>
      <c r="AB4" s="42" t="s">
        <v>27</v>
      </c>
      <c r="AC4" s="42" t="s">
        <v>28</v>
      </c>
      <c r="AD4" s="42" t="s">
        <v>29</v>
      </c>
      <c r="AE4" s="42" t="s">
        <v>30</v>
      </c>
      <c r="AF4" s="42" t="s">
        <v>31</v>
      </c>
      <c r="AG4" s="42" t="s">
        <v>32</v>
      </c>
      <c r="AH4" s="42" t="s">
        <v>33</v>
      </c>
      <c r="AI4" s="42" t="s">
        <v>34</v>
      </c>
      <c r="AJ4" s="42" t="s">
        <v>35</v>
      </c>
      <c r="AK4" s="42" t="s">
        <v>36</v>
      </c>
      <c r="AL4" s="42" t="s">
        <v>37</v>
      </c>
      <c r="AM4" s="42" t="s">
        <v>38</v>
      </c>
      <c r="AN4" s="42" t="s">
        <v>39</v>
      </c>
      <c r="AO4" s="42" t="s">
        <v>40</v>
      </c>
      <c r="AP4" s="42" t="s">
        <v>41</v>
      </c>
      <c r="AQ4" s="42" t="s">
        <v>42</v>
      </c>
      <c r="AR4" s="42" t="s">
        <v>43</v>
      </c>
      <c r="AS4" s="42" t="s">
        <v>44</v>
      </c>
      <c r="AT4" s="42" t="s">
        <v>45</v>
      </c>
      <c r="AU4" s="43" t="s">
        <v>46</v>
      </c>
      <c r="AV4" s="43" t="s">
        <v>47</v>
      </c>
      <c r="AW4" s="2" t="s">
        <v>48</v>
      </c>
    </row>
    <row r="5" spans="1:49" s="3" customFormat="1" hidden="1">
      <c r="A5" s="50" t="s">
        <v>49</v>
      </c>
      <c r="B5" s="54"/>
      <c r="C5" s="42">
        <v>1</v>
      </c>
      <c r="D5" s="42">
        <v>1</v>
      </c>
      <c r="E5" s="42">
        <v>1</v>
      </c>
      <c r="F5" s="42">
        <v>1</v>
      </c>
      <c r="G5" s="42">
        <v>1</v>
      </c>
      <c r="H5" s="42">
        <v>1</v>
      </c>
      <c r="I5" s="42">
        <v>1</v>
      </c>
      <c r="J5" s="42">
        <v>1</v>
      </c>
      <c r="K5" s="42">
        <v>2</v>
      </c>
      <c r="L5" s="42">
        <v>2</v>
      </c>
      <c r="M5" s="42">
        <v>2</v>
      </c>
      <c r="N5" s="42">
        <v>2</v>
      </c>
      <c r="O5" s="42">
        <v>2</v>
      </c>
      <c r="P5" s="42">
        <v>2</v>
      </c>
      <c r="Q5" s="42">
        <v>2</v>
      </c>
      <c r="R5" s="42">
        <v>2</v>
      </c>
      <c r="S5" s="42">
        <v>2</v>
      </c>
      <c r="T5" s="42">
        <v>2</v>
      </c>
      <c r="U5" s="42">
        <v>2</v>
      </c>
      <c r="V5" s="42">
        <v>2</v>
      </c>
      <c r="W5" s="42">
        <v>2</v>
      </c>
      <c r="X5" s="42">
        <v>2</v>
      </c>
      <c r="Y5" s="42">
        <v>2</v>
      </c>
      <c r="Z5" s="42">
        <v>2</v>
      </c>
      <c r="AA5" s="42">
        <v>2</v>
      </c>
      <c r="AB5" s="42">
        <v>2</v>
      </c>
      <c r="AC5" s="42">
        <v>2</v>
      </c>
      <c r="AD5" s="42">
        <v>2</v>
      </c>
      <c r="AE5" s="42">
        <v>6</v>
      </c>
      <c r="AF5" s="42">
        <v>6</v>
      </c>
      <c r="AG5" s="42">
        <v>6</v>
      </c>
      <c r="AH5" s="42">
        <v>6</v>
      </c>
      <c r="AI5" s="42">
        <v>6</v>
      </c>
      <c r="AJ5" s="42">
        <v>6</v>
      </c>
      <c r="AK5" s="42">
        <v>6</v>
      </c>
      <c r="AL5" s="42">
        <v>7</v>
      </c>
      <c r="AM5" s="42">
        <v>7</v>
      </c>
      <c r="AN5" s="42">
        <v>7</v>
      </c>
      <c r="AO5" s="42">
        <v>7</v>
      </c>
      <c r="AP5" s="42">
        <v>7</v>
      </c>
      <c r="AQ5" s="42">
        <v>7</v>
      </c>
      <c r="AR5" s="42">
        <v>7</v>
      </c>
      <c r="AS5" s="42">
        <v>8</v>
      </c>
      <c r="AT5" s="42">
        <v>8</v>
      </c>
      <c r="AU5" s="43"/>
      <c r="AV5" s="43"/>
      <c r="AW5" s="2"/>
    </row>
    <row r="6" spans="1:49" s="3" customFormat="1" hidden="1">
      <c r="A6" s="50" t="s">
        <v>50</v>
      </c>
      <c r="B6" s="54"/>
      <c r="C6" s="42" t="s">
        <v>51</v>
      </c>
      <c r="D6" s="42" t="s">
        <v>51</v>
      </c>
      <c r="E6" s="42" t="s">
        <v>51</v>
      </c>
      <c r="F6" s="42" t="s">
        <v>51</v>
      </c>
      <c r="G6" s="42" t="s">
        <v>51</v>
      </c>
      <c r="H6" s="42" t="s">
        <v>51</v>
      </c>
      <c r="I6" s="42" t="s">
        <v>51</v>
      </c>
      <c r="J6" s="42" t="s">
        <v>51</v>
      </c>
      <c r="K6" s="42" t="s">
        <v>52</v>
      </c>
      <c r="L6" s="42" t="s">
        <v>52</v>
      </c>
      <c r="M6" s="42" t="s">
        <v>52</v>
      </c>
      <c r="N6" s="42" t="s">
        <v>52</v>
      </c>
      <c r="O6" s="42" t="s">
        <v>52</v>
      </c>
      <c r="P6" s="42" t="s">
        <v>52</v>
      </c>
      <c r="Q6" s="42" t="s">
        <v>52</v>
      </c>
      <c r="R6" s="42" t="s">
        <v>52</v>
      </c>
      <c r="S6" s="42" t="s">
        <v>52</v>
      </c>
      <c r="T6" s="42" t="s">
        <v>52</v>
      </c>
      <c r="U6" s="42" t="s">
        <v>52</v>
      </c>
      <c r="V6" s="42" t="s">
        <v>52</v>
      </c>
      <c r="W6" s="42" t="s">
        <v>52</v>
      </c>
      <c r="X6" s="42" t="s">
        <v>52</v>
      </c>
      <c r="Y6" s="42" t="s">
        <v>52</v>
      </c>
      <c r="Z6" s="42" t="s">
        <v>52</v>
      </c>
      <c r="AA6" s="42" t="s">
        <v>52</v>
      </c>
      <c r="AB6" s="42" t="s">
        <v>52</v>
      </c>
      <c r="AC6" s="42" t="s">
        <v>52</v>
      </c>
      <c r="AD6" s="42" t="s">
        <v>52</v>
      </c>
      <c r="AE6" s="42" t="s">
        <v>53</v>
      </c>
      <c r="AF6" s="42" t="s">
        <v>53</v>
      </c>
      <c r="AG6" s="42" t="s">
        <v>53</v>
      </c>
      <c r="AH6" s="42" t="s">
        <v>53</v>
      </c>
      <c r="AI6" s="42" t="s">
        <v>53</v>
      </c>
      <c r="AJ6" s="42" t="s">
        <v>53</v>
      </c>
      <c r="AK6" s="42" t="s">
        <v>53</v>
      </c>
      <c r="AL6" s="42" t="s">
        <v>54</v>
      </c>
      <c r="AM6" s="42" t="s">
        <v>54</v>
      </c>
      <c r="AN6" s="42" t="s">
        <v>54</v>
      </c>
      <c r="AO6" s="42" t="s">
        <v>54</v>
      </c>
      <c r="AP6" s="42" t="s">
        <v>54</v>
      </c>
      <c r="AQ6" s="42" t="s">
        <v>54</v>
      </c>
      <c r="AR6" s="42" t="s">
        <v>54</v>
      </c>
      <c r="AS6" s="42" t="s">
        <v>55</v>
      </c>
      <c r="AT6" s="42" t="s">
        <v>55</v>
      </c>
      <c r="AU6" s="43"/>
      <c r="AV6" s="43"/>
      <c r="AW6" s="2"/>
    </row>
    <row r="7" spans="1:49" s="3" customFormat="1">
      <c r="A7" s="52" t="s">
        <v>56</v>
      </c>
      <c r="B7" s="52"/>
      <c r="C7" s="41" t="s">
        <v>57</v>
      </c>
      <c r="D7" s="41"/>
      <c r="E7" s="41" t="s">
        <v>58</v>
      </c>
      <c r="F7" s="41" t="s">
        <v>59</v>
      </c>
      <c r="G7" s="41"/>
      <c r="H7" s="41" t="s">
        <v>60</v>
      </c>
      <c r="I7" s="41" t="s">
        <v>61</v>
      </c>
      <c r="J7" s="41" t="s">
        <v>62</v>
      </c>
      <c r="K7" s="41" t="s">
        <v>63</v>
      </c>
      <c r="L7" s="41" t="s">
        <v>64</v>
      </c>
      <c r="M7" s="41" t="s">
        <v>65</v>
      </c>
      <c r="N7" s="41" t="s">
        <v>66</v>
      </c>
      <c r="O7" s="41" t="s">
        <v>67</v>
      </c>
      <c r="P7" s="41" t="s">
        <v>68</v>
      </c>
      <c r="Q7" s="41" t="s">
        <v>69</v>
      </c>
      <c r="R7" s="41" t="s">
        <v>70</v>
      </c>
      <c r="S7" s="41" t="s">
        <v>71</v>
      </c>
      <c r="T7" s="41" t="s">
        <v>72</v>
      </c>
      <c r="U7" s="38" t="s">
        <v>73</v>
      </c>
      <c r="V7" s="38" t="s">
        <v>74</v>
      </c>
      <c r="W7" s="38" t="s">
        <v>75</v>
      </c>
      <c r="X7" s="41" t="s">
        <v>76</v>
      </c>
      <c r="Y7" s="41" t="s">
        <v>77</v>
      </c>
      <c r="Z7" s="41"/>
      <c r="AA7" s="41"/>
      <c r="AB7" s="41"/>
      <c r="AC7" s="41"/>
      <c r="AD7" s="41"/>
      <c r="AE7" s="41" t="s">
        <v>78</v>
      </c>
      <c r="AF7" s="41" t="s">
        <v>79</v>
      </c>
      <c r="AG7" s="38" t="s">
        <v>80</v>
      </c>
      <c r="AH7" s="39" t="s">
        <v>81</v>
      </c>
      <c r="AI7" s="38" t="s">
        <v>82</v>
      </c>
      <c r="AJ7" s="41" t="s">
        <v>83</v>
      </c>
      <c r="AK7" s="38" t="s">
        <v>82</v>
      </c>
      <c r="AL7" s="38" t="s">
        <v>84</v>
      </c>
      <c r="AM7" s="38" t="s">
        <v>85</v>
      </c>
      <c r="AN7" s="41"/>
      <c r="AO7" s="41" t="s">
        <v>86</v>
      </c>
      <c r="AP7" s="41" t="s">
        <v>87</v>
      </c>
      <c r="AQ7" s="41" t="s">
        <v>88</v>
      </c>
      <c r="AR7" s="41"/>
      <c r="AS7" s="41"/>
      <c r="AT7" s="41"/>
      <c r="AU7" s="44"/>
      <c r="AV7" s="44"/>
      <c r="AW7" s="4"/>
    </row>
    <row r="8" spans="1:49" s="3" customFormat="1">
      <c r="A8" s="52" t="s">
        <v>89</v>
      </c>
      <c r="B8" s="52"/>
      <c r="C8" s="41" t="s">
        <v>90</v>
      </c>
      <c r="D8" s="41"/>
      <c r="E8" s="41" t="s">
        <v>91</v>
      </c>
      <c r="F8" s="41" t="s">
        <v>92</v>
      </c>
      <c r="G8" s="41" t="s">
        <v>93</v>
      </c>
      <c r="H8" s="41" t="s">
        <v>94</v>
      </c>
      <c r="I8" s="41" t="s">
        <v>95</v>
      </c>
      <c r="J8" s="41" t="s">
        <v>96</v>
      </c>
      <c r="K8" s="41" t="s">
        <v>97</v>
      </c>
      <c r="L8" s="41" t="s">
        <v>98</v>
      </c>
      <c r="M8" s="41" t="s">
        <v>99</v>
      </c>
      <c r="N8" s="41" t="s">
        <v>91</v>
      </c>
      <c r="O8" s="41" t="s">
        <v>100</v>
      </c>
      <c r="P8" s="41" t="s">
        <v>101</v>
      </c>
      <c r="Q8" s="41" t="s">
        <v>102</v>
      </c>
      <c r="R8" s="41" t="s">
        <v>103</v>
      </c>
      <c r="S8" s="41" t="s">
        <v>104</v>
      </c>
      <c r="T8" s="41" t="s">
        <v>105</v>
      </c>
      <c r="U8" s="41" t="s">
        <v>106</v>
      </c>
      <c r="V8" s="41" t="s">
        <v>107</v>
      </c>
      <c r="W8" s="41" t="s">
        <v>101</v>
      </c>
      <c r="X8" s="41" t="s">
        <v>108</v>
      </c>
      <c r="Y8" s="41" t="s">
        <v>109</v>
      </c>
      <c r="Z8" s="41"/>
      <c r="AA8" s="41"/>
      <c r="AB8" s="41" t="s">
        <v>110</v>
      </c>
      <c r="AC8" s="41" t="s">
        <v>111</v>
      </c>
      <c r="AD8" s="41" t="s">
        <v>112</v>
      </c>
      <c r="AE8" s="41" t="s">
        <v>113</v>
      </c>
      <c r="AF8" s="41" t="s">
        <v>114</v>
      </c>
      <c r="AG8" s="41" t="s">
        <v>115</v>
      </c>
      <c r="AH8" s="41" t="s">
        <v>116</v>
      </c>
      <c r="AI8" s="41" t="s">
        <v>117</v>
      </c>
      <c r="AJ8" s="41" t="s">
        <v>118</v>
      </c>
      <c r="AK8" s="41" t="s">
        <v>119</v>
      </c>
      <c r="AL8" s="41" t="s">
        <v>120</v>
      </c>
      <c r="AM8" s="41" t="s">
        <v>121</v>
      </c>
      <c r="AN8" s="41" t="s">
        <v>115</v>
      </c>
      <c r="AO8" s="41" t="s">
        <v>122</v>
      </c>
      <c r="AP8" s="41" t="s">
        <v>94</v>
      </c>
      <c r="AQ8" s="41" t="s">
        <v>123</v>
      </c>
      <c r="AR8" s="41"/>
      <c r="AS8" s="41" t="s">
        <v>124</v>
      </c>
      <c r="AT8" s="41" t="s">
        <v>106</v>
      </c>
      <c r="AU8" s="44"/>
      <c r="AV8" s="44"/>
      <c r="AW8" s="4"/>
    </row>
    <row r="9" spans="1:49">
      <c r="A9" s="48" t="s">
        <v>125</v>
      </c>
      <c r="B9" s="49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14</v>
      </c>
      <c r="R9" s="5">
        <v>10</v>
      </c>
      <c r="S9" s="5">
        <v>10</v>
      </c>
      <c r="T9" s="5">
        <v>10</v>
      </c>
      <c r="U9" s="5">
        <v>10</v>
      </c>
      <c r="V9" s="5">
        <v>10</v>
      </c>
      <c r="W9" s="5">
        <v>10</v>
      </c>
      <c r="X9" s="5">
        <v>10</v>
      </c>
      <c r="Y9" s="5">
        <v>10</v>
      </c>
      <c r="Z9" s="5"/>
      <c r="AA9" s="5"/>
      <c r="AB9" s="5">
        <v>8</v>
      </c>
      <c r="AC9" s="5">
        <v>6</v>
      </c>
      <c r="AD9" s="5">
        <v>10</v>
      </c>
      <c r="AE9" s="5">
        <v>8</v>
      </c>
      <c r="AF9" s="5">
        <v>8</v>
      </c>
      <c r="AG9" s="5">
        <v>8</v>
      </c>
      <c r="AH9" s="5">
        <v>10</v>
      </c>
      <c r="AI9" s="5">
        <v>10</v>
      </c>
      <c r="AJ9" s="5">
        <v>10</v>
      </c>
      <c r="AK9" s="5">
        <v>10</v>
      </c>
      <c r="AL9" s="5">
        <v>14</v>
      </c>
      <c r="AM9" s="5">
        <v>14</v>
      </c>
      <c r="AN9" s="5">
        <v>18</v>
      </c>
      <c r="AO9" s="5">
        <v>8</v>
      </c>
      <c r="AP9" s="5">
        <v>8</v>
      </c>
      <c r="AQ9" s="5">
        <v>8</v>
      </c>
      <c r="AR9" s="5"/>
      <c r="AS9" s="5">
        <v>8</v>
      </c>
      <c r="AT9" s="5">
        <v>8</v>
      </c>
      <c r="AU9" s="6">
        <f>SUM(C9:AT9)</f>
        <v>388</v>
      </c>
      <c r="AV9" s="6"/>
      <c r="AW9" s="7"/>
    </row>
    <row r="10" spans="1:49">
      <c r="A10" s="46" t="s">
        <v>126</v>
      </c>
      <c r="B10" s="46"/>
      <c r="C10" s="42" t="s">
        <v>127</v>
      </c>
      <c r="D10" s="42" t="s">
        <v>127</v>
      </c>
      <c r="E10" s="42" t="s">
        <v>127</v>
      </c>
      <c r="F10" s="42" t="s">
        <v>127</v>
      </c>
      <c r="G10" s="42" t="s">
        <v>128</v>
      </c>
      <c r="H10" s="42" t="s">
        <v>128</v>
      </c>
      <c r="I10" s="42" t="s">
        <v>128</v>
      </c>
      <c r="J10" s="42" t="s">
        <v>128</v>
      </c>
      <c r="K10" s="42" t="s">
        <v>129</v>
      </c>
      <c r="L10" s="42" t="s">
        <v>130</v>
      </c>
      <c r="M10" s="42" t="s">
        <v>130</v>
      </c>
      <c r="N10" s="42" t="s">
        <v>130</v>
      </c>
      <c r="O10" s="42" t="s">
        <v>130</v>
      </c>
      <c r="P10" s="42" t="s">
        <v>130</v>
      </c>
      <c r="Q10" s="42" t="s">
        <v>130</v>
      </c>
      <c r="R10" s="42" t="s">
        <v>130</v>
      </c>
      <c r="S10" s="42" t="s">
        <v>130</v>
      </c>
      <c r="T10" s="42" t="s">
        <v>130</v>
      </c>
      <c r="U10" s="42" t="s">
        <v>131</v>
      </c>
      <c r="V10" s="42" t="s">
        <v>131</v>
      </c>
      <c r="W10" s="42" t="s">
        <v>131</v>
      </c>
      <c r="X10" s="42" t="s">
        <v>131</v>
      </c>
      <c r="Y10" s="42" t="s">
        <v>132</v>
      </c>
      <c r="Z10" s="42" t="s">
        <v>133</v>
      </c>
      <c r="AA10" s="42" t="s">
        <v>134</v>
      </c>
      <c r="AB10" s="8"/>
      <c r="AC10" s="8"/>
      <c r="AD10" s="8"/>
      <c r="AE10" s="8" t="s">
        <v>135</v>
      </c>
      <c r="AF10" s="8" t="s">
        <v>135</v>
      </c>
      <c r="AG10" s="8" t="s">
        <v>129</v>
      </c>
      <c r="AH10" s="8" t="s">
        <v>130</v>
      </c>
      <c r="AI10" s="8" t="s">
        <v>132</v>
      </c>
      <c r="AJ10" s="8" t="s">
        <v>132</v>
      </c>
      <c r="AK10" s="8" t="s">
        <v>132</v>
      </c>
      <c r="AL10" s="8" t="s">
        <v>136</v>
      </c>
      <c r="AM10" s="8" t="s">
        <v>136</v>
      </c>
      <c r="AN10" s="8" t="s">
        <v>136</v>
      </c>
      <c r="AO10" s="8" t="s">
        <v>133</v>
      </c>
      <c r="AP10" s="8" t="s">
        <v>133</v>
      </c>
      <c r="AQ10" s="8" t="s">
        <v>133</v>
      </c>
      <c r="AR10" s="8"/>
      <c r="AS10" s="8"/>
      <c r="AT10" s="8"/>
      <c r="AU10" s="9"/>
      <c r="AV10" s="9"/>
      <c r="AW10" s="10"/>
    </row>
    <row r="11" spans="1:49">
      <c r="A11" s="46" t="s">
        <v>137</v>
      </c>
      <c r="B11" s="46"/>
      <c r="C11" s="11">
        <v>5435.8</v>
      </c>
      <c r="D11" s="11">
        <v>0</v>
      </c>
      <c r="E11" s="11">
        <v>6059.6</v>
      </c>
      <c r="F11" s="11">
        <v>5436.8</v>
      </c>
      <c r="G11" s="11">
        <v>88.4</v>
      </c>
      <c r="H11" s="11">
        <v>4451.3999999999996</v>
      </c>
      <c r="I11" s="11">
        <v>2815.1</v>
      </c>
      <c r="J11" s="11">
        <v>6531.4</v>
      </c>
      <c r="K11" s="11">
        <v>4441</v>
      </c>
      <c r="L11" s="11">
        <v>5523.7</v>
      </c>
      <c r="M11" s="11">
        <v>5820.1</v>
      </c>
      <c r="N11" s="11">
        <v>6346</v>
      </c>
      <c r="O11" s="11">
        <v>1289.3999999999999</v>
      </c>
      <c r="P11" s="11">
        <v>6050.7999999999993</v>
      </c>
      <c r="Q11" s="11">
        <v>5178.8</v>
      </c>
      <c r="R11" s="11">
        <v>5404.3</v>
      </c>
      <c r="S11" s="11">
        <v>5776.5</v>
      </c>
      <c r="T11" s="11">
        <v>5799</v>
      </c>
      <c r="U11" s="11">
        <v>7024.9</v>
      </c>
      <c r="V11" s="11">
        <v>8579.5</v>
      </c>
      <c r="W11" s="11">
        <v>8693.8000000000011</v>
      </c>
      <c r="X11" s="11">
        <v>59</v>
      </c>
      <c r="Y11" s="11">
        <v>7075.5999999999995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7748</v>
      </c>
      <c r="AF11" s="11">
        <v>8174</v>
      </c>
      <c r="AG11" s="11">
        <v>7467</v>
      </c>
      <c r="AH11" s="11">
        <v>7538</v>
      </c>
      <c r="AI11" s="11">
        <v>3637</v>
      </c>
      <c r="AJ11" s="11">
        <v>5332</v>
      </c>
      <c r="AK11" s="11">
        <v>2333</v>
      </c>
      <c r="AL11" s="11">
        <v>3402.4</v>
      </c>
      <c r="AM11" s="11">
        <v>3307.5</v>
      </c>
      <c r="AN11" s="11">
        <v>22.700000000000003</v>
      </c>
      <c r="AO11" s="11">
        <v>2934.2999999999997</v>
      </c>
      <c r="AP11" s="11">
        <v>4270.3</v>
      </c>
      <c r="AQ11" s="11">
        <v>510.7</v>
      </c>
      <c r="AR11" s="11">
        <v>0</v>
      </c>
      <c r="AS11" s="11">
        <v>0</v>
      </c>
      <c r="AT11" s="11">
        <v>0</v>
      </c>
      <c r="AU11" s="13">
        <f>SUM(C11:AT11)</f>
        <v>170557.80000000002</v>
      </c>
      <c r="AV11" s="13">
        <f t="shared" ref="AV11:AV42" si="0">AVERAGE(D11:AT11)</f>
        <v>3840.046511627907</v>
      </c>
      <c r="AW11" s="10"/>
    </row>
    <row r="12" spans="1:49">
      <c r="A12" s="50" t="s">
        <v>138</v>
      </c>
      <c r="B12" s="51"/>
      <c r="C12" s="14">
        <v>7.7972222222222225</v>
      </c>
      <c r="D12" s="14">
        <v>0</v>
      </c>
      <c r="E12" s="14">
        <v>9.2368055555555557</v>
      </c>
      <c r="F12" s="14">
        <v>8.9222222222222225</v>
      </c>
      <c r="G12" s="14">
        <v>0.12083333333333333</v>
      </c>
      <c r="H12" s="14">
        <v>6.4611111111111112</v>
      </c>
      <c r="I12" s="14">
        <v>4.4659722222222218</v>
      </c>
      <c r="J12" s="14">
        <v>8.1229166666666668</v>
      </c>
      <c r="K12" s="14">
        <v>10.493055555555555</v>
      </c>
      <c r="L12" s="14">
        <v>10.260416666666666</v>
      </c>
      <c r="M12" s="14">
        <v>10.516666666666667</v>
      </c>
      <c r="N12" s="14">
        <v>10.439583333333333</v>
      </c>
      <c r="O12" s="14">
        <v>3.307638888888889</v>
      </c>
      <c r="P12" s="14">
        <v>10.186111111111112</v>
      </c>
      <c r="Q12" s="14">
        <v>7.3361111111111112</v>
      </c>
      <c r="R12" s="14">
        <v>10.159722222222221</v>
      </c>
      <c r="S12" s="14">
        <v>10.584027777777777</v>
      </c>
      <c r="T12" s="14">
        <v>9.188194444444445</v>
      </c>
      <c r="U12" s="14">
        <v>9.3104166666666668</v>
      </c>
      <c r="V12" s="14">
        <v>12.243055555555555</v>
      </c>
      <c r="W12" s="14">
        <v>12.036111111111111</v>
      </c>
      <c r="X12" s="14">
        <v>0.10208333333333333</v>
      </c>
      <c r="Y12" s="14">
        <v>7.6583333333333332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10.154166666666667</v>
      </c>
      <c r="AF12" s="14">
        <v>10.05625</v>
      </c>
      <c r="AG12" s="14">
        <v>11.030555555555555</v>
      </c>
      <c r="AH12" s="14">
        <v>9.8583333333333325</v>
      </c>
      <c r="AI12" s="14">
        <v>7.6673611111111111</v>
      </c>
      <c r="AJ12" s="14">
        <v>8.9361111111111118</v>
      </c>
      <c r="AK12" s="14">
        <v>5</v>
      </c>
      <c r="AL12" s="14">
        <v>7.5847222222222221</v>
      </c>
      <c r="AM12" s="14">
        <v>4.8118055555555559</v>
      </c>
      <c r="AN12" s="14">
        <v>0.11319444444444444</v>
      </c>
      <c r="AO12" s="14">
        <v>4.1048611111111111</v>
      </c>
      <c r="AP12" s="14">
        <v>6.9729166666666664</v>
      </c>
      <c r="AQ12" s="14">
        <v>0.90277777777777779</v>
      </c>
      <c r="AR12" s="14">
        <v>0</v>
      </c>
      <c r="AS12" s="14">
        <v>0</v>
      </c>
      <c r="AT12" s="14">
        <v>0</v>
      </c>
      <c r="AU12" s="16">
        <f>SUM(C12:AT12)</f>
        <v>266.14166666666665</v>
      </c>
      <c r="AV12" s="16">
        <f t="shared" si="0"/>
        <v>6.0080103359173123</v>
      </c>
      <c r="AW12" s="10"/>
    </row>
    <row r="13" spans="1:49">
      <c r="A13" s="46" t="s">
        <v>139</v>
      </c>
      <c r="B13" s="46"/>
      <c r="C13" s="11">
        <v>1233740</v>
      </c>
      <c r="D13" s="11">
        <v>1363698</v>
      </c>
      <c r="E13" s="11">
        <v>1298338</v>
      </c>
      <c r="F13" s="11">
        <v>1236232</v>
      </c>
      <c r="G13" s="11">
        <v>0</v>
      </c>
      <c r="H13" s="11">
        <v>881300</v>
      </c>
      <c r="I13" s="11">
        <v>595000</v>
      </c>
      <c r="J13" s="11">
        <v>1228800</v>
      </c>
      <c r="K13" s="11">
        <v>1017984</v>
      </c>
      <c r="L13" s="11">
        <v>1227000</v>
      </c>
      <c r="M13" s="11">
        <v>1196550</v>
      </c>
      <c r="N13" s="11">
        <v>1243170</v>
      </c>
      <c r="O13" s="11">
        <v>303460</v>
      </c>
      <c r="P13" s="11">
        <v>1165100</v>
      </c>
      <c r="Q13" s="11">
        <v>1181420</v>
      </c>
      <c r="R13" s="11">
        <v>1163510</v>
      </c>
      <c r="S13" s="11">
        <v>1181990</v>
      </c>
      <c r="T13" s="11">
        <v>1204540</v>
      </c>
      <c r="U13" s="11">
        <v>1287260</v>
      </c>
      <c r="V13" s="11">
        <v>1397100</v>
      </c>
      <c r="W13" s="11">
        <v>1563250</v>
      </c>
      <c r="X13" s="11">
        <v>0</v>
      </c>
      <c r="Y13" s="11">
        <v>1596336</v>
      </c>
      <c r="Z13" s="11">
        <v>10000</v>
      </c>
      <c r="AA13" s="11">
        <v>595589</v>
      </c>
      <c r="AB13" s="11">
        <v>0</v>
      </c>
      <c r="AC13" s="11">
        <v>0</v>
      </c>
      <c r="AD13" s="11">
        <v>0</v>
      </c>
      <c r="AE13" s="11">
        <v>1860273</v>
      </c>
      <c r="AF13" s="11">
        <v>1957816</v>
      </c>
      <c r="AG13" s="11">
        <v>1525608</v>
      </c>
      <c r="AH13" s="11">
        <v>1137250</v>
      </c>
      <c r="AI13" s="11">
        <v>815695</v>
      </c>
      <c r="AJ13" s="11">
        <v>1343150</v>
      </c>
      <c r="AK13" s="11">
        <v>533796</v>
      </c>
      <c r="AL13" s="11">
        <v>1690900</v>
      </c>
      <c r="AM13" s="11">
        <v>988700</v>
      </c>
      <c r="AN13" s="11">
        <v>0</v>
      </c>
      <c r="AO13" s="11">
        <v>615300</v>
      </c>
      <c r="AP13" s="11">
        <v>973100</v>
      </c>
      <c r="AQ13" s="11">
        <v>151300</v>
      </c>
      <c r="AR13" s="11">
        <v>320333</v>
      </c>
      <c r="AS13" s="11">
        <v>0</v>
      </c>
      <c r="AT13" s="11">
        <v>0</v>
      </c>
      <c r="AU13" s="13">
        <f>SUM(C13:AT13)</f>
        <v>39084588</v>
      </c>
      <c r="AV13" s="13">
        <f t="shared" si="0"/>
        <v>880252.27906976745</v>
      </c>
      <c r="AW13" s="10">
        <f>AU13/AU13</f>
        <v>1</v>
      </c>
    </row>
    <row r="14" spans="1:49">
      <c r="A14" s="50" t="s">
        <v>140</v>
      </c>
      <c r="B14" s="51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6240</v>
      </c>
      <c r="M14" s="11">
        <v>21930</v>
      </c>
      <c r="N14" s="11">
        <v>0</v>
      </c>
      <c r="O14" s="11">
        <v>0</v>
      </c>
      <c r="P14" s="11">
        <v>58000</v>
      </c>
      <c r="Q14" s="11">
        <v>26080</v>
      </c>
      <c r="R14" s="11">
        <v>45730</v>
      </c>
      <c r="S14" s="11">
        <v>31870</v>
      </c>
      <c r="T14" s="11">
        <v>21320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127430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3">
        <f>SUM(C14:AT14)</f>
        <v>338600</v>
      </c>
      <c r="AV14" s="13">
        <f t="shared" si="0"/>
        <v>7874.4186046511632</v>
      </c>
      <c r="AW14" s="10"/>
    </row>
    <row r="15" spans="1:49">
      <c r="A15" s="46" t="s">
        <v>141</v>
      </c>
      <c r="B15" s="46"/>
      <c r="C15" s="11">
        <f>SUM(C13/C11)</f>
        <v>226.9656720261967</v>
      </c>
      <c r="D15" s="11" t="e">
        <f t="shared" ref="D15:AT15" si="1">SUM(D13/D11)</f>
        <v>#DIV/0!</v>
      </c>
      <c r="E15" s="11">
        <f t="shared" si="1"/>
        <v>214.26133738200539</v>
      </c>
      <c r="F15" s="11">
        <f t="shared" si="1"/>
        <v>227.38228369629192</v>
      </c>
      <c r="G15" s="11">
        <f t="shared" si="1"/>
        <v>0</v>
      </c>
      <c r="H15" s="11">
        <f t="shared" si="1"/>
        <v>197.98265714157344</v>
      </c>
      <c r="I15" s="11">
        <f t="shared" si="1"/>
        <v>211.36016482540586</v>
      </c>
      <c r="J15" s="11">
        <f t="shared" si="1"/>
        <v>188.1373059374713</v>
      </c>
      <c r="K15" s="11">
        <f t="shared" si="1"/>
        <v>229.22404863769421</v>
      </c>
      <c r="L15" s="11">
        <f t="shared" si="1"/>
        <v>222.13371472020566</v>
      </c>
      <c r="M15" s="11">
        <f t="shared" si="1"/>
        <v>205.58925104379648</v>
      </c>
      <c r="N15" s="11">
        <f t="shared" si="1"/>
        <v>195.89820359281438</v>
      </c>
      <c r="O15" s="11">
        <f t="shared" si="1"/>
        <v>235.3497750891888</v>
      </c>
      <c r="P15" s="11">
        <f t="shared" si="1"/>
        <v>192.55305083625308</v>
      </c>
      <c r="Q15" s="11">
        <f t="shared" si="1"/>
        <v>228.12620684328414</v>
      </c>
      <c r="R15" s="11">
        <f t="shared" si="1"/>
        <v>215.29337749569785</v>
      </c>
      <c r="S15" s="11">
        <f t="shared" si="1"/>
        <v>204.620444906085</v>
      </c>
      <c r="T15" s="11">
        <f t="shared" si="1"/>
        <v>207.71512329712019</v>
      </c>
      <c r="U15" s="11">
        <f t="shared" si="1"/>
        <v>183.24246608492649</v>
      </c>
      <c r="V15" s="11">
        <f t="shared" si="1"/>
        <v>162.8416574392447</v>
      </c>
      <c r="W15" s="11">
        <f t="shared" si="1"/>
        <v>179.81204996664286</v>
      </c>
      <c r="X15" s="11">
        <f t="shared" si="1"/>
        <v>0</v>
      </c>
      <c r="Y15" s="11">
        <f t="shared" si="1"/>
        <v>225.61139691333599</v>
      </c>
      <c r="Z15" s="11" t="e">
        <f t="shared" si="1"/>
        <v>#DIV/0!</v>
      </c>
      <c r="AA15" s="11" t="e">
        <f t="shared" si="1"/>
        <v>#DIV/0!</v>
      </c>
      <c r="AB15" s="11" t="e">
        <f t="shared" si="1"/>
        <v>#DIV/0!</v>
      </c>
      <c r="AC15" s="11" t="e">
        <f t="shared" si="1"/>
        <v>#DIV/0!</v>
      </c>
      <c r="AD15" s="11" t="e">
        <f t="shared" si="1"/>
        <v>#DIV/0!</v>
      </c>
      <c r="AE15" s="11">
        <f t="shared" si="1"/>
        <v>240.0971863706763</v>
      </c>
      <c r="AF15" s="11">
        <f t="shared" si="1"/>
        <v>239.51749449473942</v>
      </c>
      <c r="AG15" s="11">
        <f t="shared" si="1"/>
        <v>204.31337886701488</v>
      </c>
      <c r="AH15" s="11">
        <f t="shared" si="1"/>
        <v>150.86893075086229</v>
      </c>
      <c r="AI15" s="11">
        <f t="shared" si="1"/>
        <v>224.27687654660434</v>
      </c>
      <c r="AJ15" s="11">
        <f t="shared" si="1"/>
        <v>251.90360090022506</v>
      </c>
      <c r="AK15" s="11">
        <f t="shared" si="1"/>
        <v>228.80240034290614</v>
      </c>
      <c r="AL15" s="11">
        <f t="shared" si="1"/>
        <v>496.97272513519869</v>
      </c>
      <c r="AM15" s="11">
        <f t="shared" si="1"/>
        <v>298.92668178382462</v>
      </c>
      <c r="AN15" s="11">
        <f t="shared" si="1"/>
        <v>0</v>
      </c>
      <c r="AO15" s="11">
        <f t="shared" si="1"/>
        <v>209.69226050506086</v>
      </c>
      <c r="AP15" s="11">
        <f t="shared" si="1"/>
        <v>227.87626162096339</v>
      </c>
      <c r="AQ15" s="11">
        <f t="shared" si="1"/>
        <v>296.26003524574116</v>
      </c>
      <c r="AR15" s="11" t="e">
        <f t="shared" si="1"/>
        <v>#DIV/0!</v>
      </c>
      <c r="AS15" s="11" t="e">
        <f t="shared" si="1"/>
        <v>#DIV/0!</v>
      </c>
      <c r="AT15" s="11" t="e">
        <f t="shared" si="1"/>
        <v>#DIV/0!</v>
      </c>
      <c r="AU15" s="9">
        <f>SUM(AU13/AU11)</f>
        <v>229.15743519205805</v>
      </c>
      <c r="AV15" s="13" t="e">
        <f t="shared" si="0"/>
        <v>#DIV/0!</v>
      </c>
      <c r="AW15" s="10"/>
    </row>
    <row r="16" spans="1:49">
      <c r="A16" s="50" t="s">
        <v>142</v>
      </c>
      <c r="B16" s="51"/>
      <c r="C16" s="17">
        <f t="shared" ref="C16:AU16" si="2">C13/(C12*24)</f>
        <v>6592.8393302458144</v>
      </c>
      <c r="D16" s="17" t="e">
        <f t="shared" si="2"/>
        <v>#DIV/0!</v>
      </c>
      <c r="E16" s="17">
        <f t="shared" si="2"/>
        <v>5856.7235546199536</v>
      </c>
      <c r="F16" s="17">
        <f t="shared" si="2"/>
        <v>5773.1880448318807</v>
      </c>
      <c r="G16" s="17">
        <f t="shared" si="2"/>
        <v>0</v>
      </c>
      <c r="H16" s="17">
        <f t="shared" si="2"/>
        <v>5683.3619948409287</v>
      </c>
      <c r="I16" s="17">
        <f t="shared" si="2"/>
        <v>5551.2361996579075</v>
      </c>
      <c r="J16" s="17">
        <f t="shared" si="2"/>
        <v>6303.1546550397543</v>
      </c>
      <c r="K16" s="17">
        <f t="shared" si="2"/>
        <v>4042.2925215089349</v>
      </c>
      <c r="L16" s="17">
        <f t="shared" si="2"/>
        <v>4982.7411167512691</v>
      </c>
      <c r="M16" s="17">
        <f t="shared" si="2"/>
        <v>4740.6893819334382</v>
      </c>
      <c r="N16" s="17">
        <f t="shared" si="2"/>
        <v>4961.7641189383357</v>
      </c>
      <c r="O16" s="17">
        <f t="shared" si="2"/>
        <v>3822.7167751417169</v>
      </c>
      <c r="P16" s="17">
        <f t="shared" si="2"/>
        <v>4765.8849195527673</v>
      </c>
      <c r="Q16" s="17">
        <f t="shared" si="2"/>
        <v>6710.0719424460431</v>
      </c>
      <c r="R16" s="17">
        <f t="shared" si="2"/>
        <v>4771.7429938482574</v>
      </c>
      <c r="S16" s="17">
        <f t="shared" si="2"/>
        <v>4653.1986090151568</v>
      </c>
      <c r="T16" s="17">
        <f t="shared" si="2"/>
        <v>5462.3535636006345</v>
      </c>
      <c r="U16" s="17">
        <f t="shared" si="2"/>
        <v>5760.841351532782</v>
      </c>
      <c r="V16" s="17">
        <f t="shared" si="2"/>
        <v>4754.7362450368691</v>
      </c>
      <c r="W16" s="17">
        <f t="shared" si="2"/>
        <v>5411.6662820216934</v>
      </c>
      <c r="X16" s="17">
        <f t="shared" si="2"/>
        <v>0</v>
      </c>
      <c r="Y16" s="17">
        <f t="shared" si="2"/>
        <v>8685.1795429815011</v>
      </c>
      <c r="Z16" s="17" t="e">
        <f t="shared" si="2"/>
        <v>#DIV/0!</v>
      </c>
      <c r="AA16" s="17" t="e">
        <f t="shared" si="2"/>
        <v>#DIV/0!</v>
      </c>
      <c r="AB16" s="17" t="e">
        <f t="shared" si="2"/>
        <v>#DIV/0!</v>
      </c>
      <c r="AC16" s="17" t="e">
        <f t="shared" si="2"/>
        <v>#DIV/0!</v>
      </c>
      <c r="AD16" s="17" t="e">
        <f t="shared" si="2"/>
        <v>#DIV/0!</v>
      </c>
      <c r="AE16" s="17">
        <f t="shared" si="2"/>
        <v>7633.4550677061961</v>
      </c>
      <c r="AF16" s="17">
        <f t="shared" si="2"/>
        <v>8111.9370209239687</v>
      </c>
      <c r="AG16" s="17">
        <f t="shared" si="2"/>
        <v>5762.8103752203469</v>
      </c>
      <c r="AH16" s="17">
        <f t="shared" si="2"/>
        <v>4806.6356720202884</v>
      </c>
      <c r="AI16" s="17">
        <f t="shared" si="2"/>
        <v>4432.7234851915591</v>
      </c>
      <c r="AJ16" s="17">
        <f t="shared" si="2"/>
        <v>6262.7447932856694</v>
      </c>
      <c r="AK16" s="17">
        <f t="shared" si="2"/>
        <v>4448.3</v>
      </c>
      <c r="AL16" s="17">
        <f t="shared" si="2"/>
        <v>9288.9580662882254</v>
      </c>
      <c r="AM16" s="17">
        <f t="shared" si="2"/>
        <v>8561.4085726656067</v>
      </c>
      <c r="AN16" s="17">
        <f t="shared" si="2"/>
        <v>0</v>
      </c>
      <c r="AO16" s="17">
        <f t="shared" si="2"/>
        <v>6245.6437151074269</v>
      </c>
      <c r="AP16" s="17">
        <f t="shared" si="2"/>
        <v>5814.759486106962</v>
      </c>
      <c r="AQ16" s="17">
        <f t="shared" si="2"/>
        <v>6983.0769230769229</v>
      </c>
      <c r="AR16" s="17" t="e">
        <f t="shared" si="2"/>
        <v>#DIV/0!</v>
      </c>
      <c r="AS16" s="17" t="e">
        <f t="shared" si="2"/>
        <v>#DIV/0!</v>
      </c>
      <c r="AT16" s="17" t="e">
        <f t="shared" si="2"/>
        <v>#DIV/0!</v>
      </c>
      <c r="AU16" s="19">
        <f t="shared" si="2"/>
        <v>6119.0136831887785</v>
      </c>
      <c r="AV16" s="19" t="e">
        <f t="shared" si="0"/>
        <v>#DIV/0!</v>
      </c>
      <c r="AW16" s="10"/>
    </row>
    <row r="17" spans="1:49">
      <c r="A17" s="47" t="s">
        <v>143</v>
      </c>
      <c r="B17" s="8" t="s">
        <v>144</v>
      </c>
      <c r="C17" s="11">
        <v>0</v>
      </c>
      <c r="D17" s="11">
        <v>0</v>
      </c>
      <c r="E17" s="11">
        <v>0</v>
      </c>
      <c r="F17" s="11">
        <v>56250</v>
      </c>
      <c r="G17" s="11">
        <v>300174</v>
      </c>
      <c r="H17" s="11">
        <v>0</v>
      </c>
      <c r="I17" s="11">
        <v>0</v>
      </c>
      <c r="J17" s="11">
        <v>43906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261600</v>
      </c>
      <c r="Q17" s="11">
        <v>58860</v>
      </c>
      <c r="R17" s="11">
        <v>0</v>
      </c>
      <c r="S17" s="11">
        <v>0</v>
      </c>
      <c r="T17" s="11">
        <v>75708</v>
      </c>
      <c r="U17" s="11">
        <v>213500</v>
      </c>
      <c r="V17" s="11">
        <v>51246</v>
      </c>
      <c r="W17" s="11">
        <v>268500</v>
      </c>
      <c r="X17" s="11">
        <v>56375</v>
      </c>
      <c r="Y17" s="11">
        <v>56708</v>
      </c>
      <c r="Z17" s="11">
        <v>0</v>
      </c>
      <c r="AA17" s="11">
        <v>0</v>
      </c>
      <c r="AB17" s="11">
        <v>44688</v>
      </c>
      <c r="AC17" s="11">
        <v>210800</v>
      </c>
      <c r="AD17" s="11">
        <v>0</v>
      </c>
      <c r="AE17" s="11">
        <v>0</v>
      </c>
      <c r="AF17" s="11">
        <v>215200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82900</v>
      </c>
      <c r="AO17" s="11">
        <v>0</v>
      </c>
      <c r="AP17" s="11">
        <v>0</v>
      </c>
      <c r="AQ17" s="11">
        <v>48750</v>
      </c>
      <c r="AR17" s="11">
        <v>0</v>
      </c>
      <c r="AS17" s="11">
        <v>271700</v>
      </c>
      <c r="AT17" s="11">
        <v>189600</v>
      </c>
      <c r="AU17" s="13">
        <f t="shared" ref="AU17:AU28" si="3">SUM(C17:AT17)</f>
        <v>2506465</v>
      </c>
      <c r="AV17" s="13">
        <f t="shared" si="0"/>
        <v>58289.883720930229</v>
      </c>
      <c r="AW17" s="10">
        <f>AU17/AU13</f>
        <v>6.4129241940582823E-2</v>
      </c>
    </row>
    <row r="18" spans="1:49">
      <c r="A18" s="47"/>
      <c r="B18" s="8" t="s">
        <v>145</v>
      </c>
      <c r="C18" s="11">
        <v>4025</v>
      </c>
      <c r="D18" s="11">
        <v>0</v>
      </c>
      <c r="E18" s="11">
        <v>4808</v>
      </c>
      <c r="F18" s="11">
        <v>4025</v>
      </c>
      <c r="G18" s="11">
        <v>4808</v>
      </c>
      <c r="H18" s="11">
        <v>4025</v>
      </c>
      <c r="I18" s="11">
        <v>4025</v>
      </c>
      <c r="J18" s="11">
        <v>2575</v>
      </c>
      <c r="K18" s="11">
        <v>4825</v>
      </c>
      <c r="L18" s="11">
        <v>4025</v>
      </c>
      <c r="M18" s="11">
        <v>4400</v>
      </c>
      <c r="N18" s="11">
        <v>4025</v>
      </c>
      <c r="O18" s="11">
        <v>5250</v>
      </c>
      <c r="P18" s="11">
        <v>0</v>
      </c>
      <c r="Q18" s="11">
        <v>6950</v>
      </c>
      <c r="R18" s="11">
        <v>4400</v>
      </c>
      <c r="S18" s="11">
        <v>4025</v>
      </c>
      <c r="T18" s="11">
        <v>4825</v>
      </c>
      <c r="U18" s="11">
        <v>0</v>
      </c>
      <c r="V18" s="11">
        <v>3633</v>
      </c>
      <c r="W18" s="11">
        <v>0</v>
      </c>
      <c r="X18" s="11">
        <v>4825</v>
      </c>
      <c r="Y18" s="11">
        <v>4825</v>
      </c>
      <c r="Z18" s="11">
        <v>0</v>
      </c>
      <c r="AA18" s="11">
        <v>0</v>
      </c>
      <c r="AB18" s="11">
        <v>4400</v>
      </c>
      <c r="AC18" s="11">
        <v>0</v>
      </c>
      <c r="AD18" s="11">
        <v>4825</v>
      </c>
      <c r="AE18" s="11">
        <v>3241</v>
      </c>
      <c r="AF18" s="11">
        <v>0</v>
      </c>
      <c r="AG18" s="11">
        <v>4417</v>
      </c>
      <c r="AH18" s="11">
        <v>4025</v>
      </c>
      <c r="AI18" s="11">
        <v>4417</v>
      </c>
      <c r="AJ18" s="11">
        <v>4417</v>
      </c>
      <c r="AK18" s="11">
        <v>4825</v>
      </c>
      <c r="AL18" s="11">
        <v>6950</v>
      </c>
      <c r="AM18" s="11">
        <v>7075</v>
      </c>
      <c r="AN18" s="11">
        <v>6950</v>
      </c>
      <c r="AO18" s="11">
        <v>4025</v>
      </c>
      <c r="AP18" s="11">
        <v>4825</v>
      </c>
      <c r="AQ18" s="11">
        <v>2410</v>
      </c>
      <c r="AR18" s="11">
        <v>0</v>
      </c>
      <c r="AS18" s="11">
        <v>0</v>
      </c>
      <c r="AT18" s="11">
        <v>0</v>
      </c>
      <c r="AU18" s="13">
        <f t="shared" si="3"/>
        <v>151101</v>
      </c>
      <c r="AV18" s="13">
        <f t="shared" si="0"/>
        <v>3420.3720930232557</v>
      </c>
      <c r="AW18" s="10">
        <f>AU18/AU13</f>
        <v>3.8659995597241552E-3</v>
      </c>
    </row>
    <row r="19" spans="1:49">
      <c r="A19" s="47"/>
      <c r="B19" s="8" t="s">
        <v>146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11">
        <v>0</v>
      </c>
      <c r="AU19" s="13">
        <f t="shared" si="3"/>
        <v>0</v>
      </c>
      <c r="AV19" s="13">
        <f t="shared" si="0"/>
        <v>0</v>
      </c>
      <c r="AW19" s="10">
        <f>AU19/AU13</f>
        <v>0</v>
      </c>
    </row>
    <row r="20" spans="1:49">
      <c r="A20" s="47"/>
      <c r="B20" s="8" t="s">
        <v>147</v>
      </c>
      <c r="C20" s="11">
        <v>4950</v>
      </c>
      <c r="D20" s="11">
        <v>0</v>
      </c>
      <c r="E20" s="11">
        <v>4766</v>
      </c>
      <c r="F20" s="11">
        <v>4583</v>
      </c>
      <c r="G20" s="11">
        <v>4774</v>
      </c>
      <c r="H20" s="11">
        <v>4583</v>
      </c>
      <c r="I20" s="11">
        <v>4766</v>
      </c>
      <c r="J20" s="11">
        <v>4766</v>
      </c>
      <c r="K20" s="11">
        <v>4950</v>
      </c>
      <c r="L20" s="11">
        <v>4766</v>
      </c>
      <c r="M20" s="11">
        <v>4950</v>
      </c>
      <c r="N20" s="11">
        <v>4766</v>
      </c>
      <c r="O20" s="11">
        <v>4950</v>
      </c>
      <c r="P20" s="11">
        <v>0</v>
      </c>
      <c r="Q20" s="11">
        <v>8333</v>
      </c>
      <c r="R20" s="11">
        <v>4950</v>
      </c>
      <c r="S20" s="11">
        <v>4583</v>
      </c>
      <c r="T20" s="11">
        <v>4583</v>
      </c>
      <c r="U20" s="11">
        <v>5212</v>
      </c>
      <c r="V20" s="11">
        <v>4766</v>
      </c>
      <c r="W20" s="11">
        <v>0</v>
      </c>
      <c r="X20" s="11">
        <v>5208</v>
      </c>
      <c r="Y20" s="11">
        <v>5208</v>
      </c>
      <c r="Z20" s="11">
        <v>0</v>
      </c>
      <c r="AA20" s="11">
        <v>0</v>
      </c>
      <c r="AB20" s="11">
        <v>5133</v>
      </c>
      <c r="AC20" s="11">
        <v>0</v>
      </c>
      <c r="AD20" s="11">
        <v>4767</v>
      </c>
      <c r="AE20" s="11">
        <v>4550</v>
      </c>
      <c r="AF20" s="11">
        <v>4583</v>
      </c>
      <c r="AG20" s="11">
        <v>4766</v>
      </c>
      <c r="AH20" s="11">
        <v>4583</v>
      </c>
      <c r="AI20" s="11">
        <v>4950</v>
      </c>
      <c r="AJ20" s="11">
        <v>4766</v>
      </c>
      <c r="AK20" s="11">
        <v>4950</v>
      </c>
      <c r="AL20" s="11">
        <v>8333</v>
      </c>
      <c r="AM20" s="11">
        <v>9333</v>
      </c>
      <c r="AN20" s="11">
        <v>8333</v>
      </c>
      <c r="AO20" s="11">
        <v>4583</v>
      </c>
      <c r="AP20" s="11">
        <v>4950</v>
      </c>
      <c r="AQ20" s="11">
        <v>4766</v>
      </c>
      <c r="AR20" s="11">
        <v>0</v>
      </c>
      <c r="AS20" s="11">
        <v>4587</v>
      </c>
      <c r="AT20" s="11">
        <v>4583</v>
      </c>
      <c r="AU20" s="13">
        <f t="shared" si="3"/>
        <v>192929</v>
      </c>
      <c r="AV20" s="13">
        <f t="shared" si="0"/>
        <v>4371.604651162791</v>
      </c>
      <c r="AW20" s="10">
        <f>AU20/AU13</f>
        <v>4.9361912168550941E-3</v>
      </c>
    </row>
    <row r="21" spans="1:49">
      <c r="A21" s="47"/>
      <c r="B21" s="8" t="s">
        <v>148</v>
      </c>
      <c r="C21" s="11">
        <v>43755</v>
      </c>
      <c r="D21" s="11">
        <v>0</v>
      </c>
      <c r="E21" s="11">
        <v>28979</v>
      </c>
      <c r="F21" s="11">
        <v>12575</v>
      </c>
      <c r="G21" s="11">
        <v>12324</v>
      </c>
      <c r="H21" s="11">
        <v>36183</v>
      </c>
      <c r="I21" s="11">
        <v>51665</v>
      </c>
      <c r="J21" s="11">
        <v>34940</v>
      </c>
      <c r="K21" s="11">
        <v>31595</v>
      </c>
      <c r="L21" s="11">
        <v>22013</v>
      </c>
      <c r="M21" s="11">
        <v>37617</v>
      </c>
      <c r="N21" s="11">
        <v>57070</v>
      </c>
      <c r="O21" s="11">
        <v>33485</v>
      </c>
      <c r="P21" s="11">
        <v>0</v>
      </c>
      <c r="Q21" s="11">
        <v>60028</v>
      </c>
      <c r="R21" s="11">
        <v>48980</v>
      </c>
      <c r="S21" s="11">
        <v>35664</v>
      </c>
      <c r="T21" s="11">
        <v>23249</v>
      </c>
      <c r="U21" s="11">
        <v>46288</v>
      </c>
      <c r="V21" s="11">
        <v>28932</v>
      </c>
      <c r="W21" s="11">
        <v>0</v>
      </c>
      <c r="X21" s="11">
        <v>22121</v>
      </c>
      <c r="Y21" s="11">
        <v>54800</v>
      </c>
      <c r="Z21" s="11">
        <v>0</v>
      </c>
      <c r="AA21" s="11">
        <v>0</v>
      </c>
      <c r="AB21" s="11">
        <v>26368</v>
      </c>
      <c r="AC21" s="11">
        <v>0</v>
      </c>
      <c r="AD21" s="11">
        <v>46352</v>
      </c>
      <c r="AE21" s="11">
        <v>49238</v>
      </c>
      <c r="AF21" s="11">
        <v>31013</v>
      </c>
      <c r="AG21" s="11">
        <v>49888</v>
      </c>
      <c r="AH21" s="11">
        <v>27811</v>
      </c>
      <c r="AI21" s="11">
        <v>38733</v>
      </c>
      <c r="AJ21" s="11">
        <v>37312</v>
      </c>
      <c r="AK21" s="11">
        <v>49900</v>
      </c>
      <c r="AL21" s="11">
        <v>49528</v>
      </c>
      <c r="AM21" s="11">
        <v>37504</v>
      </c>
      <c r="AN21" s="11">
        <v>41937</v>
      </c>
      <c r="AO21" s="11">
        <v>27800</v>
      </c>
      <c r="AP21" s="11">
        <v>35758</v>
      </c>
      <c r="AQ21" s="11">
        <v>34656</v>
      </c>
      <c r="AR21" s="11">
        <v>0</v>
      </c>
      <c r="AS21" s="11">
        <v>33519</v>
      </c>
      <c r="AT21" s="11">
        <v>31475</v>
      </c>
      <c r="AU21" s="13">
        <f t="shared" si="3"/>
        <v>1371055</v>
      </c>
      <c r="AV21" s="13">
        <f t="shared" si="0"/>
        <v>30867.441860465115</v>
      </c>
      <c r="AW21" s="10">
        <f>AU21/AU13</f>
        <v>3.5079172383753923E-2</v>
      </c>
    </row>
    <row r="22" spans="1:49">
      <c r="A22" s="47"/>
      <c r="B22" s="20" t="s">
        <v>149</v>
      </c>
      <c r="C22" s="21">
        <f t="shared" ref="C22:AT22" si="4">SUM(C17:C21)</f>
        <v>52730</v>
      </c>
      <c r="D22" s="21">
        <f t="shared" si="4"/>
        <v>0</v>
      </c>
      <c r="E22" s="21">
        <f t="shared" si="4"/>
        <v>38553</v>
      </c>
      <c r="F22" s="21">
        <f t="shared" si="4"/>
        <v>77433</v>
      </c>
      <c r="G22" s="21">
        <f t="shared" si="4"/>
        <v>322080</v>
      </c>
      <c r="H22" s="21">
        <f t="shared" si="4"/>
        <v>44791</v>
      </c>
      <c r="I22" s="21">
        <f t="shared" si="4"/>
        <v>60456</v>
      </c>
      <c r="J22" s="21">
        <f t="shared" si="4"/>
        <v>86187</v>
      </c>
      <c r="K22" s="21">
        <f t="shared" si="4"/>
        <v>41370</v>
      </c>
      <c r="L22" s="21">
        <f t="shared" si="4"/>
        <v>30804</v>
      </c>
      <c r="M22" s="21">
        <f t="shared" si="4"/>
        <v>46967</v>
      </c>
      <c r="N22" s="21">
        <f t="shared" si="4"/>
        <v>65861</v>
      </c>
      <c r="O22" s="21">
        <f t="shared" si="4"/>
        <v>43685</v>
      </c>
      <c r="P22" s="21">
        <f t="shared" si="4"/>
        <v>261600</v>
      </c>
      <c r="Q22" s="21">
        <f t="shared" si="4"/>
        <v>134171</v>
      </c>
      <c r="R22" s="21">
        <f t="shared" si="4"/>
        <v>58330</v>
      </c>
      <c r="S22" s="21">
        <f t="shared" si="4"/>
        <v>44272</v>
      </c>
      <c r="T22" s="21">
        <f t="shared" si="4"/>
        <v>108365</v>
      </c>
      <c r="U22" s="21">
        <f t="shared" si="4"/>
        <v>265000</v>
      </c>
      <c r="V22" s="21">
        <f t="shared" si="4"/>
        <v>88577</v>
      </c>
      <c r="W22" s="21">
        <f t="shared" si="4"/>
        <v>268500</v>
      </c>
      <c r="X22" s="21">
        <f t="shared" si="4"/>
        <v>88529</v>
      </c>
      <c r="Y22" s="21">
        <f t="shared" si="4"/>
        <v>121541</v>
      </c>
      <c r="Z22" s="21">
        <f t="shared" si="4"/>
        <v>0</v>
      </c>
      <c r="AA22" s="21">
        <f t="shared" si="4"/>
        <v>0</v>
      </c>
      <c r="AB22" s="21">
        <f t="shared" si="4"/>
        <v>80589</v>
      </c>
      <c r="AC22" s="21">
        <f t="shared" si="4"/>
        <v>210800</v>
      </c>
      <c r="AD22" s="21">
        <f t="shared" si="4"/>
        <v>55944</v>
      </c>
      <c r="AE22" s="21">
        <f t="shared" si="4"/>
        <v>57029</v>
      </c>
      <c r="AF22" s="21">
        <f t="shared" si="4"/>
        <v>250796</v>
      </c>
      <c r="AG22" s="21">
        <f t="shared" si="4"/>
        <v>59071</v>
      </c>
      <c r="AH22" s="21">
        <f t="shared" si="4"/>
        <v>36419</v>
      </c>
      <c r="AI22" s="21">
        <f t="shared" si="4"/>
        <v>48100</v>
      </c>
      <c r="AJ22" s="21">
        <f t="shared" si="4"/>
        <v>46495</v>
      </c>
      <c r="AK22" s="21">
        <f t="shared" si="4"/>
        <v>59675</v>
      </c>
      <c r="AL22" s="21">
        <f t="shared" si="4"/>
        <v>64811</v>
      </c>
      <c r="AM22" s="21">
        <f t="shared" si="4"/>
        <v>53912</v>
      </c>
      <c r="AN22" s="21">
        <f t="shared" si="4"/>
        <v>140120</v>
      </c>
      <c r="AO22" s="21">
        <f t="shared" si="4"/>
        <v>36408</v>
      </c>
      <c r="AP22" s="21">
        <f t="shared" si="4"/>
        <v>45533</v>
      </c>
      <c r="AQ22" s="21">
        <f t="shared" si="4"/>
        <v>90582</v>
      </c>
      <c r="AR22" s="21">
        <f t="shared" si="4"/>
        <v>0</v>
      </c>
      <c r="AS22" s="21">
        <f t="shared" si="4"/>
        <v>309806</v>
      </c>
      <c r="AT22" s="21">
        <f t="shared" si="4"/>
        <v>225658</v>
      </c>
      <c r="AU22" s="23">
        <f t="shared" si="3"/>
        <v>4221550</v>
      </c>
      <c r="AV22" s="23">
        <f t="shared" si="0"/>
        <v>96949.30232558139</v>
      </c>
      <c r="AW22" s="24">
        <f>AU22/AU13</f>
        <v>0.10801060510091599</v>
      </c>
    </row>
    <row r="23" spans="1:49">
      <c r="A23" s="47" t="s">
        <v>150</v>
      </c>
      <c r="B23" s="8" t="s">
        <v>151</v>
      </c>
      <c r="C23" s="11">
        <v>99900</v>
      </c>
      <c r="D23" s="11">
        <v>0</v>
      </c>
      <c r="E23" s="11">
        <v>0</v>
      </c>
      <c r="F23" s="11">
        <v>244020</v>
      </c>
      <c r="G23" s="11">
        <v>0</v>
      </c>
      <c r="H23" s="11">
        <v>0</v>
      </c>
      <c r="I23" s="11">
        <v>0</v>
      </c>
      <c r="J23" s="11">
        <v>109610</v>
      </c>
      <c r="K23" s="11">
        <v>3200</v>
      </c>
      <c r="L23" s="11">
        <v>13300</v>
      </c>
      <c r="M23" s="11">
        <v>0</v>
      </c>
      <c r="N23" s="11">
        <v>0</v>
      </c>
      <c r="O23" s="11">
        <v>154940</v>
      </c>
      <c r="P23" s="11">
        <v>0</v>
      </c>
      <c r="Q23" s="11">
        <v>28950</v>
      </c>
      <c r="R23" s="11">
        <v>0</v>
      </c>
      <c r="S23" s="11">
        <v>19180</v>
      </c>
      <c r="T23" s="11">
        <v>0</v>
      </c>
      <c r="U23" s="11">
        <v>77070</v>
      </c>
      <c r="V23" s="11">
        <v>173768</v>
      </c>
      <c r="W23" s="11">
        <v>70840</v>
      </c>
      <c r="X23" s="11">
        <v>15640</v>
      </c>
      <c r="Y23" s="11">
        <v>91587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384380</v>
      </c>
      <c r="AH23" s="11">
        <v>0</v>
      </c>
      <c r="AI23" s="11">
        <v>121042</v>
      </c>
      <c r="AJ23" s="11">
        <v>0</v>
      </c>
      <c r="AK23" s="11">
        <v>65100</v>
      </c>
      <c r="AL23" s="11">
        <v>249540</v>
      </c>
      <c r="AM23" s="11">
        <v>0</v>
      </c>
      <c r="AN23" s="11">
        <v>42000</v>
      </c>
      <c r="AO23" s="11">
        <v>43954</v>
      </c>
      <c r="AP23" s="11">
        <v>0</v>
      </c>
      <c r="AQ23" s="11">
        <v>45150</v>
      </c>
      <c r="AR23" s="11">
        <v>0</v>
      </c>
      <c r="AS23" s="11">
        <v>0</v>
      </c>
      <c r="AT23" s="11">
        <v>0</v>
      </c>
      <c r="AU23" s="13">
        <f t="shared" si="3"/>
        <v>2053171</v>
      </c>
      <c r="AV23" s="13">
        <f t="shared" si="0"/>
        <v>45424.906976744183</v>
      </c>
      <c r="AW23" s="10">
        <f>AU23/AU13</f>
        <v>5.2531473531203653E-2</v>
      </c>
    </row>
    <row r="24" spans="1:49">
      <c r="A24" s="47"/>
      <c r="B24" s="8" t="s">
        <v>152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3">
        <f t="shared" si="3"/>
        <v>0</v>
      </c>
      <c r="AV24" s="13">
        <f t="shared" si="0"/>
        <v>0</v>
      </c>
      <c r="AW24" s="10">
        <f>AU24/AU13</f>
        <v>0</v>
      </c>
    </row>
    <row r="25" spans="1:49">
      <c r="A25" s="47"/>
      <c r="B25" s="8" t="s">
        <v>153</v>
      </c>
      <c r="C25" s="11">
        <f t="shared" ref="C25:AT25" si="5">30000*C9/70000*C11</f>
        <v>23296.285714285714</v>
      </c>
      <c r="D25" s="11">
        <f t="shared" si="5"/>
        <v>0</v>
      </c>
      <c r="E25" s="11">
        <f t="shared" si="5"/>
        <v>25969.714285714286</v>
      </c>
      <c r="F25" s="11">
        <f t="shared" si="5"/>
        <v>23300.571428571428</v>
      </c>
      <c r="G25" s="11">
        <f t="shared" si="5"/>
        <v>303.08571428571429</v>
      </c>
      <c r="H25" s="11">
        <f t="shared" si="5"/>
        <v>15261.942857142854</v>
      </c>
      <c r="I25" s="11">
        <f t="shared" si="5"/>
        <v>9651.7714285714283</v>
      </c>
      <c r="J25" s="11">
        <f t="shared" si="5"/>
        <v>22393.371428571427</v>
      </c>
      <c r="K25" s="11">
        <f t="shared" si="5"/>
        <v>15226.285714285714</v>
      </c>
      <c r="L25" s="11">
        <f t="shared" si="5"/>
        <v>23673</v>
      </c>
      <c r="M25" s="11">
        <f t="shared" si="5"/>
        <v>24943.285714285714</v>
      </c>
      <c r="N25" s="11">
        <f t="shared" si="5"/>
        <v>27197.142857142855</v>
      </c>
      <c r="O25" s="11">
        <f t="shared" si="5"/>
        <v>5525.9999999999991</v>
      </c>
      <c r="P25" s="11">
        <f t="shared" si="5"/>
        <v>25931.999999999996</v>
      </c>
      <c r="Q25" s="11">
        <f t="shared" si="5"/>
        <v>31072.800000000003</v>
      </c>
      <c r="R25" s="11">
        <f t="shared" si="5"/>
        <v>23161.285714285714</v>
      </c>
      <c r="S25" s="11">
        <f t="shared" si="5"/>
        <v>24756.428571428572</v>
      </c>
      <c r="T25" s="11">
        <f t="shared" si="5"/>
        <v>24852.857142857141</v>
      </c>
      <c r="U25" s="11">
        <f t="shared" si="5"/>
        <v>30106.714285714283</v>
      </c>
      <c r="V25" s="11">
        <f t="shared" si="5"/>
        <v>36769.28571428571</v>
      </c>
      <c r="W25" s="11">
        <f t="shared" si="5"/>
        <v>37259.142857142862</v>
      </c>
      <c r="X25" s="11">
        <f t="shared" si="5"/>
        <v>252.85714285714286</v>
      </c>
      <c r="Y25" s="11">
        <f t="shared" si="5"/>
        <v>30323.999999999996</v>
      </c>
      <c r="Z25" s="11">
        <f t="shared" si="5"/>
        <v>0</v>
      </c>
      <c r="AA25" s="11">
        <f t="shared" si="5"/>
        <v>0</v>
      </c>
      <c r="AB25" s="11">
        <f t="shared" si="5"/>
        <v>0</v>
      </c>
      <c r="AC25" s="11">
        <f t="shared" si="5"/>
        <v>0</v>
      </c>
      <c r="AD25" s="11">
        <f t="shared" si="5"/>
        <v>0</v>
      </c>
      <c r="AE25" s="11">
        <f t="shared" si="5"/>
        <v>26564.571428571428</v>
      </c>
      <c r="AF25" s="11">
        <f t="shared" si="5"/>
        <v>28025.142857142855</v>
      </c>
      <c r="AG25" s="11">
        <f t="shared" si="5"/>
        <v>25601.142857142855</v>
      </c>
      <c r="AH25" s="11">
        <f t="shared" si="5"/>
        <v>32305.714285714286</v>
      </c>
      <c r="AI25" s="11">
        <f t="shared" si="5"/>
        <v>15587.142857142857</v>
      </c>
      <c r="AJ25" s="11">
        <f t="shared" si="5"/>
        <v>22851.428571428572</v>
      </c>
      <c r="AK25" s="11">
        <f t="shared" si="5"/>
        <v>9998.5714285714275</v>
      </c>
      <c r="AL25" s="11">
        <f t="shared" si="5"/>
        <v>20414.400000000001</v>
      </c>
      <c r="AM25" s="11">
        <f t="shared" si="5"/>
        <v>19845</v>
      </c>
      <c r="AN25" s="11">
        <f t="shared" si="5"/>
        <v>175.11428571428573</v>
      </c>
      <c r="AO25" s="11">
        <f t="shared" si="5"/>
        <v>10060.457142857142</v>
      </c>
      <c r="AP25" s="11">
        <f t="shared" si="5"/>
        <v>14641.028571428571</v>
      </c>
      <c r="AQ25" s="11">
        <f t="shared" si="5"/>
        <v>1750.9714285714285</v>
      </c>
      <c r="AR25" s="11">
        <f t="shared" si="5"/>
        <v>0</v>
      </c>
      <c r="AS25" s="11">
        <f t="shared" si="5"/>
        <v>0</v>
      </c>
      <c r="AT25" s="11">
        <f t="shared" si="5"/>
        <v>0</v>
      </c>
      <c r="AU25" s="13">
        <f t="shared" si="3"/>
        <v>709050.51428571437</v>
      </c>
      <c r="AV25" s="13">
        <f t="shared" si="0"/>
        <v>15947.772757475086</v>
      </c>
      <c r="AW25" s="10">
        <f>AU25/AU13</f>
        <v>1.8141435040474635E-2</v>
      </c>
    </row>
    <row r="26" spans="1:49">
      <c r="A26" s="47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3">
        <f t="shared" si="3"/>
        <v>0</v>
      </c>
      <c r="AV26" s="13">
        <f t="shared" si="0"/>
        <v>0</v>
      </c>
      <c r="AW26" s="10">
        <f>AU26/AU13</f>
        <v>0</v>
      </c>
    </row>
    <row r="27" spans="1:49">
      <c r="A27" s="47"/>
      <c r="B27" s="20" t="s">
        <v>154</v>
      </c>
      <c r="C27" s="21">
        <f t="shared" ref="C27:AT27" si="6">SUM(C23:C26)</f>
        <v>123196.28571428571</v>
      </c>
      <c r="D27" s="21">
        <f t="shared" si="6"/>
        <v>0</v>
      </c>
      <c r="E27" s="21">
        <f t="shared" si="6"/>
        <v>25969.714285714286</v>
      </c>
      <c r="F27" s="21">
        <f t="shared" si="6"/>
        <v>267320.57142857142</v>
      </c>
      <c r="G27" s="21">
        <f t="shared" si="6"/>
        <v>303.08571428571429</v>
      </c>
      <c r="H27" s="21">
        <f t="shared" si="6"/>
        <v>15261.942857142854</v>
      </c>
      <c r="I27" s="21">
        <f t="shared" si="6"/>
        <v>9651.7714285714283</v>
      </c>
      <c r="J27" s="21">
        <f t="shared" si="6"/>
        <v>132003.37142857144</v>
      </c>
      <c r="K27" s="21">
        <f t="shared" si="6"/>
        <v>18426.285714285714</v>
      </c>
      <c r="L27" s="21">
        <f t="shared" si="6"/>
        <v>36973</v>
      </c>
      <c r="M27" s="21">
        <f t="shared" si="6"/>
        <v>24943.285714285714</v>
      </c>
      <c r="N27" s="21">
        <f t="shared" si="6"/>
        <v>27197.142857142855</v>
      </c>
      <c r="O27" s="21">
        <f t="shared" si="6"/>
        <v>160466</v>
      </c>
      <c r="P27" s="21">
        <f t="shared" si="6"/>
        <v>25931.999999999996</v>
      </c>
      <c r="Q27" s="21">
        <f t="shared" si="6"/>
        <v>60022.8</v>
      </c>
      <c r="R27" s="21">
        <f t="shared" si="6"/>
        <v>23161.285714285714</v>
      </c>
      <c r="S27" s="21">
        <f t="shared" si="6"/>
        <v>43936.428571428572</v>
      </c>
      <c r="T27" s="21">
        <f t="shared" si="6"/>
        <v>24852.857142857141</v>
      </c>
      <c r="U27" s="21">
        <f t="shared" si="6"/>
        <v>107176.71428571429</v>
      </c>
      <c r="V27" s="21">
        <f t="shared" si="6"/>
        <v>210537.28571428571</v>
      </c>
      <c r="W27" s="21">
        <f t="shared" si="6"/>
        <v>108099.14285714287</v>
      </c>
      <c r="X27" s="21">
        <f t="shared" si="6"/>
        <v>15892.857142857143</v>
      </c>
      <c r="Y27" s="21">
        <f t="shared" si="6"/>
        <v>121911</v>
      </c>
      <c r="Z27" s="21">
        <f t="shared" si="6"/>
        <v>0</v>
      </c>
      <c r="AA27" s="21">
        <f t="shared" si="6"/>
        <v>0</v>
      </c>
      <c r="AB27" s="21">
        <f t="shared" si="6"/>
        <v>0</v>
      </c>
      <c r="AC27" s="21">
        <f t="shared" si="6"/>
        <v>0</v>
      </c>
      <c r="AD27" s="21">
        <f t="shared" si="6"/>
        <v>0</v>
      </c>
      <c r="AE27" s="21">
        <f t="shared" si="6"/>
        <v>26564.571428571428</v>
      </c>
      <c r="AF27" s="21">
        <f t="shared" si="6"/>
        <v>28025.142857142855</v>
      </c>
      <c r="AG27" s="21">
        <f t="shared" si="6"/>
        <v>409981.14285714284</v>
      </c>
      <c r="AH27" s="21">
        <f t="shared" si="6"/>
        <v>32305.714285714286</v>
      </c>
      <c r="AI27" s="21">
        <f t="shared" si="6"/>
        <v>136629.14285714287</v>
      </c>
      <c r="AJ27" s="21">
        <f t="shared" si="6"/>
        <v>22851.428571428572</v>
      </c>
      <c r="AK27" s="21">
        <f t="shared" si="6"/>
        <v>75098.57142857142</v>
      </c>
      <c r="AL27" s="21">
        <f t="shared" si="6"/>
        <v>269954.40000000002</v>
      </c>
      <c r="AM27" s="21">
        <f t="shared" si="6"/>
        <v>19845</v>
      </c>
      <c r="AN27" s="21">
        <f t="shared" si="6"/>
        <v>42175.114285714284</v>
      </c>
      <c r="AO27" s="21">
        <f t="shared" si="6"/>
        <v>54014.457142857143</v>
      </c>
      <c r="AP27" s="21">
        <f t="shared" si="6"/>
        <v>14641.028571428571</v>
      </c>
      <c r="AQ27" s="21">
        <f t="shared" si="6"/>
        <v>46900.971428571429</v>
      </c>
      <c r="AR27" s="21">
        <f t="shared" si="6"/>
        <v>0</v>
      </c>
      <c r="AS27" s="21">
        <f t="shared" si="6"/>
        <v>0</v>
      </c>
      <c r="AT27" s="21">
        <f t="shared" si="6"/>
        <v>0</v>
      </c>
      <c r="AU27" s="23">
        <f t="shared" si="3"/>
        <v>2762221.5142857144</v>
      </c>
      <c r="AV27" s="23">
        <f t="shared" si="0"/>
        <v>61372.67973421928</v>
      </c>
      <c r="AW27" s="24">
        <f>AU27/AU13</f>
        <v>7.0672908571678295E-2</v>
      </c>
    </row>
    <row r="28" spans="1:49">
      <c r="A28" s="47" t="s">
        <v>155</v>
      </c>
      <c r="B28" s="5" t="s">
        <v>156</v>
      </c>
      <c r="C28" s="25">
        <v>1410</v>
      </c>
      <c r="D28" s="25">
        <v>0</v>
      </c>
      <c r="E28" s="25">
        <v>1505</v>
      </c>
      <c r="F28" s="25">
        <v>1682</v>
      </c>
      <c r="G28" s="25">
        <v>0</v>
      </c>
      <c r="H28" s="25">
        <v>1157</v>
      </c>
      <c r="I28" s="25">
        <v>708</v>
      </c>
      <c r="J28" s="25">
        <v>1661</v>
      </c>
      <c r="K28" s="25">
        <v>1270</v>
      </c>
      <c r="L28" s="25">
        <v>1552</v>
      </c>
      <c r="M28" s="25">
        <v>1428</v>
      </c>
      <c r="N28" s="25">
        <v>1605</v>
      </c>
      <c r="O28" s="25">
        <v>392</v>
      </c>
      <c r="P28" s="25">
        <v>1550</v>
      </c>
      <c r="Q28" s="25">
        <v>1968</v>
      </c>
      <c r="R28" s="25">
        <v>1525</v>
      </c>
      <c r="S28" s="25">
        <v>1665</v>
      </c>
      <c r="T28" s="25">
        <v>1548</v>
      </c>
      <c r="U28" s="25">
        <v>1846</v>
      </c>
      <c r="V28" s="25">
        <v>2337</v>
      </c>
      <c r="W28" s="25">
        <v>2231</v>
      </c>
      <c r="X28" s="25">
        <v>0</v>
      </c>
      <c r="Y28" s="25">
        <v>1915</v>
      </c>
      <c r="Z28" s="25">
        <v>0</v>
      </c>
      <c r="AA28" s="25">
        <v>0</v>
      </c>
      <c r="AB28" s="25">
        <v>0</v>
      </c>
      <c r="AC28" s="25">
        <v>230</v>
      </c>
      <c r="AD28" s="25">
        <v>0</v>
      </c>
      <c r="AE28" s="25">
        <v>2040</v>
      </c>
      <c r="AF28" s="25">
        <v>2038</v>
      </c>
      <c r="AG28" s="25">
        <v>1882</v>
      </c>
      <c r="AH28" s="25">
        <v>2030</v>
      </c>
      <c r="AI28" s="25">
        <v>940</v>
      </c>
      <c r="AJ28" s="25">
        <v>1326</v>
      </c>
      <c r="AK28" s="25">
        <v>621</v>
      </c>
      <c r="AL28" s="25">
        <v>1271</v>
      </c>
      <c r="AM28" s="25">
        <v>1384</v>
      </c>
      <c r="AN28" s="25">
        <v>309</v>
      </c>
      <c r="AO28" s="25">
        <v>856</v>
      </c>
      <c r="AP28" s="25">
        <v>1037</v>
      </c>
      <c r="AQ28" s="25">
        <v>217</v>
      </c>
      <c r="AR28" s="25">
        <v>0</v>
      </c>
      <c r="AS28" s="25">
        <v>0</v>
      </c>
      <c r="AT28" s="25">
        <v>0</v>
      </c>
      <c r="AU28" s="27">
        <f t="shared" si="3"/>
        <v>47136</v>
      </c>
      <c r="AV28" s="27">
        <f t="shared" si="0"/>
        <v>1063.3953488372092</v>
      </c>
      <c r="AW28" s="7">
        <f>AU28/AU13</f>
        <v>1.2059996641131281E-3</v>
      </c>
    </row>
    <row r="29" spans="1:49">
      <c r="A29" s="47"/>
      <c r="B29" s="28" t="s">
        <v>157</v>
      </c>
      <c r="C29" s="29">
        <f t="shared" ref="C29:AU29" si="7">SUM(C11/C28)</f>
        <v>3.8551773049645393</v>
      </c>
      <c r="D29" s="29" t="e">
        <f t="shared" si="7"/>
        <v>#DIV/0!</v>
      </c>
      <c r="E29" s="29">
        <f t="shared" si="7"/>
        <v>4.0263122923588046</v>
      </c>
      <c r="F29" s="29">
        <f t="shared" si="7"/>
        <v>3.2323424494649227</v>
      </c>
      <c r="G29" s="29" t="e">
        <f t="shared" si="7"/>
        <v>#DIV/0!</v>
      </c>
      <c r="H29" s="29">
        <f t="shared" si="7"/>
        <v>3.847363872082973</v>
      </c>
      <c r="I29" s="29">
        <f t="shared" si="7"/>
        <v>3.9761299435028246</v>
      </c>
      <c r="J29" s="29">
        <f t="shared" si="7"/>
        <v>3.9322095123419625</v>
      </c>
      <c r="K29" s="29">
        <f t="shared" si="7"/>
        <v>3.4968503937007873</v>
      </c>
      <c r="L29" s="29">
        <f t="shared" si="7"/>
        <v>3.5590850515463917</v>
      </c>
      <c r="M29" s="29">
        <f t="shared" si="7"/>
        <v>4.075700280112045</v>
      </c>
      <c r="N29" s="29">
        <f t="shared" si="7"/>
        <v>3.9538940809968848</v>
      </c>
      <c r="O29" s="29">
        <f t="shared" si="7"/>
        <v>3.2892857142857141</v>
      </c>
      <c r="P29" s="29">
        <f t="shared" si="7"/>
        <v>3.9037419354838705</v>
      </c>
      <c r="Q29" s="29">
        <f t="shared" si="7"/>
        <v>2.6315040650406507</v>
      </c>
      <c r="R29" s="29">
        <f t="shared" si="7"/>
        <v>3.5438032786885247</v>
      </c>
      <c r="S29" s="29">
        <f t="shared" si="7"/>
        <v>3.4693693693693692</v>
      </c>
      <c r="T29" s="29">
        <f t="shared" si="7"/>
        <v>3.7461240310077519</v>
      </c>
      <c r="U29" s="29">
        <f t="shared" si="7"/>
        <v>3.8054712892741058</v>
      </c>
      <c r="V29" s="29">
        <f t="shared" si="7"/>
        <v>3.6711596063329055</v>
      </c>
      <c r="W29" s="29">
        <f t="shared" si="7"/>
        <v>3.8968175705961459</v>
      </c>
      <c r="X29" s="29" t="e">
        <f t="shared" si="7"/>
        <v>#DIV/0!</v>
      </c>
      <c r="Y29" s="29">
        <f t="shared" si="7"/>
        <v>3.6948302872062659</v>
      </c>
      <c r="Z29" s="29" t="e">
        <f t="shared" si="7"/>
        <v>#DIV/0!</v>
      </c>
      <c r="AA29" s="29" t="e">
        <f t="shared" si="7"/>
        <v>#DIV/0!</v>
      </c>
      <c r="AB29" s="29" t="e">
        <f t="shared" si="7"/>
        <v>#DIV/0!</v>
      </c>
      <c r="AC29" s="29">
        <f t="shared" si="7"/>
        <v>0</v>
      </c>
      <c r="AD29" s="29" t="e">
        <f t="shared" si="7"/>
        <v>#DIV/0!</v>
      </c>
      <c r="AE29" s="29">
        <f t="shared" si="7"/>
        <v>3.7980392156862743</v>
      </c>
      <c r="AF29" s="29">
        <f t="shared" si="7"/>
        <v>4.010794896957802</v>
      </c>
      <c r="AG29" s="29">
        <f t="shared" si="7"/>
        <v>3.9675876726886292</v>
      </c>
      <c r="AH29" s="29">
        <f t="shared" si="7"/>
        <v>3.7133004926108373</v>
      </c>
      <c r="AI29" s="29">
        <f t="shared" si="7"/>
        <v>3.8691489361702129</v>
      </c>
      <c r="AJ29" s="29">
        <f t="shared" si="7"/>
        <v>4.0211161387631975</v>
      </c>
      <c r="AK29" s="29">
        <f t="shared" si="7"/>
        <v>3.756843800322061</v>
      </c>
      <c r="AL29" s="29">
        <f t="shared" si="7"/>
        <v>2.6769472856018885</v>
      </c>
      <c r="AM29" s="29">
        <f t="shared" si="7"/>
        <v>2.3898121387283235</v>
      </c>
      <c r="AN29" s="29">
        <f t="shared" si="7"/>
        <v>7.3462783171521051E-2</v>
      </c>
      <c r="AO29" s="29">
        <f t="shared" si="7"/>
        <v>3.4279205607476633</v>
      </c>
      <c r="AP29" s="29">
        <f t="shared" si="7"/>
        <v>4.1179363548698174</v>
      </c>
      <c r="AQ29" s="29">
        <f t="shared" si="7"/>
        <v>2.3534562211981567</v>
      </c>
      <c r="AR29" s="29" t="e">
        <f t="shared" si="7"/>
        <v>#DIV/0!</v>
      </c>
      <c r="AS29" s="29" t="e">
        <f t="shared" si="7"/>
        <v>#DIV/0!</v>
      </c>
      <c r="AT29" s="29" t="e">
        <f t="shared" si="7"/>
        <v>#DIV/0!</v>
      </c>
      <c r="AU29" s="31">
        <f t="shared" si="7"/>
        <v>3.6184190427698577</v>
      </c>
      <c r="AV29" s="31" t="e">
        <f t="shared" si="0"/>
        <v>#DIV/0!</v>
      </c>
      <c r="AW29" s="28">
        <f>AU29/AU13</f>
        <v>9.2579178339294699E-8</v>
      </c>
    </row>
    <row r="30" spans="1:49">
      <c r="A30" s="47"/>
      <c r="B30" s="8" t="s">
        <v>158</v>
      </c>
      <c r="C30" s="11">
        <v>182877</v>
      </c>
      <c r="D30" s="11">
        <v>0</v>
      </c>
      <c r="E30" s="11">
        <v>195199</v>
      </c>
      <c r="F30" s="11">
        <v>218155</v>
      </c>
      <c r="G30" s="11">
        <v>0</v>
      </c>
      <c r="H30" s="11">
        <v>150063</v>
      </c>
      <c r="I30" s="11">
        <v>91828</v>
      </c>
      <c r="J30" s="11">
        <v>215432</v>
      </c>
      <c r="K30" s="11">
        <v>155448</v>
      </c>
      <c r="L30" s="11">
        <v>189965</v>
      </c>
      <c r="M30" s="11">
        <v>174787</v>
      </c>
      <c r="N30" s="11">
        <v>196452</v>
      </c>
      <c r="O30" s="11">
        <v>47981</v>
      </c>
      <c r="P30" s="11">
        <v>189720</v>
      </c>
      <c r="Q30" s="11">
        <v>240883</v>
      </c>
      <c r="R30" s="11">
        <v>186660</v>
      </c>
      <c r="S30" s="11">
        <v>203796</v>
      </c>
      <c r="T30" s="11">
        <v>189475</v>
      </c>
      <c r="U30" s="11">
        <v>225950</v>
      </c>
      <c r="V30" s="11">
        <v>286049</v>
      </c>
      <c r="W30" s="11">
        <v>273074</v>
      </c>
      <c r="X30" s="11">
        <v>0</v>
      </c>
      <c r="Y30" s="11">
        <v>234396</v>
      </c>
      <c r="Z30" s="11">
        <v>0</v>
      </c>
      <c r="AA30" s="11">
        <v>0</v>
      </c>
      <c r="AB30" s="11">
        <v>0</v>
      </c>
      <c r="AC30" s="11">
        <v>28152</v>
      </c>
      <c r="AD30" s="11">
        <v>0</v>
      </c>
      <c r="AE30" s="11">
        <v>249696</v>
      </c>
      <c r="AF30" s="11">
        <v>249451</v>
      </c>
      <c r="AG30" s="11">
        <v>230357</v>
      </c>
      <c r="AH30" s="11">
        <v>248472</v>
      </c>
      <c r="AI30" s="11">
        <v>115056</v>
      </c>
      <c r="AJ30" s="11">
        <v>162302</v>
      </c>
      <c r="AK30" s="11">
        <v>76010</v>
      </c>
      <c r="AL30" s="11">
        <v>164847</v>
      </c>
      <c r="AM30" s="11">
        <v>179270</v>
      </c>
      <c r="AN30" s="11">
        <v>40077</v>
      </c>
      <c r="AO30" s="11">
        <v>111357</v>
      </c>
      <c r="AP30" s="11">
        <v>134298</v>
      </c>
      <c r="AQ30" s="11">
        <v>28144</v>
      </c>
      <c r="AR30" s="11">
        <v>0</v>
      </c>
      <c r="AS30" s="11">
        <v>0</v>
      </c>
      <c r="AT30" s="11">
        <v>0</v>
      </c>
      <c r="AU30" s="13">
        <f t="shared" ref="AU30:AU60" si="8">SUM(C30:AT30)</f>
        <v>5865679</v>
      </c>
      <c r="AV30" s="13">
        <f t="shared" si="0"/>
        <v>132158.18604651163</v>
      </c>
      <c r="AW30" s="10">
        <f>AU30/AU13</f>
        <v>0.15007652121086706</v>
      </c>
    </row>
    <row r="31" spans="1:49">
      <c r="A31" s="47"/>
      <c r="B31" s="8" t="s">
        <v>159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12425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9585</v>
      </c>
      <c r="AH31" s="11">
        <v>9585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3">
        <f t="shared" si="8"/>
        <v>31595</v>
      </c>
      <c r="AV31" s="13">
        <f t="shared" si="0"/>
        <v>734.76744186046517</v>
      </c>
      <c r="AW31" s="10">
        <f>AU31/AU13</f>
        <v>8.0837490214813066E-4</v>
      </c>
    </row>
    <row r="32" spans="1:49">
      <c r="A32" s="47"/>
      <c r="B32" s="8" t="s">
        <v>160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3285</v>
      </c>
      <c r="AM32" s="11">
        <v>6490</v>
      </c>
      <c r="AN32" s="11">
        <v>1693</v>
      </c>
      <c r="AO32" s="11">
        <v>2157</v>
      </c>
      <c r="AP32" s="11">
        <v>2525</v>
      </c>
      <c r="AQ32" s="11">
        <v>2132</v>
      </c>
      <c r="AR32" s="11">
        <v>0</v>
      </c>
      <c r="AS32" s="11">
        <v>0</v>
      </c>
      <c r="AT32" s="11">
        <v>0</v>
      </c>
      <c r="AU32" s="13">
        <f t="shared" si="8"/>
        <v>18282</v>
      </c>
      <c r="AV32" s="13">
        <f t="shared" si="0"/>
        <v>425.16279069767444</v>
      </c>
      <c r="AW32" s="10">
        <f>AU32/AU13</f>
        <v>4.6775470679133165E-4</v>
      </c>
    </row>
    <row r="33" spans="1:49">
      <c r="A33" s="47"/>
      <c r="B33" s="20" t="s">
        <v>161</v>
      </c>
      <c r="C33" s="21">
        <f>SUM(C30:C32)</f>
        <v>182877</v>
      </c>
      <c r="D33" s="21">
        <f t="shared" ref="D33:AT33" si="9">SUM(D30:D32)</f>
        <v>0</v>
      </c>
      <c r="E33" s="21">
        <f t="shared" si="9"/>
        <v>195199</v>
      </c>
      <c r="F33" s="21">
        <f t="shared" si="9"/>
        <v>218155</v>
      </c>
      <c r="G33" s="21">
        <f t="shared" si="9"/>
        <v>0</v>
      </c>
      <c r="H33" s="21">
        <f t="shared" si="9"/>
        <v>150063</v>
      </c>
      <c r="I33" s="21">
        <f t="shared" si="9"/>
        <v>91828</v>
      </c>
      <c r="J33" s="21">
        <f t="shared" si="9"/>
        <v>215432</v>
      </c>
      <c r="K33" s="21">
        <f t="shared" si="9"/>
        <v>155448</v>
      </c>
      <c r="L33" s="21">
        <f t="shared" si="9"/>
        <v>189965</v>
      </c>
      <c r="M33" s="21">
        <f t="shared" si="9"/>
        <v>187212</v>
      </c>
      <c r="N33" s="21">
        <f t="shared" si="9"/>
        <v>196452</v>
      </c>
      <c r="O33" s="21">
        <f t="shared" si="9"/>
        <v>47981</v>
      </c>
      <c r="P33" s="21">
        <f t="shared" si="9"/>
        <v>189720</v>
      </c>
      <c r="Q33" s="21">
        <f t="shared" si="9"/>
        <v>240883</v>
      </c>
      <c r="R33" s="21">
        <f t="shared" si="9"/>
        <v>186660</v>
      </c>
      <c r="S33" s="21">
        <f t="shared" si="9"/>
        <v>203796</v>
      </c>
      <c r="T33" s="21">
        <f t="shared" si="9"/>
        <v>189475</v>
      </c>
      <c r="U33" s="21">
        <f t="shared" si="9"/>
        <v>225950</v>
      </c>
      <c r="V33" s="21">
        <f t="shared" si="9"/>
        <v>286049</v>
      </c>
      <c r="W33" s="21">
        <f t="shared" si="9"/>
        <v>273074</v>
      </c>
      <c r="X33" s="21">
        <f t="shared" si="9"/>
        <v>0</v>
      </c>
      <c r="Y33" s="21">
        <f t="shared" si="9"/>
        <v>234396</v>
      </c>
      <c r="Z33" s="21">
        <f t="shared" si="9"/>
        <v>0</v>
      </c>
      <c r="AA33" s="21">
        <f t="shared" si="9"/>
        <v>0</v>
      </c>
      <c r="AB33" s="21">
        <f t="shared" si="9"/>
        <v>0</v>
      </c>
      <c r="AC33" s="21">
        <f t="shared" si="9"/>
        <v>28152</v>
      </c>
      <c r="AD33" s="21">
        <f t="shared" si="9"/>
        <v>0</v>
      </c>
      <c r="AE33" s="21">
        <f t="shared" si="9"/>
        <v>249696</v>
      </c>
      <c r="AF33" s="21">
        <f t="shared" si="9"/>
        <v>249451</v>
      </c>
      <c r="AG33" s="21">
        <f t="shared" si="9"/>
        <v>239942</v>
      </c>
      <c r="AH33" s="21">
        <f t="shared" si="9"/>
        <v>258057</v>
      </c>
      <c r="AI33" s="21">
        <f t="shared" si="9"/>
        <v>115056</v>
      </c>
      <c r="AJ33" s="21">
        <f t="shared" si="9"/>
        <v>162302</v>
      </c>
      <c r="AK33" s="21">
        <f t="shared" si="9"/>
        <v>76010</v>
      </c>
      <c r="AL33" s="21">
        <f t="shared" si="9"/>
        <v>168132</v>
      </c>
      <c r="AM33" s="21">
        <f t="shared" si="9"/>
        <v>185760</v>
      </c>
      <c r="AN33" s="21">
        <f t="shared" si="9"/>
        <v>41770</v>
      </c>
      <c r="AO33" s="21">
        <f t="shared" si="9"/>
        <v>113514</v>
      </c>
      <c r="AP33" s="21">
        <f t="shared" si="9"/>
        <v>136823</v>
      </c>
      <c r="AQ33" s="21">
        <f t="shared" si="9"/>
        <v>30276</v>
      </c>
      <c r="AR33" s="21">
        <f t="shared" si="9"/>
        <v>0</v>
      </c>
      <c r="AS33" s="21">
        <f t="shared" si="9"/>
        <v>0</v>
      </c>
      <c r="AT33" s="21">
        <f t="shared" si="9"/>
        <v>0</v>
      </c>
      <c r="AU33" s="23">
        <f t="shared" si="8"/>
        <v>5915556</v>
      </c>
      <c r="AV33" s="23">
        <f t="shared" si="0"/>
        <v>133318.11627906977</v>
      </c>
      <c r="AW33" s="24">
        <f>AU33/AU13</f>
        <v>0.15135265081980651</v>
      </c>
    </row>
    <row r="34" spans="1:49">
      <c r="A34" s="47" t="s">
        <v>162</v>
      </c>
      <c r="B34" s="8" t="s">
        <v>163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2008</v>
      </c>
      <c r="J34" s="11">
        <v>2008</v>
      </c>
      <c r="K34" s="11">
        <v>2008</v>
      </c>
      <c r="L34" s="11">
        <v>2008</v>
      </c>
      <c r="M34" s="11">
        <v>2008</v>
      </c>
      <c r="N34" s="11">
        <v>2008</v>
      </c>
      <c r="O34" s="11">
        <v>2012</v>
      </c>
      <c r="P34" s="11">
        <v>0</v>
      </c>
      <c r="Q34" s="11">
        <v>2459</v>
      </c>
      <c r="R34" s="11">
        <v>2008</v>
      </c>
      <c r="S34" s="11">
        <v>2008</v>
      </c>
      <c r="T34" s="11">
        <v>2008</v>
      </c>
      <c r="U34" s="11">
        <v>2012</v>
      </c>
      <c r="V34" s="11">
        <v>2008</v>
      </c>
      <c r="W34" s="11">
        <v>0</v>
      </c>
      <c r="X34" s="11">
        <v>2008</v>
      </c>
      <c r="Y34" s="11">
        <v>2008</v>
      </c>
      <c r="Z34" s="11">
        <v>0</v>
      </c>
      <c r="AA34" s="11">
        <v>0</v>
      </c>
      <c r="AB34" s="11">
        <v>2008</v>
      </c>
      <c r="AC34" s="11">
        <v>0</v>
      </c>
      <c r="AD34" s="11">
        <v>2008</v>
      </c>
      <c r="AE34" s="11">
        <v>2008</v>
      </c>
      <c r="AF34" s="11">
        <v>2008</v>
      </c>
      <c r="AG34" s="11">
        <v>2008</v>
      </c>
      <c r="AH34" s="11">
        <v>2008</v>
      </c>
      <c r="AI34" s="11">
        <v>2008</v>
      </c>
      <c r="AJ34" s="11">
        <v>2008</v>
      </c>
      <c r="AK34" s="11">
        <v>2625</v>
      </c>
      <c r="AL34" s="11">
        <v>2451</v>
      </c>
      <c r="AM34" s="11">
        <v>2451</v>
      </c>
      <c r="AN34" s="11">
        <v>2451</v>
      </c>
      <c r="AO34" s="11">
        <v>2008</v>
      </c>
      <c r="AP34" s="11">
        <v>2008</v>
      </c>
      <c r="AQ34" s="11">
        <v>2008</v>
      </c>
      <c r="AR34" s="11">
        <v>0</v>
      </c>
      <c r="AS34" s="11">
        <v>2008</v>
      </c>
      <c r="AT34" s="11">
        <v>2008</v>
      </c>
      <c r="AU34" s="13">
        <f t="shared" si="8"/>
        <v>76701</v>
      </c>
      <c r="AV34" s="13">
        <f t="shared" si="0"/>
        <v>1737.046511627907</v>
      </c>
      <c r="AW34" s="10">
        <f>AU34/AU13</f>
        <v>1.9624359351056737E-3</v>
      </c>
    </row>
    <row r="35" spans="1:49">
      <c r="A35" s="47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3">
        <f t="shared" si="8"/>
        <v>0</v>
      </c>
      <c r="AV35" s="13">
        <f t="shared" si="0"/>
        <v>0</v>
      </c>
      <c r="AW35" s="10">
        <f>AU35/AU13</f>
        <v>0</v>
      </c>
    </row>
    <row r="36" spans="1:49">
      <c r="A36" s="47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3">
        <f t="shared" si="8"/>
        <v>0</v>
      </c>
      <c r="AV36" s="13">
        <f t="shared" si="0"/>
        <v>0</v>
      </c>
      <c r="AW36" s="10">
        <f>AU36/AU13</f>
        <v>0</v>
      </c>
    </row>
    <row r="37" spans="1:49">
      <c r="A37" s="47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3">
        <f t="shared" si="8"/>
        <v>0</v>
      </c>
      <c r="AV37" s="13">
        <f t="shared" si="0"/>
        <v>0</v>
      </c>
      <c r="AW37" s="10">
        <f>AU37/AU13</f>
        <v>0</v>
      </c>
    </row>
    <row r="38" spans="1:49">
      <c r="A38" s="47"/>
      <c r="B38" s="8" t="s">
        <v>164</v>
      </c>
      <c r="C38" s="11">
        <v>4621</v>
      </c>
      <c r="D38" s="11">
        <v>0</v>
      </c>
      <c r="E38" s="11">
        <v>4621</v>
      </c>
      <c r="F38" s="11">
        <v>7034</v>
      </c>
      <c r="G38" s="11">
        <v>9033</v>
      </c>
      <c r="H38" s="11">
        <v>5366</v>
      </c>
      <c r="I38" s="11">
        <v>5366</v>
      </c>
      <c r="J38" s="11">
        <v>5366</v>
      </c>
      <c r="K38" s="11">
        <v>5366</v>
      </c>
      <c r="L38" s="11">
        <v>5366</v>
      </c>
      <c r="M38" s="11">
        <v>5366</v>
      </c>
      <c r="N38" s="11">
        <v>5366</v>
      </c>
      <c r="O38" s="11">
        <v>5366</v>
      </c>
      <c r="P38" s="11">
        <v>10718</v>
      </c>
      <c r="Q38" s="11">
        <v>10690</v>
      </c>
      <c r="R38" s="11">
        <v>5366</v>
      </c>
      <c r="S38" s="11">
        <v>5366</v>
      </c>
      <c r="T38" s="11">
        <v>7671</v>
      </c>
      <c r="U38" s="11">
        <v>8639</v>
      </c>
      <c r="V38" s="11">
        <v>5366</v>
      </c>
      <c r="W38" s="11">
        <v>5576</v>
      </c>
      <c r="X38" s="11">
        <v>7624</v>
      </c>
      <c r="Y38" s="11">
        <v>6832</v>
      </c>
      <c r="Z38" s="11">
        <v>0</v>
      </c>
      <c r="AA38" s="11">
        <v>0</v>
      </c>
      <c r="AB38" s="11">
        <v>5366</v>
      </c>
      <c r="AC38" s="11">
        <v>0</v>
      </c>
      <c r="AD38" s="11">
        <v>4621</v>
      </c>
      <c r="AE38" s="11">
        <v>5366</v>
      </c>
      <c r="AF38" s="11">
        <v>10370</v>
      </c>
      <c r="AG38" s="11">
        <v>5366</v>
      </c>
      <c r="AH38" s="11">
        <v>5366</v>
      </c>
      <c r="AI38" s="11">
        <v>4621</v>
      </c>
      <c r="AJ38" s="11">
        <v>4621</v>
      </c>
      <c r="AK38" s="11">
        <v>4621</v>
      </c>
      <c r="AL38" s="11">
        <v>10690</v>
      </c>
      <c r="AM38" s="11">
        <v>10690</v>
      </c>
      <c r="AN38" s="11">
        <v>10690</v>
      </c>
      <c r="AO38" s="11">
        <v>5366</v>
      </c>
      <c r="AP38" s="11">
        <v>5366</v>
      </c>
      <c r="AQ38" s="11">
        <v>7978</v>
      </c>
      <c r="AR38" s="11">
        <v>0</v>
      </c>
      <c r="AS38" s="11">
        <v>9667</v>
      </c>
      <c r="AT38" s="11">
        <v>8428</v>
      </c>
      <c r="AU38" s="13">
        <f t="shared" si="8"/>
        <v>261278</v>
      </c>
      <c r="AV38" s="13">
        <f t="shared" si="0"/>
        <v>5968.7674418604647</v>
      </c>
      <c r="AW38" s="10">
        <f>AU38/AU13</f>
        <v>6.6849367837777899E-3</v>
      </c>
    </row>
    <row r="39" spans="1:49">
      <c r="A39" s="47"/>
      <c r="B39" s="20" t="s">
        <v>165</v>
      </c>
      <c r="C39" s="21">
        <f t="shared" ref="C39:AT39" si="10">SUM(C34:C38)</f>
        <v>6629</v>
      </c>
      <c r="D39" s="21">
        <f t="shared" si="10"/>
        <v>0</v>
      </c>
      <c r="E39" s="21">
        <f t="shared" si="10"/>
        <v>6629</v>
      </c>
      <c r="F39" s="21">
        <f t="shared" si="10"/>
        <v>9042</v>
      </c>
      <c r="G39" s="21">
        <f t="shared" si="10"/>
        <v>11041</v>
      </c>
      <c r="H39" s="21">
        <f t="shared" si="10"/>
        <v>7374</v>
      </c>
      <c r="I39" s="21">
        <f t="shared" si="10"/>
        <v>7374</v>
      </c>
      <c r="J39" s="21">
        <f t="shared" si="10"/>
        <v>7374</v>
      </c>
      <c r="K39" s="21">
        <f t="shared" si="10"/>
        <v>7374</v>
      </c>
      <c r="L39" s="21">
        <f t="shared" si="10"/>
        <v>7374</v>
      </c>
      <c r="M39" s="21">
        <f t="shared" si="10"/>
        <v>7374</v>
      </c>
      <c r="N39" s="21">
        <f t="shared" si="10"/>
        <v>7374</v>
      </c>
      <c r="O39" s="21">
        <f t="shared" si="10"/>
        <v>7378</v>
      </c>
      <c r="P39" s="21">
        <f t="shared" si="10"/>
        <v>10718</v>
      </c>
      <c r="Q39" s="21">
        <f t="shared" si="10"/>
        <v>13149</v>
      </c>
      <c r="R39" s="21">
        <f t="shared" si="10"/>
        <v>7374</v>
      </c>
      <c r="S39" s="21">
        <f t="shared" si="10"/>
        <v>7374</v>
      </c>
      <c r="T39" s="21">
        <f t="shared" si="10"/>
        <v>9679</v>
      </c>
      <c r="U39" s="21">
        <f t="shared" si="10"/>
        <v>10651</v>
      </c>
      <c r="V39" s="21">
        <f t="shared" si="10"/>
        <v>7374</v>
      </c>
      <c r="W39" s="21">
        <f t="shared" si="10"/>
        <v>5576</v>
      </c>
      <c r="X39" s="21">
        <f t="shared" si="10"/>
        <v>9632</v>
      </c>
      <c r="Y39" s="21">
        <f t="shared" si="10"/>
        <v>8840</v>
      </c>
      <c r="Z39" s="21">
        <f t="shared" si="10"/>
        <v>0</v>
      </c>
      <c r="AA39" s="21">
        <f t="shared" si="10"/>
        <v>0</v>
      </c>
      <c r="AB39" s="21">
        <f t="shared" si="10"/>
        <v>7374</v>
      </c>
      <c r="AC39" s="21">
        <f t="shared" si="10"/>
        <v>0</v>
      </c>
      <c r="AD39" s="21">
        <f t="shared" si="10"/>
        <v>6629</v>
      </c>
      <c r="AE39" s="21">
        <f t="shared" si="10"/>
        <v>7374</v>
      </c>
      <c r="AF39" s="21">
        <f t="shared" si="10"/>
        <v>12378</v>
      </c>
      <c r="AG39" s="21">
        <f t="shared" si="10"/>
        <v>7374</v>
      </c>
      <c r="AH39" s="21">
        <f t="shared" si="10"/>
        <v>7374</v>
      </c>
      <c r="AI39" s="21">
        <f t="shared" si="10"/>
        <v>6629</v>
      </c>
      <c r="AJ39" s="21">
        <f t="shared" si="10"/>
        <v>6629</v>
      </c>
      <c r="AK39" s="21">
        <f t="shared" si="10"/>
        <v>7246</v>
      </c>
      <c r="AL39" s="21">
        <f t="shared" si="10"/>
        <v>13141</v>
      </c>
      <c r="AM39" s="21">
        <f t="shared" si="10"/>
        <v>13141</v>
      </c>
      <c r="AN39" s="21">
        <f t="shared" si="10"/>
        <v>13141</v>
      </c>
      <c r="AO39" s="21">
        <f t="shared" si="10"/>
        <v>7374</v>
      </c>
      <c r="AP39" s="21">
        <f t="shared" si="10"/>
        <v>7374</v>
      </c>
      <c r="AQ39" s="21">
        <f t="shared" si="10"/>
        <v>9986</v>
      </c>
      <c r="AR39" s="21">
        <f t="shared" si="10"/>
        <v>0</v>
      </c>
      <c r="AS39" s="21">
        <f t="shared" si="10"/>
        <v>11675</v>
      </c>
      <c r="AT39" s="21">
        <f t="shared" si="10"/>
        <v>10436</v>
      </c>
      <c r="AU39" s="23">
        <f t="shared" si="8"/>
        <v>337979</v>
      </c>
      <c r="AV39" s="23">
        <f t="shared" si="0"/>
        <v>7705.8139534883721</v>
      </c>
      <c r="AW39" s="24">
        <f>AU39/AU13</f>
        <v>8.6473727188834636E-3</v>
      </c>
    </row>
    <row r="40" spans="1:49">
      <c r="A40" s="47" t="s">
        <v>166</v>
      </c>
      <c r="B40" s="8" t="s">
        <v>167</v>
      </c>
      <c r="C40" s="11">
        <v>164130</v>
      </c>
      <c r="D40" s="11">
        <v>0</v>
      </c>
      <c r="E40" s="11">
        <v>192240</v>
      </c>
      <c r="F40" s="11">
        <v>155230</v>
      </c>
      <c r="G40" s="11">
        <v>0</v>
      </c>
      <c r="H40" s="11">
        <v>185270</v>
      </c>
      <c r="I40" s="11">
        <v>110930</v>
      </c>
      <c r="J40" s="11">
        <v>258510</v>
      </c>
      <c r="K40" s="11">
        <v>14660</v>
      </c>
      <c r="L40" s="11">
        <v>105670</v>
      </c>
      <c r="M40" s="11">
        <v>105590</v>
      </c>
      <c r="N40" s="11">
        <v>108220</v>
      </c>
      <c r="O40" s="11">
        <v>9470</v>
      </c>
      <c r="P40" s="11">
        <v>124690</v>
      </c>
      <c r="Q40" s="11">
        <v>208860</v>
      </c>
      <c r="R40" s="11">
        <v>70100</v>
      </c>
      <c r="S40" s="11">
        <v>61900</v>
      </c>
      <c r="T40" s="11">
        <v>91950</v>
      </c>
      <c r="U40" s="11">
        <v>190600</v>
      </c>
      <c r="V40" s="11">
        <v>179340</v>
      </c>
      <c r="W40" s="11">
        <v>213180</v>
      </c>
      <c r="X40" s="11">
        <v>0</v>
      </c>
      <c r="Y40" s="11">
        <v>245740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138220</v>
      </c>
      <c r="AF40" s="11">
        <v>148410</v>
      </c>
      <c r="AG40" s="11">
        <v>222620</v>
      </c>
      <c r="AH40" s="11">
        <v>149150</v>
      </c>
      <c r="AI40" s="11">
        <v>35780</v>
      </c>
      <c r="AJ40" s="11">
        <v>64970</v>
      </c>
      <c r="AK40" s="11">
        <v>7180</v>
      </c>
      <c r="AL40" s="11">
        <v>91550</v>
      </c>
      <c r="AM40" s="11">
        <v>172180</v>
      </c>
      <c r="AN40" s="11">
        <v>0</v>
      </c>
      <c r="AO40" s="11">
        <v>109680</v>
      </c>
      <c r="AP40" s="11">
        <v>163730</v>
      </c>
      <c r="AQ40" s="11">
        <v>21200</v>
      </c>
      <c r="AR40" s="11">
        <v>0</v>
      </c>
      <c r="AS40" s="11">
        <v>0</v>
      </c>
      <c r="AT40" s="11">
        <v>0</v>
      </c>
      <c r="AU40" s="13">
        <f t="shared" si="8"/>
        <v>4120950</v>
      </c>
      <c r="AV40" s="13">
        <f t="shared" si="0"/>
        <v>92019.069767441862</v>
      </c>
      <c r="AW40" s="10">
        <f>AU40/AU13</f>
        <v>0.10543670052246681</v>
      </c>
    </row>
    <row r="41" spans="1:49">
      <c r="A41" s="47"/>
      <c r="B41" s="8" t="s">
        <v>168</v>
      </c>
      <c r="C41" s="11">
        <v>-109310</v>
      </c>
      <c r="D41" s="11">
        <v>0</v>
      </c>
      <c r="E41" s="11">
        <v>-143096</v>
      </c>
      <c r="F41" s="11">
        <v>-120457</v>
      </c>
      <c r="G41" s="11">
        <v>0</v>
      </c>
      <c r="H41" s="11">
        <v>-79970</v>
      </c>
      <c r="I41" s="11">
        <v>-61521</v>
      </c>
      <c r="J41" s="11">
        <v>-121619</v>
      </c>
      <c r="K41" s="11">
        <v>-6840</v>
      </c>
      <c r="L41" s="11">
        <v>-45430</v>
      </c>
      <c r="M41" s="11">
        <v>-37285</v>
      </c>
      <c r="N41" s="11">
        <v>-45980</v>
      </c>
      <c r="O41" s="11">
        <v>-2690</v>
      </c>
      <c r="P41" s="11">
        <v>-43614</v>
      </c>
      <c r="Q41" s="11">
        <v>-109355</v>
      </c>
      <c r="R41" s="11">
        <v>-30741</v>
      </c>
      <c r="S41" s="11">
        <v>-21400</v>
      </c>
      <c r="T41" s="11">
        <v>-39188</v>
      </c>
      <c r="U41" s="11">
        <v>-61612</v>
      </c>
      <c r="V41" s="11">
        <v>-91060</v>
      </c>
      <c r="W41" s="11">
        <v>-88995</v>
      </c>
      <c r="X41" s="11">
        <v>0</v>
      </c>
      <c r="Y41" s="11">
        <v>-137750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-138220</v>
      </c>
      <c r="AF41" s="11">
        <v>-148410</v>
      </c>
      <c r="AG41" s="11">
        <v>-194992</v>
      </c>
      <c r="AH41" s="11">
        <v>-23039</v>
      </c>
      <c r="AI41" s="11">
        <v>0</v>
      </c>
      <c r="AJ41" s="11">
        <v>0</v>
      </c>
      <c r="AK41" s="11">
        <v>0</v>
      </c>
      <c r="AL41" s="11">
        <v>-75332</v>
      </c>
      <c r="AM41" s="11">
        <v>-112471</v>
      </c>
      <c r="AN41" s="11">
        <v>0</v>
      </c>
      <c r="AO41" s="11">
        <v>-61853</v>
      </c>
      <c r="AP41" s="11">
        <v>-84757</v>
      </c>
      <c r="AQ41" s="11">
        <v>-13073</v>
      </c>
      <c r="AR41" s="11">
        <v>0</v>
      </c>
      <c r="AS41" s="11">
        <v>0</v>
      </c>
      <c r="AT41" s="11">
        <v>0</v>
      </c>
      <c r="AU41" s="13">
        <f t="shared" si="8"/>
        <v>-2250060</v>
      </c>
      <c r="AV41" s="13">
        <f t="shared" si="0"/>
        <v>-49784.883720930229</v>
      </c>
      <c r="AW41" s="10">
        <f>AU41/AU13</f>
        <v>-5.756898345711102E-2</v>
      </c>
    </row>
    <row r="42" spans="1:49">
      <c r="A42" s="47"/>
      <c r="B42" s="8" t="s">
        <v>169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P42" s="11">
        <v>0</v>
      </c>
      <c r="AQ42" s="11">
        <v>0</v>
      </c>
      <c r="AR42" s="11">
        <v>0</v>
      </c>
      <c r="AS42" s="11">
        <v>0</v>
      </c>
      <c r="AT42" s="11">
        <v>0</v>
      </c>
      <c r="AU42" s="13">
        <f t="shared" si="8"/>
        <v>0</v>
      </c>
      <c r="AV42" s="13">
        <f t="shared" si="0"/>
        <v>0</v>
      </c>
      <c r="AW42" s="10">
        <f>AU42/AU13</f>
        <v>0</v>
      </c>
    </row>
    <row r="43" spans="1:49">
      <c r="A43" s="47"/>
      <c r="B43" s="8" t="s">
        <v>170</v>
      </c>
      <c r="C43" s="11">
        <v>-52521.599999999999</v>
      </c>
      <c r="D43" s="11">
        <v>0</v>
      </c>
      <c r="E43" s="11">
        <v>-61516.800000000003</v>
      </c>
      <c r="F43" s="11">
        <v>-49673.599999999999</v>
      </c>
      <c r="G43" s="11">
        <v>0</v>
      </c>
      <c r="H43" s="11">
        <v>-59286.400000000001</v>
      </c>
      <c r="I43" s="11">
        <v>-35497.599999999999</v>
      </c>
      <c r="J43" s="11">
        <v>-82723.199999999997</v>
      </c>
      <c r="K43" s="11">
        <v>-4691.2</v>
      </c>
      <c r="L43" s="11">
        <v>-33814.400000000001</v>
      </c>
      <c r="M43" s="11">
        <v>-33788.800000000003</v>
      </c>
      <c r="N43" s="11">
        <v>-34630.400000000001</v>
      </c>
      <c r="O43" s="11">
        <v>-3030.4</v>
      </c>
      <c r="P43" s="11">
        <v>-39900.800000000003</v>
      </c>
      <c r="Q43" s="11">
        <v>-66835.199999999997</v>
      </c>
      <c r="R43" s="11">
        <v>-22432</v>
      </c>
      <c r="S43" s="11">
        <v>-19808</v>
      </c>
      <c r="T43" s="11">
        <v>-29424</v>
      </c>
      <c r="U43" s="11">
        <v>-60992</v>
      </c>
      <c r="V43" s="11">
        <v>-57388.800000000003</v>
      </c>
      <c r="W43" s="11">
        <v>-68217.600000000006</v>
      </c>
      <c r="X43" s="11">
        <v>0</v>
      </c>
      <c r="Y43" s="11">
        <v>-78636.800000000003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-44230.400000000001</v>
      </c>
      <c r="AF43" s="11">
        <v>-47491.199999999997</v>
      </c>
      <c r="AG43" s="11">
        <v>-71238.399999999994</v>
      </c>
      <c r="AH43" s="11">
        <v>-47728</v>
      </c>
      <c r="AI43" s="11">
        <v>-11449.6</v>
      </c>
      <c r="AJ43" s="11">
        <v>-20790.400000000001</v>
      </c>
      <c r="AK43" s="11">
        <v>-2297.6</v>
      </c>
      <c r="AL43" s="11">
        <v>-29296</v>
      </c>
      <c r="AM43" s="11">
        <v>-55097.599999999999</v>
      </c>
      <c r="AN43" s="11">
        <v>0</v>
      </c>
      <c r="AO43" s="11">
        <v>-35097.599999999999</v>
      </c>
      <c r="AP43" s="11">
        <v>-52393.599999999999</v>
      </c>
      <c r="AQ43" s="11">
        <v>-6784</v>
      </c>
      <c r="AR43" s="11">
        <v>0</v>
      </c>
      <c r="AS43" s="11">
        <v>0</v>
      </c>
      <c r="AT43" s="11">
        <v>0</v>
      </c>
      <c r="AU43" s="13">
        <f t="shared" si="8"/>
        <v>-1318704.0000000005</v>
      </c>
      <c r="AV43" s="13">
        <f>AVERAGE(B43:AT43)</f>
        <v>-29970.545454545467</v>
      </c>
      <c r="AW43" s="10">
        <f>AU43/AU13</f>
        <v>-3.3739744167189389E-2</v>
      </c>
    </row>
    <row r="44" spans="1:49">
      <c r="A44" s="47"/>
      <c r="B44" s="20" t="s">
        <v>171</v>
      </c>
      <c r="C44" s="21">
        <f t="shared" ref="C44:AT44" si="11">SUM(C40:C43)</f>
        <v>2298.4000000000015</v>
      </c>
      <c r="D44" s="21">
        <f t="shared" si="11"/>
        <v>0</v>
      </c>
      <c r="E44" s="21">
        <f t="shared" si="11"/>
        <v>-12372.800000000003</v>
      </c>
      <c r="F44" s="21">
        <f t="shared" si="11"/>
        <v>-14900.599999999999</v>
      </c>
      <c r="G44" s="21">
        <f t="shared" si="11"/>
        <v>0</v>
      </c>
      <c r="H44" s="21">
        <f t="shared" si="11"/>
        <v>46013.599999999999</v>
      </c>
      <c r="I44" s="21">
        <f t="shared" si="11"/>
        <v>13911.400000000001</v>
      </c>
      <c r="J44" s="21">
        <f t="shared" si="11"/>
        <v>54167.8</v>
      </c>
      <c r="K44" s="21">
        <f t="shared" si="11"/>
        <v>3128.8</v>
      </c>
      <c r="L44" s="21">
        <f t="shared" si="11"/>
        <v>26425.599999999999</v>
      </c>
      <c r="M44" s="21">
        <f t="shared" si="11"/>
        <v>34516.199999999997</v>
      </c>
      <c r="N44" s="21">
        <f t="shared" si="11"/>
        <v>27609.599999999999</v>
      </c>
      <c r="O44" s="21">
        <f t="shared" si="11"/>
        <v>3749.6</v>
      </c>
      <c r="P44" s="21">
        <f t="shared" si="11"/>
        <v>41175.199999999997</v>
      </c>
      <c r="Q44" s="21">
        <f t="shared" si="11"/>
        <v>32669.800000000003</v>
      </c>
      <c r="R44" s="21">
        <f t="shared" si="11"/>
        <v>16927</v>
      </c>
      <c r="S44" s="21">
        <f t="shared" si="11"/>
        <v>20692</v>
      </c>
      <c r="T44" s="21">
        <f t="shared" si="11"/>
        <v>23338</v>
      </c>
      <c r="U44" s="21">
        <f t="shared" si="11"/>
        <v>67996</v>
      </c>
      <c r="V44" s="21">
        <f t="shared" si="11"/>
        <v>30891.199999999997</v>
      </c>
      <c r="W44" s="21">
        <f t="shared" si="11"/>
        <v>55967.399999999994</v>
      </c>
      <c r="X44" s="21">
        <f t="shared" si="11"/>
        <v>0</v>
      </c>
      <c r="Y44" s="21">
        <f t="shared" si="11"/>
        <v>29353.199999999997</v>
      </c>
      <c r="Z44" s="21">
        <f t="shared" si="11"/>
        <v>0</v>
      </c>
      <c r="AA44" s="21">
        <f t="shared" si="11"/>
        <v>0</v>
      </c>
      <c r="AB44" s="21">
        <f t="shared" si="11"/>
        <v>0</v>
      </c>
      <c r="AC44" s="21">
        <f t="shared" si="11"/>
        <v>0</v>
      </c>
      <c r="AD44" s="21">
        <f t="shared" si="11"/>
        <v>0</v>
      </c>
      <c r="AE44" s="21">
        <f t="shared" si="11"/>
        <v>-44230.400000000001</v>
      </c>
      <c r="AF44" s="21">
        <f t="shared" si="11"/>
        <v>-47491.199999999997</v>
      </c>
      <c r="AG44" s="21">
        <f t="shared" si="11"/>
        <v>-43610.399999999994</v>
      </c>
      <c r="AH44" s="21">
        <f t="shared" si="11"/>
        <v>78383</v>
      </c>
      <c r="AI44" s="21">
        <f t="shared" si="11"/>
        <v>24330.400000000001</v>
      </c>
      <c r="AJ44" s="21">
        <f t="shared" si="11"/>
        <v>44179.6</v>
      </c>
      <c r="AK44" s="21">
        <f t="shared" si="11"/>
        <v>4882.3999999999996</v>
      </c>
      <c r="AL44" s="21">
        <f t="shared" si="11"/>
        <v>-13078</v>
      </c>
      <c r="AM44" s="21">
        <f t="shared" si="11"/>
        <v>4611.4000000000015</v>
      </c>
      <c r="AN44" s="21">
        <f t="shared" si="11"/>
        <v>0</v>
      </c>
      <c r="AO44" s="21">
        <f t="shared" si="11"/>
        <v>12729.400000000001</v>
      </c>
      <c r="AP44" s="21">
        <f t="shared" si="11"/>
        <v>26579.4</v>
      </c>
      <c r="AQ44" s="21">
        <f t="shared" si="11"/>
        <v>1343</v>
      </c>
      <c r="AR44" s="21">
        <f t="shared" si="11"/>
        <v>0</v>
      </c>
      <c r="AS44" s="21">
        <f t="shared" si="11"/>
        <v>0</v>
      </c>
      <c r="AT44" s="21">
        <f t="shared" si="11"/>
        <v>0</v>
      </c>
      <c r="AU44" s="23">
        <f t="shared" si="8"/>
        <v>552186.00000000012</v>
      </c>
      <c r="AV44" s="23">
        <f>AVERAGE(B44:AT44)</f>
        <v>12549.681818181822</v>
      </c>
      <c r="AW44" s="24">
        <f>AU44/AU13</f>
        <v>1.412797289816641E-2</v>
      </c>
    </row>
    <row r="45" spans="1:49">
      <c r="A45" s="47" t="s">
        <v>172</v>
      </c>
      <c r="B45" s="8" t="s">
        <v>173</v>
      </c>
      <c r="C45" s="11">
        <v>372385</v>
      </c>
      <c r="D45" s="11">
        <v>0</v>
      </c>
      <c r="E45" s="11">
        <v>385321</v>
      </c>
      <c r="F45" s="11">
        <v>370861</v>
      </c>
      <c r="G45" s="11">
        <v>0</v>
      </c>
      <c r="H45" s="11">
        <v>416306</v>
      </c>
      <c r="I45" s="11">
        <v>355416</v>
      </c>
      <c r="J45" s="11">
        <v>328594</v>
      </c>
      <c r="K45" s="11">
        <v>337620</v>
      </c>
      <c r="L45" s="11">
        <v>436091</v>
      </c>
      <c r="M45" s="11">
        <v>365755</v>
      </c>
      <c r="N45" s="11">
        <v>351687</v>
      </c>
      <c r="O45" s="11">
        <v>140674</v>
      </c>
      <c r="P45" s="11">
        <v>351687</v>
      </c>
      <c r="Q45" s="11">
        <v>309484</v>
      </c>
      <c r="R45" s="11">
        <v>365754</v>
      </c>
      <c r="S45" s="11">
        <v>351687</v>
      </c>
      <c r="T45" s="11">
        <v>379820</v>
      </c>
      <c r="U45" s="11">
        <v>323551</v>
      </c>
      <c r="V45" s="11">
        <v>422024</v>
      </c>
      <c r="W45" s="11">
        <v>393889</v>
      </c>
      <c r="X45" s="11">
        <v>28134</v>
      </c>
      <c r="Y45" s="11">
        <v>295417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337620</v>
      </c>
      <c r="AF45" s="11">
        <v>365755</v>
      </c>
      <c r="AG45" s="11">
        <v>323552</v>
      </c>
      <c r="AH45" s="11">
        <v>295417</v>
      </c>
      <c r="AI45" s="11">
        <v>464231</v>
      </c>
      <c r="AJ45" s="11">
        <v>407957</v>
      </c>
      <c r="AK45" s="11">
        <v>281356</v>
      </c>
      <c r="AL45" s="11">
        <v>349219</v>
      </c>
      <c r="AM45" s="11">
        <v>183800</v>
      </c>
      <c r="AN45" s="11">
        <v>0</v>
      </c>
      <c r="AO45" s="11">
        <v>202179</v>
      </c>
      <c r="AP45" s="11">
        <v>312458</v>
      </c>
      <c r="AQ45" s="11">
        <v>55140</v>
      </c>
      <c r="AR45" s="11">
        <v>0</v>
      </c>
      <c r="AS45" s="11">
        <v>0</v>
      </c>
      <c r="AT45" s="11">
        <v>0</v>
      </c>
      <c r="AU45" s="13">
        <f t="shared" si="8"/>
        <v>10660841</v>
      </c>
      <c r="AV45" s="13">
        <f t="shared" ref="AV45:AV60" si="12">AVERAGE(D45:AT45)</f>
        <v>239266.41860465117</v>
      </c>
      <c r="AW45" s="10">
        <f>AU45/AU13</f>
        <v>0.27276329483120049</v>
      </c>
    </row>
    <row r="46" spans="1:49">
      <c r="A46" s="47"/>
      <c r="B46" s="8" t="s">
        <v>174</v>
      </c>
      <c r="C46" s="11">
        <v>16000</v>
      </c>
      <c r="D46" s="11">
        <v>0</v>
      </c>
      <c r="E46" s="11">
        <v>13500</v>
      </c>
      <c r="F46" s="11">
        <v>14333</v>
      </c>
      <c r="G46" s="11">
        <v>0</v>
      </c>
      <c r="H46" s="11">
        <v>24000</v>
      </c>
      <c r="I46" s="11">
        <v>14333</v>
      </c>
      <c r="J46" s="11">
        <v>0</v>
      </c>
      <c r="K46" s="11">
        <v>18513</v>
      </c>
      <c r="L46" s="11">
        <v>23912</v>
      </c>
      <c r="M46" s="11">
        <v>20056</v>
      </c>
      <c r="N46" s="11">
        <v>19284</v>
      </c>
      <c r="O46" s="11">
        <v>7714</v>
      </c>
      <c r="P46" s="11">
        <v>19284</v>
      </c>
      <c r="Q46" s="11">
        <v>16970</v>
      </c>
      <c r="R46" s="11">
        <v>20055</v>
      </c>
      <c r="S46" s="11">
        <v>19284</v>
      </c>
      <c r="T46" s="11">
        <v>20826</v>
      </c>
      <c r="U46" s="11">
        <v>17741</v>
      </c>
      <c r="V46" s="11">
        <v>23140</v>
      </c>
      <c r="W46" s="11">
        <v>21599</v>
      </c>
      <c r="X46" s="11">
        <v>1542</v>
      </c>
      <c r="Y46" s="11">
        <v>16199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18513</v>
      </c>
      <c r="AF46" s="11">
        <v>20056</v>
      </c>
      <c r="AG46" s="11">
        <v>17741</v>
      </c>
      <c r="AH46" s="11">
        <v>16199</v>
      </c>
      <c r="AI46" s="11">
        <v>25461</v>
      </c>
      <c r="AJ46" s="11">
        <v>22370</v>
      </c>
      <c r="AK46" s="11">
        <v>15427</v>
      </c>
      <c r="AL46" s="11">
        <v>13828</v>
      </c>
      <c r="AM46" s="11">
        <v>7278</v>
      </c>
      <c r="AN46" s="11">
        <v>0</v>
      </c>
      <c r="AO46" s="11">
        <v>8006</v>
      </c>
      <c r="AP46" s="11">
        <v>12372</v>
      </c>
      <c r="AQ46" s="11">
        <v>2183</v>
      </c>
      <c r="AR46" s="11">
        <v>0</v>
      </c>
      <c r="AS46" s="11">
        <v>0</v>
      </c>
      <c r="AT46" s="11">
        <v>0</v>
      </c>
      <c r="AU46" s="13">
        <f t="shared" si="8"/>
        <v>527719</v>
      </c>
      <c r="AV46" s="13">
        <f t="shared" si="12"/>
        <v>11900.441860465116</v>
      </c>
      <c r="AW46" s="10">
        <f>AU46/AU13</f>
        <v>1.350197167231237E-2</v>
      </c>
    </row>
    <row r="47" spans="1:49">
      <c r="A47" s="47"/>
      <c r="B47" s="8" t="s">
        <v>175</v>
      </c>
      <c r="C47" s="11">
        <v>64744</v>
      </c>
      <c r="D47" s="11">
        <v>0</v>
      </c>
      <c r="E47" s="11">
        <v>64365</v>
      </c>
      <c r="F47" s="11">
        <v>64491</v>
      </c>
      <c r="G47" s="11">
        <v>0</v>
      </c>
      <c r="H47" s="11">
        <v>62926</v>
      </c>
      <c r="I47" s="11">
        <v>64491</v>
      </c>
      <c r="J47" s="11">
        <v>50200</v>
      </c>
      <c r="K47" s="11">
        <v>58694</v>
      </c>
      <c r="L47" s="11">
        <v>75813</v>
      </c>
      <c r="M47" s="11">
        <v>63585</v>
      </c>
      <c r="N47" s="11">
        <v>61140</v>
      </c>
      <c r="O47" s="11">
        <v>24456</v>
      </c>
      <c r="P47" s="11">
        <v>61140</v>
      </c>
      <c r="Q47" s="11">
        <v>53802</v>
      </c>
      <c r="R47" s="11">
        <v>63584</v>
      </c>
      <c r="S47" s="11">
        <v>61139</v>
      </c>
      <c r="T47" s="11">
        <v>66032</v>
      </c>
      <c r="U47" s="11">
        <v>56248</v>
      </c>
      <c r="V47" s="11">
        <v>73367</v>
      </c>
      <c r="W47" s="11">
        <v>68476</v>
      </c>
      <c r="X47" s="11">
        <v>4892</v>
      </c>
      <c r="Y47" s="11">
        <v>51357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58694</v>
      </c>
      <c r="AF47" s="11">
        <v>63585</v>
      </c>
      <c r="AG47" s="11">
        <v>56248</v>
      </c>
      <c r="AH47" s="11">
        <v>51357</v>
      </c>
      <c r="AI47" s="11">
        <v>80702</v>
      </c>
      <c r="AJ47" s="11">
        <v>70921</v>
      </c>
      <c r="AK47" s="11">
        <v>48910</v>
      </c>
      <c r="AL47" s="11">
        <v>59749</v>
      </c>
      <c r="AM47" s="11">
        <v>31446</v>
      </c>
      <c r="AN47" s="11">
        <v>0</v>
      </c>
      <c r="AO47" s="11">
        <v>34592</v>
      </c>
      <c r="AP47" s="11">
        <v>53460</v>
      </c>
      <c r="AQ47" s="11">
        <v>9434</v>
      </c>
      <c r="AR47" s="11">
        <v>0</v>
      </c>
      <c r="AS47" s="11">
        <v>0</v>
      </c>
      <c r="AT47" s="11">
        <v>0</v>
      </c>
      <c r="AU47" s="13">
        <f t="shared" si="8"/>
        <v>1834040</v>
      </c>
      <c r="AV47" s="13">
        <f t="shared" si="12"/>
        <v>41146.41860465116</v>
      </c>
      <c r="AW47" s="10">
        <f>AU47/AU13</f>
        <v>4.692489018945268E-2</v>
      </c>
    </row>
    <row r="48" spans="1:49">
      <c r="A48" s="47"/>
      <c r="B48" s="8" t="s">
        <v>176</v>
      </c>
      <c r="C48" s="11">
        <v>6000</v>
      </c>
      <c r="D48" s="11">
        <v>0</v>
      </c>
      <c r="E48" s="11">
        <v>6000</v>
      </c>
      <c r="F48" s="11">
        <v>6000</v>
      </c>
      <c r="G48" s="11">
        <v>0</v>
      </c>
      <c r="H48" s="11">
        <v>6000</v>
      </c>
      <c r="I48" s="11">
        <v>6000</v>
      </c>
      <c r="J48" s="11">
        <v>0</v>
      </c>
      <c r="K48" s="11">
        <v>3417</v>
      </c>
      <c r="L48" s="11">
        <v>4413</v>
      </c>
      <c r="M48" s="11">
        <v>3702</v>
      </c>
      <c r="N48" s="11">
        <v>3559</v>
      </c>
      <c r="O48" s="11">
        <v>1424</v>
      </c>
      <c r="P48" s="11">
        <v>3559</v>
      </c>
      <c r="Q48" s="11">
        <v>3132</v>
      </c>
      <c r="R48" s="11">
        <v>3701</v>
      </c>
      <c r="S48" s="11">
        <v>3559</v>
      </c>
      <c r="T48" s="11">
        <v>3843</v>
      </c>
      <c r="U48" s="11">
        <v>3274</v>
      </c>
      <c r="V48" s="11">
        <v>4270</v>
      </c>
      <c r="W48" s="11">
        <v>3987</v>
      </c>
      <c r="X48" s="11">
        <v>284</v>
      </c>
      <c r="Y48" s="11">
        <v>2990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3417</v>
      </c>
      <c r="AF48" s="11">
        <v>3702</v>
      </c>
      <c r="AG48" s="11">
        <v>3274</v>
      </c>
      <c r="AH48" s="11">
        <v>2990</v>
      </c>
      <c r="AI48" s="11">
        <v>4704</v>
      </c>
      <c r="AJ48" s="11">
        <v>4129</v>
      </c>
      <c r="AK48" s="11">
        <v>2847</v>
      </c>
      <c r="AL48" s="11">
        <v>1900</v>
      </c>
      <c r="AM48" s="11">
        <v>1000</v>
      </c>
      <c r="AN48" s="11">
        <v>0</v>
      </c>
      <c r="AO48" s="11">
        <v>1100</v>
      </c>
      <c r="AP48" s="11">
        <v>1700</v>
      </c>
      <c r="AQ48" s="11">
        <v>300</v>
      </c>
      <c r="AR48" s="11">
        <v>0</v>
      </c>
      <c r="AS48" s="11">
        <v>0</v>
      </c>
      <c r="AT48" s="11">
        <v>0</v>
      </c>
      <c r="AU48" s="13">
        <f t="shared" si="8"/>
        <v>110177</v>
      </c>
      <c r="AV48" s="13">
        <f t="shared" si="12"/>
        <v>2422.7209302325582</v>
      </c>
      <c r="AW48" s="10">
        <f>AU48/AU13</f>
        <v>2.8189372240536347E-3</v>
      </c>
    </row>
    <row r="49" spans="1:49">
      <c r="A49" s="47"/>
      <c r="B49" s="20" t="s">
        <v>177</v>
      </c>
      <c r="C49" s="21">
        <f t="shared" ref="C49:AT49" si="13">SUM(C45:C48)</f>
        <v>459129</v>
      </c>
      <c r="D49" s="21">
        <f t="shared" si="13"/>
        <v>0</v>
      </c>
      <c r="E49" s="21">
        <f t="shared" si="13"/>
        <v>469186</v>
      </c>
      <c r="F49" s="21">
        <f t="shared" si="13"/>
        <v>455685</v>
      </c>
      <c r="G49" s="21">
        <f t="shared" si="13"/>
        <v>0</v>
      </c>
      <c r="H49" s="21">
        <f t="shared" si="13"/>
        <v>509232</v>
      </c>
      <c r="I49" s="21">
        <f t="shared" si="13"/>
        <v>440240</v>
      </c>
      <c r="J49" s="21">
        <f t="shared" si="13"/>
        <v>378794</v>
      </c>
      <c r="K49" s="21">
        <f t="shared" si="13"/>
        <v>418244</v>
      </c>
      <c r="L49" s="21">
        <f t="shared" si="13"/>
        <v>540229</v>
      </c>
      <c r="M49" s="21">
        <f t="shared" si="13"/>
        <v>453098</v>
      </c>
      <c r="N49" s="21">
        <f t="shared" si="13"/>
        <v>435670</v>
      </c>
      <c r="O49" s="21">
        <f t="shared" si="13"/>
        <v>174268</v>
      </c>
      <c r="P49" s="21">
        <f t="shared" si="13"/>
        <v>435670</v>
      </c>
      <c r="Q49" s="21">
        <f t="shared" si="13"/>
        <v>383388</v>
      </c>
      <c r="R49" s="21">
        <f t="shared" si="13"/>
        <v>453094</v>
      </c>
      <c r="S49" s="21">
        <f t="shared" si="13"/>
        <v>435669</v>
      </c>
      <c r="T49" s="21">
        <f t="shared" si="13"/>
        <v>470521</v>
      </c>
      <c r="U49" s="21">
        <f t="shared" si="13"/>
        <v>400814</v>
      </c>
      <c r="V49" s="21">
        <f t="shared" si="13"/>
        <v>522801</v>
      </c>
      <c r="W49" s="21">
        <f t="shared" si="13"/>
        <v>487951</v>
      </c>
      <c r="X49" s="21">
        <f t="shared" si="13"/>
        <v>34852</v>
      </c>
      <c r="Y49" s="21">
        <f t="shared" si="13"/>
        <v>365963</v>
      </c>
      <c r="Z49" s="21">
        <f t="shared" si="13"/>
        <v>0</v>
      </c>
      <c r="AA49" s="21">
        <f t="shared" si="13"/>
        <v>0</v>
      </c>
      <c r="AB49" s="21">
        <f t="shared" si="13"/>
        <v>0</v>
      </c>
      <c r="AC49" s="21">
        <f t="shared" si="13"/>
        <v>0</v>
      </c>
      <c r="AD49" s="21">
        <f t="shared" si="13"/>
        <v>0</v>
      </c>
      <c r="AE49" s="21">
        <f t="shared" si="13"/>
        <v>418244</v>
      </c>
      <c r="AF49" s="21">
        <f t="shared" si="13"/>
        <v>453098</v>
      </c>
      <c r="AG49" s="21">
        <f t="shared" si="13"/>
        <v>400815</v>
      </c>
      <c r="AH49" s="21">
        <f t="shared" si="13"/>
        <v>365963</v>
      </c>
      <c r="AI49" s="21">
        <f t="shared" si="13"/>
        <v>575098</v>
      </c>
      <c r="AJ49" s="21">
        <f t="shared" si="13"/>
        <v>505377</v>
      </c>
      <c r="AK49" s="21">
        <f t="shared" si="13"/>
        <v>348540</v>
      </c>
      <c r="AL49" s="21">
        <f t="shared" si="13"/>
        <v>424696</v>
      </c>
      <c r="AM49" s="21">
        <f t="shared" si="13"/>
        <v>223524</v>
      </c>
      <c r="AN49" s="21">
        <f t="shared" si="13"/>
        <v>0</v>
      </c>
      <c r="AO49" s="21">
        <f t="shared" si="13"/>
        <v>245877</v>
      </c>
      <c r="AP49" s="21">
        <f t="shared" si="13"/>
        <v>379990</v>
      </c>
      <c r="AQ49" s="21">
        <f t="shared" si="13"/>
        <v>67057</v>
      </c>
      <c r="AR49" s="21">
        <f t="shared" si="13"/>
        <v>0</v>
      </c>
      <c r="AS49" s="21">
        <f t="shared" si="13"/>
        <v>0</v>
      </c>
      <c r="AT49" s="21">
        <f t="shared" si="13"/>
        <v>0</v>
      </c>
      <c r="AU49" s="23">
        <f t="shared" si="8"/>
        <v>13132777</v>
      </c>
      <c r="AV49" s="23">
        <f t="shared" si="12"/>
        <v>294736</v>
      </c>
      <c r="AW49" s="24">
        <f>AU49/AU13</f>
        <v>0.33600909391701916</v>
      </c>
    </row>
    <row r="50" spans="1:49">
      <c r="A50" s="47" t="s">
        <v>178</v>
      </c>
      <c r="B50" s="8" t="s">
        <v>179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6500</v>
      </c>
      <c r="S50" s="11">
        <v>6500</v>
      </c>
      <c r="T50" s="11">
        <v>6500</v>
      </c>
      <c r="U50" s="11">
        <v>6500</v>
      </c>
      <c r="V50" s="11">
        <v>6500</v>
      </c>
      <c r="W50" s="11">
        <v>6500</v>
      </c>
      <c r="X50" s="11">
        <v>6500</v>
      </c>
      <c r="Y50" s="11">
        <v>6500</v>
      </c>
      <c r="Z50" s="11">
        <v>0</v>
      </c>
      <c r="AA50" s="11">
        <v>0</v>
      </c>
      <c r="AB50" s="11">
        <v>6500</v>
      </c>
      <c r="AC50" s="11">
        <v>6500</v>
      </c>
      <c r="AD50" s="11">
        <v>6500</v>
      </c>
      <c r="AE50" s="11">
        <v>21428.571428571428</v>
      </c>
      <c r="AF50" s="11">
        <v>21428.571428571428</v>
      </c>
      <c r="AG50" s="11">
        <v>21428.571428571428</v>
      </c>
      <c r="AH50" s="11">
        <v>21428.571428571428</v>
      </c>
      <c r="AI50" s="11">
        <v>21428.571428571428</v>
      </c>
      <c r="AJ50" s="11">
        <v>21428.571428571428</v>
      </c>
      <c r="AK50" s="11">
        <v>21428.571428571428</v>
      </c>
      <c r="AL50" s="11">
        <v>42428.571428571428</v>
      </c>
      <c r="AM50" s="11">
        <v>42428.571428571428</v>
      </c>
      <c r="AN50" s="11">
        <v>42428.571428571428</v>
      </c>
      <c r="AO50" s="11">
        <v>42428.571428571428</v>
      </c>
      <c r="AP50" s="11">
        <v>42428.571428571428</v>
      </c>
      <c r="AQ50" s="11">
        <v>42428.571428571428</v>
      </c>
      <c r="AR50" s="11">
        <v>0</v>
      </c>
      <c r="AS50" s="11">
        <v>42428.571428571428</v>
      </c>
      <c r="AT50" s="11">
        <v>0</v>
      </c>
      <c r="AU50" s="13">
        <f t="shared" si="8"/>
        <v>563999.99999999988</v>
      </c>
      <c r="AV50" s="13">
        <f t="shared" si="12"/>
        <v>13116.279069767439</v>
      </c>
      <c r="AW50" s="10">
        <f>AU50/AU13</f>
        <v>1.4430240380172356E-2</v>
      </c>
    </row>
    <row r="51" spans="1:49">
      <c r="A51" s="47"/>
      <c r="B51" s="8" t="s">
        <v>180</v>
      </c>
      <c r="C51" s="11">
        <v>0</v>
      </c>
      <c r="D51" s="11">
        <v>1272852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3">
        <f t="shared" si="8"/>
        <v>1272852</v>
      </c>
      <c r="AV51" s="13">
        <f t="shared" si="12"/>
        <v>29601.20930232558</v>
      </c>
      <c r="AW51" s="10">
        <f>AU51/AU13</f>
        <v>3.2566596326920473E-2</v>
      </c>
    </row>
    <row r="52" spans="1:49">
      <c r="A52" s="47"/>
      <c r="B52" s="8" t="s">
        <v>181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3">
        <f t="shared" si="8"/>
        <v>0</v>
      </c>
      <c r="AV52" s="13">
        <f t="shared" si="12"/>
        <v>0</v>
      </c>
      <c r="AW52" s="10">
        <f>AU52/AU13</f>
        <v>0</v>
      </c>
    </row>
    <row r="53" spans="1:49">
      <c r="A53" s="47"/>
      <c r="B53" s="8" t="s">
        <v>182</v>
      </c>
      <c r="C53" s="11">
        <v>99662.875</v>
      </c>
      <c r="D53" s="11">
        <v>0</v>
      </c>
      <c r="E53" s="11">
        <v>99662.875</v>
      </c>
      <c r="F53" s="11">
        <v>99662.875</v>
      </c>
      <c r="G53" s="11">
        <v>99662.875</v>
      </c>
      <c r="H53" s="11">
        <v>99662.875</v>
      </c>
      <c r="I53" s="11">
        <v>99662.875</v>
      </c>
      <c r="J53" s="11">
        <v>99662.875</v>
      </c>
      <c r="K53" s="11">
        <v>97761.777777777781</v>
      </c>
      <c r="L53" s="11">
        <v>97761.777777777781</v>
      </c>
      <c r="M53" s="11">
        <v>97761.777777777781</v>
      </c>
      <c r="N53" s="11">
        <v>97761.777777777781</v>
      </c>
      <c r="O53" s="11">
        <v>97761.777777777781</v>
      </c>
      <c r="P53" s="11">
        <v>97761.777777777781</v>
      </c>
      <c r="Q53" s="11">
        <v>97761.777777777781</v>
      </c>
      <c r="R53" s="11">
        <v>97761.777777777781</v>
      </c>
      <c r="S53" s="11">
        <v>97761.777777777781</v>
      </c>
      <c r="T53" s="11">
        <v>97761.777777777781</v>
      </c>
      <c r="U53" s="11">
        <v>97761.777777777781</v>
      </c>
      <c r="V53" s="11">
        <v>97761.777777777781</v>
      </c>
      <c r="W53" s="11">
        <v>97761.777777777781</v>
      </c>
      <c r="X53" s="11">
        <v>97761.777777777781</v>
      </c>
      <c r="Y53" s="11">
        <v>97761.777777777781</v>
      </c>
      <c r="Z53" s="11">
        <v>0</v>
      </c>
      <c r="AA53" s="11">
        <v>0</v>
      </c>
      <c r="AB53" s="11">
        <v>97761.777777777781</v>
      </c>
      <c r="AC53" s="11">
        <v>97761.777777777781</v>
      </c>
      <c r="AD53" s="11">
        <v>97761.777777777781</v>
      </c>
      <c r="AE53" s="11">
        <v>80753.571428571435</v>
      </c>
      <c r="AF53" s="11">
        <v>80753.571428571435</v>
      </c>
      <c r="AG53" s="11">
        <v>80753.571428571435</v>
      </c>
      <c r="AH53" s="11">
        <v>80753.571428571435</v>
      </c>
      <c r="AI53" s="11">
        <v>80753.571428571435</v>
      </c>
      <c r="AJ53" s="11">
        <v>80753.571428571435</v>
      </c>
      <c r="AK53" s="11">
        <v>80753.571428571435</v>
      </c>
      <c r="AL53" s="11">
        <v>83637.28571428571</v>
      </c>
      <c r="AM53" s="11">
        <v>83637.28571428571</v>
      </c>
      <c r="AN53" s="11">
        <v>83637.28571428571</v>
      </c>
      <c r="AO53" s="11">
        <v>83637.28571428571</v>
      </c>
      <c r="AP53" s="11">
        <v>83637.28571428571</v>
      </c>
      <c r="AQ53" s="11">
        <v>83637.28571428571</v>
      </c>
      <c r="AR53" s="11">
        <v>0</v>
      </c>
      <c r="AS53" s="11">
        <v>83637.28571428571</v>
      </c>
      <c r="AT53" s="11">
        <v>99662.875</v>
      </c>
      <c r="AU53" s="13">
        <f t="shared" si="8"/>
        <v>3707751.0000000014</v>
      </c>
      <c r="AV53" s="13">
        <f t="shared" si="12"/>
        <v>83909.026162790717</v>
      </c>
      <c r="AW53" s="10">
        <f>AU53/AU13</f>
        <v>9.4864784042241954E-2</v>
      </c>
    </row>
    <row r="54" spans="1:49">
      <c r="A54" s="47"/>
      <c r="B54" s="8" t="s">
        <v>183</v>
      </c>
      <c r="C54" s="11">
        <v>77922</v>
      </c>
      <c r="D54" s="11">
        <v>0</v>
      </c>
      <c r="E54" s="11">
        <v>77922</v>
      </c>
      <c r="F54" s="11">
        <v>77922</v>
      </c>
      <c r="G54" s="11">
        <v>77922</v>
      </c>
      <c r="H54" s="11">
        <v>77922</v>
      </c>
      <c r="I54" s="11">
        <v>77922</v>
      </c>
      <c r="J54" s="11">
        <v>77922</v>
      </c>
      <c r="K54" s="11">
        <v>64655.722222222219</v>
      </c>
      <c r="L54" s="11">
        <v>64655.722222222219</v>
      </c>
      <c r="M54" s="11">
        <v>64655.722222222219</v>
      </c>
      <c r="N54" s="11">
        <v>64655.722222222219</v>
      </c>
      <c r="O54" s="11">
        <v>64655.722222222219</v>
      </c>
      <c r="P54" s="11">
        <v>64655.722222222219</v>
      </c>
      <c r="Q54" s="11">
        <v>64655.722222222219</v>
      </c>
      <c r="R54" s="11">
        <v>64655.722222222219</v>
      </c>
      <c r="S54" s="11">
        <v>64655.722222222219</v>
      </c>
      <c r="T54" s="11">
        <v>64655.722222222219</v>
      </c>
      <c r="U54" s="11">
        <v>64655.722222222219</v>
      </c>
      <c r="V54" s="11">
        <v>64655.722222222219</v>
      </c>
      <c r="W54" s="11">
        <v>64655.722222222219</v>
      </c>
      <c r="X54" s="11">
        <v>64655.722222222219</v>
      </c>
      <c r="Y54" s="11">
        <v>64655.722222222219</v>
      </c>
      <c r="Z54" s="11">
        <v>0</v>
      </c>
      <c r="AA54" s="11">
        <v>0</v>
      </c>
      <c r="AB54" s="11">
        <v>64655.722222222219</v>
      </c>
      <c r="AC54" s="11">
        <v>64655.722222222219</v>
      </c>
      <c r="AD54" s="11">
        <v>64655.722222222219</v>
      </c>
      <c r="AE54" s="11">
        <v>64655.714285714283</v>
      </c>
      <c r="AF54" s="11">
        <v>64655.714285714283</v>
      </c>
      <c r="AG54" s="11">
        <v>64655.714285714283</v>
      </c>
      <c r="AH54" s="11">
        <v>64655.714285714283</v>
      </c>
      <c r="AI54" s="11">
        <v>64655.714285714283</v>
      </c>
      <c r="AJ54" s="11">
        <v>64655.714285714283</v>
      </c>
      <c r="AK54" s="11">
        <v>64655.714285714283</v>
      </c>
      <c r="AL54" s="11">
        <v>36348.857142857145</v>
      </c>
      <c r="AM54" s="11">
        <v>36348.857142857145</v>
      </c>
      <c r="AN54" s="11">
        <v>36348.857142857145</v>
      </c>
      <c r="AO54" s="11">
        <v>36348.857142857145</v>
      </c>
      <c r="AP54" s="11">
        <v>36348.857142857145</v>
      </c>
      <c r="AQ54" s="11">
        <v>36348.857142857145</v>
      </c>
      <c r="AR54" s="11">
        <v>0</v>
      </c>
      <c r="AS54" s="11">
        <v>36348.857142857145</v>
      </c>
      <c r="AT54" s="11">
        <v>77922</v>
      </c>
      <c r="AU54" s="13">
        <f t="shared" si="8"/>
        <v>2494211.0000000014</v>
      </c>
      <c r="AV54" s="13">
        <f t="shared" si="12"/>
        <v>56192.767441860495</v>
      </c>
      <c r="AW54" s="10">
        <f>AU54/AU13</f>
        <v>6.381571682423777E-2</v>
      </c>
    </row>
    <row r="55" spans="1:49">
      <c r="A55" s="47"/>
      <c r="B55" s="20" t="s">
        <v>184</v>
      </c>
      <c r="C55" s="21">
        <f t="shared" ref="C55:AT55" si="14">SUM(C50:C54)</f>
        <v>177584.875</v>
      </c>
      <c r="D55" s="21">
        <f t="shared" si="14"/>
        <v>1272852</v>
      </c>
      <c r="E55" s="21">
        <f t="shared" si="14"/>
        <v>177584.875</v>
      </c>
      <c r="F55" s="21">
        <f t="shared" si="14"/>
        <v>177584.875</v>
      </c>
      <c r="G55" s="21">
        <f t="shared" si="14"/>
        <v>177584.875</v>
      </c>
      <c r="H55" s="21">
        <f t="shared" si="14"/>
        <v>177584.875</v>
      </c>
      <c r="I55" s="21">
        <f t="shared" si="14"/>
        <v>177584.875</v>
      </c>
      <c r="J55" s="21">
        <f t="shared" si="14"/>
        <v>177584.875</v>
      </c>
      <c r="K55" s="21">
        <f t="shared" si="14"/>
        <v>168917.5</v>
      </c>
      <c r="L55" s="21">
        <f t="shared" si="14"/>
        <v>168917.5</v>
      </c>
      <c r="M55" s="21">
        <f t="shared" si="14"/>
        <v>168917.5</v>
      </c>
      <c r="N55" s="21">
        <f t="shared" si="14"/>
        <v>168917.5</v>
      </c>
      <c r="O55" s="21">
        <f t="shared" si="14"/>
        <v>168917.5</v>
      </c>
      <c r="P55" s="21">
        <f t="shared" si="14"/>
        <v>168917.5</v>
      </c>
      <c r="Q55" s="21">
        <f t="shared" si="14"/>
        <v>168917.5</v>
      </c>
      <c r="R55" s="21">
        <f t="shared" si="14"/>
        <v>168917.5</v>
      </c>
      <c r="S55" s="21">
        <f t="shared" si="14"/>
        <v>168917.5</v>
      </c>
      <c r="T55" s="21">
        <f t="shared" si="14"/>
        <v>168917.5</v>
      </c>
      <c r="U55" s="21">
        <f t="shared" si="14"/>
        <v>168917.5</v>
      </c>
      <c r="V55" s="21">
        <f t="shared" si="14"/>
        <v>168917.5</v>
      </c>
      <c r="W55" s="21">
        <f t="shared" si="14"/>
        <v>168917.5</v>
      </c>
      <c r="X55" s="21">
        <f t="shared" si="14"/>
        <v>168917.5</v>
      </c>
      <c r="Y55" s="21">
        <f t="shared" si="14"/>
        <v>168917.5</v>
      </c>
      <c r="Z55" s="21">
        <f t="shared" si="14"/>
        <v>0</v>
      </c>
      <c r="AA55" s="21">
        <f t="shared" si="14"/>
        <v>0</v>
      </c>
      <c r="AB55" s="21">
        <f t="shared" si="14"/>
        <v>168917.5</v>
      </c>
      <c r="AC55" s="21">
        <f t="shared" si="14"/>
        <v>168917.5</v>
      </c>
      <c r="AD55" s="21">
        <f t="shared" si="14"/>
        <v>168917.5</v>
      </c>
      <c r="AE55" s="21">
        <f t="shared" si="14"/>
        <v>166837.85714285716</v>
      </c>
      <c r="AF55" s="21">
        <f t="shared" si="14"/>
        <v>166837.85714285716</v>
      </c>
      <c r="AG55" s="21">
        <f t="shared" si="14"/>
        <v>166837.85714285716</v>
      </c>
      <c r="AH55" s="21">
        <f t="shared" si="14"/>
        <v>166837.85714285716</v>
      </c>
      <c r="AI55" s="21">
        <f t="shared" si="14"/>
        <v>166837.85714285716</v>
      </c>
      <c r="AJ55" s="21">
        <f t="shared" si="14"/>
        <v>166837.85714285716</v>
      </c>
      <c r="AK55" s="21">
        <f t="shared" si="14"/>
        <v>166837.85714285716</v>
      </c>
      <c r="AL55" s="21">
        <f t="shared" si="14"/>
        <v>162414.71428571426</v>
      </c>
      <c r="AM55" s="21">
        <f t="shared" si="14"/>
        <v>162414.71428571426</v>
      </c>
      <c r="AN55" s="21">
        <f t="shared" si="14"/>
        <v>162414.71428571426</v>
      </c>
      <c r="AO55" s="21">
        <f t="shared" si="14"/>
        <v>162414.71428571426</v>
      </c>
      <c r="AP55" s="21">
        <f t="shared" si="14"/>
        <v>162414.71428571426</v>
      </c>
      <c r="AQ55" s="21">
        <f t="shared" si="14"/>
        <v>162414.71428571426</v>
      </c>
      <c r="AR55" s="21">
        <f t="shared" si="14"/>
        <v>0</v>
      </c>
      <c r="AS55" s="21">
        <f t="shared" si="14"/>
        <v>162414.71428571426</v>
      </c>
      <c r="AT55" s="21">
        <f t="shared" si="14"/>
        <v>177584.875</v>
      </c>
      <c r="AU55" s="23">
        <f t="shared" si="8"/>
        <v>8038814.0000000028</v>
      </c>
      <c r="AV55" s="23">
        <f t="shared" si="12"/>
        <v>182819.28197674424</v>
      </c>
      <c r="AW55" s="24">
        <f>AU55/AU13</f>
        <v>0.20567733757357254</v>
      </c>
    </row>
    <row r="56" spans="1:49">
      <c r="A56" s="46" t="s">
        <v>185</v>
      </c>
      <c r="B56" s="46"/>
      <c r="C56" s="11">
        <f t="shared" ref="C56:AT56" si="15">SUM(C49+C22+C27+C33+C39+C44+C55)</f>
        <v>1004444.5607142857</v>
      </c>
      <c r="D56" s="11">
        <f t="shared" si="15"/>
        <v>1272852</v>
      </c>
      <c r="E56" s="11">
        <f t="shared" si="15"/>
        <v>900748.78928571427</v>
      </c>
      <c r="F56" s="11">
        <f t="shared" si="15"/>
        <v>1190319.8464285713</v>
      </c>
      <c r="G56" s="11">
        <f t="shared" si="15"/>
        <v>511008.96071428573</v>
      </c>
      <c r="H56" s="11">
        <f t="shared" si="15"/>
        <v>950320.41785714286</v>
      </c>
      <c r="I56" s="11">
        <f t="shared" si="15"/>
        <v>801046.04642857146</v>
      </c>
      <c r="J56" s="11">
        <f t="shared" si="15"/>
        <v>1051543.0464285715</v>
      </c>
      <c r="K56" s="11">
        <f t="shared" si="15"/>
        <v>812908.58571428573</v>
      </c>
      <c r="L56" s="11">
        <f t="shared" si="15"/>
        <v>1000688.1</v>
      </c>
      <c r="M56" s="11">
        <f t="shared" si="15"/>
        <v>923027.98571428563</v>
      </c>
      <c r="N56" s="11">
        <f t="shared" si="15"/>
        <v>929081.24285714282</v>
      </c>
      <c r="O56" s="11">
        <f t="shared" si="15"/>
        <v>606445.1</v>
      </c>
      <c r="P56" s="11">
        <f t="shared" si="15"/>
        <v>1133732.7</v>
      </c>
      <c r="Q56" s="11">
        <f t="shared" si="15"/>
        <v>1033201.1000000001</v>
      </c>
      <c r="R56" s="11">
        <f t="shared" si="15"/>
        <v>914463.78571428568</v>
      </c>
      <c r="S56" s="11">
        <f t="shared" si="15"/>
        <v>924656.92857142864</v>
      </c>
      <c r="T56" s="11">
        <f t="shared" si="15"/>
        <v>995148.35714285716</v>
      </c>
      <c r="U56" s="11">
        <f t="shared" si="15"/>
        <v>1246505.2142857143</v>
      </c>
      <c r="V56" s="11">
        <f t="shared" si="15"/>
        <v>1315146.9857142856</v>
      </c>
      <c r="W56" s="11">
        <f t="shared" si="15"/>
        <v>1368085.0428571426</v>
      </c>
      <c r="X56" s="11">
        <f t="shared" si="15"/>
        <v>317823.35714285716</v>
      </c>
      <c r="Y56" s="11">
        <f t="shared" si="15"/>
        <v>1050921.7</v>
      </c>
      <c r="Z56" s="11">
        <f t="shared" si="15"/>
        <v>0</v>
      </c>
      <c r="AA56" s="11">
        <f t="shared" si="15"/>
        <v>0</v>
      </c>
      <c r="AB56" s="11">
        <f t="shared" si="15"/>
        <v>256880.5</v>
      </c>
      <c r="AC56" s="11">
        <f t="shared" si="15"/>
        <v>407869.5</v>
      </c>
      <c r="AD56" s="11">
        <f t="shared" si="15"/>
        <v>231490.5</v>
      </c>
      <c r="AE56" s="11">
        <f t="shared" si="15"/>
        <v>881515.0285714285</v>
      </c>
      <c r="AF56" s="11">
        <f t="shared" si="15"/>
        <v>1113094.8</v>
      </c>
      <c r="AG56" s="11">
        <f t="shared" si="15"/>
        <v>1240410.6000000001</v>
      </c>
      <c r="AH56" s="11">
        <f t="shared" si="15"/>
        <v>945339.57142857148</v>
      </c>
      <c r="AI56" s="11">
        <f t="shared" si="15"/>
        <v>1072680.3999999999</v>
      </c>
      <c r="AJ56" s="11">
        <f t="shared" si="15"/>
        <v>954671.88571428566</v>
      </c>
      <c r="AK56" s="11">
        <f t="shared" si="15"/>
        <v>738289.82857142854</v>
      </c>
      <c r="AL56" s="11">
        <f t="shared" si="15"/>
        <v>1090071.1142857142</v>
      </c>
      <c r="AM56" s="11">
        <f t="shared" si="15"/>
        <v>663208.11428571423</v>
      </c>
      <c r="AN56" s="11">
        <f t="shared" si="15"/>
        <v>399620.82857142854</v>
      </c>
      <c r="AO56" s="11">
        <f t="shared" si="15"/>
        <v>632331.57142857136</v>
      </c>
      <c r="AP56" s="11">
        <f t="shared" si="15"/>
        <v>773355.14285714272</v>
      </c>
      <c r="AQ56" s="11">
        <f t="shared" si="15"/>
        <v>408559.6857142857</v>
      </c>
      <c r="AR56" s="11">
        <f t="shared" si="15"/>
        <v>0</v>
      </c>
      <c r="AS56" s="11">
        <f t="shared" si="15"/>
        <v>483895.71428571426</v>
      </c>
      <c r="AT56" s="11">
        <f t="shared" si="15"/>
        <v>413678.875</v>
      </c>
      <c r="AU56" s="13">
        <f t="shared" si="8"/>
        <v>34961083.514285706</v>
      </c>
      <c r="AV56" s="13">
        <f t="shared" si="12"/>
        <v>789689.27799003315</v>
      </c>
      <c r="AW56" s="10">
        <f>AU56/AU13</f>
        <v>0.89449794160004215</v>
      </c>
    </row>
    <row r="57" spans="1:49">
      <c r="A57" s="46" t="s">
        <v>186</v>
      </c>
      <c r="B57" s="46"/>
      <c r="C57" s="11">
        <f>SUM(C13+C14-C56)</f>
        <v>229295.4392857143</v>
      </c>
      <c r="D57" s="11">
        <f t="shared" ref="D57:AT57" si="16">SUM(D13+D14-D56)</f>
        <v>90846</v>
      </c>
      <c r="E57" s="11">
        <f t="shared" si="16"/>
        <v>397589.21071428573</v>
      </c>
      <c r="F57" s="11">
        <f t="shared" si="16"/>
        <v>45912.153571428731</v>
      </c>
      <c r="G57" s="11">
        <f t="shared" si="16"/>
        <v>-511008.96071428573</v>
      </c>
      <c r="H57" s="11">
        <f t="shared" si="16"/>
        <v>-69020.417857142864</v>
      </c>
      <c r="I57" s="11">
        <f t="shared" si="16"/>
        <v>-206046.04642857146</v>
      </c>
      <c r="J57" s="11">
        <f t="shared" si="16"/>
        <v>177256.95357142854</v>
      </c>
      <c r="K57" s="11">
        <f t="shared" si="16"/>
        <v>205075.41428571427</v>
      </c>
      <c r="L57" s="11">
        <f t="shared" si="16"/>
        <v>232551.90000000002</v>
      </c>
      <c r="M57" s="11">
        <f t="shared" si="16"/>
        <v>295452.01428571437</v>
      </c>
      <c r="N57" s="11">
        <f t="shared" si="16"/>
        <v>314088.75714285718</v>
      </c>
      <c r="O57" s="11">
        <f t="shared" si="16"/>
        <v>-302985.09999999998</v>
      </c>
      <c r="P57" s="11">
        <f t="shared" si="16"/>
        <v>89367.300000000047</v>
      </c>
      <c r="Q57" s="11">
        <f t="shared" si="16"/>
        <v>174298.89999999991</v>
      </c>
      <c r="R57" s="11">
        <f t="shared" si="16"/>
        <v>294776.21428571432</v>
      </c>
      <c r="S57" s="11">
        <f t="shared" si="16"/>
        <v>289203.07142857136</v>
      </c>
      <c r="T57" s="11">
        <f t="shared" si="16"/>
        <v>230711.64285714284</v>
      </c>
      <c r="U57" s="11">
        <f t="shared" si="16"/>
        <v>40754.785714285681</v>
      </c>
      <c r="V57" s="11">
        <f t="shared" si="16"/>
        <v>81953.014285714366</v>
      </c>
      <c r="W57" s="11">
        <f t="shared" si="16"/>
        <v>195164.95714285737</v>
      </c>
      <c r="X57" s="11">
        <f t="shared" si="16"/>
        <v>-317823.35714285716</v>
      </c>
      <c r="Y57" s="11">
        <f t="shared" si="16"/>
        <v>545414.30000000005</v>
      </c>
      <c r="Z57" s="11">
        <f t="shared" si="16"/>
        <v>10000</v>
      </c>
      <c r="AA57" s="11">
        <f t="shared" si="16"/>
        <v>595589</v>
      </c>
      <c r="AB57" s="11">
        <f t="shared" si="16"/>
        <v>-256880.5</v>
      </c>
      <c r="AC57" s="11">
        <f t="shared" si="16"/>
        <v>-407869.5</v>
      </c>
      <c r="AD57" s="11">
        <f t="shared" si="16"/>
        <v>-231490.5</v>
      </c>
      <c r="AE57" s="11">
        <f t="shared" si="16"/>
        <v>978757.9714285715</v>
      </c>
      <c r="AF57" s="11">
        <f t="shared" si="16"/>
        <v>844721.2</v>
      </c>
      <c r="AG57" s="11">
        <f t="shared" si="16"/>
        <v>285197.39999999991</v>
      </c>
      <c r="AH57" s="11">
        <f t="shared" si="16"/>
        <v>319340.42857142852</v>
      </c>
      <c r="AI57" s="11">
        <f t="shared" si="16"/>
        <v>-256985.39999999991</v>
      </c>
      <c r="AJ57" s="11">
        <f t="shared" si="16"/>
        <v>388478.11428571434</v>
      </c>
      <c r="AK57" s="11">
        <f t="shared" si="16"/>
        <v>-204493.82857142854</v>
      </c>
      <c r="AL57" s="11">
        <f t="shared" si="16"/>
        <v>600828.88571428577</v>
      </c>
      <c r="AM57" s="11">
        <f t="shared" si="16"/>
        <v>325491.88571428577</v>
      </c>
      <c r="AN57" s="11">
        <f t="shared" si="16"/>
        <v>-399620.82857142854</v>
      </c>
      <c r="AO57" s="11">
        <f t="shared" si="16"/>
        <v>-17031.571428571362</v>
      </c>
      <c r="AP57" s="11">
        <f t="shared" si="16"/>
        <v>199744.85714285728</v>
      </c>
      <c r="AQ57" s="11">
        <f t="shared" si="16"/>
        <v>-257259.6857142857</v>
      </c>
      <c r="AR57" s="11">
        <f t="shared" si="16"/>
        <v>320333</v>
      </c>
      <c r="AS57" s="11">
        <f t="shared" si="16"/>
        <v>-483895.71428571426</v>
      </c>
      <c r="AT57" s="11">
        <f t="shared" si="16"/>
        <v>-413678.875</v>
      </c>
      <c r="AU57" s="13">
        <f t="shared" si="8"/>
        <v>4462104.4857142856</v>
      </c>
      <c r="AV57" s="13">
        <f t="shared" si="12"/>
        <v>98437.41968438543</v>
      </c>
      <c r="AW57" s="10">
        <f>AU57/AU13</f>
        <v>0.1141653197345789</v>
      </c>
    </row>
    <row r="58" spans="1:49">
      <c r="A58" s="46" t="s">
        <v>187</v>
      </c>
      <c r="B58" s="46"/>
      <c r="C58" s="11">
        <v>117386.075</v>
      </c>
      <c r="D58" s="11">
        <v>0</v>
      </c>
      <c r="E58" s="11">
        <v>117386.075</v>
      </c>
      <c r="F58" s="11">
        <v>117386.075</v>
      </c>
      <c r="G58" s="11">
        <v>117386.075</v>
      </c>
      <c r="H58" s="11">
        <v>117386.075</v>
      </c>
      <c r="I58" s="11">
        <v>117386.075</v>
      </c>
      <c r="J58" s="11">
        <v>117386.075</v>
      </c>
      <c r="K58" s="11">
        <v>117386.075</v>
      </c>
      <c r="L58" s="11">
        <v>117386.075</v>
      </c>
      <c r="M58" s="11">
        <v>117386.075</v>
      </c>
      <c r="N58" s="11">
        <v>117386.075</v>
      </c>
      <c r="O58" s="11">
        <v>117386.075</v>
      </c>
      <c r="P58" s="11">
        <v>117386.075</v>
      </c>
      <c r="Q58" s="11">
        <v>117386.075</v>
      </c>
      <c r="R58" s="11">
        <v>117386.075</v>
      </c>
      <c r="S58" s="11">
        <v>117386.075</v>
      </c>
      <c r="T58" s="11">
        <v>117386.075</v>
      </c>
      <c r="U58" s="11">
        <v>117386.075</v>
      </c>
      <c r="V58" s="11">
        <v>117386.075</v>
      </c>
      <c r="W58" s="11">
        <v>117386.075</v>
      </c>
      <c r="X58" s="11">
        <v>117386.075</v>
      </c>
      <c r="Y58" s="11">
        <v>117386.075</v>
      </c>
      <c r="Z58" s="11">
        <v>0</v>
      </c>
      <c r="AA58" s="11">
        <v>0</v>
      </c>
      <c r="AB58" s="11">
        <v>117386.075</v>
      </c>
      <c r="AC58" s="11">
        <v>117386.075</v>
      </c>
      <c r="AD58" s="11">
        <v>117386.075</v>
      </c>
      <c r="AE58" s="11">
        <v>117386.075</v>
      </c>
      <c r="AF58" s="11">
        <v>117386.075</v>
      </c>
      <c r="AG58" s="11">
        <v>117386.075</v>
      </c>
      <c r="AH58" s="11">
        <v>117386.075</v>
      </c>
      <c r="AI58" s="11">
        <v>117386.075</v>
      </c>
      <c r="AJ58" s="11">
        <v>117386.075</v>
      </c>
      <c r="AK58" s="11">
        <v>117386.075</v>
      </c>
      <c r="AL58" s="11">
        <v>117386.075</v>
      </c>
      <c r="AM58" s="11">
        <v>117386.075</v>
      </c>
      <c r="AN58" s="11">
        <v>117386.075</v>
      </c>
      <c r="AO58" s="11">
        <v>117386.075</v>
      </c>
      <c r="AP58" s="11">
        <v>117386.075</v>
      </c>
      <c r="AQ58" s="11">
        <v>117386.075</v>
      </c>
      <c r="AR58" s="11">
        <v>0</v>
      </c>
      <c r="AS58" s="11">
        <v>117386.075</v>
      </c>
      <c r="AT58" s="11">
        <v>117386.075</v>
      </c>
      <c r="AU58" s="13">
        <f t="shared" si="8"/>
        <v>4695443.0000000037</v>
      </c>
      <c r="AV58" s="13">
        <f t="shared" si="12"/>
        <v>106466.44011627915</v>
      </c>
      <c r="AW58" s="10">
        <f>AU58/AU13</f>
        <v>0.1201354098960952</v>
      </c>
    </row>
    <row r="59" spans="1:49">
      <c r="A59" s="46" t="s">
        <v>188</v>
      </c>
      <c r="B59" s="46"/>
      <c r="C59" s="11">
        <v>46460</v>
      </c>
      <c r="D59" s="11">
        <v>0</v>
      </c>
      <c r="E59" s="11">
        <v>46460</v>
      </c>
      <c r="F59" s="11">
        <v>46460</v>
      </c>
      <c r="G59" s="11">
        <v>46460</v>
      </c>
      <c r="H59" s="11">
        <v>46460</v>
      </c>
      <c r="I59" s="11">
        <v>46460</v>
      </c>
      <c r="J59" s="11">
        <v>46460</v>
      </c>
      <c r="K59" s="11">
        <v>46460</v>
      </c>
      <c r="L59" s="11">
        <v>46460</v>
      </c>
      <c r="M59" s="11">
        <v>46460</v>
      </c>
      <c r="N59" s="11">
        <v>46460</v>
      </c>
      <c r="O59" s="11">
        <v>46460</v>
      </c>
      <c r="P59" s="11">
        <v>46460</v>
      </c>
      <c r="Q59" s="11">
        <v>46460</v>
      </c>
      <c r="R59" s="11">
        <v>46460</v>
      </c>
      <c r="S59" s="11">
        <v>46460</v>
      </c>
      <c r="T59" s="11">
        <v>46460</v>
      </c>
      <c r="U59" s="11">
        <v>46460</v>
      </c>
      <c r="V59" s="11">
        <v>46460</v>
      </c>
      <c r="W59" s="11">
        <v>46460</v>
      </c>
      <c r="X59" s="11">
        <v>46460</v>
      </c>
      <c r="Y59" s="11">
        <v>46460</v>
      </c>
      <c r="Z59" s="11">
        <v>0</v>
      </c>
      <c r="AA59" s="11">
        <v>0</v>
      </c>
      <c r="AB59" s="11">
        <v>46460</v>
      </c>
      <c r="AC59" s="11">
        <v>46460</v>
      </c>
      <c r="AD59" s="11">
        <v>46460</v>
      </c>
      <c r="AE59" s="11">
        <v>46460</v>
      </c>
      <c r="AF59" s="11">
        <v>46460</v>
      </c>
      <c r="AG59" s="11">
        <v>46460</v>
      </c>
      <c r="AH59" s="11">
        <v>46460</v>
      </c>
      <c r="AI59" s="11">
        <v>46460</v>
      </c>
      <c r="AJ59" s="11">
        <v>46460</v>
      </c>
      <c r="AK59" s="11">
        <v>46460</v>
      </c>
      <c r="AL59" s="11">
        <v>46460</v>
      </c>
      <c r="AM59" s="11">
        <v>46460</v>
      </c>
      <c r="AN59" s="11">
        <v>46460</v>
      </c>
      <c r="AO59" s="11">
        <v>46460</v>
      </c>
      <c r="AP59" s="11">
        <v>46460</v>
      </c>
      <c r="AQ59" s="11">
        <v>46460</v>
      </c>
      <c r="AR59" s="11">
        <v>0</v>
      </c>
      <c r="AS59" s="11">
        <v>46460</v>
      </c>
      <c r="AT59" s="11">
        <v>46460</v>
      </c>
      <c r="AU59" s="13">
        <f t="shared" si="8"/>
        <v>1858400</v>
      </c>
      <c r="AV59" s="13">
        <f t="shared" si="12"/>
        <v>42138.139534883718</v>
      </c>
      <c r="AW59" s="10">
        <f>AU59/AU13</f>
        <v>4.7548153763319702E-2</v>
      </c>
    </row>
    <row r="60" spans="1:49">
      <c r="A60" s="46" t="s">
        <v>189</v>
      </c>
      <c r="B60" s="46"/>
      <c r="C60" s="11">
        <f>SUM(C57-(C58+C59))</f>
        <v>65449.364285714284</v>
      </c>
      <c r="D60" s="11">
        <f t="shared" ref="D60:AT60" si="17">SUM(D57-(D58+D59))</f>
        <v>90846</v>
      </c>
      <c r="E60" s="11">
        <f t="shared" si="17"/>
        <v>233743.13571428572</v>
      </c>
      <c r="F60" s="11">
        <f t="shared" si="17"/>
        <v>-117933.92142857128</v>
      </c>
      <c r="G60" s="11">
        <f t="shared" si="17"/>
        <v>-674855.03571428568</v>
      </c>
      <c r="H60" s="11">
        <f t="shared" si="17"/>
        <v>-232866.49285714288</v>
      </c>
      <c r="I60" s="11">
        <f t="shared" si="17"/>
        <v>-369892.12142857147</v>
      </c>
      <c r="J60" s="11">
        <f t="shared" si="17"/>
        <v>13410.878571428533</v>
      </c>
      <c r="K60" s="11">
        <f t="shared" si="17"/>
        <v>41229.339285714261</v>
      </c>
      <c r="L60" s="11">
        <f t="shared" si="17"/>
        <v>68705.825000000012</v>
      </c>
      <c r="M60" s="11">
        <f t="shared" si="17"/>
        <v>131605.93928571435</v>
      </c>
      <c r="N60" s="11">
        <f t="shared" si="17"/>
        <v>150242.68214285717</v>
      </c>
      <c r="O60" s="11">
        <f t="shared" si="17"/>
        <v>-466831.17499999999</v>
      </c>
      <c r="P60" s="11">
        <f t="shared" si="17"/>
        <v>-74478.774999999965</v>
      </c>
      <c r="Q60" s="11">
        <f t="shared" si="17"/>
        <v>10452.824999999895</v>
      </c>
      <c r="R60" s="11">
        <f t="shared" si="17"/>
        <v>130930.13928571431</v>
      </c>
      <c r="S60" s="11">
        <f t="shared" si="17"/>
        <v>125356.99642857135</v>
      </c>
      <c r="T60" s="11">
        <f t="shared" si="17"/>
        <v>66865.567857142829</v>
      </c>
      <c r="U60" s="11">
        <f t="shared" si="17"/>
        <v>-123091.28928571433</v>
      </c>
      <c r="V60" s="11">
        <f t="shared" si="17"/>
        <v>-81893.060714285646</v>
      </c>
      <c r="W60" s="11">
        <f t="shared" si="17"/>
        <v>31318.882142857357</v>
      </c>
      <c r="X60" s="11">
        <f t="shared" si="17"/>
        <v>-481669.43214285717</v>
      </c>
      <c r="Y60" s="11">
        <f t="shared" si="17"/>
        <v>381568.22500000003</v>
      </c>
      <c r="Z60" s="11">
        <f t="shared" si="17"/>
        <v>10000</v>
      </c>
      <c r="AA60" s="11">
        <f t="shared" si="17"/>
        <v>595589</v>
      </c>
      <c r="AB60" s="11">
        <f t="shared" si="17"/>
        <v>-420726.57500000001</v>
      </c>
      <c r="AC60" s="11">
        <f t="shared" si="17"/>
        <v>-571715.57499999995</v>
      </c>
      <c r="AD60" s="11">
        <f t="shared" si="17"/>
        <v>-395336.57500000001</v>
      </c>
      <c r="AE60" s="11">
        <f t="shared" si="17"/>
        <v>814911.89642857155</v>
      </c>
      <c r="AF60" s="11">
        <f t="shared" si="17"/>
        <v>680875.125</v>
      </c>
      <c r="AG60" s="11">
        <f t="shared" si="17"/>
        <v>121351.3249999999</v>
      </c>
      <c r="AH60" s="11">
        <f t="shared" si="17"/>
        <v>155494.35357142851</v>
      </c>
      <c r="AI60" s="11">
        <f t="shared" si="17"/>
        <v>-420831.47499999992</v>
      </c>
      <c r="AJ60" s="11">
        <f t="shared" si="17"/>
        <v>224632.03928571433</v>
      </c>
      <c r="AK60" s="11">
        <f t="shared" si="17"/>
        <v>-368339.90357142856</v>
      </c>
      <c r="AL60" s="11">
        <f t="shared" si="17"/>
        <v>436982.81071428576</v>
      </c>
      <c r="AM60" s="11">
        <f t="shared" si="17"/>
        <v>161645.81071428576</v>
      </c>
      <c r="AN60" s="11">
        <f t="shared" si="17"/>
        <v>-563466.9035714285</v>
      </c>
      <c r="AO60" s="11">
        <f t="shared" si="17"/>
        <v>-180877.64642857137</v>
      </c>
      <c r="AP60" s="11">
        <f t="shared" si="17"/>
        <v>35898.782142857264</v>
      </c>
      <c r="AQ60" s="11">
        <f t="shared" si="17"/>
        <v>-421105.76071428572</v>
      </c>
      <c r="AR60" s="11">
        <f t="shared" si="17"/>
        <v>320333</v>
      </c>
      <c r="AS60" s="11">
        <f t="shared" si="17"/>
        <v>-647741.78928571427</v>
      </c>
      <c r="AT60" s="11">
        <f t="shared" si="17"/>
        <v>-577524.94999999995</v>
      </c>
      <c r="AU60" s="13">
        <f t="shared" si="8"/>
        <v>-2091738.514285713</v>
      </c>
      <c r="AV60" s="13">
        <f t="shared" si="12"/>
        <v>-50167.159966777384</v>
      </c>
      <c r="AW60" s="10">
        <f>AU60/AU13</f>
        <v>-5.3518243924835868E-2</v>
      </c>
    </row>
    <row r="61" spans="1:49">
      <c r="A61" s="8"/>
      <c r="B61" s="32" t="s">
        <v>51</v>
      </c>
      <c r="C61" s="32"/>
      <c r="D61" s="32"/>
      <c r="E61" s="32"/>
      <c r="F61" s="32" t="s">
        <v>190</v>
      </c>
      <c r="G61" s="32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</row>
    <row r="62" spans="1:49">
      <c r="A62" s="9"/>
      <c r="B62" s="33"/>
      <c r="C62" s="45" t="s">
        <v>191</v>
      </c>
      <c r="D62" s="42" t="s">
        <v>192</v>
      </c>
      <c r="E62" s="42" t="s">
        <v>193</v>
      </c>
      <c r="F62" s="42" t="s">
        <v>194</v>
      </c>
      <c r="G62" s="42" t="s">
        <v>195</v>
      </c>
      <c r="H62" s="34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</row>
    <row r="63" spans="1:49">
      <c r="A63" s="9"/>
      <c r="B63" s="35" t="s">
        <v>196</v>
      </c>
      <c r="C63" s="25">
        <v>0</v>
      </c>
      <c r="D63" s="25">
        <v>797303</v>
      </c>
      <c r="E63" s="25">
        <v>623376</v>
      </c>
      <c r="F63" s="25">
        <v>4695443</v>
      </c>
      <c r="G63" s="25">
        <v>1858400</v>
      </c>
      <c r="H63" s="34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</row>
    <row r="64" spans="1:49">
      <c r="A64" s="9"/>
      <c r="B64" s="36" t="s">
        <v>197</v>
      </c>
      <c r="C64" s="25">
        <v>8</v>
      </c>
      <c r="D64" s="25">
        <v>8</v>
      </c>
      <c r="E64" s="25">
        <v>8</v>
      </c>
      <c r="F64" s="25">
        <v>40</v>
      </c>
      <c r="G64" s="25">
        <v>40</v>
      </c>
      <c r="H64" s="34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</row>
    <row r="65" spans="1:46">
      <c r="A65" s="9"/>
      <c r="B65" s="36" t="s">
        <v>46</v>
      </c>
      <c r="C65" s="11">
        <f>SUM(C63/C64)</f>
        <v>0</v>
      </c>
      <c r="D65" s="11">
        <f t="shared" ref="D65:G65" si="18">SUM(D63/D64)</f>
        <v>99662.875</v>
      </c>
      <c r="E65" s="11">
        <f t="shared" si="18"/>
        <v>77922</v>
      </c>
      <c r="F65" s="11">
        <f t="shared" si="18"/>
        <v>117386.075</v>
      </c>
      <c r="G65" s="11">
        <f t="shared" si="18"/>
        <v>46460</v>
      </c>
      <c r="H65" s="34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</row>
    <row r="66" spans="1:46">
      <c r="A66" s="8"/>
      <c r="B66" s="37" t="s">
        <v>52</v>
      </c>
      <c r="C66" s="37"/>
      <c r="D66" s="37"/>
      <c r="E66" s="37"/>
      <c r="F66" s="37"/>
      <c r="G66" s="37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</row>
    <row r="67" spans="1:46">
      <c r="A67" s="8"/>
      <c r="B67" s="33"/>
      <c r="C67" s="45" t="s">
        <v>198</v>
      </c>
      <c r="D67" s="42" t="s">
        <v>199</v>
      </c>
      <c r="E67" s="42" t="s">
        <v>200</v>
      </c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</row>
    <row r="68" spans="1:46">
      <c r="A68" s="8"/>
      <c r="B68" s="35" t="s">
        <v>196</v>
      </c>
      <c r="C68" s="25">
        <v>117000</v>
      </c>
      <c r="D68" s="25">
        <v>1759712</v>
      </c>
      <c r="E68" s="25">
        <v>1163803</v>
      </c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</row>
    <row r="69" spans="1:46">
      <c r="A69" s="8"/>
      <c r="B69" s="36" t="s">
        <v>197</v>
      </c>
      <c r="C69" s="25">
        <v>18</v>
      </c>
      <c r="D69" s="25">
        <v>18</v>
      </c>
      <c r="E69" s="25">
        <v>18</v>
      </c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</row>
    <row r="70" spans="1:46">
      <c r="A70" s="8"/>
      <c r="B70" s="36" t="s">
        <v>46</v>
      </c>
      <c r="C70" s="11">
        <f>SUM(C68/C69)</f>
        <v>6500</v>
      </c>
      <c r="D70" s="11">
        <f t="shared" ref="D70:E70" si="19">SUM(D68/D69)</f>
        <v>97761.777777777781</v>
      </c>
      <c r="E70" s="11">
        <f t="shared" si="19"/>
        <v>64655.722222222219</v>
      </c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</row>
    <row r="71" spans="1:46">
      <c r="A71" s="8"/>
      <c r="B71" s="8" t="s">
        <v>201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</row>
    <row r="72" spans="1:46">
      <c r="A72" s="8"/>
      <c r="B72" s="33"/>
      <c r="C72" s="45" t="s">
        <v>202</v>
      </c>
      <c r="D72" s="42" t="s">
        <v>203</v>
      </c>
      <c r="E72" s="42" t="s">
        <v>204</v>
      </c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</row>
    <row r="73" spans="1:46">
      <c r="A73" s="8"/>
      <c r="B73" s="35" t="s">
        <v>196</v>
      </c>
      <c r="C73" s="25"/>
      <c r="D73" s="25"/>
      <c r="E73" s="25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</row>
    <row r="74" spans="1:46">
      <c r="A74" s="8"/>
      <c r="B74" s="36" t="s">
        <v>197</v>
      </c>
      <c r="C74" s="25"/>
      <c r="D74" s="25"/>
      <c r="E74" s="25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</row>
    <row r="75" spans="1:46">
      <c r="A75" s="8"/>
      <c r="B75" s="36" t="s">
        <v>46</v>
      </c>
      <c r="C75" s="11" t="e">
        <f>SUM(C73/C74)</f>
        <v>#DIV/0!</v>
      </c>
      <c r="D75" s="11" t="e">
        <f t="shared" ref="D75:E75" si="20">SUM(D73/D74)</f>
        <v>#DIV/0!</v>
      </c>
      <c r="E75" s="11" t="e">
        <f t="shared" si="20"/>
        <v>#DIV/0!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</row>
    <row r="76" spans="1:46">
      <c r="A76" s="8"/>
      <c r="B76" s="8" t="s">
        <v>205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</row>
    <row r="77" spans="1:46">
      <c r="A77" s="8"/>
      <c r="B77" s="33"/>
      <c r="C77" s="45" t="s">
        <v>206</v>
      </c>
      <c r="D77" s="42" t="s">
        <v>207</v>
      </c>
      <c r="E77" s="42" t="s">
        <v>208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</row>
    <row r="78" spans="1:46">
      <c r="A78" s="8"/>
      <c r="B78" s="35" t="s">
        <v>196</v>
      </c>
      <c r="C78" s="25"/>
      <c r="D78" s="25"/>
      <c r="E78" s="25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</row>
    <row r="79" spans="1:46">
      <c r="A79" s="8"/>
      <c r="B79" s="36" t="s">
        <v>197</v>
      </c>
      <c r="C79" s="25"/>
      <c r="D79" s="25"/>
      <c r="E79" s="25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</row>
    <row r="80" spans="1:46">
      <c r="A80" s="8"/>
      <c r="B80" s="36" t="s">
        <v>46</v>
      </c>
      <c r="C80" s="11" t="e">
        <f>SUM(C78/C79)</f>
        <v>#DIV/0!</v>
      </c>
      <c r="D80" s="11" t="e">
        <f t="shared" ref="D80:E80" si="21">SUM(D78/D79)</f>
        <v>#DIV/0!</v>
      </c>
      <c r="E80" s="11" t="e">
        <f t="shared" si="21"/>
        <v>#DIV/0!</v>
      </c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</row>
    <row r="81" spans="1:46">
      <c r="A81" s="8"/>
      <c r="B81" s="8" t="s">
        <v>209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</row>
    <row r="82" spans="1:46">
      <c r="A82" s="8"/>
      <c r="B82" s="33"/>
      <c r="C82" s="45" t="s">
        <v>210</v>
      </c>
      <c r="D82" s="42" t="s">
        <v>211</v>
      </c>
      <c r="E82" s="42" t="s">
        <v>212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</row>
    <row r="83" spans="1:46">
      <c r="A83" s="8"/>
      <c r="B83" s="35" t="s">
        <v>196</v>
      </c>
      <c r="C83" s="25"/>
      <c r="D83" s="25"/>
      <c r="E83" s="25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</row>
    <row r="84" spans="1:46">
      <c r="A84" s="8"/>
      <c r="B84" s="36" t="s">
        <v>197</v>
      </c>
      <c r="C84" s="25"/>
      <c r="D84" s="25"/>
      <c r="E84" s="25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</row>
    <row r="85" spans="1:46">
      <c r="A85" s="8"/>
      <c r="B85" s="36" t="s">
        <v>46</v>
      </c>
      <c r="C85" s="11" t="e">
        <f>SUM(C83/C84)</f>
        <v>#DIV/0!</v>
      </c>
      <c r="D85" s="11" t="e">
        <f t="shared" ref="D85:E85" si="22">SUM(D83/D84)</f>
        <v>#DIV/0!</v>
      </c>
      <c r="E85" s="11" t="e">
        <f t="shared" si="22"/>
        <v>#DIV/0!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</row>
    <row r="86" spans="1:46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</row>
    <row r="87" spans="1:46">
      <c r="A87" s="8"/>
      <c r="B87" s="33"/>
      <c r="C87" s="45" t="s">
        <v>213</v>
      </c>
      <c r="D87" s="42" t="s">
        <v>214</v>
      </c>
      <c r="E87" s="42" t="s">
        <v>215</v>
      </c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</row>
    <row r="88" spans="1:46">
      <c r="A88" s="8"/>
      <c r="B88" s="35" t="s">
        <v>196</v>
      </c>
      <c r="C88" s="25">
        <v>150000</v>
      </c>
      <c r="D88" s="25">
        <v>565275</v>
      </c>
      <c r="E88" s="25">
        <v>452590</v>
      </c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</row>
    <row r="89" spans="1:46">
      <c r="B89" s="36" t="s">
        <v>197</v>
      </c>
      <c r="C89" s="25">
        <v>7</v>
      </c>
      <c r="D89" s="25">
        <v>7</v>
      </c>
      <c r="E89" s="25">
        <v>7</v>
      </c>
    </row>
    <row r="90" spans="1:46">
      <c r="B90" s="36" t="s">
        <v>46</v>
      </c>
      <c r="C90" s="11">
        <f>SUM(C88/C89)</f>
        <v>21428.571428571428</v>
      </c>
      <c r="D90" s="11">
        <f t="shared" ref="D90:E90" si="23">SUM(D88/D89)</f>
        <v>80753.571428571435</v>
      </c>
      <c r="E90" s="11">
        <f t="shared" si="23"/>
        <v>64655.714285714283</v>
      </c>
    </row>
    <row r="92" spans="1:46">
      <c r="B92" s="33"/>
      <c r="C92" s="45" t="s">
        <v>216</v>
      </c>
      <c r="D92" s="42" t="s">
        <v>217</v>
      </c>
      <c r="E92" s="42" t="s">
        <v>218</v>
      </c>
    </row>
    <row r="93" spans="1:46">
      <c r="B93" s="35" t="s">
        <v>196</v>
      </c>
      <c r="C93" s="25">
        <v>297000</v>
      </c>
      <c r="D93" s="25">
        <v>585461</v>
      </c>
      <c r="E93" s="25">
        <v>254442</v>
      </c>
    </row>
    <row r="94" spans="1:46">
      <c r="B94" s="36" t="s">
        <v>197</v>
      </c>
      <c r="C94" s="25">
        <v>7</v>
      </c>
      <c r="D94" s="25">
        <v>7</v>
      </c>
      <c r="E94" s="25">
        <v>7</v>
      </c>
    </row>
    <row r="95" spans="1:46">
      <c r="B95" s="36" t="s">
        <v>46</v>
      </c>
      <c r="C95" s="11">
        <f>SUM(C93/C94)</f>
        <v>42428.571428571428</v>
      </c>
      <c r="D95" s="11">
        <f t="shared" ref="D95:E95" si="24">SUM(D93/D94)</f>
        <v>83637.28571428571</v>
      </c>
      <c r="E95" s="11">
        <f t="shared" si="24"/>
        <v>36348.857142857145</v>
      </c>
    </row>
    <row r="97" spans="2:5">
      <c r="B97" s="33"/>
      <c r="C97" s="45" t="s">
        <v>219</v>
      </c>
      <c r="D97" s="42" t="s">
        <v>220</v>
      </c>
      <c r="E97" s="42" t="s">
        <v>221</v>
      </c>
    </row>
    <row r="98" spans="2:5">
      <c r="B98" s="35" t="s">
        <v>196</v>
      </c>
      <c r="C98" s="25"/>
      <c r="D98" s="25"/>
      <c r="E98" s="25"/>
    </row>
    <row r="99" spans="2:5">
      <c r="B99" s="36" t="s">
        <v>197</v>
      </c>
      <c r="C99" s="25"/>
      <c r="D99" s="25"/>
      <c r="E99" s="25"/>
    </row>
    <row r="100" spans="2:5">
      <c r="B100" s="36" t="s">
        <v>46</v>
      </c>
      <c r="C100" s="11" t="e">
        <f>SUM(C98/C99)</f>
        <v>#DIV/0!</v>
      </c>
      <c r="D100" s="11" t="e">
        <f t="shared" ref="D100:E100" si="25">SUM(D98/D99)</f>
        <v>#DIV/0!</v>
      </c>
      <c r="E100" s="11" t="e">
        <f t="shared" si="25"/>
        <v>#DIV/0!</v>
      </c>
    </row>
    <row r="102" spans="2:5">
      <c r="B102" s="8" t="s">
        <v>222</v>
      </c>
      <c r="C102" s="5">
        <v>32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23C6A-8055-4524-96DA-6F9F454C57A7}">
  <sheetPr codeName="Sheet2"/>
  <dimension ref="A2:N102"/>
  <sheetViews>
    <sheetView workbookViewId="0">
      <selection activeCell="D2" sqref="D2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.42578125" style="1" bestFit="1" customWidth="1"/>
    <col min="4" max="5" width="14.140625" style="1" bestFit="1" customWidth="1"/>
    <col min="6" max="6" width="11.42578125" style="1" bestFit="1" customWidth="1"/>
    <col min="7" max="10" width="12.42578125" style="1" bestFit="1" customWidth="1"/>
    <col min="11" max="11" width="11" style="1" bestFit="1" customWidth="1"/>
    <col min="12" max="12" width="13.28515625" style="1" bestFit="1" customWidth="1"/>
    <col min="13" max="13" width="10" style="1" bestFit="1" customWidth="1"/>
    <col min="14" max="14" width="11" style="1" bestFit="1" customWidth="1"/>
    <col min="15" max="220" width="9" style="1"/>
    <col min="221" max="221" width="2.85546875" style="1" bestFit="1" customWidth="1"/>
    <col min="222" max="222" width="16.5703125" style="1" bestFit="1" customWidth="1"/>
    <col min="223" max="223" width="11.42578125" style="1" bestFit="1" customWidth="1"/>
    <col min="224" max="225" width="14.140625" style="1" bestFit="1" customWidth="1"/>
    <col min="226" max="226" width="11.42578125" style="1" bestFit="1" customWidth="1"/>
    <col min="227" max="230" width="12.42578125" style="1" bestFit="1" customWidth="1"/>
    <col min="231" max="250" width="13" style="1" bestFit="1" customWidth="1"/>
    <col min="251" max="254" width="11" style="1" bestFit="1" customWidth="1"/>
    <col min="255" max="257" width="12.28515625" style="1" bestFit="1" customWidth="1"/>
    <col min="258" max="267" width="11" style="1" bestFit="1" customWidth="1"/>
    <col min="268" max="268" width="13.28515625" style="1" bestFit="1" customWidth="1"/>
    <col min="269" max="269" width="10" style="1" bestFit="1" customWidth="1"/>
    <col min="270" max="270" width="11" style="1" bestFit="1" customWidth="1"/>
    <col min="271" max="476" width="9" style="1"/>
    <col min="477" max="477" width="2.85546875" style="1" bestFit="1" customWidth="1"/>
    <col min="478" max="478" width="16.5703125" style="1" bestFit="1" customWidth="1"/>
    <col min="479" max="479" width="11.42578125" style="1" bestFit="1" customWidth="1"/>
    <col min="480" max="481" width="14.140625" style="1" bestFit="1" customWidth="1"/>
    <col min="482" max="482" width="11.42578125" style="1" bestFit="1" customWidth="1"/>
    <col min="483" max="486" width="12.42578125" style="1" bestFit="1" customWidth="1"/>
    <col min="487" max="506" width="13" style="1" bestFit="1" customWidth="1"/>
    <col min="507" max="510" width="11" style="1" bestFit="1" customWidth="1"/>
    <col min="511" max="513" width="12.28515625" style="1" bestFit="1" customWidth="1"/>
    <col min="514" max="523" width="11" style="1" bestFit="1" customWidth="1"/>
    <col min="524" max="524" width="13.28515625" style="1" bestFit="1" customWidth="1"/>
    <col min="525" max="525" width="10" style="1" bestFit="1" customWidth="1"/>
    <col min="526" max="526" width="11" style="1" bestFit="1" customWidth="1"/>
    <col min="527" max="732" width="9" style="1"/>
    <col min="733" max="733" width="2.85546875" style="1" bestFit="1" customWidth="1"/>
    <col min="734" max="734" width="16.5703125" style="1" bestFit="1" customWidth="1"/>
    <col min="735" max="735" width="11.42578125" style="1" bestFit="1" customWidth="1"/>
    <col min="736" max="737" width="14.140625" style="1" bestFit="1" customWidth="1"/>
    <col min="738" max="738" width="11.42578125" style="1" bestFit="1" customWidth="1"/>
    <col min="739" max="742" width="12.42578125" style="1" bestFit="1" customWidth="1"/>
    <col min="743" max="762" width="13" style="1" bestFit="1" customWidth="1"/>
    <col min="763" max="766" width="11" style="1" bestFit="1" customWidth="1"/>
    <col min="767" max="769" width="12.28515625" style="1" bestFit="1" customWidth="1"/>
    <col min="770" max="779" width="11" style="1" bestFit="1" customWidth="1"/>
    <col min="780" max="780" width="13.28515625" style="1" bestFit="1" customWidth="1"/>
    <col min="781" max="781" width="10" style="1" bestFit="1" customWidth="1"/>
    <col min="782" max="782" width="11" style="1" bestFit="1" customWidth="1"/>
    <col min="783" max="988" width="9" style="1"/>
    <col min="989" max="989" width="2.85546875" style="1" bestFit="1" customWidth="1"/>
    <col min="990" max="990" width="16.5703125" style="1" bestFit="1" customWidth="1"/>
    <col min="991" max="991" width="11.42578125" style="1" bestFit="1" customWidth="1"/>
    <col min="992" max="993" width="14.140625" style="1" bestFit="1" customWidth="1"/>
    <col min="994" max="994" width="11.42578125" style="1" bestFit="1" customWidth="1"/>
    <col min="995" max="998" width="12.42578125" style="1" bestFit="1" customWidth="1"/>
    <col min="999" max="1018" width="13" style="1" bestFit="1" customWidth="1"/>
    <col min="1019" max="1022" width="11" style="1" bestFit="1" customWidth="1"/>
    <col min="1023" max="1025" width="12.28515625" style="1" bestFit="1" customWidth="1"/>
    <col min="1026" max="1035" width="11" style="1" bestFit="1" customWidth="1"/>
    <col min="1036" max="1036" width="13.28515625" style="1" bestFit="1" customWidth="1"/>
    <col min="1037" max="1037" width="10" style="1" bestFit="1" customWidth="1"/>
    <col min="1038" max="1038" width="11" style="1" bestFit="1" customWidth="1"/>
    <col min="1039" max="1244" width="9" style="1"/>
    <col min="1245" max="1245" width="2.85546875" style="1" bestFit="1" customWidth="1"/>
    <col min="1246" max="1246" width="16.5703125" style="1" bestFit="1" customWidth="1"/>
    <col min="1247" max="1247" width="11.42578125" style="1" bestFit="1" customWidth="1"/>
    <col min="1248" max="1249" width="14.140625" style="1" bestFit="1" customWidth="1"/>
    <col min="1250" max="1250" width="11.42578125" style="1" bestFit="1" customWidth="1"/>
    <col min="1251" max="1254" width="12.42578125" style="1" bestFit="1" customWidth="1"/>
    <col min="1255" max="1274" width="13" style="1" bestFit="1" customWidth="1"/>
    <col min="1275" max="1278" width="11" style="1" bestFit="1" customWidth="1"/>
    <col min="1279" max="1281" width="12.28515625" style="1" bestFit="1" customWidth="1"/>
    <col min="1282" max="1291" width="11" style="1" bestFit="1" customWidth="1"/>
    <col min="1292" max="1292" width="13.28515625" style="1" bestFit="1" customWidth="1"/>
    <col min="1293" max="1293" width="10" style="1" bestFit="1" customWidth="1"/>
    <col min="1294" max="1294" width="11" style="1" bestFit="1" customWidth="1"/>
    <col min="1295" max="1500" width="9" style="1"/>
    <col min="1501" max="1501" width="2.85546875" style="1" bestFit="1" customWidth="1"/>
    <col min="1502" max="1502" width="16.5703125" style="1" bestFit="1" customWidth="1"/>
    <col min="1503" max="1503" width="11.42578125" style="1" bestFit="1" customWidth="1"/>
    <col min="1504" max="1505" width="14.140625" style="1" bestFit="1" customWidth="1"/>
    <col min="1506" max="1506" width="11.42578125" style="1" bestFit="1" customWidth="1"/>
    <col min="1507" max="1510" width="12.42578125" style="1" bestFit="1" customWidth="1"/>
    <col min="1511" max="1530" width="13" style="1" bestFit="1" customWidth="1"/>
    <col min="1531" max="1534" width="11" style="1" bestFit="1" customWidth="1"/>
    <col min="1535" max="1537" width="12.28515625" style="1" bestFit="1" customWidth="1"/>
    <col min="1538" max="1547" width="11" style="1" bestFit="1" customWidth="1"/>
    <col min="1548" max="1548" width="13.28515625" style="1" bestFit="1" customWidth="1"/>
    <col min="1549" max="1549" width="10" style="1" bestFit="1" customWidth="1"/>
    <col min="1550" max="1550" width="11" style="1" bestFit="1" customWidth="1"/>
    <col min="1551" max="1756" width="9" style="1"/>
    <col min="1757" max="1757" width="2.85546875" style="1" bestFit="1" customWidth="1"/>
    <col min="1758" max="1758" width="16.5703125" style="1" bestFit="1" customWidth="1"/>
    <col min="1759" max="1759" width="11.42578125" style="1" bestFit="1" customWidth="1"/>
    <col min="1760" max="1761" width="14.140625" style="1" bestFit="1" customWidth="1"/>
    <col min="1762" max="1762" width="11.42578125" style="1" bestFit="1" customWidth="1"/>
    <col min="1763" max="1766" width="12.42578125" style="1" bestFit="1" customWidth="1"/>
    <col min="1767" max="1786" width="13" style="1" bestFit="1" customWidth="1"/>
    <col min="1787" max="1790" width="11" style="1" bestFit="1" customWidth="1"/>
    <col min="1791" max="1793" width="12.28515625" style="1" bestFit="1" customWidth="1"/>
    <col min="1794" max="1803" width="11" style="1" bestFit="1" customWidth="1"/>
    <col min="1804" max="1804" width="13.28515625" style="1" bestFit="1" customWidth="1"/>
    <col min="1805" max="1805" width="10" style="1" bestFit="1" customWidth="1"/>
    <col min="1806" max="1806" width="11" style="1" bestFit="1" customWidth="1"/>
    <col min="1807" max="2012" width="9" style="1"/>
    <col min="2013" max="2013" width="2.85546875" style="1" bestFit="1" customWidth="1"/>
    <col min="2014" max="2014" width="16.5703125" style="1" bestFit="1" customWidth="1"/>
    <col min="2015" max="2015" width="11.42578125" style="1" bestFit="1" customWidth="1"/>
    <col min="2016" max="2017" width="14.140625" style="1" bestFit="1" customWidth="1"/>
    <col min="2018" max="2018" width="11.42578125" style="1" bestFit="1" customWidth="1"/>
    <col min="2019" max="2022" width="12.42578125" style="1" bestFit="1" customWidth="1"/>
    <col min="2023" max="2042" width="13" style="1" bestFit="1" customWidth="1"/>
    <col min="2043" max="2046" width="11" style="1" bestFit="1" customWidth="1"/>
    <col min="2047" max="2049" width="12.28515625" style="1" bestFit="1" customWidth="1"/>
    <col min="2050" max="2059" width="11" style="1" bestFit="1" customWidth="1"/>
    <col min="2060" max="2060" width="13.28515625" style="1" bestFit="1" customWidth="1"/>
    <col min="2061" max="2061" width="10" style="1" bestFit="1" customWidth="1"/>
    <col min="2062" max="2062" width="11" style="1" bestFit="1" customWidth="1"/>
    <col min="2063" max="2268" width="9" style="1"/>
    <col min="2269" max="2269" width="2.85546875" style="1" bestFit="1" customWidth="1"/>
    <col min="2270" max="2270" width="16.5703125" style="1" bestFit="1" customWidth="1"/>
    <col min="2271" max="2271" width="11.42578125" style="1" bestFit="1" customWidth="1"/>
    <col min="2272" max="2273" width="14.140625" style="1" bestFit="1" customWidth="1"/>
    <col min="2274" max="2274" width="11.42578125" style="1" bestFit="1" customWidth="1"/>
    <col min="2275" max="2278" width="12.42578125" style="1" bestFit="1" customWidth="1"/>
    <col min="2279" max="2298" width="13" style="1" bestFit="1" customWidth="1"/>
    <col min="2299" max="2302" width="11" style="1" bestFit="1" customWidth="1"/>
    <col min="2303" max="2305" width="12.28515625" style="1" bestFit="1" customWidth="1"/>
    <col min="2306" max="2315" width="11" style="1" bestFit="1" customWidth="1"/>
    <col min="2316" max="2316" width="13.28515625" style="1" bestFit="1" customWidth="1"/>
    <col min="2317" max="2317" width="10" style="1" bestFit="1" customWidth="1"/>
    <col min="2318" max="2318" width="11" style="1" bestFit="1" customWidth="1"/>
    <col min="2319" max="2524" width="9" style="1"/>
    <col min="2525" max="2525" width="2.85546875" style="1" bestFit="1" customWidth="1"/>
    <col min="2526" max="2526" width="16.5703125" style="1" bestFit="1" customWidth="1"/>
    <col min="2527" max="2527" width="11.42578125" style="1" bestFit="1" customWidth="1"/>
    <col min="2528" max="2529" width="14.140625" style="1" bestFit="1" customWidth="1"/>
    <col min="2530" max="2530" width="11.42578125" style="1" bestFit="1" customWidth="1"/>
    <col min="2531" max="2534" width="12.42578125" style="1" bestFit="1" customWidth="1"/>
    <col min="2535" max="2554" width="13" style="1" bestFit="1" customWidth="1"/>
    <col min="2555" max="2558" width="11" style="1" bestFit="1" customWidth="1"/>
    <col min="2559" max="2561" width="12.28515625" style="1" bestFit="1" customWidth="1"/>
    <col min="2562" max="2571" width="11" style="1" bestFit="1" customWidth="1"/>
    <col min="2572" max="2572" width="13.28515625" style="1" bestFit="1" customWidth="1"/>
    <col min="2573" max="2573" width="10" style="1" bestFit="1" customWidth="1"/>
    <col min="2574" max="2574" width="11" style="1" bestFit="1" customWidth="1"/>
    <col min="2575" max="2780" width="9" style="1"/>
    <col min="2781" max="2781" width="2.85546875" style="1" bestFit="1" customWidth="1"/>
    <col min="2782" max="2782" width="16.5703125" style="1" bestFit="1" customWidth="1"/>
    <col min="2783" max="2783" width="11.42578125" style="1" bestFit="1" customWidth="1"/>
    <col min="2784" max="2785" width="14.140625" style="1" bestFit="1" customWidth="1"/>
    <col min="2786" max="2786" width="11.42578125" style="1" bestFit="1" customWidth="1"/>
    <col min="2787" max="2790" width="12.42578125" style="1" bestFit="1" customWidth="1"/>
    <col min="2791" max="2810" width="13" style="1" bestFit="1" customWidth="1"/>
    <col min="2811" max="2814" width="11" style="1" bestFit="1" customWidth="1"/>
    <col min="2815" max="2817" width="12.28515625" style="1" bestFit="1" customWidth="1"/>
    <col min="2818" max="2827" width="11" style="1" bestFit="1" customWidth="1"/>
    <col min="2828" max="2828" width="13.28515625" style="1" bestFit="1" customWidth="1"/>
    <col min="2829" max="2829" width="10" style="1" bestFit="1" customWidth="1"/>
    <col min="2830" max="2830" width="11" style="1" bestFit="1" customWidth="1"/>
    <col min="2831" max="3036" width="9" style="1"/>
    <col min="3037" max="3037" width="2.85546875" style="1" bestFit="1" customWidth="1"/>
    <col min="3038" max="3038" width="16.5703125" style="1" bestFit="1" customWidth="1"/>
    <col min="3039" max="3039" width="11.42578125" style="1" bestFit="1" customWidth="1"/>
    <col min="3040" max="3041" width="14.140625" style="1" bestFit="1" customWidth="1"/>
    <col min="3042" max="3042" width="11.42578125" style="1" bestFit="1" customWidth="1"/>
    <col min="3043" max="3046" width="12.42578125" style="1" bestFit="1" customWidth="1"/>
    <col min="3047" max="3066" width="13" style="1" bestFit="1" customWidth="1"/>
    <col min="3067" max="3070" width="11" style="1" bestFit="1" customWidth="1"/>
    <col min="3071" max="3073" width="12.28515625" style="1" bestFit="1" customWidth="1"/>
    <col min="3074" max="3083" width="11" style="1" bestFit="1" customWidth="1"/>
    <col min="3084" max="3084" width="13.28515625" style="1" bestFit="1" customWidth="1"/>
    <col min="3085" max="3085" width="10" style="1" bestFit="1" customWidth="1"/>
    <col min="3086" max="3086" width="11" style="1" bestFit="1" customWidth="1"/>
    <col min="3087" max="3292" width="9" style="1"/>
    <col min="3293" max="3293" width="2.85546875" style="1" bestFit="1" customWidth="1"/>
    <col min="3294" max="3294" width="16.5703125" style="1" bestFit="1" customWidth="1"/>
    <col min="3295" max="3295" width="11.42578125" style="1" bestFit="1" customWidth="1"/>
    <col min="3296" max="3297" width="14.140625" style="1" bestFit="1" customWidth="1"/>
    <col min="3298" max="3298" width="11.42578125" style="1" bestFit="1" customWidth="1"/>
    <col min="3299" max="3302" width="12.42578125" style="1" bestFit="1" customWidth="1"/>
    <col min="3303" max="3322" width="13" style="1" bestFit="1" customWidth="1"/>
    <col min="3323" max="3326" width="11" style="1" bestFit="1" customWidth="1"/>
    <col min="3327" max="3329" width="12.28515625" style="1" bestFit="1" customWidth="1"/>
    <col min="3330" max="3339" width="11" style="1" bestFit="1" customWidth="1"/>
    <col min="3340" max="3340" width="13.28515625" style="1" bestFit="1" customWidth="1"/>
    <col min="3341" max="3341" width="10" style="1" bestFit="1" customWidth="1"/>
    <col min="3342" max="3342" width="11" style="1" bestFit="1" customWidth="1"/>
    <col min="3343" max="3548" width="9" style="1"/>
    <col min="3549" max="3549" width="2.85546875" style="1" bestFit="1" customWidth="1"/>
    <col min="3550" max="3550" width="16.5703125" style="1" bestFit="1" customWidth="1"/>
    <col min="3551" max="3551" width="11.42578125" style="1" bestFit="1" customWidth="1"/>
    <col min="3552" max="3553" width="14.140625" style="1" bestFit="1" customWidth="1"/>
    <col min="3554" max="3554" width="11.42578125" style="1" bestFit="1" customWidth="1"/>
    <col min="3555" max="3558" width="12.42578125" style="1" bestFit="1" customWidth="1"/>
    <col min="3559" max="3578" width="13" style="1" bestFit="1" customWidth="1"/>
    <col min="3579" max="3582" width="11" style="1" bestFit="1" customWidth="1"/>
    <col min="3583" max="3585" width="12.28515625" style="1" bestFit="1" customWidth="1"/>
    <col min="3586" max="3595" width="11" style="1" bestFit="1" customWidth="1"/>
    <col min="3596" max="3596" width="13.28515625" style="1" bestFit="1" customWidth="1"/>
    <col min="3597" max="3597" width="10" style="1" bestFit="1" customWidth="1"/>
    <col min="3598" max="3598" width="11" style="1" bestFit="1" customWidth="1"/>
    <col min="3599" max="3804" width="9" style="1"/>
    <col min="3805" max="3805" width="2.85546875" style="1" bestFit="1" customWidth="1"/>
    <col min="3806" max="3806" width="16.5703125" style="1" bestFit="1" customWidth="1"/>
    <col min="3807" max="3807" width="11.42578125" style="1" bestFit="1" customWidth="1"/>
    <col min="3808" max="3809" width="14.140625" style="1" bestFit="1" customWidth="1"/>
    <col min="3810" max="3810" width="11.42578125" style="1" bestFit="1" customWidth="1"/>
    <col min="3811" max="3814" width="12.42578125" style="1" bestFit="1" customWidth="1"/>
    <col min="3815" max="3834" width="13" style="1" bestFit="1" customWidth="1"/>
    <col min="3835" max="3838" width="11" style="1" bestFit="1" customWidth="1"/>
    <col min="3839" max="3841" width="12.28515625" style="1" bestFit="1" customWidth="1"/>
    <col min="3842" max="3851" width="11" style="1" bestFit="1" customWidth="1"/>
    <col min="3852" max="3852" width="13.28515625" style="1" bestFit="1" customWidth="1"/>
    <col min="3853" max="3853" width="10" style="1" bestFit="1" customWidth="1"/>
    <col min="3854" max="3854" width="11" style="1" bestFit="1" customWidth="1"/>
    <col min="3855" max="4060" width="9" style="1"/>
    <col min="4061" max="4061" width="2.85546875" style="1" bestFit="1" customWidth="1"/>
    <col min="4062" max="4062" width="16.5703125" style="1" bestFit="1" customWidth="1"/>
    <col min="4063" max="4063" width="11.42578125" style="1" bestFit="1" customWidth="1"/>
    <col min="4064" max="4065" width="14.140625" style="1" bestFit="1" customWidth="1"/>
    <col min="4066" max="4066" width="11.42578125" style="1" bestFit="1" customWidth="1"/>
    <col min="4067" max="4070" width="12.42578125" style="1" bestFit="1" customWidth="1"/>
    <col min="4071" max="4090" width="13" style="1" bestFit="1" customWidth="1"/>
    <col min="4091" max="4094" width="11" style="1" bestFit="1" customWidth="1"/>
    <col min="4095" max="4097" width="12.28515625" style="1" bestFit="1" customWidth="1"/>
    <col min="4098" max="4107" width="11" style="1" bestFit="1" customWidth="1"/>
    <col min="4108" max="4108" width="13.28515625" style="1" bestFit="1" customWidth="1"/>
    <col min="4109" max="4109" width="10" style="1" bestFit="1" customWidth="1"/>
    <col min="4110" max="4110" width="11" style="1" bestFit="1" customWidth="1"/>
    <col min="4111" max="4316" width="9" style="1"/>
    <col min="4317" max="4317" width="2.85546875" style="1" bestFit="1" customWidth="1"/>
    <col min="4318" max="4318" width="16.5703125" style="1" bestFit="1" customWidth="1"/>
    <col min="4319" max="4319" width="11.42578125" style="1" bestFit="1" customWidth="1"/>
    <col min="4320" max="4321" width="14.140625" style="1" bestFit="1" customWidth="1"/>
    <col min="4322" max="4322" width="11.42578125" style="1" bestFit="1" customWidth="1"/>
    <col min="4323" max="4326" width="12.42578125" style="1" bestFit="1" customWidth="1"/>
    <col min="4327" max="4346" width="13" style="1" bestFit="1" customWidth="1"/>
    <col min="4347" max="4350" width="11" style="1" bestFit="1" customWidth="1"/>
    <col min="4351" max="4353" width="12.28515625" style="1" bestFit="1" customWidth="1"/>
    <col min="4354" max="4363" width="11" style="1" bestFit="1" customWidth="1"/>
    <col min="4364" max="4364" width="13.28515625" style="1" bestFit="1" customWidth="1"/>
    <col min="4365" max="4365" width="10" style="1" bestFit="1" customWidth="1"/>
    <col min="4366" max="4366" width="11" style="1" bestFit="1" customWidth="1"/>
    <col min="4367" max="4572" width="9" style="1"/>
    <col min="4573" max="4573" width="2.85546875" style="1" bestFit="1" customWidth="1"/>
    <col min="4574" max="4574" width="16.5703125" style="1" bestFit="1" customWidth="1"/>
    <col min="4575" max="4575" width="11.42578125" style="1" bestFit="1" customWidth="1"/>
    <col min="4576" max="4577" width="14.140625" style="1" bestFit="1" customWidth="1"/>
    <col min="4578" max="4578" width="11.42578125" style="1" bestFit="1" customWidth="1"/>
    <col min="4579" max="4582" width="12.42578125" style="1" bestFit="1" customWidth="1"/>
    <col min="4583" max="4602" width="13" style="1" bestFit="1" customWidth="1"/>
    <col min="4603" max="4606" width="11" style="1" bestFit="1" customWidth="1"/>
    <col min="4607" max="4609" width="12.28515625" style="1" bestFit="1" customWidth="1"/>
    <col min="4610" max="4619" width="11" style="1" bestFit="1" customWidth="1"/>
    <col min="4620" max="4620" width="13.28515625" style="1" bestFit="1" customWidth="1"/>
    <col min="4621" max="4621" width="10" style="1" bestFit="1" customWidth="1"/>
    <col min="4622" max="4622" width="11" style="1" bestFit="1" customWidth="1"/>
    <col min="4623" max="4828" width="9" style="1"/>
    <col min="4829" max="4829" width="2.85546875" style="1" bestFit="1" customWidth="1"/>
    <col min="4830" max="4830" width="16.5703125" style="1" bestFit="1" customWidth="1"/>
    <col min="4831" max="4831" width="11.42578125" style="1" bestFit="1" customWidth="1"/>
    <col min="4832" max="4833" width="14.140625" style="1" bestFit="1" customWidth="1"/>
    <col min="4834" max="4834" width="11.42578125" style="1" bestFit="1" customWidth="1"/>
    <col min="4835" max="4838" width="12.42578125" style="1" bestFit="1" customWidth="1"/>
    <col min="4839" max="4858" width="13" style="1" bestFit="1" customWidth="1"/>
    <col min="4859" max="4862" width="11" style="1" bestFit="1" customWidth="1"/>
    <col min="4863" max="4865" width="12.28515625" style="1" bestFit="1" customWidth="1"/>
    <col min="4866" max="4875" width="11" style="1" bestFit="1" customWidth="1"/>
    <col min="4876" max="4876" width="13.28515625" style="1" bestFit="1" customWidth="1"/>
    <col min="4877" max="4877" width="10" style="1" bestFit="1" customWidth="1"/>
    <col min="4878" max="4878" width="11" style="1" bestFit="1" customWidth="1"/>
    <col min="4879" max="5084" width="9" style="1"/>
    <col min="5085" max="5085" width="2.85546875" style="1" bestFit="1" customWidth="1"/>
    <col min="5086" max="5086" width="16.5703125" style="1" bestFit="1" customWidth="1"/>
    <col min="5087" max="5087" width="11.42578125" style="1" bestFit="1" customWidth="1"/>
    <col min="5088" max="5089" width="14.140625" style="1" bestFit="1" customWidth="1"/>
    <col min="5090" max="5090" width="11.42578125" style="1" bestFit="1" customWidth="1"/>
    <col min="5091" max="5094" width="12.42578125" style="1" bestFit="1" customWidth="1"/>
    <col min="5095" max="5114" width="13" style="1" bestFit="1" customWidth="1"/>
    <col min="5115" max="5118" width="11" style="1" bestFit="1" customWidth="1"/>
    <col min="5119" max="5121" width="12.28515625" style="1" bestFit="1" customWidth="1"/>
    <col min="5122" max="5131" width="11" style="1" bestFit="1" customWidth="1"/>
    <col min="5132" max="5132" width="13.28515625" style="1" bestFit="1" customWidth="1"/>
    <col min="5133" max="5133" width="10" style="1" bestFit="1" customWidth="1"/>
    <col min="5134" max="5134" width="11" style="1" bestFit="1" customWidth="1"/>
    <col min="5135" max="5340" width="9" style="1"/>
    <col min="5341" max="5341" width="2.85546875" style="1" bestFit="1" customWidth="1"/>
    <col min="5342" max="5342" width="16.5703125" style="1" bestFit="1" customWidth="1"/>
    <col min="5343" max="5343" width="11.42578125" style="1" bestFit="1" customWidth="1"/>
    <col min="5344" max="5345" width="14.140625" style="1" bestFit="1" customWidth="1"/>
    <col min="5346" max="5346" width="11.42578125" style="1" bestFit="1" customWidth="1"/>
    <col min="5347" max="5350" width="12.42578125" style="1" bestFit="1" customWidth="1"/>
    <col min="5351" max="5370" width="13" style="1" bestFit="1" customWidth="1"/>
    <col min="5371" max="5374" width="11" style="1" bestFit="1" customWidth="1"/>
    <col min="5375" max="5377" width="12.28515625" style="1" bestFit="1" customWidth="1"/>
    <col min="5378" max="5387" width="11" style="1" bestFit="1" customWidth="1"/>
    <col min="5388" max="5388" width="13.28515625" style="1" bestFit="1" customWidth="1"/>
    <col min="5389" max="5389" width="10" style="1" bestFit="1" customWidth="1"/>
    <col min="5390" max="5390" width="11" style="1" bestFit="1" customWidth="1"/>
    <col min="5391" max="5596" width="9" style="1"/>
    <col min="5597" max="5597" width="2.85546875" style="1" bestFit="1" customWidth="1"/>
    <col min="5598" max="5598" width="16.5703125" style="1" bestFit="1" customWidth="1"/>
    <col min="5599" max="5599" width="11.42578125" style="1" bestFit="1" customWidth="1"/>
    <col min="5600" max="5601" width="14.140625" style="1" bestFit="1" customWidth="1"/>
    <col min="5602" max="5602" width="11.42578125" style="1" bestFit="1" customWidth="1"/>
    <col min="5603" max="5606" width="12.42578125" style="1" bestFit="1" customWidth="1"/>
    <col min="5607" max="5626" width="13" style="1" bestFit="1" customWidth="1"/>
    <col min="5627" max="5630" width="11" style="1" bestFit="1" customWidth="1"/>
    <col min="5631" max="5633" width="12.28515625" style="1" bestFit="1" customWidth="1"/>
    <col min="5634" max="5643" width="11" style="1" bestFit="1" customWidth="1"/>
    <col min="5644" max="5644" width="13.28515625" style="1" bestFit="1" customWidth="1"/>
    <col min="5645" max="5645" width="10" style="1" bestFit="1" customWidth="1"/>
    <col min="5646" max="5646" width="11" style="1" bestFit="1" customWidth="1"/>
    <col min="5647" max="5852" width="9" style="1"/>
    <col min="5853" max="5853" width="2.85546875" style="1" bestFit="1" customWidth="1"/>
    <col min="5854" max="5854" width="16.5703125" style="1" bestFit="1" customWidth="1"/>
    <col min="5855" max="5855" width="11.42578125" style="1" bestFit="1" customWidth="1"/>
    <col min="5856" max="5857" width="14.140625" style="1" bestFit="1" customWidth="1"/>
    <col min="5858" max="5858" width="11.42578125" style="1" bestFit="1" customWidth="1"/>
    <col min="5859" max="5862" width="12.42578125" style="1" bestFit="1" customWidth="1"/>
    <col min="5863" max="5882" width="13" style="1" bestFit="1" customWidth="1"/>
    <col min="5883" max="5886" width="11" style="1" bestFit="1" customWidth="1"/>
    <col min="5887" max="5889" width="12.28515625" style="1" bestFit="1" customWidth="1"/>
    <col min="5890" max="5899" width="11" style="1" bestFit="1" customWidth="1"/>
    <col min="5900" max="5900" width="13.28515625" style="1" bestFit="1" customWidth="1"/>
    <col min="5901" max="5901" width="10" style="1" bestFit="1" customWidth="1"/>
    <col min="5902" max="5902" width="11" style="1" bestFit="1" customWidth="1"/>
    <col min="5903" max="6108" width="9" style="1"/>
    <col min="6109" max="6109" width="2.85546875" style="1" bestFit="1" customWidth="1"/>
    <col min="6110" max="6110" width="16.5703125" style="1" bestFit="1" customWidth="1"/>
    <col min="6111" max="6111" width="11.42578125" style="1" bestFit="1" customWidth="1"/>
    <col min="6112" max="6113" width="14.140625" style="1" bestFit="1" customWidth="1"/>
    <col min="6114" max="6114" width="11.42578125" style="1" bestFit="1" customWidth="1"/>
    <col min="6115" max="6118" width="12.42578125" style="1" bestFit="1" customWidth="1"/>
    <col min="6119" max="6138" width="13" style="1" bestFit="1" customWidth="1"/>
    <col min="6139" max="6142" width="11" style="1" bestFit="1" customWidth="1"/>
    <col min="6143" max="6145" width="12.28515625" style="1" bestFit="1" customWidth="1"/>
    <col min="6146" max="6155" width="11" style="1" bestFit="1" customWidth="1"/>
    <col min="6156" max="6156" width="13.28515625" style="1" bestFit="1" customWidth="1"/>
    <col min="6157" max="6157" width="10" style="1" bestFit="1" customWidth="1"/>
    <col min="6158" max="6158" width="11" style="1" bestFit="1" customWidth="1"/>
    <col min="6159" max="6364" width="9" style="1"/>
    <col min="6365" max="6365" width="2.85546875" style="1" bestFit="1" customWidth="1"/>
    <col min="6366" max="6366" width="16.5703125" style="1" bestFit="1" customWidth="1"/>
    <col min="6367" max="6367" width="11.42578125" style="1" bestFit="1" customWidth="1"/>
    <col min="6368" max="6369" width="14.140625" style="1" bestFit="1" customWidth="1"/>
    <col min="6370" max="6370" width="11.42578125" style="1" bestFit="1" customWidth="1"/>
    <col min="6371" max="6374" width="12.42578125" style="1" bestFit="1" customWidth="1"/>
    <col min="6375" max="6394" width="13" style="1" bestFit="1" customWidth="1"/>
    <col min="6395" max="6398" width="11" style="1" bestFit="1" customWidth="1"/>
    <col min="6399" max="6401" width="12.28515625" style="1" bestFit="1" customWidth="1"/>
    <col min="6402" max="6411" width="11" style="1" bestFit="1" customWidth="1"/>
    <col min="6412" max="6412" width="13.28515625" style="1" bestFit="1" customWidth="1"/>
    <col min="6413" max="6413" width="10" style="1" bestFit="1" customWidth="1"/>
    <col min="6414" max="6414" width="11" style="1" bestFit="1" customWidth="1"/>
    <col min="6415" max="6620" width="9" style="1"/>
    <col min="6621" max="6621" width="2.85546875" style="1" bestFit="1" customWidth="1"/>
    <col min="6622" max="6622" width="16.5703125" style="1" bestFit="1" customWidth="1"/>
    <col min="6623" max="6623" width="11.42578125" style="1" bestFit="1" customWidth="1"/>
    <col min="6624" max="6625" width="14.140625" style="1" bestFit="1" customWidth="1"/>
    <col min="6626" max="6626" width="11.42578125" style="1" bestFit="1" customWidth="1"/>
    <col min="6627" max="6630" width="12.42578125" style="1" bestFit="1" customWidth="1"/>
    <col min="6631" max="6650" width="13" style="1" bestFit="1" customWidth="1"/>
    <col min="6651" max="6654" width="11" style="1" bestFit="1" customWidth="1"/>
    <col min="6655" max="6657" width="12.28515625" style="1" bestFit="1" customWidth="1"/>
    <col min="6658" max="6667" width="11" style="1" bestFit="1" customWidth="1"/>
    <col min="6668" max="6668" width="13.28515625" style="1" bestFit="1" customWidth="1"/>
    <col min="6669" max="6669" width="10" style="1" bestFit="1" customWidth="1"/>
    <col min="6670" max="6670" width="11" style="1" bestFit="1" customWidth="1"/>
    <col min="6671" max="6876" width="9" style="1"/>
    <col min="6877" max="6877" width="2.85546875" style="1" bestFit="1" customWidth="1"/>
    <col min="6878" max="6878" width="16.5703125" style="1" bestFit="1" customWidth="1"/>
    <col min="6879" max="6879" width="11.42578125" style="1" bestFit="1" customWidth="1"/>
    <col min="6880" max="6881" width="14.140625" style="1" bestFit="1" customWidth="1"/>
    <col min="6882" max="6882" width="11.42578125" style="1" bestFit="1" customWidth="1"/>
    <col min="6883" max="6886" width="12.42578125" style="1" bestFit="1" customWidth="1"/>
    <col min="6887" max="6906" width="13" style="1" bestFit="1" customWidth="1"/>
    <col min="6907" max="6910" width="11" style="1" bestFit="1" customWidth="1"/>
    <col min="6911" max="6913" width="12.28515625" style="1" bestFit="1" customWidth="1"/>
    <col min="6914" max="6923" width="11" style="1" bestFit="1" customWidth="1"/>
    <col min="6924" max="6924" width="13.28515625" style="1" bestFit="1" customWidth="1"/>
    <col min="6925" max="6925" width="10" style="1" bestFit="1" customWidth="1"/>
    <col min="6926" max="6926" width="11" style="1" bestFit="1" customWidth="1"/>
    <col min="6927" max="7132" width="9" style="1"/>
    <col min="7133" max="7133" width="2.85546875" style="1" bestFit="1" customWidth="1"/>
    <col min="7134" max="7134" width="16.5703125" style="1" bestFit="1" customWidth="1"/>
    <col min="7135" max="7135" width="11.42578125" style="1" bestFit="1" customWidth="1"/>
    <col min="7136" max="7137" width="14.140625" style="1" bestFit="1" customWidth="1"/>
    <col min="7138" max="7138" width="11.42578125" style="1" bestFit="1" customWidth="1"/>
    <col min="7139" max="7142" width="12.42578125" style="1" bestFit="1" customWidth="1"/>
    <col min="7143" max="7162" width="13" style="1" bestFit="1" customWidth="1"/>
    <col min="7163" max="7166" width="11" style="1" bestFit="1" customWidth="1"/>
    <col min="7167" max="7169" width="12.28515625" style="1" bestFit="1" customWidth="1"/>
    <col min="7170" max="7179" width="11" style="1" bestFit="1" customWidth="1"/>
    <col min="7180" max="7180" width="13.28515625" style="1" bestFit="1" customWidth="1"/>
    <col min="7181" max="7181" width="10" style="1" bestFit="1" customWidth="1"/>
    <col min="7182" max="7182" width="11" style="1" bestFit="1" customWidth="1"/>
    <col min="7183" max="7388" width="9" style="1"/>
    <col min="7389" max="7389" width="2.85546875" style="1" bestFit="1" customWidth="1"/>
    <col min="7390" max="7390" width="16.5703125" style="1" bestFit="1" customWidth="1"/>
    <col min="7391" max="7391" width="11.42578125" style="1" bestFit="1" customWidth="1"/>
    <col min="7392" max="7393" width="14.140625" style="1" bestFit="1" customWidth="1"/>
    <col min="7394" max="7394" width="11.42578125" style="1" bestFit="1" customWidth="1"/>
    <col min="7395" max="7398" width="12.42578125" style="1" bestFit="1" customWidth="1"/>
    <col min="7399" max="7418" width="13" style="1" bestFit="1" customWidth="1"/>
    <col min="7419" max="7422" width="11" style="1" bestFit="1" customWidth="1"/>
    <col min="7423" max="7425" width="12.28515625" style="1" bestFit="1" customWidth="1"/>
    <col min="7426" max="7435" width="11" style="1" bestFit="1" customWidth="1"/>
    <col min="7436" max="7436" width="13.28515625" style="1" bestFit="1" customWidth="1"/>
    <col min="7437" max="7437" width="10" style="1" bestFit="1" customWidth="1"/>
    <col min="7438" max="7438" width="11" style="1" bestFit="1" customWidth="1"/>
    <col min="7439" max="7644" width="9" style="1"/>
    <col min="7645" max="7645" width="2.85546875" style="1" bestFit="1" customWidth="1"/>
    <col min="7646" max="7646" width="16.5703125" style="1" bestFit="1" customWidth="1"/>
    <col min="7647" max="7647" width="11.42578125" style="1" bestFit="1" customWidth="1"/>
    <col min="7648" max="7649" width="14.140625" style="1" bestFit="1" customWidth="1"/>
    <col min="7650" max="7650" width="11.42578125" style="1" bestFit="1" customWidth="1"/>
    <col min="7651" max="7654" width="12.42578125" style="1" bestFit="1" customWidth="1"/>
    <col min="7655" max="7674" width="13" style="1" bestFit="1" customWidth="1"/>
    <col min="7675" max="7678" width="11" style="1" bestFit="1" customWidth="1"/>
    <col min="7679" max="7681" width="12.28515625" style="1" bestFit="1" customWidth="1"/>
    <col min="7682" max="7691" width="11" style="1" bestFit="1" customWidth="1"/>
    <col min="7692" max="7692" width="13.28515625" style="1" bestFit="1" customWidth="1"/>
    <col min="7693" max="7693" width="10" style="1" bestFit="1" customWidth="1"/>
    <col min="7694" max="7694" width="11" style="1" bestFit="1" customWidth="1"/>
    <col min="7695" max="7900" width="9" style="1"/>
    <col min="7901" max="7901" width="2.85546875" style="1" bestFit="1" customWidth="1"/>
    <col min="7902" max="7902" width="16.5703125" style="1" bestFit="1" customWidth="1"/>
    <col min="7903" max="7903" width="11.42578125" style="1" bestFit="1" customWidth="1"/>
    <col min="7904" max="7905" width="14.140625" style="1" bestFit="1" customWidth="1"/>
    <col min="7906" max="7906" width="11.42578125" style="1" bestFit="1" customWidth="1"/>
    <col min="7907" max="7910" width="12.42578125" style="1" bestFit="1" customWidth="1"/>
    <col min="7911" max="7930" width="13" style="1" bestFit="1" customWidth="1"/>
    <col min="7931" max="7934" width="11" style="1" bestFit="1" customWidth="1"/>
    <col min="7935" max="7937" width="12.28515625" style="1" bestFit="1" customWidth="1"/>
    <col min="7938" max="7947" width="11" style="1" bestFit="1" customWidth="1"/>
    <col min="7948" max="7948" width="13.28515625" style="1" bestFit="1" customWidth="1"/>
    <col min="7949" max="7949" width="10" style="1" bestFit="1" customWidth="1"/>
    <col min="7950" max="7950" width="11" style="1" bestFit="1" customWidth="1"/>
    <col min="7951" max="8156" width="9" style="1"/>
    <col min="8157" max="8157" width="2.85546875" style="1" bestFit="1" customWidth="1"/>
    <col min="8158" max="8158" width="16.5703125" style="1" bestFit="1" customWidth="1"/>
    <col min="8159" max="8159" width="11.42578125" style="1" bestFit="1" customWidth="1"/>
    <col min="8160" max="8161" width="14.140625" style="1" bestFit="1" customWidth="1"/>
    <col min="8162" max="8162" width="11.42578125" style="1" bestFit="1" customWidth="1"/>
    <col min="8163" max="8166" width="12.42578125" style="1" bestFit="1" customWidth="1"/>
    <col min="8167" max="8186" width="13" style="1" bestFit="1" customWidth="1"/>
    <col min="8187" max="8190" width="11" style="1" bestFit="1" customWidth="1"/>
    <col min="8191" max="8193" width="12.28515625" style="1" bestFit="1" customWidth="1"/>
    <col min="8194" max="8203" width="11" style="1" bestFit="1" customWidth="1"/>
    <col min="8204" max="8204" width="13.28515625" style="1" bestFit="1" customWidth="1"/>
    <col min="8205" max="8205" width="10" style="1" bestFit="1" customWidth="1"/>
    <col min="8206" max="8206" width="11" style="1" bestFit="1" customWidth="1"/>
    <col min="8207" max="8412" width="9" style="1"/>
    <col min="8413" max="8413" width="2.85546875" style="1" bestFit="1" customWidth="1"/>
    <col min="8414" max="8414" width="16.5703125" style="1" bestFit="1" customWidth="1"/>
    <col min="8415" max="8415" width="11.42578125" style="1" bestFit="1" customWidth="1"/>
    <col min="8416" max="8417" width="14.140625" style="1" bestFit="1" customWidth="1"/>
    <col min="8418" max="8418" width="11.42578125" style="1" bestFit="1" customWidth="1"/>
    <col min="8419" max="8422" width="12.42578125" style="1" bestFit="1" customWidth="1"/>
    <col min="8423" max="8442" width="13" style="1" bestFit="1" customWidth="1"/>
    <col min="8443" max="8446" width="11" style="1" bestFit="1" customWidth="1"/>
    <col min="8447" max="8449" width="12.28515625" style="1" bestFit="1" customWidth="1"/>
    <col min="8450" max="8459" width="11" style="1" bestFit="1" customWidth="1"/>
    <col min="8460" max="8460" width="13.28515625" style="1" bestFit="1" customWidth="1"/>
    <col min="8461" max="8461" width="10" style="1" bestFit="1" customWidth="1"/>
    <col min="8462" max="8462" width="11" style="1" bestFit="1" customWidth="1"/>
    <col min="8463" max="8668" width="9" style="1"/>
    <col min="8669" max="8669" width="2.85546875" style="1" bestFit="1" customWidth="1"/>
    <col min="8670" max="8670" width="16.5703125" style="1" bestFit="1" customWidth="1"/>
    <col min="8671" max="8671" width="11.42578125" style="1" bestFit="1" customWidth="1"/>
    <col min="8672" max="8673" width="14.140625" style="1" bestFit="1" customWidth="1"/>
    <col min="8674" max="8674" width="11.42578125" style="1" bestFit="1" customWidth="1"/>
    <col min="8675" max="8678" width="12.42578125" style="1" bestFit="1" customWidth="1"/>
    <col min="8679" max="8698" width="13" style="1" bestFit="1" customWidth="1"/>
    <col min="8699" max="8702" width="11" style="1" bestFit="1" customWidth="1"/>
    <col min="8703" max="8705" width="12.28515625" style="1" bestFit="1" customWidth="1"/>
    <col min="8706" max="8715" width="11" style="1" bestFit="1" customWidth="1"/>
    <col min="8716" max="8716" width="13.28515625" style="1" bestFit="1" customWidth="1"/>
    <col min="8717" max="8717" width="10" style="1" bestFit="1" customWidth="1"/>
    <col min="8718" max="8718" width="11" style="1" bestFit="1" customWidth="1"/>
    <col min="8719" max="8924" width="9" style="1"/>
    <col min="8925" max="8925" width="2.85546875" style="1" bestFit="1" customWidth="1"/>
    <col min="8926" max="8926" width="16.5703125" style="1" bestFit="1" customWidth="1"/>
    <col min="8927" max="8927" width="11.42578125" style="1" bestFit="1" customWidth="1"/>
    <col min="8928" max="8929" width="14.140625" style="1" bestFit="1" customWidth="1"/>
    <col min="8930" max="8930" width="11.42578125" style="1" bestFit="1" customWidth="1"/>
    <col min="8931" max="8934" width="12.42578125" style="1" bestFit="1" customWidth="1"/>
    <col min="8935" max="8954" width="13" style="1" bestFit="1" customWidth="1"/>
    <col min="8955" max="8958" width="11" style="1" bestFit="1" customWidth="1"/>
    <col min="8959" max="8961" width="12.28515625" style="1" bestFit="1" customWidth="1"/>
    <col min="8962" max="8971" width="11" style="1" bestFit="1" customWidth="1"/>
    <col min="8972" max="8972" width="13.28515625" style="1" bestFit="1" customWidth="1"/>
    <col min="8973" max="8973" width="10" style="1" bestFit="1" customWidth="1"/>
    <col min="8974" max="8974" width="11" style="1" bestFit="1" customWidth="1"/>
    <col min="8975" max="9180" width="9" style="1"/>
    <col min="9181" max="9181" width="2.85546875" style="1" bestFit="1" customWidth="1"/>
    <col min="9182" max="9182" width="16.5703125" style="1" bestFit="1" customWidth="1"/>
    <col min="9183" max="9183" width="11.42578125" style="1" bestFit="1" customWidth="1"/>
    <col min="9184" max="9185" width="14.140625" style="1" bestFit="1" customWidth="1"/>
    <col min="9186" max="9186" width="11.42578125" style="1" bestFit="1" customWidth="1"/>
    <col min="9187" max="9190" width="12.42578125" style="1" bestFit="1" customWidth="1"/>
    <col min="9191" max="9210" width="13" style="1" bestFit="1" customWidth="1"/>
    <col min="9211" max="9214" width="11" style="1" bestFit="1" customWidth="1"/>
    <col min="9215" max="9217" width="12.28515625" style="1" bestFit="1" customWidth="1"/>
    <col min="9218" max="9227" width="11" style="1" bestFit="1" customWidth="1"/>
    <col min="9228" max="9228" width="13.28515625" style="1" bestFit="1" customWidth="1"/>
    <col min="9229" max="9229" width="10" style="1" bestFit="1" customWidth="1"/>
    <col min="9230" max="9230" width="11" style="1" bestFit="1" customWidth="1"/>
    <col min="9231" max="9436" width="9" style="1"/>
    <col min="9437" max="9437" width="2.85546875" style="1" bestFit="1" customWidth="1"/>
    <col min="9438" max="9438" width="16.5703125" style="1" bestFit="1" customWidth="1"/>
    <col min="9439" max="9439" width="11.42578125" style="1" bestFit="1" customWidth="1"/>
    <col min="9440" max="9441" width="14.140625" style="1" bestFit="1" customWidth="1"/>
    <col min="9442" max="9442" width="11.42578125" style="1" bestFit="1" customWidth="1"/>
    <col min="9443" max="9446" width="12.42578125" style="1" bestFit="1" customWidth="1"/>
    <col min="9447" max="9466" width="13" style="1" bestFit="1" customWidth="1"/>
    <col min="9467" max="9470" width="11" style="1" bestFit="1" customWidth="1"/>
    <col min="9471" max="9473" width="12.28515625" style="1" bestFit="1" customWidth="1"/>
    <col min="9474" max="9483" width="11" style="1" bestFit="1" customWidth="1"/>
    <col min="9484" max="9484" width="13.28515625" style="1" bestFit="1" customWidth="1"/>
    <col min="9485" max="9485" width="10" style="1" bestFit="1" customWidth="1"/>
    <col min="9486" max="9486" width="11" style="1" bestFit="1" customWidth="1"/>
    <col min="9487" max="9692" width="9" style="1"/>
    <col min="9693" max="9693" width="2.85546875" style="1" bestFit="1" customWidth="1"/>
    <col min="9694" max="9694" width="16.5703125" style="1" bestFit="1" customWidth="1"/>
    <col min="9695" max="9695" width="11.42578125" style="1" bestFit="1" customWidth="1"/>
    <col min="9696" max="9697" width="14.140625" style="1" bestFit="1" customWidth="1"/>
    <col min="9698" max="9698" width="11.42578125" style="1" bestFit="1" customWidth="1"/>
    <col min="9699" max="9702" width="12.42578125" style="1" bestFit="1" customWidth="1"/>
    <col min="9703" max="9722" width="13" style="1" bestFit="1" customWidth="1"/>
    <col min="9723" max="9726" width="11" style="1" bestFit="1" customWidth="1"/>
    <col min="9727" max="9729" width="12.28515625" style="1" bestFit="1" customWidth="1"/>
    <col min="9730" max="9739" width="11" style="1" bestFit="1" customWidth="1"/>
    <col min="9740" max="9740" width="13.28515625" style="1" bestFit="1" customWidth="1"/>
    <col min="9741" max="9741" width="10" style="1" bestFit="1" customWidth="1"/>
    <col min="9742" max="9742" width="11" style="1" bestFit="1" customWidth="1"/>
    <col min="9743" max="9948" width="9" style="1"/>
    <col min="9949" max="9949" width="2.85546875" style="1" bestFit="1" customWidth="1"/>
    <col min="9950" max="9950" width="16.5703125" style="1" bestFit="1" customWidth="1"/>
    <col min="9951" max="9951" width="11.42578125" style="1" bestFit="1" customWidth="1"/>
    <col min="9952" max="9953" width="14.140625" style="1" bestFit="1" customWidth="1"/>
    <col min="9954" max="9954" width="11.42578125" style="1" bestFit="1" customWidth="1"/>
    <col min="9955" max="9958" width="12.42578125" style="1" bestFit="1" customWidth="1"/>
    <col min="9959" max="9978" width="13" style="1" bestFit="1" customWidth="1"/>
    <col min="9979" max="9982" width="11" style="1" bestFit="1" customWidth="1"/>
    <col min="9983" max="9985" width="12.28515625" style="1" bestFit="1" customWidth="1"/>
    <col min="9986" max="9995" width="11" style="1" bestFit="1" customWidth="1"/>
    <col min="9996" max="9996" width="13.28515625" style="1" bestFit="1" customWidth="1"/>
    <col min="9997" max="9997" width="10" style="1" bestFit="1" customWidth="1"/>
    <col min="9998" max="9998" width="11" style="1" bestFit="1" customWidth="1"/>
    <col min="9999" max="10204" width="9" style="1"/>
    <col min="10205" max="10205" width="2.85546875" style="1" bestFit="1" customWidth="1"/>
    <col min="10206" max="10206" width="16.5703125" style="1" bestFit="1" customWidth="1"/>
    <col min="10207" max="10207" width="11.42578125" style="1" bestFit="1" customWidth="1"/>
    <col min="10208" max="10209" width="14.140625" style="1" bestFit="1" customWidth="1"/>
    <col min="10210" max="10210" width="11.42578125" style="1" bestFit="1" customWidth="1"/>
    <col min="10211" max="10214" width="12.42578125" style="1" bestFit="1" customWidth="1"/>
    <col min="10215" max="10234" width="13" style="1" bestFit="1" customWidth="1"/>
    <col min="10235" max="10238" width="11" style="1" bestFit="1" customWidth="1"/>
    <col min="10239" max="10241" width="12.28515625" style="1" bestFit="1" customWidth="1"/>
    <col min="10242" max="10251" width="11" style="1" bestFit="1" customWidth="1"/>
    <col min="10252" max="10252" width="13.28515625" style="1" bestFit="1" customWidth="1"/>
    <col min="10253" max="10253" width="10" style="1" bestFit="1" customWidth="1"/>
    <col min="10254" max="10254" width="11" style="1" bestFit="1" customWidth="1"/>
    <col min="10255" max="10460" width="9" style="1"/>
    <col min="10461" max="10461" width="2.85546875" style="1" bestFit="1" customWidth="1"/>
    <col min="10462" max="10462" width="16.5703125" style="1" bestFit="1" customWidth="1"/>
    <col min="10463" max="10463" width="11.42578125" style="1" bestFit="1" customWidth="1"/>
    <col min="10464" max="10465" width="14.140625" style="1" bestFit="1" customWidth="1"/>
    <col min="10466" max="10466" width="11.42578125" style="1" bestFit="1" customWidth="1"/>
    <col min="10467" max="10470" width="12.42578125" style="1" bestFit="1" customWidth="1"/>
    <col min="10471" max="10490" width="13" style="1" bestFit="1" customWidth="1"/>
    <col min="10491" max="10494" width="11" style="1" bestFit="1" customWidth="1"/>
    <col min="10495" max="10497" width="12.28515625" style="1" bestFit="1" customWidth="1"/>
    <col min="10498" max="10507" width="11" style="1" bestFit="1" customWidth="1"/>
    <col min="10508" max="10508" width="13.28515625" style="1" bestFit="1" customWidth="1"/>
    <col min="10509" max="10509" width="10" style="1" bestFit="1" customWidth="1"/>
    <col min="10510" max="10510" width="11" style="1" bestFit="1" customWidth="1"/>
    <col min="10511" max="10716" width="9" style="1"/>
    <col min="10717" max="10717" width="2.85546875" style="1" bestFit="1" customWidth="1"/>
    <col min="10718" max="10718" width="16.5703125" style="1" bestFit="1" customWidth="1"/>
    <col min="10719" max="10719" width="11.42578125" style="1" bestFit="1" customWidth="1"/>
    <col min="10720" max="10721" width="14.140625" style="1" bestFit="1" customWidth="1"/>
    <col min="10722" max="10722" width="11.42578125" style="1" bestFit="1" customWidth="1"/>
    <col min="10723" max="10726" width="12.42578125" style="1" bestFit="1" customWidth="1"/>
    <col min="10727" max="10746" width="13" style="1" bestFit="1" customWidth="1"/>
    <col min="10747" max="10750" width="11" style="1" bestFit="1" customWidth="1"/>
    <col min="10751" max="10753" width="12.28515625" style="1" bestFit="1" customWidth="1"/>
    <col min="10754" max="10763" width="11" style="1" bestFit="1" customWidth="1"/>
    <col min="10764" max="10764" width="13.28515625" style="1" bestFit="1" customWidth="1"/>
    <col min="10765" max="10765" width="10" style="1" bestFit="1" customWidth="1"/>
    <col min="10766" max="10766" width="11" style="1" bestFit="1" customWidth="1"/>
    <col min="10767" max="10972" width="9" style="1"/>
    <col min="10973" max="10973" width="2.85546875" style="1" bestFit="1" customWidth="1"/>
    <col min="10974" max="10974" width="16.5703125" style="1" bestFit="1" customWidth="1"/>
    <col min="10975" max="10975" width="11.42578125" style="1" bestFit="1" customWidth="1"/>
    <col min="10976" max="10977" width="14.140625" style="1" bestFit="1" customWidth="1"/>
    <col min="10978" max="10978" width="11.42578125" style="1" bestFit="1" customWidth="1"/>
    <col min="10979" max="10982" width="12.42578125" style="1" bestFit="1" customWidth="1"/>
    <col min="10983" max="11002" width="13" style="1" bestFit="1" customWidth="1"/>
    <col min="11003" max="11006" width="11" style="1" bestFit="1" customWidth="1"/>
    <col min="11007" max="11009" width="12.28515625" style="1" bestFit="1" customWidth="1"/>
    <col min="11010" max="11019" width="11" style="1" bestFit="1" customWidth="1"/>
    <col min="11020" max="11020" width="13.28515625" style="1" bestFit="1" customWidth="1"/>
    <col min="11021" max="11021" width="10" style="1" bestFit="1" customWidth="1"/>
    <col min="11022" max="11022" width="11" style="1" bestFit="1" customWidth="1"/>
    <col min="11023" max="11228" width="9" style="1"/>
    <col min="11229" max="11229" width="2.85546875" style="1" bestFit="1" customWidth="1"/>
    <col min="11230" max="11230" width="16.5703125" style="1" bestFit="1" customWidth="1"/>
    <col min="11231" max="11231" width="11.42578125" style="1" bestFit="1" customWidth="1"/>
    <col min="11232" max="11233" width="14.140625" style="1" bestFit="1" customWidth="1"/>
    <col min="11234" max="11234" width="11.42578125" style="1" bestFit="1" customWidth="1"/>
    <col min="11235" max="11238" width="12.42578125" style="1" bestFit="1" customWidth="1"/>
    <col min="11239" max="11258" width="13" style="1" bestFit="1" customWidth="1"/>
    <col min="11259" max="11262" width="11" style="1" bestFit="1" customWidth="1"/>
    <col min="11263" max="11265" width="12.28515625" style="1" bestFit="1" customWidth="1"/>
    <col min="11266" max="11275" width="11" style="1" bestFit="1" customWidth="1"/>
    <col min="11276" max="11276" width="13.28515625" style="1" bestFit="1" customWidth="1"/>
    <col min="11277" max="11277" width="10" style="1" bestFit="1" customWidth="1"/>
    <col min="11278" max="11278" width="11" style="1" bestFit="1" customWidth="1"/>
    <col min="11279" max="11484" width="9" style="1"/>
    <col min="11485" max="11485" width="2.85546875" style="1" bestFit="1" customWidth="1"/>
    <col min="11486" max="11486" width="16.5703125" style="1" bestFit="1" customWidth="1"/>
    <col min="11487" max="11487" width="11.42578125" style="1" bestFit="1" customWidth="1"/>
    <col min="11488" max="11489" width="14.140625" style="1" bestFit="1" customWidth="1"/>
    <col min="11490" max="11490" width="11.42578125" style="1" bestFit="1" customWidth="1"/>
    <col min="11491" max="11494" width="12.42578125" style="1" bestFit="1" customWidth="1"/>
    <col min="11495" max="11514" width="13" style="1" bestFit="1" customWidth="1"/>
    <col min="11515" max="11518" width="11" style="1" bestFit="1" customWidth="1"/>
    <col min="11519" max="11521" width="12.28515625" style="1" bestFit="1" customWidth="1"/>
    <col min="11522" max="11531" width="11" style="1" bestFit="1" customWidth="1"/>
    <col min="11532" max="11532" width="13.28515625" style="1" bestFit="1" customWidth="1"/>
    <col min="11533" max="11533" width="10" style="1" bestFit="1" customWidth="1"/>
    <col min="11534" max="11534" width="11" style="1" bestFit="1" customWidth="1"/>
    <col min="11535" max="11740" width="9" style="1"/>
    <col min="11741" max="11741" width="2.85546875" style="1" bestFit="1" customWidth="1"/>
    <col min="11742" max="11742" width="16.5703125" style="1" bestFit="1" customWidth="1"/>
    <col min="11743" max="11743" width="11.42578125" style="1" bestFit="1" customWidth="1"/>
    <col min="11744" max="11745" width="14.140625" style="1" bestFit="1" customWidth="1"/>
    <col min="11746" max="11746" width="11.42578125" style="1" bestFit="1" customWidth="1"/>
    <col min="11747" max="11750" width="12.42578125" style="1" bestFit="1" customWidth="1"/>
    <col min="11751" max="11770" width="13" style="1" bestFit="1" customWidth="1"/>
    <col min="11771" max="11774" width="11" style="1" bestFit="1" customWidth="1"/>
    <col min="11775" max="11777" width="12.28515625" style="1" bestFit="1" customWidth="1"/>
    <col min="11778" max="11787" width="11" style="1" bestFit="1" customWidth="1"/>
    <col min="11788" max="11788" width="13.28515625" style="1" bestFit="1" customWidth="1"/>
    <col min="11789" max="11789" width="10" style="1" bestFit="1" customWidth="1"/>
    <col min="11790" max="11790" width="11" style="1" bestFit="1" customWidth="1"/>
    <col min="11791" max="11996" width="9" style="1"/>
    <col min="11997" max="11997" width="2.85546875" style="1" bestFit="1" customWidth="1"/>
    <col min="11998" max="11998" width="16.5703125" style="1" bestFit="1" customWidth="1"/>
    <col min="11999" max="11999" width="11.42578125" style="1" bestFit="1" customWidth="1"/>
    <col min="12000" max="12001" width="14.140625" style="1" bestFit="1" customWidth="1"/>
    <col min="12002" max="12002" width="11.42578125" style="1" bestFit="1" customWidth="1"/>
    <col min="12003" max="12006" width="12.42578125" style="1" bestFit="1" customWidth="1"/>
    <col min="12007" max="12026" width="13" style="1" bestFit="1" customWidth="1"/>
    <col min="12027" max="12030" width="11" style="1" bestFit="1" customWidth="1"/>
    <col min="12031" max="12033" width="12.28515625" style="1" bestFit="1" customWidth="1"/>
    <col min="12034" max="12043" width="11" style="1" bestFit="1" customWidth="1"/>
    <col min="12044" max="12044" width="13.28515625" style="1" bestFit="1" customWidth="1"/>
    <col min="12045" max="12045" width="10" style="1" bestFit="1" customWidth="1"/>
    <col min="12046" max="12046" width="11" style="1" bestFit="1" customWidth="1"/>
    <col min="12047" max="12252" width="9" style="1"/>
    <col min="12253" max="12253" width="2.85546875" style="1" bestFit="1" customWidth="1"/>
    <col min="12254" max="12254" width="16.5703125" style="1" bestFit="1" customWidth="1"/>
    <col min="12255" max="12255" width="11.42578125" style="1" bestFit="1" customWidth="1"/>
    <col min="12256" max="12257" width="14.140625" style="1" bestFit="1" customWidth="1"/>
    <col min="12258" max="12258" width="11.42578125" style="1" bestFit="1" customWidth="1"/>
    <col min="12259" max="12262" width="12.42578125" style="1" bestFit="1" customWidth="1"/>
    <col min="12263" max="12282" width="13" style="1" bestFit="1" customWidth="1"/>
    <col min="12283" max="12286" width="11" style="1" bestFit="1" customWidth="1"/>
    <col min="12287" max="12289" width="12.28515625" style="1" bestFit="1" customWidth="1"/>
    <col min="12290" max="12299" width="11" style="1" bestFit="1" customWidth="1"/>
    <col min="12300" max="12300" width="13.28515625" style="1" bestFit="1" customWidth="1"/>
    <col min="12301" max="12301" width="10" style="1" bestFit="1" customWidth="1"/>
    <col min="12302" max="12302" width="11" style="1" bestFit="1" customWidth="1"/>
    <col min="12303" max="12508" width="9" style="1"/>
    <col min="12509" max="12509" width="2.85546875" style="1" bestFit="1" customWidth="1"/>
    <col min="12510" max="12510" width="16.5703125" style="1" bestFit="1" customWidth="1"/>
    <col min="12511" max="12511" width="11.42578125" style="1" bestFit="1" customWidth="1"/>
    <col min="12512" max="12513" width="14.140625" style="1" bestFit="1" customWidth="1"/>
    <col min="12514" max="12514" width="11.42578125" style="1" bestFit="1" customWidth="1"/>
    <col min="12515" max="12518" width="12.42578125" style="1" bestFit="1" customWidth="1"/>
    <col min="12519" max="12538" width="13" style="1" bestFit="1" customWidth="1"/>
    <col min="12539" max="12542" width="11" style="1" bestFit="1" customWidth="1"/>
    <col min="12543" max="12545" width="12.28515625" style="1" bestFit="1" customWidth="1"/>
    <col min="12546" max="12555" width="11" style="1" bestFit="1" customWidth="1"/>
    <col min="12556" max="12556" width="13.28515625" style="1" bestFit="1" customWidth="1"/>
    <col min="12557" max="12557" width="10" style="1" bestFit="1" customWidth="1"/>
    <col min="12558" max="12558" width="11" style="1" bestFit="1" customWidth="1"/>
    <col min="12559" max="12764" width="9" style="1"/>
    <col min="12765" max="12765" width="2.85546875" style="1" bestFit="1" customWidth="1"/>
    <col min="12766" max="12766" width="16.5703125" style="1" bestFit="1" customWidth="1"/>
    <col min="12767" max="12767" width="11.42578125" style="1" bestFit="1" customWidth="1"/>
    <col min="12768" max="12769" width="14.140625" style="1" bestFit="1" customWidth="1"/>
    <col min="12770" max="12770" width="11.42578125" style="1" bestFit="1" customWidth="1"/>
    <col min="12771" max="12774" width="12.42578125" style="1" bestFit="1" customWidth="1"/>
    <col min="12775" max="12794" width="13" style="1" bestFit="1" customWidth="1"/>
    <col min="12795" max="12798" width="11" style="1" bestFit="1" customWidth="1"/>
    <col min="12799" max="12801" width="12.28515625" style="1" bestFit="1" customWidth="1"/>
    <col min="12802" max="12811" width="11" style="1" bestFit="1" customWidth="1"/>
    <col min="12812" max="12812" width="13.28515625" style="1" bestFit="1" customWidth="1"/>
    <col min="12813" max="12813" width="10" style="1" bestFit="1" customWidth="1"/>
    <col min="12814" max="12814" width="11" style="1" bestFit="1" customWidth="1"/>
    <col min="12815" max="13020" width="9" style="1"/>
    <col min="13021" max="13021" width="2.85546875" style="1" bestFit="1" customWidth="1"/>
    <col min="13022" max="13022" width="16.5703125" style="1" bestFit="1" customWidth="1"/>
    <col min="13023" max="13023" width="11.42578125" style="1" bestFit="1" customWidth="1"/>
    <col min="13024" max="13025" width="14.140625" style="1" bestFit="1" customWidth="1"/>
    <col min="13026" max="13026" width="11.42578125" style="1" bestFit="1" customWidth="1"/>
    <col min="13027" max="13030" width="12.42578125" style="1" bestFit="1" customWidth="1"/>
    <col min="13031" max="13050" width="13" style="1" bestFit="1" customWidth="1"/>
    <col min="13051" max="13054" width="11" style="1" bestFit="1" customWidth="1"/>
    <col min="13055" max="13057" width="12.28515625" style="1" bestFit="1" customWidth="1"/>
    <col min="13058" max="13067" width="11" style="1" bestFit="1" customWidth="1"/>
    <col min="13068" max="13068" width="13.28515625" style="1" bestFit="1" customWidth="1"/>
    <col min="13069" max="13069" width="10" style="1" bestFit="1" customWidth="1"/>
    <col min="13070" max="13070" width="11" style="1" bestFit="1" customWidth="1"/>
    <col min="13071" max="13276" width="9" style="1"/>
    <col min="13277" max="13277" width="2.85546875" style="1" bestFit="1" customWidth="1"/>
    <col min="13278" max="13278" width="16.5703125" style="1" bestFit="1" customWidth="1"/>
    <col min="13279" max="13279" width="11.42578125" style="1" bestFit="1" customWidth="1"/>
    <col min="13280" max="13281" width="14.140625" style="1" bestFit="1" customWidth="1"/>
    <col min="13282" max="13282" width="11.42578125" style="1" bestFit="1" customWidth="1"/>
    <col min="13283" max="13286" width="12.42578125" style="1" bestFit="1" customWidth="1"/>
    <col min="13287" max="13306" width="13" style="1" bestFit="1" customWidth="1"/>
    <col min="13307" max="13310" width="11" style="1" bestFit="1" customWidth="1"/>
    <col min="13311" max="13313" width="12.28515625" style="1" bestFit="1" customWidth="1"/>
    <col min="13314" max="13323" width="11" style="1" bestFit="1" customWidth="1"/>
    <col min="13324" max="13324" width="13.28515625" style="1" bestFit="1" customWidth="1"/>
    <col min="13325" max="13325" width="10" style="1" bestFit="1" customWidth="1"/>
    <col min="13326" max="13326" width="11" style="1" bestFit="1" customWidth="1"/>
    <col min="13327" max="13532" width="9" style="1"/>
    <col min="13533" max="13533" width="2.85546875" style="1" bestFit="1" customWidth="1"/>
    <col min="13534" max="13534" width="16.5703125" style="1" bestFit="1" customWidth="1"/>
    <col min="13535" max="13535" width="11.42578125" style="1" bestFit="1" customWidth="1"/>
    <col min="13536" max="13537" width="14.140625" style="1" bestFit="1" customWidth="1"/>
    <col min="13538" max="13538" width="11.42578125" style="1" bestFit="1" customWidth="1"/>
    <col min="13539" max="13542" width="12.42578125" style="1" bestFit="1" customWidth="1"/>
    <col min="13543" max="13562" width="13" style="1" bestFit="1" customWidth="1"/>
    <col min="13563" max="13566" width="11" style="1" bestFit="1" customWidth="1"/>
    <col min="13567" max="13569" width="12.28515625" style="1" bestFit="1" customWidth="1"/>
    <col min="13570" max="13579" width="11" style="1" bestFit="1" customWidth="1"/>
    <col min="13580" max="13580" width="13.28515625" style="1" bestFit="1" customWidth="1"/>
    <col min="13581" max="13581" width="10" style="1" bestFit="1" customWidth="1"/>
    <col min="13582" max="13582" width="11" style="1" bestFit="1" customWidth="1"/>
    <col min="13583" max="13788" width="9" style="1"/>
    <col min="13789" max="13789" width="2.85546875" style="1" bestFit="1" customWidth="1"/>
    <col min="13790" max="13790" width="16.5703125" style="1" bestFit="1" customWidth="1"/>
    <col min="13791" max="13791" width="11.42578125" style="1" bestFit="1" customWidth="1"/>
    <col min="13792" max="13793" width="14.140625" style="1" bestFit="1" customWidth="1"/>
    <col min="13794" max="13794" width="11.42578125" style="1" bestFit="1" customWidth="1"/>
    <col min="13795" max="13798" width="12.42578125" style="1" bestFit="1" customWidth="1"/>
    <col min="13799" max="13818" width="13" style="1" bestFit="1" customWidth="1"/>
    <col min="13819" max="13822" width="11" style="1" bestFit="1" customWidth="1"/>
    <col min="13823" max="13825" width="12.28515625" style="1" bestFit="1" customWidth="1"/>
    <col min="13826" max="13835" width="11" style="1" bestFit="1" customWidth="1"/>
    <col min="13836" max="13836" width="13.28515625" style="1" bestFit="1" customWidth="1"/>
    <col min="13837" max="13837" width="10" style="1" bestFit="1" customWidth="1"/>
    <col min="13838" max="13838" width="11" style="1" bestFit="1" customWidth="1"/>
    <col min="13839" max="14044" width="9" style="1"/>
    <col min="14045" max="14045" width="2.85546875" style="1" bestFit="1" customWidth="1"/>
    <col min="14046" max="14046" width="16.5703125" style="1" bestFit="1" customWidth="1"/>
    <col min="14047" max="14047" width="11.42578125" style="1" bestFit="1" customWidth="1"/>
    <col min="14048" max="14049" width="14.140625" style="1" bestFit="1" customWidth="1"/>
    <col min="14050" max="14050" width="11.42578125" style="1" bestFit="1" customWidth="1"/>
    <col min="14051" max="14054" width="12.42578125" style="1" bestFit="1" customWidth="1"/>
    <col min="14055" max="14074" width="13" style="1" bestFit="1" customWidth="1"/>
    <col min="14075" max="14078" width="11" style="1" bestFit="1" customWidth="1"/>
    <col min="14079" max="14081" width="12.28515625" style="1" bestFit="1" customWidth="1"/>
    <col min="14082" max="14091" width="11" style="1" bestFit="1" customWidth="1"/>
    <col min="14092" max="14092" width="13.28515625" style="1" bestFit="1" customWidth="1"/>
    <col min="14093" max="14093" width="10" style="1" bestFit="1" customWidth="1"/>
    <col min="14094" max="14094" width="11" style="1" bestFit="1" customWidth="1"/>
    <col min="14095" max="14300" width="9" style="1"/>
    <col min="14301" max="14301" width="2.85546875" style="1" bestFit="1" customWidth="1"/>
    <col min="14302" max="14302" width="16.5703125" style="1" bestFit="1" customWidth="1"/>
    <col min="14303" max="14303" width="11.42578125" style="1" bestFit="1" customWidth="1"/>
    <col min="14304" max="14305" width="14.140625" style="1" bestFit="1" customWidth="1"/>
    <col min="14306" max="14306" width="11.42578125" style="1" bestFit="1" customWidth="1"/>
    <col min="14307" max="14310" width="12.42578125" style="1" bestFit="1" customWidth="1"/>
    <col min="14311" max="14330" width="13" style="1" bestFit="1" customWidth="1"/>
    <col min="14331" max="14334" width="11" style="1" bestFit="1" customWidth="1"/>
    <col min="14335" max="14337" width="12.28515625" style="1" bestFit="1" customWidth="1"/>
    <col min="14338" max="14347" width="11" style="1" bestFit="1" customWidth="1"/>
    <col min="14348" max="14348" width="13.28515625" style="1" bestFit="1" customWidth="1"/>
    <col min="14349" max="14349" width="10" style="1" bestFit="1" customWidth="1"/>
    <col min="14350" max="14350" width="11" style="1" bestFit="1" customWidth="1"/>
    <col min="14351" max="14556" width="9" style="1"/>
    <col min="14557" max="14557" width="2.85546875" style="1" bestFit="1" customWidth="1"/>
    <col min="14558" max="14558" width="16.5703125" style="1" bestFit="1" customWidth="1"/>
    <col min="14559" max="14559" width="11.42578125" style="1" bestFit="1" customWidth="1"/>
    <col min="14560" max="14561" width="14.140625" style="1" bestFit="1" customWidth="1"/>
    <col min="14562" max="14562" width="11.42578125" style="1" bestFit="1" customWidth="1"/>
    <col min="14563" max="14566" width="12.42578125" style="1" bestFit="1" customWidth="1"/>
    <col min="14567" max="14586" width="13" style="1" bestFit="1" customWidth="1"/>
    <col min="14587" max="14590" width="11" style="1" bestFit="1" customWidth="1"/>
    <col min="14591" max="14593" width="12.28515625" style="1" bestFit="1" customWidth="1"/>
    <col min="14594" max="14603" width="11" style="1" bestFit="1" customWidth="1"/>
    <col min="14604" max="14604" width="13.28515625" style="1" bestFit="1" customWidth="1"/>
    <col min="14605" max="14605" width="10" style="1" bestFit="1" customWidth="1"/>
    <col min="14606" max="14606" width="11" style="1" bestFit="1" customWidth="1"/>
    <col min="14607" max="14812" width="9" style="1"/>
    <col min="14813" max="14813" width="2.85546875" style="1" bestFit="1" customWidth="1"/>
    <col min="14814" max="14814" width="16.5703125" style="1" bestFit="1" customWidth="1"/>
    <col min="14815" max="14815" width="11.42578125" style="1" bestFit="1" customWidth="1"/>
    <col min="14816" max="14817" width="14.140625" style="1" bestFit="1" customWidth="1"/>
    <col min="14818" max="14818" width="11.42578125" style="1" bestFit="1" customWidth="1"/>
    <col min="14819" max="14822" width="12.42578125" style="1" bestFit="1" customWidth="1"/>
    <col min="14823" max="14842" width="13" style="1" bestFit="1" customWidth="1"/>
    <col min="14843" max="14846" width="11" style="1" bestFit="1" customWidth="1"/>
    <col min="14847" max="14849" width="12.28515625" style="1" bestFit="1" customWidth="1"/>
    <col min="14850" max="14859" width="11" style="1" bestFit="1" customWidth="1"/>
    <col min="14860" max="14860" width="13.28515625" style="1" bestFit="1" customWidth="1"/>
    <col min="14861" max="14861" width="10" style="1" bestFit="1" customWidth="1"/>
    <col min="14862" max="14862" width="11" style="1" bestFit="1" customWidth="1"/>
    <col min="14863" max="15068" width="9" style="1"/>
    <col min="15069" max="15069" width="2.85546875" style="1" bestFit="1" customWidth="1"/>
    <col min="15070" max="15070" width="16.5703125" style="1" bestFit="1" customWidth="1"/>
    <col min="15071" max="15071" width="11.42578125" style="1" bestFit="1" customWidth="1"/>
    <col min="15072" max="15073" width="14.140625" style="1" bestFit="1" customWidth="1"/>
    <col min="15074" max="15074" width="11.42578125" style="1" bestFit="1" customWidth="1"/>
    <col min="15075" max="15078" width="12.42578125" style="1" bestFit="1" customWidth="1"/>
    <col min="15079" max="15098" width="13" style="1" bestFit="1" customWidth="1"/>
    <col min="15099" max="15102" width="11" style="1" bestFit="1" customWidth="1"/>
    <col min="15103" max="15105" width="12.28515625" style="1" bestFit="1" customWidth="1"/>
    <col min="15106" max="15115" width="11" style="1" bestFit="1" customWidth="1"/>
    <col min="15116" max="15116" width="13.28515625" style="1" bestFit="1" customWidth="1"/>
    <col min="15117" max="15117" width="10" style="1" bestFit="1" customWidth="1"/>
    <col min="15118" max="15118" width="11" style="1" bestFit="1" customWidth="1"/>
    <col min="15119" max="15324" width="9" style="1"/>
    <col min="15325" max="15325" width="2.85546875" style="1" bestFit="1" customWidth="1"/>
    <col min="15326" max="15326" width="16.5703125" style="1" bestFit="1" customWidth="1"/>
    <col min="15327" max="15327" width="11.42578125" style="1" bestFit="1" customWidth="1"/>
    <col min="15328" max="15329" width="14.140625" style="1" bestFit="1" customWidth="1"/>
    <col min="15330" max="15330" width="11.42578125" style="1" bestFit="1" customWidth="1"/>
    <col min="15331" max="15334" width="12.42578125" style="1" bestFit="1" customWidth="1"/>
    <col min="15335" max="15354" width="13" style="1" bestFit="1" customWidth="1"/>
    <col min="15355" max="15358" width="11" style="1" bestFit="1" customWidth="1"/>
    <col min="15359" max="15361" width="12.28515625" style="1" bestFit="1" customWidth="1"/>
    <col min="15362" max="15371" width="11" style="1" bestFit="1" customWidth="1"/>
    <col min="15372" max="15372" width="13.28515625" style="1" bestFit="1" customWidth="1"/>
    <col min="15373" max="15373" width="10" style="1" bestFit="1" customWidth="1"/>
    <col min="15374" max="15374" width="11" style="1" bestFit="1" customWidth="1"/>
    <col min="15375" max="15580" width="9" style="1"/>
    <col min="15581" max="15581" width="2.85546875" style="1" bestFit="1" customWidth="1"/>
    <col min="15582" max="15582" width="16.5703125" style="1" bestFit="1" customWidth="1"/>
    <col min="15583" max="15583" width="11.42578125" style="1" bestFit="1" customWidth="1"/>
    <col min="15584" max="15585" width="14.140625" style="1" bestFit="1" customWidth="1"/>
    <col min="15586" max="15586" width="11.42578125" style="1" bestFit="1" customWidth="1"/>
    <col min="15587" max="15590" width="12.42578125" style="1" bestFit="1" customWidth="1"/>
    <col min="15591" max="15610" width="13" style="1" bestFit="1" customWidth="1"/>
    <col min="15611" max="15614" width="11" style="1" bestFit="1" customWidth="1"/>
    <col min="15615" max="15617" width="12.28515625" style="1" bestFit="1" customWidth="1"/>
    <col min="15618" max="15627" width="11" style="1" bestFit="1" customWidth="1"/>
    <col min="15628" max="15628" width="13.28515625" style="1" bestFit="1" customWidth="1"/>
    <col min="15629" max="15629" width="10" style="1" bestFit="1" customWidth="1"/>
    <col min="15630" max="15630" width="11" style="1" bestFit="1" customWidth="1"/>
    <col min="15631" max="15836" width="9" style="1"/>
    <col min="15837" max="15837" width="2.85546875" style="1" bestFit="1" customWidth="1"/>
    <col min="15838" max="15838" width="16.5703125" style="1" bestFit="1" customWidth="1"/>
    <col min="15839" max="15839" width="11.42578125" style="1" bestFit="1" customWidth="1"/>
    <col min="15840" max="15841" width="14.140625" style="1" bestFit="1" customWidth="1"/>
    <col min="15842" max="15842" width="11.42578125" style="1" bestFit="1" customWidth="1"/>
    <col min="15843" max="15846" width="12.42578125" style="1" bestFit="1" customWidth="1"/>
    <col min="15847" max="15866" width="13" style="1" bestFit="1" customWidth="1"/>
    <col min="15867" max="15870" width="11" style="1" bestFit="1" customWidth="1"/>
    <col min="15871" max="15873" width="12.28515625" style="1" bestFit="1" customWidth="1"/>
    <col min="15874" max="15883" width="11" style="1" bestFit="1" customWidth="1"/>
    <col min="15884" max="15884" width="13.28515625" style="1" bestFit="1" customWidth="1"/>
    <col min="15885" max="15885" width="10" style="1" bestFit="1" customWidth="1"/>
    <col min="15886" max="15886" width="11" style="1" bestFit="1" customWidth="1"/>
    <col min="15887" max="16092" width="9" style="1"/>
    <col min="16093" max="16093" width="2.85546875" style="1" bestFit="1" customWidth="1"/>
    <col min="16094" max="16094" width="16.5703125" style="1" bestFit="1" customWidth="1"/>
    <col min="16095" max="16095" width="11.42578125" style="1" bestFit="1" customWidth="1"/>
    <col min="16096" max="16097" width="14.140625" style="1" bestFit="1" customWidth="1"/>
    <col min="16098" max="16098" width="11.42578125" style="1" bestFit="1" customWidth="1"/>
    <col min="16099" max="16102" width="12.42578125" style="1" bestFit="1" customWidth="1"/>
    <col min="16103" max="16122" width="13" style="1" bestFit="1" customWidth="1"/>
    <col min="16123" max="16126" width="11" style="1" bestFit="1" customWidth="1"/>
    <col min="16127" max="16129" width="12.28515625" style="1" bestFit="1" customWidth="1"/>
    <col min="16130" max="16139" width="11" style="1" bestFit="1" customWidth="1"/>
    <col min="16140" max="16140" width="13.285156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/>
    <row r="3" spans="1:14" ht="17.25">
      <c r="A3" s="53">
        <v>45717</v>
      </c>
      <c r="B3" s="53"/>
      <c r="C3" s="40" t="s">
        <v>223</v>
      </c>
    </row>
    <row r="4" spans="1:14" s="3" customFormat="1">
      <c r="A4" s="46" t="s">
        <v>1</v>
      </c>
      <c r="B4" s="46"/>
      <c r="C4" s="42" t="s">
        <v>2</v>
      </c>
      <c r="D4" s="42" t="s">
        <v>3</v>
      </c>
      <c r="E4" s="42" t="s">
        <v>4</v>
      </c>
      <c r="F4" s="42" t="s">
        <v>5</v>
      </c>
      <c r="G4" s="42" t="s">
        <v>6</v>
      </c>
      <c r="H4" s="42" t="s">
        <v>7</v>
      </c>
      <c r="I4" s="42" t="s">
        <v>8</v>
      </c>
      <c r="J4" s="42" t="s">
        <v>9</v>
      </c>
      <c r="K4" s="42" t="s">
        <v>45</v>
      </c>
      <c r="L4" s="43" t="s">
        <v>46</v>
      </c>
      <c r="M4" s="43" t="s">
        <v>47</v>
      </c>
      <c r="N4" s="2" t="s">
        <v>48</v>
      </c>
    </row>
    <row r="5" spans="1:14" s="3" customFormat="1" hidden="1">
      <c r="A5" s="50" t="s">
        <v>49</v>
      </c>
      <c r="B5" s="54"/>
      <c r="C5" s="42">
        <v>1</v>
      </c>
      <c r="D5" s="42">
        <v>1</v>
      </c>
      <c r="E5" s="42">
        <v>1</v>
      </c>
      <c r="F5" s="42">
        <v>1</v>
      </c>
      <c r="G5" s="42">
        <v>1</v>
      </c>
      <c r="H5" s="42">
        <v>1</v>
      </c>
      <c r="I5" s="42">
        <v>1</v>
      </c>
      <c r="J5" s="42">
        <v>1</v>
      </c>
      <c r="K5" s="42">
        <v>8</v>
      </c>
      <c r="L5" s="43"/>
      <c r="M5" s="43"/>
      <c r="N5" s="2"/>
    </row>
    <row r="6" spans="1:14" s="3" customFormat="1" hidden="1">
      <c r="A6" s="50" t="s">
        <v>50</v>
      </c>
      <c r="B6" s="54"/>
      <c r="C6" s="42" t="s">
        <v>51</v>
      </c>
      <c r="D6" s="42" t="s">
        <v>51</v>
      </c>
      <c r="E6" s="42" t="s">
        <v>51</v>
      </c>
      <c r="F6" s="42" t="s">
        <v>51</v>
      </c>
      <c r="G6" s="42" t="s">
        <v>51</v>
      </c>
      <c r="H6" s="42" t="s">
        <v>51</v>
      </c>
      <c r="I6" s="42" t="s">
        <v>51</v>
      </c>
      <c r="J6" s="42" t="s">
        <v>51</v>
      </c>
      <c r="K6" s="42" t="s">
        <v>55</v>
      </c>
      <c r="L6" s="43"/>
      <c r="M6" s="43"/>
      <c r="N6" s="2"/>
    </row>
    <row r="7" spans="1:14" s="3" customFormat="1">
      <c r="A7" s="52" t="s">
        <v>56</v>
      </c>
      <c r="B7" s="52"/>
      <c r="C7" s="41" t="s">
        <v>57</v>
      </c>
      <c r="D7" s="41"/>
      <c r="E7" s="41" t="s">
        <v>58</v>
      </c>
      <c r="F7" s="41" t="s">
        <v>59</v>
      </c>
      <c r="G7" s="41"/>
      <c r="H7" s="41" t="s">
        <v>60</v>
      </c>
      <c r="I7" s="41" t="s">
        <v>61</v>
      </c>
      <c r="J7" s="41" t="s">
        <v>62</v>
      </c>
      <c r="K7" s="41"/>
      <c r="L7" s="44"/>
      <c r="M7" s="44"/>
      <c r="N7" s="4"/>
    </row>
    <row r="8" spans="1:14" s="3" customFormat="1">
      <c r="A8" s="52" t="s">
        <v>89</v>
      </c>
      <c r="B8" s="52"/>
      <c r="C8" s="41" t="s">
        <v>90</v>
      </c>
      <c r="D8" s="41"/>
      <c r="E8" s="41" t="s">
        <v>91</v>
      </c>
      <c r="F8" s="41" t="s">
        <v>92</v>
      </c>
      <c r="G8" s="41" t="s">
        <v>93</v>
      </c>
      <c r="H8" s="41" t="s">
        <v>94</v>
      </c>
      <c r="I8" s="41" t="s">
        <v>95</v>
      </c>
      <c r="J8" s="41" t="s">
        <v>96</v>
      </c>
      <c r="K8" s="41" t="s">
        <v>106</v>
      </c>
      <c r="L8" s="44"/>
      <c r="M8" s="44"/>
      <c r="N8" s="4"/>
    </row>
    <row r="9" spans="1:14">
      <c r="A9" s="48" t="s">
        <v>125</v>
      </c>
      <c r="B9" s="49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6">
        <f>SUM(C9:K9)</f>
        <v>70</v>
      </c>
      <c r="M9" s="6"/>
      <c r="N9" s="7"/>
    </row>
    <row r="10" spans="1:14">
      <c r="A10" s="46" t="s">
        <v>126</v>
      </c>
      <c r="B10" s="46"/>
      <c r="C10" s="42" t="s">
        <v>127</v>
      </c>
      <c r="D10" s="42" t="s">
        <v>127</v>
      </c>
      <c r="E10" s="42" t="s">
        <v>127</v>
      </c>
      <c r="F10" s="42" t="s">
        <v>127</v>
      </c>
      <c r="G10" s="42" t="s">
        <v>128</v>
      </c>
      <c r="H10" s="42" t="s">
        <v>128</v>
      </c>
      <c r="I10" s="42" t="s">
        <v>128</v>
      </c>
      <c r="J10" s="42" t="s">
        <v>128</v>
      </c>
      <c r="K10" s="8"/>
      <c r="L10" s="9"/>
      <c r="M10" s="9"/>
      <c r="N10" s="10"/>
    </row>
    <row r="11" spans="1:14">
      <c r="A11" s="46" t="s">
        <v>137</v>
      </c>
      <c r="B11" s="46"/>
      <c r="C11" s="11">
        <v>5435.8</v>
      </c>
      <c r="D11" s="11">
        <v>0</v>
      </c>
      <c r="E11" s="11">
        <v>6059.6</v>
      </c>
      <c r="F11" s="11">
        <v>5436.8</v>
      </c>
      <c r="G11" s="11">
        <v>88.4</v>
      </c>
      <c r="H11" s="11">
        <v>4451.3999999999996</v>
      </c>
      <c r="I11" s="11">
        <v>2815.1</v>
      </c>
      <c r="J11" s="11">
        <v>6531.4</v>
      </c>
      <c r="K11" s="11">
        <v>0</v>
      </c>
      <c r="L11" s="13">
        <f t="shared" ref="L11:L14" si="0">SUM(C11:K11)</f>
        <v>30818.5</v>
      </c>
      <c r="M11" s="13">
        <f t="shared" ref="M11:M42" si="1">AVERAGE(D11:J11)</f>
        <v>3626.0999999999995</v>
      </c>
      <c r="N11" s="10"/>
    </row>
    <row r="12" spans="1:14">
      <c r="A12" s="50" t="s">
        <v>138</v>
      </c>
      <c r="B12" s="51"/>
      <c r="C12" s="14">
        <v>7.7972222222222225</v>
      </c>
      <c r="D12" s="14">
        <v>0</v>
      </c>
      <c r="E12" s="14">
        <v>9.2368055555555557</v>
      </c>
      <c r="F12" s="14">
        <v>8.9222222222222225</v>
      </c>
      <c r="G12" s="14">
        <v>0.12083333333333333</v>
      </c>
      <c r="H12" s="14">
        <v>6.4611111111111112</v>
      </c>
      <c r="I12" s="14">
        <v>4.4659722222222218</v>
      </c>
      <c r="J12" s="14">
        <v>8.1229166666666668</v>
      </c>
      <c r="K12" s="14">
        <v>0</v>
      </c>
      <c r="L12" s="16">
        <f t="shared" si="0"/>
        <v>45.127083333333339</v>
      </c>
      <c r="M12" s="16">
        <f t="shared" si="1"/>
        <v>5.3328373015873023</v>
      </c>
      <c r="N12" s="10"/>
    </row>
    <row r="13" spans="1:14">
      <c r="A13" s="46" t="s">
        <v>139</v>
      </c>
      <c r="B13" s="46"/>
      <c r="C13" s="11">
        <v>1233740</v>
      </c>
      <c r="D13" s="11">
        <v>1363698</v>
      </c>
      <c r="E13" s="11">
        <v>1298338</v>
      </c>
      <c r="F13" s="11">
        <v>1236232</v>
      </c>
      <c r="G13" s="11">
        <v>0</v>
      </c>
      <c r="H13" s="11">
        <v>881300</v>
      </c>
      <c r="I13" s="11">
        <v>595000</v>
      </c>
      <c r="J13" s="11">
        <v>1228800</v>
      </c>
      <c r="K13" s="11">
        <v>0</v>
      </c>
      <c r="L13" s="13">
        <f t="shared" si="0"/>
        <v>7837108</v>
      </c>
      <c r="M13" s="13">
        <f t="shared" si="1"/>
        <v>943338.28571428568</v>
      </c>
      <c r="N13" s="10">
        <f>L13/L13</f>
        <v>1</v>
      </c>
    </row>
    <row r="14" spans="1:14">
      <c r="A14" s="50" t="s">
        <v>140</v>
      </c>
      <c r="B14" s="51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3">
        <f t="shared" si="0"/>
        <v>0</v>
      </c>
      <c r="M14" s="13">
        <f t="shared" si="1"/>
        <v>0</v>
      </c>
      <c r="N14" s="10"/>
    </row>
    <row r="15" spans="1:14">
      <c r="A15" s="46" t="s">
        <v>141</v>
      </c>
      <c r="B15" s="46"/>
      <c r="C15" s="11">
        <f>SUM(C13/C11)</f>
        <v>226.9656720261967</v>
      </c>
      <c r="D15" s="11" t="e">
        <f t="shared" ref="D15:J15" si="2">SUM(D13/D11)</f>
        <v>#DIV/0!</v>
      </c>
      <c r="E15" s="11">
        <f t="shared" si="2"/>
        <v>214.26133738200539</v>
      </c>
      <c r="F15" s="11">
        <f t="shared" si="2"/>
        <v>227.38228369629192</v>
      </c>
      <c r="G15" s="11">
        <f t="shared" si="2"/>
        <v>0</v>
      </c>
      <c r="H15" s="11">
        <f t="shared" si="2"/>
        <v>197.98265714157344</v>
      </c>
      <c r="I15" s="11">
        <f t="shared" si="2"/>
        <v>211.36016482540586</v>
      </c>
      <c r="J15" s="11">
        <f t="shared" si="2"/>
        <v>188.1373059374713</v>
      </c>
      <c r="K15" s="11" t="e">
        <f>SUM(K13/K11)</f>
        <v>#DIV/0!</v>
      </c>
      <c r="L15" s="9">
        <f>SUM(L13/L11)</f>
        <v>254.29881402404399</v>
      </c>
      <c r="M15" s="13" t="e">
        <f t="shared" si="1"/>
        <v>#DIV/0!</v>
      </c>
      <c r="N15" s="10"/>
    </row>
    <row r="16" spans="1:14">
      <c r="A16" s="50" t="s">
        <v>142</v>
      </c>
      <c r="B16" s="51"/>
      <c r="C16" s="17">
        <f t="shared" ref="C16:J16" si="3">C13/(C12*24)</f>
        <v>6592.8393302458144</v>
      </c>
      <c r="D16" s="17" t="e">
        <f t="shared" si="3"/>
        <v>#DIV/0!</v>
      </c>
      <c r="E16" s="17">
        <f t="shared" si="3"/>
        <v>5856.7235546199536</v>
      </c>
      <c r="F16" s="17">
        <f t="shared" si="3"/>
        <v>5773.1880448318807</v>
      </c>
      <c r="G16" s="17">
        <f t="shared" si="3"/>
        <v>0</v>
      </c>
      <c r="H16" s="17">
        <f t="shared" si="3"/>
        <v>5683.3619948409287</v>
      </c>
      <c r="I16" s="17">
        <f t="shared" si="3"/>
        <v>5551.2361996579075</v>
      </c>
      <c r="J16" s="17">
        <f t="shared" si="3"/>
        <v>6303.1546550397543</v>
      </c>
      <c r="K16" s="17" t="e">
        <f>K13/(K12*24)</f>
        <v>#DIV/0!</v>
      </c>
      <c r="L16" s="19" t="e">
        <f t="shared" ref="L16:L28" si="4">SUM(C16:K16)</f>
        <v>#DIV/0!</v>
      </c>
      <c r="M16" s="19" t="e">
        <f t="shared" si="1"/>
        <v>#DIV/0!</v>
      </c>
      <c r="N16" s="10"/>
    </row>
    <row r="17" spans="1:14">
      <c r="A17" s="47" t="s">
        <v>143</v>
      </c>
      <c r="B17" s="8" t="s">
        <v>144</v>
      </c>
      <c r="C17" s="11">
        <v>0</v>
      </c>
      <c r="D17" s="11">
        <v>0</v>
      </c>
      <c r="E17" s="11">
        <v>0</v>
      </c>
      <c r="F17" s="11">
        <v>56250</v>
      </c>
      <c r="G17" s="11">
        <v>300174</v>
      </c>
      <c r="H17" s="11">
        <v>0</v>
      </c>
      <c r="I17" s="11">
        <v>0</v>
      </c>
      <c r="J17" s="11">
        <v>43906</v>
      </c>
      <c r="K17" s="11">
        <v>189600</v>
      </c>
      <c r="L17" s="13">
        <f t="shared" si="4"/>
        <v>589930</v>
      </c>
      <c r="M17" s="13">
        <f t="shared" si="1"/>
        <v>57190</v>
      </c>
      <c r="N17" s="10">
        <f>L17/L13</f>
        <v>7.5273940336154616E-2</v>
      </c>
    </row>
    <row r="18" spans="1:14">
      <c r="A18" s="47"/>
      <c r="B18" s="8" t="s">
        <v>145</v>
      </c>
      <c r="C18" s="11">
        <v>4025</v>
      </c>
      <c r="D18" s="11">
        <v>0</v>
      </c>
      <c r="E18" s="11">
        <v>4808</v>
      </c>
      <c r="F18" s="11">
        <v>4025</v>
      </c>
      <c r="G18" s="11">
        <v>4808</v>
      </c>
      <c r="H18" s="11">
        <v>4025</v>
      </c>
      <c r="I18" s="11">
        <v>4025</v>
      </c>
      <c r="J18" s="11">
        <v>2575</v>
      </c>
      <c r="K18" s="11">
        <v>0</v>
      </c>
      <c r="L18" s="13">
        <f t="shared" si="4"/>
        <v>28291</v>
      </c>
      <c r="M18" s="13">
        <f t="shared" si="1"/>
        <v>3466.5714285714284</v>
      </c>
      <c r="N18" s="10">
        <f>L18/L13</f>
        <v>3.609877521146831E-3</v>
      </c>
    </row>
    <row r="19" spans="1:14">
      <c r="A19" s="47"/>
      <c r="B19" s="8" t="s">
        <v>146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3">
        <f t="shared" si="4"/>
        <v>0</v>
      </c>
      <c r="M19" s="13">
        <f t="shared" si="1"/>
        <v>0</v>
      </c>
      <c r="N19" s="10">
        <f>L19/L13</f>
        <v>0</v>
      </c>
    </row>
    <row r="20" spans="1:14">
      <c r="A20" s="47"/>
      <c r="B20" s="8" t="s">
        <v>147</v>
      </c>
      <c r="C20" s="11">
        <v>4950</v>
      </c>
      <c r="D20" s="11">
        <v>0</v>
      </c>
      <c r="E20" s="11">
        <v>4766</v>
      </c>
      <c r="F20" s="11">
        <v>4583</v>
      </c>
      <c r="G20" s="11">
        <v>4774</v>
      </c>
      <c r="H20" s="11">
        <v>4583</v>
      </c>
      <c r="I20" s="11">
        <v>4766</v>
      </c>
      <c r="J20" s="11">
        <v>4766</v>
      </c>
      <c r="K20" s="11">
        <v>4583</v>
      </c>
      <c r="L20" s="13">
        <f t="shared" si="4"/>
        <v>37771</v>
      </c>
      <c r="M20" s="13">
        <f t="shared" si="1"/>
        <v>4034</v>
      </c>
      <c r="N20" s="10">
        <f>L20/L13</f>
        <v>4.8195073999235429E-3</v>
      </c>
    </row>
    <row r="21" spans="1:14">
      <c r="A21" s="47"/>
      <c r="B21" s="8" t="s">
        <v>148</v>
      </c>
      <c r="C21" s="11">
        <v>43755</v>
      </c>
      <c r="D21" s="11">
        <v>0</v>
      </c>
      <c r="E21" s="11">
        <v>28979</v>
      </c>
      <c r="F21" s="11">
        <v>12575</v>
      </c>
      <c r="G21" s="11">
        <v>12324</v>
      </c>
      <c r="H21" s="11">
        <v>36183</v>
      </c>
      <c r="I21" s="11">
        <v>51665</v>
      </c>
      <c r="J21" s="11">
        <v>34940</v>
      </c>
      <c r="K21" s="11">
        <v>31475</v>
      </c>
      <c r="L21" s="13">
        <f t="shared" si="4"/>
        <v>251896</v>
      </c>
      <c r="M21" s="13">
        <f t="shared" si="1"/>
        <v>25238</v>
      </c>
      <c r="N21" s="10">
        <f>L21/L13</f>
        <v>3.2141448095394376E-2</v>
      </c>
    </row>
    <row r="22" spans="1:14">
      <c r="A22" s="47"/>
      <c r="B22" s="20" t="s">
        <v>149</v>
      </c>
      <c r="C22" s="21">
        <f t="shared" ref="C22:J22" si="5">SUM(C17:C21)</f>
        <v>52730</v>
      </c>
      <c r="D22" s="21">
        <f t="shared" si="5"/>
        <v>0</v>
      </c>
      <c r="E22" s="21">
        <f t="shared" si="5"/>
        <v>38553</v>
      </c>
      <c r="F22" s="21">
        <f t="shared" si="5"/>
        <v>77433</v>
      </c>
      <c r="G22" s="21">
        <f t="shared" si="5"/>
        <v>322080</v>
      </c>
      <c r="H22" s="21">
        <f t="shared" si="5"/>
        <v>44791</v>
      </c>
      <c r="I22" s="21">
        <f t="shared" si="5"/>
        <v>60456</v>
      </c>
      <c r="J22" s="21">
        <f t="shared" si="5"/>
        <v>86187</v>
      </c>
      <c r="K22" s="21">
        <f>SUM(K17:K21)</f>
        <v>225658</v>
      </c>
      <c r="L22" s="23">
        <f t="shared" si="4"/>
        <v>907888</v>
      </c>
      <c r="M22" s="23">
        <f t="shared" si="1"/>
        <v>89928.571428571435</v>
      </c>
      <c r="N22" s="24">
        <f>L22/L13</f>
        <v>0.11584477335261936</v>
      </c>
    </row>
    <row r="23" spans="1:14">
      <c r="A23" s="47" t="s">
        <v>150</v>
      </c>
      <c r="B23" s="8" t="s">
        <v>151</v>
      </c>
      <c r="C23" s="11">
        <v>99900</v>
      </c>
      <c r="D23" s="11">
        <v>0</v>
      </c>
      <c r="E23" s="11">
        <v>0</v>
      </c>
      <c r="F23" s="11">
        <v>244020</v>
      </c>
      <c r="G23" s="11">
        <v>0</v>
      </c>
      <c r="H23" s="11">
        <v>0</v>
      </c>
      <c r="I23" s="11">
        <v>0</v>
      </c>
      <c r="J23" s="11">
        <v>109610</v>
      </c>
      <c r="K23" s="11">
        <v>0</v>
      </c>
      <c r="L23" s="13">
        <f t="shared" si="4"/>
        <v>453530</v>
      </c>
      <c r="M23" s="13">
        <f t="shared" si="1"/>
        <v>50518.571428571428</v>
      </c>
      <c r="N23" s="10">
        <f>L23/L13</f>
        <v>5.7869561067679556E-2</v>
      </c>
    </row>
    <row r="24" spans="1:14">
      <c r="A24" s="47"/>
      <c r="B24" s="8" t="s">
        <v>152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3">
        <f t="shared" si="4"/>
        <v>0</v>
      </c>
      <c r="M24" s="13">
        <f t="shared" si="1"/>
        <v>0</v>
      </c>
      <c r="N24" s="10">
        <f>L24/L13</f>
        <v>0</v>
      </c>
    </row>
    <row r="25" spans="1:14">
      <c r="A25" s="47"/>
      <c r="B25" s="8" t="s">
        <v>153</v>
      </c>
      <c r="C25" s="11">
        <f t="shared" ref="C25:J25" si="6">30000*C9/70000*C11</f>
        <v>23296.285714285714</v>
      </c>
      <c r="D25" s="11">
        <f t="shared" si="6"/>
        <v>0</v>
      </c>
      <c r="E25" s="11">
        <f t="shared" si="6"/>
        <v>25969.714285714286</v>
      </c>
      <c r="F25" s="11">
        <f t="shared" si="6"/>
        <v>23300.571428571428</v>
      </c>
      <c r="G25" s="11">
        <f t="shared" si="6"/>
        <v>303.08571428571429</v>
      </c>
      <c r="H25" s="11">
        <f t="shared" si="6"/>
        <v>15261.942857142854</v>
      </c>
      <c r="I25" s="11">
        <f t="shared" si="6"/>
        <v>9651.7714285714283</v>
      </c>
      <c r="J25" s="11">
        <f t="shared" si="6"/>
        <v>22393.371428571427</v>
      </c>
      <c r="K25" s="11">
        <f>30000*K9/70000*K11</f>
        <v>0</v>
      </c>
      <c r="L25" s="13">
        <f t="shared" si="4"/>
        <v>120176.74285714285</v>
      </c>
      <c r="M25" s="13">
        <f t="shared" si="1"/>
        <v>13840.065306122448</v>
      </c>
      <c r="N25" s="10">
        <f>L25/L13</f>
        <v>1.5334322668150401E-2</v>
      </c>
    </row>
    <row r="26" spans="1:14">
      <c r="A26" s="47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3">
        <f t="shared" si="4"/>
        <v>0</v>
      </c>
      <c r="M26" s="13">
        <f t="shared" si="1"/>
        <v>0</v>
      </c>
      <c r="N26" s="10">
        <f>L26/L13</f>
        <v>0</v>
      </c>
    </row>
    <row r="27" spans="1:14">
      <c r="A27" s="47"/>
      <c r="B27" s="20" t="s">
        <v>154</v>
      </c>
      <c r="C27" s="21">
        <f t="shared" ref="C27:J27" si="7">SUM(C23:C26)</f>
        <v>123196.28571428571</v>
      </c>
      <c r="D27" s="21">
        <f t="shared" si="7"/>
        <v>0</v>
      </c>
      <c r="E27" s="21">
        <f t="shared" si="7"/>
        <v>25969.714285714286</v>
      </c>
      <c r="F27" s="21">
        <f t="shared" si="7"/>
        <v>267320.57142857142</v>
      </c>
      <c r="G27" s="21">
        <f t="shared" si="7"/>
        <v>303.08571428571429</v>
      </c>
      <c r="H27" s="21">
        <f t="shared" si="7"/>
        <v>15261.942857142854</v>
      </c>
      <c r="I27" s="21">
        <f t="shared" si="7"/>
        <v>9651.7714285714283</v>
      </c>
      <c r="J27" s="21">
        <f t="shared" si="7"/>
        <v>132003.37142857144</v>
      </c>
      <c r="K27" s="21">
        <f>SUM(K23:K26)</f>
        <v>0</v>
      </c>
      <c r="L27" s="23">
        <f t="shared" si="4"/>
        <v>573706.74285714282</v>
      </c>
      <c r="M27" s="23">
        <f t="shared" si="1"/>
        <v>64358.636734693879</v>
      </c>
      <c r="N27" s="24">
        <f>L27/L13</f>
        <v>7.320388373582995E-2</v>
      </c>
    </row>
    <row r="28" spans="1:14">
      <c r="A28" s="47" t="s">
        <v>155</v>
      </c>
      <c r="B28" s="5" t="s">
        <v>156</v>
      </c>
      <c r="C28" s="25">
        <v>1410</v>
      </c>
      <c r="D28" s="25">
        <v>0</v>
      </c>
      <c r="E28" s="25">
        <v>1505</v>
      </c>
      <c r="F28" s="25">
        <v>1682</v>
      </c>
      <c r="G28" s="25">
        <v>0</v>
      </c>
      <c r="H28" s="25">
        <v>1157</v>
      </c>
      <c r="I28" s="25">
        <v>708</v>
      </c>
      <c r="J28" s="25">
        <v>1661</v>
      </c>
      <c r="K28" s="25">
        <v>0</v>
      </c>
      <c r="L28" s="27">
        <f t="shared" si="4"/>
        <v>8123</v>
      </c>
      <c r="M28" s="27">
        <f t="shared" si="1"/>
        <v>959</v>
      </c>
      <c r="N28" s="7">
        <f>L28/L13</f>
        <v>1.0364792727113113E-3</v>
      </c>
    </row>
    <row r="29" spans="1:14">
      <c r="A29" s="47"/>
      <c r="B29" s="28" t="s">
        <v>157</v>
      </c>
      <c r="C29" s="29">
        <f t="shared" ref="C29:L29" si="8">SUM(C11/C28)</f>
        <v>3.8551773049645393</v>
      </c>
      <c r="D29" s="29" t="e">
        <f t="shared" si="8"/>
        <v>#DIV/0!</v>
      </c>
      <c r="E29" s="29">
        <f t="shared" si="8"/>
        <v>4.0263122923588046</v>
      </c>
      <c r="F29" s="29">
        <f t="shared" si="8"/>
        <v>3.2323424494649227</v>
      </c>
      <c r="G29" s="29" t="e">
        <f t="shared" si="8"/>
        <v>#DIV/0!</v>
      </c>
      <c r="H29" s="29">
        <f t="shared" si="8"/>
        <v>3.847363872082973</v>
      </c>
      <c r="I29" s="29">
        <f t="shared" si="8"/>
        <v>3.9761299435028246</v>
      </c>
      <c r="J29" s="29">
        <f t="shared" si="8"/>
        <v>3.9322095123419625</v>
      </c>
      <c r="K29" s="29" t="e">
        <f>SUM(K11/K28)</f>
        <v>#DIV/0!</v>
      </c>
      <c r="L29" s="31">
        <f t="shared" si="8"/>
        <v>3.7939800566293242</v>
      </c>
      <c r="M29" s="31" t="e">
        <f t="shared" si="1"/>
        <v>#DIV/0!</v>
      </c>
      <c r="N29" s="28">
        <f>L29/L13</f>
        <v>4.8410460295166589E-7</v>
      </c>
    </row>
    <row r="30" spans="1:14">
      <c r="A30" s="47"/>
      <c r="B30" s="8" t="s">
        <v>158</v>
      </c>
      <c r="C30" s="11">
        <v>182877</v>
      </c>
      <c r="D30" s="11">
        <v>0</v>
      </c>
      <c r="E30" s="11">
        <v>195199</v>
      </c>
      <c r="F30" s="11">
        <v>218155</v>
      </c>
      <c r="G30" s="11">
        <v>0</v>
      </c>
      <c r="H30" s="11">
        <v>150063</v>
      </c>
      <c r="I30" s="11">
        <v>91828</v>
      </c>
      <c r="J30" s="11">
        <v>215432</v>
      </c>
      <c r="K30" s="11">
        <v>0</v>
      </c>
      <c r="L30" s="13">
        <f t="shared" ref="L30:L59" si="9">SUM(C30:K30)</f>
        <v>1053554</v>
      </c>
      <c r="M30" s="13">
        <f t="shared" si="1"/>
        <v>124382.42857142857</v>
      </c>
      <c r="N30" s="10">
        <f>L30/L13</f>
        <v>0.13443147650893672</v>
      </c>
    </row>
    <row r="31" spans="1:14">
      <c r="A31" s="47"/>
      <c r="B31" s="8" t="s">
        <v>159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3">
        <f t="shared" si="9"/>
        <v>0</v>
      </c>
      <c r="M31" s="13">
        <f t="shared" si="1"/>
        <v>0</v>
      </c>
      <c r="N31" s="10">
        <f>L31/L13</f>
        <v>0</v>
      </c>
    </row>
    <row r="32" spans="1:14">
      <c r="A32" s="47"/>
      <c r="B32" s="8" t="s">
        <v>160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3">
        <f t="shared" si="9"/>
        <v>0</v>
      </c>
      <c r="M32" s="13">
        <f t="shared" si="1"/>
        <v>0</v>
      </c>
      <c r="N32" s="10">
        <f>L32/L13</f>
        <v>0</v>
      </c>
    </row>
    <row r="33" spans="1:14">
      <c r="A33" s="47"/>
      <c r="B33" s="20" t="s">
        <v>161</v>
      </c>
      <c r="C33" s="21">
        <f>SUM(C30:C32)</f>
        <v>182877</v>
      </c>
      <c r="D33" s="21">
        <f t="shared" ref="D33:J33" si="10">SUM(D30:D32)</f>
        <v>0</v>
      </c>
      <c r="E33" s="21">
        <f t="shared" si="10"/>
        <v>195199</v>
      </c>
      <c r="F33" s="21">
        <f t="shared" si="10"/>
        <v>218155</v>
      </c>
      <c r="G33" s="21">
        <f t="shared" si="10"/>
        <v>0</v>
      </c>
      <c r="H33" s="21">
        <f t="shared" si="10"/>
        <v>150063</v>
      </c>
      <c r="I33" s="21">
        <f t="shared" si="10"/>
        <v>91828</v>
      </c>
      <c r="J33" s="21">
        <f t="shared" si="10"/>
        <v>215432</v>
      </c>
      <c r="K33" s="21">
        <f>SUM(K30:K32)</f>
        <v>0</v>
      </c>
      <c r="L33" s="23">
        <f t="shared" si="9"/>
        <v>1053554</v>
      </c>
      <c r="M33" s="23">
        <f t="shared" si="1"/>
        <v>124382.42857142857</v>
      </c>
      <c r="N33" s="24">
        <f>L33/L13</f>
        <v>0.13443147650893672</v>
      </c>
    </row>
    <row r="34" spans="1:14">
      <c r="A34" s="47" t="s">
        <v>162</v>
      </c>
      <c r="B34" s="8" t="s">
        <v>163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2008</v>
      </c>
      <c r="J34" s="11">
        <v>2008</v>
      </c>
      <c r="K34" s="11">
        <v>2008</v>
      </c>
      <c r="L34" s="13">
        <f t="shared" si="9"/>
        <v>16064</v>
      </c>
      <c r="M34" s="13">
        <f t="shared" si="1"/>
        <v>1721.1428571428571</v>
      </c>
      <c r="N34" s="10">
        <f>L34/L13</f>
        <v>2.0497356933195255E-3</v>
      </c>
    </row>
    <row r="35" spans="1:14">
      <c r="A35" s="47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3">
        <f t="shared" si="9"/>
        <v>0</v>
      </c>
      <c r="M35" s="13">
        <f t="shared" si="1"/>
        <v>0</v>
      </c>
      <c r="N35" s="10">
        <f>L35/L13</f>
        <v>0</v>
      </c>
    </row>
    <row r="36" spans="1:14">
      <c r="A36" s="47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3">
        <f t="shared" si="9"/>
        <v>0</v>
      </c>
      <c r="M36" s="13">
        <f t="shared" si="1"/>
        <v>0</v>
      </c>
      <c r="N36" s="10">
        <f>L36/L13</f>
        <v>0</v>
      </c>
    </row>
    <row r="37" spans="1:14">
      <c r="A37" s="47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3">
        <f t="shared" si="9"/>
        <v>0</v>
      </c>
      <c r="M37" s="13">
        <f t="shared" si="1"/>
        <v>0</v>
      </c>
      <c r="N37" s="10">
        <f>L37/L13</f>
        <v>0</v>
      </c>
    </row>
    <row r="38" spans="1:14">
      <c r="A38" s="47"/>
      <c r="B38" s="8" t="s">
        <v>164</v>
      </c>
      <c r="C38" s="11">
        <v>4621</v>
      </c>
      <c r="D38" s="11">
        <v>0</v>
      </c>
      <c r="E38" s="11">
        <v>4621</v>
      </c>
      <c r="F38" s="11">
        <v>7034</v>
      </c>
      <c r="G38" s="11">
        <v>9033</v>
      </c>
      <c r="H38" s="11">
        <v>5366</v>
      </c>
      <c r="I38" s="11">
        <v>5366</v>
      </c>
      <c r="J38" s="11">
        <v>5366</v>
      </c>
      <c r="K38" s="11">
        <v>8428</v>
      </c>
      <c r="L38" s="13">
        <f t="shared" si="9"/>
        <v>49835</v>
      </c>
      <c r="M38" s="13">
        <f t="shared" si="1"/>
        <v>5255.1428571428569</v>
      </c>
      <c r="N38" s="10">
        <f>L38/L13</f>
        <v>6.3588507393288439E-3</v>
      </c>
    </row>
    <row r="39" spans="1:14">
      <c r="A39" s="47"/>
      <c r="B39" s="20" t="s">
        <v>165</v>
      </c>
      <c r="C39" s="21">
        <f t="shared" ref="C39:J39" si="11">SUM(C34:C38)</f>
        <v>6629</v>
      </c>
      <c r="D39" s="21">
        <f t="shared" si="11"/>
        <v>0</v>
      </c>
      <c r="E39" s="21">
        <f t="shared" si="11"/>
        <v>6629</v>
      </c>
      <c r="F39" s="21">
        <f t="shared" si="11"/>
        <v>9042</v>
      </c>
      <c r="G39" s="21">
        <f t="shared" si="11"/>
        <v>11041</v>
      </c>
      <c r="H39" s="21">
        <f t="shared" si="11"/>
        <v>7374</v>
      </c>
      <c r="I39" s="21">
        <f t="shared" si="11"/>
        <v>7374</v>
      </c>
      <c r="J39" s="21">
        <f t="shared" si="11"/>
        <v>7374</v>
      </c>
      <c r="K39" s="21">
        <f>SUM(K34:K38)</f>
        <v>10436</v>
      </c>
      <c r="L39" s="23">
        <f t="shared" si="9"/>
        <v>65899</v>
      </c>
      <c r="M39" s="23">
        <f t="shared" si="1"/>
        <v>6976.2857142857147</v>
      </c>
      <c r="N39" s="24">
        <f>L39/L13</f>
        <v>8.4085864326483694E-3</v>
      </c>
    </row>
    <row r="40" spans="1:14">
      <c r="A40" s="47" t="s">
        <v>166</v>
      </c>
      <c r="B40" s="8" t="s">
        <v>167</v>
      </c>
      <c r="C40" s="11">
        <v>164130</v>
      </c>
      <c r="D40" s="11">
        <v>0</v>
      </c>
      <c r="E40" s="11">
        <v>192240</v>
      </c>
      <c r="F40" s="11">
        <v>155230</v>
      </c>
      <c r="G40" s="11">
        <v>0</v>
      </c>
      <c r="H40" s="11">
        <v>185270</v>
      </c>
      <c r="I40" s="11">
        <v>110930</v>
      </c>
      <c r="J40" s="11">
        <v>258510</v>
      </c>
      <c r="K40" s="11">
        <v>0</v>
      </c>
      <c r="L40" s="13">
        <f t="shared" si="9"/>
        <v>1066310</v>
      </c>
      <c r="M40" s="13">
        <f t="shared" si="1"/>
        <v>128882.85714285714</v>
      </c>
      <c r="N40" s="10">
        <f>L40/L13</f>
        <v>0.13605911772556917</v>
      </c>
    </row>
    <row r="41" spans="1:14">
      <c r="A41" s="47"/>
      <c r="B41" s="8" t="s">
        <v>168</v>
      </c>
      <c r="C41" s="11">
        <v>-109310</v>
      </c>
      <c r="D41" s="11">
        <v>0</v>
      </c>
      <c r="E41" s="11">
        <v>-143096</v>
      </c>
      <c r="F41" s="11">
        <v>-120457</v>
      </c>
      <c r="G41" s="11">
        <v>0</v>
      </c>
      <c r="H41" s="11">
        <v>-79970</v>
      </c>
      <c r="I41" s="11">
        <v>-61521</v>
      </c>
      <c r="J41" s="11">
        <v>-121619</v>
      </c>
      <c r="K41" s="11">
        <v>0</v>
      </c>
      <c r="L41" s="13">
        <f t="shared" si="9"/>
        <v>-635973</v>
      </c>
      <c r="M41" s="13">
        <f t="shared" si="1"/>
        <v>-75237.571428571435</v>
      </c>
      <c r="N41" s="10">
        <f>L41/L13</f>
        <v>-8.1148939123972766E-2</v>
      </c>
    </row>
    <row r="42" spans="1:14">
      <c r="A42" s="47"/>
      <c r="B42" s="8" t="s">
        <v>169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3">
        <f t="shared" si="9"/>
        <v>0</v>
      </c>
      <c r="M42" s="13">
        <f t="shared" si="1"/>
        <v>0</v>
      </c>
      <c r="N42" s="10">
        <f>L42/L13</f>
        <v>0</v>
      </c>
    </row>
    <row r="43" spans="1:14">
      <c r="A43" s="47"/>
      <c r="B43" s="8" t="s">
        <v>170</v>
      </c>
      <c r="C43" s="11">
        <v>-52521.599999999999</v>
      </c>
      <c r="D43" s="11">
        <v>0</v>
      </c>
      <c r="E43" s="11">
        <v>-61516.800000000003</v>
      </c>
      <c r="F43" s="11">
        <v>-49673.599999999999</v>
      </c>
      <c r="G43" s="11">
        <v>0</v>
      </c>
      <c r="H43" s="11">
        <v>-59286.400000000001</v>
      </c>
      <c r="I43" s="11">
        <v>-35497.599999999999</v>
      </c>
      <c r="J43" s="11">
        <v>-82723.199999999997</v>
      </c>
      <c r="K43" s="11">
        <v>0</v>
      </c>
      <c r="L43" s="13">
        <f t="shared" si="9"/>
        <v>-341219.2</v>
      </c>
      <c r="M43" s="13">
        <f>AVERAGE(B43:J43)</f>
        <v>-42652.4</v>
      </c>
      <c r="N43" s="10">
        <f>L43/L13</f>
        <v>-4.353891767218214E-2</v>
      </c>
    </row>
    <row r="44" spans="1:14">
      <c r="A44" s="47"/>
      <c r="B44" s="20" t="s">
        <v>171</v>
      </c>
      <c r="C44" s="21">
        <f t="shared" ref="C44:J44" si="12">SUM(C40:C43)</f>
        <v>2298.4000000000015</v>
      </c>
      <c r="D44" s="21">
        <f t="shared" si="12"/>
        <v>0</v>
      </c>
      <c r="E44" s="21">
        <f t="shared" si="12"/>
        <v>-12372.800000000003</v>
      </c>
      <c r="F44" s="21">
        <f t="shared" si="12"/>
        <v>-14900.599999999999</v>
      </c>
      <c r="G44" s="21">
        <f t="shared" si="12"/>
        <v>0</v>
      </c>
      <c r="H44" s="21">
        <f t="shared" si="12"/>
        <v>46013.599999999999</v>
      </c>
      <c r="I44" s="21">
        <f t="shared" si="12"/>
        <v>13911.400000000001</v>
      </c>
      <c r="J44" s="21">
        <f t="shared" si="12"/>
        <v>54167.8</v>
      </c>
      <c r="K44" s="21">
        <f>SUM(K40:K43)</f>
        <v>0</v>
      </c>
      <c r="L44" s="23">
        <f t="shared" si="9"/>
        <v>89117.8</v>
      </c>
      <c r="M44" s="23">
        <f>AVERAGE(B44:J44)</f>
        <v>11139.725</v>
      </c>
      <c r="N44" s="24">
        <f>L44/L13</f>
        <v>1.1371260929414269E-2</v>
      </c>
    </row>
    <row r="45" spans="1:14">
      <c r="A45" s="47" t="s">
        <v>172</v>
      </c>
      <c r="B45" s="8" t="s">
        <v>173</v>
      </c>
      <c r="C45" s="11">
        <v>372385</v>
      </c>
      <c r="D45" s="11">
        <v>0</v>
      </c>
      <c r="E45" s="11">
        <v>385321</v>
      </c>
      <c r="F45" s="11">
        <v>370861</v>
      </c>
      <c r="G45" s="11">
        <v>0</v>
      </c>
      <c r="H45" s="11">
        <v>416306</v>
      </c>
      <c r="I45" s="11">
        <v>355416</v>
      </c>
      <c r="J45" s="11">
        <v>328594</v>
      </c>
      <c r="K45" s="11">
        <v>0</v>
      </c>
      <c r="L45" s="13">
        <f t="shared" si="9"/>
        <v>2228883</v>
      </c>
      <c r="M45" s="13">
        <f t="shared" ref="M45:M60" si="13">AVERAGE(D45:J45)</f>
        <v>265214</v>
      </c>
      <c r="N45" s="10">
        <f>L45/L13</f>
        <v>0.2844012102423496</v>
      </c>
    </row>
    <row r="46" spans="1:14">
      <c r="A46" s="47"/>
      <c r="B46" s="8" t="s">
        <v>174</v>
      </c>
      <c r="C46" s="11">
        <v>16000</v>
      </c>
      <c r="D46" s="11">
        <v>0</v>
      </c>
      <c r="E46" s="11">
        <v>13500</v>
      </c>
      <c r="F46" s="11">
        <v>14333</v>
      </c>
      <c r="G46" s="11">
        <v>0</v>
      </c>
      <c r="H46" s="11">
        <v>24000</v>
      </c>
      <c r="I46" s="11">
        <v>14333</v>
      </c>
      <c r="J46" s="11">
        <v>0</v>
      </c>
      <c r="K46" s="11">
        <v>0</v>
      </c>
      <c r="L46" s="13">
        <f t="shared" si="9"/>
        <v>82166</v>
      </c>
      <c r="M46" s="13">
        <f t="shared" si="13"/>
        <v>9452.2857142857138</v>
      </c>
      <c r="N46" s="10">
        <f>L46/L13</f>
        <v>1.0484224537929042E-2</v>
      </c>
    </row>
    <row r="47" spans="1:14">
      <c r="A47" s="47"/>
      <c r="B47" s="8" t="s">
        <v>175</v>
      </c>
      <c r="C47" s="11">
        <v>64744</v>
      </c>
      <c r="D47" s="11">
        <v>0</v>
      </c>
      <c r="E47" s="11">
        <v>64365</v>
      </c>
      <c r="F47" s="11">
        <v>64491</v>
      </c>
      <c r="G47" s="11">
        <v>0</v>
      </c>
      <c r="H47" s="11">
        <v>62926</v>
      </c>
      <c r="I47" s="11">
        <v>64491</v>
      </c>
      <c r="J47" s="11">
        <v>50200</v>
      </c>
      <c r="K47" s="11">
        <v>0</v>
      </c>
      <c r="L47" s="13">
        <f t="shared" si="9"/>
        <v>371217</v>
      </c>
      <c r="M47" s="13">
        <f t="shared" si="13"/>
        <v>43781.857142857145</v>
      </c>
      <c r="N47" s="10">
        <f>L47/L13</f>
        <v>4.7366579610744169E-2</v>
      </c>
    </row>
    <row r="48" spans="1:14">
      <c r="A48" s="47"/>
      <c r="B48" s="8" t="s">
        <v>176</v>
      </c>
      <c r="C48" s="11">
        <v>6000</v>
      </c>
      <c r="D48" s="11">
        <v>0</v>
      </c>
      <c r="E48" s="11">
        <v>6000</v>
      </c>
      <c r="F48" s="11">
        <v>6000</v>
      </c>
      <c r="G48" s="11">
        <v>0</v>
      </c>
      <c r="H48" s="11">
        <v>6000</v>
      </c>
      <c r="I48" s="11">
        <v>6000</v>
      </c>
      <c r="J48" s="11">
        <v>0</v>
      </c>
      <c r="K48" s="11">
        <v>0</v>
      </c>
      <c r="L48" s="13">
        <f t="shared" si="9"/>
        <v>30000</v>
      </c>
      <c r="M48" s="13">
        <f t="shared" si="13"/>
        <v>3428.5714285714284</v>
      </c>
      <c r="N48" s="10">
        <f>L48/L13</f>
        <v>3.8279426543566834E-3</v>
      </c>
    </row>
    <row r="49" spans="1:14">
      <c r="A49" s="47"/>
      <c r="B49" s="20" t="s">
        <v>177</v>
      </c>
      <c r="C49" s="21">
        <f t="shared" ref="C49:J49" si="14">SUM(C45:C48)</f>
        <v>459129</v>
      </c>
      <c r="D49" s="21">
        <f t="shared" si="14"/>
        <v>0</v>
      </c>
      <c r="E49" s="21">
        <f t="shared" si="14"/>
        <v>469186</v>
      </c>
      <c r="F49" s="21">
        <f t="shared" si="14"/>
        <v>455685</v>
      </c>
      <c r="G49" s="21">
        <f t="shared" si="14"/>
        <v>0</v>
      </c>
      <c r="H49" s="21">
        <f t="shared" si="14"/>
        <v>509232</v>
      </c>
      <c r="I49" s="21">
        <f t="shared" si="14"/>
        <v>440240</v>
      </c>
      <c r="J49" s="21">
        <f t="shared" si="14"/>
        <v>378794</v>
      </c>
      <c r="K49" s="21">
        <f>SUM(K45:K48)</f>
        <v>0</v>
      </c>
      <c r="L49" s="23">
        <f t="shared" si="9"/>
        <v>2712266</v>
      </c>
      <c r="M49" s="23">
        <f t="shared" si="13"/>
        <v>321876.71428571426</v>
      </c>
      <c r="N49" s="24">
        <f>L49/L13</f>
        <v>0.34607995704537947</v>
      </c>
    </row>
    <row r="50" spans="1:14">
      <c r="A50" s="47" t="s">
        <v>178</v>
      </c>
      <c r="B50" s="8" t="s">
        <v>179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3">
        <f t="shared" si="9"/>
        <v>0</v>
      </c>
      <c r="M50" s="13">
        <f t="shared" si="13"/>
        <v>0</v>
      </c>
      <c r="N50" s="10">
        <f>L50/L13</f>
        <v>0</v>
      </c>
    </row>
    <row r="51" spans="1:14">
      <c r="A51" s="47"/>
      <c r="B51" s="8" t="s">
        <v>180</v>
      </c>
      <c r="C51" s="11">
        <v>0</v>
      </c>
      <c r="D51" s="11">
        <v>1272852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3">
        <f t="shared" si="9"/>
        <v>1272852</v>
      </c>
      <c r="M51" s="13">
        <f t="shared" si="13"/>
        <v>181836</v>
      </c>
      <c r="N51" s="10">
        <f>L51/L13</f>
        <v>0.16241348211610712</v>
      </c>
    </row>
    <row r="52" spans="1:14">
      <c r="A52" s="47"/>
      <c r="B52" s="8" t="s">
        <v>181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3">
        <f t="shared" si="9"/>
        <v>0</v>
      </c>
      <c r="M52" s="13">
        <f t="shared" si="13"/>
        <v>0</v>
      </c>
      <c r="N52" s="10">
        <f>L52/L13</f>
        <v>0</v>
      </c>
    </row>
    <row r="53" spans="1:14">
      <c r="A53" s="47"/>
      <c r="B53" s="8" t="s">
        <v>182</v>
      </c>
      <c r="C53" s="11">
        <v>99662.875</v>
      </c>
      <c r="D53" s="11">
        <v>0</v>
      </c>
      <c r="E53" s="11">
        <v>99662.875</v>
      </c>
      <c r="F53" s="11">
        <v>99662.875</v>
      </c>
      <c r="G53" s="11">
        <v>99662.875</v>
      </c>
      <c r="H53" s="11">
        <v>99662.875</v>
      </c>
      <c r="I53" s="11">
        <v>99662.875</v>
      </c>
      <c r="J53" s="11">
        <v>99662.875</v>
      </c>
      <c r="K53" s="11">
        <v>99662.875</v>
      </c>
      <c r="L53" s="13">
        <f t="shared" si="9"/>
        <v>797303</v>
      </c>
      <c r="M53" s="13">
        <f t="shared" si="13"/>
        <v>85425.321428571435</v>
      </c>
      <c r="N53" s="10">
        <f>L53/L13</f>
        <v>0.10173433873821823</v>
      </c>
    </row>
    <row r="54" spans="1:14">
      <c r="A54" s="47"/>
      <c r="B54" s="8" t="s">
        <v>183</v>
      </c>
      <c r="C54" s="11">
        <v>77922</v>
      </c>
      <c r="D54" s="11">
        <v>0</v>
      </c>
      <c r="E54" s="11">
        <v>77922</v>
      </c>
      <c r="F54" s="11">
        <v>77922</v>
      </c>
      <c r="G54" s="11">
        <v>77922</v>
      </c>
      <c r="H54" s="11">
        <v>77922</v>
      </c>
      <c r="I54" s="11">
        <v>77922</v>
      </c>
      <c r="J54" s="11">
        <v>77922</v>
      </c>
      <c r="K54" s="11">
        <v>77922</v>
      </c>
      <c r="L54" s="13">
        <f t="shared" si="9"/>
        <v>623376</v>
      </c>
      <c r="M54" s="13">
        <f t="shared" si="13"/>
        <v>66790.28571428571</v>
      </c>
      <c r="N54" s="10">
        <f>L54/L13</f>
        <v>7.9541586003408396E-2</v>
      </c>
    </row>
    <row r="55" spans="1:14">
      <c r="A55" s="47"/>
      <c r="B55" s="20" t="s">
        <v>184</v>
      </c>
      <c r="C55" s="21">
        <f t="shared" ref="C55:J55" si="15">SUM(C50:C54)</f>
        <v>177584.875</v>
      </c>
      <c r="D55" s="21">
        <f t="shared" si="15"/>
        <v>1272852</v>
      </c>
      <c r="E55" s="21">
        <f t="shared" si="15"/>
        <v>177584.875</v>
      </c>
      <c r="F55" s="21">
        <f t="shared" si="15"/>
        <v>177584.875</v>
      </c>
      <c r="G55" s="21">
        <f t="shared" si="15"/>
        <v>177584.875</v>
      </c>
      <c r="H55" s="21">
        <f t="shared" si="15"/>
        <v>177584.875</v>
      </c>
      <c r="I55" s="21">
        <f t="shared" si="15"/>
        <v>177584.875</v>
      </c>
      <c r="J55" s="21">
        <f t="shared" si="15"/>
        <v>177584.875</v>
      </c>
      <c r="K55" s="21">
        <f>SUM(K50:K54)</f>
        <v>177584.875</v>
      </c>
      <c r="L55" s="23">
        <f t="shared" si="9"/>
        <v>2693531</v>
      </c>
      <c r="M55" s="23">
        <f t="shared" si="13"/>
        <v>334051.60714285716</v>
      </c>
      <c r="N55" s="24">
        <f>L55/L13</f>
        <v>0.34368940685773375</v>
      </c>
    </row>
    <row r="56" spans="1:14">
      <c r="A56" s="46" t="s">
        <v>185</v>
      </c>
      <c r="B56" s="46"/>
      <c r="C56" s="11">
        <f t="shared" ref="C56:J56" si="16">SUM(C49+C22+C27+C33+C39+C44+C55)</f>
        <v>1004444.5607142857</v>
      </c>
      <c r="D56" s="11">
        <f t="shared" si="16"/>
        <v>1272852</v>
      </c>
      <c r="E56" s="11">
        <f t="shared" si="16"/>
        <v>900748.78928571427</v>
      </c>
      <c r="F56" s="11">
        <f t="shared" si="16"/>
        <v>1190319.8464285713</v>
      </c>
      <c r="G56" s="11">
        <f t="shared" si="16"/>
        <v>511008.96071428573</v>
      </c>
      <c r="H56" s="11">
        <f t="shared" si="16"/>
        <v>950320.41785714286</v>
      </c>
      <c r="I56" s="11">
        <f t="shared" si="16"/>
        <v>801046.04642857146</v>
      </c>
      <c r="J56" s="11">
        <f t="shared" si="16"/>
        <v>1051543.0464285715</v>
      </c>
      <c r="K56" s="11">
        <f>SUM(K49+K22+K27+K33+K39+K44+K55)</f>
        <v>413678.875</v>
      </c>
      <c r="L56" s="13">
        <f t="shared" si="9"/>
        <v>8095962.5428571431</v>
      </c>
      <c r="M56" s="13">
        <f t="shared" si="13"/>
        <v>953977.01530612248</v>
      </c>
      <c r="N56" s="10">
        <f>L56/L13</f>
        <v>1.033029344862562</v>
      </c>
    </row>
    <row r="57" spans="1:14">
      <c r="A57" s="46" t="s">
        <v>186</v>
      </c>
      <c r="B57" s="46"/>
      <c r="C57" s="11">
        <f>SUM(C13+C14-C56)</f>
        <v>229295.4392857143</v>
      </c>
      <c r="D57" s="11">
        <f t="shared" ref="D57:J57" si="17">SUM(D13+D14-D56)</f>
        <v>90846</v>
      </c>
      <c r="E57" s="11">
        <f t="shared" si="17"/>
        <v>397589.21071428573</v>
      </c>
      <c r="F57" s="11">
        <f t="shared" si="17"/>
        <v>45912.153571428731</v>
      </c>
      <c r="G57" s="11">
        <f t="shared" si="17"/>
        <v>-511008.96071428573</v>
      </c>
      <c r="H57" s="11">
        <f t="shared" si="17"/>
        <v>-69020.417857142864</v>
      </c>
      <c r="I57" s="11">
        <f t="shared" si="17"/>
        <v>-206046.04642857146</v>
      </c>
      <c r="J57" s="11">
        <f t="shared" si="17"/>
        <v>177256.95357142854</v>
      </c>
      <c r="K57" s="11">
        <f>SUM(K13+K14-K56)</f>
        <v>-413678.875</v>
      </c>
      <c r="L57" s="13">
        <f t="shared" si="9"/>
        <v>-258854.54285714275</v>
      </c>
      <c r="M57" s="13">
        <f t="shared" si="13"/>
        <v>-10638.72959183672</v>
      </c>
      <c r="N57" s="10">
        <f>L57/L13</f>
        <v>-3.3029344862561899E-2</v>
      </c>
    </row>
    <row r="58" spans="1:14">
      <c r="A58" s="46" t="s">
        <v>187</v>
      </c>
      <c r="B58" s="46"/>
      <c r="C58" s="11">
        <v>117386.075</v>
      </c>
      <c r="D58" s="11">
        <v>0</v>
      </c>
      <c r="E58" s="11">
        <v>117386.075</v>
      </c>
      <c r="F58" s="11">
        <v>117386.075</v>
      </c>
      <c r="G58" s="11">
        <v>117386.075</v>
      </c>
      <c r="H58" s="11">
        <v>117386.075</v>
      </c>
      <c r="I58" s="11">
        <v>117386.075</v>
      </c>
      <c r="J58" s="11">
        <v>117386.075</v>
      </c>
      <c r="K58" s="11">
        <v>117386.075</v>
      </c>
      <c r="L58" s="13">
        <f t="shared" si="9"/>
        <v>939088.59999999986</v>
      </c>
      <c r="M58" s="13">
        <f t="shared" si="13"/>
        <v>100616.6357142857</v>
      </c>
      <c r="N58" s="10">
        <f>L58/L13</f>
        <v>0.11982591027200339</v>
      </c>
    </row>
    <row r="59" spans="1:14">
      <c r="A59" s="46" t="s">
        <v>188</v>
      </c>
      <c r="B59" s="46"/>
      <c r="C59" s="11">
        <v>46460</v>
      </c>
      <c r="D59" s="11">
        <v>0</v>
      </c>
      <c r="E59" s="11">
        <v>46460</v>
      </c>
      <c r="F59" s="11">
        <v>46460</v>
      </c>
      <c r="G59" s="11">
        <v>46460</v>
      </c>
      <c r="H59" s="11">
        <v>46460</v>
      </c>
      <c r="I59" s="11">
        <v>46460</v>
      </c>
      <c r="J59" s="11">
        <v>46460</v>
      </c>
      <c r="K59" s="11">
        <v>46460</v>
      </c>
      <c r="L59" s="13">
        <f t="shared" si="9"/>
        <v>371680</v>
      </c>
      <c r="M59" s="13">
        <f t="shared" si="13"/>
        <v>39822.857142857145</v>
      </c>
      <c r="N59" s="10">
        <f>L59/L13</f>
        <v>4.7425657525709736E-2</v>
      </c>
    </row>
    <row r="60" spans="1:14">
      <c r="A60" s="46" t="s">
        <v>189</v>
      </c>
      <c r="B60" s="46"/>
      <c r="C60" s="11">
        <f>SUM(C57-(C58+C59))</f>
        <v>65449.364285714284</v>
      </c>
      <c r="D60" s="11">
        <f t="shared" ref="D60:J60" si="18">SUM(D57-(D58+D59))</f>
        <v>90846</v>
      </c>
      <c r="E60" s="11">
        <f t="shared" si="18"/>
        <v>233743.13571428572</v>
      </c>
      <c r="F60" s="11">
        <f t="shared" si="18"/>
        <v>-117933.92142857128</v>
      </c>
      <c r="G60" s="11">
        <f t="shared" si="18"/>
        <v>-674855.03571428568</v>
      </c>
      <c r="H60" s="11">
        <f t="shared" si="18"/>
        <v>-232866.49285714288</v>
      </c>
      <c r="I60" s="11">
        <f t="shared" si="18"/>
        <v>-369892.12142857147</v>
      </c>
      <c r="J60" s="11">
        <f t="shared" si="18"/>
        <v>13410.878571428533</v>
      </c>
      <c r="K60" s="11">
        <f>SUM(K57-(K58+K59))</f>
        <v>-577524.94999999995</v>
      </c>
      <c r="L60" s="13">
        <f>SUM(C60:K60)</f>
        <v>-1569623.1428571427</v>
      </c>
      <c r="M60" s="13">
        <f t="shared" si="13"/>
        <v>-151078.22244897956</v>
      </c>
      <c r="N60" s="10">
        <f>L60/L13</f>
        <v>-0.20028091266027503</v>
      </c>
    </row>
    <row r="61" spans="1:14">
      <c r="A61" s="8"/>
      <c r="B61" s="32" t="s">
        <v>51</v>
      </c>
      <c r="C61" s="32"/>
      <c r="D61" s="32"/>
      <c r="E61" s="32"/>
      <c r="F61" s="32" t="s">
        <v>190</v>
      </c>
      <c r="G61" s="32"/>
      <c r="H61" s="8"/>
      <c r="I61" s="8"/>
      <c r="J61" s="8"/>
      <c r="K61" s="8"/>
    </row>
    <row r="62" spans="1:14">
      <c r="A62" s="9"/>
      <c r="B62" s="33"/>
      <c r="C62" s="45" t="s">
        <v>191</v>
      </c>
      <c r="D62" s="42" t="s">
        <v>192</v>
      </c>
      <c r="E62" s="42" t="s">
        <v>193</v>
      </c>
      <c r="F62" s="42" t="s">
        <v>194</v>
      </c>
      <c r="G62" s="42" t="s">
        <v>195</v>
      </c>
      <c r="H62" s="34"/>
      <c r="I62" s="8"/>
      <c r="J62" s="8"/>
      <c r="K62" s="8"/>
    </row>
    <row r="63" spans="1:14">
      <c r="A63" s="9"/>
      <c r="B63" s="35" t="s">
        <v>196</v>
      </c>
      <c r="C63" s="25">
        <v>0</v>
      </c>
      <c r="D63" s="25">
        <v>797303</v>
      </c>
      <c r="E63" s="25">
        <v>623376</v>
      </c>
      <c r="F63" s="25">
        <v>4695443</v>
      </c>
      <c r="G63" s="25">
        <v>1858400</v>
      </c>
      <c r="H63" s="34"/>
      <c r="I63" s="8"/>
      <c r="J63" s="8"/>
      <c r="K63" s="8"/>
    </row>
    <row r="64" spans="1:14">
      <c r="A64" s="9"/>
      <c r="B64" s="36" t="s">
        <v>197</v>
      </c>
      <c r="C64" s="25">
        <v>8</v>
      </c>
      <c r="D64" s="25">
        <v>8</v>
      </c>
      <c r="E64" s="25">
        <v>8</v>
      </c>
      <c r="F64" s="25">
        <v>40</v>
      </c>
      <c r="G64" s="25">
        <v>40</v>
      </c>
      <c r="H64" s="34"/>
      <c r="I64" s="8"/>
      <c r="J64" s="8"/>
      <c r="K64" s="8"/>
    </row>
    <row r="65" spans="1:11">
      <c r="A65" s="9"/>
      <c r="B65" s="36" t="s">
        <v>46</v>
      </c>
      <c r="C65" s="11">
        <f>SUM(C63/C64)</f>
        <v>0</v>
      </c>
      <c r="D65" s="11">
        <f t="shared" ref="D65:G65" si="19">SUM(D63/D64)</f>
        <v>99662.875</v>
      </c>
      <c r="E65" s="11">
        <f t="shared" si="19"/>
        <v>77922</v>
      </c>
      <c r="F65" s="11">
        <f t="shared" si="19"/>
        <v>117386.075</v>
      </c>
      <c r="G65" s="11">
        <f t="shared" si="19"/>
        <v>46460</v>
      </c>
      <c r="H65" s="34"/>
      <c r="I65" s="8"/>
      <c r="J65" s="8"/>
      <c r="K65" s="8"/>
    </row>
    <row r="66" spans="1:11">
      <c r="A66" s="8"/>
      <c r="B66" s="37" t="s">
        <v>52</v>
      </c>
      <c r="C66" s="37"/>
      <c r="D66" s="37"/>
      <c r="E66" s="37"/>
      <c r="F66" s="37"/>
      <c r="G66" s="37"/>
      <c r="H66" s="8"/>
      <c r="I66" s="8"/>
      <c r="J66" s="8"/>
      <c r="K66" s="8"/>
    </row>
    <row r="67" spans="1:11">
      <c r="A67" s="8"/>
      <c r="B67" s="33"/>
      <c r="C67" s="45" t="s">
        <v>198</v>
      </c>
      <c r="D67" s="42" t="s">
        <v>199</v>
      </c>
      <c r="E67" s="42" t="s">
        <v>200</v>
      </c>
      <c r="F67" s="8"/>
      <c r="G67" s="8"/>
      <c r="H67" s="8"/>
      <c r="I67" s="8"/>
      <c r="J67" s="8"/>
      <c r="K67" s="8"/>
    </row>
    <row r="68" spans="1:11">
      <c r="A68" s="8"/>
      <c r="B68" s="35" t="s">
        <v>196</v>
      </c>
      <c r="C68" s="25">
        <v>117000</v>
      </c>
      <c r="D68" s="25">
        <v>1759712</v>
      </c>
      <c r="E68" s="25">
        <v>1163803</v>
      </c>
      <c r="F68" s="8"/>
      <c r="G68" s="8"/>
      <c r="H68" s="8"/>
      <c r="I68" s="8"/>
      <c r="J68" s="8"/>
      <c r="K68" s="8"/>
    </row>
    <row r="69" spans="1:11">
      <c r="A69" s="8"/>
      <c r="B69" s="36" t="s">
        <v>197</v>
      </c>
      <c r="C69" s="25">
        <v>18</v>
      </c>
      <c r="D69" s="25">
        <v>18</v>
      </c>
      <c r="E69" s="25">
        <v>18</v>
      </c>
      <c r="F69" s="8"/>
      <c r="G69" s="8"/>
      <c r="H69" s="8"/>
      <c r="I69" s="8"/>
      <c r="J69" s="8"/>
      <c r="K69" s="8"/>
    </row>
    <row r="70" spans="1:11">
      <c r="A70" s="8"/>
      <c r="B70" s="36" t="s">
        <v>46</v>
      </c>
      <c r="C70" s="11">
        <f>SUM(C68/C69)</f>
        <v>6500</v>
      </c>
      <c r="D70" s="11">
        <f t="shared" ref="D70:E70" si="20">SUM(D68/D69)</f>
        <v>97761.777777777781</v>
      </c>
      <c r="E70" s="11">
        <f t="shared" si="20"/>
        <v>64655.722222222219</v>
      </c>
      <c r="F70" s="8"/>
      <c r="G70" s="8"/>
      <c r="H70" s="8"/>
      <c r="I70" s="8"/>
      <c r="J70" s="8"/>
      <c r="K70" s="8"/>
    </row>
    <row r="71" spans="1:11">
      <c r="A71" s="8"/>
      <c r="B71" s="8" t="s">
        <v>201</v>
      </c>
      <c r="C71" s="8"/>
      <c r="D71" s="8"/>
      <c r="E71" s="8"/>
      <c r="F71" s="8"/>
      <c r="G71" s="8"/>
      <c r="H71" s="8"/>
      <c r="I71" s="8"/>
      <c r="J71" s="8"/>
      <c r="K71" s="8"/>
    </row>
    <row r="72" spans="1:11">
      <c r="A72" s="8"/>
      <c r="B72" s="33"/>
      <c r="C72" s="45" t="s">
        <v>202</v>
      </c>
      <c r="D72" s="42" t="s">
        <v>203</v>
      </c>
      <c r="E72" s="42" t="s">
        <v>204</v>
      </c>
      <c r="F72" s="8"/>
      <c r="G72" s="8"/>
      <c r="H72" s="8"/>
      <c r="I72" s="8"/>
      <c r="J72" s="8"/>
      <c r="K72" s="8"/>
    </row>
    <row r="73" spans="1:11">
      <c r="A73" s="8"/>
      <c r="B73" s="35" t="s">
        <v>196</v>
      </c>
      <c r="C73" s="25"/>
      <c r="D73" s="25"/>
      <c r="E73" s="25"/>
      <c r="F73" s="8"/>
      <c r="G73" s="8"/>
      <c r="H73" s="8"/>
      <c r="I73" s="8"/>
      <c r="J73" s="8"/>
      <c r="K73" s="8"/>
    </row>
    <row r="74" spans="1:11">
      <c r="A74" s="8"/>
      <c r="B74" s="36" t="s">
        <v>197</v>
      </c>
      <c r="C74" s="25"/>
      <c r="D74" s="25"/>
      <c r="E74" s="25"/>
      <c r="F74" s="8"/>
      <c r="G74" s="8"/>
      <c r="H74" s="8"/>
      <c r="I74" s="8"/>
      <c r="J74" s="8"/>
      <c r="K74" s="8"/>
    </row>
    <row r="75" spans="1:11">
      <c r="A75" s="8"/>
      <c r="B75" s="36" t="s">
        <v>46</v>
      </c>
      <c r="C75" s="11" t="e">
        <f>SUM(C73/C74)</f>
        <v>#DIV/0!</v>
      </c>
      <c r="D75" s="11" t="e">
        <f t="shared" ref="D75:E75" si="21">SUM(D73/D74)</f>
        <v>#DIV/0!</v>
      </c>
      <c r="E75" s="11" t="e">
        <f t="shared" si="21"/>
        <v>#DIV/0!</v>
      </c>
      <c r="F75" s="8"/>
      <c r="G75" s="8"/>
      <c r="H75" s="8"/>
      <c r="I75" s="8"/>
      <c r="J75" s="8"/>
      <c r="K75" s="8"/>
    </row>
    <row r="76" spans="1:11">
      <c r="A76" s="8"/>
      <c r="B76" s="8" t="s">
        <v>205</v>
      </c>
      <c r="C76" s="8"/>
      <c r="D76" s="8"/>
      <c r="E76" s="8"/>
      <c r="F76" s="8"/>
      <c r="G76" s="8"/>
      <c r="H76" s="8"/>
      <c r="I76" s="8"/>
      <c r="J76" s="8"/>
      <c r="K76" s="8"/>
    </row>
    <row r="77" spans="1:11">
      <c r="A77" s="8"/>
      <c r="B77" s="33"/>
      <c r="C77" s="45" t="s">
        <v>206</v>
      </c>
      <c r="D77" s="42" t="s">
        <v>207</v>
      </c>
      <c r="E77" s="42" t="s">
        <v>208</v>
      </c>
      <c r="F77" s="8"/>
      <c r="G77" s="8"/>
      <c r="H77" s="8"/>
      <c r="I77" s="8"/>
      <c r="J77" s="8"/>
      <c r="K77" s="8"/>
    </row>
    <row r="78" spans="1:11">
      <c r="A78" s="8"/>
      <c r="B78" s="35" t="s">
        <v>196</v>
      </c>
      <c r="C78" s="25"/>
      <c r="D78" s="25"/>
      <c r="E78" s="25"/>
      <c r="F78" s="8"/>
      <c r="G78" s="8"/>
      <c r="H78" s="8"/>
      <c r="I78" s="8"/>
      <c r="J78" s="8"/>
      <c r="K78" s="8"/>
    </row>
    <row r="79" spans="1:11">
      <c r="A79" s="8"/>
      <c r="B79" s="36" t="s">
        <v>197</v>
      </c>
      <c r="C79" s="25"/>
      <c r="D79" s="25"/>
      <c r="E79" s="25"/>
      <c r="F79" s="8"/>
      <c r="G79" s="8"/>
      <c r="H79" s="8"/>
      <c r="I79" s="8"/>
      <c r="J79" s="8"/>
      <c r="K79" s="8"/>
    </row>
    <row r="80" spans="1:11">
      <c r="A80" s="8"/>
      <c r="B80" s="36" t="s">
        <v>46</v>
      </c>
      <c r="C80" s="11" t="e">
        <f>SUM(C78/C79)</f>
        <v>#DIV/0!</v>
      </c>
      <c r="D80" s="11" t="e">
        <f t="shared" ref="D80:E80" si="22">SUM(D78/D79)</f>
        <v>#DIV/0!</v>
      </c>
      <c r="E80" s="11" t="e">
        <f t="shared" si="22"/>
        <v>#DIV/0!</v>
      </c>
      <c r="F80" s="8"/>
      <c r="G80" s="8"/>
      <c r="H80" s="8"/>
      <c r="I80" s="8"/>
      <c r="J80" s="8"/>
      <c r="K80" s="8"/>
    </row>
    <row r="81" spans="1:11">
      <c r="A81" s="8"/>
      <c r="B81" s="8" t="s">
        <v>209</v>
      </c>
      <c r="C81" s="8"/>
      <c r="D81" s="8"/>
      <c r="E81" s="8"/>
      <c r="F81" s="8"/>
      <c r="G81" s="8"/>
      <c r="H81" s="8"/>
      <c r="I81" s="8"/>
      <c r="J81" s="8"/>
      <c r="K81" s="8"/>
    </row>
    <row r="82" spans="1:11">
      <c r="A82" s="8"/>
      <c r="B82" s="33"/>
      <c r="C82" s="45" t="s">
        <v>210</v>
      </c>
      <c r="D82" s="42" t="s">
        <v>211</v>
      </c>
      <c r="E82" s="42" t="s">
        <v>212</v>
      </c>
      <c r="F82" s="8"/>
      <c r="G82" s="8"/>
      <c r="H82" s="8"/>
      <c r="I82" s="8"/>
      <c r="J82" s="8"/>
      <c r="K82" s="8"/>
    </row>
    <row r="83" spans="1:11">
      <c r="A83" s="8"/>
      <c r="B83" s="35" t="s">
        <v>196</v>
      </c>
      <c r="C83" s="25"/>
      <c r="D83" s="25"/>
      <c r="E83" s="25"/>
      <c r="F83" s="8"/>
      <c r="G83" s="8"/>
      <c r="H83" s="8"/>
      <c r="I83" s="8"/>
      <c r="J83" s="8"/>
      <c r="K83" s="8"/>
    </row>
    <row r="84" spans="1:11">
      <c r="A84" s="8"/>
      <c r="B84" s="36" t="s">
        <v>197</v>
      </c>
      <c r="C84" s="25"/>
      <c r="D84" s="25"/>
      <c r="E84" s="25"/>
      <c r="F84" s="8"/>
      <c r="G84" s="8"/>
      <c r="H84" s="8"/>
      <c r="I84" s="8"/>
      <c r="J84" s="8"/>
      <c r="K84" s="8"/>
    </row>
    <row r="85" spans="1:11">
      <c r="A85" s="8"/>
      <c r="B85" s="36" t="s">
        <v>46</v>
      </c>
      <c r="C85" s="11" t="e">
        <f>SUM(C83/C84)</f>
        <v>#DIV/0!</v>
      </c>
      <c r="D85" s="11" t="e">
        <f t="shared" ref="D85:E85" si="23">SUM(D83/D84)</f>
        <v>#DIV/0!</v>
      </c>
      <c r="E85" s="11" t="e">
        <f t="shared" si="23"/>
        <v>#DIV/0!</v>
      </c>
      <c r="F85" s="8"/>
      <c r="G85" s="8"/>
      <c r="H85" s="8"/>
      <c r="I85" s="8"/>
      <c r="J85" s="8"/>
      <c r="K85" s="8"/>
    </row>
    <row r="86" spans="1:11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</row>
    <row r="87" spans="1:11">
      <c r="A87" s="8"/>
      <c r="B87" s="33"/>
      <c r="C87" s="45" t="s">
        <v>213</v>
      </c>
      <c r="D87" s="42" t="s">
        <v>214</v>
      </c>
      <c r="E87" s="42" t="s">
        <v>215</v>
      </c>
      <c r="F87" s="8"/>
      <c r="G87" s="8"/>
      <c r="H87" s="8"/>
      <c r="I87" s="8"/>
      <c r="J87" s="8"/>
      <c r="K87" s="8"/>
    </row>
    <row r="88" spans="1:11">
      <c r="A88" s="8"/>
      <c r="B88" s="35" t="s">
        <v>196</v>
      </c>
      <c r="C88" s="25">
        <v>150000</v>
      </c>
      <c r="D88" s="25">
        <v>565275</v>
      </c>
      <c r="E88" s="25">
        <v>452590</v>
      </c>
      <c r="F88" s="8"/>
      <c r="G88" s="8"/>
      <c r="H88" s="8"/>
      <c r="I88" s="8"/>
      <c r="J88" s="8"/>
      <c r="K88" s="8"/>
    </row>
    <row r="89" spans="1:11">
      <c r="B89" s="36" t="s">
        <v>197</v>
      </c>
      <c r="C89" s="25">
        <v>7</v>
      </c>
      <c r="D89" s="25">
        <v>7</v>
      </c>
      <c r="E89" s="25">
        <v>7</v>
      </c>
    </row>
    <row r="90" spans="1:11">
      <c r="B90" s="36" t="s">
        <v>46</v>
      </c>
      <c r="C90" s="11">
        <f>SUM(C88/C89)</f>
        <v>21428.571428571428</v>
      </c>
      <c r="D90" s="11">
        <f t="shared" ref="D90:E90" si="24">SUM(D88/D89)</f>
        <v>80753.571428571435</v>
      </c>
      <c r="E90" s="11">
        <f t="shared" si="24"/>
        <v>64655.714285714283</v>
      </c>
    </row>
    <row r="92" spans="1:11">
      <c r="B92" s="33"/>
      <c r="C92" s="45" t="s">
        <v>216</v>
      </c>
      <c r="D92" s="42" t="s">
        <v>217</v>
      </c>
      <c r="E92" s="42" t="s">
        <v>218</v>
      </c>
    </row>
    <row r="93" spans="1:11">
      <c r="B93" s="35" t="s">
        <v>196</v>
      </c>
      <c r="C93" s="25">
        <v>297000</v>
      </c>
      <c r="D93" s="25">
        <v>585461</v>
      </c>
      <c r="E93" s="25">
        <v>254442</v>
      </c>
    </row>
    <row r="94" spans="1:11">
      <c r="B94" s="36" t="s">
        <v>197</v>
      </c>
      <c r="C94" s="25">
        <v>7</v>
      </c>
      <c r="D94" s="25">
        <v>7</v>
      </c>
      <c r="E94" s="25">
        <v>7</v>
      </c>
    </row>
    <row r="95" spans="1:11">
      <c r="B95" s="36" t="s">
        <v>46</v>
      </c>
      <c r="C95" s="11">
        <f>SUM(C93/C94)</f>
        <v>42428.571428571428</v>
      </c>
      <c r="D95" s="11">
        <f t="shared" ref="D95:E95" si="25">SUM(D93/D94)</f>
        <v>83637.28571428571</v>
      </c>
      <c r="E95" s="11">
        <f t="shared" si="25"/>
        <v>36348.857142857145</v>
      </c>
    </row>
    <row r="97" spans="2:5">
      <c r="B97" s="33"/>
      <c r="C97" s="45" t="s">
        <v>219</v>
      </c>
      <c r="D97" s="42" t="s">
        <v>220</v>
      </c>
      <c r="E97" s="42" t="s">
        <v>221</v>
      </c>
    </row>
    <row r="98" spans="2:5">
      <c r="B98" s="35" t="s">
        <v>196</v>
      </c>
      <c r="C98" s="25"/>
      <c r="D98" s="25"/>
      <c r="E98" s="25"/>
    </row>
    <row r="99" spans="2:5">
      <c r="B99" s="36" t="s">
        <v>197</v>
      </c>
      <c r="C99" s="25"/>
      <c r="D99" s="25"/>
      <c r="E99" s="25"/>
    </row>
    <row r="100" spans="2:5">
      <c r="B100" s="36" t="s">
        <v>46</v>
      </c>
      <c r="C100" s="11" t="e">
        <f>SUM(C98/C99)</f>
        <v>#DIV/0!</v>
      </c>
      <c r="D100" s="11" t="e">
        <f t="shared" ref="D100:E100" si="26">SUM(D98/D99)</f>
        <v>#DIV/0!</v>
      </c>
      <c r="E100" s="11" t="e">
        <f t="shared" si="26"/>
        <v>#DIV/0!</v>
      </c>
    </row>
    <row r="102" spans="2:5">
      <c r="B102" s="8" t="s">
        <v>222</v>
      </c>
      <c r="C102" s="5">
        <v>32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46184-6D1B-4340-AEC7-9D3DAC9A2D88}">
  <sheetPr codeName="Sheet3"/>
  <dimension ref="A2:AF102"/>
  <sheetViews>
    <sheetView workbookViewId="0">
      <selection activeCell="A3" sqref="A3:B3"/>
    </sheetView>
  </sheetViews>
  <sheetFormatPr defaultRowHeight="13.5"/>
  <cols>
    <col min="1" max="1" width="2.85546875" style="1" bestFit="1" customWidth="1"/>
    <col min="2" max="2" width="16.5703125" style="1" bestFit="1" customWidth="1"/>
    <col min="3" max="22" width="13" style="1" bestFit="1" customWidth="1"/>
    <col min="23" max="26" width="11" style="1" bestFit="1" customWidth="1"/>
    <col min="27" max="29" width="12.28515625" style="1" bestFit="1" customWidth="1"/>
    <col min="30" max="30" width="13.28515625" style="1" bestFit="1" customWidth="1"/>
    <col min="31" max="31" width="10" style="1" bestFit="1" customWidth="1"/>
    <col min="32" max="32" width="11" style="1" bestFit="1" customWidth="1"/>
    <col min="33" max="238" width="9" style="1"/>
    <col min="239" max="239" width="2.85546875" style="1" bestFit="1" customWidth="1"/>
    <col min="240" max="240" width="16.5703125" style="1" bestFit="1" customWidth="1"/>
    <col min="241" max="241" width="11.42578125" style="1" bestFit="1" customWidth="1"/>
    <col min="242" max="243" width="14.140625" style="1" bestFit="1" customWidth="1"/>
    <col min="244" max="244" width="11.42578125" style="1" bestFit="1" customWidth="1"/>
    <col min="245" max="248" width="12.42578125" style="1" bestFit="1" customWidth="1"/>
    <col min="249" max="268" width="13" style="1" bestFit="1" customWidth="1"/>
    <col min="269" max="272" width="11" style="1" bestFit="1" customWidth="1"/>
    <col min="273" max="275" width="12.28515625" style="1" bestFit="1" customWidth="1"/>
    <col min="276" max="285" width="11" style="1" bestFit="1" customWidth="1"/>
    <col min="286" max="286" width="13.28515625" style="1" bestFit="1" customWidth="1"/>
    <col min="287" max="287" width="10" style="1" bestFit="1" customWidth="1"/>
    <col min="288" max="288" width="11" style="1" bestFit="1" customWidth="1"/>
    <col min="289" max="494" width="9" style="1"/>
    <col min="495" max="495" width="2.85546875" style="1" bestFit="1" customWidth="1"/>
    <col min="496" max="496" width="16.5703125" style="1" bestFit="1" customWidth="1"/>
    <col min="497" max="497" width="11.42578125" style="1" bestFit="1" customWidth="1"/>
    <col min="498" max="499" width="14.140625" style="1" bestFit="1" customWidth="1"/>
    <col min="500" max="500" width="11.42578125" style="1" bestFit="1" customWidth="1"/>
    <col min="501" max="504" width="12.42578125" style="1" bestFit="1" customWidth="1"/>
    <col min="505" max="524" width="13" style="1" bestFit="1" customWidth="1"/>
    <col min="525" max="528" width="11" style="1" bestFit="1" customWidth="1"/>
    <col min="529" max="531" width="12.28515625" style="1" bestFit="1" customWidth="1"/>
    <col min="532" max="541" width="11" style="1" bestFit="1" customWidth="1"/>
    <col min="542" max="542" width="13.28515625" style="1" bestFit="1" customWidth="1"/>
    <col min="543" max="543" width="10" style="1" bestFit="1" customWidth="1"/>
    <col min="544" max="544" width="11" style="1" bestFit="1" customWidth="1"/>
    <col min="545" max="750" width="9" style="1"/>
    <col min="751" max="751" width="2.85546875" style="1" bestFit="1" customWidth="1"/>
    <col min="752" max="752" width="16.5703125" style="1" bestFit="1" customWidth="1"/>
    <col min="753" max="753" width="11.42578125" style="1" bestFit="1" customWidth="1"/>
    <col min="754" max="755" width="14.140625" style="1" bestFit="1" customWidth="1"/>
    <col min="756" max="756" width="11.42578125" style="1" bestFit="1" customWidth="1"/>
    <col min="757" max="760" width="12.42578125" style="1" bestFit="1" customWidth="1"/>
    <col min="761" max="780" width="13" style="1" bestFit="1" customWidth="1"/>
    <col min="781" max="784" width="11" style="1" bestFit="1" customWidth="1"/>
    <col min="785" max="787" width="12.28515625" style="1" bestFit="1" customWidth="1"/>
    <col min="788" max="797" width="11" style="1" bestFit="1" customWidth="1"/>
    <col min="798" max="798" width="13.28515625" style="1" bestFit="1" customWidth="1"/>
    <col min="799" max="799" width="10" style="1" bestFit="1" customWidth="1"/>
    <col min="800" max="800" width="11" style="1" bestFit="1" customWidth="1"/>
    <col min="801" max="1006" width="9" style="1"/>
    <col min="1007" max="1007" width="2.85546875" style="1" bestFit="1" customWidth="1"/>
    <col min="1008" max="1008" width="16.5703125" style="1" bestFit="1" customWidth="1"/>
    <col min="1009" max="1009" width="11.42578125" style="1" bestFit="1" customWidth="1"/>
    <col min="1010" max="1011" width="14.140625" style="1" bestFit="1" customWidth="1"/>
    <col min="1012" max="1012" width="11.42578125" style="1" bestFit="1" customWidth="1"/>
    <col min="1013" max="1016" width="12.42578125" style="1" bestFit="1" customWidth="1"/>
    <col min="1017" max="1036" width="13" style="1" bestFit="1" customWidth="1"/>
    <col min="1037" max="1040" width="11" style="1" bestFit="1" customWidth="1"/>
    <col min="1041" max="1043" width="12.28515625" style="1" bestFit="1" customWidth="1"/>
    <col min="1044" max="1053" width="11" style="1" bestFit="1" customWidth="1"/>
    <col min="1054" max="1054" width="13.28515625" style="1" bestFit="1" customWidth="1"/>
    <col min="1055" max="1055" width="10" style="1" bestFit="1" customWidth="1"/>
    <col min="1056" max="1056" width="11" style="1" bestFit="1" customWidth="1"/>
    <col min="1057" max="1262" width="9" style="1"/>
    <col min="1263" max="1263" width="2.85546875" style="1" bestFit="1" customWidth="1"/>
    <col min="1264" max="1264" width="16.5703125" style="1" bestFit="1" customWidth="1"/>
    <col min="1265" max="1265" width="11.42578125" style="1" bestFit="1" customWidth="1"/>
    <col min="1266" max="1267" width="14.140625" style="1" bestFit="1" customWidth="1"/>
    <col min="1268" max="1268" width="11.42578125" style="1" bestFit="1" customWidth="1"/>
    <col min="1269" max="1272" width="12.42578125" style="1" bestFit="1" customWidth="1"/>
    <col min="1273" max="1292" width="13" style="1" bestFit="1" customWidth="1"/>
    <col min="1293" max="1296" width="11" style="1" bestFit="1" customWidth="1"/>
    <col min="1297" max="1299" width="12.28515625" style="1" bestFit="1" customWidth="1"/>
    <col min="1300" max="1309" width="11" style="1" bestFit="1" customWidth="1"/>
    <col min="1310" max="1310" width="13.28515625" style="1" bestFit="1" customWidth="1"/>
    <col min="1311" max="1311" width="10" style="1" bestFit="1" customWidth="1"/>
    <col min="1312" max="1312" width="11" style="1" bestFit="1" customWidth="1"/>
    <col min="1313" max="1518" width="9" style="1"/>
    <col min="1519" max="1519" width="2.85546875" style="1" bestFit="1" customWidth="1"/>
    <col min="1520" max="1520" width="16.5703125" style="1" bestFit="1" customWidth="1"/>
    <col min="1521" max="1521" width="11.42578125" style="1" bestFit="1" customWidth="1"/>
    <col min="1522" max="1523" width="14.140625" style="1" bestFit="1" customWidth="1"/>
    <col min="1524" max="1524" width="11.42578125" style="1" bestFit="1" customWidth="1"/>
    <col min="1525" max="1528" width="12.42578125" style="1" bestFit="1" customWidth="1"/>
    <col min="1529" max="1548" width="13" style="1" bestFit="1" customWidth="1"/>
    <col min="1549" max="1552" width="11" style="1" bestFit="1" customWidth="1"/>
    <col min="1553" max="1555" width="12.28515625" style="1" bestFit="1" customWidth="1"/>
    <col min="1556" max="1565" width="11" style="1" bestFit="1" customWidth="1"/>
    <col min="1566" max="1566" width="13.28515625" style="1" bestFit="1" customWidth="1"/>
    <col min="1567" max="1567" width="10" style="1" bestFit="1" customWidth="1"/>
    <col min="1568" max="1568" width="11" style="1" bestFit="1" customWidth="1"/>
    <col min="1569" max="1774" width="9" style="1"/>
    <col min="1775" max="1775" width="2.85546875" style="1" bestFit="1" customWidth="1"/>
    <col min="1776" max="1776" width="16.5703125" style="1" bestFit="1" customWidth="1"/>
    <col min="1777" max="1777" width="11.42578125" style="1" bestFit="1" customWidth="1"/>
    <col min="1778" max="1779" width="14.140625" style="1" bestFit="1" customWidth="1"/>
    <col min="1780" max="1780" width="11.42578125" style="1" bestFit="1" customWidth="1"/>
    <col min="1781" max="1784" width="12.42578125" style="1" bestFit="1" customWidth="1"/>
    <col min="1785" max="1804" width="13" style="1" bestFit="1" customWidth="1"/>
    <col min="1805" max="1808" width="11" style="1" bestFit="1" customWidth="1"/>
    <col min="1809" max="1811" width="12.28515625" style="1" bestFit="1" customWidth="1"/>
    <col min="1812" max="1821" width="11" style="1" bestFit="1" customWidth="1"/>
    <col min="1822" max="1822" width="13.28515625" style="1" bestFit="1" customWidth="1"/>
    <col min="1823" max="1823" width="10" style="1" bestFit="1" customWidth="1"/>
    <col min="1824" max="1824" width="11" style="1" bestFit="1" customWidth="1"/>
    <col min="1825" max="2030" width="9" style="1"/>
    <col min="2031" max="2031" width="2.85546875" style="1" bestFit="1" customWidth="1"/>
    <col min="2032" max="2032" width="16.5703125" style="1" bestFit="1" customWidth="1"/>
    <col min="2033" max="2033" width="11.42578125" style="1" bestFit="1" customWidth="1"/>
    <col min="2034" max="2035" width="14.140625" style="1" bestFit="1" customWidth="1"/>
    <col min="2036" max="2036" width="11.42578125" style="1" bestFit="1" customWidth="1"/>
    <col min="2037" max="2040" width="12.42578125" style="1" bestFit="1" customWidth="1"/>
    <col min="2041" max="2060" width="13" style="1" bestFit="1" customWidth="1"/>
    <col min="2061" max="2064" width="11" style="1" bestFit="1" customWidth="1"/>
    <col min="2065" max="2067" width="12.28515625" style="1" bestFit="1" customWidth="1"/>
    <col min="2068" max="2077" width="11" style="1" bestFit="1" customWidth="1"/>
    <col min="2078" max="2078" width="13.28515625" style="1" bestFit="1" customWidth="1"/>
    <col min="2079" max="2079" width="10" style="1" bestFit="1" customWidth="1"/>
    <col min="2080" max="2080" width="11" style="1" bestFit="1" customWidth="1"/>
    <col min="2081" max="2286" width="9" style="1"/>
    <col min="2287" max="2287" width="2.85546875" style="1" bestFit="1" customWidth="1"/>
    <col min="2288" max="2288" width="16.5703125" style="1" bestFit="1" customWidth="1"/>
    <col min="2289" max="2289" width="11.42578125" style="1" bestFit="1" customWidth="1"/>
    <col min="2290" max="2291" width="14.140625" style="1" bestFit="1" customWidth="1"/>
    <col min="2292" max="2292" width="11.42578125" style="1" bestFit="1" customWidth="1"/>
    <col min="2293" max="2296" width="12.42578125" style="1" bestFit="1" customWidth="1"/>
    <col min="2297" max="2316" width="13" style="1" bestFit="1" customWidth="1"/>
    <col min="2317" max="2320" width="11" style="1" bestFit="1" customWidth="1"/>
    <col min="2321" max="2323" width="12.28515625" style="1" bestFit="1" customWidth="1"/>
    <col min="2324" max="2333" width="11" style="1" bestFit="1" customWidth="1"/>
    <col min="2334" max="2334" width="13.28515625" style="1" bestFit="1" customWidth="1"/>
    <col min="2335" max="2335" width="10" style="1" bestFit="1" customWidth="1"/>
    <col min="2336" max="2336" width="11" style="1" bestFit="1" customWidth="1"/>
    <col min="2337" max="2542" width="9" style="1"/>
    <col min="2543" max="2543" width="2.85546875" style="1" bestFit="1" customWidth="1"/>
    <col min="2544" max="2544" width="16.5703125" style="1" bestFit="1" customWidth="1"/>
    <col min="2545" max="2545" width="11.42578125" style="1" bestFit="1" customWidth="1"/>
    <col min="2546" max="2547" width="14.140625" style="1" bestFit="1" customWidth="1"/>
    <col min="2548" max="2548" width="11.42578125" style="1" bestFit="1" customWidth="1"/>
    <col min="2549" max="2552" width="12.42578125" style="1" bestFit="1" customWidth="1"/>
    <col min="2553" max="2572" width="13" style="1" bestFit="1" customWidth="1"/>
    <col min="2573" max="2576" width="11" style="1" bestFit="1" customWidth="1"/>
    <col min="2577" max="2579" width="12.28515625" style="1" bestFit="1" customWidth="1"/>
    <col min="2580" max="2589" width="11" style="1" bestFit="1" customWidth="1"/>
    <col min="2590" max="2590" width="13.28515625" style="1" bestFit="1" customWidth="1"/>
    <col min="2591" max="2591" width="10" style="1" bestFit="1" customWidth="1"/>
    <col min="2592" max="2592" width="11" style="1" bestFit="1" customWidth="1"/>
    <col min="2593" max="2798" width="9" style="1"/>
    <col min="2799" max="2799" width="2.85546875" style="1" bestFit="1" customWidth="1"/>
    <col min="2800" max="2800" width="16.5703125" style="1" bestFit="1" customWidth="1"/>
    <col min="2801" max="2801" width="11.42578125" style="1" bestFit="1" customWidth="1"/>
    <col min="2802" max="2803" width="14.140625" style="1" bestFit="1" customWidth="1"/>
    <col min="2804" max="2804" width="11.42578125" style="1" bestFit="1" customWidth="1"/>
    <col min="2805" max="2808" width="12.42578125" style="1" bestFit="1" customWidth="1"/>
    <col min="2809" max="2828" width="13" style="1" bestFit="1" customWidth="1"/>
    <col min="2829" max="2832" width="11" style="1" bestFit="1" customWidth="1"/>
    <col min="2833" max="2835" width="12.28515625" style="1" bestFit="1" customWidth="1"/>
    <col min="2836" max="2845" width="11" style="1" bestFit="1" customWidth="1"/>
    <col min="2846" max="2846" width="13.28515625" style="1" bestFit="1" customWidth="1"/>
    <col min="2847" max="2847" width="10" style="1" bestFit="1" customWidth="1"/>
    <col min="2848" max="2848" width="11" style="1" bestFit="1" customWidth="1"/>
    <col min="2849" max="3054" width="9" style="1"/>
    <col min="3055" max="3055" width="2.85546875" style="1" bestFit="1" customWidth="1"/>
    <col min="3056" max="3056" width="16.5703125" style="1" bestFit="1" customWidth="1"/>
    <col min="3057" max="3057" width="11.42578125" style="1" bestFit="1" customWidth="1"/>
    <col min="3058" max="3059" width="14.140625" style="1" bestFit="1" customWidth="1"/>
    <col min="3060" max="3060" width="11.42578125" style="1" bestFit="1" customWidth="1"/>
    <col min="3061" max="3064" width="12.42578125" style="1" bestFit="1" customWidth="1"/>
    <col min="3065" max="3084" width="13" style="1" bestFit="1" customWidth="1"/>
    <col min="3085" max="3088" width="11" style="1" bestFit="1" customWidth="1"/>
    <col min="3089" max="3091" width="12.28515625" style="1" bestFit="1" customWidth="1"/>
    <col min="3092" max="3101" width="11" style="1" bestFit="1" customWidth="1"/>
    <col min="3102" max="3102" width="13.28515625" style="1" bestFit="1" customWidth="1"/>
    <col min="3103" max="3103" width="10" style="1" bestFit="1" customWidth="1"/>
    <col min="3104" max="3104" width="11" style="1" bestFit="1" customWidth="1"/>
    <col min="3105" max="3310" width="9" style="1"/>
    <col min="3311" max="3311" width="2.85546875" style="1" bestFit="1" customWidth="1"/>
    <col min="3312" max="3312" width="16.5703125" style="1" bestFit="1" customWidth="1"/>
    <col min="3313" max="3313" width="11.42578125" style="1" bestFit="1" customWidth="1"/>
    <col min="3314" max="3315" width="14.140625" style="1" bestFit="1" customWidth="1"/>
    <col min="3316" max="3316" width="11.42578125" style="1" bestFit="1" customWidth="1"/>
    <col min="3317" max="3320" width="12.42578125" style="1" bestFit="1" customWidth="1"/>
    <col min="3321" max="3340" width="13" style="1" bestFit="1" customWidth="1"/>
    <col min="3341" max="3344" width="11" style="1" bestFit="1" customWidth="1"/>
    <col min="3345" max="3347" width="12.28515625" style="1" bestFit="1" customWidth="1"/>
    <col min="3348" max="3357" width="11" style="1" bestFit="1" customWidth="1"/>
    <col min="3358" max="3358" width="13.28515625" style="1" bestFit="1" customWidth="1"/>
    <col min="3359" max="3359" width="10" style="1" bestFit="1" customWidth="1"/>
    <col min="3360" max="3360" width="11" style="1" bestFit="1" customWidth="1"/>
    <col min="3361" max="3566" width="9" style="1"/>
    <col min="3567" max="3567" width="2.85546875" style="1" bestFit="1" customWidth="1"/>
    <col min="3568" max="3568" width="16.5703125" style="1" bestFit="1" customWidth="1"/>
    <col min="3569" max="3569" width="11.42578125" style="1" bestFit="1" customWidth="1"/>
    <col min="3570" max="3571" width="14.140625" style="1" bestFit="1" customWidth="1"/>
    <col min="3572" max="3572" width="11.42578125" style="1" bestFit="1" customWidth="1"/>
    <col min="3573" max="3576" width="12.42578125" style="1" bestFit="1" customWidth="1"/>
    <col min="3577" max="3596" width="13" style="1" bestFit="1" customWidth="1"/>
    <col min="3597" max="3600" width="11" style="1" bestFit="1" customWidth="1"/>
    <col min="3601" max="3603" width="12.28515625" style="1" bestFit="1" customWidth="1"/>
    <col min="3604" max="3613" width="11" style="1" bestFit="1" customWidth="1"/>
    <col min="3614" max="3614" width="13.28515625" style="1" bestFit="1" customWidth="1"/>
    <col min="3615" max="3615" width="10" style="1" bestFit="1" customWidth="1"/>
    <col min="3616" max="3616" width="11" style="1" bestFit="1" customWidth="1"/>
    <col min="3617" max="3822" width="9" style="1"/>
    <col min="3823" max="3823" width="2.85546875" style="1" bestFit="1" customWidth="1"/>
    <col min="3824" max="3824" width="16.5703125" style="1" bestFit="1" customWidth="1"/>
    <col min="3825" max="3825" width="11.42578125" style="1" bestFit="1" customWidth="1"/>
    <col min="3826" max="3827" width="14.140625" style="1" bestFit="1" customWidth="1"/>
    <col min="3828" max="3828" width="11.42578125" style="1" bestFit="1" customWidth="1"/>
    <col min="3829" max="3832" width="12.42578125" style="1" bestFit="1" customWidth="1"/>
    <col min="3833" max="3852" width="13" style="1" bestFit="1" customWidth="1"/>
    <col min="3853" max="3856" width="11" style="1" bestFit="1" customWidth="1"/>
    <col min="3857" max="3859" width="12.28515625" style="1" bestFit="1" customWidth="1"/>
    <col min="3860" max="3869" width="11" style="1" bestFit="1" customWidth="1"/>
    <col min="3870" max="3870" width="13.28515625" style="1" bestFit="1" customWidth="1"/>
    <col min="3871" max="3871" width="10" style="1" bestFit="1" customWidth="1"/>
    <col min="3872" max="3872" width="11" style="1" bestFit="1" customWidth="1"/>
    <col min="3873" max="4078" width="9" style="1"/>
    <col min="4079" max="4079" width="2.85546875" style="1" bestFit="1" customWidth="1"/>
    <col min="4080" max="4080" width="16.5703125" style="1" bestFit="1" customWidth="1"/>
    <col min="4081" max="4081" width="11.42578125" style="1" bestFit="1" customWidth="1"/>
    <col min="4082" max="4083" width="14.140625" style="1" bestFit="1" customWidth="1"/>
    <col min="4084" max="4084" width="11.42578125" style="1" bestFit="1" customWidth="1"/>
    <col min="4085" max="4088" width="12.42578125" style="1" bestFit="1" customWidth="1"/>
    <col min="4089" max="4108" width="13" style="1" bestFit="1" customWidth="1"/>
    <col min="4109" max="4112" width="11" style="1" bestFit="1" customWidth="1"/>
    <col min="4113" max="4115" width="12.28515625" style="1" bestFit="1" customWidth="1"/>
    <col min="4116" max="4125" width="11" style="1" bestFit="1" customWidth="1"/>
    <col min="4126" max="4126" width="13.28515625" style="1" bestFit="1" customWidth="1"/>
    <col min="4127" max="4127" width="10" style="1" bestFit="1" customWidth="1"/>
    <col min="4128" max="4128" width="11" style="1" bestFit="1" customWidth="1"/>
    <col min="4129" max="4334" width="9" style="1"/>
    <col min="4335" max="4335" width="2.85546875" style="1" bestFit="1" customWidth="1"/>
    <col min="4336" max="4336" width="16.5703125" style="1" bestFit="1" customWidth="1"/>
    <col min="4337" max="4337" width="11.42578125" style="1" bestFit="1" customWidth="1"/>
    <col min="4338" max="4339" width="14.140625" style="1" bestFit="1" customWidth="1"/>
    <col min="4340" max="4340" width="11.42578125" style="1" bestFit="1" customWidth="1"/>
    <col min="4341" max="4344" width="12.42578125" style="1" bestFit="1" customWidth="1"/>
    <col min="4345" max="4364" width="13" style="1" bestFit="1" customWidth="1"/>
    <col min="4365" max="4368" width="11" style="1" bestFit="1" customWidth="1"/>
    <col min="4369" max="4371" width="12.28515625" style="1" bestFit="1" customWidth="1"/>
    <col min="4372" max="4381" width="11" style="1" bestFit="1" customWidth="1"/>
    <col min="4382" max="4382" width="13.28515625" style="1" bestFit="1" customWidth="1"/>
    <col min="4383" max="4383" width="10" style="1" bestFit="1" customWidth="1"/>
    <col min="4384" max="4384" width="11" style="1" bestFit="1" customWidth="1"/>
    <col min="4385" max="4590" width="9" style="1"/>
    <col min="4591" max="4591" width="2.85546875" style="1" bestFit="1" customWidth="1"/>
    <col min="4592" max="4592" width="16.5703125" style="1" bestFit="1" customWidth="1"/>
    <col min="4593" max="4593" width="11.42578125" style="1" bestFit="1" customWidth="1"/>
    <col min="4594" max="4595" width="14.140625" style="1" bestFit="1" customWidth="1"/>
    <col min="4596" max="4596" width="11.42578125" style="1" bestFit="1" customWidth="1"/>
    <col min="4597" max="4600" width="12.42578125" style="1" bestFit="1" customWidth="1"/>
    <col min="4601" max="4620" width="13" style="1" bestFit="1" customWidth="1"/>
    <col min="4621" max="4624" width="11" style="1" bestFit="1" customWidth="1"/>
    <col min="4625" max="4627" width="12.28515625" style="1" bestFit="1" customWidth="1"/>
    <col min="4628" max="4637" width="11" style="1" bestFit="1" customWidth="1"/>
    <col min="4638" max="4638" width="13.28515625" style="1" bestFit="1" customWidth="1"/>
    <col min="4639" max="4639" width="10" style="1" bestFit="1" customWidth="1"/>
    <col min="4640" max="4640" width="11" style="1" bestFit="1" customWidth="1"/>
    <col min="4641" max="4846" width="9" style="1"/>
    <col min="4847" max="4847" width="2.85546875" style="1" bestFit="1" customWidth="1"/>
    <col min="4848" max="4848" width="16.5703125" style="1" bestFit="1" customWidth="1"/>
    <col min="4849" max="4849" width="11.42578125" style="1" bestFit="1" customWidth="1"/>
    <col min="4850" max="4851" width="14.140625" style="1" bestFit="1" customWidth="1"/>
    <col min="4852" max="4852" width="11.42578125" style="1" bestFit="1" customWidth="1"/>
    <col min="4853" max="4856" width="12.42578125" style="1" bestFit="1" customWidth="1"/>
    <col min="4857" max="4876" width="13" style="1" bestFit="1" customWidth="1"/>
    <col min="4877" max="4880" width="11" style="1" bestFit="1" customWidth="1"/>
    <col min="4881" max="4883" width="12.28515625" style="1" bestFit="1" customWidth="1"/>
    <col min="4884" max="4893" width="11" style="1" bestFit="1" customWidth="1"/>
    <col min="4894" max="4894" width="13.28515625" style="1" bestFit="1" customWidth="1"/>
    <col min="4895" max="4895" width="10" style="1" bestFit="1" customWidth="1"/>
    <col min="4896" max="4896" width="11" style="1" bestFit="1" customWidth="1"/>
    <col min="4897" max="5102" width="9" style="1"/>
    <col min="5103" max="5103" width="2.85546875" style="1" bestFit="1" customWidth="1"/>
    <col min="5104" max="5104" width="16.5703125" style="1" bestFit="1" customWidth="1"/>
    <col min="5105" max="5105" width="11.42578125" style="1" bestFit="1" customWidth="1"/>
    <col min="5106" max="5107" width="14.140625" style="1" bestFit="1" customWidth="1"/>
    <col min="5108" max="5108" width="11.42578125" style="1" bestFit="1" customWidth="1"/>
    <col min="5109" max="5112" width="12.42578125" style="1" bestFit="1" customWidth="1"/>
    <col min="5113" max="5132" width="13" style="1" bestFit="1" customWidth="1"/>
    <col min="5133" max="5136" width="11" style="1" bestFit="1" customWidth="1"/>
    <col min="5137" max="5139" width="12.28515625" style="1" bestFit="1" customWidth="1"/>
    <col min="5140" max="5149" width="11" style="1" bestFit="1" customWidth="1"/>
    <col min="5150" max="5150" width="13.28515625" style="1" bestFit="1" customWidth="1"/>
    <col min="5151" max="5151" width="10" style="1" bestFit="1" customWidth="1"/>
    <col min="5152" max="5152" width="11" style="1" bestFit="1" customWidth="1"/>
    <col min="5153" max="5358" width="9" style="1"/>
    <col min="5359" max="5359" width="2.85546875" style="1" bestFit="1" customWidth="1"/>
    <col min="5360" max="5360" width="16.5703125" style="1" bestFit="1" customWidth="1"/>
    <col min="5361" max="5361" width="11.42578125" style="1" bestFit="1" customWidth="1"/>
    <col min="5362" max="5363" width="14.140625" style="1" bestFit="1" customWidth="1"/>
    <col min="5364" max="5364" width="11.42578125" style="1" bestFit="1" customWidth="1"/>
    <col min="5365" max="5368" width="12.42578125" style="1" bestFit="1" customWidth="1"/>
    <col min="5369" max="5388" width="13" style="1" bestFit="1" customWidth="1"/>
    <col min="5389" max="5392" width="11" style="1" bestFit="1" customWidth="1"/>
    <col min="5393" max="5395" width="12.28515625" style="1" bestFit="1" customWidth="1"/>
    <col min="5396" max="5405" width="11" style="1" bestFit="1" customWidth="1"/>
    <col min="5406" max="5406" width="13.28515625" style="1" bestFit="1" customWidth="1"/>
    <col min="5407" max="5407" width="10" style="1" bestFit="1" customWidth="1"/>
    <col min="5408" max="5408" width="11" style="1" bestFit="1" customWidth="1"/>
    <col min="5409" max="5614" width="9" style="1"/>
    <col min="5615" max="5615" width="2.85546875" style="1" bestFit="1" customWidth="1"/>
    <col min="5616" max="5616" width="16.5703125" style="1" bestFit="1" customWidth="1"/>
    <col min="5617" max="5617" width="11.42578125" style="1" bestFit="1" customWidth="1"/>
    <col min="5618" max="5619" width="14.140625" style="1" bestFit="1" customWidth="1"/>
    <col min="5620" max="5620" width="11.42578125" style="1" bestFit="1" customWidth="1"/>
    <col min="5621" max="5624" width="12.42578125" style="1" bestFit="1" customWidth="1"/>
    <col min="5625" max="5644" width="13" style="1" bestFit="1" customWidth="1"/>
    <col min="5645" max="5648" width="11" style="1" bestFit="1" customWidth="1"/>
    <col min="5649" max="5651" width="12.28515625" style="1" bestFit="1" customWidth="1"/>
    <col min="5652" max="5661" width="11" style="1" bestFit="1" customWidth="1"/>
    <col min="5662" max="5662" width="13.28515625" style="1" bestFit="1" customWidth="1"/>
    <col min="5663" max="5663" width="10" style="1" bestFit="1" customWidth="1"/>
    <col min="5664" max="5664" width="11" style="1" bestFit="1" customWidth="1"/>
    <col min="5665" max="5870" width="9" style="1"/>
    <col min="5871" max="5871" width="2.85546875" style="1" bestFit="1" customWidth="1"/>
    <col min="5872" max="5872" width="16.5703125" style="1" bestFit="1" customWidth="1"/>
    <col min="5873" max="5873" width="11.42578125" style="1" bestFit="1" customWidth="1"/>
    <col min="5874" max="5875" width="14.140625" style="1" bestFit="1" customWidth="1"/>
    <col min="5876" max="5876" width="11.42578125" style="1" bestFit="1" customWidth="1"/>
    <col min="5877" max="5880" width="12.42578125" style="1" bestFit="1" customWidth="1"/>
    <col min="5881" max="5900" width="13" style="1" bestFit="1" customWidth="1"/>
    <col min="5901" max="5904" width="11" style="1" bestFit="1" customWidth="1"/>
    <col min="5905" max="5907" width="12.28515625" style="1" bestFit="1" customWidth="1"/>
    <col min="5908" max="5917" width="11" style="1" bestFit="1" customWidth="1"/>
    <col min="5918" max="5918" width="13.28515625" style="1" bestFit="1" customWidth="1"/>
    <col min="5919" max="5919" width="10" style="1" bestFit="1" customWidth="1"/>
    <col min="5920" max="5920" width="11" style="1" bestFit="1" customWidth="1"/>
    <col min="5921" max="6126" width="9" style="1"/>
    <col min="6127" max="6127" width="2.85546875" style="1" bestFit="1" customWidth="1"/>
    <col min="6128" max="6128" width="16.5703125" style="1" bestFit="1" customWidth="1"/>
    <col min="6129" max="6129" width="11.42578125" style="1" bestFit="1" customWidth="1"/>
    <col min="6130" max="6131" width="14.140625" style="1" bestFit="1" customWidth="1"/>
    <col min="6132" max="6132" width="11.42578125" style="1" bestFit="1" customWidth="1"/>
    <col min="6133" max="6136" width="12.42578125" style="1" bestFit="1" customWidth="1"/>
    <col min="6137" max="6156" width="13" style="1" bestFit="1" customWidth="1"/>
    <col min="6157" max="6160" width="11" style="1" bestFit="1" customWidth="1"/>
    <col min="6161" max="6163" width="12.28515625" style="1" bestFit="1" customWidth="1"/>
    <col min="6164" max="6173" width="11" style="1" bestFit="1" customWidth="1"/>
    <col min="6174" max="6174" width="13.28515625" style="1" bestFit="1" customWidth="1"/>
    <col min="6175" max="6175" width="10" style="1" bestFit="1" customWidth="1"/>
    <col min="6176" max="6176" width="11" style="1" bestFit="1" customWidth="1"/>
    <col min="6177" max="6382" width="9" style="1"/>
    <col min="6383" max="6383" width="2.85546875" style="1" bestFit="1" customWidth="1"/>
    <col min="6384" max="6384" width="16.5703125" style="1" bestFit="1" customWidth="1"/>
    <col min="6385" max="6385" width="11.42578125" style="1" bestFit="1" customWidth="1"/>
    <col min="6386" max="6387" width="14.140625" style="1" bestFit="1" customWidth="1"/>
    <col min="6388" max="6388" width="11.42578125" style="1" bestFit="1" customWidth="1"/>
    <col min="6389" max="6392" width="12.42578125" style="1" bestFit="1" customWidth="1"/>
    <col min="6393" max="6412" width="13" style="1" bestFit="1" customWidth="1"/>
    <col min="6413" max="6416" width="11" style="1" bestFit="1" customWidth="1"/>
    <col min="6417" max="6419" width="12.28515625" style="1" bestFit="1" customWidth="1"/>
    <col min="6420" max="6429" width="11" style="1" bestFit="1" customWidth="1"/>
    <col min="6430" max="6430" width="13.28515625" style="1" bestFit="1" customWidth="1"/>
    <col min="6431" max="6431" width="10" style="1" bestFit="1" customWidth="1"/>
    <col min="6432" max="6432" width="11" style="1" bestFit="1" customWidth="1"/>
    <col min="6433" max="6638" width="9" style="1"/>
    <col min="6639" max="6639" width="2.85546875" style="1" bestFit="1" customWidth="1"/>
    <col min="6640" max="6640" width="16.5703125" style="1" bestFit="1" customWidth="1"/>
    <col min="6641" max="6641" width="11.42578125" style="1" bestFit="1" customWidth="1"/>
    <col min="6642" max="6643" width="14.140625" style="1" bestFit="1" customWidth="1"/>
    <col min="6644" max="6644" width="11.42578125" style="1" bestFit="1" customWidth="1"/>
    <col min="6645" max="6648" width="12.42578125" style="1" bestFit="1" customWidth="1"/>
    <col min="6649" max="6668" width="13" style="1" bestFit="1" customWidth="1"/>
    <col min="6669" max="6672" width="11" style="1" bestFit="1" customWidth="1"/>
    <col min="6673" max="6675" width="12.28515625" style="1" bestFit="1" customWidth="1"/>
    <col min="6676" max="6685" width="11" style="1" bestFit="1" customWidth="1"/>
    <col min="6686" max="6686" width="13.28515625" style="1" bestFit="1" customWidth="1"/>
    <col min="6687" max="6687" width="10" style="1" bestFit="1" customWidth="1"/>
    <col min="6688" max="6688" width="11" style="1" bestFit="1" customWidth="1"/>
    <col min="6689" max="6894" width="9" style="1"/>
    <col min="6895" max="6895" width="2.85546875" style="1" bestFit="1" customWidth="1"/>
    <col min="6896" max="6896" width="16.5703125" style="1" bestFit="1" customWidth="1"/>
    <col min="6897" max="6897" width="11.42578125" style="1" bestFit="1" customWidth="1"/>
    <col min="6898" max="6899" width="14.140625" style="1" bestFit="1" customWidth="1"/>
    <col min="6900" max="6900" width="11.42578125" style="1" bestFit="1" customWidth="1"/>
    <col min="6901" max="6904" width="12.42578125" style="1" bestFit="1" customWidth="1"/>
    <col min="6905" max="6924" width="13" style="1" bestFit="1" customWidth="1"/>
    <col min="6925" max="6928" width="11" style="1" bestFit="1" customWidth="1"/>
    <col min="6929" max="6931" width="12.28515625" style="1" bestFit="1" customWidth="1"/>
    <col min="6932" max="6941" width="11" style="1" bestFit="1" customWidth="1"/>
    <col min="6942" max="6942" width="13.28515625" style="1" bestFit="1" customWidth="1"/>
    <col min="6943" max="6943" width="10" style="1" bestFit="1" customWidth="1"/>
    <col min="6944" max="6944" width="11" style="1" bestFit="1" customWidth="1"/>
    <col min="6945" max="7150" width="9" style="1"/>
    <col min="7151" max="7151" width="2.85546875" style="1" bestFit="1" customWidth="1"/>
    <col min="7152" max="7152" width="16.5703125" style="1" bestFit="1" customWidth="1"/>
    <col min="7153" max="7153" width="11.42578125" style="1" bestFit="1" customWidth="1"/>
    <col min="7154" max="7155" width="14.140625" style="1" bestFit="1" customWidth="1"/>
    <col min="7156" max="7156" width="11.42578125" style="1" bestFit="1" customWidth="1"/>
    <col min="7157" max="7160" width="12.42578125" style="1" bestFit="1" customWidth="1"/>
    <col min="7161" max="7180" width="13" style="1" bestFit="1" customWidth="1"/>
    <col min="7181" max="7184" width="11" style="1" bestFit="1" customWidth="1"/>
    <col min="7185" max="7187" width="12.28515625" style="1" bestFit="1" customWidth="1"/>
    <col min="7188" max="7197" width="11" style="1" bestFit="1" customWidth="1"/>
    <col min="7198" max="7198" width="13.28515625" style="1" bestFit="1" customWidth="1"/>
    <col min="7199" max="7199" width="10" style="1" bestFit="1" customWidth="1"/>
    <col min="7200" max="7200" width="11" style="1" bestFit="1" customWidth="1"/>
    <col min="7201" max="7406" width="9" style="1"/>
    <col min="7407" max="7407" width="2.85546875" style="1" bestFit="1" customWidth="1"/>
    <col min="7408" max="7408" width="16.5703125" style="1" bestFit="1" customWidth="1"/>
    <col min="7409" max="7409" width="11.42578125" style="1" bestFit="1" customWidth="1"/>
    <col min="7410" max="7411" width="14.140625" style="1" bestFit="1" customWidth="1"/>
    <col min="7412" max="7412" width="11.42578125" style="1" bestFit="1" customWidth="1"/>
    <col min="7413" max="7416" width="12.42578125" style="1" bestFit="1" customWidth="1"/>
    <col min="7417" max="7436" width="13" style="1" bestFit="1" customWidth="1"/>
    <col min="7437" max="7440" width="11" style="1" bestFit="1" customWidth="1"/>
    <col min="7441" max="7443" width="12.28515625" style="1" bestFit="1" customWidth="1"/>
    <col min="7444" max="7453" width="11" style="1" bestFit="1" customWidth="1"/>
    <col min="7454" max="7454" width="13.28515625" style="1" bestFit="1" customWidth="1"/>
    <col min="7455" max="7455" width="10" style="1" bestFit="1" customWidth="1"/>
    <col min="7456" max="7456" width="11" style="1" bestFit="1" customWidth="1"/>
    <col min="7457" max="7662" width="9" style="1"/>
    <col min="7663" max="7663" width="2.85546875" style="1" bestFit="1" customWidth="1"/>
    <col min="7664" max="7664" width="16.5703125" style="1" bestFit="1" customWidth="1"/>
    <col min="7665" max="7665" width="11.42578125" style="1" bestFit="1" customWidth="1"/>
    <col min="7666" max="7667" width="14.140625" style="1" bestFit="1" customWidth="1"/>
    <col min="7668" max="7668" width="11.42578125" style="1" bestFit="1" customWidth="1"/>
    <col min="7669" max="7672" width="12.42578125" style="1" bestFit="1" customWidth="1"/>
    <col min="7673" max="7692" width="13" style="1" bestFit="1" customWidth="1"/>
    <col min="7693" max="7696" width="11" style="1" bestFit="1" customWidth="1"/>
    <col min="7697" max="7699" width="12.28515625" style="1" bestFit="1" customWidth="1"/>
    <col min="7700" max="7709" width="11" style="1" bestFit="1" customWidth="1"/>
    <col min="7710" max="7710" width="13.28515625" style="1" bestFit="1" customWidth="1"/>
    <col min="7711" max="7711" width="10" style="1" bestFit="1" customWidth="1"/>
    <col min="7712" max="7712" width="11" style="1" bestFit="1" customWidth="1"/>
    <col min="7713" max="7918" width="9" style="1"/>
    <col min="7919" max="7919" width="2.85546875" style="1" bestFit="1" customWidth="1"/>
    <col min="7920" max="7920" width="16.5703125" style="1" bestFit="1" customWidth="1"/>
    <col min="7921" max="7921" width="11.42578125" style="1" bestFit="1" customWidth="1"/>
    <col min="7922" max="7923" width="14.140625" style="1" bestFit="1" customWidth="1"/>
    <col min="7924" max="7924" width="11.42578125" style="1" bestFit="1" customWidth="1"/>
    <col min="7925" max="7928" width="12.42578125" style="1" bestFit="1" customWidth="1"/>
    <col min="7929" max="7948" width="13" style="1" bestFit="1" customWidth="1"/>
    <col min="7949" max="7952" width="11" style="1" bestFit="1" customWidth="1"/>
    <col min="7953" max="7955" width="12.28515625" style="1" bestFit="1" customWidth="1"/>
    <col min="7956" max="7965" width="11" style="1" bestFit="1" customWidth="1"/>
    <col min="7966" max="7966" width="13.28515625" style="1" bestFit="1" customWidth="1"/>
    <col min="7967" max="7967" width="10" style="1" bestFit="1" customWidth="1"/>
    <col min="7968" max="7968" width="11" style="1" bestFit="1" customWidth="1"/>
    <col min="7969" max="8174" width="9" style="1"/>
    <col min="8175" max="8175" width="2.85546875" style="1" bestFit="1" customWidth="1"/>
    <col min="8176" max="8176" width="16.5703125" style="1" bestFit="1" customWidth="1"/>
    <col min="8177" max="8177" width="11.42578125" style="1" bestFit="1" customWidth="1"/>
    <col min="8178" max="8179" width="14.140625" style="1" bestFit="1" customWidth="1"/>
    <col min="8180" max="8180" width="11.42578125" style="1" bestFit="1" customWidth="1"/>
    <col min="8181" max="8184" width="12.42578125" style="1" bestFit="1" customWidth="1"/>
    <col min="8185" max="8204" width="13" style="1" bestFit="1" customWidth="1"/>
    <col min="8205" max="8208" width="11" style="1" bestFit="1" customWidth="1"/>
    <col min="8209" max="8211" width="12.28515625" style="1" bestFit="1" customWidth="1"/>
    <col min="8212" max="8221" width="11" style="1" bestFit="1" customWidth="1"/>
    <col min="8222" max="8222" width="13.28515625" style="1" bestFit="1" customWidth="1"/>
    <col min="8223" max="8223" width="10" style="1" bestFit="1" customWidth="1"/>
    <col min="8224" max="8224" width="11" style="1" bestFit="1" customWidth="1"/>
    <col min="8225" max="8430" width="9" style="1"/>
    <col min="8431" max="8431" width="2.85546875" style="1" bestFit="1" customWidth="1"/>
    <col min="8432" max="8432" width="16.5703125" style="1" bestFit="1" customWidth="1"/>
    <col min="8433" max="8433" width="11.42578125" style="1" bestFit="1" customWidth="1"/>
    <col min="8434" max="8435" width="14.140625" style="1" bestFit="1" customWidth="1"/>
    <col min="8436" max="8436" width="11.42578125" style="1" bestFit="1" customWidth="1"/>
    <col min="8437" max="8440" width="12.42578125" style="1" bestFit="1" customWidth="1"/>
    <col min="8441" max="8460" width="13" style="1" bestFit="1" customWidth="1"/>
    <col min="8461" max="8464" width="11" style="1" bestFit="1" customWidth="1"/>
    <col min="8465" max="8467" width="12.28515625" style="1" bestFit="1" customWidth="1"/>
    <col min="8468" max="8477" width="11" style="1" bestFit="1" customWidth="1"/>
    <col min="8478" max="8478" width="13.28515625" style="1" bestFit="1" customWidth="1"/>
    <col min="8479" max="8479" width="10" style="1" bestFit="1" customWidth="1"/>
    <col min="8480" max="8480" width="11" style="1" bestFit="1" customWidth="1"/>
    <col min="8481" max="8686" width="9" style="1"/>
    <col min="8687" max="8687" width="2.85546875" style="1" bestFit="1" customWidth="1"/>
    <col min="8688" max="8688" width="16.5703125" style="1" bestFit="1" customWidth="1"/>
    <col min="8689" max="8689" width="11.42578125" style="1" bestFit="1" customWidth="1"/>
    <col min="8690" max="8691" width="14.140625" style="1" bestFit="1" customWidth="1"/>
    <col min="8692" max="8692" width="11.42578125" style="1" bestFit="1" customWidth="1"/>
    <col min="8693" max="8696" width="12.42578125" style="1" bestFit="1" customWidth="1"/>
    <col min="8697" max="8716" width="13" style="1" bestFit="1" customWidth="1"/>
    <col min="8717" max="8720" width="11" style="1" bestFit="1" customWidth="1"/>
    <col min="8721" max="8723" width="12.28515625" style="1" bestFit="1" customWidth="1"/>
    <col min="8724" max="8733" width="11" style="1" bestFit="1" customWidth="1"/>
    <col min="8734" max="8734" width="13.28515625" style="1" bestFit="1" customWidth="1"/>
    <col min="8735" max="8735" width="10" style="1" bestFit="1" customWidth="1"/>
    <col min="8736" max="8736" width="11" style="1" bestFit="1" customWidth="1"/>
    <col min="8737" max="8942" width="9" style="1"/>
    <col min="8943" max="8943" width="2.85546875" style="1" bestFit="1" customWidth="1"/>
    <col min="8944" max="8944" width="16.5703125" style="1" bestFit="1" customWidth="1"/>
    <col min="8945" max="8945" width="11.42578125" style="1" bestFit="1" customWidth="1"/>
    <col min="8946" max="8947" width="14.140625" style="1" bestFit="1" customWidth="1"/>
    <col min="8948" max="8948" width="11.42578125" style="1" bestFit="1" customWidth="1"/>
    <col min="8949" max="8952" width="12.42578125" style="1" bestFit="1" customWidth="1"/>
    <col min="8953" max="8972" width="13" style="1" bestFit="1" customWidth="1"/>
    <col min="8973" max="8976" width="11" style="1" bestFit="1" customWidth="1"/>
    <col min="8977" max="8979" width="12.28515625" style="1" bestFit="1" customWidth="1"/>
    <col min="8980" max="8989" width="11" style="1" bestFit="1" customWidth="1"/>
    <col min="8990" max="8990" width="13.28515625" style="1" bestFit="1" customWidth="1"/>
    <col min="8991" max="8991" width="10" style="1" bestFit="1" customWidth="1"/>
    <col min="8992" max="8992" width="11" style="1" bestFit="1" customWidth="1"/>
    <col min="8993" max="9198" width="9" style="1"/>
    <col min="9199" max="9199" width="2.85546875" style="1" bestFit="1" customWidth="1"/>
    <col min="9200" max="9200" width="16.5703125" style="1" bestFit="1" customWidth="1"/>
    <col min="9201" max="9201" width="11.42578125" style="1" bestFit="1" customWidth="1"/>
    <col min="9202" max="9203" width="14.140625" style="1" bestFit="1" customWidth="1"/>
    <col min="9204" max="9204" width="11.42578125" style="1" bestFit="1" customWidth="1"/>
    <col min="9205" max="9208" width="12.42578125" style="1" bestFit="1" customWidth="1"/>
    <col min="9209" max="9228" width="13" style="1" bestFit="1" customWidth="1"/>
    <col min="9229" max="9232" width="11" style="1" bestFit="1" customWidth="1"/>
    <col min="9233" max="9235" width="12.28515625" style="1" bestFit="1" customWidth="1"/>
    <col min="9236" max="9245" width="11" style="1" bestFit="1" customWidth="1"/>
    <col min="9246" max="9246" width="13.28515625" style="1" bestFit="1" customWidth="1"/>
    <col min="9247" max="9247" width="10" style="1" bestFit="1" customWidth="1"/>
    <col min="9248" max="9248" width="11" style="1" bestFit="1" customWidth="1"/>
    <col min="9249" max="9454" width="9" style="1"/>
    <col min="9455" max="9455" width="2.85546875" style="1" bestFit="1" customWidth="1"/>
    <col min="9456" max="9456" width="16.5703125" style="1" bestFit="1" customWidth="1"/>
    <col min="9457" max="9457" width="11.42578125" style="1" bestFit="1" customWidth="1"/>
    <col min="9458" max="9459" width="14.140625" style="1" bestFit="1" customWidth="1"/>
    <col min="9460" max="9460" width="11.42578125" style="1" bestFit="1" customWidth="1"/>
    <col min="9461" max="9464" width="12.42578125" style="1" bestFit="1" customWidth="1"/>
    <col min="9465" max="9484" width="13" style="1" bestFit="1" customWidth="1"/>
    <col min="9485" max="9488" width="11" style="1" bestFit="1" customWidth="1"/>
    <col min="9489" max="9491" width="12.28515625" style="1" bestFit="1" customWidth="1"/>
    <col min="9492" max="9501" width="11" style="1" bestFit="1" customWidth="1"/>
    <col min="9502" max="9502" width="13.28515625" style="1" bestFit="1" customWidth="1"/>
    <col min="9503" max="9503" width="10" style="1" bestFit="1" customWidth="1"/>
    <col min="9504" max="9504" width="11" style="1" bestFit="1" customWidth="1"/>
    <col min="9505" max="9710" width="9" style="1"/>
    <col min="9711" max="9711" width="2.85546875" style="1" bestFit="1" customWidth="1"/>
    <col min="9712" max="9712" width="16.5703125" style="1" bestFit="1" customWidth="1"/>
    <col min="9713" max="9713" width="11.42578125" style="1" bestFit="1" customWidth="1"/>
    <col min="9714" max="9715" width="14.140625" style="1" bestFit="1" customWidth="1"/>
    <col min="9716" max="9716" width="11.42578125" style="1" bestFit="1" customWidth="1"/>
    <col min="9717" max="9720" width="12.42578125" style="1" bestFit="1" customWidth="1"/>
    <col min="9721" max="9740" width="13" style="1" bestFit="1" customWidth="1"/>
    <col min="9741" max="9744" width="11" style="1" bestFit="1" customWidth="1"/>
    <col min="9745" max="9747" width="12.28515625" style="1" bestFit="1" customWidth="1"/>
    <col min="9748" max="9757" width="11" style="1" bestFit="1" customWidth="1"/>
    <col min="9758" max="9758" width="13.28515625" style="1" bestFit="1" customWidth="1"/>
    <col min="9759" max="9759" width="10" style="1" bestFit="1" customWidth="1"/>
    <col min="9760" max="9760" width="11" style="1" bestFit="1" customWidth="1"/>
    <col min="9761" max="9966" width="9" style="1"/>
    <col min="9967" max="9967" width="2.85546875" style="1" bestFit="1" customWidth="1"/>
    <col min="9968" max="9968" width="16.5703125" style="1" bestFit="1" customWidth="1"/>
    <col min="9969" max="9969" width="11.42578125" style="1" bestFit="1" customWidth="1"/>
    <col min="9970" max="9971" width="14.140625" style="1" bestFit="1" customWidth="1"/>
    <col min="9972" max="9972" width="11.42578125" style="1" bestFit="1" customWidth="1"/>
    <col min="9973" max="9976" width="12.42578125" style="1" bestFit="1" customWidth="1"/>
    <col min="9977" max="9996" width="13" style="1" bestFit="1" customWidth="1"/>
    <col min="9997" max="10000" width="11" style="1" bestFit="1" customWidth="1"/>
    <col min="10001" max="10003" width="12.28515625" style="1" bestFit="1" customWidth="1"/>
    <col min="10004" max="10013" width="11" style="1" bestFit="1" customWidth="1"/>
    <col min="10014" max="10014" width="13.28515625" style="1" bestFit="1" customWidth="1"/>
    <col min="10015" max="10015" width="10" style="1" bestFit="1" customWidth="1"/>
    <col min="10016" max="10016" width="11" style="1" bestFit="1" customWidth="1"/>
    <col min="10017" max="10222" width="9" style="1"/>
    <col min="10223" max="10223" width="2.85546875" style="1" bestFit="1" customWidth="1"/>
    <col min="10224" max="10224" width="16.5703125" style="1" bestFit="1" customWidth="1"/>
    <col min="10225" max="10225" width="11.42578125" style="1" bestFit="1" customWidth="1"/>
    <col min="10226" max="10227" width="14.140625" style="1" bestFit="1" customWidth="1"/>
    <col min="10228" max="10228" width="11.42578125" style="1" bestFit="1" customWidth="1"/>
    <col min="10229" max="10232" width="12.42578125" style="1" bestFit="1" customWidth="1"/>
    <col min="10233" max="10252" width="13" style="1" bestFit="1" customWidth="1"/>
    <col min="10253" max="10256" width="11" style="1" bestFit="1" customWidth="1"/>
    <col min="10257" max="10259" width="12.28515625" style="1" bestFit="1" customWidth="1"/>
    <col min="10260" max="10269" width="11" style="1" bestFit="1" customWidth="1"/>
    <col min="10270" max="10270" width="13.28515625" style="1" bestFit="1" customWidth="1"/>
    <col min="10271" max="10271" width="10" style="1" bestFit="1" customWidth="1"/>
    <col min="10272" max="10272" width="11" style="1" bestFit="1" customWidth="1"/>
    <col min="10273" max="10478" width="9" style="1"/>
    <col min="10479" max="10479" width="2.85546875" style="1" bestFit="1" customWidth="1"/>
    <col min="10480" max="10480" width="16.5703125" style="1" bestFit="1" customWidth="1"/>
    <col min="10481" max="10481" width="11.42578125" style="1" bestFit="1" customWidth="1"/>
    <col min="10482" max="10483" width="14.140625" style="1" bestFit="1" customWidth="1"/>
    <col min="10484" max="10484" width="11.42578125" style="1" bestFit="1" customWidth="1"/>
    <col min="10485" max="10488" width="12.42578125" style="1" bestFit="1" customWidth="1"/>
    <col min="10489" max="10508" width="13" style="1" bestFit="1" customWidth="1"/>
    <col min="10509" max="10512" width="11" style="1" bestFit="1" customWidth="1"/>
    <col min="10513" max="10515" width="12.28515625" style="1" bestFit="1" customWidth="1"/>
    <col min="10516" max="10525" width="11" style="1" bestFit="1" customWidth="1"/>
    <col min="10526" max="10526" width="13.28515625" style="1" bestFit="1" customWidth="1"/>
    <col min="10527" max="10527" width="10" style="1" bestFit="1" customWidth="1"/>
    <col min="10528" max="10528" width="11" style="1" bestFit="1" customWidth="1"/>
    <col min="10529" max="10734" width="9" style="1"/>
    <col min="10735" max="10735" width="2.85546875" style="1" bestFit="1" customWidth="1"/>
    <col min="10736" max="10736" width="16.5703125" style="1" bestFit="1" customWidth="1"/>
    <col min="10737" max="10737" width="11.42578125" style="1" bestFit="1" customWidth="1"/>
    <col min="10738" max="10739" width="14.140625" style="1" bestFit="1" customWidth="1"/>
    <col min="10740" max="10740" width="11.42578125" style="1" bestFit="1" customWidth="1"/>
    <col min="10741" max="10744" width="12.42578125" style="1" bestFit="1" customWidth="1"/>
    <col min="10745" max="10764" width="13" style="1" bestFit="1" customWidth="1"/>
    <col min="10765" max="10768" width="11" style="1" bestFit="1" customWidth="1"/>
    <col min="10769" max="10771" width="12.28515625" style="1" bestFit="1" customWidth="1"/>
    <col min="10772" max="10781" width="11" style="1" bestFit="1" customWidth="1"/>
    <col min="10782" max="10782" width="13.28515625" style="1" bestFit="1" customWidth="1"/>
    <col min="10783" max="10783" width="10" style="1" bestFit="1" customWidth="1"/>
    <col min="10784" max="10784" width="11" style="1" bestFit="1" customWidth="1"/>
    <col min="10785" max="10990" width="9" style="1"/>
    <col min="10991" max="10991" width="2.85546875" style="1" bestFit="1" customWidth="1"/>
    <col min="10992" max="10992" width="16.5703125" style="1" bestFit="1" customWidth="1"/>
    <col min="10993" max="10993" width="11.42578125" style="1" bestFit="1" customWidth="1"/>
    <col min="10994" max="10995" width="14.140625" style="1" bestFit="1" customWidth="1"/>
    <col min="10996" max="10996" width="11.42578125" style="1" bestFit="1" customWidth="1"/>
    <col min="10997" max="11000" width="12.42578125" style="1" bestFit="1" customWidth="1"/>
    <col min="11001" max="11020" width="13" style="1" bestFit="1" customWidth="1"/>
    <col min="11021" max="11024" width="11" style="1" bestFit="1" customWidth="1"/>
    <col min="11025" max="11027" width="12.28515625" style="1" bestFit="1" customWidth="1"/>
    <col min="11028" max="11037" width="11" style="1" bestFit="1" customWidth="1"/>
    <col min="11038" max="11038" width="13.28515625" style="1" bestFit="1" customWidth="1"/>
    <col min="11039" max="11039" width="10" style="1" bestFit="1" customWidth="1"/>
    <col min="11040" max="11040" width="11" style="1" bestFit="1" customWidth="1"/>
    <col min="11041" max="11246" width="9" style="1"/>
    <col min="11247" max="11247" width="2.85546875" style="1" bestFit="1" customWidth="1"/>
    <col min="11248" max="11248" width="16.5703125" style="1" bestFit="1" customWidth="1"/>
    <col min="11249" max="11249" width="11.42578125" style="1" bestFit="1" customWidth="1"/>
    <col min="11250" max="11251" width="14.140625" style="1" bestFit="1" customWidth="1"/>
    <col min="11252" max="11252" width="11.42578125" style="1" bestFit="1" customWidth="1"/>
    <col min="11253" max="11256" width="12.42578125" style="1" bestFit="1" customWidth="1"/>
    <col min="11257" max="11276" width="13" style="1" bestFit="1" customWidth="1"/>
    <col min="11277" max="11280" width="11" style="1" bestFit="1" customWidth="1"/>
    <col min="11281" max="11283" width="12.28515625" style="1" bestFit="1" customWidth="1"/>
    <col min="11284" max="11293" width="11" style="1" bestFit="1" customWidth="1"/>
    <col min="11294" max="11294" width="13.28515625" style="1" bestFit="1" customWidth="1"/>
    <col min="11295" max="11295" width="10" style="1" bestFit="1" customWidth="1"/>
    <col min="11296" max="11296" width="11" style="1" bestFit="1" customWidth="1"/>
    <col min="11297" max="11502" width="9" style="1"/>
    <col min="11503" max="11503" width="2.85546875" style="1" bestFit="1" customWidth="1"/>
    <col min="11504" max="11504" width="16.5703125" style="1" bestFit="1" customWidth="1"/>
    <col min="11505" max="11505" width="11.42578125" style="1" bestFit="1" customWidth="1"/>
    <col min="11506" max="11507" width="14.140625" style="1" bestFit="1" customWidth="1"/>
    <col min="11508" max="11508" width="11.42578125" style="1" bestFit="1" customWidth="1"/>
    <col min="11509" max="11512" width="12.42578125" style="1" bestFit="1" customWidth="1"/>
    <col min="11513" max="11532" width="13" style="1" bestFit="1" customWidth="1"/>
    <col min="11533" max="11536" width="11" style="1" bestFit="1" customWidth="1"/>
    <col min="11537" max="11539" width="12.28515625" style="1" bestFit="1" customWidth="1"/>
    <col min="11540" max="11549" width="11" style="1" bestFit="1" customWidth="1"/>
    <col min="11550" max="11550" width="13.28515625" style="1" bestFit="1" customWidth="1"/>
    <col min="11551" max="11551" width="10" style="1" bestFit="1" customWidth="1"/>
    <col min="11552" max="11552" width="11" style="1" bestFit="1" customWidth="1"/>
    <col min="11553" max="11758" width="9" style="1"/>
    <col min="11759" max="11759" width="2.85546875" style="1" bestFit="1" customWidth="1"/>
    <col min="11760" max="11760" width="16.5703125" style="1" bestFit="1" customWidth="1"/>
    <col min="11761" max="11761" width="11.42578125" style="1" bestFit="1" customWidth="1"/>
    <col min="11762" max="11763" width="14.140625" style="1" bestFit="1" customWidth="1"/>
    <col min="11764" max="11764" width="11.42578125" style="1" bestFit="1" customWidth="1"/>
    <col min="11765" max="11768" width="12.42578125" style="1" bestFit="1" customWidth="1"/>
    <col min="11769" max="11788" width="13" style="1" bestFit="1" customWidth="1"/>
    <col min="11789" max="11792" width="11" style="1" bestFit="1" customWidth="1"/>
    <col min="11793" max="11795" width="12.28515625" style="1" bestFit="1" customWidth="1"/>
    <col min="11796" max="11805" width="11" style="1" bestFit="1" customWidth="1"/>
    <col min="11806" max="11806" width="13.28515625" style="1" bestFit="1" customWidth="1"/>
    <col min="11807" max="11807" width="10" style="1" bestFit="1" customWidth="1"/>
    <col min="11808" max="11808" width="11" style="1" bestFit="1" customWidth="1"/>
    <col min="11809" max="12014" width="9" style="1"/>
    <col min="12015" max="12015" width="2.85546875" style="1" bestFit="1" customWidth="1"/>
    <col min="12016" max="12016" width="16.5703125" style="1" bestFit="1" customWidth="1"/>
    <col min="12017" max="12017" width="11.42578125" style="1" bestFit="1" customWidth="1"/>
    <col min="12018" max="12019" width="14.140625" style="1" bestFit="1" customWidth="1"/>
    <col min="12020" max="12020" width="11.42578125" style="1" bestFit="1" customWidth="1"/>
    <col min="12021" max="12024" width="12.42578125" style="1" bestFit="1" customWidth="1"/>
    <col min="12025" max="12044" width="13" style="1" bestFit="1" customWidth="1"/>
    <col min="12045" max="12048" width="11" style="1" bestFit="1" customWidth="1"/>
    <col min="12049" max="12051" width="12.28515625" style="1" bestFit="1" customWidth="1"/>
    <col min="12052" max="12061" width="11" style="1" bestFit="1" customWidth="1"/>
    <col min="12062" max="12062" width="13.28515625" style="1" bestFit="1" customWidth="1"/>
    <col min="12063" max="12063" width="10" style="1" bestFit="1" customWidth="1"/>
    <col min="12064" max="12064" width="11" style="1" bestFit="1" customWidth="1"/>
    <col min="12065" max="12270" width="9" style="1"/>
    <col min="12271" max="12271" width="2.85546875" style="1" bestFit="1" customWidth="1"/>
    <col min="12272" max="12272" width="16.5703125" style="1" bestFit="1" customWidth="1"/>
    <col min="12273" max="12273" width="11.42578125" style="1" bestFit="1" customWidth="1"/>
    <col min="12274" max="12275" width="14.140625" style="1" bestFit="1" customWidth="1"/>
    <col min="12276" max="12276" width="11.42578125" style="1" bestFit="1" customWidth="1"/>
    <col min="12277" max="12280" width="12.42578125" style="1" bestFit="1" customWidth="1"/>
    <col min="12281" max="12300" width="13" style="1" bestFit="1" customWidth="1"/>
    <col min="12301" max="12304" width="11" style="1" bestFit="1" customWidth="1"/>
    <col min="12305" max="12307" width="12.28515625" style="1" bestFit="1" customWidth="1"/>
    <col min="12308" max="12317" width="11" style="1" bestFit="1" customWidth="1"/>
    <col min="12318" max="12318" width="13.28515625" style="1" bestFit="1" customWidth="1"/>
    <col min="12319" max="12319" width="10" style="1" bestFit="1" customWidth="1"/>
    <col min="12320" max="12320" width="11" style="1" bestFit="1" customWidth="1"/>
    <col min="12321" max="12526" width="9" style="1"/>
    <col min="12527" max="12527" width="2.85546875" style="1" bestFit="1" customWidth="1"/>
    <col min="12528" max="12528" width="16.5703125" style="1" bestFit="1" customWidth="1"/>
    <col min="12529" max="12529" width="11.42578125" style="1" bestFit="1" customWidth="1"/>
    <col min="12530" max="12531" width="14.140625" style="1" bestFit="1" customWidth="1"/>
    <col min="12532" max="12532" width="11.42578125" style="1" bestFit="1" customWidth="1"/>
    <col min="12533" max="12536" width="12.42578125" style="1" bestFit="1" customWidth="1"/>
    <col min="12537" max="12556" width="13" style="1" bestFit="1" customWidth="1"/>
    <col min="12557" max="12560" width="11" style="1" bestFit="1" customWidth="1"/>
    <col min="12561" max="12563" width="12.28515625" style="1" bestFit="1" customWidth="1"/>
    <col min="12564" max="12573" width="11" style="1" bestFit="1" customWidth="1"/>
    <col min="12574" max="12574" width="13.28515625" style="1" bestFit="1" customWidth="1"/>
    <col min="12575" max="12575" width="10" style="1" bestFit="1" customWidth="1"/>
    <col min="12576" max="12576" width="11" style="1" bestFit="1" customWidth="1"/>
    <col min="12577" max="12782" width="9" style="1"/>
    <col min="12783" max="12783" width="2.85546875" style="1" bestFit="1" customWidth="1"/>
    <col min="12784" max="12784" width="16.5703125" style="1" bestFit="1" customWidth="1"/>
    <col min="12785" max="12785" width="11.42578125" style="1" bestFit="1" customWidth="1"/>
    <col min="12786" max="12787" width="14.140625" style="1" bestFit="1" customWidth="1"/>
    <col min="12788" max="12788" width="11.42578125" style="1" bestFit="1" customWidth="1"/>
    <col min="12789" max="12792" width="12.42578125" style="1" bestFit="1" customWidth="1"/>
    <col min="12793" max="12812" width="13" style="1" bestFit="1" customWidth="1"/>
    <col min="12813" max="12816" width="11" style="1" bestFit="1" customWidth="1"/>
    <col min="12817" max="12819" width="12.28515625" style="1" bestFit="1" customWidth="1"/>
    <col min="12820" max="12829" width="11" style="1" bestFit="1" customWidth="1"/>
    <col min="12830" max="12830" width="13.28515625" style="1" bestFit="1" customWidth="1"/>
    <col min="12831" max="12831" width="10" style="1" bestFit="1" customWidth="1"/>
    <col min="12832" max="12832" width="11" style="1" bestFit="1" customWidth="1"/>
    <col min="12833" max="13038" width="9" style="1"/>
    <col min="13039" max="13039" width="2.85546875" style="1" bestFit="1" customWidth="1"/>
    <col min="13040" max="13040" width="16.5703125" style="1" bestFit="1" customWidth="1"/>
    <col min="13041" max="13041" width="11.42578125" style="1" bestFit="1" customWidth="1"/>
    <col min="13042" max="13043" width="14.140625" style="1" bestFit="1" customWidth="1"/>
    <col min="13044" max="13044" width="11.42578125" style="1" bestFit="1" customWidth="1"/>
    <col min="13045" max="13048" width="12.42578125" style="1" bestFit="1" customWidth="1"/>
    <col min="13049" max="13068" width="13" style="1" bestFit="1" customWidth="1"/>
    <col min="13069" max="13072" width="11" style="1" bestFit="1" customWidth="1"/>
    <col min="13073" max="13075" width="12.28515625" style="1" bestFit="1" customWidth="1"/>
    <col min="13076" max="13085" width="11" style="1" bestFit="1" customWidth="1"/>
    <col min="13086" max="13086" width="13.28515625" style="1" bestFit="1" customWidth="1"/>
    <col min="13087" max="13087" width="10" style="1" bestFit="1" customWidth="1"/>
    <col min="13088" max="13088" width="11" style="1" bestFit="1" customWidth="1"/>
    <col min="13089" max="13294" width="9" style="1"/>
    <col min="13295" max="13295" width="2.85546875" style="1" bestFit="1" customWidth="1"/>
    <col min="13296" max="13296" width="16.5703125" style="1" bestFit="1" customWidth="1"/>
    <col min="13297" max="13297" width="11.42578125" style="1" bestFit="1" customWidth="1"/>
    <col min="13298" max="13299" width="14.140625" style="1" bestFit="1" customWidth="1"/>
    <col min="13300" max="13300" width="11.42578125" style="1" bestFit="1" customWidth="1"/>
    <col min="13301" max="13304" width="12.42578125" style="1" bestFit="1" customWidth="1"/>
    <col min="13305" max="13324" width="13" style="1" bestFit="1" customWidth="1"/>
    <col min="13325" max="13328" width="11" style="1" bestFit="1" customWidth="1"/>
    <col min="13329" max="13331" width="12.28515625" style="1" bestFit="1" customWidth="1"/>
    <col min="13332" max="13341" width="11" style="1" bestFit="1" customWidth="1"/>
    <col min="13342" max="13342" width="13.28515625" style="1" bestFit="1" customWidth="1"/>
    <col min="13343" max="13343" width="10" style="1" bestFit="1" customWidth="1"/>
    <col min="13344" max="13344" width="11" style="1" bestFit="1" customWidth="1"/>
    <col min="13345" max="13550" width="9" style="1"/>
    <col min="13551" max="13551" width="2.85546875" style="1" bestFit="1" customWidth="1"/>
    <col min="13552" max="13552" width="16.5703125" style="1" bestFit="1" customWidth="1"/>
    <col min="13553" max="13553" width="11.42578125" style="1" bestFit="1" customWidth="1"/>
    <col min="13554" max="13555" width="14.140625" style="1" bestFit="1" customWidth="1"/>
    <col min="13556" max="13556" width="11.42578125" style="1" bestFit="1" customWidth="1"/>
    <col min="13557" max="13560" width="12.42578125" style="1" bestFit="1" customWidth="1"/>
    <col min="13561" max="13580" width="13" style="1" bestFit="1" customWidth="1"/>
    <col min="13581" max="13584" width="11" style="1" bestFit="1" customWidth="1"/>
    <col min="13585" max="13587" width="12.28515625" style="1" bestFit="1" customWidth="1"/>
    <col min="13588" max="13597" width="11" style="1" bestFit="1" customWidth="1"/>
    <col min="13598" max="13598" width="13.28515625" style="1" bestFit="1" customWidth="1"/>
    <col min="13599" max="13599" width="10" style="1" bestFit="1" customWidth="1"/>
    <col min="13600" max="13600" width="11" style="1" bestFit="1" customWidth="1"/>
    <col min="13601" max="13806" width="9" style="1"/>
    <col min="13807" max="13807" width="2.85546875" style="1" bestFit="1" customWidth="1"/>
    <col min="13808" max="13808" width="16.5703125" style="1" bestFit="1" customWidth="1"/>
    <col min="13809" max="13809" width="11.42578125" style="1" bestFit="1" customWidth="1"/>
    <col min="13810" max="13811" width="14.140625" style="1" bestFit="1" customWidth="1"/>
    <col min="13812" max="13812" width="11.42578125" style="1" bestFit="1" customWidth="1"/>
    <col min="13813" max="13816" width="12.42578125" style="1" bestFit="1" customWidth="1"/>
    <col min="13817" max="13836" width="13" style="1" bestFit="1" customWidth="1"/>
    <col min="13837" max="13840" width="11" style="1" bestFit="1" customWidth="1"/>
    <col min="13841" max="13843" width="12.28515625" style="1" bestFit="1" customWidth="1"/>
    <col min="13844" max="13853" width="11" style="1" bestFit="1" customWidth="1"/>
    <col min="13854" max="13854" width="13.28515625" style="1" bestFit="1" customWidth="1"/>
    <col min="13855" max="13855" width="10" style="1" bestFit="1" customWidth="1"/>
    <col min="13856" max="13856" width="11" style="1" bestFit="1" customWidth="1"/>
    <col min="13857" max="14062" width="9" style="1"/>
    <col min="14063" max="14063" width="2.85546875" style="1" bestFit="1" customWidth="1"/>
    <col min="14064" max="14064" width="16.5703125" style="1" bestFit="1" customWidth="1"/>
    <col min="14065" max="14065" width="11.42578125" style="1" bestFit="1" customWidth="1"/>
    <col min="14066" max="14067" width="14.140625" style="1" bestFit="1" customWidth="1"/>
    <col min="14068" max="14068" width="11.42578125" style="1" bestFit="1" customWidth="1"/>
    <col min="14069" max="14072" width="12.42578125" style="1" bestFit="1" customWidth="1"/>
    <col min="14073" max="14092" width="13" style="1" bestFit="1" customWidth="1"/>
    <col min="14093" max="14096" width="11" style="1" bestFit="1" customWidth="1"/>
    <col min="14097" max="14099" width="12.28515625" style="1" bestFit="1" customWidth="1"/>
    <col min="14100" max="14109" width="11" style="1" bestFit="1" customWidth="1"/>
    <col min="14110" max="14110" width="13.28515625" style="1" bestFit="1" customWidth="1"/>
    <col min="14111" max="14111" width="10" style="1" bestFit="1" customWidth="1"/>
    <col min="14112" max="14112" width="11" style="1" bestFit="1" customWidth="1"/>
    <col min="14113" max="14318" width="9" style="1"/>
    <col min="14319" max="14319" width="2.85546875" style="1" bestFit="1" customWidth="1"/>
    <col min="14320" max="14320" width="16.5703125" style="1" bestFit="1" customWidth="1"/>
    <col min="14321" max="14321" width="11.42578125" style="1" bestFit="1" customWidth="1"/>
    <col min="14322" max="14323" width="14.140625" style="1" bestFit="1" customWidth="1"/>
    <col min="14324" max="14324" width="11.42578125" style="1" bestFit="1" customWidth="1"/>
    <col min="14325" max="14328" width="12.42578125" style="1" bestFit="1" customWidth="1"/>
    <col min="14329" max="14348" width="13" style="1" bestFit="1" customWidth="1"/>
    <col min="14349" max="14352" width="11" style="1" bestFit="1" customWidth="1"/>
    <col min="14353" max="14355" width="12.28515625" style="1" bestFit="1" customWidth="1"/>
    <col min="14356" max="14365" width="11" style="1" bestFit="1" customWidth="1"/>
    <col min="14366" max="14366" width="13.28515625" style="1" bestFit="1" customWidth="1"/>
    <col min="14367" max="14367" width="10" style="1" bestFit="1" customWidth="1"/>
    <col min="14368" max="14368" width="11" style="1" bestFit="1" customWidth="1"/>
    <col min="14369" max="14574" width="9" style="1"/>
    <col min="14575" max="14575" width="2.85546875" style="1" bestFit="1" customWidth="1"/>
    <col min="14576" max="14576" width="16.5703125" style="1" bestFit="1" customWidth="1"/>
    <col min="14577" max="14577" width="11.42578125" style="1" bestFit="1" customWidth="1"/>
    <col min="14578" max="14579" width="14.140625" style="1" bestFit="1" customWidth="1"/>
    <col min="14580" max="14580" width="11.42578125" style="1" bestFit="1" customWidth="1"/>
    <col min="14581" max="14584" width="12.42578125" style="1" bestFit="1" customWidth="1"/>
    <col min="14585" max="14604" width="13" style="1" bestFit="1" customWidth="1"/>
    <col min="14605" max="14608" width="11" style="1" bestFit="1" customWidth="1"/>
    <col min="14609" max="14611" width="12.28515625" style="1" bestFit="1" customWidth="1"/>
    <col min="14612" max="14621" width="11" style="1" bestFit="1" customWidth="1"/>
    <col min="14622" max="14622" width="13.28515625" style="1" bestFit="1" customWidth="1"/>
    <col min="14623" max="14623" width="10" style="1" bestFit="1" customWidth="1"/>
    <col min="14624" max="14624" width="11" style="1" bestFit="1" customWidth="1"/>
    <col min="14625" max="14830" width="9" style="1"/>
    <col min="14831" max="14831" width="2.85546875" style="1" bestFit="1" customWidth="1"/>
    <col min="14832" max="14832" width="16.5703125" style="1" bestFit="1" customWidth="1"/>
    <col min="14833" max="14833" width="11.42578125" style="1" bestFit="1" customWidth="1"/>
    <col min="14834" max="14835" width="14.140625" style="1" bestFit="1" customWidth="1"/>
    <col min="14836" max="14836" width="11.42578125" style="1" bestFit="1" customWidth="1"/>
    <col min="14837" max="14840" width="12.42578125" style="1" bestFit="1" customWidth="1"/>
    <col min="14841" max="14860" width="13" style="1" bestFit="1" customWidth="1"/>
    <col min="14861" max="14864" width="11" style="1" bestFit="1" customWidth="1"/>
    <col min="14865" max="14867" width="12.28515625" style="1" bestFit="1" customWidth="1"/>
    <col min="14868" max="14877" width="11" style="1" bestFit="1" customWidth="1"/>
    <col min="14878" max="14878" width="13.28515625" style="1" bestFit="1" customWidth="1"/>
    <col min="14879" max="14879" width="10" style="1" bestFit="1" customWidth="1"/>
    <col min="14880" max="14880" width="11" style="1" bestFit="1" customWidth="1"/>
    <col min="14881" max="15086" width="9" style="1"/>
    <col min="15087" max="15087" width="2.85546875" style="1" bestFit="1" customWidth="1"/>
    <col min="15088" max="15088" width="16.5703125" style="1" bestFit="1" customWidth="1"/>
    <col min="15089" max="15089" width="11.42578125" style="1" bestFit="1" customWidth="1"/>
    <col min="15090" max="15091" width="14.140625" style="1" bestFit="1" customWidth="1"/>
    <col min="15092" max="15092" width="11.42578125" style="1" bestFit="1" customWidth="1"/>
    <col min="15093" max="15096" width="12.42578125" style="1" bestFit="1" customWidth="1"/>
    <col min="15097" max="15116" width="13" style="1" bestFit="1" customWidth="1"/>
    <col min="15117" max="15120" width="11" style="1" bestFit="1" customWidth="1"/>
    <col min="15121" max="15123" width="12.28515625" style="1" bestFit="1" customWidth="1"/>
    <col min="15124" max="15133" width="11" style="1" bestFit="1" customWidth="1"/>
    <col min="15134" max="15134" width="13.28515625" style="1" bestFit="1" customWidth="1"/>
    <col min="15135" max="15135" width="10" style="1" bestFit="1" customWidth="1"/>
    <col min="15136" max="15136" width="11" style="1" bestFit="1" customWidth="1"/>
    <col min="15137" max="15342" width="9" style="1"/>
    <col min="15343" max="15343" width="2.85546875" style="1" bestFit="1" customWidth="1"/>
    <col min="15344" max="15344" width="16.5703125" style="1" bestFit="1" customWidth="1"/>
    <col min="15345" max="15345" width="11.42578125" style="1" bestFit="1" customWidth="1"/>
    <col min="15346" max="15347" width="14.140625" style="1" bestFit="1" customWidth="1"/>
    <col min="15348" max="15348" width="11.42578125" style="1" bestFit="1" customWidth="1"/>
    <col min="15349" max="15352" width="12.42578125" style="1" bestFit="1" customWidth="1"/>
    <col min="15353" max="15372" width="13" style="1" bestFit="1" customWidth="1"/>
    <col min="15373" max="15376" width="11" style="1" bestFit="1" customWidth="1"/>
    <col min="15377" max="15379" width="12.28515625" style="1" bestFit="1" customWidth="1"/>
    <col min="15380" max="15389" width="11" style="1" bestFit="1" customWidth="1"/>
    <col min="15390" max="15390" width="13.28515625" style="1" bestFit="1" customWidth="1"/>
    <col min="15391" max="15391" width="10" style="1" bestFit="1" customWidth="1"/>
    <col min="15392" max="15392" width="11" style="1" bestFit="1" customWidth="1"/>
    <col min="15393" max="15598" width="9" style="1"/>
    <col min="15599" max="15599" width="2.85546875" style="1" bestFit="1" customWidth="1"/>
    <col min="15600" max="15600" width="16.5703125" style="1" bestFit="1" customWidth="1"/>
    <col min="15601" max="15601" width="11.42578125" style="1" bestFit="1" customWidth="1"/>
    <col min="15602" max="15603" width="14.140625" style="1" bestFit="1" customWidth="1"/>
    <col min="15604" max="15604" width="11.42578125" style="1" bestFit="1" customWidth="1"/>
    <col min="15605" max="15608" width="12.42578125" style="1" bestFit="1" customWidth="1"/>
    <col min="15609" max="15628" width="13" style="1" bestFit="1" customWidth="1"/>
    <col min="15629" max="15632" width="11" style="1" bestFit="1" customWidth="1"/>
    <col min="15633" max="15635" width="12.28515625" style="1" bestFit="1" customWidth="1"/>
    <col min="15636" max="15645" width="11" style="1" bestFit="1" customWidth="1"/>
    <col min="15646" max="15646" width="13.28515625" style="1" bestFit="1" customWidth="1"/>
    <col min="15647" max="15647" width="10" style="1" bestFit="1" customWidth="1"/>
    <col min="15648" max="15648" width="11" style="1" bestFit="1" customWidth="1"/>
    <col min="15649" max="15854" width="9" style="1"/>
    <col min="15855" max="15855" width="2.85546875" style="1" bestFit="1" customWidth="1"/>
    <col min="15856" max="15856" width="16.5703125" style="1" bestFit="1" customWidth="1"/>
    <col min="15857" max="15857" width="11.42578125" style="1" bestFit="1" customWidth="1"/>
    <col min="15858" max="15859" width="14.140625" style="1" bestFit="1" customWidth="1"/>
    <col min="15860" max="15860" width="11.42578125" style="1" bestFit="1" customWidth="1"/>
    <col min="15861" max="15864" width="12.42578125" style="1" bestFit="1" customWidth="1"/>
    <col min="15865" max="15884" width="13" style="1" bestFit="1" customWidth="1"/>
    <col min="15885" max="15888" width="11" style="1" bestFit="1" customWidth="1"/>
    <col min="15889" max="15891" width="12.28515625" style="1" bestFit="1" customWidth="1"/>
    <col min="15892" max="15901" width="11" style="1" bestFit="1" customWidth="1"/>
    <col min="15902" max="15902" width="13.28515625" style="1" bestFit="1" customWidth="1"/>
    <col min="15903" max="15903" width="10" style="1" bestFit="1" customWidth="1"/>
    <col min="15904" max="15904" width="11" style="1" bestFit="1" customWidth="1"/>
    <col min="15905" max="16110" width="9" style="1"/>
    <col min="16111" max="16111" width="2.85546875" style="1" bestFit="1" customWidth="1"/>
    <col min="16112" max="16112" width="16.5703125" style="1" bestFit="1" customWidth="1"/>
    <col min="16113" max="16113" width="11.42578125" style="1" bestFit="1" customWidth="1"/>
    <col min="16114" max="16115" width="14.140625" style="1" bestFit="1" customWidth="1"/>
    <col min="16116" max="16116" width="11.42578125" style="1" bestFit="1" customWidth="1"/>
    <col min="16117" max="16120" width="12.42578125" style="1" bestFit="1" customWidth="1"/>
    <col min="16121" max="16140" width="13" style="1" bestFit="1" customWidth="1"/>
    <col min="16141" max="16144" width="11" style="1" bestFit="1" customWidth="1"/>
    <col min="16145" max="16147" width="12.28515625" style="1" bestFit="1" customWidth="1"/>
    <col min="16148" max="16157" width="11" style="1" bestFit="1" customWidth="1"/>
    <col min="16158" max="16158" width="13.285156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/>
    <row r="3" spans="1:32" ht="17.25">
      <c r="A3" s="53">
        <v>45717</v>
      </c>
      <c r="B3" s="53"/>
      <c r="C3" s="40" t="s">
        <v>224</v>
      </c>
    </row>
    <row r="4" spans="1:32" s="3" customFormat="1">
      <c r="A4" s="46" t="s">
        <v>1</v>
      </c>
      <c r="B4" s="46"/>
      <c r="C4" s="42" t="s">
        <v>10</v>
      </c>
      <c r="D4" s="42" t="s">
        <v>11</v>
      </c>
      <c r="E4" s="42" t="s">
        <v>12</v>
      </c>
      <c r="F4" s="42" t="s">
        <v>13</v>
      </c>
      <c r="G4" s="42" t="s">
        <v>14</v>
      </c>
      <c r="H4" s="42" t="s">
        <v>15</v>
      </c>
      <c r="I4" s="42" t="s">
        <v>16</v>
      </c>
      <c r="J4" s="42" t="s">
        <v>17</v>
      </c>
      <c r="K4" s="42" t="s">
        <v>18</v>
      </c>
      <c r="L4" s="42" t="s">
        <v>19</v>
      </c>
      <c r="M4" s="42" t="s">
        <v>20</v>
      </c>
      <c r="N4" s="42" t="s">
        <v>21</v>
      </c>
      <c r="O4" s="42" t="s">
        <v>22</v>
      </c>
      <c r="P4" s="42" t="s">
        <v>23</v>
      </c>
      <c r="Q4" s="42" t="s">
        <v>24</v>
      </c>
      <c r="R4" s="42" t="s">
        <v>25</v>
      </c>
      <c r="S4" s="42" t="s">
        <v>26</v>
      </c>
      <c r="T4" s="42" t="s">
        <v>27</v>
      </c>
      <c r="U4" s="42" t="s">
        <v>28</v>
      </c>
      <c r="V4" s="42" t="s">
        <v>29</v>
      </c>
      <c r="W4" s="42" t="s">
        <v>30</v>
      </c>
      <c r="X4" s="42" t="s">
        <v>31</v>
      </c>
      <c r="Y4" s="42" t="s">
        <v>32</v>
      </c>
      <c r="Z4" s="42" t="s">
        <v>33</v>
      </c>
      <c r="AA4" s="42" t="s">
        <v>34</v>
      </c>
      <c r="AB4" s="42" t="s">
        <v>35</v>
      </c>
      <c r="AC4" s="42" t="s">
        <v>36</v>
      </c>
      <c r="AD4" s="43" t="s">
        <v>46</v>
      </c>
      <c r="AE4" s="43" t="s">
        <v>47</v>
      </c>
      <c r="AF4" s="2" t="s">
        <v>48</v>
      </c>
    </row>
    <row r="5" spans="1:32" s="3" customFormat="1" hidden="1">
      <c r="A5" s="50" t="s">
        <v>49</v>
      </c>
      <c r="B5" s="54"/>
      <c r="C5" s="42">
        <v>2</v>
      </c>
      <c r="D5" s="42">
        <v>2</v>
      </c>
      <c r="E5" s="42">
        <v>2</v>
      </c>
      <c r="F5" s="42">
        <v>2</v>
      </c>
      <c r="G5" s="42">
        <v>2</v>
      </c>
      <c r="H5" s="42">
        <v>2</v>
      </c>
      <c r="I5" s="42">
        <v>2</v>
      </c>
      <c r="J5" s="42">
        <v>2</v>
      </c>
      <c r="K5" s="42">
        <v>2</v>
      </c>
      <c r="L5" s="42">
        <v>2</v>
      </c>
      <c r="M5" s="42">
        <v>2</v>
      </c>
      <c r="N5" s="42">
        <v>2</v>
      </c>
      <c r="O5" s="42">
        <v>2</v>
      </c>
      <c r="P5" s="42">
        <v>2</v>
      </c>
      <c r="Q5" s="42">
        <v>2</v>
      </c>
      <c r="R5" s="42">
        <v>2</v>
      </c>
      <c r="S5" s="42">
        <v>2</v>
      </c>
      <c r="T5" s="42">
        <v>2</v>
      </c>
      <c r="U5" s="42">
        <v>2</v>
      </c>
      <c r="V5" s="42">
        <v>2</v>
      </c>
      <c r="W5" s="42">
        <v>6</v>
      </c>
      <c r="X5" s="42">
        <v>6</v>
      </c>
      <c r="Y5" s="42">
        <v>6</v>
      </c>
      <c r="Z5" s="42">
        <v>6</v>
      </c>
      <c r="AA5" s="42">
        <v>6</v>
      </c>
      <c r="AB5" s="42">
        <v>6</v>
      </c>
      <c r="AC5" s="42">
        <v>6</v>
      </c>
      <c r="AD5" s="43"/>
      <c r="AE5" s="43"/>
      <c r="AF5" s="2"/>
    </row>
    <row r="6" spans="1:32" s="3" customFormat="1" hidden="1">
      <c r="A6" s="50" t="s">
        <v>50</v>
      </c>
      <c r="B6" s="54"/>
      <c r="C6" s="42" t="s">
        <v>52</v>
      </c>
      <c r="D6" s="42" t="s">
        <v>52</v>
      </c>
      <c r="E6" s="42" t="s">
        <v>52</v>
      </c>
      <c r="F6" s="42" t="s">
        <v>52</v>
      </c>
      <c r="G6" s="42" t="s">
        <v>52</v>
      </c>
      <c r="H6" s="42" t="s">
        <v>52</v>
      </c>
      <c r="I6" s="42" t="s">
        <v>52</v>
      </c>
      <c r="J6" s="42" t="s">
        <v>52</v>
      </c>
      <c r="K6" s="42" t="s">
        <v>52</v>
      </c>
      <c r="L6" s="42" t="s">
        <v>52</v>
      </c>
      <c r="M6" s="42" t="s">
        <v>52</v>
      </c>
      <c r="N6" s="42" t="s">
        <v>52</v>
      </c>
      <c r="O6" s="42" t="s">
        <v>52</v>
      </c>
      <c r="P6" s="42" t="s">
        <v>52</v>
      </c>
      <c r="Q6" s="42" t="s">
        <v>52</v>
      </c>
      <c r="R6" s="42" t="s">
        <v>52</v>
      </c>
      <c r="S6" s="42" t="s">
        <v>52</v>
      </c>
      <c r="T6" s="42" t="s">
        <v>52</v>
      </c>
      <c r="U6" s="42" t="s">
        <v>52</v>
      </c>
      <c r="V6" s="42" t="s">
        <v>52</v>
      </c>
      <c r="W6" s="42" t="s">
        <v>53</v>
      </c>
      <c r="X6" s="42" t="s">
        <v>53</v>
      </c>
      <c r="Y6" s="42" t="s">
        <v>53</v>
      </c>
      <c r="Z6" s="42" t="s">
        <v>53</v>
      </c>
      <c r="AA6" s="42" t="s">
        <v>53</v>
      </c>
      <c r="AB6" s="42" t="s">
        <v>53</v>
      </c>
      <c r="AC6" s="42" t="s">
        <v>53</v>
      </c>
      <c r="AD6" s="43"/>
      <c r="AE6" s="43"/>
      <c r="AF6" s="2"/>
    </row>
    <row r="7" spans="1:32" s="3" customFormat="1">
      <c r="A7" s="52" t="s">
        <v>56</v>
      </c>
      <c r="B7" s="52"/>
      <c r="C7" s="41" t="s">
        <v>63</v>
      </c>
      <c r="D7" s="41" t="s">
        <v>64</v>
      </c>
      <c r="E7" s="41" t="s">
        <v>65</v>
      </c>
      <c r="F7" s="41" t="s">
        <v>66</v>
      </c>
      <c r="G7" s="41" t="s">
        <v>67</v>
      </c>
      <c r="H7" s="41" t="s">
        <v>68</v>
      </c>
      <c r="I7" s="41" t="s">
        <v>69</v>
      </c>
      <c r="J7" s="41" t="s">
        <v>70</v>
      </c>
      <c r="K7" s="41" t="s">
        <v>71</v>
      </c>
      <c r="L7" s="41" t="s">
        <v>72</v>
      </c>
      <c r="M7" s="38" t="s">
        <v>73</v>
      </c>
      <c r="N7" s="38" t="s">
        <v>74</v>
      </c>
      <c r="O7" s="38" t="s">
        <v>75</v>
      </c>
      <c r="P7" s="41" t="s">
        <v>76</v>
      </c>
      <c r="Q7" s="41" t="s">
        <v>77</v>
      </c>
      <c r="R7" s="41"/>
      <c r="S7" s="41"/>
      <c r="T7" s="41"/>
      <c r="U7" s="41"/>
      <c r="V7" s="41"/>
      <c r="W7" s="41" t="s">
        <v>78</v>
      </c>
      <c r="X7" s="41" t="s">
        <v>79</v>
      </c>
      <c r="Y7" s="38" t="s">
        <v>80</v>
      </c>
      <c r="Z7" s="39" t="s">
        <v>81</v>
      </c>
      <c r="AA7" s="38" t="s">
        <v>82</v>
      </c>
      <c r="AB7" s="41" t="s">
        <v>83</v>
      </c>
      <c r="AC7" s="38" t="s">
        <v>82</v>
      </c>
      <c r="AD7" s="44"/>
      <c r="AE7" s="44"/>
      <c r="AF7" s="4"/>
    </row>
    <row r="8" spans="1:32" s="3" customFormat="1">
      <c r="A8" s="52" t="s">
        <v>89</v>
      </c>
      <c r="B8" s="52"/>
      <c r="C8" s="41" t="s">
        <v>97</v>
      </c>
      <c r="D8" s="41" t="s">
        <v>98</v>
      </c>
      <c r="E8" s="41" t="s">
        <v>99</v>
      </c>
      <c r="F8" s="41" t="s">
        <v>91</v>
      </c>
      <c r="G8" s="41" t="s">
        <v>100</v>
      </c>
      <c r="H8" s="41" t="s">
        <v>101</v>
      </c>
      <c r="I8" s="41" t="s">
        <v>102</v>
      </c>
      <c r="J8" s="41" t="s">
        <v>103</v>
      </c>
      <c r="K8" s="41" t="s">
        <v>104</v>
      </c>
      <c r="L8" s="41" t="s">
        <v>105</v>
      </c>
      <c r="M8" s="41" t="s">
        <v>106</v>
      </c>
      <c r="N8" s="41" t="s">
        <v>107</v>
      </c>
      <c r="O8" s="41" t="s">
        <v>101</v>
      </c>
      <c r="P8" s="41" t="s">
        <v>108</v>
      </c>
      <c r="Q8" s="41" t="s">
        <v>109</v>
      </c>
      <c r="R8" s="41"/>
      <c r="S8" s="41"/>
      <c r="T8" s="41" t="s">
        <v>110</v>
      </c>
      <c r="U8" s="41" t="s">
        <v>111</v>
      </c>
      <c r="V8" s="41" t="s">
        <v>112</v>
      </c>
      <c r="W8" s="41" t="s">
        <v>113</v>
      </c>
      <c r="X8" s="41" t="s">
        <v>114</v>
      </c>
      <c r="Y8" s="41" t="s">
        <v>115</v>
      </c>
      <c r="Z8" s="41" t="s">
        <v>116</v>
      </c>
      <c r="AA8" s="41" t="s">
        <v>117</v>
      </c>
      <c r="AB8" s="41" t="s">
        <v>118</v>
      </c>
      <c r="AC8" s="41" t="s">
        <v>119</v>
      </c>
      <c r="AD8" s="44"/>
      <c r="AE8" s="44"/>
      <c r="AF8" s="4"/>
    </row>
    <row r="9" spans="1:32">
      <c r="A9" s="48" t="s">
        <v>125</v>
      </c>
      <c r="B9" s="49"/>
      <c r="C9" s="5">
        <v>8</v>
      </c>
      <c r="D9" s="5">
        <v>10</v>
      </c>
      <c r="E9" s="5">
        <v>10</v>
      </c>
      <c r="F9" s="5">
        <v>10</v>
      </c>
      <c r="G9" s="5">
        <v>10</v>
      </c>
      <c r="H9" s="5">
        <v>10</v>
      </c>
      <c r="I9" s="5">
        <v>14</v>
      </c>
      <c r="J9" s="5">
        <v>10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/>
      <c r="S9" s="5"/>
      <c r="T9" s="5">
        <v>8</v>
      </c>
      <c r="U9" s="5">
        <v>6</v>
      </c>
      <c r="V9" s="5">
        <v>10</v>
      </c>
      <c r="W9" s="5">
        <v>8</v>
      </c>
      <c r="X9" s="5">
        <v>8</v>
      </c>
      <c r="Y9" s="5">
        <v>8</v>
      </c>
      <c r="Z9" s="5">
        <v>10</v>
      </c>
      <c r="AA9" s="5">
        <v>10</v>
      </c>
      <c r="AB9" s="5">
        <v>10</v>
      </c>
      <c r="AC9" s="5">
        <v>10</v>
      </c>
      <c r="AD9" s="6">
        <f>SUM(C9:AC9)</f>
        <v>240</v>
      </c>
      <c r="AE9" s="6"/>
      <c r="AF9" s="7"/>
    </row>
    <row r="10" spans="1:32">
      <c r="A10" s="46" t="s">
        <v>126</v>
      </c>
      <c r="B10" s="46"/>
      <c r="C10" s="42" t="s">
        <v>129</v>
      </c>
      <c r="D10" s="42" t="s">
        <v>130</v>
      </c>
      <c r="E10" s="42" t="s">
        <v>130</v>
      </c>
      <c r="F10" s="42" t="s">
        <v>130</v>
      </c>
      <c r="G10" s="42" t="s">
        <v>130</v>
      </c>
      <c r="H10" s="42" t="s">
        <v>130</v>
      </c>
      <c r="I10" s="42" t="s">
        <v>130</v>
      </c>
      <c r="J10" s="42" t="s">
        <v>130</v>
      </c>
      <c r="K10" s="42" t="s">
        <v>130</v>
      </c>
      <c r="L10" s="42" t="s">
        <v>130</v>
      </c>
      <c r="M10" s="42" t="s">
        <v>131</v>
      </c>
      <c r="N10" s="42" t="s">
        <v>131</v>
      </c>
      <c r="O10" s="42" t="s">
        <v>131</v>
      </c>
      <c r="P10" s="42" t="s">
        <v>131</v>
      </c>
      <c r="Q10" s="42" t="s">
        <v>132</v>
      </c>
      <c r="R10" s="42" t="s">
        <v>133</v>
      </c>
      <c r="S10" s="42" t="s">
        <v>134</v>
      </c>
      <c r="T10" s="8"/>
      <c r="U10" s="8"/>
      <c r="V10" s="8"/>
      <c r="W10" s="8" t="s">
        <v>135</v>
      </c>
      <c r="X10" s="8" t="s">
        <v>135</v>
      </c>
      <c r="Y10" s="8" t="s">
        <v>129</v>
      </c>
      <c r="Z10" s="8" t="s">
        <v>130</v>
      </c>
      <c r="AA10" s="8" t="s">
        <v>132</v>
      </c>
      <c r="AB10" s="8" t="s">
        <v>132</v>
      </c>
      <c r="AC10" s="8" t="s">
        <v>132</v>
      </c>
      <c r="AD10" s="9"/>
      <c r="AE10" s="9"/>
      <c r="AF10" s="10"/>
    </row>
    <row r="11" spans="1:32">
      <c r="A11" s="46" t="s">
        <v>137</v>
      </c>
      <c r="B11" s="46"/>
      <c r="C11" s="11">
        <v>4441</v>
      </c>
      <c r="D11" s="11">
        <v>5523.7</v>
      </c>
      <c r="E11" s="11">
        <v>5820.1</v>
      </c>
      <c r="F11" s="11">
        <v>6346</v>
      </c>
      <c r="G11" s="11">
        <v>1289.3999999999999</v>
      </c>
      <c r="H11" s="11">
        <v>6050.7999999999993</v>
      </c>
      <c r="I11" s="11">
        <v>5178.8</v>
      </c>
      <c r="J11" s="11">
        <v>5404.3</v>
      </c>
      <c r="K11" s="11">
        <v>5776.5</v>
      </c>
      <c r="L11" s="11">
        <v>5799</v>
      </c>
      <c r="M11" s="11">
        <v>7024.9</v>
      </c>
      <c r="N11" s="11">
        <v>8579.5</v>
      </c>
      <c r="O11" s="11">
        <v>8693.8000000000011</v>
      </c>
      <c r="P11" s="11">
        <v>59</v>
      </c>
      <c r="Q11" s="11">
        <v>7075.5999999999995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7748</v>
      </c>
      <c r="X11" s="11">
        <v>8174</v>
      </c>
      <c r="Y11" s="11">
        <v>7467</v>
      </c>
      <c r="Z11" s="11">
        <v>7538</v>
      </c>
      <c r="AA11" s="11">
        <v>3637</v>
      </c>
      <c r="AB11" s="11">
        <v>5332</v>
      </c>
      <c r="AC11" s="11">
        <v>2333</v>
      </c>
      <c r="AD11" s="13">
        <f>SUM(C11:AC11)</f>
        <v>125291.40000000001</v>
      </c>
      <c r="AE11" s="13">
        <f t="shared" ref="AE11:AE42" si="0">AVERAGE(C11:AC11)</f>
        <v>4640.4222222222224</v>
      </c>
      <c r="AF11" s="10"/>
    </row>
    <row r="12" spans="1:32">
      <c r="A12" s="50" t="s">
        <v>138</v>
      </c>
      <c r="B12" s="51"/>
      <c r="C12" s="14">
        <v>10.493055555555555</v>
      </c>
      <c r="D12" s="14">
        <v>10.260416666666666</v>
      </c>
      <c r="E12" s="14">
        <v>10.516666666666667</v>
      </c>
      <c r="F12" s="14">
        <v>10.439583333333333</v>
      </c>
      <c r="G12" s="14">
        <v>3.307638888888889</v>
      </c>
      <c r="H12" s="14">
        <v>10.186111111111112</v>
      </c>
      <c r="I12" s="14">
        <v>7.3361111111111112</v>
      </c>
      <c r="J12" s="14">
        <v>10.159722222222221</v>
      </c>
      <c r="K12" s="14">
        <v>10.584027777777777</v>
      </c>
      <c r="L12" s="14">
        <v>9.188194444444445</v>
      </c>
      <c r="M12" s="14">
        <v>9.3104166666666668</v>
      </c>
      <c r="N12" s="14">
        <v>12.243055555555555</v>
      </c>
      <c r="O12" s="14">
        <v>12.036111111111111</v>
      </c>
      <c r="P12" s="14">
        <v>0.10208333333333333</v>
      </c>
      <c r="Q12" s="14">
        <v>7.6583333333333332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10.154166666666667</v>
      </c>
      <c r="X12" s="14">
        <v>10.05625</v>
      </c>
      <c r="Y12" s="14">
        <v>11.030555555555555</v>
      </c>
      <c r="Z12" s="14">
        <v>9.8583333333333325</v>
      </c>
      <c r="AA12" s="14">
        <v>7.6673611111111111</v>
      </c>
      <c r="AB12" s="14">
        <v>8.9361111111111118</v>
      </c>
      <c r="AC12" s="14">
        <v>5</v>
      </c>
      <c r="AD12" s="16">
        <f>SUM(C12:AC12)</f>
        <v>196.52430555555557</v>
      </c>
      <c r="AE12" s="16">
        <f t="shared" si="0"/>
        <v>7.2786779835390956</v>
      </c>
      <c r="AF12" s="10"/>
    </row>
    <row r="13" spans="1:32">
      <c r="A13" s="46" t="s">
        <v>139</v>
      </c>
      <c r="B13" s="46"/>
      <c r="C13" s="11">
        <v>1017984</v>
      </c>
      <c r="D13" s="11">
        <v>1227000</v>
      </c>
      <c r="E13" s="11">
        <v>1196550</v>
      </c>
      <c r="F13" s="11">
        <v>1243170</v>
      </c>
      <c r="G13" s="11">
        <v>303460</v>
      </c>
      <c r="H13" s="11">
        <v>1165100</v>
      </c>
      <c r="I13" s="11">
        <v>1181420</v>
      </c>
      <c r="J13" s="11">
        <v>1163510</v>
      </c>
      <c r="K13" s="11">
        <v>1181990</v>
      </c>
      <c r="L13" s="11">
        <v>1204540</v>
      </c>
      <c r="M13" s="11">
        <v>1287260</v>
      </c>
      <c r="N13" s="11">
        <v>1397100</v>
      </c>
      <c r="O13" s="11">
        <v>1563250</v>
      </c>
      <c r="P13" s="11">
        <v>0</v>
      </c>
      <c r="Q13" s="11">
        <v>1596336</v>
      </c>
      <c r="R13" s="11">
        <v>10000</v>
      </c>
      <c r="S13" s="11">
        <v>595589</v>
      </c>
      <c r="T13" s="11">
        <v>0</v>
      </c>
      <c r="U13" s="11">
        <v>0</v>
      </c>
      <c r="V13" s="11">
        <v>0</v>
      </c>
      <c r="W13" s="11">
        <v>1860273</v>
      </c>
      <c r="X13" s="11">
        <v>1957816</v>
      </c>
      <c r="Y13" s="11">
        <v>1525608</v>
      </c>
      <c r="Z13" s="11">
        <v>1137250</v>
      </c>
      <c r="AA13" s="11">
        <v>815695</v>
      </c>
      <c r="AB13" s="11">
        <v>1343150</v>
      </c>
      <c r="AC13" s="11">
        <v>533796</v>
      </c>
      <c r="AD13" s="13">
        <f>SUM(C13:AC13)</f>
        <v>26507847</v>
      </c>
      <c r="AE13" s="13">
        <f t="shared" si="0"/>
        <v>981772.11111111112</v>
      </c>
      <c r="AF13" s="10">
        <f>AD13/AD13</f>
        <v>1</v>
      </c>
    </row>
    <row r="14" spans="1:32">
      <c r="A14" s="50" t="s">
        <v>140</v>
      </c>
      <c r="B14" s="51"/>
      <c r="C14" s="11">
        <v>0</v>
      </c>
      <c r="D14" s="11">
        <v>6240</v>
      </c>
      <c r="E14" s="11">
        <v>21930</v>
      </c>
      <c r="F14" s="11">
        <v>0</v>
      </c>
      <c r="G14" s="11">
        <v>0</v>
      </c>
      <c r="H14" s="11">
        <v>58000</v>
      </c>
      <c r="I14" s="11">
        <v>26080</v>
      </c>
      <c r="J14" s="11">
        <v>45730</v>
      </c>
      <c r="K14" s="11">
        <v>31870</v>
      </c>
      <c r="L14" s="11">
        <v>21320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127430</v>
      </c>
      <c r="AA14" s="11">
        <v>0</v>
      </c>
      <c r="AB14" s="11">
        <v>0</v>
      </c>
      <c r="AC14" s="11">
        <v>0</v>
      </c>
      <c r="AD14" s="13">
        <f>SUM(C14:AC14)</f>
        <v>338600</v>
      </c>
      <c r="AE14" s="13">
        <f t="shared" si="0"/>
        <v>12540.740740740741</v>
      </c>
      <c r="AF14" s="10"/>
    </row>
    <row r="15" spans="1:32">
      <c r="A15" s="46" t="s">
        <v>141</v>
      </c>
      <c r="B15" s="46"/>
      <c r="C15" s="11">
        <f t="shared" ref="C15:AC15" si="1">SUM(C13/C11)</f>
        <v>229.22404863769421</v>
      </c>
      <c r="D15" s="11">
        <f t="shared" si="1"/>
        <v>222.13371472020566</v>
      </c>
      <c r="E15" s="11">
        <f t="shared" si="1"/>
        <v>205.58925104379648</v>
      </c>
      <c r="F15" s="11">
        <f t="shared" si="1"/>
        <v>195.89820359281438</v>
      </c>
      <c r="G15" s="11">
        <f t="shared" si="1"/>
        <v>235.3497750891888</v>
      </c>
      <c r="H15" s="11">
        <f t="shared" si="1"/>
        <v>192.55305083625308</v>
      </c>
      <c r="I15" s="11">
        <f t="shared" si="1"/>
        <v>228.12620684328414</v>
      </c>
      <c r="J15" s="11">
        <f t="shared" si="1"/>
        <v>215.29337749569785</v>
      </c>
      <c r="K15" s="11">
        <f t="shared" si="1"/>
        <v>204.620444906085</v>
      </c>
      <c r="L15" s="11">
        <f t="shared" si="1"/>
        <v>207.71512329712019</v>
      </c>
      <c r="M15" s="11">
        <f t="shared" si="1"/>
        <v>183.24246608492649</v>
      </c>
      <c r="N15" s="11">
        <f t="shared" si="1"/>
        <v>162.8416574392447</v>
      </c>
      <c r="O15" s="11">
        <f t="shared" si="1"/>
        <v>179.81204996664286</v>
      </c>
      <c r="P15" s="11">
        <f t="shared" si="1"/>
        <v>0</v>
      </c>
      <c r="Q15" s="11">
        <f t="shared" si="1"/>
        <v>225.61139691333599</v>
      </c>
      <c r="R15" s="11" t="e">
        <f t="shared" si="1"/>
        <v>#DIV/0!</v>
      </c>
      <c r="S15" s="11" t="e">
        <f t="shared" si="1"/>
        <v>#DIV/0!</v>
      </c>
      <c r="T15" s="11" t="e">
        <f t="shared" si="1"/>
        <v>#DIV/0!</v>
      </c>
      <c r="U15" s="11" t="e">
        <f t="shared" si="1"/>
        <v>#DIV/0!</v>
      </c>
      <c r="V15" s="11" t="e">
        <f t="shared" si="1"/>
        <v>#DIV/0!</v>
      </c>
      <c r="W15" s="11">
        <f t="shared" si="1"/>
        <v>240.0971863706763</v>
      </c>
      <c r="X15" s="11">
        <f t="shared" si="1"/>
        <v>239.51749449473942</v>
      </c>
      <c r="Y15" s="11">
        <f t="shared" si="1"/>
        <v>204.31337886701488</v>
      </c>
      <c r="Z15" s="11">
        <f t="shared" si="1"/>
        <v>150.86893075086229</v>
      </c>
      <c r="AA15" s="11">
        <f t="shared" si="1"/>
        <v>224.27687654660434</v>
      </c>
      <c r="AB15" s="11">
        <f t="shared" si="1"/>
        <v>251.90360090022506</v>
      </c>
      <c r="AC15" s="11">
        <f t="shared" si="1"/>
        <v>228.80240034290614</v>
      </c>
      <c r="AD15" s="9">
        <f>SUM(AD13/AD11)</f>
        <v>211.56956503000205</v>
      </c>
      <c r="AE15" s="13" t="e">
        <f t="shared" si="0"/>
        <v>#DIV/0!</v>
      </c>
      <c r="AF15" s="10"/>
    </row>
    <row r="16" spans="1:32">
      <c r="A16" s="50" t="s">
        <v>142</v>
      </c>
      <c r="B16" s="51"/>
      <c r="C16" s="17">
        <f t="shared" ref="C16:AD16" si="2">C13/(C12*24)</f>
        <v>4042.2925215089349</v>
      </c>
      <c r="D16" s="17">
        <f t="shared" si="2"/>
        <v>4982.7411167512691</v>
      </c>
      <c r="E16" s="17">
        <f t="shared" si="2"/>
        <v>4740.6893819334382</v>
      </c>
      <c r="F16" s="17">
        <f t="shared" si="2"/>
        <v>4961.7641189383357</v>
      </c>
      <c r="G16" s="17">
        <f t="shared" si="2"/>
        <v>3822.7167751417169</v>
      </c>
      <c r="H16" s="17">
        <f t="shared" si="2"/>
        <v>4765.8849195527673</v>
      </c>
      <c r="I16" s="17">
        <f t="shared" si="2"/>
        <v>6710.0719424460431</v>
      </c>
      <c r="J16" s="17">
        <f t="shared" si="2"/>
        <v>4771.7429938482574</v>
      </c>
      <c r="K16" s="17">
        <f t="shared" si="2"/>
        <v>4653.1986090151568</v>
      </c>
      <c r="L16" s="17">
        <f t="shared" si="2"/>
        <v>5462.3535636006345</v>
      </c>
      <c r="M16" s="17">
        <f t="shared" si="2"/>
        <v>5760.841351532782</v>
      </c>
      <c r="N16" s="17">
        <f t="shared" si="2"/>
        <v>4754.7362450368691</v>
      </c>
      <c r="O16" s="17">
        <f t="shared" si="2"/>
        <v>5411.6662820216934</v>
      </c>
      <c r="P16" s="17">
        <f t="shared" si="2"/>
        <v>0</v>
      </c>
      <c r="Q16" s="17">
        <f t="shared" si="2"/>
        <v>8685.1795429815011</v>
      </c>
      <c r="R16" s="17" t="e">
        <f t="shared" si="2"/>
        <v>#DIV/0!</v>
      </c>
      <c r="S16" s="17" t="e">
        <f t="shared" si="2"/>
        <v>#DIV/0!</v>
      </c>
      <c r="T16" s="17" t="e">
        <f t="shared" si="2"/>
        <v>#DIV/0!</v>
      </c>
      <c r="U16" s="17" t="e">
        <f t="shared" si="2"/>
        <v>#DIV/0!</v>
      </c>
      <c r="V16" s="17" t="e">
        <f t="shared" si="2"/>
        <v>#DIV/0!</v>
      </c>
      <c r="W16" s="17">
        <f t="shared" si="2"/>
        <v>7633.4550677061961</v>
      </c>
      <c r="X16" s="17">
        <f t="shared" si="2"/>
        <v>8111.9370209239687</v>
      </c>
      <c r="Y16" s="17">
        <f t="shared" si="2"/>
        <v>5762.8103752203469</v>
      </c>
      <c r="Z16" s="17">
        <f t="shared" si="2"/>
        <v>4806.6356720202884</v>
      </c>
      <c r="AA16" s="17">
        <f t="shared" si="2"/>
        <v>4432.7234851915591</v>
      </c>
      <c r="AB16" s="17">
        <f t="shared" si="2"/>
        <v>6262.7447932856694</v>
      </c>
      <c r="AC16" s="17">
        <f t="shared" si="2"/>
        <v>4448.3</v>
      </c>
      <c r="AD16" s="19">
        <f t="shared" si="2"/>
        <v>5620.1375289316056</v>
      </c>
      <c r="AE16" s="19" t="e">
        <f t="shared" si="0"/>
        <v>#DIV/0!</v>
      </c>
      <c r="AF16" s="10"/>
    </row>
    <row r="17" spans="1:32">
      <c r="A17" s="47" t="s">
        <v>143</v>
      </c>
      <c r="B17" s="8" t="s">
        <v>144</v>
      </c>
      <c r="C17" s="11">
        <v>0</v>
      </c>
      <c r="D17" s="11">
        <v>0</v>
      </c>
      <c r="E17" s="11">
        <v>0</v>
      </c>
      <c r="F17" s="11">
        <v>0</v>
      </c>
      <c r="G17" s="11">
        <v>0</v>
      </c>
      <c r="H17" s="11">
        <v>261600</v>
      </c>
      <c r="I17" s="11">
        <v>58860</v>
      </c>
      <c r="J17" s="11">
        <v>0</v>
      </c>
      <c r="K17" s="11">
        <v>0</v>
      </c>
      <c r="L17" s="11">
        <v>75708</v>
      </c>
      <c r="M17" s="11">
        <v>213500</v>
      </c>
      <c r="N17" s="11">
        <v>51246</v>
      </c>
      <c r="O17" s="11">
        <v>268500</v>
      </c>
      <c r="P17" s="11">
        <v>56375</v>
      </c>
      <c r="Q17" s="11">
        <v>56708</v>
      </c>
      <c r="R17" s="11">
        <v>0</v>
      </c>
      <c r="S17" s="11">
        <v>0</v>
      </c>
      <c r="T17" s="11">
        <v>44688</v>
      </c>
      <c r="U17" s="11">
        <v>210800</v>
      </c>
      <c r="V17" s="11">
        <v>0</v>
      </c>
      <c r="W17" s="11">
        <v>0</v>
      </c>
      <c r="X17" s="11">
        <v>215200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3">
        <f t="shared" ref="AD17:AD28" si="3">SUM(C17:AC17)</f>
        <v>1513185</v>
      </c>
      <c r="AE17" s="13">
        <f t="shared" si="0"/>
        <v>56043.888888888891</v>
      </c>
      <c r="AF17" s="10">
        <f>AD17/AD13</f>
        <v>5.7084417304807893E-2</v>
      </c>
    </row>
    <row r="18" spans="1:32">
      <c r="A18" s="47"/>
      <c r="B18" s="8" t="s">
        <v>145</v>
      </c>
      <c r="C18" s="11">
        <v>4825</v>
      </c>
      <c r="D18" s="11">
        <v>4025</v>
      </c>
      <c r="E18" s="11">
        <v>4400</v>
      </c>
      <c r="F18" s="11">
        <v>4025</v>
      </c>
      <c r="G18" s="11">
        <v>5250</v>
      </c>
      <c r="H18" s="11">
        <v>0</v>
      </c>
      <c r="I18" s="11">
        <v>6950</v>
      </c>
      <c r="J18" s="11">
        <v>4400</v>
      </c>
      <c r="K18" s="11">
        <v>4025</v>
      </c>
      <c r="L18" s="11">
        <v>4825</v>
      </c>
      <c r="M18" s="11">
        <v>0</v>
      </c>
      <c r="N18" s="11">
        <v>3633</v>
      </c>
      <c r="O18" s="11">
        <v>0</v>
      </c>
      <c r="P18" s="11">
        <v>4825</v>
      </c>
      <c r="Q18" s="11">
        <v>4825</v>
      </c>
      <c r="R18" s="11">
        <v>0</v>
      </c>
      <c r="S18" s="11">
        <v>0</v>
      </c>
      <c r="T18" s="11">
        <v>4400</v>
      </c>
      <c r="U18" s="11">
        <v>0</v>
      </c>
      <c r="V18" s="11">
        <v>4825</v>
      </c>
      <c r="W18" s="11">
        <v>3241</v>
      </c>
      <c r="X18" s="11">
        <v>0</v>
      </c>
      <c r="Y18" s="11">
        <v>4417</v>
      </c>
      <c r="Z18" s="11">
        <v>4025</v>
      </c>
      <c r="AA18" s="11">
        <v>4417</v>
      </c>
      <c r="AB18" s="11">
        <v>4417</v>
      </c>
      <c r="AC18" s="11">
        <v>4825</v>
      </c>
      <c r="AD18" s="13">
        <f t="shared" si="3"/>
        <v>90575</v>
      </c>
      <c r="AE18" s="13">
        <f t="shared" si="0"/>
        <v>3354.6296296296296</v>
      </c>
      <c r="AF18" s="10">
        <f>AD18/AD13</f>
        <v>3.4169127353119249E-3</v>
      </c>
    </row>
    <row r="19" spans="1:32">
      <c r="A19" s="47"/>
      <c r="B19" s="8" t="s">
        <v>146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3">
        <f t="shared" si="3"/>
        <v>0</v>
      </c>
      <c r="AE19" s="13">
        <f t="shared" si="0"/>
        <v>0</v>
      </c>
      <c r="AF19" s="10">
        <f>AD19/AD13</f>
        <v>0</v>
      </c>
    </row>
    <row r="20" spans="1:32">
      <c r="A20" s="47"/>
      <c r="B20" s="8" t="s">
        <v>147</v>
      </c>
      <c r="C20" s="11">
        <v>4950</v>
      </c>
      <c r="D20" s="11">
        <v>4766</v>
      </c>
      <c r="E20" s="11">
        <v>4950</v>
      </c>
      <c r="F20" s="11">
        <v>4766</v>
      </c>
      <c r="G20" s="11">
        <v>4950</v>
      </c>
      <c r="H20" s="11">
        <v>0</v>
      </c>
      <c r="I20" s="11">
        <v>8333</v>
      </c>
      <c r="J20" s="11">
        <v>4950</v>
      </c>
      <c r="K20" s="11">
        <v>4583</v>
      </c>
      <c r="L20" s="11">
        <v>4583</v>
      </c>
      <c r="M20" s="11">
        <v>5212</v>
      </c>
      <c r="N20" s="11">
        <v>4766</v>
      </c>
      <c r="O20" s="11">
        <v>0</v>
      </c>
      <c r="P20" s="11">
        <v>5208</v>
      </c>
      <c r="Q20" s="11">
        <v>5208</v>
      </c>
      <c r="R20" s="11">
        <v>0</v>
      </c>
      <c r="S20" s="11">
        <v>0</v>
      </c>
      <c r="T20" s="11">
        <v>5133</v>
      </c>
      <c r="U20" s="11">
        <v>0</v>
      </c>
      <c r="V20" s="11">
        <v>4767</v>
      </c>
      <c r="W20" s="11">
        <v>4550</v>
      </c>
      <c r="X20" s="11">
        <v>4583</v>
      </c>
      <c r="Y20" s="11">
        <v>4766</v>
      </c>
      <c r="Z20" s="11">
        <v>4583</v>
      </c>
      <c r="AA20" s="11">
        <v>4950</v>
      </c>
      <c r="AB20" s="11">
        <v>4766</v>
      </c>
      <c r="AC20" s="11">
        <v>4950</v>
      </c>
      <c r="AD20" s="13">
        <f t="shared" si="3"/>
        <v>110273</v>
      </c>
      <c r="AE20" s="13">
        <f t="shared" si="0"/>
        <v>4084.1851851851852</v>
      </c>
      <c r="AF20" s="10">
        <f>AD20/AD13</f>
        <v>4.1600134480933139E-3</v>
      </c>
    </row>
    <row r="21" spans="1:32">
      <c r="A21" s="47"/>
      <c r="B21" s="8" t="s">
        <v>148</v>
      </c>
      <c r="C21" s="11">
        <v>31595</v>
      </c>
      <c r="D21" s="11">
        <v>22013</v>
      </c>
      <c r="E21" s="11">
        <v>37617</v>
      </c>
      <c r="F21" s="11">
        <v>57070</v>
      </c>
      <c r="G21" s="11">
        <v>33485</v>
      </c>
      <c r="H21" s="11">
        <v>0</v>
      </c>
      <c r="I21" s="11">
        <v>60028</v>
      </c>
      <c r="J21" s="11">
        <v>48980</v>
      </c>
      <c r="K21" s="11">
        <v>35664</v>
      </c>
      <c r="L21" s="11">
        <v>23249</v>
      </c>
      <c r="M21" s="11">
        <v>46288</v>
      </c>
      <c r="N21" s="11">
        <v>28932</v>
      </c>
      <c r="O21" s="11">
        <v>0</v>
      </c>
      <c r="P21" s="11">
        <v>22121</v>
      </c>
      <c r="Q21" s="11">
        <v>54800</v>
      </c>
      <c r="R21" s="11">
        <v>0</v>
      </c>
      <c r="S21" s="11">
        <v>0</v>
      </c>
      <c r="T21" s="11">
        <v>26368</v>
      </c>
      <c r="U21" s="11">
        <v>0</v>
      </c>
      <c r="V21" s="11">
        <v>46352</v>
      </c>
      <c r="W21" s="11">
        <v>49238</v>
      </c>
      <c r="X21" s="11">
        <v>31013</v>
      </c>
      <c r="Y21" s="11">
        <v>49888</v>
      </c>
      <c r="Z21" s="11">
        <v>27811</v>
      </c>
      <c r="AA21" s="11">
        <v>38733</v>
      </c>
      <c r="AB21" s="11">
        <v>37312</v>
      </c>
      <c r="AC21" s="11">
        <v>49900</v>
      </c>
      <c r="AD21" s="13">
        <f t="shared" si="3"/>
        <v>858457</v>
      </c>
      <c r="AE21" s="13">
        <f t="shared" si="0"/>
        <v>31794.703703703704</v>
      </c>
      <c r="AF21" s="10">
        <f>AD21/AD13</f>
        <v>3.2385014143170514E-2</v>
      </c>
    </row>
    <row r="22" spans="1:32">
      <c r="A22" s="47"/>
      <c r="B22" s="20" t="s">
        <v>149</v>
      </c>
      <c r="C22" s="21">
        <f t="shared" ref="C22:AC22" si="4">SUM(C17:C21)</f>
        <v>41370</v>
      </c>
      <c r="D22" s="21">
        <f t="shared" si="4"/>
        <v>30804</v>
      </c>
      <c r="E22" s="21">
        <f t="shared" si="4"/>
        <v>46967</v>
      </c>
      <c r="F22" s="21">
        <f t="shared" si="4"/>
        <v>65861</v>
      </c>
      <c r="G22" s="21">
        <f t="shared" si="4"/>
        <v>43685</v>
      </c>
      <c r="H22" s="21">
        <f t="shared" si="4"/>
        <v>261600</v>
      </c>
      <c r="I22" s="21">
        <f t="shared" si="4"/>
        <v>134171</v>
      </c>
      <c r="J22" s="21">
        <f t="shared" si="4"/>
        <v>58330</v>
      </c>
      <c r="K22" s="21">
        <f t="shared" si="4"/>
        <v>44272</v>
      </c>
      <c r="L22" s="21">
        <f t="shared" si="4"/>
        <v>108365</v>
      </c>
      <c r="M22" s="21">
        <f t="shared" si="4"/>
        <v>265000</v>
      </c>
      <c r="N22" s="21">
        <f t="shared" si="4"/>
        <v>88577</v>
      </c>
      <c r="O22" s="21">
        <f t="shared" si="4"/>
        <v>268500</v>
      </c>
      <c r="P22" s="21">
        <f t="shared" si="4"/>
        <v>88529</v>
      </c>
      <c r="Q22" s="21">
        <f t="shared" si="4"/>
        <v>121541</v>
      </c>
      <c r="R22" s="21">
        <f t="shared" si="4"/>
        <v>0</v>
      </c>
      <c r="S22" s="21">
        <f t="shared" si="4"/>
        <v>0</v>
      </c>
      <c r="T22" s="21">
        <f t="shared" si="4"/>
        <v>80589</v>
      </c>
      <c r="U22" s="21">
        <f t="shared" si="4"/>
        <v>210800</v>
      </c>
      <c r="V22" s="21">
        <f t="shared" si="4"/>
        <v>55944</v>
      </c>
      <c r="W22" s="21">
        <f t="shared" si="4"/>
        <v>57029</v>
      </c>
      <c r="X22" s="21">
        <f t="shared" si="4"/>
        <v>250796</v>
      </c>
      <c r="Y22" s="21">
        <f t="shared" si="4"/>
        <v>59071</v>
      </c>
      <c r="Z22" s="21">
        <f t="shared" si="4"/>
        <v>36419</v>
      </c>
      <c r="AA22" s="21">
        <f t="shared" si="4"/>
        <v>48100</v>
      </c>
      <c r="AB22" s="21">
        <f t="shared" si="4"/>
        <v>46495</v>
      </c>
      <c r="AC22" s="21">
        <f t="shared" si="4"/>
        <v>59675</v>
      </c>
      <c r="AD22" s="23">
        <f t="shared" si="3"/>
        <v>2572490</v>
      </c>
      <c r="AE22" s="23">
        <f t="shared" si="0"/>
        <v>95277.407407407401</v>
      </c>
      <c r="AF22" s="24">
        <f>AD22/AD13</f>
        <v>9.704635763138364E-2</v>
      </c>
    </row>
    <row r="23" spans="1:32">
      <c r="A23" s="47" t="s">
        <v>150</v>
      </c>
      <c r="B23" s="8" t="s">
        <v>151</v>
      </c>
      <c r="C23" s="11">
        <v>3200</v>
      </c>
      <c r="D23" s="11">
        <v>13300</v>
      </c>
      <c r="E23" s="11">
        <v>0</v>
      </c>
      <c r="F23" s="11">
        <v>0</v>
      </c>
      <c r="G23" s="11">
        <v>154940</v>
      </c>
      <c r="H23" s="11">
        <v>0</v>
      </c>
      <c r="I23" s="11">
        <v>28950</v>
      </c>
      <c r="J23" s="11">
        <v>0</v>
      </c>
      <c r="K23" s="11">
        <v>19180</v>
      </c>
      <c r="L23" s="11">
        <v>0</v>
      </c>
      <c r="M23" s="11">
        <v>77070</v>
      </c>
      <c r="N23" s="11">
        <v>173768</v>
      </c>
      <c r="O23" s="11">
        <v>70840</v>
      </c>
      <c r="P23" s="11">
        <v>15640</v>
      </c>
      <c r="Q23" s="11">
        <v>91587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384380</v>
      </c>
      <c r="Z23" s="11">
        <v>0</v>
      </c>
      <c r="AA23" s="11">
        <v>121042</v>
      </c>
      <c r="AB23" s="11">
        <v>0</v>
      </c>
      <c r="AC23" s="11">
        <v>65100</v>
      </c>
      <c r="AD23" s="13">
        <f t="shared" si="3"/>
        <v>1218997</v>
      </c>
      <c r="AE23" s="13">
        <f t="shared" si="0"/>
        <v>45148.037037037036</v>
      </c>
      <c r="AF23" s="10">
        <f>AD23/AD13</f>
        <v>4.5986269650643452E-2</v>
      </c>
    </row>
    <row r="24" spans="1:32">
      <c r="A24" s="47"/>
      <c r="B24" s="8" t="s">
        <v>152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3">
        <f t="shared" si="3"/>
        <v>0</v>
      </c>
      <c r="AE24" s="13">
        <f t="shared" si="0"/>
        <v>0</v>
      </c>
      <c r="AF24" s="10">
        <f>AD24/AD13</f>
        <v>0</v>
      </c>
    </row>
    <row r="25" spans="1:32">
      <c r="A25" s="47"/>
      <c r="B25" s="8" t="s">
        <v>153</v>
      </c>
      <c r="C25" s="11">
        <f t="shared" ref="C25:AC25" si="5">30000*C9/70000*C11</f>
        <v>15226.285714285714</v>
      </c>
      <c r="D25" s="11">
        <f t="shared" si="5"/>
        <v>23673</v>
      </c>
      <c r="E25" s="11">
        <f t="shared" si="5"/>
        <v>24943.285714285714</v>
      </c>
      <c r="F25" s="11">
        <f t="shared" si="5"/>
        <v>27197.142857142855</v>
      </c>
      <c r="G25" s="11">
        <f t="shared" si="5"/>
        <v>5525.9999999999991</v>
      </c>
      <c r="H25" s="11">
        <f t="shared" si="5"/>
        <v>25931.999999999996</v>
      </c>
      <c r="I25" s="11">
        <f t="shared" si="5"/>
        <v>31072.800000000003</v>
      </c>
      <c r="J25" s="11">
        <f t="shared" si="5"/>
        <v>23161.285714285714</v>
      </c>
      <c r="K25" s="11">
        <f t="shared" si="5"/>
        <v>24756.428571428572</v>
      </c>
      <c r="L25" s="11">
        <f t="shared" si="5"/>
        <v>24852.857142857141</v>
      </c>
      <c r="M25" s="11">
        <f t="shared" si="5"/>
        <v>30106.714285714283</v>
      </c>
      <c r="N25" s="11">
        <f t="shared" si="5"/>
        <v>36769.28571428571</v>
      </c>
      <c r="O25" s="11">
        <f t="shared" si="5"/>
        <v>37259.142857142862</v>
      </c>
      <c r="P25" s="11">
        <f t="shared" si="5"/>
        <v>252.85714285714286</v>
      </c>
      <c r="Q25" s="11">
        <f t="shared" si="5"/>
        <v>30323.999999999996</v>
      </c>
      <c r="R25" s="11">
        <f t="shared" si="5"/>
        <v>0</v>
      </c>
      <c r="S25" s="11">
        <f t="shared" si="5"/>
        <v>0</v>
      </c>
      <c r="T25" s="11">
        <f t="shared" si="5"/>
        <v>0</v>
      </c>
      <c r="U25" s="11">
        <f t="shared" si="5"/>
        <v>0</v>
      </c>
      <c r="V25" s="11">
        <f t="shared" si="5"/>
        <v>0</v>
      </c>
      <c r="W25" s="11">
        <f t="shared" si="5"/>
        <v>26564.571428571428</v>
      </c>
      <c r="X25" s="11">
        <f t="shared" si="5"/>
        <v>28025.142857142855</v>
      </c>
      <c r="Y25" s="11">
        <f t="shared" si="5"/>
        <v>25601.142857142855</v>
      </c>
      <c r="Z25" s="11">
        <f t="shared" si="5"/>
        <v>32305.714285714286</v>
      </c>
      <c r="AA25" s="11">
        <f t="shared" si="5"/>
        <v>15587.142857142857</v>
      </c>
      <c r="AB25" s="11">
        <f t="shared" si="5"/>
        <v>22851.428571428572</v>
      </c>
      <c r="AC25" s="11">
        <f t="shared" si="5"/>
        <v>9998.5714285714275</v>
      </c>
      <c r="AD25" s="13">
        <f t="shared" si="3"/>
        <v>521986.79999999993</v>
      </c>
      <c r="AE25" s="13">
        <f t="shared" si="0"/>
        <v>19332.844444444443</v>
      </c>
      <c r="AF25" s="10">
        <f>AD25/AD13</f>
        <v>1.9691784096988334E-2</v>
      </c>
    </row>
    <row r="26" spans="1:32">
      <c r="A26" s="47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3">
        <f t="shared" si="3"/>
        <v>0</v>
      </c>
      <c r="AE26" s="13">
        <f t="shared" si="0"/>
        <v>0</v>
      </c>
      <c r="AF26" s="10">
        <f>AD26/AD13</f>
        <v>0</v>
      </c>
    </row>
    <row r="27" spans="1:32">
      <c r="A27" s="47"/>
      <c r="B27" s="20" t="s">
        <v>154</v>
      </c>
      <c r="C27" s="21">
        <f t="shared" ref="C27:AC27" si="6">SUM(C23:C26)</f>
        <v>18426.285714285714</v>
      </c>
      <c r="D27" s="21">
        <f t="shared" si="6"/>
        <v>36973</v>
      </c>
      <c r="E27" s="21">
        <f t="shared" si="6"/>
        <v>24943.285714285714</v>
      </c>
      <c r="F27" s="21">
        <f t="shared" si="6"/>
        <v>27197.142857142855</v>
      </c>
      <c r="G27" s="21">
        <f t="shared" si="6"/>
        <v>160466</v>
      </c>
      <c r="H27" s="21">
        <f t="shared" si="6"/>
        <v>25931.999999999996</v>
      </c>
      <c r="I27" s="21">
        <f t="shared" si="6"/>
        <v>60022.8</v>
      </c>
      <c r="J27" s="21">
        <f t="shared" si="6"/>
        <v>23161.285714285714</v>
      </c>
      <c r="K27" s="21">
        <f t="shared" si="6"/>
        <v>43936.428571428572</v>
      </c>
      <c r="L27" s="21">
        <f t="shared" si="6"/>
        <v>24852.857142857141</v>
      </c>
      <c r="M27" s="21">
        <f t="shared" si="6"/>
        <v>107176.71428571429</v>
      </c>
      <c r="N27" s="21">
        <f t="shared" si="6"/>
        <v>210537.28571428571</v>
      </c>
      <c r="O27" s="21">
        <f t="shared" si="6"/>
        <v>108099.14285714287</v>
      </c>
      <c r="P27" s="21">
        <f t="shared" si="6"/>
        <v>15892.857142857143</v>
      </c>
      <c r="Q27" s="21">
        <f t="shared" si="6"/>
        <v>121911</v>
      </c>
      <c r="R27" s="21">
        <f t="shared" si="6"/>
        <v>0</v>
      </c>
      <c r="S27" s="21">
        <f t="shared" si="6"/>
        <v>0</v>
      </c>
      <c r="T27" s="21">
        <f t="shared" si="6"/>
        <v>0</v>
      </c>
      <c r="U27" s="21">
        <f t="shared" si="6"/>
        <v>0</v>
      </c>
      <c r="V27" s="21">
        <f t="shared" si="6"/>
        <v>0</v>
      </c>
      <c r="W27" s="21">
        <f t="shared" si="6"/>
        <v>26564.571428571428</v>
      </c>
      <c r="X27" s="21">
        <f t="shared" si="6"/>
        <v>28025.142857142855</v>
      </c>
      <c r="Y27" s="21">
        <f t="shared" si="6"/>
        <v>409981.14285714284</v>
      </c>
      <c r="Z27" s="21">
        <f t="shared" si="6"/>
        <v>32305.714285714286</v>
      </c>
      <c r="AA27" s="21">
        <f t="shared" si="6"/>
        <v>136629.14285714287</v>
      </c>
      <c r="AB27" s="21">
        <f t="shared" si="6"/>
        <v>22851.428571428572</v>
      </c>
      <c r="AC27" s="21">
        <f t="shared" si="6"/>
        <v>75098.57142857142</v>
      </c>
      <c r="AD27" s="23">
        <f t="shared" si="3"/>
        <v>1740983.8000000003</v>
      </c>
      <c r="AE27" s="23">
        <f t="shared" si="0"/>
        <v>64480.88148148149</v>
      </c>
      <c r="AF27" s="24">
        <f>AD27/AD13</f>
        <v>6.567805374763179E-2</v>
      </c>
    </row>
    <row r="28" spans="1:32">
      <c r="A28" s="47" t="s">
        <v>155</v>
      </c>
      <c r="B28" s="5" t="s">
        <v>156</v>
      </c>
      <c r="C28" s="25">
        <v>1270</v>
      </c>
      <c r="D28" s="25">
        <v>1552</v>
      </c>
      <c r="E28" s="25">
        <v>1428</v>
      </c>
      <c r="F28" s="25">
        <v>1605</v>
      </c>
      <c r="G28" s="25">
        <v>392</v>
      </c>
      <c r="H28" s="25">
        <v>1550</v>
      </c>
      <c r="I28" s="25">
        <v>1968</v>
      </c>
      <c r="J28" s="25">
        <v>1525</v>
      </c>
      <c r="K28" s="25">
        <v>1665</v>
      </c>
      <c r="L28" s="25">
        <v>1548</v>
      </c>
      <c r="M28" s="25">
        <v>1846</v>
      </c>
      <c r="N28" s="25">
        <v>2337</v>
      </c>
      <c r="O28" s="25">
        <v>2231</v>
      </c>
      <c r="P28" s="25">
        <v>0</v>
      </c>
      <c r="Q28" s="25">
        <v>1915</v>
      </c>
      <c r="R28" s="25">
        <v>0</v>
      </c>
      <c r="S28" s="25">
        <v>0</v>
      </c>
      <c r="T28" s="25">
        <v>0</v>
      </c>
      <c r="U28" s="25">
        <v>230</v>
      </c>
      <c r="V28" s="25">
        <v>0</v>
      </c>
      <c r="W28" s="25">
        <v>2040</v>
      </c>
      <c r="X28" s="25">
        <v>2038</v>
      </c>
      <c r="Y28" s="25">
        <v>1882</v>
      </c>
      <c r="Z28" s="25">
        <v>2030</v>
      </c>
      <c r="AA28" s="25">
        <v>940</v>
      </c>
      <c r="AB28" s="25">
        <v>1326</v>
      </c>
      <c r="AC28" s="25">
        <v>621</v>
      </c>
      <c r="AD28" s="27">
        <f t="shared" si="3"/>
        <v>33939</v>
      </c>
      <c r="AE28" s="27">
        <f t="shared" si="0"/>
        <v>1257</v>
      </c>
      <c r="AF28" s="7">
        <f>AD28/AD13</f>
        <v>1.2803378561827372E-3</v>
      </c>
    </row>
    <row r="29" spans="1:32">
      <c r="A29" s="47"/>
      <c r="B29" s="28" t="s">
        <v>157</v>
      </c>
      <c r="C29" s="29">
        <f t="shared" ref="C29:AD29" si="7">SUM(C11/C28)</f>
        <v>3.4968503937007873</v>
      </c>
      <c r="D29" s="29">
        <f t="shared" si="7"/>
        <v>3.5590850515463917</v>
      </c>
      <c r="E29" s="29">
        <f t="shared" si="7"/>
        <v>4.075700280112045</v>
      </c>
      <c r="F29" s="29">
        <f t="shared" si="7"/>
        <v>3.9538940809968848</v>
      </c>
      <c r="G29" s="29">
        <f t="shared" si="7"/>
        <v>3.2892857142857141</v>
      </c>
      <c r="H29" s="29">
        <f t="shared" si="7"/>
        <v>3.9037419354838705</v>
      </c>
      <c r="I29" s="29">
        <f t="shared" si="7"/>
        <v>2.6315040650406507</v>
      </c>
      <c r="J29" s="29">
        <f t="shared" si="7"/>
        <v>3.5438032786885247</v>
      </c>
      <c r="K29" s="29">
        <f t="shared" si="7"/>
        <v>3.4693693693693692</v>
      </c>
      <c r="L29" s="29">
        <f t="shared" si="7"/>
        <v>3.7461240310077519</v>
      </c>
      <c r="M29" s="29">
        <f t="shared" si="7"/>
        <v>3.8054712892741058</v>
      </c>
      <c r="N29" s="29">
        <f t="shared" si="7"/>
        <v>3.6711596063329055</v>
      </c>
      <c r="O29" s="29">
        <f t="shared" si="7"/>
        <v>3.8968175705961459</v>
      </c>
      <c r="P29" s="29" t="e">
        <f t="shared" si="7"/>
        <v>#DIV/0!</v>
      </c>
      <c r="Q29" s="29">
        <f t="shared" si="7"/>
        <v>3.6948302872062659</v>
      </c>
      <c r="R29" s="29" t="e">
        <f t="shared" si="7"/>
        <v>#DIV/0!</v>
      </c>
      <c r="S29" s="29" t="e">
        <f t="shared" si="7"/>
        <v>#DIV/0!</v>
      </c>
      <c r="T29" s="29" t="e">
        <f t="shared" si="7"/>
        <v>#DIV/0!</v>
      </c>
      <c r="U29" s="29">
        <f t="shared" si="7"/>
        <v>0</v>
      </c>
      <c r="V29" s="29" t="e">
        <f t="shared" si="7"/>
        <v>#DIV/0!</v>
      </c>
      <c r="W29" s="29">
        <f t="shared" si="7"/>
        <v>3.7980392156862743</v>
      </c>
      <c r="X29" s="29">
        <f t="shared" si="7"/>
        <v>4.010794896957802</v>
      </c>
      <c r="Y29" s="29">
        <f t="shared" si="7"/>
        <v>3.9675876726886292</v>
      </c>
      <c r="Z29" s="29">
        <f t="shared" si="7"/>
        <v>3.7133004926108373</v>
      </c>
      <c r="AA29" s="29">
        <f t="shared" si="7"/>
        <v>3.8691489361702129</v>
      </c>
      <c r="AB29" s="29">
        <f t="shared" si="7"/>
        <v>4.0211161387631975</v>
      </c>
      <c r="AC29" s="29">
        <f t="shared" si="7"/>
        <v>3.756843800322061</v>
      </c>
      <c r="AD29" s="31">
        <f t="shared" si="7"/>
        <v>3.6916644568195882</v>
      </c>
      <c r="AE29" s="31" t="e">
        <f t="shared" si="0"/>
        <v>#DIV/0!</v>
      </c>
      <c r="AF29" s="28">
        <f>AD29/AD13</f>
        <v>1.3926685395534342E-7</v>
      </c>
    </row>
    <row r="30" spans="1:32">
      <c r="A30" s="47"/>
      <c r="B30" s="8" t="s">
        <v>158</v>
      </c>
      <c r="C30" s="11">
        <v>155448</v>
      </c>
      <c r="D30" s="11">
        <v>189965</v>
      </c>
      <c r="E30" s="11">
        <v>174787</v>
      </c>
      <c r="F30" s="11">
        <v>196452</v>
      </c>
      <c r="G30" s="11">
        <v>47981</v>
      </c>
      <c r="H30" s="11">
        <v>189720</v>
      </c>
      <c r="I30" s="11">
        <v>240883</v>
      </c>
      <c r="J30" s="11">
        <v>186660</v>
      </c>
      <c r="K30" s="11">
        <v>203796</v>
      </c>
      <c r="L30" s="11">
        <v>189475</v>
      </c>
      <c r="M30" s="11">
        <v>225950</v>
      </c>
      <c r="N30" s="11">
        <v>286049</v>
      </c>
      <c r="O30" s="11">
        <v>273074</v>
      </c>
      <c r="P30" s="11">
        <v>0</v>
      </c>
      <c r="Q30" s="11">
        <v>234396</v>
      </c>
      <c r="R30" s="11">
        <v>0</v>
      </c>
      <c r="S30" s="11">
        <v>0</v>
      </c>
      <c r="T30" s="11">
        <v>0</v>
      </c>
      <c r="U30" s="11">
        <v>28152</v>
      </c>
      <c r="V30" s="11">
        <v>0</v>
      </c>
      <c r="W30" s="11">
        <v>249696</v>
      </c>
      <c r="X30" s="11">
        <v>249451</v>
      </c>
      <c r="Y30" s="11">
        <v>230357</v>
      </c>
      <c r="Z30" s="11">
        <v>248472</v>
      </c>
      <c r="AA30" s="11">
        <v>115056</v>
      </c>
      <c r="AB30" s="11">
        <v>162302</v>
      </c>
      <c r="AC30" s="11">
        <v>76010</v>
      </c>
      <c r="AD30" s="13">
        <f t="shared" ref="AD30:AD60" si="8">SUM(C30:AC30)</f>
        <v>4154132</v>
      </c>
      <c r="AE30" s="13">
        <f t="shared" si="0"/>
        <v>153856.74074074073</v>
      </c>
      <c r="AF30" s="10">
        <f>AD30/AD13</f>
        <v>0.15671329323728178</v>
      </c>
    </row>
    <row r="31" spans="1:32">
      <c r="A31" s="47"/>
      <c r="B31" s="8" t="s">
        <v>159</v>
      </c>
      <c r="C31" s="11">
        <v>0</v>
      </c>
      <c r="D31" s="11">
        <v>0</v>
      </c>
      <c r="E31" s="11">
        <v>12425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9585</v>
      </c>
      <c r="Z31" s="11">
        <v>9585</v>
      </c>
      <c r="AA31" s="11">
        <v>0</v>
      </c>
      <c r="AB31" s="11">
        <v>0</v>
      </c>
      <c r="AC31" s="11">
        <v>0</v>
      </c>
      <c r="AD31" s="13">
        <f t="shared" si="8"/>
        <v>31595</v>
      </c>
      <c r="AE31" s="13">
        <f t="shared" si="0"/>
        <v>1170.1851851851852</v>
      </c>
      <c r="AF31" s="10">
        <f>AD31/AD13</f>
        <v>1.1919112102918054E-3</v>
      </c>
    </row>
    <row r="32" spans="1:32">
      <c r="A32" s="47"/>
      <c r="B32" s="8" t="s">
        <v>160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3">
        <f t="shared" si="8"/>
        <v>0</v>
      </c>
      <c r="AE32" s="13">
        <f t="shared" si="0"/>
        <v>0</v>
      </c>
      <c r="AF32" s="10">
        <f>AD32/AD13</f>
        <v>0</v>
      </c>
    </row>
    <row r="33" spans="1:32">
      <c r="A33" s="47"/>
      <c r="B33" s="20" t="s">
        <v>161</v>
      </c>
      <c r="C33" s="21">
        <f t="shared" ref="C33:AC33" si="9">SUM(C30:C32)</f>
        <v>155448</v>
      </c>
      <c r="D33" s="21">
        <f t="shared" si="9"/>
        <v>189965</v>
      </c>
      <c r="E33" s="21">
        <f t="shared" si="9"/>
        <v>187212</v>
      </c>
      <c r="F33" s="21">
        <f t="shared" si="9"/>
        <v>196452</v>
      </c>
      <c r="G33" s="21">
        <f t="shared" si="9"/>
        <v>47981</v>
      </c>
      <c r="H33" s="21">
        <f t="shared" si="9"/>
        <v>189720</v>
      </c>
      <c r="I33" s="21">
        <f t="shared" si="9"/>
        <v>240883</v>
      </c>
      <c r="J33" s="21">
        <f t="shared" si="9"/>
        <v>186660</v>
      </c>
      <c r="K33" s="21">
        <f t="shared" si="9"/>
        <v>203796</v>
      </c>
      <c r="L33" s="21">
        <f t="shared" si="9"/>
        <v>189475</v>
      </c>
      <c r="M33" s="21">
        <f t="shared" si="9"/>
        <v>225950</v>
      </c>
      <c r="N33" s="21">
        <f t="shared" si="9"/>
        <v>286049</v>
      </c>
      <c r="O33" s="21">
        <f t="shared" si="9"/>
        <v>273074</v>
      </c>
      <c r="P33" s="21">
        <f t="shared" si="9"/>
        <v>0</v>
      </c>
      <c r="Q33" s="21">
        <f t="shared" si="9"/>
        <v>234396</v>
      </c>
      <c r="R33" s="21">
        <f t="shared" si="9"/>
        <v>0</v>
      </c>
      <c r="S33" s="21">
        <f t="shared" si="9"/>
        <v>0</v>
      </c>
      <c r="T33" s="21">
        <f t="shared" si="9"/>
        <v>0</v>
      </c>
      <c r="U33" s="21">
        <f t="shared" si="9"/>
        <v>28152</v>
      </c>
      <c r="V33" s="21">
        <f t="shared" si="9"/>
        <v>0</v>
      </c>
      <c r="W33" s="21">
        <f t="shared" si="9"/>
        <v>249696</v>
      </c>
      <c r="X33" s="21">
        <f t="shared" si="9"/>
        <v>249451</v>
      </c>
      <c r="Y33" s="21">
        <f t="shared" si="9"/>
        <v>239942</v>
      </c>
      <c r="Z33" s="21">
        <f t="shared" si="9"/>
        <v>258057</v>
      </c>
      <c r="AA33" s="21">
        <f t="shared" si="9"/>
        <v>115056</v>
      </c>
      <c r="AB33" s="21">
        <f t="shared" si="9"/>
        <v>162302</v>
      </c>
      <c r="AC33" s="21">
        <f t="shared" si="9"/>
        <v>76010</v>
      </c>
      <c r="AD33" s="23">
        <f t="shared" si="8"/>
        <v>4185727</v>
      </c>
      <c r="AE33" s="23">
        <f t="shared" si="0"/>
        <v>155026.92592592593</v>
      </c>
      <c r="AF33" s="24">
        <f>AD33/AD13</f>
        <v>0.15790520444757358</v>
      </c>
    </row>
    <row r="34" spans="1:32">
      <c r="A34" s="47" t="s">
        <v>162</v>
      </c>
      <c r="B34" s="8" t="s">
        <v>163</v>
      </c>
      <c r="C34" s="11">
        <v>2008</v>
      </c>
      <c r="D34" s="11">
        <v>2008</v>
      </c>
      <c r="E34" s="11">
        <v>2008</v>
      </c>
      <c r="F34" s="11">
        <v>2008</v>
      </c>
      <c r="G34" s="11">
        <v>2012</v>
      </c>
      <c r="H34" s="11">
        <v>0</v>
      </c>
      <c r="I34" s="11">
        <v>2459</v>
      </c>
      <c r="J34" s="11">
        <v>2008</v>
      </c>
      <c r="K34" s="11">
        <v>2008</v>
      </c>
      <c r="L34" s="11">
        <v>2008</v>
      </c>
      <c r="M34" s="11">
        <v>2012</v>
      </c>
      <c r="N34" s="11">
        <v>2008</v>
      </c>
      <c r="O34" s="11">
        <v>0</v>
      </c>
      <c r="P34" s="11">
        <v>2008</v>
      </c>
      <c r="Q34" s="11">
        <v>2008</v>
      </c>
      <c r="R34" s="11">
        <v>0</v>
      </c>
      <c r="S34" s="11">
        <v>0</v>
      </c>
      <c r="T34" s="11">
        <v>2008</v>
      </c>
      <c r="U34" s="11">
        <v>0</v>
      </c>
      <c r="V34" s="11">
        <v>2008</v>
      </c>
      <c r="W34" s="11">
        <v>2008</v>
      </c>
      <c r="X34" s="11">
        <v>2008</v>
      </c>
      <c r="Y34" s="11">
        <v>2008</v>
      </c>
      <c r="Z34" s="11">
        <v>2008</v>
      </c>
      <c r="AA34" s="11">
        <v>2008</v>
      </c>
      <c r="AB34" s="11">
        <v>2008</v>
      </c>
      <c r="AC34" s="11">
        <v>2625</v>
      </c>
      <c r="AD34" s="13">
        <f t="shared" si="8"/>
        <v>45252</v>
      </c>
      <c r="AE34" s="13">
        <f t="shared" si="0"/>
        <v>1676</v>
      </c>
      <c r="AF34" s="10">
        <f>AD34/AD13</f>
        <v>1.7071171415769827E-3</v>
      </c>
    </row>
    <row r="35" spans="1:32">
      <c r="A35" s="47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3">
        <f t="shared" si="8"/>
        <v>0</v>
      </c>
      <c r="AE35" s="13">
        <f t="shared" si="0"/>
        <v>0</v>
      </c>
      <c r="AF35" s="10">
        <f>AD35/AD13</f>
        <v>0</v>
      </c>
    </row>
    <row r="36" spans="1:32">
      <c r="A36" s="47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3">
        <f t="shared" si="8"/>
        <v>0</v>
      </c>
      <c r="AE36" s="13">
        <f t="shared" si="0"/>
        <v>0</v>
      </c>
      <c r="AF36" s="10">
        <f>AD36/AD13</f>
        <v>0</v>
      </c>
    </row>
    <row r="37" spans="1:32">
      <c r="A37" s="47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3">
        <f t="shared" si="8"/>
        <v>0</v>
      </c>
      <c r="AE37" s="13">
        <f t="shared" si="0"/>
        <v>0</v>
      </c>
      <c r="AF37" s="10">
        <f>AD37/AD13</f>
        <v>0</v>
      </c>
    </row>
    <row r="38" spans="1:32">
      <c r="A38" s="47"/>
      <c r="B38" s="8" t="s">
        <v>164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10718</v>
      </c>
      <c r="I38" s="11">
        <v>10690</v>
      </c>
      <c r="J38" s="11">
        <v>5366</v>
      </c>
      <c r="K38" s="11">
        <v>5366</v>
      </c>
      <c r="L38" s="11">
        <v>7671</v>
      </c>
      <c r="M38" s="11">
        <v>8639</v>
      </c>
      <c r="N38" s="11">
        <v>5366</v>
      </c>
      <c r="O38" s="11">
        <v>5576</v>
      </c>
      <c r="P38" s="11">
        <v>7624</v>
      </c>
      <c r="Q38" s="11">
        <v>6832</v>
      </c>
      <c r="R38" s="11">
        <v>0</v>
      </c>
      <c r="S38" s="11">
        <v>0</v>
      </c>
      <c r="T38" s="11">
        <v>5366</v>
      </c>
      <c r="U38" s="11">
        <v>0</v>
      </c>
      <c r="V38" s="11">
        <v>4621</v>
      </c>
      <c r="W38" s="11">
        <v>5366</v>
      </c>
      <c r="X38" s="11">
        <v>10370</v>
      </c>
      <c r="Y38" s="11">
        <v>5366</v>
      </c>
      <c r="Z38" s="11">
        <v>5366</v>
      </c>
      <c r="AA38" s="11">
        <v>4621</v>
      </c>
      <c r="AB38" s="11">
        <v>4621</v>
      </c>
      <c r="AC38" s="11">
        <v>4621</v>
      </c>
      <c r="AD38" s="13">
        <f t="shared" si="8"/>
        <v>150996</v>
      </c>
      <c r="AE38" s="13">
        <f t="shared" si="0"/>
        <v>5592.4444444444443</v>
      </c>
      <c r="AF38" s="10">
        <f>AD38/AD13</f>
        <v>5.6962755217351297E-3</v>
      </c>
    </row>
    <row r="39" spans="1:32">
      <c r="A39" s="47"/>
      <c r="B39" s="20" t="s">
        <v>165</v>
      </c>
      <c r="C39" s="21">
        <f t="shared" ref="C39:AC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7374</v>
      </c>
      <c r="G39" s="21">
        <f t="shared" si="10"/>
        <v>7378</v>
      </c>
      <c r="H39" s="21">
        <f t="shared" si="10"/>
        <v>10718</v>
      </c>
      <c r="I39" s="21">
        <f t="shared" si="10"/>
        <v>13149</v>
      </c>
      <c r="J39" s="21">
        <f t="shared" si="10"/>
        <v>7374</v>
      </c>
      <c r="K39" s="21">
        <f t="shared" si="10"/>
        <v>7374</v>
      </c>
      <c r="L39" s="21">
        <f t="shared" si="10"/>
        <v>9679</v>
      </c>
      <c r="M39" s="21">
        <f t="shared" si="10"/>
        <v>10651</v>
      </c>
      <c r="N39" s="21">
        <f t="shared" si="10"/>
        <v>7374</v>
      </c>
      <c r="O39" s="21">
        <f t="shared" si="10"/>
        <v>5576</v>
      </c>
      <c r="P39" s="21">
        <f t="shared" si="10"/>
        <v>9632</v>
      </c>
      <c r="Q39" s="21">
        <f t="shared" si="10"/>
        <v>8840</v>
      </c>
      <c r="R39" s="21">
        <f t="shared" si="10"/>
        <v>0</v>
      </c>
      <c r="S39" s="21">
        <f t="shared" si="10"/>
        <v>0</v>
      </c>
      <c r="T39" s="21">
        <f t="shared" si="10"/>
        <v>7374</v>
      </c>
      <c r="U39" s="21">
        <f t="shared" si="10"/>
        <v>0</v>
      </c>
      <c r="V39" s="21">
        <f t="shared" si="10"/>
        <v>6629</v>
      </c>
      <c r="W39" s="21">
        <f t="shared" si="10"/>
        <v>7374</v>
      </c>
      <c r="X39" s="21">
        <f t="shared" si="10"/>
        <v>12378</v>
      </c>
      <c r="Y39" s="21">
        <f t="shared" si="10"/>
        <v>7374</v>
      </c>
      <c r="Z39" s="21">
        <f t="shared" si="10"/>
        <v>7374</v>
      </c>
      <c r="AA39" s="21">
        <f t="shared" si="10"/>
        <v>6629</v>
      </c>
      <c r="AB39" s="21">
        <f t="shared" si="10"/>
        <v>6629</v>
      </c>
      <c r="AC39" s="21">
        <f t="shared" si="10"/>
        <v>7246</v>
      </c>
      <c r="AD39" s="23">
        <f t="shared" si="8"/>
        <v>196248</v>
      </c>
      <c r="AE39" s="23">
        <f t="shared" si="0"/>
        <v>7268.4444444444443</v>
      </c>
      <c r="AF39" s="24">
        <f>AD39/AD13</f>
        <v>7.4033926633121127E-3</v>
      </c>
    </row>
    <row r="40" spans="1:32">
      <c r="A40" s="47" t="s">
        <v>166</v>
      </c>
      <c r="B40" s="8" t="s">
        <v>167</v>
      </c>
      <c r="C40" s="11">
        <v>14660</v>
      </c>
      <c r="D40" s="11">
        <v>105670</v>
      </c>
      <c r="E40" s="11">
        <v>105590</v>
      </c>
      <c r="F40" s="11">
        <v>108220</v>
      </c>
      <c r="G40" s="11">
        <v>9470</v>
      </c>
      <c r="H40" s="11">
        <v>124690</v>
      </c>
      <c r="I40" s="11">
        <v>208860</v>
      </c>
      <c r="J40" s="11">
        <v>70100</v>
      </c>
      <c r="K40" s="11">
        <v>61900</v>
      </c>
      <c r="L40" s="11">
        <v>91950</v>
      </c>
      <c r="M40" s="11">
        <v>190600</v>
      </c>
      <c r="N40" s="11">
        <v>179340</v>
      </c>
      <c r="O40" s="11">
        <v>213180</v>
      </c>
      <c r="P40" s="11">
        <v>0</v>
      </c>
      <c r="Q40" s="11">
        <v>245740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138220</v>
      </c>
      <c r="X40" s="11">
        <v>148410</v>
      </c>
      <c r="Y40" s="11">
        <v>222620</v>
      </c>
      <c r="Z40" s="11">
        <v>149150</v>
      </c>
      <c r="AA40" s="11">
        <v>35780</v>
      </c>
      <c r="AB40" s="11">
        <v>64970</v>
      </c>
      <c r="AC40" s="11">
        <v>7180</v>
      </c>
      <c r="AD40" s="13">
        <f t="shared" si="8"/>
        <v>2496300</v>
      </c>
      <c r="AE40" s="13">
        <f t="shared" si="0"/>
        <v>92455.555555555562</v>
      </c>
      <c r="AF40" s="10">
        <f>AD40/AD13</f>
        <v>9.4172114393145545E-2</v>
      </c>
    </row>
    <row r="41" spans="1:32">
      <c r="A41" s="47"/>
      <c r="B41" s="8" t="s">
        <v>168</v>
      </c>
      <c r="C41" s="11">
        <v>-6840</v>
      </c>
      <c r="D41" s="11">
        <v>-45430</v>
      </c>
      <c r="E41" s="11">
        <v>-37285</v>
      </c>
      <c r="F41" s="11">
        <v>-45980</v>
      </c>
      <c r="G41" s="11">
        <v>-2690</v>
      </c>
      <c r="H41" s="11">
        <v>-43614</v>
      </c>
      <c r="I41" s="11">
        <v>-109355</v>
      </c>
      <c r="J41" s="11">
        <v>-30741</v>
      </c>
      <c r="K41" s="11">
        <v>-21400</v>
      </c>
      <c r="L41" s="11">
        <v>-39188</v>
      </c>
      <c r="M41" s="11">
        <v>-61612</v>
      </c>
      <c r="N41" s="11">
        <v>-91060</v>
      </c>
      <c r="O41" s="11">
        <v>-88995</v>
      </c>
      <c r="P41" s="11">
        <v>0</v>
      </c>
      <c r="Q41" s="11">
        <v>-137750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-138220</v>
      </c>
      <c r="X41" s="11">
        <v>-148410</v>
      </c>
      <c r="Y41" s="11">
        <v>-194992</v>
      </c>
      <c r="Z41" s="11">
        <v>-23039</v>
      </c>
      <c r="AA41" s="11">
        <v>0</v>
      </c>
      <c r="AB41" s="11">
        <v>0</v>
      </c>
      <c r="AC41" s="11">
        <v>0</v>
      </c>
      <c r="AD41" s="13">
        <f t="shared" si="8"/>
        <v>-1266601</v>
      </c>
      <c r="AE41" s="13">
        <f t="shared" si="0"/>
        <v>-46911.148148148146</v>
      </c>
      <c r="AF41" s="10">
        <f>AD41/AD13</f>
        <v>-4.778211523553761E-2</v>
      </c>
    </row>
    <row r="42" spans="1:32">
      <c r="A42" s="47"/>
      <c r="B42" s="8" t="s">
        <v>169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3">
        <f t="shared" si="8"/>
        <v>0</v>
      </c>
      <c r="AE42" s="13">
        <f t="shared" si="0"/>
        <v>0</v>
      </c>
      <c r="AF42" s="10">
        <f>AD42/AD13</f>
        <v>0</v>
      </c>
    </row>
    <row r="43" spans="1:32">
      <c r="A43" s="47"/>
      <c r="B43" s="8" t="s">
        <v>170</v>
      </c>
      <c r="C43" s="11">
        <v>-4691.2</v>
      </c>
      <c r="D43" s="11">
        <v>-33814.400000000001</v>
      </c>
      <c r="E43" s="11">
        <v>-33788.800000000003</v>
      </c>
      <c r="F43" s="11">
        <v>-34630.400000000001</v>
      </c>
      <c r="G43" s="11">
        <v>-3030.4</v>
      </c>
      <c r="H43" s="11">
        <v>-39900.800000000003</v>
      </c>
      <c r="I43" s="11">
        <v>-66835.199999999997</v>
      </c>
      <c r="J43" s="11">
        <v>-22432</v>
      </c>
      <c r="K43" s="11">
        <v>-19808</v>
      </c>
      <c r="L43" s="11">
        <v>-29424</v>
      </c>
      <c r="M43" s="11">
        <v>-60992</v>
      </c>
      <c r="N43" s="11">
        <v>-57388.800000000003</v>
      </c>
      <c r="O43" s="11">
        <v>-68217.600000000006</v>
      </c>
      <c r="P43" s="11">
        <v>0</v>
      </c>
      <c r="Q43" s="11">
        <v>-78636.800000000003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-44230.400000000001</v>
      </c>
      <c r="X43" s="11">
        <v>-47491.199999999997</v>
      </c>
      <c r="Y43" s="11">
        <v>-71238.399999999994</v>
      </c>
      <c r="Z43" s="11">
        <v>-47728</v>
      </c>
      <c r="AA43" s="11">
        <v>-11449.6</v>
      </c>
      <c r="AB43" s="11">
        <v>-20790.400000000001</v>
      </c>
      <c r="AC43" s="11">
        <v>-2297.6</v>
      </c>
      <c r="AD43" s="13">
        <f t="shared" si="8"/>
        <v>-798816</v>
      </c>
      <c r="AE43" s="13">
        <f>AVERAGE(B43:AC43)</f>
        <v>-29585.777777777777</v>
      </c>
      <c r="AF43" s="10">
        <f>AD43/AD13</f>
        <v>-3.0135076605806575E-2</v>
      </c>
    </row>
    <row r="44" spans="1:32">
      <c r="A44" s="47"/>
      <c r="B44" s="20" t="s">
        <v>171</v>
      </c>
      <c r="C44" s="21">
        <f t="shared" ref="C44:AC44" si="11">SUM(C40:C43)</f>
        <v>3128.8</v>
      </c>
      <c r="D44" s="21">
        <f t="shared" si="11"/>
        <v>26425.599999999999</v>
      </c>
      <c r="E44" s="21">
        <f t="shared" si="11"/>
        <v>34516.199999999997</v>
      </c>
      <c r="F44" s="21">
        <f t="shared" si="11"/>
        <v>27609.599999999999</v>
      </c>
      <c r="G44" s="21">
        <f t="shared" si="11"/>
        <v>3749.6</v>
      </c>
      <c r="H44" s="21">
        <f t="shared" si="11"/>
        <v>41175.199999999997</v>
      </c>
      <c r="I44" s="21">
        <f t="shared" si="11"/>
        <v>32669.800000000003</v>
      </c>
      <c r="J44" s="21">
        <f t="shared" si="11"/>
        <v>16927</v>
      </c>
      <c r="K44" s="21">
        <f t="shared" si="11"/>
        <v>20692</v>
      </c>
      <c r="L44" s="21">
        <f t="shared" si="11"/>
        <v>23338</v>
      </c>
      <c r="M44" s="21">
        <f t="shared" si="11"/>
        <v>67996</v>
      </c>
      <c r="N44" s="21">
        <f t="shared" si="11"/>
        <v>30891.199999999997</v>
      </c>
      <c r="O44" s="21">
        <f t="shared" si="11"/>
        <v>55967.399999999994</v>
      </c>
      <c r="P44" s="21">
        <f t="shared" si="11"/>
        <v>0</v>
      </c>
      <c r="Q44" s="21">
        <f t="shared" si="11"/>
        <v>29353.199999999997</v>
      </c>
      <c r="R44" s="21">
        <f t="shared" si="11"/>
        <v>0</v>
      </c>
      <c r="S44" s="21">
        <f t="shared" si="11"/>
        <v>0</v>
      </c>
      <c r="T44" s="21">
        <f t="shared" si="11"/>
        <v>0</v>
      </c>
      <c r="U44" s="21">
        <f t="shared" si="11"/>
        <v>0</v>
      </c>
      <c r="V44" s="21">
        <f t="shared" si="11"/>
        <v>0</v>
      </c>
      <c r="W44" s="21">
        <f t="shared" si="11"/>
        <v>-44230.400000000001</v>
      </c>
      <c r="X44" s="21">
        <f t="shared" si="11"/>
        <v>-47491.199999999997</v>
      </c>
      <c r="Y44" s="21">
        <f t="shared" si="11"/>
        <v>-43610.399999999994</v>
      </c>
      <c r="Z44" s="21">
        <f t="shared" si="11"/>
        <v>78383</v>
      </c>
      <c r="AA44" s="21">
        <f t="shared" si="11"/>
        <v>24330.400000000001</v>
      </c>
      <c r="AB44" s="21">
        <f t="shared" si="11"/>
        <v>44179.6</v>
      </c>
      <c r="AC44" s="21">
        <f t="shared" si="11"/>
        <v>4882.3999999999996</v>
      </c>
      <c r="AD44" s="23">
        <f t="shared" si="8"/>
        <v>430883</v>
      </c>
      <c r="AE44" s="23">
        <f>AVERAGE(B44:AC44)</f>
        <v>15958.62962962963</v>
      </c>
      <c r="AF44" s="24">
        <f>AD44/AD13</f>
        <v>1.625492255180136E-2</v>
      </c>
    </row>
    <row r="45" spans="1:32">
      <c r="A45" s="47" t="s">
        <v>172</v>
      </c>
      <c r="B45" s="8" t="s">
        <v>173</v>
      </c>
      <c r="C45" s="11">
        <v>337620</v>
      </c>
      <c r="D45" s="11">
        <v>436091</v>
      </c>
      <c r="E45" s="11">
        <v>365755</v>
      </c>
      <c r="F45" s="11">
        <v>351687</v>
      </c>
      <c r="G45" s="11">
        <v>140674</v>
      </c>
      <c r="H45" s="11">
        <v>351687</v>
      </c>
      <c r="I45" s="11">
        <v>309484</v>
      </c>
      <c r="J45" s="11">
        <v>365754</v>
      </c>
      <c r="K45" s="11">
        <v>351687</v>
      </c>
      <c r="L45" s="11">
        <v>379820</v>
      </c>
      <c r="M45" s="11">
        <v>323551</v>
      </c>
      <c r="N45" s="11">
        <v>422024</v>
      </c>
      <c r="O45" s="11">
        <v>393889</v>
      </c>
      <c r="P45" s="11">
        <v>28134</v>
      </c>
      <c r="Q45" s="11">
        <v>295417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337620</v>
      </c>
      <c r="X45" s="11">
        <v>365755</v>
      </c>
      <c r="Y45" s="11">
        <v>323552</v>
      </c>
      <c r="Z45" s="11">
        <v>295417</v>
      </c>
      <c r="AA45" s="11">
        <v>464231</v>
      </c>
      <c r="AB45" s="11">
        <v>407957</v>
      </c>
      <c r="AC45" s="11">
        <v>281356</v>
      </c>
      <c r="AD45" s="13">
        <f t="shared" si="8"/>
        <v>7329162</v>
      </c>
      <c r="AE45" s="13">
        <f t="shared" ref="AE45:AE60" si="12">AVERAGE(C45:AC45)</f>
        <v>271450.44444444444</v>
      </c>
      <c r="AF45" s="10">
        <f>AD45/AD13</f>
        <v>0.276490278520168</v>
      </c>
    </row>
    <row r="46" spans="1:32">
      <c r="A46" s="47"/>
      <c r="B46" s="8" t="s">
        <v>174</v>
      </c>
      <c r="C46" s="11">
        <v>18513</v>
      </c>
      <c r="D46" s="11">
        <v>23912</v>
      </c>
      <c r="E46" s="11">
        <v>20056</v>
      </c>
      <c r="F46" s="11">
        <v>19284</v>
      </c>
      <c r="G46" s="11">
        <v>7714</v>
      </c>
      <c r="H46" s="11">
        <v>19284</v>
      </c>
      <c r="I46" s="11">
        <v>16970</v>
      </c>
      <c r="J46" s="11">
        <v>20055</v>
      </c>
      <c r="K46" s="11">
        <v>19284</v>
      </c>
      <c r="L46" s="11">
        <v>20826</v>
      </c>
      <c r="M46" s="11">
        <v>17741</v>
      </c>
      <c r="N46" s="11">
        <v>23140</v>
      </c>
      <c r="O46" s="11">
        <v>21599</v>
      </c>
      <c r="P46" s="11">
        <v>1542</v>
      </c>
      <c r="Q46" s="11">
        <v>16199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18513</v>
      </c>
      <c r="X46" s="11">
        <v>20056</v>
      </c>
      <c r="Y46" s="11">
        <v>17741</v>
      </c>
      <c r="Z46" s="11">
        <v>16199</v>
      </c>
      <c r="AA46" s="11">
        <v>25461</v>
      </c>
      <c r="AB46" s="11">
        <v>22370</v>
      </c>
      <c r="AC46" s="11">
        <v>15427</v>
      </c>
      <c r="AD46" s="13">
        <f t="shared" si="8"/>
        <v>401886</v>
      </c>
      <c r="AE46" s="13">
        <f t="shared" si="12"/>
        <v>14884.666666666666</v>
      </c>
      <c r="AF46" s="10">
        <f>AD46/AD13</f>
        <v>1.5161020055683889E-2</v>
      </c>
    </row>
    <row r="47" spans="1:32">
      <c r="A47" s="47"/>
      <c r="B47" s="8" t="s">
        <v>175</v>
      </c>
      <c r="C47" s="11">
        <v>58694</v>
      </c>
      <c r="D47" s="11">
        <v>75813</v>
      </c>
      <c r="E47" s="11">
        <v>63585</v>
      </c>
      <c r="F47" s="11">
        <v>61140</v>
      </c>
      <c r="G47" s="11">
        <v>24456</v>
      </c>
      <c r="H47" s="11">
        <v>61140</v>
      </c>
      <c r="I47" s="11">
        <v>53802</v>
      </c>
      <c r="J47" s="11">
        <v>63584</v>
      </c>
      <c r="K47" s="11">
        <v>61139</v>
      </c>
      <c r="L47" s="11">
        <v>66032</v>
      </c>
      <c r="M47" s="11">
        <v>56248</v>
      </c>
      <c r="N47" s="11">
        <v>73367</v>
      </c>
      <c r="O47" s="11">
        <v>68476</v>
      </c>
      <c r="P47" s="11">
        <v>4892</v>
      </c>
      <c r="Q47" s="11">
        <v>51357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58694</v>
      </c>
      <c r="X47" s="11">
        <v>63585</v>
      </c>
      <c r="Y47" s="11">
        <v>56248</v>
      </c>
      <c r="Z47" s="11">
        <v>51357</v>
      </c>
      <c r="AA47" s="11">
        <v>80702</v>
      </c>
      <c r="AB47" s="11">
        <v>70921</v>
      </c>
      <c r="AC47" s="11">
        <v>48910</v>
      </c>
      <c r="AD47" s="13">
        <f t="shared" si="8"/>
        <v>1274142</v>
      </c>
      <c r="AE47" s="13">
        <f t="shared" si="12"/>
        <v>47190.444444444445</v>
      </c>
      <c r="AF47" s="10">
        <f>AD47/AD13</f>
        <v>4.8066597034455497E-2</v>
      </c>
    </row>
    <row r="48" spans="1:32">
      <c r="A48" s="47"/>
      <c r="B48" s="8" t="s">
        <v>176</v>
      </c>
      <c r="C48" s="11">
        <v>3417</v>
      </c>
      <c r="D48" s="11">
        <v>4413</v>
      </c>
      <c r="E48" s="11">
        <v>3702</v>
      </c>
      <c r="F48" s="11">
        <v>3559</v>
      </c>
      <c r="G48" s="11">
        <v>1424</v>
      </c>
      <c r="H48" s="11">
        <v>3559</v>
      </c>
      <c r="I48" s="11">
        <v>3132</v>
      </c>
      <c r="J48" s="11">
        <v>3701</v>
      </c>
      <c r="K48" s="11">
        <v>3559</v>
      </c>
      <c r="L48" s="11">
        <v>3843</v>
      </c>
      <c r="M48" s="11">
        <v>3274</v>
      </c>
      <c r="N48" s="11">
        <v>4270</v>
      </c>
      <c r="O48" s="11">
        <v>3987</v>
      </c>
      <c r="P48" s="11">
        <v>284</v>
      </c>
      <c r="Q48" s="11">
        <v>2990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3417</v>
      </c>
      <c r="X48" s="11">
        <v>3702</v>
      </c>
      <c r="Y48" s="11">
        <v>3274</v>
      </c>
      <c r="Z48" s="11">
        <v>2990</v>
      </c>
      <c r="AA48" s="11">
        <v>4704</v>
      </c>
      <c r="AB48" s="11">
        <v>4129</v>
      </c>
      <c r="AC48" s="11">
        <v>2847</v>
      </c>
      <c r="AD48" s="13">
        <f t="shared" si="8"/>
        <v>74177</v>
      </c>
      <c r="AE48" s="13">
        <f t="shared" si="12"/>
        <v>2747.2962962962961</v>
      </c>
      <c r="AF48" s="10">
        <f>AD48/AD13</f>
        <v>2.798303460858213E-3</v>
      </c>
    </row>
    <row r="49" spans="1:32">
      <c r="A49" s="47"/>
      <c r="B49" s="20" t="s">
        <v>177</v>
      </c>
      <c r="C49" s="21">
        <f t="shared" ref="C49:AC49" si="13">SUM(C45:C48)</f>
        <v>418244</v>
      </c>
      <c r="D49" s="21">
        <f t="shared" si="13"/>
        <v>540229</v>
      </c>
      <c r="E49" s="21">
        <f t="shared" si="13"/>
        <v>453098</v>
      </c>
      <c r="F49" s="21">
        <f t="shared" si="13"/>
        <v>435670</v>
      </c>
      <c r="G49" s="21">
        <f t="shared" si="13"/>
        <v>174268</v>
      </c>
      <c r="H49" s="21">
        <f t="shared" si="13"/>
        <v>435670</v>
      </c>
      <c r="I49" s="21">
        <f t="shared" si="13"/>
        <v>383388</v>
      </c>
      <c r="J49" s="21">
        <f t="shared" si="13"/>
        <v>453094</v>
      </c>
      <c r="K49" s="21">
        <f t="shared" si="13"/>
        <v>435669</v>
      </c>
      <c r="L49" s="21">
        <f t="shared" si="13"/>
        <v>470521</v>
      </c>
      <c r="M49" s="21">
        <f t="shared" si="13"/>
        <v>400814</v>
      </c>
      <c r="N49" s="21">
        <f t="shared" si="13"/>
        <v>522801</v>
      </c>
      <c r="O49" s="21">
        <f t="shared" si="13"/>
        <v>487951</v>
      </c>
      <c r="P49" s="21">
        <f t="shared" si="13"/>
        <v>34852</v>
      </c>
      <c r="Q49" s="21">
        <f t="shared" si="13"/>
        <v>365963</v>
      </c>
      <c r="R49" s="21">
        <f t="shared" si="13"/>
        <v>0</v>
      </c>
      <c r="S49" s="21">
        <f t="shared" si="13"/>
        <v>0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1">
        <f t="shared" si="13"/>
        <v>418244</v>
      </c>
      <c r="X49" s="21">
        <f t="shared" si="13"/>
        <v>453098</v>
      </c>
      <c r="Y49" s="21">
        <f t="shared" si="13"/>
        <v>400815</v>
      </c>
      <c r="Z49" s="21">
        <f t="shared" si="13"/>
        <v>365963</v>
      </c>
      <c r="AA49" s="21">
        <f t="shared" si="13"/>
        <v>575098</v>
      </c>
      <c r="AB49" s="21">
        <f t="shared" si="13"/>
        <v>505377</v>
      </c>
      <c r="AC49" s="21">
        <f t="shared" si="13"/>
        <v>348540</v>
      </c>
      <c r="AD49" s="23">
        <f t="shared" si="8"/>
        <v>9079367</v>
      </c>
      <c r="AE49" s="23">
        <f t="shared" si="12"/>
        <v>336272.85185185185</v>
      </c>
      <c r="AF49" s="24">
        <f>AD49/AD13</f>
        <v>0.34251619907116559</v>
      </c>
    </row>
    <row r="50" spans="1:32">
      <c r="A50" s="47" t="s">
        <v>178</v>
      </c>
      <c r="B50" s="8" t="s">
        <v>179</v>
      </c>
      <c r="C50" s="11">
        <v>6500</v>
      </c>
      <c r="D50" s="11">
        <v>6500</v>
      </c>
      <c r="E50" s="11">
        <v>6500</v>
      </c>
      <c r="F50" s="11">
        <v>6500</v>
      </c>
      <c r="G50" s="11">
        <v>6500</v>
      </c>
      <c r="H50" s="11">
        <v>6500</v>
      </c>
      <c r="I50" s="11">
        <v>6500</v>
      </c>
      <c r="J50" s="11">
        <v>6500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0</v>
      </c>
      <c r="S50" s="11">
        <v>0</v>
      </c>
      <c r="T50" s="11">
        <v>6500</v>
      </c>
      <c r="U50" s="11">
        <v>6500</v>
      </c>
      <c r="V50" s="11">
        <v>6500</v>
      </c>
      <c r="W50" s="11">
        <v>21428.571428571428</v>
      </c>
      <c r="X50" s="11">
        <v>21428.571428571428</v>
      </c>
      <c r="Y50" s="11">
        <v>21428.571428571428</v>
      </c>
      <c r="Z50" s="11">
        <v>21428.571428571428</v>
      </c>
      <c r="AA50" s="11">
        <v>21428.571428571428</v>
      </c>
      <c r="AB50" s="11">
        <v>21428.571428571428</v>
      </c>
      <c r="AC50" s="11">
        <v>21428.571428571428</v>
      </c>
      <c r="AD50" s="13">
        <f t="shared" si="8"/>
        <v>266999.99999999994</v>
      </c>
      <c r="AE50" s="13">
        <f t="shared" si="12"/>
        <v>9888.8888888888869</v>
      </c>
      <c r="AF50" s="10">
        <f>AD50/AD13</f>
        <v>1.0072489101057507E-2</v>
      </c>
    </row>
    <row r="51" spans="1:32">
      <c r="A51" s="47"/>
      <c r="B51" s="8" t="s">
        <v>180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3">
        <f t="shared" si="8"/>
        <v>0</v>
      </c>
      <c r="AE51" s="13">
        <f t="shared" si="12"/>
        <v>0</v>
      </c>
      <c r="AF51" s="10">
        <f>AD51/AD13</f>
        <v>0</v>
      </c>
    </row>
    <row r="52" spans="1:32">
      <c r="A52" s="47"/>
      <c r="B52" s="8" t="s">
        <v>181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3">
        <f t="shared" si="8"/>
        <v>0</v>
      </c>
      <c r="AE52" s="13">
        <f t="shared" si="12"/>
        <v>0</v>
      </c>
      <c r="AF52" s="10">
        <f>AD52/AD13</f>
        <v>0</v>
      </c>
    </row>
    <row r="53" spans="1:32">
      <c r="A53" s="47"/>
      <c r="B53" s="8" t="s">
        <v>182</v>
      </c>
      <c r="C53" s="11">
        <v>97761.777777777781</v>
      </c>
      <c r="D53" s="11">
        <v>97761.777777777781</v>
      </c>
      <c r="E53" s="11">
        <v>97761.777777777781</v>
      </c>
      <c r="F53" s="11">
        <v>97761.777777777781</v>
      </c>
      <c r="G53" s="11">
        <v>97761.777777777781</v>
      </c>
      <c r="H53" s="11">
        <v>97761.777777777781</v>
      </c>
      <c r="I53" s="11">
        <v>97761.777777777781</v>
      </c>
      <c r="J53" s="11">
        <v>97761.777777777781</v>
      </c>
      <c r="K53" s="11">
        <v>97761.777777777781</v>
      </c>
      <c r="L53" s="11">
        <v>97761.777777777781</v>
      </c>
      <c r="M53" s="11">
        <v>97761.777777777781</v>
      </c>
      <c r="N53" s="11">
        <v>97761.777777777781</v>
      </c>
      <c r="O53" s="11">
        <v>97761.777777777781</v>
      </c>
      <c r="P53" s="11">
        <v>97761.777777777781</v>
      </c>
      <c r="Q53" s="11">
        <v>97761.777777777781</v>
      </c>
      <c r="R53" s="11">
        <v>0</v>
      </c>
      <c r="S53" s="11">
        <v>0</v>
      </c>
      <c r="T53" s="11">
        <v>97761.777777777781</v>
      </c>
      <c r="U53" s="11">
        <v>97761.777777777781</v>
      </c>
      <c r="V53" s="11">
        <v>97761.777777777781</v>
      </c>
      <c r="W53" s="11">
        <v>80753.571428571435</v>
      </c>
      <c r="X53" s="11">
        <v>80753.571428571435</v>
      </c>
      <c r="Y53" s="11">
        <v>80753.571428571435</v>
      </c>
      <c r="Z53" s="11">
        <v>80753.571428571435</v>
      </c>
      <c r="AA53" s="11">
        <v>80753.571428571435</v>
      </c>
      <c r="AB53" s="11">
        <v>80753.571428571435</v>
      </c>
      <c r="AC53" s="11">
        <v>80753.571428571435</v>
      </c>
      <c r="AD53" s="13">
        <f t="shared" si="8"/>
        <v>2324986.9999999995</v>
      </c>
      <c r="AE53" s="13">
        <f t="shared" si="12"/>
        <v>86110.629629629606</v>
      </c>
      <c r="AF53" s="10">
        <f>AD53/AD13</f>
        <v>8.7709386582772997E-2</v>
      </c>
    </row>
    <row r="54" spans="1:32">
      <c r="A54" s="47"/>
      <c r="B54" s="8" t="s">
        <v>183</v>
      </c>
      <c r="C54" s="11">
        <v>64655.722222222219</v>
      </c>
      <c r="D54" s="11">
        <v>64655.722222222219</v>
      </c>
      <c r="E54" s="11">
        <v>64655.722222222219</v>
      </c>
      <c r="F54" s="11">
        <v>64655.722222222219</v>
      </c>
      <c r="G54" s="11">
        <v>64655.722222222219</v>
      </c>
      <c r="H54" s="11">
        <v>64655.722222222219</v>
      </c>
      <c r="I54" s="11">
        <v>64655.722222222219</v>
      </c>
      <c r="J54" s="11">
        <v>64655.722222222219</v>
      </c>
      <c r="K54" s="11">
        <v>64655.722222222219</v>
      </c>
      <c r="L54" s="11">
        <v>64655.722222222219</v>
      </c>
      <c r="M54" s="11">
        <v>64655.722222222219</v>
      </c>
      <c r="N54" s="11">
        <v>64655.722222222219</v>
      </c>
      <c r="O54" s="11">
        <v>64655.722222222219</v>
      </c>
      <c r="P54" s="11">
        <v>64655.722222222219</v>
      </c>
      <c r="Q54" s="11">
        <v>64655.722222222219</v>
      </c>
      <c r="R54" s="11">
        <v>0</v>
      </c>
      <c r="S54" s="11">
        <v>0</v>
      </c>
      <c r="T54" s="11">
        <v>64655.722222222219</v>
      </c>
      <c r="U54" s="11">
        <v>64655.722222222219</v>
      </c>
      <c r="V54" s="11">
        <v>64655.722222222219</v>
      </c>
      <c r="W54" s="11">
        <v>64655.714285714283</v>
      </c>
      <c r="X54" s="11">
        <v>64655.714285714283</v>
      </c>
      <c r="Y54" s="11">
        <v>64655.714285714283</v>
      </c>
      <c r="Z54" s="11">
        <v>64655.714285714283</v>
      </c>
      <c r="AA54" s="11">
        <v>64655.714285714283</v>
      </c>
      <c r="AB54" s="11">
        <v>64655.714285714283</v>
      </c>
      <c r="AC54" s="11">
        <v>64655.714285714283</v>
      </c>
      <c r="AD54" s="13">
        <f t="shared" si="8"/>
        <v>1616393.0000000005</v>
      </c>
      <c r="AE54" s="13">
        <f t="shared" si="12"/>
        <v>59866.407407407423</v>
      </c>
      <c r="AF54" s="10">
        <f>AD54/AD13</f>
        <v>6.0977905900845154E-2</v>
      </c>
    </row>
    <row r="55" spans="1:32">
      <c r="A55" s="47"/>
      <c r="B55" s="20" t="s">
        <v>184</v>
      </c>
      <c r="C55" s="21">
        <f t="shared" ref="C55:AC55" si="14">SUM(C50:C54)</f>
        <v>168917.5</v>
      </c>
      <c r="D55" s="21">
        <f t="shared" si="14"/>
        <v>168917.5</v>
      </c>
      <c r="E55" s="21">
        <f t="shared" si="14"/>
        <v>168917.5</v>
      </c>
      <c r="F55" s="21">
        <f t="shared" si="14"/>
        <v>168917.5</v>
      </c>
      <c r="G55" s="21">
        <f t="shared" si="14"/>
        <v>168917.5</v>
      </c>
      <c r="H55" s="21">
        <f t="shared" si="14"/>
        <v>168917.5</v>
      </c>
      <c r="I55" s="21">
        <f t="shared" si="14"/>
        <v>168917.5</v>
      </c>
      <c r="J55" s="21">
        <f t="shared" si="14"/>
        <v>168917.5</v>
      </c>
      <c r="K55" s="21">
        <f t="shared" si="14"/>
        <v>168917.5</v>
      </c>
      <c r="L55" s="21">
        <f t="shared" si="14"/>
        <v>168917.5</v>
      </c>
      <c r="M55" s="21">
        <f t="shared" si="14"/>
        <v>168917.5</v>
      </c>
      <c r="N55" s="21">
        <f t="shared" si="14"/>
        <v>168917.5</v>
      </c>
      <c r="O55" s="21">
        <f t="shared" si="14"/>
        <v>168917.5</v>
      </c>
      <c r="P55" s="21">
        <f t="shared" si="14"/>
        <v>168917.5</v>
      </c>
      <c r="Q55" s="21">
        <f t="shared" si="14"/>
        <v>168917.5</v>
      </c>
      <c r="R55" s="21">
        <f t="shared" si="14"/>
        <v>0</v>
      </c>
      <c r="S55" s="21">
        <f t="shared" si="14"/>
        <v>0</v>
      </c>
      <c r="T55" s="21">
        <f t="shared" si="14"/>
        <v>168917.5</v>
      </c>
      <c r="U55" s="21">
        <f t="shared" si="14"/>
        <v>168917.5</v>
      </c>
      <c r="V55" s="21">
        <f t="shared" si="14"/>
        <v>168917.5</v>
      </c>
      <c r="W55" s="21">
        <f t="shared" si="14"/>
        <v>166837.85714285716</v>
      </c>
      <c r="X55" s="21">
        <f t="shared" si="14"/>
        <v>166837.85714285716</v>
      </c>
      <c r="Y55" s="21">
        <f t="shared" si="14"/>
        <v>166837.85714285716</v>
      </c>
      <c r="Z55" s="21">
        <f t="shared" si="14"/>
        <v>166837.85714285716</v>
      </c>
      <c r="AA55" s="21">
        <f t="shared" si="14"/>
        <v>166837.85714285716</v>
      </c>
      <c r="AB55" s="21">
        <f t="shared" si="14"/>
        <v>166837.85714285716</v>
      </c>
      <c r="AC55" s="21">
        <f t="shared" si="14"/>
        <v>166837.85714285716</v>
      </c>
      <c r="AD55" s="23">
        <f t="shared" si="8"/>
        <v>4208380.0000000009</v>
      </c>
      <c r="AE55" s="23">
        <f t="shared" si="12"/>
        <v>155865.92592592596</v>
      </c>
      <c r="AF55" s="24">
        <f>AD55/AD13</f>
        <v>0.15875978158467569</v>
      </c>
    </row>
    <row r="56" spans="1:32">
      <c r="A56" s="46" t="s">
        <v>185</v>
      </c>
      <c r="B56" s="46"/>
      <c r="C56" s="11">
        <f t="shared" ref="C56:AC56" si="15">SUM(C49+C22+C27+C33+C39+C44+C55)</f>
        <v>812908.58571428573</v>
      </c>
      <c r="D56" s="11">
        <f t="shared" si="15"/>
        <v>1000688.1</v>
      </c>
      <c r="E56" s="11">
        <f t="shared" si="15"/>
        <v>923027.98571428563</v>
      </c>
      <c r="F56" s="11">
        <f t="shared" si="15"/>
        <v>929081.24285714282</v>
      </c>
      <c r="G56" s="11">
        <f t="shared" si="15"/>
        <v>606445.1</v>
      </c>
      <c r="H56" s="11">
        <f t="shared" si="15"/>
        <v>1133732.7</v>
      </c>
      <c r="I56" s="11">
        <f t="shared" si="15"/>
        <v>1033201.1000000001</v>
      </c>
      <c r="J56" s="11">
        <f t="shared" si="15"/>
        <v>914463.78571428568</v>
      </c>
      <c r="K56" s="11">
        <f t="shared" si="15"/>
        <v>924656.92857142864</v>
      </c>
      <c r="L56" s="11">
        <f t="shared" si="15"/>
        <v>995148.35714285716</v>
      </c>
      <c r="M56" s="11">
        <f t="shared" si="15"/>
        <v>1246505.2142857143</v>
      </c>
      <c r="N56" s="11">
        <f t="shared" si="15"/>
        <v>1315146.9857142856</v>
      </c>
      <c r="O56" s="11">
        <f t="shared" si="15"/>
        <v>1368085.0428571426</v>
      </c>
      <c r="P56" s="11">
        <f t="shared" si="15"/>
        <v>317823.35714285716</v>
      </c>
      <c r="Q56" s="11">
        <f t="shared" si="15"/>
        <v>1050921.7</v>
      </c>
      <c r="R56" s="11">
        <f t="shared" si="15"/>
        <v>0</v>
      </c>
      <c r="S56" s="11">
        <f t="shared" si="15"/>
        <v>0</v>
      </c>
      <c r="T56" s="11">
        <f t="shared" si="15"/>
        <v>256880.5</v>
      </c>
      <c r="U56" s="11">
        <f t="shared" si="15"/>
        <v>407869.5</v>
      </c>
      <c r="V56" s="11">
        <f t="shared" si="15"/>
        <v>231490.5</v>
      </c>
      <c r="W56" s="11">
        <f t="shared" si="15"/>
        <v>881515.0285714285</v>
      </c>
      <c r="X56" s="11">
        <f t="shared" si="15"/>
        <v>1113094.8</v>
      </c>
      <c r="Y56" s="11">
        <f t="shared" si="15"/>
        <v>1240410.6000000001</v>
      </c>
      <c r="Z56" s="11">
        <f t="shared" si="15"/>
        <v>945339.57142857148</v>
      </c>
      <c r="AA56" s="11">
        <f t="shared" si="15"/>
        <v>1072680.3999999999</v>
      </c>
      <c r="AB56" s="11">
        <f t="shared" si="15"/>
        <v>954671.88571428566</v>
      </c>
      <c r="AC56" s="11">
        <f t="shared" si="15"/>
        <v>738289.82857142854</v>
      </c>
      <c r="AD56" s="13">
        <f t="shared" si="8"/>
        <v>22414078.799999993</v>
      </c>
      <c r="AE56" s="13">
        <f t="shared" si="12"/>
        <v>830151.06666666642</v>
      </c>
      <c r="AF56" s="10">
        <f>AD56/AD13</f>
        <v>0.84556391169754352</v>
      </c>
    </row>
    <row r="57" spans="1:32">
      <c r="A57" s="46" t="s">
        <v>186</v>
      </c>
      <c r="B57" s="46"/>
      <c r="C57" s="11">
        <f t="shared" ref="C57:AC57" si="16">SUM(C13+C14-C56)</f>
        <v>205075.41428571427</v>
      </c>
      <c r="D57" s="11">
        <f t="shared" si="16"/>
        <v>232551.90000000002</v>
      </c>
      <c r="E57" s="11">
        <f t="shared" si="16"/>
        <v>295452.01428571437</v>
      </c>
      <c r="F57" s="11">
        <f t="shared" si="16"/>
        <v>314088.75714285718</v>
      </c>
      <c r="G57" s="11">
        <f t="shared" si="16"/>
        <v>-302985.09999999998</v>
      </c>
      <c r="H57" s="11">
        <f t="shared" si="16"/>
        <v>89367.300000000047</v>
      </c>
      <c r="I57" s="11">
        <f t="shared" si="16"/>
        <v>174298.89999999991</v>
      </c>
      <c r="J57" s="11">
        <f t="shared" si="16"/>
        <v>294776.21428571432</v>
      </c>
      <c r="K57" s="11">
        <f t="shared" si="16"/>
        <v>289203.07142857136</v>
      </c>
      <c r="L57" s="11">
        <f t="shared" si="16"/>
        <v>230711.64285714284</v>
      </c>
      <c r="M57" s="11">
        <f t="shared" si="16"/>
        <v>40754.785714285681</v>
      </c>
      <c r="N57" s="11">
        <f t="shared" si="16"/>
        <v>81953.014285714366</v>
      </c>
      <c r="O57" s="11">
        <f t="shared" si="16"/>
        <v>195164.95714285737</v>
      </c>
      <c r="P57" s="11">
        <f t="shared" si="16"/>
        <v>-317823.35714285716</v>
      </c>
      <c r="Q57" s="11">
        <f t="shared" si="16"/>
        <v>545414.30000000005</v>
      </c>
      <c r="R57" s="11">
        <f t="shared" si="16"/>
        <v>10000</v>
      </c>
      <c r="S57" s="11">
        <f t="shared" si="16"/>
        <v>595589</v>
      </c>
      <c r="T57" s="11">
        <f t="shared" si="16"/>
        <v>-256880.5</v>
      </c>
      <c r="U57" s="11">
        <f t="shared" si="16"/>
        <v>-407869.5</v>
      </c>
      <c r="V57" s="11">
        <f t="shared" si="16"/>
        <v>-231490.5</v>
      </c>
      <c r="W57" s="11">
        <f t="shared" si="16"/>
        <v>978757.9714285715</v>
      </c>
      <c r="X57" s="11">
        <f t="shared" si="16"/>
        <v>844721.2</v>
      </c>
      <c r="Y57" s="11">
        <f t="shared" si="16"/>
        <v>285197.39999999991</v>
      </c>
      <c r="Z57" s="11">
        <f t="shared" si="16"/>
        <v>319340.42857142852</v>
      </c>
      <c r="AA57" s="11">
        <f t="shared" si="16"/>
        <v>-256985.39999999991</v>
      </c>
      <c r="AB57" s="11">
        <f t="shared" si="16"/>
        <v>388478.11428571434</v>
      </c>
      <c r="AC57" s="11">
        <f t="shared" si="16"/>
        <v>-204493.82857142854</v>
      </c>
      <c r="AD57" s="13">
        <f t="shared" si="8"/>
        <v>4432368.1999999993</v>
      </c>
      <c r="AE57" s="13">
        <f t="shared" si="12"/>
        <v>164161.78518518514</v>
      </c>
      <c r="AF57" s="10">
        <f>AD57/AD13</f>
        <v>0.16720966436844151</v>
      </c>
    </row>
    <row r="58" spans="1:32">
      <c r="A58" s="46" t="s">
        <v>187</v>
      </c>
      <c r="B58" s="46"/>
      <c r="C58" s="11">
        <v>117386.075</v>
      </c>
      <c r="D58" s="11">
        <v>117386.075</v>
      </c>
      <c r="E58" s="11">
        <v>117386.075</v>
      </c>
      <c r="F58" s="11">
        <v>117386.075</v>
      </c>
      <c r="G58" s="11">
        <v>117386.075</v>
      </c>
      <c r="H58" s="11">
        <v>117386.075</v>
      </c>
      <c r="I58" s="11">
        <v>117386.075</v>
      </c>
      <c r="J58" s="11">
        <v>117386.075</v>
      </c>
      <c r="K58" s="11">
        <v>117386.075</v>
      </c>
      <c r="L58" s="11">
        <v>117386.075</v>
      </c>
      <c r="M58" s="11">
        <v>117386.075</v>
      </c>
      <c r="N58" s="11">
        <v>117386.075</v>
      </c>
      <c r="O58" s="11">
        <v>117386.075</v>
      </c>
      <c r="P58" s="11">
        <v>117386.075</v>
      </c>
      <c r="Q58" s="11">
        <v>117386.075</v>
      </c>
      <c r="R58" s="11">
        <v>0</v>
      </c>
      <c r="S58" s="11">
        <v>0</v>
      </c>
      <c r="T58" s="11">
        <v>117386.075</v>
      </c>
      <c r="U58" s="11">
        <v>117386.075</v>
      </c>
      <c r="V58" s="11">
        <v>117386.075</v>
      </c>
      <c r="W58" s="11">
        <v>117386.075</v>
      </c>
      <c r="X58" s="11">
        <v>117386.075</v>
      </c>
      <c r="Y58" s="11">
        <v>117386.075</v>
      </c>
      <c r="Z58" s="11">
        <v>117386.075</v>
      </c>
      <c r="AA58" s="11">
        <v>117386.075</v>
      </c>
      <c r="AB58" s="11">
        <v>117386.075</v>
      </c>
      <c r="AC58" s="11">
        <v>117386.075</v>
      </c>
      <c r="AD58" s="13">
        <f t="shared" si="8"/>
        <v>2934651.8750000009</v>
      </c>
      <c r="AE58" s="13">
        <f t="shared" si="12"/>
        <v>108690.81018518523</v>
      </c>
      <c r="AF58" s="10">
        <f>AD58/AD13</f>
        <v>0.1107087978514438</v>
      </c>
    </row>
    <row r="59" spans="1:32">
      <c r="A59" s="46" t="s">
        <v>188</v>
      </c>
      <c r="B59" s="46"/>
      <c r="C59" s="11">
        <v>46460</v>
      </c>
      <c r="D59" s="11">
        <v>46460</v>
      </c>
      <c r="E59" s="11">
        <v>46460</v>
      </c>
      <c r="F59" s="11">
        <v>46460</v>
      </c>
      <c r="G59" s="11">
        <v>46460</v>
      </c>
      <c r="H59" s="11">
        <v>46460</v>
      </c>
      <c r="I59" s="11">
        <v>46460</v>
      </c>
      <c r="J59" s="11">
        <v>46460</v>
      </c>
      <c r="K59" s="11">
        <v>46460</v>
      </c>
      <c r="L59" s="11">
        <v>46460</v>
      </c>
      <c r="M59" s="11">
        <v>46460</v>
      </c>
      <c r="N59" s="11">
        <v>46460</v>
      </c>
      <c r="O59" s="11">
        <v>46460</v>
      </c>
      <c r="P59" s="11">
        <v>46460</v>
      </c>
      <c r="Q59" s="11">
        <v>46460</v>
      </c>
      <c r="R59" s="11">
        <v>0</v>
      </c>
      <c r="S59" s="11">
        <v>0</v>
      </c>
      <c r="T59" s="11">
        <v>46460</v>
      </c>
      <c r="U59" s="11">
        <v>46460</v>
      </c>
      <c r="V59" s="11">
        <v>46460</v>
      </c>
      <c r="W59" s="11">
        <v>46460</v>
      </c>
      <c r="X59" s="11">
        <v>46460</v>
      </c>
      <c r="Y59" s="11">
        <v>46460</v>
      </c>
      <c r="Z59" s="11">
        <v>46460</v>
      </c>
      <c r="AA59" s="11">
        <v>46460</v>
      </c>
      <c r="AB59" s="11">
        <v>46460</v>
      </c>
      <c r="AC59" s="11">
        <v>46460</v>
      </c>
      <c r="AD59" s="13">
        <f t="shared" si="8"/>
        <v>1161500</v>
      </c>
      <c r="AE59" s="13">
        <f t="shared" si="12"/>
        <v>43018.518518518518</v>
      </c>
      <c r="AF59" s="10">
        <f>AD59/AD13</f>
        <v>4.3817213823514223E-2</v>
      </c>
    </row>
    <row r="60" spans="1:32">
      <c r="A60" s="46" t="s">
        <v>189</v>
      </c>
      <c r="B60" s="46"/>
      <c r="C60" s="11">
        <f t="shared" ref="C60:AC60" si="17">SUM(C57-(C58+C59))</f>
        <v>41229.339285714261</v>
      </c>
      <c r="D60" s="11">
        <f t="shared" si="17"/>
        <v>68705.825000000012</v>
      </c>
      <c r="E60" s="11">
        <f t="shared" si="17"/>
        <v>131605.93928571435</v>
      </c>
      <c r="F60" s="11">
        <f t="shared" si="17"/>
        <v>150242.68214285717</v>
      </c>
      <c r="G60" s="11">
        <f t="shared" si="17"/>
        <v>-466831.17499999999</v>
      </c>
      <c r="H60" s="11">
        <f t="shared" si="17"/>
        <v>-74478.774999999965</v>
      </c>
      <c r="I60" s="11">
        <f t="shared" si="17"/>
        <v>10452.824999999895</v>
      </c>
      <c r="J60" s="11">
        <f t="shared" si="17"/>
        <v>130930.13928571431</v>
      </c>
      <c r="K60" s="11">
        <f t="shared" si="17"/>
        <v>125356.99642857135</v>
      </c>
      <c r="L60" s="11">
        <f t="shared" si="17"/>
        <v>66865.567857142829</v>
      </c>
      <c r="M60" s="11">
        <f t="shared" si="17"/>
        <v>-123091.28928571433</v>
      </c>
      <c r="N60" s="11">
        <f t="shared" si="17"/>
        <v>-81893.060714285646</v>
      </c>
      <c r="O60" s="11">
        <f t="shared" si="17"/>
        <v>31318.882142857357</v>
      </c>
      <c r="P60" s="11">
        <f t="shared" si="17"/>
        <v>-481669.43214285717</v>
      </c>
      <c r="Q60" s="11">
        <f t="shared" si="17"/>
        <v>381568.22500000003</v>
      </c>
      <c r="R60" s="11">
        <f t="shared" si="17"/>
        <v>10000</v>
      </c>
      <c r="S60" s="11">
        <f t="shared" si="17"/>
        <v>595589</v>
      </c>
      <c r="T60" s="11">
        <f t="shared" si="17"/>
        <v>-420726.57500000001</v>
      </c>
      <c r="U60" s="11">
        <f t="shared" si="17"/>
        <v>-571715.57499999995</v>
      </c>
      <c r="V60" s="11">
        <f t="shared" si="17"/>
        <v>-395336.57500000001</v>
      </c>
      <c r="W60" s="11">
        <f t="shared" si="17"/>
        <v>814911.89642857155</v>
      </c>
      <c r="X60" s="11">
        <f t="shared" si="17"/>
        <v>680875.125</v>
      </c>
      <c r="Y60" s="11">
        <f t="shared" si="17"/>
        <v>121351.3249999999</v>
      </c>
      <c r="Z60" s="11">
        <f t="shared" si="17"/>
        <v>155494.35357142851</v>
      </c>
      <c r="AA60" s="11">
        <f t="shared" si="17"/>
        <v>-420831.47499999992</v>
      </c>
      <c r="AB60" s="11">
        <f t="shared" si="17"/>
        <v>224632.03928571433</v>
      </c>
      <c r="AC60" s="11">
        <f t="shared" si="17"/>
        <v>-368339.90357142856</v>
      </c>
      <c r="AD60" s="13">
        <f t="shared" si="8"/>
        <v>336216.32500000036</v>
      </c>
      <c r="AE60" s="13">
        <f t="shared" si="12"/>
        <v>12452.456481481495</v>
      </c>
      <c r="AF60" s="10">
        <f>AD60/AD13</f>
        <v>1.2683652693483569E-2</v>
      </c>
    </row>
    <row r="61" spans="1:32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1:32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</row>
    <row r="63" spans="1:32">
      <c r="A63" s="9"/>
      <c r="B63" s="35" t="s">
        <v>196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</row>
    <row r="64" spans="1:32">
      <c r="A64" s="9"/>
      <c r="B64" s="36" t="s">
        <v>197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</row>
    <row r="65" spans="1:29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</row>
    <row r="66" spans="1:29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</row>
    <row r="67" spans="1:29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</row>
    <row r="68" spans="1:29">
      <c r="A68" s="8"/>
      <c r="B68" s="35" t="s">
        <v>196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</row>
    <row r="69" spans="1:29">
      <c r="A69" s="8"/>
      <c r="B69" s="36" t="s">
        <v>197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</row>
    <row r="70" spans="1:29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</row>
    <row r="71" spans="1:29">
      <c r="A71" s="8"/>
      <c r="B71" s="8" t="s">
        <v>201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</row>
    <row r="72" spans="1:29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</row>
    <row r="73" spans="1:29">
      <c r="A73" s="8"/>
      <c r="B73" s="35" t="s">
        <v>196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</row>
    <row r="74" spans="1:29">
      <c r="A74" s="8"/>
      <c r="B74" s="36" t="s">
        <v>197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</row>
    <row r="75" spans="1:29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</row>
    <row r="76" spans="1:29">
      <c r="A76" s="8"/>
      <c r="B76" s="8" t="s">
        <v>205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</row>
    <row r="77" spans="1:29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</row>
    <row r="78" spans="1:29">
      <c r="A78" s="8"/>
      <c r="B78" s="35" t="s">
        <v>196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</row>
    <row r="79" spans="1:29">
      <c r="A79" s="8"/>
      <c r="B79" s="36" t="s">
        <v>197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</row>
    <row r="80" spans="1:29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</row>
    <row r="81" spans="1:29">
      <c r="A81" s="8"/>
      <c r="B81" s="8" t="s">
        <v>209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</row>
    <row r="82" spans="1:29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</row>
    <row r="83" spans="1:29">
      <c r="A83" s="8"/>
      <c r="B83" s="35" t="s">
        <v>196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</row>
    <row r="84" spans="1:29">
      <c r="A84" s="8"/>
      <c r="B84" s="36" t="s">
        <v>197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</row>
    <row r="85" spans="1:29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</row>
    <row r="86" spans="1:2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</row>
    <row r="87" spans="1:29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</row>
    <row r="88" spans="1:29">
      <c r="A88" s="8"/>
      <c r="B88" s="35" t="s">
        <v>196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</row>
    <row r="89" spans="1:29">
      <c r="B89" s="36" t="s">
        <v>197</v>
      </c>
    </row>
    <row r="90" spans="1:29">
      <c r="B90" s="36" t="s">
        <v>46</v>
      </c>
    </row>
    <row r="92" spans="1:29">
      <c r="B92" s="33"/>
    </row>
    <row r="93" spans="1:29">
      <c r="B93" s="35" t="s">
        <v>196</v>
      </c>
    </row>
    <row r="94" spans="1:29">
      <c r="B94" s="36" t="s">
        <v>197</v>
      </c>
    </row>
    <row r="95" spans="1:29">
      <c r="B95" s="36" t="s">
        <v>46</v>
      </c>
    </row>
    <row r="97" spans="2:2">
      <c r="B97" s="33"/>
    </row>
    <row r="98" spans="2:2">
      <c r="B98" s="35" t="s">
        <v>196</v>
      </c>
    </row>
    <row r="99" spans="2:2">
      <c r="B99" s="36" t="s">
        <v>197</v>
      </c>
    </row>
    <row r="100" spans="2:2">
      <c r="B100" s="36" t="s">
        <v>46</v>
      </c>
    </row>
    <row r="102" spans="2:2">
      <c r="B102" s="8" t="s">
        <v>222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A0C4D-BA07-4DF0-9F58-1107F0215515}">
  <sheetPr codeName="Sheet6"/>
  <dimension ref="A2:Y102"/>
  <sheetViews>
    <sheetView workbookViewId="0">
      <selection activeCell="D2" sqref="D2"/>
    </sheetView>
  </sheetViews>
  <sheetFormatPr defaultRowHeight="13.5"/>
  <cols>
    <col min="1" max="1" width="2.85546875" style="1" bestFit="1" customWidth="1"/>
    <col min="2" max="2" width="16.5703125" style="1" bestFit="1" customWidth="1"/>
    <col min="3" max="22" width="13" style="1" bestFit="1" customWidth="1"/>
    <col min="23" max="23" width="13.28515625" style="1" bestFit="1" customWidth="1"/>
    <col min="24" max="24" width="10" style="1" bestFit="1" customWidth="1"/>
    <col min="25" max="25" width="11" style="1" bestFit="1" customWidth="1"/>
    <col min="26" max="231" width="9" style="1"/>
    <col min="232" max="232" width="2.85546875" style="1" bestFit="1" customWidth="1"/>
    <col min="233" max="233" width="16.5703125" style="1" bestFit="1" customWidth="1"/>
    <col min="234" max="234" width="11.42578125" style="1" bestFit="1" customWidth="1"/>
    <col min="235" max="236" width="14.140625" style="1" bestFit="1" customWidth="1"/>
    <col min="237" max="237" width="11.42578125" style="1" bestFit="1" customWidth="1"/>
    <col min="238" max="241" width="12.42578125" style="1" bestFit="1" customWidth="1"/>
    <col min="242" max="261" width="13" style="1" bestFit="1" customWidth="1"/>
    <col min="262" max="265" width="11" style="1" bestFit="1" customWidth="1"/>
    <col min="266" max="268" width="12.28515625" style="1" bestFit="1" customWidth="1"/>
    <col min="269" max="278" width="11" style="1" bestFit="1" customWidth="1"/>
    <col min="279" max="279" width="13.28515625" style="1" bestFit="1" customWidth="1"/>
    <col min="280" max="280" width="10" style="1" bestFit="1" customWidth="1"/>
    <col min="281" max="281" width="11" style="1" bestFit="1" customWidth="1"/>
    <col min="282" max="487" width="9" style="1"/>
    <col min="488" max="488" width="2.85546875" style="1" bestFit="1" customWidth="1"/>
    <col min="489" max="489" width="16.5703125" style="1" bestFit="1" customWidth="1"/>
    <col min="490" max="490" width="11.42578125" style="1" bestFit="1" customWidth="1"/>
    <col min="491" max="492" width="14.140625" style="1" bestFit="1" customWidth="1"/>
    <col min="493" max="493" width="11.42578125" style="1" bestFit="1" customWidth="1"/>
    <col min="494" max="497" width="12.42578125" style="1" bestFit="1" customWidth="1"/>
    <col min="498" max="517" width="13" style="1" bestFit="1" customWidth="1"/>
    <col min="518" max="521" width="11" style="1" bestFit="1" customWidth="1"/>
    <col min="522" max="524" width="12.28515625" style="1" bestFit="1" customWidth="1"/>
    <col min="525" max="534" width="11" style="1" bestFit="1" customWidth="1"/>
    <col min="535" max="535" width="13.28515625" style="1" bestFit="1" customWidth="1"/>
    <col min="536" max="536" width="10" style="1" bestFit="1" customWidth="1"/>
    <col min="537" max="537" width="11" style="1" bestFit="1" customWidth="1"/>
    <col min="538" max="743" width="9" style="1"/>
    <col min="744" max="744" width="2.85546875" style="1" bestFit="1" customWidth="1"/>
    <col min="745" max="745" width="16.5703125" style="1" bestFit="1" customWidth="1"/>
    <col min="746" max="746" width="11.42578125" style="1" bestFit="1" customWidth="1"/>
    <col min="747" max="748" width="14.140625" style="1" bestFit="1" customWidth="1"/>
    <col min="749" max="749" width="11.42578125" style="1" bestFit="1" customWidth="1"/>
    <col min="750" max="753" width="12.42578125" style="1" bestFit="1" customWidth="1"/>
    <col min="754" max="773" width="13" style="1" bestFit="1" customWidth="1"/>
    <col min="774" max="777" width="11" style="1" bestFit="1" customWidth="1"/>
    <col min="778" max="780" width="12.28515625" style="1" bestFit="1" customWidth="1"/>
    <col min="781" max="790" width="11" style="1" bestFit="1" customWidth="1"/>
    <col min="791" max="791" width="13.28515625" style="1" bestFit="1" customWidth="1"/>
    <col min="792" max="792" width="10" style="1" bestFit="1" customWidth="1"/>
    <col min="793" max="793" width="11" style="1" bestFit="1" customWidth="1"/>
    <col min="794" max="999" width="9" style="1"/>
    <col min="1000" max="1000" width="2.85546875" style="1" bestFit="1" customWidth="1"/>
    <col min="1001" max="1001" width="16.5703125" style="1" bestFit="1" customWidth="1"/>
    <col min="1002" max="1002" width="11.42578125" style="1" bestFit="1" customWidth="1"/>
    <col min="1003" max="1004" width="14.140625" style="1" bestFit="1" customWidth="1"/>
    <col min="1005" max="1005" width="11.42578125" style="1" bestFit="1" customWidth="1"/>
    <col min="1006" max="1009" width="12.42578125" style="1" bestFit="1" customWidth="1"/>
    <col min="1010" max="1029" width="13" style="1" bestFit="1" customWidth="1"/>
    <col min="1030" max="1033" width="11" style="1" bestFit="1" customWidth="1"/>
    <col min="1034" max="1036" width="12.28515625" style="1" bestFit="1" customWidth="1"/>
    <col min="1037" max="1046" width="11" style="1" bestFit="1" customWidth="1"/>
    <col min="1047" max="1047" width="13.28515625" style="1" bestFit="1" customWidth="1"/>
    <col min="1048" max="1048" width="10" style="1" bestFit="1" customWidth="1"/>
    <col min="1049" max="1049" width="11" style="1" bestFit="1" customWidth="1"/>
    <col min="1050" max="1255" width="9" style="1"/>
    <col min="1256" max="1256" width="2.85546875" style="1" bestFit="1" customWidth="1"/>
    <col min="1257" max="1257" width="16.5703125" style="1" bestFit="1" customWidth="1"/>
    <col min="1258" max="1258" width="11.42578125" style="1" bestFit="1" customWidth="1"/>
    <col min="1259" max="1260" width="14.140625" style="1" bestFit="1" customWidth="1"/>
    <col min="1261" max="1261" width="11.42578125" style="1" bestFit="1" customWidth="1"/>
    <col min="1262" max="1265" width="12.42578125" style="1" bestFit="1" customWidth="1"/>
    <col min="1266" max="1285" width="13" style="1" bestFit="1" customWidth="1"/>
    <col min="1286" max="1289" width="11" style="1" bestFit="1" customWidth="1"/>
    <col min="1290" max="1292" width="12.28515625" style="1" bestFit="1" customWidth="1"/>
    <col min="1293" max="1302" width="11" style="1" bestFit="1" customWidth="1"/>
    <col min="1303" max="1303" width="13.28515625" style="1" bestFit="1" customWidth="1"/>
    <col min="1304" max="1304" width="10" style="1" bestFit="1" customWidth="1"/>
    <col min="1305" max="1305" width="11" style="1" bestFit="1" customWidth="1"/>
    <col min="1306" max="1511" width="9" style="1"/>
    <col min="1512" max="1512" width="2.85546875" style="1" bestFit="1" customWidth="1"/>
    <col min="1513" max="1513" width="16.5703125" style="1" bestFit="1" customWidth="1"/>
    <col min="1514" max="1514" width="11.42578125" style="1" bestFit="1" customWidth="1"/>
    <col min="1515" max="1516" width="14.140625" style="1" bestFit="1" customWidth="1"/>
    <col min="1517" max="1517" width="11.42578125" style="1" bestFit="1" customWidth="1"/>
    <col min="1518" max="1521" width="12.42578125" style="1" bestFit="1" customWidth="1"/>
    <col min="1522" max="1541" width="13" style="1" bestFit="1" customWidth="1"/>
    <col min="1542" max="1545" width="11" style="1" bestFit="1" customWidth="1"/>
    <col min="1546" max="1548" width="12.28515625" style="1" bestFit="1" customWidth="1"/>
    <col min="1549" max="1558" width="11" style="1" bestFit="1" customWidth="1"/>
    <col min="1559" max="1559" width="13.28515625" style="1" bestFit="1" customWidth="1"/>
    <col min="1560" max="1560" width="10" style="1" bestFit="1" customWidth="1"/>
    <col min="1561" max="1561" width="11" style="1" bestFit="1" customWidth="1"/>
    <col min="1562" max="1767" width="9" style="1"/>
    <col min="1768" max="1768" width="2.85546875" style="1" bestFit="1" customWidth="1"/>
    <col min="1769" max="1769" width="16.5703125" style="1" bestFit="1" customWidth="1"/>
    <col min="1770" max="1770" width="11.42578125" style="1" bestFit="1" customWidth="1"/>
    <col min="1771" max="1772" width="14.140625" style="1" bestFit="1" customWidth="1"/>
    <col min="1773" max="1773" width="11.42578125" style="1" bestFit="1" customWidth="1"/>
    <col min="1774" max="1777" width="12.42578125" style="1" bestFit="1" customWidth="1"/>
    <col min="1778" max="1797" width="13" style="1" bestFit="1" customWidth="1"/>
    <col min="1798" max="1801" width="11" style="1" bestFit="1" customWidth="1"/>
    <col min="1802" max="1804" width="12.28515625" style="1" bestFit="1" customWidth="1"/>
    <col min="1805" max="1814" width="11" style="1" bestFit="1" customWidth="1"/>
    <col min="1815" max="1815" width="13.28515625" style="1" bestFit="1" customWidth="1"/>
    <col min="1816" max="1816" width="10" style="1" bestFit="1" customWidth="1"/>
    <col min="1817" max="1817" width="11" style="1" bestFit="1" customWidth="1"/>
    <col min="1818" max="2023" width="9" style="1"/>
    <col min="2024" max="2024" width="2.85546875" style="1" bestFit="1" customWidth="1"/>
    <col min="2025" max="2025" width="16.5703125" style="1" bestFit="1" customWidth="1"/>
    <col min="2026" max="2026" width="11.42578125" style="1" bestFit="1" customWidth="1"/>
    <col min="2027" max="2028" width="14.140625" style="1" bestFit="1" customWidth="1"/>
    <col min="2029" max="2029" width="11.42578125" style="1" bestFit="1" customWidth="1"/>
    <col min="2030" max="2033" width="12.42578125" style="1" bestFit="1" customWidth="1"/>
    <col min="2034" max="2053" width="13" style="1" bestFit="1" customWidth="1"/>
    <col min="2054" max="2057" width="11" style="1" bestFit="1" customWidth="1"/>
    <col min="2058" max="2060" width="12.28515625" style="1" bestFit="1" customWidth="1"/>
    <col min="2061" max="2070" width="11" style="1" bestFit="1" customWidth="1"/>
    <col min="2071" max="2071" width="13.28515625" style="1" bestFit="1" customWidth="1"/>
    <col min="2072" max="2072" width="10" style="1" bestFit="1" customWidth="1"/>
    <col min="2073" max="2073" width="11" style="1" bestFit="1" customWidth="1"/>
    <col min="2074" max="2279" width="9" style="1"/>
    <col min="2280" max="2280" width="2.85546875" style="1" bestFit="1" customWidth="1"/>
    <col min="2281" max="2281" width="16.5703125" style="1" bestFit="1" customWidth="1"/>
    <col min="2282" max="2282" width="11.42578125" style="1" bestFit="1" customWidth="1"/>
    <col min="2283" max="2284" width="14.140625" style="1" bestFit="1" customWidth="1"/>
    <col min="2285" max="2285" width="11.42578125" style="1" bestFit="1" customWidth="1"/>
    <col min="2286" max="2289" width="12.42578125" style="1" bestFit="1" customWidth="1"/>
    <col min="2290" max="2309" width="13" style="1" bestFit="1" customWidth="1"/>
    <col min="2310" max="2313" width="11" style="1" bestFit="1" customWidth="1"/>
    <col min="2314" max="2316" width="12.28515625" style="1" bestFit="1" customWidth="1"/>
    <col min="2317" max="2326" width="11" style="1" bestFit="1" customWidth="1"/>
    <col min="2327" max="2327" width="13.28515625" style="1" bestFit="1" customWidth="1"/>
    <col min="2328" max="2328" width="10" style="1" bestFit="1" customWidth="1"/>
    <col min="2329" max="2329" width="11" style="1" bestFit="1" customWidth="1"/>
    <col min="2330" max="2535" width="9" style="1"/>
    <col min="2536" max="2536" width="2.85546875" style="1" bestFit="1" customWidth="1"/>
    <col min="2537" max="2537" width="16.5703125" style="1" bestFit="1" customWidth="1"/>
    <col min="2538" max="2538" width="11.42578125" style="1" bestFit="1" customWidth="1"/>
    <col min="2539" max="2540" width="14.140625" style="1" bestFit="1" customWidth="1"/>
    <col min="2541" max="2541" width="11.42578125" style="1" bestFit="1" customWidth="1"/>
    <col min="2542" max="2545" width="12.42578125" style="1" bestFit="1" customWidth="1"/>
    <col min="2546" max="2565" width="13" style="1" bestFit="1" customWidth="1"/>
    <col min="2566" max="2569" width="11" style="1" bestFit="1" customWidth="1"/>
    <col min="2570" max="2572" width="12.28515625" style="1" bestFit="1" customWidth="1"/>
    <col min="2573" max="2582" width="11" style="1" bestFit="1" customWidth="1"/>
    <col min="2583" max="2583" width="13.28515625" style="1" bestFit="1" customWidth="1"/>
    <col min="2584" max="2584" width="10" style="1" bestFit="1" customWidth="1"/>
    <col min="2585" max="2585" width="11" style="1" bestFit="1" customWidth="1"/>
    <col min="2586" max="2791" width="9" style="1"/>
    <col min="2792" max="2792" width="2.85546875" style="1" bestFit="1" customWidth="1"/>
    <col min="2793" max="2793" width="16.5703125" style="1" bestFit="1" customWidth="1"/>
    <col min="2794" max="2794" width="11.42578125" style="1" bestFit="1" customWidth="1"/>
    <col min="2795" max="2796" width="14.140625" style="1" bestFit="1" customWidth="1"/>
    <col min="2797" max="2797" width="11.42578125" style="1" bestFit="1" customWidth="1"/>
    <col min="2798" max="2801" width="12.42578125" style="1" bestFit="1" customWidth="1"/>
    <col min="2802" max="2821" width="13" style="1" bestFit="1" customWidth="1"/>
    <col min="2822" max="2825" width="11" style="1" bestFit="1" customWidth="1"/>
    <col min="2826" max="2828" width="12.28515625" style="1" bestFit="1" customWidth="1"/>
    <col min="2829" max="2838" width="11" style="1" bestFit="1" customWidth="1"/>
    <col min="2839" max="2839" width="13.28515625" style="1" bestFit="1" customWidth="1"/>
    <col min="2840" max="2840" width="10" style="1" bestFit="1" customWidth="1"/>
    <col min="2841" max="2841" width="11" style="1" bestFit="1" customWidth="1"/>
    <col min="2842" max="3047" width="9" style="1"/>
    <col min="3048" max="3048" width="2.85546875" style="1" bestFit="1" customWidth="1"/>
    <col min="3049" max="3049" width="16.5703125" style="1" bestFit="1" customWidth="1"/>
    <col min="3050" max="3050" width="11.42578125" style="1" bestFit="1" customWidth="1"/>
    <col min="3051" max="3052" width="14.140625" style="1" bestFit="1" customWidth="1"/>
    <col min="3053" max="3053" width="11.42578125" style="1" bestFit="1" customWidth="1"/>
    <col min="3054" max="3057" width="12.42578125" style="1" bestFit="1" customWidth="1"/>
    <col min="3058" max="3077" width="13" style="1" bestFit="1" customWidth="1"/>
    <col min="3078" max="3081" width="11" style="1" bestFit="1" customWidth="1"/>
    <col min="3082" max="3084" width="12.28515625" style="1" bestFit="1" customWidth="1"/>
    <col min="3085" max="3094" width="11" style="1" bestFit="1" customWidth="1"/>
    <col min="3095" max="3095" width="13.28515625" style="1" bestFit="1" customWidth="1"/>
    <col min="3096" max="3096" width="10" style="1" bestFit="1" customWidth="1"/>
    <col min="3097" max="3097" width="11" style="1" bestFit="1" customWidth="1"/>
    <col min="3098" max="3303" width="9" style="1"/>
    <col min="3304" max="3304" width="2.85546875" style="1" bestFit="1" customWidth="1"/>
    <col min="3305" max="3305" width="16.5703125" style="1" bestFit="1" customWidth="1"/>
    <col min="3306" max="3306" width="11.42578125" style="1" bestFit="1" customWidth="1"/>
    <col min="3307" max="3308" width="14.140625" style="1" bestFit="1" customWidth="1"/>
    <col min="3309" max="3309" width="11.42578125" style="1" bestFit="1" customWidth="1"/>
    <col min="3310" max="3313" width="12.42578125" style="1" bestFit="1" customWidth="1"/>
    <col min="3314" max="3333" width="13" style="1" bestFit="1" customWidth="1"/>
    <col min="3334" max="3337" width="11" style="1" bestFit="1" customWidth="1"/>
    <col min="3338" max="3340" width="12.28515625" style="1" bestFit="1" customWidth="1"/>
    <col min="3341" max="3350" width="11" style="1" bestFit="1" customWidth="1"/>
    <col min="3351" max="3351" width="13.28515625" style="1" bestFit="1" customWidth="1"/>
    <col min="3352" max="3352" width="10" style="1" bestFit="1" customWidth="1"/>
    <col min="3353" max="3353" width="11" style="1" bestFit="1" customWidth="1"/>
    <col min="3354" max="3559" width="9" style="1"/>
    <col min="3560" max="3560" width="2.85546875" style="1" bestFit="1" customWidth="1"/>
    <col min="3561" max="3561" width="16.5703125" style="1" bestFit="1" customWidth="1"/>
    <col min="3562" max="3562" width="11.42578125" style="1" bestFit="1" customWidth="1"/>
    <col min="3563" max="3564" width="14.140625" style="1" bestFit="1" customWidth="1"/>
    <col min="3565" max="3565" width="11.42578125" style="1" bestFit="1" customWidth="1"/>
    <col min="3566" max="3569" width="12.42578125" style="1" bestFit="1" customWidth="1"/>
    <col min="3570" max="3589" width="13" style="1" bestFit="1" customWidth="1"/>
    <col min="3590" max="3593" width="11" style="1" bestFit="1" customWidth="1"/>
    <col min="3594" max="3596" width="12.28515625" style="1" bestFit="1" customWidth="1"/>
    <col min="3597" max="3606" width="11" style="1" bestFit="1" customWidth="1"/>
    <col min="3607" max="3607" width="13.28515625" style="1" bestFit="1" customWidth="1"/>
    <col min="3608" max="3608" width="10" style="1" bestFit="1" customWidth="1"/>
    <col min="3609" max="3609" width="11" style="1" bestFit="1" customWidth="1"/>
    <col min="3610" max="3815" width="9" style="1"/>
    <col min="3816" max="3816" width="2.85546875" style="1" bestFit="1" customWidth="1"/>
    <col min="3817" max="3817" width="16.5703125" style="1" bestFit="1" customWidth="1"/>
    <col min="3818" max="3818" width="11.42578125" style="1" bestFit="1" customWidth="1"/>
    <col min="3819" max="3820" width="14.140625" style="1" bestFit="1" customWidth="1"/>
    <col min="3821" max="3821" width="11.42578125" style="1" bestFit="1" customWidth="1"/>
    <col min="3822" max="3825" width="12.42578125" style="1" bestFit="1" customWidth="1"/>
    <col min="3826" max="3845" width="13" style="1" bestFit="1" customWidth="1"/>
    <col min="3846" max="3849" width="11" style="1" bestFit="1" customWidth="1"/>
    <col min="3850" max="3852" width="12.28515625" style="1" bestFit="1" customWidth="1"/>
    <col min="3853" max="3862" width="11" style="1" bestFit="1" customWidth="1"/>
    <col min="3863" max="3863" width="13.28515625" style="1" bestFit="1" customWidth="1"/>
    <col min="3864" max="3864" width="10" style="1" bestFit="1" customWidth="1"/>
    <col min="3865" max="3865" width="11" style="1" bestFit="1" customWidth="1"/>
    <col min="3866" max="4071" width="9" style="1"/>
    <col min="4072" max="4072" width="2.85546875" style="1" bestFit="1" customWidth="1"/>
    <col min="4073" max="4073" width="16.5703125" style="1" bestFit="1" customWidth="1"/>
    <col min="4074" max="4074" width="11.42578125" style="1" bestFit="1" customWidth="1"/>
    <col min="4075" max="4076" width="14.140625" style="1" bestFit="1" customWidth="1"/>
    <col min="4077" max="4077" width="11.42578125" style="1" bestFit="1" customWidth="1"/>
    <col min="4078" max="4081" width="12.42578125" style="1" bestFit="1" customWidth="1"/>
    <col min="4082" max="4101" width="13" style="1" bestFit="1" customWidth="1"/>
    <col min="4102" max="4105" width="11" style="1" bestFit="1" customWidth="1"/>
    <col min="4106" max="4108" width="12.28515625" style="1" bestFit="1" customWidth="1"/>
    <col min="4109" max="4118" width="11" style="1" bestFit="1" customWidth="1"/>
    <col min="4119" max="4119" width="13.28515625" style="1" bestFit="1" customWidth="1"/>
    <col min="4120" max="4120" width="10" style="1" bestFit="1" customWidth="1"/>
    <col min="4121" max="4121" width="11" style="1" bestFit="1" customWidth="1"/>
    <col min="4122" max="4327" width="9" style="1"/>
    <col min="4328" max="4328" width="2.85546875" style="1" bestFit="1" customWidth="1"/>
    <col min="4329" max="4329" width="16.5703125" style="1" bestFit="1" customWidth="1"/>
    <col min="4330" max="4330" width="11.42578125" style="1" bestFit="1" customWidth="1"/>
    <col min="4331" max="4332" width="14.140625" style="1" bestFit="1" customWidth="1"/>
    <col min="4333" max="4333" width="11.42578125" style="1" bestFit="1" customWidth="1"/>
    <col min="4334" max="4337" width="12.42578125" style="1" bestFit="1" customWidth="1"/>
    <col min="4338" max="4357" width="13" style="1" bestFit="1" customWidth="1"/>
    <col min="4358" max="4361" width="11" style="1" bestFit="1" customWidth="1"/>
    <col min="4362" max="4364" width="12.28515625" style="1" bestFit="1" customWidth="1"/>
    <col min="4365" max="4374" width="11" style="1" bestFit="1" customWidth="1"/>
    <col min="4375" max="4375" width="13.28515625" style="1" bestFit="1" customWidth="1"/>
    <col min="4376" max="4376" width="10" style="1" bestFit="1" customWidth="1"/>
    <col min="4377" max="4377" width="11" style="1" bestFit="1" customWidth="1"/>
    <col min="4378" max="4583" width="9" style="1"/>
    <col min="4584" max="4584" width="2.85546875" style="1" bestFit="1" customWidth="1"/>
    <col min="4585" max="4585" width="16.5703125" style="1" bestFit="1" customWidth="1"/>
    <col min="4586" max="4586" width="11.42578125" style="1" bestFit="1" customWidth="1"/>
    <col min="4587" max="4588" width="14.140625" style="1" bestFit="1" customWidth="1"/>
    <col min="4589" max="4589" width="11.42578125" style="1" bestFit="1" customWidth="1"/>
    <col min="4590" max="4593" width="12.42578125" style="1" bestFit="1" customWidth="1"/>
    <col min="4594" max="4613" width="13" style="1" bestFit="1" customWidth="1"/>
    <col min="4614" max="4617" width="11" style="1" bestFit="1" customWidth="1"/>
    <col min="4618" max="4620" width="12.28515625" style="1" bestFit="1" customWidth="1"/>
    <col min="4621" max="4630" width="11" style="1" bestFit="1" customWidth="1"/>
    <col min="4631" max="4631" width="13.28515625" style="1" bestFit="1" customWidth="1"/>
    <col min="4632" max="4632" width="10" style="1" bestFit="1" customWidth="1"/>
    <col min="4633" max="4633" width="11" style="1" bestFit="1" customWidth="1"/>
    <col min="4634" max="4839" width="9" style="1"/>
    <col min="4840" max="4840" width="2.85546875" style="1" bestFit="1" customWidth="1"/>
    <col min="4841" max="4841" width="16.5703125" style="1" bestFit="1" customWidth="1"/>
    <col min="4842" max="4842" width="11.42578125" style="1" bestFit="1" customWidth="1"/>
    <col min="4843" max="4844" width="14.140625" style="1" bestFit="1" customWidth="1"/>
    <col min="4845" max="4845" width="11.42578125" style="1" bestFit="1" customWidth="1"/>
    <col min="4846" max="4849" width="12.42578125" style="1" bestFit="1" customWidth="1"/>
    <col min="4850" max="4869" width="13" style="1" bestFit="1" customWidth="1"/>
    <col min="4870" max="4873" width="11" style="1" bestFit="1" customWidth="1"/>
    <col min="4874" max="4876" width="12.28515625" style="1" bestFit="1" customWidth="1"/>
    <col min="4877" max="4886" width="11" style="1" bestFit="1" customWidth="1"/>
    <col min="4887" max="4887" width="13.28515625" style="1" bestFit="1" customWidth="1"/>
    <col min="4888" max="4888" width="10" style="1" bestFit="1" customWidth="1"/>
    <col min="4889" max="4889" width="11" style="1" bestFit="1" customWidth="1"/>
    <col min="4890" max="5095" width="9" style="1"/>
    <col min="5096" max="5096" width="2.85546875" style="1" bestFit="1" customWidth="1"/>
    <col min="5097" max="5097" width="16.5703125" style="1" bestFit="1" customWidth="1"/>
    <col min="5098" max="5098" width="11.42578125" style="1" bestFit="1" customWidth="1"/>
    <col min="5099" max="5100" width="14.140625" style="1" bestFit="1" customWidth="1"/>
    <col min="5101" max="5101" width="11.42578125" style="1" bestFit="1" customWidth="1"/>
    <col min="5102" max="5105" width="12.42578125" style="1" bestFit="1" customWidth="1"/>
    <col min="5106" max="5125" width="13" style="1" bestFit="1" customWidth="1"/>
    <col min="5126" max="5129" width="11" style="1" bestFit="1" customWidth="1"/>
    <col min="5130" max="5132" width="12.28515625" style="1" bestFit="1" customWidth="1"/>
    <col min="5133" max="5142" width="11" style="1" bestFit="1" customWidth="1"/>
    <col min="5143" max="5143" width="13.28515625" style="1" bestFit="1" customWidth="1"/>
    <col min="5144" max="5144" width="10" style="1" bestFit="1" customWidth="1"/>
    <col min="5145" max="5145" width="11" style="1" bestFit="1" customWidth="1"/>
    <col min="5146" max="5351" width="9" style="1"/>
    <col min="5352" max="5352" width="2.85546875" style="1" bestFit="1" customWidth="1"/>
    <col min="5353" max="5353" width="16.5703125" style="1" bestFit="1" customWidth="1"/>
    <col min="5354" max="5354" width="11.42578125" style="1" bestFit="1" customWidth="1"/>
    <col min="5355" max="5356" width="14.140625" style="1" bestFit="1" customWidth="1"/>
    <col min="5357" max="5357" width="11.42578125" style="1" bestFit="1" customWidth="1"/>
    <col min="5358" max="5361" width="12.42578125" style="1" bestFit="1" customWidth="1"/>
    <col min="5362" max="5381" width="13" style="1" bestFit="1" customWidth="1"/>
    <col min="5382" max="5385" width="11" style="1" bestFit="1" customWidth="1"/>
    <col min="5386" max="5388" width="12.28515625" style="1" bestFit="1" customWidth="1"/>
    <col min="5389" max="5398" width="11" style="1" bestFit="1" customWidth="1"/>
    <col min="5399" max="5399" width="13.28515625" style="1" bestFit="1" customWidth="1"/>
    <col min="5400" max="5400" width="10" style="1" bestFit="1" customWidth="1"/>
    <col min="5401" max="5401" width="11" style="1" bestFit="1" customWidth="1"/>
    <col min="5402" max="5607" width="9" style="1"/>
    <col min="5608" max="5608" width="2.85546875" style="1" bestFit="1" customWidth="1"/>
    <col min="5609" max="5609" width="16.5703125" style="1" bestFit="1" customWidth="1"/>
    <col min="5610" max="5610" width="11.42578125" style="1" bestFit="1" customWidth="1"/>
    <col min="5611" max="5612" width="14.140625" style="1" bestFit="1" customWidth="1"/>
    <col min="5613" max="5613" width="11.42578125" style="1" bestFit="1" customWidth="1"/>
    <col min="5614" max="5617" width="12.42578125" style="1" bestFit="1" customWidth="1"/>
    <col min="5618" max="5637" width="13" style="1" bestFit="1" customWidth="1"/>
    <col min="5638" max="5641" width="11" style="1" bestFit="1" customWidth="1"/>
    <col min="5642" max="5644" width="12.28515625" style="1" bestFit="1" customWidth="1"/>
    <col min="5645" max="5654" width="11" style="1" bestFit="1" customWidth="1"/>
    <col min="5655" max="5655" width="13.28515625" style="1" bestFit="1" customWidth="1"/>
    <col min="5656" max="5656" width="10" style="1" bestFit="1" customWidth="1"/>
    <col min="5657" max="5657" width="11" style="1" bestFit="1" customWidth="1"/>
    <col min="5658" max="5863" width="9" style="1"/>
    <col min="5864" max="5864" width="2.85546875" style="1" bestFit="1" customWidth="1"/>
    <col min="5865" max="5865" width="16.5703125" style="1" bestFit="1" customWidth="1"/>
    <col min="5866" max="5866" width="11.42578125" style="1" bestFit="1" customWidth="1"/>
    <col min="5867" max="5868" width="14.140625" style="1" bestFit="1" customWidth="1"/>
    <col min="5869" max="5869" width="11.42578125" style="1" bestFit="1" customWidth="1"/>
    <col min="5870" max="5873" width="12.42578125" style="1" bestFit="1" customWidth="1"/>
    <col min="5874" max="5893" width="13" style="1" bestFit="1" customWidth="1"/>
    <col min="5894" max="5897" width="11" style="1" bestFit="1" customWidth="1"/>
    <col min="5898" max="5900" width="12.28515625" style="1" bestFit="1" customWidth="1"/>
    <col min="5901" max="5910" width="11" style="1" bestFit="1" customWidth="1"/>
    <col min="5911" max="5911" width="13.28515625" style="1" bestFit="1" customWidth="1"/>
    <col min="5912" max="5912" width="10" style="1" bestFit="1" customWidth="1"/>
    <col min="5913" max="5913" width="11" style="1" bestFit="1" customWidth="1"/>
    <col min="5914" max="6119" width="9" style="1"/>
    <col min="6120" max="6120" width="2.85546875" style="1" bestFit="1" customWidth="1"/>
    <col min="6121" max="6121" width="16.5703125" style="1" bestFit="1" customWidth="1"/>
    <col min="6122" max="6122" width="11.42578125" style="1" bestFit="1" customWidth="1"/>
    <col min="6123" max="6124" width="14.140625" style="1" bestFit="1" customWidth="1"/>
    <col min="6125" max="6125" width="11.42578125" style="1" bestFit="1" customWidth="1"/>
    <col min="6126" max="6129" width="12.42578125" style="1" bestFit="1" customWidth="1"/>
    <col min="6130" max="6149" width="13" style="1" bestFit="1" customWidth="1"/>
    <col min="6150" max="6153" width="11" style="1" bestFit="1" customWidth="1"/>
    <col min="6154" max="6156" width="12.28515625" style="1" bestFit="1" customWidth="1"/>
    <col min="6157" max="6166" width="11" style="1" bestFit="1" customWidth="1"/>
    <col min="6167" max="6167" width="13.28515625" style="1" bestFit="1" customWidth="1"/>
    <col min="6168" max="6168" width="10" style="1" bestFit="1" customWidth="1"/>
    <col min="6169" max="6169" width="11" style="1" bestFit="1" customWidth="1"/>
    <col min="6170" max="6375" width="9" style="1"/>
    <col min="6376" max="6376" width="2.85546875" style="1" bestFit="1" customWidth="1"/>
    <col min="6377" max="6377" width="16.5703125" style="1" bestFit="1" customWidth="1"/>
    <col min="6378" max="6378" width="11.42578125" style="1" bestFit="1" customWidth="1"/>
    <col min="6379" max="6380" width="14.140625" style="1" bestFit="1" customWidth="1"/>
    <col min="6381" max="6381" width="11.42578125" style="1" bestFit="1" customWidth="1"/>
    <col min="6382" max="6385" width="12.42578125" style="1" bestFit="1" customWidth="1"/>
    <col min="6386" max="6405" width="13" style="1" bestFit="1" customWidth="1"/>
    <col min="6406" max="6409" width="11" style="1" bestFit="1" customWidth="1"/>
    <col min="6410" max="6412" width="12.28515625" style="1" bestFit="1" customWidth="1"/>
    <col min="6413" max="6422" width="11" style="1" bestFit="1" customWidth="1"/>
    <col min="6423" max="6423" width="13.28515625" style="1" bestFit="1" customWidth="1"/>
    <col min="6424" max="6424" width="10" style="1" bestFit="1" customWidth="1"/>
    <col min="6425" max="6425" width="11" style="1" bestFit="1" customWidth="1"/>
    <col min="6426" max="6631" width="9" style="1"/>
    <col min="6632" max="6632" width="2.85546875" style="1" bestFit="1" customWidth="1"/>
    <col min="6633" max="6633" width="16.5703125" style="1" bestFit="1" customWidth="1"/>
    <col min="6634" max="6634" width="11.42578125" style="1" bestFit="1" customWidth="1"/>
    <col min="6635" max="6636" width="14.140625" style="1" bestFit="1" customWidth="1"/>
    <col min="6637" max="6637" width="11.42578125" style="1" bestFit="1" customWidth="1"/>
    <col min="6638" max="6641" width="12.42578125" style="1" bestFit="1" customWidth="1"/>
    <col min="6642" max="6661" width="13" style="1" bestFit="1" customWidth="1"/>
    <col min="6662" max="6665" width="11" style="1" bestFit="1" customWidth="1"/>
    <col min="6666" max="6668" width="12.28515625" style="1" bestFit="1" customWidth="1"/>
    <col min="6669" max="6678" width="11" style="1" bestFit="1" customWidth="1"/>
    <col min="6679" max="6679" width="13.28515625" style="1" bestFit="1" customWidth="1"/>
    <col min="6680" max="6680" width="10" style="1" bestFit="1" customWidth="1"/>
    <col min="6681" max="6681" width="11" style="1" bestFit="1" customWidth="1"/>
    <col min="6682" max="6887" width="9" style="1"/>
    <col min="6888" max="6888" width="2.85546875" style="1" bestFit="1" customWidth="1"/>
    <col min="6889" max="6889" width="16.5703125" style="1" bestFit="1" customWidth="1"/>
    <col min="6890" max="6890" width="11.42578125" style="1" bestFit="1" customWidth="1"/>
    <col min="6891" max="6892" width="14.140625" style="1" bestFit="1" customWidth="1"/>
    <col min="6893" max="6893" width="11.42578125" style="1" bestFit="1" customWidth="1"/>
    <col min="6894" max="6897" width="12.42578125" style="1" bestFit="1" customWidth="1"/>
    <col min="6898" max="6917" width="13" style="1" bestFit="1" customWidth="1"/>
    <col min="6918" max="6921" width="11" style="1" bestFit="1" customWidth="1"/>
    <col min="6922" max="6924" width="12.28515625" style="1" bestFit="1" customWidth="1"/>
    <col min="6925" max="6934" width="11" style="1" bestFit="1" customWidth="1"/>
    <col min="6935" max="6935" width="13.28515625" style="1" bestFit="1" customWidth="1"/>
    <col min="6936" max="6936" width="10" style="1" bestFit="1" customWidth="1"/>
    <col min="6937" max="6937" width="11" style="1" bestFit="1" customWidth="1"/>
    <col min="6938" max="7143" width="9" style="1"/>
    <col min="7144" max="7144" width="2.85546875" style="1" bestFit="1" customWidth="1"/>
    <col min="7145" max="7145" width="16.5703125" style="1" bestFit="1" customWidth="1"/>
    <col min="7146" max="7146" width="11.42578125" style="1" bestFit="1" customWidth="1"/>
    <col min="7147" max="7148" width="14.140625" style="1" bestFit="1" customWidth="1"/>
    <col min="7149" max="7149" width="11.42578125" style="1" bestFit="1" customWidth="1"/>
    <col min="7150" max="7153" width="12.42578125" style="1" bestFit="1" customWidth="1"/>
    <col min="7154" max="7173" width="13" style="1" bestFit="1" customWidth="1"/>
    <col min="7174" max="7177" width="11" style="1" bestFit="1" customWidth="1"/>
    <col min="7178" max="7180" width="12.28515625" style="1" bestFit="1" customWidth="1"/>
    <col min="7181" max="7190" width="11" style="1" bestFit="1" customWidth="1"/>
    <col min="7191" max="7191" width="13.28515625" style="1" bestFit="1" customWidth="1"/>
    <col min="7192" max="7192" width="10" style="1" bestFit="1" customWidth="1"/>
    <col min="7193" max="7193" width="11" style="1" bestFit="1" customWidth="1"/>
    <col min="7194" max="7399" width="9" style="1"/>
    <col min="7400" max="7400" width="2.85546875" style="1" bestFit="1" customWidth="1"/>
    <col min="7401" max="7401" width="16.5703125" style="1" bestFit="1" customWidth="1"/>
    <col min="7402" max="7402" width="11.42578125" style="1" bestFit="1" customWidth="1"/>
    <col min="7403" max="7404" width="14.140625" style="1" bestFit="1" customWidth="1"/>
    <col min="7405" max="7405" width="11.42578125" style="1" bestFit="1" customWidth="1"/>
    <col min="7406" max="7409" width="12.42578125" style="1" bestFit="1" customWidth="1"/>
    <col min="7410" max="7429" width="13" style="1" bestFit="1" customWidth="1"/>
    <col min="7430" max="7433" width="11" style="1" bestFit="1" customWidth="1"/>
    <col min="7434" max="7436" width="12.28515625" style="1" bestFit="1" customWidth="1"/>
    <col min="7437" max="7446" width="11" style="1" bestFit="1" customWidth="1"/>
    <col min="7447" max="7447" width="13.28515625" style="1" bestFit="1" customWidth="1"/>
    <col min="7448" max="7448" width="10" style="1" bestFit="1" customWidth="1"/>
    <col min="7449" max="7449" width="11" style="1" bestFit="1" customWidth="1"/>
    <col min="7450" max="7655" width="9" style="1"/>
    <col min="7656" max="7656" width="2.85546875" style="1" bestFit="1" customWidth="1"/>
    <col min="7657" max="7657" width="16.5703125" style="1" bestFit="1" customWidth="1"/>
    <col min="7658" max="7658" width="11.42578125" style="1" bestFit="1" customWidth="1"/>
    <col min="7659" max="7660" width="14.140625" style="1" bestFit="1" customWidth="1"/>
    <col min="7661" max="7661" width="11.42578125" style="1" bestFit="1" customWidth="1"/>
    <col min="7662" max="7665" width="12.42578125" style="1" bestFit="1" customWidth="1"/>
    <col min="7666" max="7685" width="13" style="1" bestFit="1" customWidth="1"/>
    <col min="7686" max="7689" width="11" style="1" bestFit="1" customWidth="1"/>
    <col min="7690" max="7692" width="12.28515625" style="1" bestFit="1" customWidth="1"/>
    <col min="7693" max="7702" width="11" style="1" bestFit="1" customWidth="1"/>
    <col min="7703" max="7703" width="13.28515625" style="1" bestFit="1" customWidth="1"/>
    <col min="7704" max="7704" width="10" style="1" bestFit="1" customWidth="1"/>
    <col min="7705" max="7705" width="11" style="1" bestFit="1" customWidth="1"/>
    <col min="7706" max="7911" width="9" style="1"/>
    <col min="7912" max="7912" width="2.85546875" style="1" bestFit="1" customWidth="1"/>
    <col min="7913" max="7913" width="16.5703125" style="1" bestFit="1" customWidth="1"/>
    <col min="7914" max="7914" width="11.42578125" style="1" bestFit="1" customWidth="1"/>
    <col min="7915" max="7916" width="14.140625" style="1" bestFit="1" customWidth="1"/>
    <col min="7917" max="7917" width="11.42578125" style="1" bestFit="1" customWidth="1"/>
    <col min="7918" max="7921" width="12.42578125" style="1" bestFit="1" customWidth="1"/>
    <col min="7922" max="7941" width="13" style="1" bestFit="1" customWidth="1"/>
    <col min="7942" max="7945" width="11" style="1" bestFit="1" customWidth="1"/>
    <col min="7946" max="7948" width="12.28515625" style="1" bestFit="1" customWidth="1"/>
    <col min="7949" max="7958" width="11" style="1" bestFit="1" customWidth="1"/>
    <col min="7959" max="7959" width="13.28515625" style="1" bestFit="1" customWidth="1"/>
    <col min="7960" max="7960" width="10" style="1" bestFit="1" customWidth="1"/>
    <col min="7961" max="7961" width="11" style="1" bestFit="1" customWidth="1"/>
    <col min="7962" max="8167" width="9" style="1"/>
    <col min="8168" max="8168" width="2.85546875" style="1" bestFit="1" customWidth="1"/>
    <col min="8169" max="8169" width="16.5703125" style="1" bestFit="1" customWidth="1"/>
    <col min="8170" max="8170" width="11.42578125" style="1" bestFit="1" customWidth="1"/>
    <col min="8171" max="8172" width="14.140625" style="1" bestFit="1" customWidth="1"/>
    <col min="8173" max="8173" width="11.42578125" style="1" bestFit="1" customWidth="1"/>
    <col min="8174" max="8177" width="12.42578125" style="1" bestFit="1" customWidth="1"/>
    <col min="8178" max="8197" width="13" style="1" bestFit="1" customWidth="1"/>
    <col min="8198" max="8201" width="11" style="1" bestFit="1" customWidth="1"/>
    <col min="8202" max="8204" width="12.28515625" style="1" bestFit="1" customWidth="1"/>
    <col min="8205" max="8214" width="11" style="1" bestFit="1" customWidth="1"/>
    <col min="8215" max="8215" width="13.28515625" style="1" bestFit="1" customWidth="1"/>
    <col min="8216" max="8216" width="10" style="1" bestFit="1" customWidth="1"/>
    <col min="8217" max="8217" width="11" style="1" bestFit="1" customWidth="1"/>
    <col min="8218" max="8423" width="9" style="1"/>
    <col min="8424" max="8424" width="2.85546875" style="1" bestFit="1" customWidth="1"/>
    <col min="8425" max="8425" width="16.5703125" style="1" bestFit="1" customWidth="1"/>
    <col min="8426" max="8426" width="11.42578125" style="1" bestFit="1" customWidth="1"/>
    <col min="8427" max="8428" width="14.140625" style="1" bestFit="1" customWidth="1"/>
    <col min="8429" max="8429" width="11.42578125" style="1" bestFit="1" customWidth="1"/>
    <col min="8430" max="8433" width="12.42578125" style="1" bestFit="1" customWidth="1"/>
    <col min="8434" max="8453" width="13" style="1" bestFit="1" customWidth="1"/>
    <col min="8454" max="8457" width="11" style="1" bestFit="1" customWidth="1"/>
    <col min="8458" max="8460" width="12.28515625" style="1" bestFit="1" customWidth="1"/>
    <col min="8461" max="8470" width="11" style="1" bestFit="1" customWidth="1"/>
    <col min="8471" max="8471" width="13.28515625" style="1" bestFit="1" customWidth="1"/>
    <col min="8472" max="8472" width="10" style="1" bestFit="1" customWidth="1"/>
    <col min="8473" max="8473" width="11" style="1" bestFit="1" customWidth="1"/>
    <col min="8474" max="8679" width="9" style="1"/>
    <col min="8680" max="8680" width="2.85546875" style="1" bestFit="1" customWidth="1"/>
    <col min="8681" max="8681" width="16.5703125" style="1" bestFit="1" customWidth="1"/>
    <col min="8682" max="8682" width="11.42578125" style="1" bestFit="1" customWidth="1"/>
    <col min="8683" max="8684" width="14.140625" style="1" bestFit="1" customWidth="1"/>
    <col min="8685" max="8685" width="11.42578125" style="1" bestFit="1" customWidth="1"/>
    <col min="8686" max="8689" width="12.42578125" style="1" bestFit="1" customWidth="1"/>
    <col min="8690" max="8709" width="13" style="1" bestFit="1" customWidth="1"/>
    <col min="8710" max="8713" width="11" style="1" bestFit="1" customWidth="1"/>
    <col min="8714" max="8716" width="12.28515625" style="1" bestFit="1" customWidth="1"/>
    <col min="8717" max="8726" width="11" style="1" bestFit="1" customWidth="1"/>
    <col min="8727" max="8727" width="13.28515625" style="1" bestFit="1" customWidth="1"/>
    <col min="8728" max="8728" width="10" style="1" bestFit="1" customWidth="1"/>
    <col min="8729" max="8729" width="11" style="1" bestFit="1" customWidth="1"/>
    <col min="8730" max="8935" width="9" style="1"/>
    <col min="8936" max="8936" width="2.85546875" style="1" bestFit="1" customWidth="1"/>
    <col min="8937" max="8937" width="16.5703125" style="1" bestFit="1" customWidth="1"/>
    <col min="8938" max="8938" width="11.42578125" style="1" bestFit="1" customWidth="1"/>
    <col min="8939" max="8940" width="14.140625" style="1" bestFit="1" customWidth="1"/>
    <col min="8941" max="8941" width="11.42578125" style="1" bestFit="1" customWidth="1"/>
    <col min="8942" max="8945" width="12.42578125" style="1" bestFit="1" customWidth="1"/>
    <col min="8946" max="8965" width="13" style="1" bestFit="1" customWidth="1"/>
    <col min="8966" max="8969" width="11" style="1" bestFit="1" customWidth="1"/>
    <col min="8970" max="8972" width="12.28515625" style="1" bestFit="1" customWidth="1"/>
    <col min="8973" max="8982" width="11" style="1" bestFit="1" customWidth="1"/>
    <col min="8983" max="8983" width="13.28515625" style="1" bestFit="1" customWidth="1"/>
    <col min="8984" max="8984" width="10" style="1" bestFit="1" customWidth="1"/>
    <col min="8985" max="8985" width="11" style="1" bestFit="1" customWidth="1"/>
    <col min="8986" max="9191" width="9" style="1"/>
    <col min="9192" max="9192" width="2.85546875" style="1" bestFit="1" customWidth="1"/>
    <col min="9193" max="9193" width="16.5703125" style="1" bestFit="1" customWidth="1"/>
    <col min="9194" max="9194" width="11.42578125" style="1" bestFit="1" customWidth="1"/>
    <col min="9195" max="9196" width="14.140625" style="1" bestFit="1" customWidth="1"/>
    <col min="9197" max="9197" width="11.42578125" style="1" bestFit="1" customWidth="1"/>
    <col min="9198" max="9201" width="12.42578125" style="1" bestFit="1" customWidth="1"/>
    <col min="9202" max="9221" width="13" style="1" bestFit="1" customWidth="1"/>
    <col min="9222" max="9225" width="11" style="1" bestFit="1" customWidth="1"/>
    <col min="9226" max="9228" width="12.28515625" style="1" bestFit="1" customWidth="1"/>
    <col min="9229" max="9238" width="11" style="1" bestFit="1" customWidth="1"/>
    <col min="9239" max="9239" width="13.28515625" style="1" bestFit="1" customWidth="1"/>
    <col min="9240" max="9240" width="10" style="1" bestFit="1" customWidth="1"/>
    <col min="9241" max="9241" width="11" style="1" bestFit="1" customWidth="1"/>
    <col min="9242" max="9447" width="9" style="1"/>
    <col min="9448" max="9448" width="2.85546875" style="1" bestFit="1" customWidth="1"/>
    <col min="9449" max="9449" width="16.5703125" style="1" bestFit="1" customWidth="1"/>
    <col min="9450" max="9450" width="11.42578125" style="1" bestFit="1" customWidth="1"/>
    <col min="9451" max="9452" width="14.140625" style="1" bestFit="1" customWidth="1"/>
    <col min="9453" max="9453" width="11.42578125" style="1" bestFit="1" customWidth="1"/>
    <col min="9454" max="9457" width="12.42578125" style="1" bestFit="1" customWidth="1"/>
    <col min="9458" max="9477" width="13" style="1" bestFit="1" customWidth="1"/>
    <col min="9478" max="9481" width="11" style="1" bestFit="1" customWidth="1"/>
    <col min="9482" max="9484" width="12.28515625" style="1" bestFit="1" customWidth="1"/>
    <col min="9485" max="9494" width="11" style="1" bestFit="1" customWidth="1"/>
    <col min="9495" max="9495" width="13.28515625" style="1" bestFit="1" customWidth="1"/>
    <col min="9496" max="9496" width="10" style="1" bestFit="1" customWidth="1"/>
    <col min="9497" max="9497" width="11" style="1" bestFit="1" customWidth="1"/>
    <col min="9498" max="9703" width="9" style="1"/>
    <col min="9704" max="9704" width="2.85546875" style="1" bestFit="1" customWidth="1"/>
    <col min="9705" max="9705" width="16.5703125" style="1" bestFit="1" customWidth="1"/>
    <col min="9706" max="9706" width="11.42578125" style="1" bestFit="1" customWidth="1"/>
    <col min="9707" max="9708" width="14.140625" style="1" bestFit="1" customWidth="1"/>
    <col min="9709" max="9709" width="11.42578125" style="1" bestFit="1" customWidth="1"/>
    <col min="9710" max="9713" width="12.42578125" style="1" bestFit="1" customWidth="1"/>
    <col min="9714" max="9733" width="13" style="1" bestFit="1" customWidth="1"/>
    <col min="9734" max="9737" width="11" style="1" bestFit="1" customWidth="1"/>
    <col min="9738" max="9740" width="12.28515625" style="1" bestFit="1" customWidth="1"/>
    <col min="9741" max="9750" width="11" style="1" bestFit="1" customWidth="1"/>
    <col min="9751" max="9751" width="13.28515625" style="1" bestFit="1" customWidth="1"/>
    <col min="9752" max="9752" width="10" style="1" bestFit="1" customWidth="1"/>
    <col min="9753" max="9753" width="11" style="1" bestFit="1" customWidth="1"/>
    <col min="9754" max="9959" width="9" style="1"/>
    <col min="9960" max="9960" width="2.85546875" style="1" bestFit="1" customWidth="1"/>
    <col min="9961" max="9961" width="16.5703125" style="1" bestFit="1" customWidth="1"/>
    <col min="9962" max="9962" width="11.42578125" style="1" bestFit="1" customWidth="1"/>
    <col min="9963" max="9964" width="14.140625" style="1" bestFit="1" customWidth="1"/>
    <col min="9965" max="9965" width="11.42578125" style="1" bestFit="1" customWidth="1"/>
    <col min="9966" max="9969" width="12.42578125" style="1" bestFit="1" customWidth="1"/>
    <col min="9970" max="9989" width="13" style="1" bestFit="1" customWidth="1"/>
    <col min="9990" max="9993" width="11" style="1" bestFit="1" customWidth="1"/>
    <col min="9994" max="9996" width="12.28515625" style="1" bestFit="1" customWidth="1"/>
    <col min="9997" max="10006" width="11" style="1" bestFit="1" customWidth="1"/>
    <col min="10007" max="10007" width="13.28515625" style="1" bestFit="1" customWidth="1"/>
    <col min="10008" max="10008" width="10" style="1" bestFit="1" customWidth="1"/>
    <col min="10009" max="10009" width="11" style="1" bestFit="1" customWidth="1"/>
    <col min="10010" max="10215" width="9" style="1"/>
    <col min="10216" max="10216" width="2.85546875" style="1" bestFit="1" customWidth="1"/>
    <col min="10217" max="10217" width="16.5703125" style="1" bestFit="1" customWidth="1"/>
    <col min="10218" max="10218" width="11.42578125" style="1" bestFit="1" customWidth="1"/>
    <col min="10219" max="10220" width="14.140625" style="1" bestFit="1" customWidth="1"/>
    <col min="10221" max="10221" width="11.42578125" style="1" bestFit="1" customWidth="1"/>
    <col min="10222" max="10225" width="12.42578125" style="1" bestFit="1" customWidth="1"/>
    <col min="10226" max="10245" width="13" style="1" bestFit="1" customWidth="1"/>
    <col min="10246" max="10249" width="11" style="1" bestFit="1" customWidth="1"/>
    <col min="10250" max="10252" width="12.28515625" style="1" bestFit="1" customWidth="1"/>
    <col min="10253" max="10262" width="11" style="1" bestFit="1" customWidth="1"/>
    <col min="10263" max="10263" width="13.28515625" style="1" bestFit="1" customWidth="1"/>
    <col min="10264" max="10264" width="10" style="1" bestFit="1" customWidth="1"/>
    <col min="10265" max="10265" width="11" style="1" bestFit="1" customWidth="1"/>
    <col min="10266" max="10471" width="9" style="1"/>
    <col min="10472" max="10472" width="2.85546875" style="1" bestFit="1" customWidth="1"/>
    <col min="10473" max="10473" width="16.5703125" style="1" bestFit="1" customWidth="1"/>
    <col min="10474" max="10474" width="11.42578125" style="1" bestFit="1" customWidth="1"/>
    <col min="10475" max="10476" width="14.140625" style="1" bestFit="1" customWidth="1"/>
    <col min="10477" max="10477" width="11.42578125" style="1" bestFit="1" customWidth="1"/>
    <col min="10478" max="10481" width="12.42578125" style="1" bestFit="1" customWidth="1"/>
    <col min="10482" max="10501" width="13" style="1" bestFit="1" customWidth="1"/>
    <col min="10502" max="10505" width="11" style="1" bestFit="1" customWidth="1"/>
    <col min="10506" max="10508" width="12.28515625" style="1" bestFit="1" customWidth="1"/>
    <col min="10509" max="10518" width="11" style="1" bestFit="1" customWidth="1"/>
    <col min="10519" max="10519" width="13.28515625" style="1" bestFit="1" customWidth="1"/>
    <col min="10520" max="10520" width="10" style="1" bestFit="1" customWidth="1"/>
    <col min="10521" max="10521" width="11" style="1" bestFit="1" customWidth="1"/>
    <col min="10522" max="10727" width="9" style="1"/>
    <col min="10728" max="10728" width="2.85546875" style="1" bestFit="1" customWidth="1"/>
    <col min="10729" max="10729" width="16.5703125" style="1" bestFit="1" customWidth="1"/>
    <col min="10730" max="10730" width="11.42578125" style="1" bestFit="1" customWidth="1"/>
    <col min="10731" max="10732" width="14.140625" style="1" bestFit="1" customWidth="1"/>
    <col min="10733" max="10733" width="11.42578125" style="1" bestFit="1" customWidth="1"/>
    <col min="10734" max="10737" width="12.42578125" style="1" bestFit="1" customWidth="1"/>
    <col min="10738" max="10757" width="13" style="1" bestFit="1" customWidth="1"/>
    <col min="10758" max="10761" width="11" style="1" bestFit="1" customWidth="1"/>
    <col min="10762" max="10764" width="12.28515625" style="1" bestFit="1" customWidth="1"/>
    <col min="10765" max="10774" width="11" style="1" bestFit="1" customWidth="1"/>
    <col min="10775" max="10775" width="13.28515625" style="1" bestFit="1" customWidth="1"/>
    <col min="10776" max="10776" width="10" style="1" bestFit="1" customWidth="1"/>
    <col min="10777" max="10777" width="11" style="1" bestFit="1" customWidth="1"/>
    <col min="10778" max="10983" width="9" style="1"/>
    <col min="10984" max="10984" width="2.85546875" style="1" bestFit="1" customWidth="1"/>
    <col min="10985" max="10985" width="16.5703125" style="1" bestFit="1" customWidth="1"/>
    <col min="10986" max="10986" width="11.42578125" style="1" bestFit="1" customWidth="1"/>
    <col min="10987" max="10988" width="14.140625" style="1" bestFit="1" customWidth="1"/>
    <col min="10989" max="10989" width="11.42578125" style="1" bestFit="1" customWidth="1"/>
    <col min="10990" max="10993" width="12.42578125" style="1" bestFit="1" customWidth="1"/>
    <col min="10994" max="11013" width="13" style="1" bestFit="1" customWidth="1"/>
    <col min="11014" max="11017" width="11" style="1" bestFit="1" customWidth="1"/>
    <col min="11018" max="11020" width="12.28515625" style="1" bestFit="1" customWidth="1"/>
    <col min="11021" max="11030" width="11" style="1" bestFit="1" customWidth="1"/>
    <col min="11031" max="11031" width="13.28515625" style="1" bestFit="1" customWidth="1"/>
    <col min="11032" max="11032" width="10" style="1" bestFit="1" customWidth="1"/>
    <col min="11033" max="11033" width="11" style="1" bestFit="1" customWidth="1"/>
    <col min="11034" max="11239" width="9" style="1"/>
    <col min="11240" max="11240" width="2.85546875" style="1" bestFit="1" customWidth="1"/>
    <col min="11241" max="11241" width="16.5703125" style="1" bestFit="1" customWidth="1"/>
    <col min="11242" max="11242" width="11.42578125" style="1" bestFit="1" customWidth="1"/>
    <col min="11243" max="11244" width="14.140625" style="1" bestFit="1" customWidth="1"/>
    <col min="11245" max="11245" width="11.42578125" style="1" bestFit="1" customWidth="1"/>
    <col min="11246" max="11249" width="12.42578125" style="1" bestFit="1" customWidth="1"/>
    <col min="11250" max="11269" width="13" style="1" bestFit="1" customWidth="1"/>
    <col min="11270" max="11273" width="11" style="1" bestFit="1" customWidth="1"/>
    <col min="11274" max="11276" width="12.28515625" style="1" bestFit="1" customWidth="1"/>
    <col min="11277" max="11286" width="11" style="1" bestFit="1" customWidth="1"/>
    <col min="11287" max="11287" width="13.28515625" style="1" bestFit="1" customWidth="1"/>
    <col min="11288" max="11288" width="10" style="1" bestFit="1" customWidth="1"/>
    <col min="11289" max="11289" width="11" style="1" bestFit="1" customWidth="1"/>
    <col min="11290" max="11495" width="9" style="1"/>
    <col min="11496" max="11496" width="2.85546875" style="1" bestFit="1" customWidth="1"/>
    <col min="11497" max="11497" width="16.5703125" style="1" bestFit="1" customWidth="1"/>
    <col min="11498" max="11498" width="11.42578125" style="1" bestFit="1" customWidth="1"/>
    <col min="11499" max="11500" width="14.140625" style="1" bestFit="1" customWidth="1"/>
    <col min="11501" max="11501" width="11.42578125" style="1" bestFit="1" customWidth="1"/>
    <col min="11502" max="11505" width="12.42578125" style="1" bestFit="1" customWidth="1"/>
    <col min="11506" max="11525" width="13" style="1" bestFit="1" customWidth="1"/>
    <col min="11526" max="11529" width="11" style="1" bestFit="1" customWidth="1"/>
    <col min="11530" max="11532" width="12.28515625" style="1" bestFit="1" customWidth="1"/>
    <col min="11533" max="11542" width="11" style="1" bestFit="1" customWidth="1"/>
    <col min="11543" max="11543" width="13.28515625" style="1" bestFit="1" customWidth="1"/>
    <col min="11544" max="11544" width="10" style="1" bestFit="1" customWidth="1"/>
    <col min="11545" max="11545" width="11" style="1" bestFit="1" customWidth="1"/>
    <col min="11546" max="11751" width="9" style="1"/>
    <col min="11752" max="11752" width="2.85546875" style="1" bestFit="1" customWidth="1"/>
    <col min="11753" max="11753" width="16.5703125" style="1" bestFit="1" customWidth="1"/>
    <col min="11754" max="11754" width="11.42578125" style="1" bestFit="1" customWidth="1"/>
    <col min="11755" max="11756" width="14.140625" style="1" bestFit="1" customWidth="1"/>
    <col min="11757" max="11757" width="11.42578125" style="1" bestFit="1" customWidth="1"/>
    <col min="11758" max="11761" width="12.42578125" style="1" bestFit="1" customWidth="1"/>
    <col min="11762" max="11781" width="13" style="1" bestFit="1" customWidth="1"/>
    <col min="11782" max="11785" width="11" style="1" bestFit="1" customWidth="1"/>
    <col min="11786" max="11788" width="12.28515625" style="1" bestFit="1" customWidth="1"/>
    <col min="11789" max="11798" width="11" style="1" bestFit="1" customWidth="1"/>
    <col min="11799" max="11799" width="13.28515625" style="1" bestFit="1" customWidth="1"/>
    <col min="11800" max="11800" width="10" style="1" bestFit="1" customWidth="1"/>
    <col min="11801" max="11801" width="11" style="1" bestFit="1" customWidth="1"/>
    <col min="11802" max="12007" width="9" style="1"/>
    <col min="12008" max="12008" width="2.85546875" style="1" bestFit="1" customWidth="1"/>
    <col min="12009" max="12009" width="16.5703125" style="1" bestFit="1" customWidth="1"/>
    <col min="12010" max="12010" width="11.42578125" style="1" bestFit="1" customWidth="1"/>
    <col min="12011" max="12012" width="14.140625" style="1" bestFit="1" customWidth="1"/>
    <col min="12013" max="12013" width="11.42578125" style="1" bestFit="1" customWidth="1"/>
    <col min="12014" max="12017" width="12.42578125" style="1" bestFit="1" customWidth="1"/>
    <col min="12018" max="12037" width="13" style="1" bestFit="1" customWidth="1"/>
    <col min="12038" max="12041" width="11" style="1" bestFit="1" customWidth="1"/>
    <col min="12042" max="12044" width="12.28515625" style="1" bestFit="1" customWidth="1"/>
    <col min="12045" max="12054" width="11" style="1" bestFit="1" customWidth="1"/>
    <col min="12055" max="12055" width="13.28515625" style="1" bestFit="1" customWidth="1"/>
    <col min="12056" max="12056" width="10" style="1" bestFit="1" customWidth="1"/>
    <col min="12057" max="12057" width="11" style="1" bestFit="1" customWidth="1"/>
    <col min="12058" max="12263" width="9" style="1"/>
    <col min="12264" max="12264" width="2.85546875" style="1" bestFit="1" customWidth="1"/>
    <col min="12265" max="12265" width="16.5703125" style="1" bestFit="1" customWidth="1"/>
    <col min="12266" max="12266" width="11.42578125" style="1" bestFit="1" customWidth="1"/>
    <col min="12267" max="12268" width="14.140625" style="1" bestFit="1" customWidth="1"/>
    <col min="12269" max="12269" width="11.42578125" style="1" bestFit="1" customWidth="1"/>
    <col min="12270" max="12273" width="12.42578125" style="1" bestFit="1" customWidth="1"/>
    <col min="12274" max="12293" width="13" style="1" bestFit="1" customWidth="1"/>
    <col min="12294" max="12297" width="11" style="1" bestFit="1" customWidth="1"/>
    <col min="12298" max="12300" width="12.28515625" style="1" bestFit="1" customWidth="1"/>
    <col min="12301" max="12310" width="11" style="1" bestFit="1" customWidth="1"/>
    <col min="12311" max="12311" width="13.28515625" style="1" bestFit="1" customWidth="1"/>
    <col min="12312" max="12312" width="10" style="1" bestFit="1" customWidth="1"/>
    <col min="12313" max="12313" width="11" style="1" bestFit="1" customWidth="1"/>
    <col min="12314" max="12519" width="9" style="1"/>
    <col min="12520" max="12520" width="2.85546875" style="1" bestFit="1" customWidth="1"/>
    <col min="12521" max="12521" width="16.5703125" style="1" bestFit="1" customWidth="1"/>
    <col min="12522" max="12522" width="11.42578125" style="1" bestFit="1" customWidth="1"/>
    <col min="12523" max="12524" width="14.140625" style="1" bestFit="1" customWidth="1"/>
    <col min="12525" max="12525" width="11.42578125" style="1" bestFit="1" customWidth="1"/>
    <col min="12526" max="12529" width="12.42578125" style="1" bestFit="1" customWidth="1"/>
    <col min="12530" max="12549" width="13" style="1" bestFit="1" customWidth="1"/>
    <col min="12550" max="12553" width="11" style="1" bestFit="1" customWidth="1"/>
    <col min="12554" max="12556" width="12.28515625" style="1" bestFit="1" customWidth="1"/>
    <col min="12557" max="12566" width="11" style="1" bestFit="1" customWidth="1"/>
    <col min="12567" max="12567" width="13.28515625" style="1" bestFit="1" customWidth="1"/>
    <col min="12568" max="12568" width="10" style="1" bestFit="1" customWidth="1"/>
    <col min="12569" max="12569" width="11" style="1" bestFit="1" customWidth="1"/>
    <col min="12570" max="12775" width="9" style="1"/>
    <col min="12776" max="12776" width="2.85546875" style="1" bestFit="1" customWidth="1"/>
    <col min="12777" max="12777" width="16.5703125" style="1" bestFit="1" customWidth="1"/>
    <col min="12778" max="12778" width="11.42578125" style="1" bestFit="1" customWidth="1"/>
    <col min="12779" max="12780" width="14.140625" style="1" bestFit="1" customWidth="1"/>
    <col min="12781" max="12781" width="11.42578125" style="1" bestFit="1" customWidth="1"/>
    <col min="12782" max="12785" width="12.42578125" style="1" bestFit="1" customWidth="1"/>
    <col min="12786" max="12805" width="13" style="1" bestFit="1" customWidth="1"/>
    <col min="12806" max="12809" width="11" style="1" bestFit="1" customWidth="1"/>
    <col min="12810" max="12812" width="12.28515625" style="1" bestFit="1" customWidth="1"/>
    <col min="12813" max="12822" width="11" style="1" bestFit="1" customWidth="1"/>
    <col min="12823" max="12823" width="13.28515625" style="1" bestFit="1" customWidth="1"/>
    <col min="12824" max="12824" width="10" style="1" bestFit="1" customWidth="1"/>
    <col min="12825" max="12825" width="11" style="1" bestFit="1" customWidth="1"/>
    <col min="12826" max="13031" width="9" style="1"/>
    <col min="13032" max="13032" width="2.85546875" style="1" bestFit="1" customWidth="1"/>
    <col min="13033" max="13033" width="16.5703125" style="1" bestFit="1" customWidth="1"/>
    <col min="13034" max="13034" width="11.42578125" style="1" bestFit="1" customWidth="1"/>
    <col min="13035" max="13036" width="14.140625" style="1" bestFit="1" customWidth="1"/>
    <col min="13037" max="13037" width="11.42578125" style="1" bestFit="1" customWidth="1"/>
    <col min="13038" max="13041" width="12.42578125" style="1" bestFit="1" customWidth="1"/>
    <col min="13042" max="13061" width="13" style="1" bestFit="1" customWidth="1"/>
    <col min="13062" max="13065" width="11" style="1" bestFit="1" customWidth="1"/>
    <col min="13066" max="13068" width="12.28515625" style="1" bestFit="1" customWidth="1"/>
    <col min="13069" max="13078" width="11" style="1" bestFit="1" customWidth="1"/>
    <col min="13079" max="13079" width="13.28515625" style="1" bestFit="1" customWidth="1"/>
    <col min="13080" max="13080" width="10" style="1" bestFit="1" customWidth="1"/>
    <col min="13081" max="13081" width="11" style="1" bestFit="1" customWidth="1"/>
    <col min="13082" max="13287" width="9" style="1"/>
    <col min="13288" max="13288" width="2.85546875" style="1" bestFit="1" customWidth="1"/>
    <col min="13289" max="13289" width="16.5703125" style="1" bestFit="1" customWidth="1"/>
    <col min="13290" max="13290" width="11.42578125" style="1" bestFit="1" customWidth="1"/>
    <col min="13291" max="13292" width="14.140625" style="1" bestFit="1" customWidth="1"/>
    <col min="13293" max="13293" width="11.42578125" style="1" bestFit="1" customWidth="1"/>
    <col min="13294" max="13297" width="12.42578125" style="1" bestFit="1" customWidth="1"/>
    <col min="13298" max="13317" width="13" style="1" bestFit="1" customWidth="1"/>
    <col min="13318" max="13321" width="11" style="1" bestFit="1" customWidth="1"/>
    <col min="13322" max="13324" width="12.28515625" style="1" bestFit="1" customWidth="1"/>
    <col min="13325" max="13334" width="11" style="1" bestFit="1" customWidth="1"/>
    <col min="13335" max="13335" width="13.28515625" style="1" bestFit="1" customWidth="1"/>
    <col min="13336" max="13336" width="10" style="1" bestFit="1" customWidth="1"/>
    <col min="13337" max="13337" width="11" style="1" bestFit="1" customWidth="1"/>
    <col min="13338" max="13543" width="9" style="1"/>
    <col min="13544" max="13544" width="2.85546875" style="1" bestFit="1" customWidth="1"/>
    <col min="13545" max="13545" width="16.5703125" style="1" bestFit="1" customWidth="1"/>
    <col min="13546" max="13546" width="11.42578125" style="1" bestFit="1" customWidth="1"/>
    <col min="13547" max="13548" width="14.140625" style="1" bestFit="1" customWidth="1"/>
    <col min="13549" max="13549" width="11.42578125" style="1" bestFit="1" customWidth="1"/>
    <col min="13550" max="13553" width="12.42578125" style="1" bestFit="1" customWidth="1"/>
    <col min="13554" max="13573" width="13" style="1" bestFit="1" customWidth="1"/>
    <col min="13574" max="13577" width="11" style="1" bestFit="1" customWidth="1"/>
    <col min="13578" max="13580" width="12.28515625" style="1" bestFit="1" customWidth="1"/>
    <col min="13581" max="13590" width="11" style="1" bestFit="1" customWidth="1"/>
    <col min="13591" max="13591" width="13.28515625" style="1" bestFit="1" customWidth="1"/>
    <col min="13592" max="13592" width="10" style="1" bestFit="1" customWidth="1"/>
    <col min="13593" max="13593" width="11" style="1" bestFit="1" customWidth="1"/>
    <col min="13594" max="13799" width="9" style="1"/>
    <col min="13800" max="13800" width="2.85546875" style="1" bestFit="1" customWidth="1"/>
    <col min="13801" max="13801" width="16.5703125" style="1" bestFit="1" customWidth="1"/>
    <col min="13802" max="13802" width="11.42578125" style="1" bestFit="1" customWidth="1"/>
    <col min="13803" max="13804" width="14.140625" style="1" bestFit="1" customWidth="1"/>
    <col min="13805" max="13805" width="11.42578125" style="1" bestFit="1" customWidth="1"/>
    <col min="13806" max="13809" width="12.42578125" style="1" bestFit="1" customWidth="1"/>
    <col min="13810" max="13829" width="13" style="1" bestFit="1" customWidth="1"/>
    <col min="13830" max="13833" width="11" style="1" bestFit="1" customWidth="1"/>
    <col min="13834" max="13836" width="12.28515625" style="1" bestFit="1" customWidth="1"/>
    <col min="13837" max="13846" width="11" style="1" bestFit="1" customWidth="1"/>
    <col min="13847" max="13847" width="13.28515625" style="1" bestFit="1" customWidth="1"/>
    <col min="13848" max="13848" width="10" style="1" bestFit="1" customWidth="1"/>
    <col min="13849" max="13849" width="11" style="1" bestFit="1" customWidth="1"/>
    <col min="13850" max="14055" width="9" style="1"/>
    <col min="14056" max="14056" width="2.85546875" style="1" bestFit="1" customWidth="1"/>
    <col min="14057" max="14057" width="16.5703125" style="1" bestFit="1" customWidth="1"/>
    <col min="14058" max="14058" width="11.42578125" style="1" bestFit="1" customWidth="1"/>
    <col min="14059" max="14060" width="14.140625" style="1" bestFit="1" customWidth="1"/>
    <col min="14061" max="14061" width="11.42578125" style="1" bestFit="1" customWidth="1"/>
    <col min="14062" max="14065" width="12.42578125" style="1" bestFit="1" customWidth="1"/>
    <col min="14066" max="14085" width="13" style="1" bestFit="1" customWidth="1"/>
    <col min="14086" max="14089" width="11" style="1" bestFit="1" customWidth="1"/>
    <col min="14090" max="14092" width="12.28515625" style="1" bestFit="1" customWidth="1"/>
    <col min="14093" max="14102" width="11" style="1" bestFit="1" customWidth="1"/>
    <col min="14103" max="14103" width="13.28515625" style="1" bestFit="1" customWidth="1"/>
    <col min="14104" max="14104" width="10" style="1" bestFit="1" customWidth="1"/>
    <col min="14105" max="14105" width="11" style="1" bestFit="1" customWidth="1"/>
    <col min="14106" max="14311" width="9" style="1"/>
    <col min="14312" max="14312" width="2.85546875" style="1" bestFit="1" customWidth="1"/>
    <col min="14313" max="14313" width="16.5703125" style="1" bestFit="1" customWidth="1"/>
    <col min="14314" max="14314" width="11.42578125" style="1" bestFit="1" customWidth="1"/>
    <col min="14315" max="14316" width="14.140625" style="1" bestFit="1" customWidth="1"/>
    <col min="14317" max="14317" width="11.42578125" style="1" bestFit="1" customWidth="1"/>
    <col min="14318" max="14321" width="12.42578125" style="1" bestFit="1" customWidth="1"/>
    <col min="14322" max="14341" width="13" style="1" bestFit="1" customWidth="1"/>
    <col min="14342" max="14345" width="11" style="1" bestFit="1" customWidth="1"/>
    <col min="14346" max="14348" width="12.28515625" style="1" bestFit="1" customWidth="1"/>
    <col min="14349" max="14358" width="11" style="1" bestFit="1" customWidth="1"/>
    <col min="14359" max="14359" width="13.28515625" style="1" bestFit="1" customWidth="1"/>
    <col min="14360" max="14360" width="10" style="1" bestFit="1" customWidth="1"/>
    <col min="14361" max="14361" width="11" style="1" bestFit="1" customWidth="1"/>
    <col min="14362" max="14567" width="9" style="1"/>
    <col min="14568" max="14568" width="2.85546875" style="1" bestFit="1" customWidth="1"/>
    <col min="14569" max="14569" width="16.5703125" style="1" bestFit="1" customWidth="1"/>
    <col min="14570" max="14570" width="11.42578125" style="1" bestFit="1" customWidth="1"/>
    <col min="14571" max="14572" width="14.140625" style="1" bestFit="1" customWidth="1"/>
    <col min="14573" max="14573" width="11.42578125" style="1" bestFit="1" customWidth="1"/>
    <col min="14574" max="14577" width="12.42578125" style="1" bestFit="1" customWidth="1"/>
    <col min="14578" max="14597" width="13" style="1" bestFit="1" customWidth="1"/>
    <col min="14598" max="14601" width="11" style="1" bestFit="1" customWidth="1"/>
    <col min="14602" max="14604" width="12.28515625" style="1" bestFit="1" customWidth="1"/>
    <col min="14605" max="14614" width="11" style="1" bestFit="1" customWidth="1"/>
    <col min="14615" max="14615" width="13.28515625" style="1" bestFit="1" customWidth="1"/>
    <col min="14616" max="14616" width="10" style="1" bestFit="1" customWidth="1"/>
    <col min="14617" max="14617" width="11" style="1" bestFit="1" customWidth="1"/>
    <col min="14618" max="14823" width="9" style="1"/>
    <col min="14824" max="14824" width="2.85546875" style="1" bestFit="1" customWidth="1"/>
    <col min="14825" max="14825" width="16.5703125" style="1" bestFit="1" customWidth="1"/>
    <col min="14826" max="14826" width="11.42578125" style="1" bestFit="1" customWidth="1"/>
    <col min="14827" max="14828" width="14.140625" style="1" bestFit="1" customWidth="1"/>
    <col min="14829" max="14829" width="11.42578125" style="1" bestFit="1" customWidth="1"/>
    <col min="14830" max="14833" width="12.42578125" style="1" bestFit="1" customWidth="1"/>
    <col min="14834" max="14853" width="13" style="1" bestFit="1" customWidth="1"/>
    <col min="14854" max="14857" width="11" style="1" bestFit="1" customWidth="1"/>
    <col min="14858" max="14860" width="12.28515625" style="1" bestFit="1" customWidth="1"/>
    <col min="14861" max="14870" width="11" style="1" bestFit="1" customWidth="1"/>
    <col min="14871" max="14871" width="13.28515625" style="1" bestFit="1" customWidth="1"/>
    <col min="14872" max="14872" width="10" style="1" bestFit="1" customWidth="1"/>
    <col min="14873" max="14873" width="11" style="1" bestFit="1" customWidth="1"/>
    <col min="14874" max="15079" width="9" style="1"/>
    <col min="15080" max="15080" width="2.85546875" style="1" bestFit="1" customWidth="1"/>
    <col min="15081" max="15081" width="16.5703125" style="1" bestFit="1" customWidth="1"/>
    <col min="15082" max="15082" width="11.42578125" style="1" bestFit="1" customWidth="1"/>
    <col min="15083" max="15084" width="14.140625" style="1" bestFit="1" customWidth="1"/>
    <col min="15085" max="15085" width="11.42578125" style="1" bestFit="1" customWidth="1"/>
    <col min="15086" max="15089" width="12.42578125" style="1" bestFit="1" customWidth="1"/>
    <col min="15090" max="15109" width="13" style="1" bestFit="1" customWidth="1"/>
    <col min="15110" max="15113" width="11" style="1" bestFit="1" customWidth="1"/>
    <col min="15114" max="15116" width="12.28515625" style="1" bestFit="1" customWidth="1"/>
    <col min="15117" max="15126" width="11" style="1" bestFit="1" customWidth="1"/>
    <col min="15127" max="15127" width="13.28515625" style="1" bestFit="1" customWidth="1"/>
    <col min="15128" max="15128" width="10" style="1" bestFit="1" customWidth="1"/>
    <col min="15129" max="15129" width="11" style="1" bestFit="1" customWidth="1"/>
    <col min="15130" max="15335" width="9" style="1"/>
    <col min="15336" max="15336" width="2.85546875" style="1" bestFit="1" customWidth="1"/>
    <col min="15337" max="15337" width="16.5703125" style="1" bestFit="1" customWidth="1"/>
    <col min="15338" max="15338" width="11.42578125" style="1" bestFit="1" customWidth="1"/>
    <col min="15339" max="15340" width="14.140625" style="1" bestFit="1" customWidth="1"/>
    <col min="15341" max="15341" width="11.42578125" style="1" bestFit="1" customWidth="1"/>
    <col min="15342" max="15345" width="12.42578125" style="1" bestFit="1" customWidth="1"/>
    <col min="15346" max="15365" width="13" style="1" bestFit="1" customWidth="1"/>
    <col min="15366" max="15369" width="11" style="1" bestFit="1" customWidth="1"/>
    <col min="15370" max="15372" width="12.28515625" style="1" bestFit="1" customWidth="1"/>
    <col min="15373" max="15382" width="11" style="1" bestFit="1" customWidth="1"/>
    <col min="15383" max="15383" width="13.28515625" style="1" bestFit="1" customWidth="1"/>
    <col min="15384" max="15384" width="10" style="1" bestFit="1" customWidth="1"/>
    <col min="15385" max="15385" width="11" style="1" bestFit="1" customWidth="1"/>
    <col min="15386" max="15591" width="9" style="1"/>
    <col min="15592" max="15592" width="2.85546875" style="1" bestFit="1" customWidth="1"/>
    <col min="15593" max="15593" width="16.5703125" style="1" bestFit="1" customWidth="1"/>
    <col min="15594" max="15594" width="11.42578125" style="1" bestFit="1" customWidth="1"/>
    <col min="15595" max="15596" width="14.140625" style="1" bestFit="1" customWidth="1"/>
    <col min="15597" max="15597" width="11.42578125" style="1" bestFit="1" customWidth="1"/>
    <col min="15598" max="15601" width="12.42578125" style="1" bestFit="1" customWidth="1"/>
    <col min="15602" max="15621" width="13" style="1" bestFit="1" customWidth="1"/>
    <col min="15622" max="15625" width="11" style="1" bestFit="1" customWidth="1"/>
    <col min="15626" max="15628" width="12.28515625" style="1" bestFit="1" customWidth="1"/>
    <col min="15629" max="15638" width="11" style="1" bestFit="1" customWidth="1"/>
    <col min="15639" max="15639" width="13.28515625" style="1" bestFit="1" customWidth="1"/>
    <col min="15640" max="15640" width="10" style="1" bestFit="1" customWidth="1"/>
    <col min="15641" max="15641" width="11" style="1" bestFit="1" customWidth="1"/>
    <col min="15642" max="15847" width="9" style="1"/>
    <col min="15848" max="15848" width="2.85546875" style="1" bestFit="1" customWidth="1"/>
    <col min="15849" max="15849" width="16.5703125" style="1" bestFit="1" customWidth="1"/>
    <col min="15850" max="15850" width="11.42578125" style="1" bestFit="1" customWidth="1"/>
    <col min="15851" max="15852" width="14.140625" style="1" bestFit="1" customWidth="1"/>
    <col min="15853" max="15853" width="11.42578125" style="1" bestFit="1" customWidth="1"/>
    <col min="15854" max="15857" width="12.42578125" style="1" bestFit="1" customWidth="1"/>
    <col min="15858" max="15877" width="13" style="1" bestFit="1" customWidth="1"/>
    <col min="15878" max="15881" width="11" style="1" bestFit="1" customWidth="1"/>
    <col min="15882" max="15884" width="12.28515625" style="1" bestFit="1" customWidth="1"/>
    <col min="15885" max="15894" width="11" style="1" bestFit="1" customWidth="1"/>
    <col min="15895" max="15895" width="13.28515625" style="1" bestFit="1" customWidth="1"/>
    <col min="15896" max="15896" width="10" style="1" bestFit="1" customWidth="1"/>
    <col min="15897" max="15897" width="11" style="1" bestFit="1" customWidth="1"/>
    <col min="15898" max="16103" width="9" style="1"/>
    <col min="16104" max="16104" width="2.85546875" style="1" bestFit="1" customWidth="1"/>
    <col min="16105" max="16105" width="16.5703125" style="1" bestFit="1" customWidth="1"/>
    <col min="16106" max="16106" width="11.42578125" style="1" bestFit="1" customWidth="1"/>
    <col min="16107" max="16108" width="14.140625" style="1" bestFit="1" customWidth="1"/>
    <col min="16109" max="16109" width="11.42578125" style="1" bestFit="1" customWidth="1"/>
    <col min="16110" max="16113" width="12.42578125" style="1" bestFit="1" customWidth="1"/>
    <col min="16114" max="16133" width="13" style="1" bestFit="1" customWidth="1"/>
    <col min="16134" max="16137" width="11" style="1" bestFit="1" customWidth="1"/>
    <col min="16138" max="16140" width="12.28515625" style="1" bestFit="1" customWidth="1"/>
    <col min="16141" max="16150" width="11" style="1" bestFit="1" customWidth="1"/>
    <col min="16151" max="16151" width="13.285156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/>
    <row r="3" spans="1:25" ht="17.25">
      <c r="A3" s="53">
        <v>45717</v>
      </c>
      <c r="B3" s="53"/>
      <c r="C3" s="40" t="s">
        <v>225</v>
      </c>
    </row>
    <row r="4" spans="1:25" s="3" customFormat="1">
      <c r="A4" s="46" t="s">
        <v>1</v>
      </c>
      <c r="B4" s="46"/>
      <c r="C4" s="42" t="s">
        <v>10</v>
      </c>
      <c r="D4" s="42" t="s">
        <v>11</v>
      </c>
      <c r="E4" s="42" t="s">
        <v>12</v>
      </c>
      <c r="F4" s="42" t="s">
        <v>13</v>
      </c>
      <c r="G4" s="42" t="s">
        <v>14</v>
      </c>
      <c r="H4" s="42" t="s">
        <v>15</v>
      </c>
      <c r="I4" s="42" t="s">
        <v>16</v>
      </c>
      <c r="J4" s="42" t="s">
        <v>17</v>
      </c>
      <c r="K4" s="42" t="s">
        <v>18</v>
      </c>
      <c r="L4" s="42" t="s">
        <v>19</v>
      </c>
      <c r="M4" s="42" t="s">
        <v>20</v>
      </c>
      <c r="N4" s="42" t="s">
        <v>21</v>
      </c>
      <c r="O4" s="42" t="s">
        <v>22</v>
      </c>
      <c r="P4" s="42" t="s">
        <v>23</v>
      </c>
      <c r="Q4" s="42" t="s">
        <v>24</v>
      </c>
      <c r="R4" s="42" t="s">
        <v>25</v>
      </c>
      <c r="S4" s="42" t="s">
        <v>26</v>
      </c>
      <c r="T4" s="42" t="s">
        <v>27</v>
      </c>
      <c r="U4" s="42" t="s">
        <v>28</v>
      </c>
      <c r="V4" s="42" t="s">
        <v>29</v>
      </c>
      <c r="W4" s="43" t="s">
        <v>46</v>
      </c>
      <c r="X4" s="43" t="s">
        <v>47</v>
      </c>
      <c r="Y4" s="2" t="s">
        <v>48</v>
      </c>
    </row>
    <row r="5" spans="1:25" s="3" customFormat="1" hidden="1">
      <c r="A5" s="50" t="s">
        <v>49</v>
      </c>
      <c r="B5" s="54"/>
      <c r="C5" s="42">
        <v>2</v>
      </c>
      <c r="D5" s="42">
        <v>2</v>
      </c>
      <c r="E5" s="42">
        <v>2</v>
      </c>
      <c r="F5" s="42">
        <v>2</v>
      </c>
      <c r="G5" s="42">
        <v>2</v>
      </c>
      <c r="H5" s="42">
        <v>2</v>
      </c>
      <c r="I5" s="42">
        <v>2</v>
      </c>
      <c r="J5" s="42">
        <v>2</v>
      </c>
      <c r="K5" s="42">
        <v>2</v>
      </c>
      <c r="L5" s="42">
        <v>2</v>
      </c>
      <c r="M5" s="42">
        <v>2</v>
      </c>
      <c r="N5" s="42">
        <v>2</v>
      </c>
      <c r="O5" s="42">
        <v>2</v>
      </c>
      <c r="P5" s="42">
        <v>2</v>
      </c>
      <c r="Q5" s="42">
        <v>2</v>
      </c>
      <c r="R5" s="42">
        <v>2</v>
      </c>
      <c r="S5" s="42">
        <v>2</v>
      </c>
      <c r="T5" s="42">
        <v>2</v>
      </c>
      <c r="U5" s="42">
        <v>2</v>
      </c>
      <c r="V5" s="42">
        <v>2</v>
      </c>
      <c r="W5" s="43"/>
      <c r="X5" s="43"/>
      <c r="Y5" s="2"/>
    </row>
    <row r="6" spans="1:25" s="3" customFormat="1" hidden="1">
      <c r="A6" s="50" t="s">
        <v>50</v>
      </c>
      <c r="B6" s="54"/>
      <c r="C6" s="42" t="s">
        <v>52</v>
      </c>
      <c r="D6" s="42" t="s">
        <v>52</v>
      </c>
      <c r="E6" s="42" t="s">
        <v>52</v>
      </c>
      <c r="F6" s="42" t="s">
        <v>52</v>
      </c>
      <c r="G6" s="42" t="s">
        <v>52</v>
      </c>
      <c r="H6" s="42" t="s">
        <v>52</v>
      </c>
      <c r="I6" s="42" t="s">
        <v>52</v>
      </c>
      <c r="J6" s="42" t="s">
        <v>52</v>
      </c>
      <c r="K6" s="42" t="s">
        <v>52</v>
      </c>
      <c r="L6" s="42" t="s">
        <v>52</v>
      </c>
      <c r="M6" s="42" t="s">
        <v>52</v>
      </c>
      <c r="N6" s="42" t="s">
        <v>52</v>
      </c>
      <c r="O6" s="42" t="s">
        <v>52</v>
      </c>
      <c r="P6" s="42" t="s">
        <v>52</v>
      </c>
      <c r="Q6" s="42" t="s">
        <v>52</v>
      </c>
      <c r="R6" s="42" t="s">
        <v>52</v>
      </c>
      <c r="S6" s="42" t="s">
        <v>52</v>
      </c>
      <c r="T6" s="42" t="s">
        <v>52</v>
      </c>
      <c r="U6" s="42" t="s">
        <v>52</v>
      </c>
      <c r="V6" s="42" t="s">
        <v>52</v>
      </c>
      <c r="W6" s="43"/>
      <c r="X6" s="43"/>
      <c r="Y6" s="2"/>
    </row>
    <row r="7" spans="1:25" s="3" customFormat="1">
      <c r="A7" s="52" t="s">
        <v>56</v>
      </c>
      <c r="B7" s="52"/>
      <c r="C7" s="41" t="s">
        <v>63</v>
      </c>
      <c r="D7" s="41" t="s">
        <v>64</v>
      </c>
      <c r="E7" s="41" t="s">
        <v>65</v>
      </c>
      <c r="F7" s="41" t="s">
        <v>66</v>
      </c>
      <c r="G7" s="41" t="s">
        <v>67</v>
      </c>
      <c r="H7" s="41" t="s">
        <v>68</v>
      </c>
      <c r="I7" s="41" t="s">
        <v>69</v>
      </c>
      <c r="J7" s="41" t="s">
        <v>70</v>
      </c>
      <c r="K7" s="41" t="s">
        <v>71</v>
      </c>
      <c r="L7" s="41" t="s">
        <v>72</v>
      </c>
      <c r="M7" s="38" t="s">
        <v>73</v>
      </c>
      <c r="N7" s="38" t="s">
        <v>74</v>
      </c>
      <c r="O7" s="38" t="s">
        <v>75</v>
      </c>
      <c r="P7" s="41" t="s">
        <v>76</v>
      </c>
      <c r="Q7" s="41" t="s">
        <v>77</v>
      </c>
      <c r="R7" s="41"/>
      <c r="S7" s="41"/>
      <c r="T7" s="41"/>
      <c r="U7" s="41"/>
      <c r="V7" s="41"/>
      <c r="W7" s="44"/>
      <c r="X7" s="44"/>
      <c r="Y7" s="4"/>
    </row>
    <row r="8" spans="1:25" s="3" customFormat="1">
      <c r="A8" s="52" t="s">
        <v>89</v>
      </c>
      <c r="B8" s="52"/>
      <c r="C8" s="41" t="s">
        <v>97</v>
      </c>
      <c r="D8" s="41" t="s">
        <v>98</v>
      </c>
      <c r="E8" s="41" t="s">
        <v>99</v>
      </c>
      <c r="F8" s="41" t="s">
        <v>91</v>
      </c>
      <c r="G8" s="41" t="s">
        <v>100</v>
      </c>
      <c r="H8" s="41" t="s">
        <v>101</v>
      </c>
      <c r="I8" s="41" t="s">
        <v>102</v>
      </c>
      <c r="J8" s="41" t="s">
        <v>103</v>
      </c>
      <c r="K8" s="41" t="s">
        <v>104</v>
      </c>
      <c r="L8" s="41" t="s">
        <v>105</v>
      </c>
      <c r="M8" s="41" t="s">
        <v>106</v>
      </c>
      <c r="N8" s="41" t="s">
        <v>107</v>
      </c>
      <c r="O8" s="41" t="s">
        <v>101</v>
      </c>
      <c r="P8" s="41" t="s">
        <v>108</v>
      </c>
      <c r="Q8" s="41" t="s">
        <v>109</v>
      </c>
      <c r="R8" s="41"/>
      <c r="S8" s="41"/>
      <c r="T8" s="41" t="s">
        <v>110</v>
      </c>
      <c r="U8" s="41" t="s">
        <v>111</v>
      </c>
      <c r="V8" s="41" t="s">
        <v>112</v>
      </c>
      <c r="W8" s="44"/>
      <c r="X8" s="44"/>
      <c r="Y8" s="4"/>
    </row>
    <row r="9" spans="1:25">
      <c r="A9" s="48" t="s">
        <v>125</v>
      </c>
      <c r="B9" s="49"/>
      <c r="C9" s="5">
        <v>8</v>
      </c>
      <c r="D9" s="5">
        <v>10</v>
      </c>
      <c r="E9" s="5">
        <v>10</v>
      </c>
      <c r="F9" s="5">
        <v>10</v>
      </c>
      <c r="G9" s="5">
        <v>10</v>
      </c>
      <c r="H9" s="5">
        <v>10</v>
      </c>
      <c r="I9" s="5">
        <v>14</v>
      </c>
      <c r="J9" s="5">
        <v>10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/>
      <c r="S9" s="5"/>
      <c r="T9" s="5">
        <v>8</v>
      </c>
      <c r="U9" s="5">
        <v>6</v>
      </c>
      <c r="V9" s="5">
        <v>10</v>
      </c>
      <c r="W9" s="6">
        <f>SUM(C9:V9)</f>
        <v>176</v>
      </c>
      <c r="X9" s="6"/>
      <c r="Y9" s="7"/>
    </row>
    <row r="10" spans="1:25">
      <c r="A10" s="46" t="s">
        <v>126</v>
      </c>
      <c r="B10" s="46"/>
      <c r="C10" s="42" t="s">
        <v>129</v>
      </c>
      <c r="D10" s="42" t="s">
        <v>130</v>
      </c>
      <c r="E10" s="42" t="s">
        <v>130</v>
      </c>
      <c r="F10" s="42" t="s">
        <v>130</v>
      </c>
      <c r="G10" s="42" t="s">
        <v>130</v>
      </c>
      <c r="H10" s="42" t="s">
        <v>130</v>
      </c>
      <c r="I10" s="42" t="s">
        <v>130</v>
      </c>
      <c r="J10" s="42" t="s">
        <v>130</v>
      </c>
      <c r="K10" s="42" t="s">
        <v>130</v>
      </c>
      <c r="L10" s="42" t="s">
        <v>130</v>
      </c>
      <c r="M10" s="42" t="s">
        <v>131</v>
      </c>
      <c r="N10" s="42" t="s">
        <v>131</v>
      </c>
      <c r="O10" s="42" t="s">
        <v>131</v>
      </c>
      <c r="P10" s="42" t="s">
        <v>131</v>
      </c>
      <c r="Q10" s="42" t="s">
        <v>132</v>
      </c>
      <c r="R10" s="42" t="s">
        <v>133</v>
      </c>
      <c r="S10" s="42" t="s">
        <v>134</v>
      </c>
      <c r="T10" s="8"/>
      <c r="U10" s="8"/>
      <c r="V10" s="8"/>
      <c r="W10" s="9"/>
      <c r="X10" s="9"/>
      <c r="Y10" s="10"/>
    </row>
    <row r="11" spans="1:25">
      <c r="A11" s="46" t="s">
        <v>137</v>
      </c>
      <c r="B11" s="46"/>
      <c r="C11" s="11">
        <v>4441</v>
      </c>
      <c r="D11" s="11">
        <v>5523.7</v>
      </c>
      <c r="E11" s="11">
        <v>5820.1</v>
      </c>
      <c r="F11" s="11">
        <v>6346</v>
      </c>
      <c r="G11" s="11">
        <v>1289.3999999999999</v>
      </c>
      <c r="H11" s="11">
        <v>6050.7999999999993</v>
      </c>
      <c r="I11" s="11">
        <v>5178.8</v>
      </c>
      <c r="J11" s="11">
        <v>5404.3</v>
      </c>
      <c r="K11" s="11">
        <v>5776.5</v>
      </c>
      <c r="L11" s="11">
        <v>5799</v>
      </c>
      <c r="M11" s="11">
        <v>7024.9</v>
      </c>
      <c r="N11" s="11">
        <v>8579.5</v>
      </c>
      <c r="O11" s="11">
        <v>8693.8000000000011</v>
      </c>
      <c r="P11" s="11">
        <v>59</v>
      </c>
      <c r="Q11" s="11">
        <v>7075.5999999999995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3">
        <f>SUM(C11:V11)</f>
        <v>83062.400000000009</v>
      </c>
      <c r="X11" s="13">
        <f t="shared" ref="X11:X42" si="0">AVERAGE(C11:V11)</f>
        <v>4153.1200000000008</v>
      </c>
      <c r="Y11" s="10"/>
    </row>
    <row r="12" spans="1:25">
      <c r="A12" s="50" t="s">
        <v>138</v>
      </c>
      <c r="B12" s="51"/>
      <c r="C12" s="14">
        <v>10.493055555555555</v>
      </c>
      <c r="D12" s="14">
        <v>10.260416666666666</v>
      </c>
      <c r="E12" s="14">
        <v>10.516666666666667</v>
      </c>
      <c r="F12" s="14">
        <v>10.439583333333333</v>
      </c>
      <c r="G12" s="14">
        <v>3.307638888888889</v>
      </c>
      <c r="H12" s="14">
        <v>10.186111111111112</v>
      </c>
      <c r="I12" s="14">
        <v>7.3361111111111112</v>
      </c>
      <c r="J12" s="14">
        <v>10.159722222222221</v>
      </c>
      <c r="K12" s="14">
        <v>10.584027777777777</v>
      </c>
      <c r="L12" s="14">
        <v>9.188194444444445</v>
      </c>
      <c r="M12" s="14">
        <v>9.3104166666666668</v>
      </c>
      <c r="N12" s="14">
        <v>12.243055555555555</v>
      </c>
      <c r="O12" s="14">
        <v>12.036111111111111</v>
      </c>
      <c r="P12" s="14">
        <v>0.10208333333333333</v>
      </c>
      <c r="Q12" s="14">
        <v>7.6583333333333332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6">
        <f>SUM(C12:V12)</f>
        <v>133.82152777777779</v>
      </c>
      <c r="X12" s="16">
        <f t="shared" si="0"/>
        <v>6.6910763888888898</v>
      </c>
      <c r="Y12" s="10"/>
    </row>
    <row r="13" spans="1:25">
      <c r="A13" s="46" t="s">
        <v>139</v>
      </c>
      <c r="B13" s="46"/>
      <c r="C13" s="11">
        <v>1017984</v>
      </c>
      <c r="D13" s="11">
        <v>1227000</v>
      </c>
      <c r="E13" s="11">
        <v>1196550</v>
      </c>
      <c r="F13" s="11">
        <v>1243170</v>
      </c>
      <c r="G13" s="11">
        <v>303460</v>
      </c>
      <c r="H13" s="11">
        <v>1165100</v>
      </c>
      <c r="I13" s="11">
        <v>1181420</v>
      </c>
      <c r="J13" s="11">
        <v>1163510</v>
      </c>
      <c r="K13" s="11">
        <v>1181990</v>
      </c>
      <c r="L13" s="11">
        <v>1204540</v>
      </c>
      <c r="M13" s="11">
        <v>1287260</v>
      </c>
      <c r="N13" s="11">
        <v>1397100</v>
      </c>
      <c r="O13" s="11">
        <v>1563250</v>
      </c>
      <c r="P13" s="11">
        <v>0</v>
      </c>
      <c r="Q13" s="11">
        <v>1596336</v>
      </c>
      <c r="R13" s="11">
        <v>10000</v>
      </c>
      <c r="S13" s="11">
        <v>595589</v>
      </c>
      <c r="T13" s="11">
        <v>0</v>
      </c>
      <c r="U13" s="11">
        <v>0</v>
      </c>
      <c r="V13" s="11">
        <v>0</v>
      </c>
      <c r="W13" s="13">
        <f>SUM(C13:V13)</f>
        <v>17334259</v>
      </c>
      <c r="X13" s="13">
        <f t="shared" si="0"/>
        <v>866712.95</v>
      </c>
      <c r="Y13" s="10">
        <f>W13/W13</f>
        <v>1</v>
      </c>
    </row>
    <row r="14" spans="1:25">
      <c r="A14" s="50" t="s">
        <v>140</v>
      </c>
      <c r="B14" s="51"/>
      <c r="C14" s="11">
        <v>0</v>
      </c>
      <c r="D14" s="11">
        <v>6240</v>
      </c>
      <c r="E14" s="11">
        <v>21930</v>
      </c>
      <c r="F14" s="11">
        <v>0</v>
      </c>
      <c r="G14" s="11">
        <v>0</v>
      </c>
      <c r="H14" s="11">
        <v>58000</v>
      </c>
      <c r="I14" s="11">
        <v>26080</v>
      </c>
      <c r="J14" s="11">
        <v>45730</v>
      </c>
      <c r="K14" s="11">
        <v>31870</v>
      </c>
      <c r="L14" s="11">
        <v>21320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3">
        <f>SUM(C14:V14)</f>
        <v>211170</v>
      </c>
      <c r="X14" s="13">
        <f t="shared" si="0"/>
        <v>10558.5</v>
      </c>
      <c r="Y14" s="10"/>
    </row>
    <row r="15" spans="1:25">
      <c r="A15" s="46" t="s">
        <v>141</v>
      </c>
      <c r="B15" s="46"/>
      <c r="C15" s="11">
        <f t="shared" ref="C15:V15" si="1">SUM(C13/C11)</f>
        <v>229.22404863769421</v>
      </c>
      <c r="D15" s="11">
        <f t="shared" si="1"/>
        <v>222.13371472020566</v>
      </c>
      <c r="E15" s="11">
        <f t="shared" si="1"/>
        <v>205.58925104379648</v>
      </c>
      <c r="F15" s="11">
        <f t="shared" si="1"/>
        <v>195.89820359281438</v>
      </c>
      <c r="G15" s="11">
        <f t="shared" si="1"/>
        <v>235.3497750891888</v>
      </c>
      <c r="H15" s="11">
        <f t="shared" si="1"/>
        <v>192.55305083625308</v>
      </c>
      <c r="I15" s="11">
        <f t="shared" si="1"/>
        <v>228.12620684328414</v>
      </c>
      <c r="J15" s="11">
        <f t="shared" si="1"/>
        <v>215.29337749569785</v>
      </c>
      <c r="K15" s="11">
        <f t="shared" si="1"/>
        <v>204.620444906085</v>
      </c>
      <c r="L15" s="11">
        <f t="shared" si="1"/>
        <v>207.71512329712019</v>
      </c>
      <c r="M15" s="11">
        <f t="shared" si="1"/>
        <v>183.24246608492649</v>
      </c>
      <c r="N15" s="11">
        <f t="shared" si="1"/>
        <v>162.8416574392447</v>
      </c>
      <c r="O15" s="11">
        <f t="shared" si="1"/>
        <v>179.81204996664286</v>
      </c>
      <c r="P15" s="11">
        <f t="shared" si="1"/>
        <v>0</v>
      </c>
      <c r="Q15" s="11">
        <f t="shared" si="1"/>
        <v>225.61139691333599</v>
      </c>
      <c r="R15" s="11" t="e">
        <f t="shared" si="1"/>
        <v>#DIV/0!</v>
      </c>
      <c r="S15" s="11" t="e">
        <f t="shared" si="1"/>
        <v>#DIV/0!</v>
      </c>
      <c r="T15" s="11" t="e">
        <f t="shared" si="1"/>
        <v>#DIV/0!</v>
      </c>
      <c r="U15" s="11" t="e">
        <f t="shared" si="1"/>
        <v>#DIV/0!</v>
      </c>
      <c r="V15" s="11" t="e">
        <f t="shared" si="1"/>
        <v>#DIV/0!</v>
      </c>
      <c r="W15" s="9">
        <f>SUM(W13/W11)</f>
        <v>208.68959962630501</v>
      </c>
      <c r="X15" s="13" t="e">
        <f t="shared" si="0"/>
        <v>#DIV/0!</v>
      </c>
      <c r="Y15" s="10"/>
    </row>
    <row r="16" spans="1:25">
      <c r="A16" s="50" t="s">
        <v>142</v>
      </c>
      <c r="B16" s="51"/>
      <c r="C16" s="17">
        <f t="shared" ref="C16:W16" si="2">C13/(C12*24)</f>
        <v>4042.2925215089349</v>
      </c>
      <c r="D16" s="17">
        <f t="shared" si="2"/>
        <v>4982.7411167512691</v>
      </c>
      <c r="E16" s="17">
        <f t="shared" si="2"/>
        <v>4740.6893819334382</v>
      </c>
      <c r="F16" s="17">
        <f t="shared" si="2"/>
        <v>4961.7641189383357</v>
      </c>
      <c r="G16" s="17">
        <f t="shared" si="2"/>
        <v>3822.7167751417169</v>
      </c>
      <c r="H16" s="17">
        <f t="shared" si="2"/>
        <v>4765.8849195527673</v>
      </c>
      <c r="I16" s="17">
        <f t="shared" si="2"/>
        <v>6710.0719424460431</v>
      </c>
      <c r="J16" s="17">
        <f t="shared" si="2"/>
        <v>4771.7429938482574</v>
      </c>
      <c r="K16" s="17">
        <f t="shared" si="2"/>
        <v>4653.1986090151568</v>
      </c>
      <c r="L16" s="17">
        <f t="shared" si="2"/>
        <v>5462.3535636006345</v>
      </c>
      <c r="M16" s="17">
        <f t="shared" si="2"/>
        <v>5760.841351532782</v>
      </c>
      <c r="N16" s="17">
        <f t="shared" si="2"/>
        <v>4754.7362450368691</v>
      </c>
      <c r="O16" s="17">
        <f t="shared" si="2"/>
        <v>5411.6662820216934</v>
      </c>
      <c r="P16" s="17">
        <f t="shared" si="2"/>
        <v>0</v>
      </c>
      <c r="Q16" s="17">
        <f t="shared" si="2"/>
        <v>8685.1795429815011</v>
      </c>
      <c r="R16" s="17" t="e">
        <f t="shared" si="2"/>
        <v>#DIV/0!</v>
      </c>
      <c r="S16" s="17" t="e">
        <f t="shared" si="2"/>
        <v>#DIV/0!</v>
      </c>
      <c r="T16" s="17" t="e">
        <f t="shared" si="2"/>
        <v>#DIV/0!</v>
      </c>
      <c r="U16" s="17" t="e">
        <f t="shared" si="2"/>
        <v>#DIV/0!</v>
      </c>
      <c r="V16" s="17" t="e">
        <f t="shared" si="2"/>
        <v>#DIV/0!</v>
      </c>
      <c r="W16" s="19">
        <f t="shared" si="2"/>
        <v>5397.1943353243068</v>
      </c>
      <c r="X16" s="19" t="e">
        <f t="shared" si="0"/>
        <v>#DIV/0!</v>
      </c>
      <c r="Y16" s="10"/>
    </row>
    <row r="17" spans="1:25">
      <c r="A17" s="47" t="s">
        <v>143</v>
      </c>
      <c r="B17" s="8" t="s">
        <v>144</v>
      </c>
      <c r="C17" s="11">
        <v>0</v>
      </c>
      <c r="D17" s="11">
        <v>0</v>
      </c>
      <c r="E17" s="11">
        <v>0</v>
      </c>
      <c r="F17" s="11">
        <v>0</v>
      </c>
      <c r="G17" s="11">
        <v>0</v>
      </c>
      <c r="H17" s="11">
        <v>261600</v>
      </c>
      <c r="I17" s="11">
        <v>58860</v>
      </c>
      <c r="J17" s="11">
        <v>0</v>
      </c>
      <c r="K17" s="11">
        <v>0</v>
      </c>
      <c r="L17" s="11">
        <v>75708</v>
      </c>
      <c r="M17" s="11">
        <v>213500</v>
      </c>
      <c r="N17" s="11">
        <v>51246</v>
      </c>
      <c r="O17" s="11">
        <v>268500</v>
      </c>
      <c r="P17" s="11">
        <v>56375</v>
      </c>
      <c r="Q17" s="11">
        <v>56708</v>
      </c>
      <c r="R17" s="11">
        <v>0</v>
      </c>
      <c r="S17" s="11">
        <v>0</v>
      </c>
      <c r="T17" s="11">
        <v>44688</v>
      </c>
      <c r="U17" s="11">
        <v>210800</v>
      </c>
      <c r="V17" s="11">
        <v>0</v>
      </c>
      <c r="W17" s="13">
        <f t="shared" ref="W17:W28" si="3">SUM(C17:V17)</f>
        <v>1297985</v>
      </c>
      <c r="X17" s="13">
        <f t="shared" si="0"/>
        <v>64899.25</v>
      </c>
      <c r="Y17" s="10">
        <f>W17/W13</f>
        <v>7.4879751133290443E-2</v>
      </c>
    </row>
    <row r="18" spans="1:25">
      <c r="A18" s="47"/>
      <c r="B18" s="8" t="s">
        <v>145</v>
      </c>
      <c r="C18" s="11">
        <v>4825</v>
      </c>
      <c r="D18" s="11">
        <v>4025</v>
      </c>
      <c r="E18" s="11">
        <v>4400</v>
      </c>
      <c r="F18" s="11">
        <v>4025</v>
      </c>
      <c r="G18" s="11">
        <v>5250</v>
      </c>
      <c r="H18" s="11">
        <v>0</v>
      </c>
      <c r="I18" s="11">
        <v>6950</v>
      </c>
      <c r="J18" s="11">
        <v>4400</v>
      </c>
      <c r="K18" s="11">
        <v>4025</v>
      </c>
      <c r="L18" s="11">
        <v>4825</v>
      </c>
      <c r="M18" s="11">
        <v>0</v>
      </c>
      <c r="N18" s="11">
        <v>3633</v>
      </c>
      <c r="O18" s="11">
        <v>0</v>
      </c>
      <c r="P18" s="11">
        <v>4825</v>
      </c>
      <c r="Q18" s="11">
        <v>4825</v>
      </c>
      <c r="R18" s="11">
        <v>0</v>
      </c>
      <c r="S18" s="11">
        <v>0</v>
      </c>
      <c r="T18" s="11">
        <v>4400</v>
      </c>
      <c r="U18" s="11">
        <v>0</v>
      </c>
      <c r="V18" s="11">
        <v>4825</v>
      </c>
      <c r="W18" s="13">
        <f t="shared" si="3"/>
        <v>65233</v>
      </c>
      <c r="X18" s="13">
        <f t="shared" si="0"/>
        <v>3261.65</v>
      </c>
      <c r="Y18" s="10">
        <f>W18/W13</f>
        <v>3.763241336130953E-3</v>
      </c>
    </row>
    <row r="19" spans="1:25">
      <c r="A19" s="47"/>
      <c r="B19" s="8" t="s">
        <v>146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3">
        <f t="shared" si="3"/>
        <v>0</v>
      </c>
      <c r="X19" s="13">
        <f t="shared" si="0"/>
        <v>0</v>
      </c>
      <c r="Y19" s="10">
        <f>W19/W13</f>
        <v>0</v>
      </c>
    </row>
    <row r="20" spans="1:25">
      <c r="A20" s="47"/>
      <c r="B20" s="8" t="s">
        <v>147</v>
      </c>
      <c r="C20" s="11">
        <v>4950</v>
      </c>
      <c r="D20" s="11">
        <v>4766</v>
      </c>
      <c r="E20" s="11">
        <v>4950</v>
      </c>
      <c r="F20" s="11">
        <v>4766</v>
      </c>
      <c r="G20" s="11">
        <v>4950</v>
      </c>
      <c r="H20" s="11">
        <v>0</v>
      </c>
      <c r="I20" s="11">
        <v>8333</v>
      </c>
      <c r="J20" s="11">
        <v>4950</v>
      </c>
      <c r="K20" s="11">
        <v>4583</v>
      </c>
      <c r="L20" s="11">
        <v>4583</v>
      </c>
      <c r="M20" s="11">
        <v>5212</v>
      </c>
      <c r="N20" s="11">
        <v>4766</v>
      </c>
      <c r="O20" s="11">
        <v>0</v>
      </c>
      <c r="P20" s="11">
        <v>5208</v>
      </c>
      <c r="Q20" s="11">
        <v>5208</v>
      </c>
      <c r="R20" s="11">
        <v>0</v>
      </c>
      <c r="S20" s="11">
        <v>0</v>
      </c>
      <c r="T20" s="11">
        <v>5133</v>
      </c>
      <c r="U20" s="11">
        <v>0</v>
      </c>
      <c r="V20" s="11">
        <v>4767</v>
      </c>
      <c r="W20" s="13">
        <f t="shared" si="3"/>
        <v>77125</v>
      </c>
      <c r="X20" s="13">
        <f t="shared" si="0"/>
        <v>3856.25</v>
      </c>
      <c r="Y20" s="10">
        <f>W20/W13</f>
        <v>4.4492816220179938E-3</v>
      </c>
    </row>
    <row r="21" spans="1:25">
      <c r="A21" s="47"/>
      <c r="B21" s="8" t="s">
        <v>148</v>
      </c>
      <c r="C21" s="11">
        <v>31595</v>
      </c>
      <c r="D21" s="11">
        <v>22013</v>
      </c>
      <c r="E21" s="11">
        <v>37617</v>
      </c>
      <c r="F21" s="11">
        <v>57070</v>
      </c>
      <c r="G21" s="11">
        <v>33485</v>
      </c>
      <c r="H21" s="11">
        <v>0</v>
      </c>
      <c r="I21" s="11">
        <v>60028</v>
      </c>
      <c r="J21" s="11">
        <v>48980</v>
      </c>
      <c r="K21" s="11">
        <v>35664</v>
      </c>
      <c r="L21" s="11">
        <v>23249</v>
      </c>
      <c r="M21" s="11">
        <v>46288</v>
      </c>
      <c r="N21" s="11">
        <v>28932</v>
      </c>
      <c r="O21" s="11">
        <v>0</v>
      </c>
      <c r="P21" s="11">
        <v>22121</v>
      </c>
      <c r="Q21" s="11">
        <v>54800</v>
      </c>
      <c r="R21" s="11">
        <v>0</v>
      </c>
      <c r="S21" s="11">
        <v>0</v>
      </c>
      <c r="T21" s="11">
        <v>26368</v>
      </c>
      <c r="U21" s="11">
        <v>0</v>
      </c>
      <c r="V21" s="11">
        <v>46352</v>
      </c>
      <c r="W21" s="13">
        <f t="shared" si="3"/>
        <v>574562</v>
      </c>
      <c r="X21" s="13">
        <f t="shared" si="0"/>
        <v>28728.1</v>
      </c>
      <c r="Y21" s="10">
        <f>W21/W13</f>
        <v>3.3146037566416889E-2</v>
      </c>
    </row>
    <row r="22" spans="1:25">
      <c r="A22" s="47"/>
      <c r="B22" s="20" t="s">
        <v>149</v>
      </c>
      <c r="C22" s="21">
        <f t="shared" ref="C22:V22" si="4">SUM(C17:C21)</f>
        <v>41370</v>
      </c>
      <c r="D22" s="21">
        <f t="shared" si="4"/>
        <v>30804</v>
      </c>
      <c r="E22" s="21">
        <f t="shared" si="4"/>
        <v>46967</v>
      </c>
      <c r="F22" s="21">
        <f t="shared" si="4"/>
        <v>65861</v>
      </c>
      <c r="G22" s="21">
        <f t="shared" si="4"/>
        <v>43685</v>
      </c>
      <c r="H22" s="21">
        <f t="shared" si="4"/>
        <v>261600</v>
      </c>
      <c r="I22" s="21">
        <f t="shared" si="4"/>
        <v>134171</v>
      </c>
      <c r="J22" s="21">
        <f t="shared" si="4"/>
        <v>58330</v>
      </c>
      <c r="K22" s="21">
        <f t="shared" si="4"/>
        <v>44272</v>
      </c>
      <c r="L22" s="21">
        <f t="shared" si="4"/>
        <v>108365</v>
      </c>
      <c r="M22" s="21">
        <f t="shared" si="4"/>
        <v>265000</v>
      </c>
      <c r="N22" s="21">
        <f t="shared" si="4"/>
        <v>88577</v>
      </c>
      <c r="O22" s="21">
        <f t="shared" si="4"/>
        <v>268500</v>
      </c>
      <c r="P22" s="21">
        <f t="shared" si="4"/>
        <v>88529</v>
      </c>
      <c r="Q22" s="21">
        <f t="shared" si="4"/>
        <v>121541</v>
      </c>
      <c r="R22" s="21">
        <f t="shared" si="4"/>
        <v>0</v>
      </c>
      <c r="S22" s="21">
        <f t="shared" si="4"/>
        <v>0</v>
      </c>
      <c r="T22" s="21">
        <f t="shared" si="4"/>
        <v>80589</v>
      </c>
      <c r="U22" s="21">
        <f t="shared" si="4"/>
        <v>210800</v>
      </c>
      <c r="V22" s="21">
        <f t="shared" si="4"/>
        <v>55944</v>
      </c>
      <c r="W22" s="23">
        <f t="shared" si="3"/>
        <v>2014905</v>
      </c>
      <c r="X22" s="23">
        <f t="shared" si="0"/>
        <v>100745.25</v>
      </c>
      <c r="Y22" s="24">
        <f>W22/W13</f>
        <v>0.11623831165785627</v>
      </c>
    </row>
    <row r="23" spans="1:25">
      <c r="A23" s="47" t="s">
        <v>150</v>
      </c>
      <c r="B23" s="8" t="s">
        <v>151</v>
      </c>
      <c r="C23" s="11">
        <v>3200</v>
      </c>
      <c r="D23" s="11">
        <v>13300</v>
      </c>
      <c r="E23" s="11">
        <v>0</v>
      </c>
      <c r="F23" s="11">
        <v>0</v>
      </c>
      <c r="G23" s="11">
        <v>154940</v>
      </c>
      <c r="H23" s="11">
        <v>0</v>
      </c>
      <c r="I23" s="11">
        <v>28950</v>
      </c>
      <c r="J23" s="11">
        <v>0</v>
      </c>
      <c r="K23" s="11">
        <v>19180</v>
      </c>
      <c r="L23" s="11">
        <v>0</v>
      </c>
      <c r="M23" s="11">
        <v>77070</v>
      </c>
      <c r="N23" s="11">
        <v>173768</v>
      </c>
      <c r="O23" s="11">
        <v>70840</v>
      </c>
      <c r="P23" s="11">
        <v>15640</v>
      </c>
      <c r="Q23" s="11">
        <v>91587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3">
        <f t="shared" si="3"/>
        <v>648475</v>
      </c>
      <c r="X23" s="13">
        <f t="shared" si="0"/>
        <v>32423.75</v>
      </c>
      <c r="Y23" s="10">
        <f>W23/W13</f>
        <v>3.7410021391742217E-2</v>
      </c>
    </row>
    <row r="24" spans="1:25">
      <c r="A24" s="47"/>
      <c r="B24" s="8" t="s">
        <v>152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3">
        <f t="shared" si="3"/>
        <v>0</v>
      </c>
      <c r="X24" s="13">
        <f t="shared" si="0"/>
        <v>0</v>
      </c>
      <c r="Y24" s="10">
        <f>W24/W13</f>
        <v>0</v>
      </c>
    </row>
    <row r="25" spans="1:25">
      <c r="A25" s="47"/>
      <c r="B25" s="8" t="s">
        <v>153</v>
      </c>
      <c r="C25" s="11">
        <f t="shared" ref="C25:V25" si="5">30000*C9/70000*C11</f>
        <v>15226.285714285714</v>
      </c>
      <c r="D25" s="11">
        <f t="shared" si="5"/>
        <v>23673</v>
      </c>
      <c r="E25" s="11">
        <f t="shared" si="5"/>
        <v>24943.285714285714</v>
      </c>
      <c r="F25" s="11">
        <f t="shared" si="5"/>
        <v>27197.142857142855</v>
      </c>
      <c r="G25" s="11">
        <f t="shared" si="5"/>
        <v>5525.9999999999991</v>
      </c>
      <c r="H25" s="11">
        <f t="shared" si="5"/>
        <v>25931.999999999996</v>
      </c>
      <c r="I25" s="11">
        <f t="shared" si="5"/>
        <v>31072.800000000003</v>
      </c>
      <c r="J25" s="11">
        <f t="shared" si="5"/>
        <v>23161.285714285714</v>
      </c>
      <c r="K25" s="11">
        <f t="shared" si="5"/>
        <v>24756.428571428572</v>
      </c>
      <c r="L25" s="11">
        <f t="shared" si="5"/>
        <v>24852.857142857141</v>
      </c>
      <c r="M25" s="11">
        <f t="shared" si="5"/>
        <v>30106.714285714283</v>
      </c>
      <c r="N25" s="11">
        <f t="shared" si="5"/>
        <v>36769.28571428571</v>
      </c>
      <c r="O25" s="11">
        <f t="shared" si="5"/>
        <v>37259.142857142862</v>
      </c>
      <c r="P25" s="11">
        <f t="shared" si="5"/>
        <v>252.85714285714286</v>
      </c>
      <c r="Q25" s="11">
        <f t="shared" si="5"/>
        <v>30323.999999999996</v>
      </c>
      <c r="R25" s="11">
        <f t="shared" si="5"/>
        <v>0</v>
      </c>
      <c r="S25" s="11">
        <f t="shared" si="5"/>
        <v>0</v>
      </c>
      <c r="T25" s="11">
        <f t="shared" si="5"/>
        <v>0</v>
      </c>
      <c r="U25" s="11">
        <f t="shared" si="5"/>
        <v>0</v>
      </c>
      <c r="V25" s="11">
        <f t="shared" si="5"/>
        <v>0</v>
      </c>
      <c r="W25" s="13">
        <f t="shared" si="3"/>
        <v>361053.08571428573</v>
      </c>
      <c r="X25" s="13">
        <f t="shared" si="0"/>
        <v>18052.654285714285</v>
      </c>
      <c r="Y25" s="10">
        <f>W25/W13</f>
        <v>2.0828873372336579E-2</v>
      </c>
    </row>
    <row r="26" spans="1:25">
      <c r="A26" s="47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3">
        <f t="shared" si="3"/>
        <v>0</v>
      </c>
      <c r="X26" s="13">
        <f t="shared" si="0"/>
        <v>0</v>
      </c>
      <c r="Y26" s="10">
        <f>W26/W13</f>
        <v>0</v>
      </c>
    </row>
    <row r="27" spans="1:25">
      <c r="A27" s="47"/>
      <c r="B27" s="20" t="s">
        <v>154</v>
      </c>
      <c r="C27" s="21">
        <f t="shared" ref="C27:V27" si="6">SUM(C23:C26)</f>
        <v>18426.285714285714</v>
      </c>
      <c r="D27" s="21">
        <f t="shared" si="6"/>
        <v>36973</v>
      </c>
      <c r="E27" s="21">
        <f t="shared" si="6"/>
        <v>24943.285714285714</v>
      </c>
      <c r="F27" s="21">
        <f t="shared" si="6"/>
        <v>27197.142857142855</v>
      </c>
      <c r="G27" s="21">
        <f t="shared" si="6"/>
        <v>160466</v>
      </c>
      <c r="H27" s="21">
        <f t="shared" si="6"/>
        <v>25931.999999999996</v>
      </c>
      <c r="I27" s="21">
        <f t="shared" si="6"/>
        <v>60022.8</v>
      </c>
      <c r="J27" s="21">
        <f t="shared" si="6"/>
        <v>23161.285714285714</v>
      </c>
      <c r="K27" s="21">
        <f t="shared" si="6"/>
        <v>43936.428571428572</v>
      </c>
      <c r="L27" s="21">
        <f t="shared" si="6"/>
        <v>24852.857142857141</v>
      </c>
      <c r="M27" s="21">
        <f t="shared" si="6"/>
        <v>107176.71428571429</v>
      </c>
      <c r="N27" s="21">
        <f t="shared" si="6"/>
        <v>210537.28571428571</v>
      </c>
      <c r="O27" s="21">
        <f t="shared" si="6"/>
        <v>108099.14285714287</v>
      </c>
      <c r="P27" s="21">
        <f t="shared" si="6"/>
        <v>15892.857142857143</v>
      </c>
      <c r="Q27" s="21">
        <f t="shared" si="6"/>
        <v>121911</v>
      </c>
      <c r="R27" s="21">
        <f t="shared" si="6"/>
        <v>0</v>
      </c>
      <c r="S27" s="21">
        <f t="shared" si="6"/>
        <v>0</v>
      </c>
      <c r="T27" s="21">
        <f t="shared" si="6"/>
        <v>0</v>
      </c>
      <c r="U27" s="21">
        <f t="shared" si="6"/>
        <v>0</v>
      </c>
      <c r="V27" s="21">
        <f t="shared" si="6"/>
        <v>0</v>
      </c>
      <c r="W27" s="23">
        <f t="shared" si="3"/>
        <v>1009528.0857142857</v>
      </c>
      <c r="X27" s="23">
        <f t="shared" si="0"/>
        <v>50476.404285714285</v>
      </c>
      <c r="Y27" s="24">
        <f>W27/W13</f>
        <v>5.8238894764078793E-2</v>
      </c>
    </row>
    <row r="28" spans="1:25">
      <c r="A28" s="47" t="s">
        <v>155</v>
      </c>
      <c r="B28" s="5" t="s">
        <v>156</v>
      </c>
      <c r="C28" s="25">
        <v>1270</v>
      </c>
      <c r="D28" s="25">
        <v>1552</v>
      </c>
      <c r="E28" s="25">
        <v>1428</v>
      </c>
      <c r="F28" s="25">
        <v>1605</v>
      </c>
      <c r="G28" s="25">
        <v>392</v>
      </c>
      <c r="H28" s="25">
        <v>1550</v>
      </c>
      <c r="I28" s="25">
        <v>1968</v>
      </c>
      <c r="J28" s="25">
        <v>1525</v>
      </c>
      <c r="K28" s="25">
        <v>1665</v>
      </c>
      <c r="L28" s="25">
        <v>1548</v>
      </c>
      <c r="M28" s="25">
        <v>1846</v>
      </c>
      <c r="N28" s="25">
        <v>2337</v>
      </c>
      <c r="O28" s="25">
        <v>2231</v>
      </c>
      <c r="P28" s="25">
        <v>0</v>
      </c>
      <c r="Q28" s="25">
        <v>1915</v>
      </c>
      <c r="R28" s="25">
        <v>0</v>
      </c>
      <c r="S28" s="25">
        <v>0</v>
      </c>
      <c r="T28" s="25">
        <v>0</v>
      </c>
      <c r="U28" s="25">
        <v>230</v>
      </c>
      <c r="V28" s="25">
        <v>0</v>
      </c>
      <c r="W28" s="27">
        <f t="shared" si="3"/>
        <v>23062</v>
      </c>
      <c r="X28" s="27">
        <f t="shared" si="0"/>
        <v>1153.0999999999999</v>
      </c>
      <c r="Y28" s="7">
        <f>W28/W13</f>
        <v>1.3304289499770367E-3</v>
      </c>
    </row>
    <row r="29" spans="1:25">
      <c r="A29" s="47"/>
      <c r="B29" s="28" t="s">
        <v>157</v>
      </c>
      <c r="C29" s="29">
        <f t="shared" ref="C29:W29" si="7">SUM(C11/C28)</f>
        <v>3.4968503937007873</v>
      </c>
      <c r="D29" s="29">
        <f t="shared" si="7"/>
        <v>3.5590850515463917</v>
      </c>
      <c r="E29" s="29">
        <f t="shared" si="7"/>
        <v>4.075700280112045</v>
      </c>
      <c r="F29" s="29">
        <f t="shared" si="7"/>
        <v>3.9538940809968848</v>
      </c>
      <c r="G29" s="29">
        <f t="shared" si="7"/>
        <v>3.2892857142857141</v>
      </c>
      <c r="H29" s="29">
        <f t="shared" si="7"/>
        <v>3.9037419354838705</v>
      </c>
      <c r="I29" s="29">
        <f t="shared" si="7"/>
        <v>2.6315040650406507</v>
      </c>
      <c r="J29" s="29">
        <f t="shared" si="7"/>
        <v>3.5438032786885247</v>
      </c>
      <c r="K29" s="29">
        <f t="shared" si="7"/>
        <v>3.4693693693693692</v>
      </c>
      <c r="L29" s="29">
        <f t="shared" si="7"/>
        <v>3.7461240310077519</v>
      </c>
      <c r="M29" s="29">
        <f t="shared" si="7"/>
        <v>3.8054712892741058</v>
      </c>
      <c r="N29" s="29">
        <f t="shared" si="7"/>
        <v>3.6711596063329055</v>
      </c>
      <c r="O29" s="29">
        <f t="shared" si="7"/>
        <v>3.8968175705961459</v>
      </c>
      <c r="P29" s="29" t="e">
        <f t="shared" si="7"/>
        <v>#DIV/0!</v>
      </c>
      <c r="Q29" s="29">
        <f t="shared" si="7"/>
        <v>3.6948302872062659</v>
      </c>
      <c r="R29" s="29" t="e">
        <f t="shared" si="7"/>
        <v>#DIV/0!</v>
      </c>
      <c r="S29" s="29" t="e">
        <f t="shared" si="7"/>
        <v>#DIV/0!</v>
      </c>
      <c r="T29" s="29" t="e">
        <f t="shared" si="7"/>
        <v>#DIV/0!</v>
      </c>
      <c r="U29" s="29">
        <f t="shared" si="7"/>
        <v>0</v>
      </c>
      <c r="V29" s="29" t="e">
        <f t="shared" si="7"/>
        <v>#DIV/0!</v>
      </c>
      <c r="W29" s="31">
        <f t="shared" si="7"/>
        <v>3.6016997658485823</v>
      </c>
      <c r="X29" s="31" t="e">
        <f t="shared" si="0"/>
        <v>#DIV/0!</v>
      </c>
      <c r="Y29" s="28">
        <f>W29/W13</f>
        <v>2.0777927489421857E-7</v>
      </c>
    </row>
    <row r="30" spans="1:25">
      <c r="A30" s="47"/>
      <c r="B30" s="8" t="s">
        <v>158</v>
      </c>
      <c r="C30" s="11">
        <v>155448</v>
      </c>
      <c r="D30" s="11">
        <v>189965</v>
      </c>
      <c r="E30" s="11">
        <v>174787</v>
      </c>
      <c r="F30" s="11">
        <v>196452</v>
      </c>
      <c r="G30" s="11">
        <v>47981</v>
      </c>
      <c r="H30" s="11">
        <v>189720</v>
      </c>
      <c r="I30" s="11">
        <v>240883</v>
      </c>
      <c r="J30" s="11">
        <v>186660</v>
      </c>
      <c r="K30" s="11">
        <v>203796</v>
      </c>
      <c r="L30" s="11">
        <v>189475</v>
      </c>
      <c r="M30" s="11">
        <v>225950</v>
      </c>
      <c r="N30" s="11">
        <v>286049</v>
      </c>
      <c r="O30" s="11">
        <v>273074</v>
      </c>
      <c r="P30" s="11">
        <v>0</v>
      </c>
      <c r="Q30" s="11">
        <v>234396</v>
      </c>
      <c r="R30" s="11">
        <v>0</v>
      </c>
      <c r="S30" s="11">
        <v>0</v>
      </c>
      <c r="T30" s="11">
        <v>0</v>
      </c>
      <c r="U30" s="11">
        <v>28152</v>
      </c>
      <c r="V30" s="11">
        <v>0</v>
      </c>
      <c r="W30" s="13">
        <f t="shared" ref="W30:W60" si="8">SUM(C30:V30)</f>
        <v>2822788</v>
      </c>
      <c r="X30" s="13">
        <f t="shared" si="0"/>
        <v>141139.4</v>
      </c>
      <c r="Y30" s="10">
        <f>W30/W13</f>
        <v>0.16284445732580782</v>
      </c>
    </row>
    <row r="31" spans="1:25">
      <c r="A31" s="47"/>
      <c r="B31" s="8" t="s">
        <v>159</v>
      </c>
      <c r="C31" s="11">
        <v>0</v>
      </c>
      <c r="D31" s="11">
        <v>0</v>
      </c>
      <c r="E31" s="11">
        <v>12425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3">
        <f t="shared" si="8"/>
        <v>12425</v>
      </c>
      <c r="X31" s="13">
        <f t="shared" si="0"/>
        <v>621.25</v>
      </c>
      <c r="Y31" s="10">
        <f>W31/W13</f>
        <v>7.1678864380646441E-4</v>
      </c>
    </row>
    <row r="32" spans="1:25">
      <c r="A32" s="47"/>
      <c r="B32" s="8" t="s">
        <v>160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3">
        <f t="shared" si="8"/>
        <v>0</v>
      </c>
      <c r="X32" s="13">
        <f t="shared" si="0"/>
        <v>0</v>
      </c>
      <c r="Y32" s="10">
        <f>W32/W13</f>
        <v>0</v>
      </c>
    </row>
    <row r="33" spans="1:25">
      <c r="A33" s="47"/>
      <c r="B33" s="20" t="s">
        <v>161</v>
      </c>
      <c r="C33" s="21">
        <f t="shared" ref="C33:V33" si="9">SUM(C30:C32)</f>
        <v>155448</v>
      </c>
      <c r="D33" s="21">
        <f t="shared" si="9"/>
        <v>189965</v>
      </c>
      <c r="E33" s="21">
        <f t="shared" si="9"/>
        <v>187212</v>
      </c>
      <c r="F33" s="21">
        <f t="shared" si="9"/>
        <v>196452</v>
      </c>
      <c r="G33" s="21">
        <f t="shared" si="9"/>
        <v>47981</v>
      </c>
      <c r="H33" s="21">
        <f t="shared" si="9"/>
        <v>189720</v>
      </c>
      <c r="I33" s="21">
        <f t="shared" si="9"/>
        <v>240883</v>
      </c>
      <c r="J33" s="21">
        <f t="shared" si="9"/>
        <v>186660</v>
      </c>
      <c r="K33" s="21">
        <f t="shared" si="9"/>
        <v>203796</v>
      </c>
      <c r="L33" s="21">
        <f t="shared" si="9"/>
        <v>189475</v>
      </c>
      <c r="M33" s="21">
        <f t="shared" si="9"/>
        <v>225950</v>
      </c>
      <c r="N33" s="21">
        <f t="shared" si="9"/>
        <v>286049</v>
      </c>
      <c r="O33" s="21">
        <f t="shared" si="9"/>
        <v>273074</v>
      </c>
      <c r="P33" s="21">
        <f t="shared" si="9"/>
        <v>0</v>
      </c>
      <c r="Q33" s="21">
        <f t="shared" si="9"/>
        <v>234396</v>
      </c>
      <c r="R33" s="21">
        <f t="shared" si="9"/>
        <v>0</v>
      </c>
      <c r="S33" s="21">
        <f t="shared" si="9"/>
        <v>0</v>
      </c>
      <c r="T33" s="21">
        <f t="shared" si="9"/>
        <v>0</v>
      </c>
      <c r="U33" s="21">
        <f t="shared" si="9"/>
        <v>28152</v>
      </c>
      <c r="V33" s="21">
        <f t="shared" si="9"/>
        <v>0</v>
      </c>
      <c r="W33" s="23">
        <f t="shared" si="8"/>
        <v>2835213</v>
      </c>
      <c r="X33" s="23">
        <f t="shared" si="0"/>
        <v>141760.65</v>
      </c>
      <c r="Y33" s="24">
        <f>W33/W13</f>
        <v>0.16356124596961427</v>
      </c>
    </row>
    <row r="34" spans="1:25">
      <c r="A34" s="47" t="s">
        <v>162</v>
      </c>
      <c r="B34" s="8" t="s">
        <v>163</v>
      </c>
      <c r="C34" s="11">
        <v>2008</v>
      </c>
      <c r="D34" s="11">
        <v>2008</v>
      </c>
      <c r="E34" s="11">
        <v>2008</v>
      </c>
      <c r="F34" s="11">
        <v>2008</v>
      </c>
      <c r="G34" s="11">
        <v>2012</v>
      </c>
      <c r="H34" s="11">
        <v>0</v>
      </c>
      <c r="I34" s="11">
        <v>2459</v>
      </c>
      <c r="J34" s="11">
        <v>2008</v>
      </c>
      <c r="K34" s="11">
        <v>2008</v>
      </c>
      <c r="L34" s="11">
        <v>2008</v>
      </c>
      <c r="M34" s="11">
        <v>2012</v>
      </c>
      <c r="N34" s="11">
        <v>2008</v>
      </c>
      <c r="O34" s="11">
        <v>0</v>
      </c>
      <c r="P34" s="11">
        <v>2008</v>
      </c>
      <c r="Q34" s="11">
        <v>2008</v>
      </c>
      <c r="R34" s="11">
        <v>0</v>
      </c>
      <c r="S34" s="11">
        <v>0</v>
      </c>
      <c r="T34" s="11">
        <v>2008</v>
      </c>
      <c r="U34" s="11">
        <v>0</v>
      </c>
      <c r="V34" s="11">
        <v>2008</v>
      </c>
      <c r="W34" s="13">
        <f t="shared" si="8"/>
        <v>30579</v>
      </c>
      <c r="X34" s="13">
        <f t="shared" si="0"/>
        <v>1528.95</v>
      </c>
      <c r="Y34" s="10">
        <f>W34/W13</f>
        <v>1.7640788683265895E-3</v>
      </c>
    </row>
    <row r="35" spans="1:25">
      <c r="A35" s="47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3">
        <f t="shared" si="8"/>
        <v>0</v>
      </c>
      <c r="X35" s="13">
        <f t="shared" si="0"/>
        <v>0</v>
      </c>
      <c r="Y35" s="10">
        <f>W35/W13</f>
        <v>0</v>
      </c>
    </row>
    <row r="36" spans="1:25">
      <c r="A36" s="47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3">
        <f t="shared" si="8"/>
        <v>0</v>
      </c>
      <c r="X36" s="13">
        <f t="shared" si="0"/>
        <v>0</v>
      </c>
      <c r="Y36" s="10">
        <f>W36/W13</f>
        <v>0</v>
      </c>
    </row>
    <row r="37" spans="1:25">
      <c r="A37" s="47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3">
        <f t="shared" si="8"/>
        <v>0</v>
      </c>
      <c r="X37" s="13">
        <f t="shared" si="0"/>
        <v>0</v>
      </c>
      <c r="Y37" s="10">
        <f>W37/W13</f>
        <v>0</v>
      </c>
    </row>
    <row r="38" spans="1:25">
      <c r="A38" s="47"/>
      <c r="B38" s="8" t="s">
        <v>164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10718</v>
      </c>
      <c r="I38" s="11">
        <v>10690</v>
      </c>
      <c r="J38" s="11">
        <v>5366</v>
      </c>
      <c r="K38" s="11">
        <v>5366</v>
      </c>
      <c r="L38" s="11">
        <v>7671</v>
      </c>
      <c r="M38" s="11">
        <v>8639</v>
      </c>
      <c r="N38" s="11">
        <v>5366</v>
      </c>
      <c r="O38" s="11">
        <v>5576</v>
      </c>
      <c r="P38" s="11">
        <v>7624</v>
      </c>
      <c r="Q38" s="11">
        <v>6832</v>
      </c>
      <c r="R38" s="11">
        <v>0</v>
      </c>
      <c r="S38" s="11">
        <v>0</v>
      </c>
      <c r="T38" s="11">
        <v>5366</v>
      </c>
      <c r="U38" s="11">
        <v>0</v>
      </c>
      <c r="V38" s="11">
        <v>4621</v>
      </c>
      <c r="W38" s="13">
        <f t="shared" si="8"/>
        <v>110665</v>
      </c>
      <c r="X38" s="13">
        <f t="shared" si="0"/>
        <v>5533.25</v>
      </c>
      <c r="Y38" s="10">
        <f>W38/W13</f>
        <v>6.3841782910939544E-3</v>
      </c>
    </row>
    <row r="39" spans="1:25">
      <c r="A39" s="47"/>
      <c r="B39" s="20" t="s">
        <v>165</v>
      </c>
      <c r="C39" s="21">
        <f t="shared" ref="C39:V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7374</v>
      </c>
      <c r="G39" s="21">
        <f t="shared" si="10"/>
        <v>7378</v>
      </c>
      <c r="H39" s="21">
        <f t="shared" si="10"/>
        <v>10718</v>
      </c>
      <c r="I39" s="21">
        <f t="shared" si="10"/>
        <v>13149</v>
      </c>
      <c r="J39" s="21">
        <f t="shared" si="10"/>
        <v>7374</v>
      </c>
      <c r="K39" s="21">
        <f t="shared" si="10"/>
        <v>7374</v>
      </c>
      <c r="L39" s="21">
        <f t="shared" si="10"/>
        <v>9679</v>
      </c>
      <c r="M39" s="21">
        <f t="shared" si="10"/>
        <v>10651</v>
      </c>
      <c r="N39" s="21">
        <f t="shared" si="10"/>
        <v>7374</v>
      </c>
      <c r="O39" s="21">
        <f t="shared" si="10"/>
        <v>5576</v>
      </c>
      <c r="P39" s="21">
        <f t="shared" si="10"/>
        <v>9632</v>
      </c>
      <c r="Q39" s="21">
        <f t="shared" si="10"/>
        <v>8840</v>
      </c>
      <c r="R39" s="21">
        <f t="shared" si="10"/>
        <v>0</v>
      </c>
      <c r="S39" s="21">
        <f t="shared" si="10"/>
        <v>0</v>
      </c>
      <c r="T39" s="21">
        <f t="shared" si="10"/>
        <v>7374</v>
      </c>
      <c r="U39" s="21">
        <f t="shared" si="10"/>
        <v>0</v>
      </c>
      <c r="V39" s="21">
        <f t="shared" si="10"/>
        <v>6629</v>
      </c>
      <c r="W39" s="23">
        <f t="shared" si="8"/>
        <v>141244</v>
      </c>
      <c r="X39" s="23">
        <f t="shared" si="0"/>
        <v>7062.2</v>
      </c>
      <c r="Y39" s="24">
        <f>W39/W13</f>
        <v>8.1482571594205435E-3</v>
      </c>
    </row>
    <row r="40" spans="1:25">
      <c r="A40" s="47" t="s">
        <v>166</v>
      </c>
      <c r="B40" s="8" t="s">
        <v>167</v>
      </c>
      <c r="C40" s="11">
        <v>14660</v>
      </c>
      <c r="D40" s="11">
        <v>105670</v>
      </c>
      <c r="E40" s="11">
        <v>105590</v>
      </c>
      <c r="F40" s="11">
        <v>108220</v>
      </c>
      <c r="G40" s="11">
        <v>9470</v>
      </c>
      <c r="H40" s="11">
        <v>124690</v>
      </c>
      <c r="I40" s="11">
        <v>208860</v>
      </c>
      <c r="J40" s="11">
        <v>70100</v>
      </c>
      <c r="K40" s="11">
        <v>61900</v>
      </c>
      <c r="L40" s="11">
        <v>91950</v>
      </c>
      <c r="M40" s="11">
        <v>190600</v>
      </c>
      <c r="N40" s="11">
        <v>179340</v>
      </c>
      <c r="O40" s="11">
        <v>213180</v>
      </c>
      <c r="P40" s="11">
        <v>0</v>
      </c>
      <c r="Q40" s="11">
        <v>245740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3">
        <f t="shared" si="8"/>
        <v>1729970</v>
      </c>
      <c r="X40" s="13">
        <f t="shared" si="0"/>
        <v>86498.5</v>
      </c>
      <c r="Y40" s="10">
        <f>W40/W13</f>
        <v>9.9800631800874784E-2</v>
      </c>
    </row>
    <row r="41" spans="1:25">
      <c r="A41" s="47"/>
      <c r="B41" s="8" t="s">
        <v>168</v>
      </c>
      <c r="C41" s="11">
        <v>-6840</v>
      </c>
      <c r="D41" s="11">
        <v>-45430</v>
      </c>
      <c r="E41" s="11">
        <v>-37285</v>
      </c>
      <c r="F41" s="11">
        <v>-45980</v>
      </c>
      <c r="G41" s="11">
        <v>-2690</v>
      </c>
      <c r="H41" s="11">
        <v>-43614</v>
      </c>
      <c r="I41" s="11">
        <v>-109355</v>
      </c>
      <c r="J41" s="11">
        <v>-30741</v>
      </c>
      <c r="K41" s="11">
        <v>-21400</v>
      </c>
      <c r="L41" s="11">
        <v>-39188</v>
      </c>
      <c r="M41" s="11">
        <v>-61612</v>
      </c>
      <c r="N41" s="11">
        <v>-91060</v>
      </c>
      <c r="O41" s="11">
        <v>-88995</v>
      </c>
      <c r="P41" s="11">
        <v>0</v>
      </c>
      <c r="Q41" s="11">
        <v>-137750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3">
        <f t="shared" si="8"/>
        <v>-761940</v>
      </c>
      <c r="X41" s="13">
        <f t="shared" si="0"/>
        <v>-38097</v>
      </c>
      <c r="Y41" s="10">
        <f>W41/W13</f>
        <v>-4.3955729518060163E-2</v>
      </c>
    </row>
    <row r="42" spans="1:25">
      <c r="A42" s="47"/>
      <c r="B42" s="8" t="s">
        <v>169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3">
        <f t="shared" si="8"/>
        <v>0</v>
      </c>
      <c r="X42" s="13">
        <f t="shared" si="0"/>
        <v>0</v>
      </c>
      <c r="Y42" s="10">
        <f>W42/W13</f>
        <v>0</v>
      </c>
    </row>
    <row r="43" spans="1:25">
      <c r="A43" s="47"/>
      <c r="B43" s="8" t="s">
        <v>170</v>
      </c>
      <c r="C43" s="11">
        <v>-4691.2</v>
      </c>
      <c r="D43" s="11">
        <v>-33814.400000000001</v>
      </c>
      <c r="E43" s="11">
        <v>-33788.800000000003</v>
      </c>
      <c r="F43" s="11">
        <v>-34630.400000000001</v>
      </c>
      <c r="G43" s="11">
        <v>-3030.4</v>
      </c>
      <c r="H43" s="11">
        <v>-39900.800000000003</v>
      </c>
      <c r="I43" s="11">
        <v>-66835.199999999997</v>
      </c>
      <c r="J43" s="11">
        <v>-22432</v>
      </c>
      <c r="K43" s="11">
        <v>-19808</v>
      </c>
      <c r="L43" s="11">
        <v>-29424</v>
      </c>
      <c r="M43" s="11">
        <v>-60992</v>
      </c>
      <c r="N43" s="11">
        <v>-57388.800000000003</v>
      </c>
      <c r="O43" s="11">
        <v>-68217.600000000006</v>
      </c>
      <c r="P43" s="11">
        <v>0</v>
      </c>
      <c r="Q43" s="11">
        <v>-78636.800000000003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3">
        <f t="shared" si="8"/>
        <v>-553590.4</v>
      </c>
      <c r="X43" s="13">
        <f>AVERAGE(B43:V43)</f>
        <v>-27679.52</v>
      </c>
      <c r="Y43" s="10">
        <f>W43/W13</f>
        <v>-3.1936202176279932E-2</v>
      </c>
    </row>
    <row r="44" spans="1:25">
      <c r="A44" s="47"/>
      <c r="B44" s="20" t="s">
        <v>171</v>
      </c>
      <c r="C44" s="21">
        <f t="shared" ref="C44:V44" si="11">SUM(C40:C43)</f>
        <v>3128.8</v>
      </c>
      <c r="D44" s="21">
        <f t="shared" si="11"/>
        <v>26425.599999999999</v>
      </c>
      <c r="E44" s="21">
        <f t="shared" si="11"/>
        <v>34516.199999999997</v>
      </c>
      <c r="F44" s="21">
        <f t="shared" si="11"/>
        <v>27609.599999999999</v>
      </c>
      <c r="G44" s="21">
        <f t="shared" si="11"/>
        <v>3749.6</v>
      </c>
      <c r="H44" s="21">
        <f t="shared" si="11"/>
        <v>41175.199999999997</v>
      </c>
      <c r="I44" s="21">
        <f t="shared" si="11"/>
        <v>32669.800000000003</v>
      </c>
      <c r="J44" s="21">
        <f t="shared" si="11"/>
        <v>16927</v>
      </c>
      <c r="K44" s="21">
        <f t="shared" si="11"/>
        <v>20692</v>
      </c>
      <c r="L44" s="21">
        <f t="shared" si="11"/>
        <v>23338</v>
      </c>
      <c r="M44" s="21">
        <f t="shared" si="11"/>
        <v>67996</v>
      </c>
      <c r="N44" s="21">
        <f t="shared" si="11"/>
        <v>30891.199999999997</v>
      </c>
      <c r="O44" s="21">
        <f t="shared" si="11"/>
        <v>55967.399999999994</v>
      </c>
      <c r="P44" s="21">
        <f t="shared" si="11"/>
        <v>0</v>
      </c>
      <c r="Q44" s="21">
        <f t="shared" si="11"/>
        <v>29353.199999999997</v>
      </c>
      <c r="R44" s="21">
        <f t="shared" si="11"/>
        <v>0</v>
      </c>
      <c r="S44" s="21">
        <f t="shared" si="11"/>
        <v>0</v>
      </c>
      <c r="T44" s="21">
        <f t="shared" si="11"/>
        <v>0</v>
      </c>
      <c r="U44" s="21">
        <f t="shared" si="11"/>
        <v>0</v>
      </c>
      <c r="V44" s="21">
        <f t="shared" si="11"/>
        <v>0</v>
      </c>
      <c r="W44" s="23">
        <f t="shared" si="8"/>
        <v>414439.60000000003</v>
      </c>
      <c r="X44" s="23">
        <f>AVERAGE(B44:V44)</f>
        <v>20721.980000000003</v>
      </c>
      <c r="Y44" s="24">
        <f>W44/W13</f>
        <v>2.3908700106534696E-2</v>
      </c>
    </row>
    <row r="45" spans="1:25">
      <c r="A45" s="47" t="s">
        <v>172</v>
      </c>
      <c r="B45" s="8" t="s">
        <v>173</v>
      </c>
      <c r="C45" s="11">
        <v>337620</v>
      </c>
      <c r="D45" s="11">
        <v>436091</v>
      </c>
      <c r="E45" s="11">
        <v>365755</v>
      </c>
      <c r="F45" s="11">
        <v>351687</v>
      </c>
      <c r="G45" s="11">
        <v>140674</v>
      </c>
      <c r="H45" s="11">
        <v>351687</v>
      </c>
      <c r="I45" s="11">
        <v>309484</v>
      </c>
      <c r="J45" s="11">
        <v>365754</v>
      </c>
      <c r="K45" s="11">
        <v>351687</v>
      </c>
      <c r="L45" s="11">
        <v>379820</v>
      </c>
      <c r="M45" s="11">
        <v>323551</v>
      </c>
      <c r="N45" s="11">
        <v>422024</v>
      </c>
      <c r="O45" s="11">
        <v>393889</v>
      </c>
      <c r="P45" s="11">
        <v>28134</v>
      </c>
      <c r="Q45" s="11">
        <v>295417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3">
        <f t="shared" si="8"/>
        <v>4853274</v>
      </c>
      <c r="X45" s="13">
        <f t="shared" ref="X45:X60" si="12">AVERAGE(C45:V45)</f>
        <v>242663.7</v>
      </c>
      <c r="Y45" s="10">
        <f>W45/W13</f>
        <v>0.27998162482745875</v>
      </c>
    </row>
    <row r="46" spans="1:25">
      <c r="A46" s="47"/>
      <c r="B46" s="8" t="s">
        <v>174</v>
      </c>
      <c r="C46" s="11">
        <v>18513</v>
      </c>
      <c r="D46" s="11">
        <v>23912</v>
      </c>
      <c r="E46" s="11">
        <v>20056</v>
      </c>
      <c r="F46" s="11">
        <v>19284</v>
      </c>
      <c r="G46" s="11">
        <v>7714</v>
      </c>
      <c r="H46" s="11">
        <v>19284</v>
      </c>
      <c r="I46" s="11">
        <v>16970</v>
      </c>
      <c r="J46" s="11">
        <v>20055</v>
      </c>
      <c r="K46" s="11">
        <v>19284</v>
      </c>
      <c r="L46" s="11">
        <v>20826</v>
      </c>
      <c r="M46" s="11">
        <v>17741</v>
      </c>
      <c r="N46" s="11">
        <v>23140</v>
      </c>
      <c r="O46" s="11">
        <v>21599</v>
      </c>
      <c r="P46" s="11">
        <v>1542</v>
      </c>
      <c r="Q46" s="11">
        <v>16199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3">
        <f t="shared" si="8"/>
        <v>266119</v>
      </c>
      <c r="X46" s="13">
        <f t="shared" si="12"/>
        <v>13305.95</v>
      </c>
      <c r="Y46" s="10">
        <f>W46/W13</f>
        <v>1.5352199364276257E-2</v>
      </c>
    </row>
    <row r="47" spans="1:25">
      <c r="A47" s="47"/>
      <c r="B47" s="8" t="s">
        <v>175</v>
      </c>
      <c r="C47" s="11">
        <v>58694</v>
      </c>
      <c r="D47" s="11">
        <v>75813</v>
      </c>
      <c r="E47" s="11">
        <v>63585</v>
      </c>
      <c r="F47" s="11">
        <v>61140</v>
      </c>
      <c r="G47" s="11">
        <v>24456</v>
      </c>
      <c r="H47" s="11">
        <v>61140</v>
      </c>
      <c r="I47" s="11">
        <v>53802</v>
      </c>
      <c r="J47" s="11">
        <v>63584</v>
      </c>
      <c r="K47" s="11">
        <v>61139</v>
      </c>
      <c r="L47" s="11">
        <v>66032</v>
      </c>
      <c r="M47" s="11">
        <v>56248</v>
      </c>
      <c r="N47" s="11">
        <v>73367</v>
      </c>
      <c r="O47" s="11">
        <v>68476</v>
      </c>
      <c r="P47" s="11">
        <v>4892</v>
      </c>
      <c r="Q47" s="11">
        <v>51357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3">
        <f t="shared" si="8"/>
        <v>843725</v>
      </c>
      <c r="X47" s="13">
        <f t="shared" si="12"/>
        <v>42186.25</v>
      </c>
      <c r="Y47" s="10">
        <f>W47/W13</f>
        <v>4.8673842937272366E-2</v>
      </c>
    </row>
    <row r="48" spans="1:25">
      <c r="A48" s="47"/>
      <c r="B48" s="8" t="s">
        <v>176</v>
      </c>
      <c r="C48" s="11">
        <v>3417</v>
      </c>
      <c r="D48" s="11">
        <v>4413</v>
      </c>
      <c r="E48" s="11">
        <v>3702</v>
      </c>
      <c r="F48" s="11">
        <v>3559</v>
      </c>
      <c r="G48" s="11">
        <v>1424</v>
      </c>
      <c r="H48" s="11">
        <v>3559</v>
      </c>
      <c r="I48" s="11">
        <v>3132</v>
      </c>
      <c r="J48" s="11">
        <v>3701</v>
      </c>
      <c r="K48" s="11">
        <v>3559</v>
      </c>
      <c r="L48" s="11">
        <v>3843</v>
      </c>
      <c r="M48" s="11">
        <v>3274</v>
      </c>
      <c r="N48" s="11">
        <v>4270</v>
      </c>
      <c r="O48" s="11">
        <v>3987</v>
      </c>
      <c r="P48" s="11">
        <v>284</v>
      </c>
      <c r="Q48" s="11">
        <v>2990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3">
        <f t="shared" si="8"/>
        <v>49114</v>
      </c>
      <c r="X48" s="13">
        <f t="shared" si="12"/>
        <v>2455.6999999999998</v>
      </c>
      <c r="Y48" s="10">
        <f>W48/W13</f>
        <v>2.8333486882825506E-3</v>
      </c>
    </row>
    <row r="49" spans="1:25">
      <c r="A49" s="47"/>
      <c r="B49" s="20" t="s">
        <v>177</v>
      </c>
      <c r="C49" s="21">
        <f t="shared" ref="C49:V49" si="13">SUM(C45:C48)</f>
        <v>418244</v>
      </c>
      <c r="D49" s="21">
        <f t="shared" si="13"/>
        <v>540229</v>
      </c>
      <c r="E49" s="21">
        <f t="shared" si="13"/>
        <v>453098</v>
      </c>
      <c r="F49" s="21">
        <f t="shared" si="13"/>
        <v>435670</v>
      </c>
      <c r="G49" s="21">
        <f t="shared" si="13"/>
        <v>174268</v>
      </c>
      <c r="H49" s="21">
        <f t="shared" si="13"/>
        <v>435670</v>
      </c>
      <c r="I49" s="21">
        <f t="shared" si="13"/>
        <v>383388</v>
      </c>
      <c r="J49" s="21">
        <f t="shared" si="13"/>
        <v>453094</v>
      </c>
      <c r="K49" s="21">
        <f t="shared" si="13"/>
        <v>435669</v>
      </c>
      <c r="L49" s="21">
        <f t="shared" si="13"/>
        <v>470521</v>
      </c>
      <c r="M49" s="21">
        <f t="shared" si="13"/>
        <v>400814</v>
      </c>
      <c r="N49" s="21">
        <f t="shared" si="13"/>
        <v>522801</v>
      </c>
      <c r="O49" s="21">
        <f t="shared" si="13"/>
        <v>487951</v>
      </c>
      <c r="P49" s="21">
        <f t="shared" si="13"/>
        <v>34852</v>
      </c>
      <c r="Q49" s="21">
        <f t="shared" si="13"/>
        <v>365963</v>
      </c>
      <c r="R49" s="21">
        <f t="shared" si="13"/>
        <v>0</v>
      </c>
      <c r="S49" s="21">
        <f t="shared" si="13"/>
        <v>0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3">
        <f t="shared" si="8"/>
        <v>6012232</v>
      </c>
      <c r="X49" s="23">
        <f t="shared" si="12"/>
        <v>300611.59999999998</v>
      </c>
      <c r="Y49" s="24">
        <f>W49/W13</f>
        <v>0.34684101581728993</v>
      </c>
    </row>
    <row r="50" spans="1:25">
      <c r="A50" s="47" t="s">
        <v>178</v>
      </c>
      <c r="B50" s="8" t="s">
        <v>179</v>
      </c>
      <c r="C50" s="11">
        <v>6500</v>
      </c>
      <c r="D50" s="11">
        <v>6500</v>
      </c>
      <c r="E50" s="11">
        <v>6500</v>
      </c>
      <c r="F50" s="11">
        <v>6500</v>
      </c>
      <c r="G50" s="11">
        <v>6500</v>
      </c>
      <c r="H50" s="11">
        <v>6500</v>
      </c>
      <c r="I50" s="11">
        <v>6500</v>
      </c>
      <c r="J50" s="11">
        <v>6500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0</v>
      </c>
      <c r="S50" s="11">
        <v>0</v>
      </c>
      <c r="T50" s="11">
        <v>6500</v>
      </c>
      <c r="U50" s="11">
        <v>6500</v>
      </c>
      <c r="V50" s="11">
        <v>6500</v>
      </c>
      <c r="W50" s="13">
        <f t="shared" si="8"/>
        <v>117000</v>
      </c>
      <c r="X50" s="13">
        <f t="shared" si="12"/>
        <v>5850</v>
      </c>
      <c r="Y50" s="10">
        <f>W50/W13</f>
        <v>6.7496395432882364E-3</v>
      </c>
    </row>
    <row r="51" spans="1:25">
      <c r="A51" s="47"/>
      <c r="B51" s="8" t="s">
        <v>180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3">
        <f t="shared" si="8"/>
        <v>0</v>
      </c>
      <c r="X51" s="13">
        <f t="shared" si="12"/>
        <v>0</v>
      </c>
      <c r="Y51" s="10">
        <f>W51/W13</f>
        <v>0</v>
      </c>
    </row>
    <row r="52" spans="1:25">
      <c r="A52" s="47"/>
      <c r="B52" s="8" t="s">
        <v>181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3">
        <f t="shared" si="8"/>
        <v>0</v>
      </c>
      <c r="X52" s="13">
        <f t="shared" si="12"/>
        <v>0</v>
      </c>
      <c r="Y52" s="10">
        <f>W52/W13</f>
        <v>0</v>
      </c>
    </row>
    <row r="53" spans="1:25">
      <c r="A53" s="47"/>
      <c r="B53" s="8" t="s">
        <v>182</v>
      </c>
      <c r="C53" s="11">
        <v>97761.777777777781</v>
      </c>
      <c r="D53" s="11">
        <v>97761.777777777781</v>
      </c>
      <c r="E53" s="11">
        <v>97761.777777777781</v>
      </c>
      <c r="F53" s="11">
        <v>97761.777777777781</v>
      </c>
      <c r="G53" s="11">
        <v>97761.777777777781</v>
      </c>
      <c r="H53" s="11">
        <v>97761.777777777781</v>
      </c>
      <c r="I53" s="11">
        <v>97761.777777777781</v>
      </c>
      <c r="J53" s="11">
        <v>97761.777777777781</v>
      </c>
      <c r="K53" s="11">
        <v>97761.777777777781</v>
      </c>
      <c r="L53" s="11">
        <v>97761.777777777781</v>
      </c>
      <c r="M53" s="11">
        <v>97761.777777777781</v>
      </c>
      <c r="N53" s="11">
        <v>97761.777777777781</v>
      </c>
      <c r="O53" s="11">
        <v>97761.777777777781</v>
      </c>
      <c r="P53" s="11">
        <v>97761.777777777781</v>
      </c>
      <c r="Q53" s="11">
        <v>97761.777777777781</v>
      </c>
      <c r="R53" s="11">
        <v>0</v>
      </c>
      <c r="S53" s="11">
        <v>0</v>
      </c>
      <c r="T53" s="11">
        <v>97761.777777777781</v>
      </c>
      <c r="U53" s="11">
        <v>97761.777777777781</v>
      </c>
      <c r="V53" s="11">
        <v>97761.777777777781</v>
      </c>
      <c r="W53" s="13">
        <f t="shared" si="8"/>
        <v>1759711.9999999998</v>
      </c>
      <c r="X53" s="13">
        <f t="shared" si="12"/>
        <v>87985.599999999991</v>
      </c>
      <c r="Y53" s="10">
        <f>W53/W13</f>
        <v>0.10151642478631476</v>
      </c>
    </row>
    <row r="54" spans="1:25">
      <c r="A54" s="47"/>
      <c r="B54" s="8" t="s">
        <v>183</v>
      </c>
      <c r="C54" s="11">
        <v>64655.722222222219</v>
      </c>
      <c r="D54" s="11">
        <v>64655.722222222219</v>
      </c>
      <c r="E54" s="11">
        <v>64655.722222222219</v>
      </c>
      <c r="F54" s="11">
        <v>64655.722222222219</v>
      </c>
      <c r="G54" s="11">
        <v>64655.722222222219</v>
      </c>
      <c r="H54" s="11">
        <v>64655.722222222219</v>
      </c>
      <c r="I54" s="11">
        <v>64655.722222222219</v>
      </c>
      <c r="J54" s="11">
        <v>64655.722222222219</v>
      </c>
      <c r="K54" s="11">
        <v>64655.722222222219</v>
      </c>
      <c r="L54" s="11">
        <v>64655.722222222219</v>
      </c>
      <c r="M54" s="11">
        <v>64655.722222222219</v>
      </c>
      <c r="N54" s="11">
        <v>64655.722222222219</v>
      </c>
      <c r="O54" s="11">
        <v>64655.722222222219</v>
      </c>
      <c r="P54" s="11">
        <v>64655.722222222219</v>
      </c>
      <c r="Q54" s="11">
        <v>64655.722222222219</v>
      </c>
      <c r="R54" s="11">
        <v>0</v>
      </c>
      <c r="S54" s="11">
        <v>0</v>
      </c>
      <c r="T54" s="11">
        <v>64655.722222222219</v>
      </c>
      <c r="U54" s="11">
        <v>64655.722222222219</v>
      </c>
      <c r="V54" s="11">
        <v>64655.722222222219</v>
      </c>
      <c r="W54" s="13">
        <f t="shared" si="8"/>
        <v>1163803.0000000002</v>
      </c>
      <c r="X54" s="13">
        <f t="shared" si="12"/>
        <v>58190.150000000009</v>
      </c>
      <c r="Y54" s="10">
        <f>W54/W13</f>
        <v>6.7138895293995568E-2</v>
      </c>
    </row>
    <row r="55" spans="1:25">
      <c r="A55" s="47"/>
      <c r="B55" s="20" t="s">
        <v>184</v>
      </c>
      <c r="C55" s="21">
        <f t="shared" ref="C55:V55" si="14">SUM(C50:C54)</f>
        <v>168917.5</v>
      </c>
      <c r="D55" s="21">
        <f t="shared" si="14"/>
        <v>168917.5</v>
      </c>
      <c r="E55" s="21">
        <f t="shared" si="14"/>
        <v>168917.5</v>
      </c>
      <c r="F55" s="21">
        <f t="shared" si="14"/>
        <v>168917.5</v>
      </c>
      <c r="G55" s="21">
        <f t="shared" si="14"/>
        <v>168917.5</v>
      </c>
      <c r="H55" s="21">
        <f t="shared" si="14"/>
        <v>168917.5</v>
      </c>
      <c r="I55" s="21">
        <f t="shared" si="14"/>
        <v>168917.5</v>
      </c>
      <c r="J55" s="21">
        <f t="shared" si="14"/>
        <v>168917.5</v>
      </c>
      <c r="K55" s="21">
        <f t="shared" si="14"/>
        <v>168917.5</v>
      </c>
      <c r="L55" s="21">
        <f t="shared" si="14"/>
        <v>168917.5</v>
      </c>
      <c r="M55" s="21">
        <f t="shared" si="14"/>
        <v>168917.5</v>
      </c>
      <c r="N55" s="21">
        <f t="shared" si="14"/>
        <v>168917.5</v>
      </c>
      <c r="O55" s="21">
        <f t="shared" si="14"/>
        <v>168917.5</v>
      </c>
      <c r="P55" s="21">
        <f t="shared" si="14"/>
        <v>168917.5</v>
      </c>
      <c r="Q55" s="21">
        <f t="shared" si="14"/>
        <v>168917.5</v>
      </c>
      <c r="R55" s="21">
        <f t="shared" si="14"/>
        <v>0</v>
      </c>
      <c r="S55" s="21">
        <f t="shared" si="14"/>
        <v>0</v>
      </c>
      <c r="T55" s="21">
        <f t="shared" si="14"/>
        <v>168917.5</v>
      </c>
      <c r="U55" s="21">
        <f t="shared" si="14"/>
        <v>168917.5</v>
      </c>
      <c r="V55" s="21">
        <f t="shared" si="14"/>
        <v>168917.5</v>
      </c>
      <c r="W55" s="23">
        <f t="shared" si="8"/>
        <v>3040515</v>
      </c>
      <c r="X55" s="23">
        <f t="shared" si="12"/>
        <v>152025.75</v>
      </c>
      <c r="Y55" s="24">
        <f>W55/W13</f>
        <v>0.17540495962359856</v>
      </c>
    </row>
    <row r="56" spans="1:25">
      <c r="A56" s="46" t="s">
        <v>185</v>
      </c>
      <c r="B56" s="46"/>
      <c r="C56" s="11">
        <f t="shared" ref="C56:V56" si="15">SUM(C49+C22+C27+C33+C39+C44+C55)</f>
        <v>812908.58571428573</v>
      </c>
      <c r="D56" s="11">
        <f t="shared" si="15"/>
        <v>1000688.1</v>
      </c>
      <c r="E56" s="11">
        <f t="shared" si="15"/>
        <v>923027.98571428563</v>
      </c>
      <c r="F56" s="11">
        <f t="shared" si="15"/>
        <v>929081.24285714282</v>
      </c>
      <c r="G56" s="11">
        <f t="shared" si="15"/>
        <v>606445.1</v>
      </c>
      <c r="H56" s="11">
        <f t="shared" si="15"/>
        <v>1133732.7</v>
      </c>
      <c r="I56" s="11">
        <f t="shared" si="15"/>
        <v>1033201.1000000001</v>
      </c>
      <c r="J56" s="11">
        <f t="shared" si="15"/>
        <v>914463.78571428568</v>
      </c>
      <c r="K56" s="11">
        <f t="shared" si="15"/>
        <v>924656.92857142864</v>
      </c>
      <c r="L56" s="11">
        <f t="shared" si="15"/>
        <v>995148.35714285716</v>
      </c>
      <c r="M56" s="11">
        <f t="shared" si="15"/>
        <v>1246505.2142857143</v>
      </c>
      <c r="N56" s="11">
        <f t="shared" si="15"/>
        <v>1315146.9857142856</v>
      </c>
      <c r="O56" s="11">
        <f t="shared" si="15"/>
        <v>1368085.0428571426</v>
      </c>
      <c r="P56" s="11">
        <f t="shared" si="15"/>
        <v>317823.35714285716</v>
      </c>
      <c r="Q56" s="11">
        <f t="shared" si="15"/>
        <v>1050921.7</v>
      </c>
      <c r="R56" s="11">
        <f t="shared" si="15"/>
        <v>0</v>
      </c>
      <c r="S56" s="11">
        <f t="shared" si="15"/>
        <v>0</v>
      </c>
      <c r="T56" s="11">
        <f t="shared" si="15"/>
        <v>256880.5</v>
      </c>
      <c r="U56" s="11">
        <f t="shared" si="15"/>
        <v>407869.5</v>
      </c>
      <c r="V56" s="11">
        <f t="shared" si="15"/>
        <v>231490.5</v>
      </c>
      <c r="W56" s="13">
        <f t="shared" si="8"/>
        <v>15468076.685714282</v>
      </c>
      <c r="X56" s="13">
        <f t="shared" si="12"/>
        <v>773403.83428571408</v>
      </c>
      <c r="Y56" s="10">
        <f>W56/W13</f>
        <v>0.89234138509839289</v>
      </c>
    </row>
    <row r="57" spans="1:25">
      <c r="A57" s="46" t="s">
        <v>186</v>
      </c>
      <c r="B57" s="46"/>
      <c r="C57" s="11">
        <f t="shared" ref="C57:V57" si="16">SUM(C13+C14-C56)</f>
        <v>205075.41428571427</v>
      </c>
      <c r="D57" s="11">
        <f t="shared" si="16"/>
        <v>232551.90000000002</v>
      </c>
      <c r="E57" s="11">
        <f t="shared" si="16"/>
        <v>295452.01428571437</v>
      </c>
      <c r="F57" s="11">
        <f t="shared" si="16"/>
        <v>314088.75714285718</v>
      </c>
      <c r="G57" s="11">
        <f t="shared" si="16"/>
        <v>-302985.09999999998</v>
      </c>
      <c r="H57" s="11">
        <f t="shared" si="16"/>
        <v>89367.300000000047</v>
      </c>
      <c r="I57" s="11">
        <f t="shared" si="16"/>
        <v>174298.89999999991</v>
      </c>
      <c r="J57" s="11">
        <f t="shared" si="16"/>
        <v>294776.21428571432</v>
      </c>
      <c r="K57" s="11">
        <f t="shared" si="16"/>
        <v>289203.07142857136</v>
      </c>
      <c r="L57" s="11">
        <f t="shared" si="16"/>
        <v>230711.64285714284</v>
      </c>
      <c r="M57" s="11">
        <f t="shared" si="16"/>
        <v>40754.785714285681</v>
      </c>
      <c r="N57" s="11">
        <f t="shared" si="16"/>
        <v>81953.014285714366</v>
      </c>
      <c r="O57" s="11">
        <f t="shared" si="16"/>
        <v>195164.95714285737</v>
      </c>
      <c r="P57" s="11">
        <f t="shared" si="16"/>
        <v>-317823.35714285716</v>
      </c>
      <c r="Q57" s="11">
        <f t="shared" si="16"/>
        <v>545414.30000000005</v>
      </c>
      <c r="R57" s="11">
        <f t="shared" si="16"/>
        <v>10000</v>
      </c>
      <c r="S57" s="11">
        <f t="shared" si="16"/>
        <v>595589</v>
      </c>
      <c r="T57" s="11">
        <f t="shared" si="16"/>
        <v>-256880.5</v>
      </c>
      <c r="U57" s="11">
        <f t="shared" si="16"/>
        <v>-407869.5</v>
      </c>
      <c r="V57" s="11">
        <f t="shared" si="16"/>
        <v>-231490.5</v>
      </c>
      <c r="W57" s="13">
        <f t="shared" si="8"/>
        <v>2077352.3142857142</v>
      </c>
      <c r="X57" s="13">
        <f t="shared" si="12"/>
        <v>103867.61571428571</v>
      </c>
      <c r="Y57" s="10">
        <f>W57/W13</f>
        <v>0.11984084893883921</v>
      </c>
    </row>
    <row r="58" spans="1:25">
      <c r="A58" s="46" t="s">
        <v>187</v>
      </c>
      <c r="B58" s="46"/>
      <c r="C58" s="11">
        <v>117386.075</v>
      </c>
      <c r="D58" s="11">
        <v>117386.075</v>
      </c>
      <c r="E58" s="11">
        <v>117386.075</v>
      </c>
      <c r="F58" s="11">
        <v>117386.075</v>
      </c>
      <c r="G58" s="11">
        <v>117386.075</v>
      </c>
      <c r="H58" s="11">
        <v>117386.075</v>
      </c>
      <c r="I58" s="11">
        <v>117386.075</v>
      </c>
      <c r="J58" s="11">
        <v>117386.075</v>
      </c>
      <c r="K58" s="11">
        <v>117386.075</v>
      </c>
      <c r="L58" s="11">
        <v>117386.075</v>
      </c>
      <c r="M58" s="11">
        <v>117386.075</v>
      </c>
      <c r="N58" s="11">
        <v>117386.075</v>
      </c>
      <c r="O58" s="11">
        <v>117386.075</v>
      </c>
      <c r="P58" s="11">
        <v>117386.075</v>
      </c>
      <c r="Q58" s="11">
        <v>117386.075</v>
      </c>
      <c r="R58" s="11">
        <v>0</v>
      </c>
      <c r="S58" s="11">
        <v>0</v>
      </c>
      <c r="T58" s="11">
        <v>117386.075</v>
      </c>
      <c r="U58" s="11">
        <v>117386.075</v>
      </c>
      <c r="V58" s="11">
        <v>117386.075</v>
      </c>
      <c r="W58" s="13">
        <f t="shared" si="8"/>
        <v>2112949.3499999996</v>
      </c>
      <c r="X58" s="13">
        <f t="shared" si="12"/>
        <v>105647.46749999998</v>
      </c>
      <c r="Y58" s="10">
        <f>W58/W13</f>
        <v>0.12189441440790746</v>
      </c>
    </row>
    <row r="59" spans="1:25">
      <c r="A59" s="46" t="s">
        <v>188</v>
      </c>
      <c r="B59" s="46"/>
      <c r="C59" s="11">
        <v>46460</v>
      </c>
      <c r="D59" s="11">
        <v>46460</v>
      </c>
      <c r="E59" s="11">
        <v>46460</v>
      </c>
      <c r="F59" s="11">
        <v>46460</v>
      </c>
      <c r="G59" s="11">
        <v>46460</v>
      </c>
      <c r="H59" s="11">
        <v>46460</v>
      </c>
      <c r="I59" s="11">
        <v>46460</v>
      </c>
      <c r="J59" s="11">
        <v>46460</v>
      </c>
      <c r="K59" s="11">
        <v>46460</v>
      </c>
      <c r="L59" s="11">
        <v>46460</v>
      </c>
      <c r="M59" s="11">
        <v>46460</v>
      </c>
      <c r="N59" s="11">
        <v>46460</v>
      </c>
      <c r="O59" s="11">
        <v>46460</v>
      </c>
      <c r="P59" s="11">
        <v>46460</v>
      </c>
      <c r="Q59" s="11">
        <v>46460</v>
      </c>
      <c r="R59" s="11">
        <v>0</v>
      </c>
      <c r="S59" s="11">
        <v>0</v>
      </c>
      <c r="T59" s="11">
        <v>46460</v>
      </c>
      <c r="U59" s="11">
        <v>46460</v>
      </c>
      <c r="V59" s="11">
        <v>46460</v>
      </c>
      <c r="W59" s="13">
        <f t="shared" si="8"/>
        <v>836280</v>
      </c>
      <c r="X59" s="13">
        <f t="shared" si="12"/>
        <v>41814</v>
      </c>
      <c r="Y59" s="10">
        <f>W59/W13</f>
        <v>4.8244346643257149E-2</v>
      </c>
    </row>
    <row r="60" spans="1:25">
      <c r="A60" s="46" t="s">
        <v>189</v>
      </c>
      <c r="B60" s="46"/>
      <c r="C60" s="11">
        <f t="shared" ref="C60:V60" si="17">SUM(C57-(C58+C59))</f>
        <v>41229.339285714261</v>
      </c>
      <c r="D60" s="11">
        <f t="shared" si="17"/>
        <v>68705.825000000012</v>
      </c>
      <c r="E60" s="11">
        <f t="shared" si="17"/>
        <v>131605.93928571435</v>
      </c>
      <c r="F60" s="11">
        <f t="shared" si="17"/>
        <v>150242.68214285717</v>
      </c>
      <c r="G60" s="11">
        <f t="shared" si="17"/>
        <v>-466831.17499999999</v>
      </c>
      <c r="H60" s="11">
        <f t="shared" si="17"/>
        <v>-74478.774999999965</v>
      </c>
      <c r="I60" s="11">
        <f t="shared" si="17"/>
        <v>10452.824999999895</v>
      </c>
      <c r="J60" s="11">
        <f t="shared" si="17"/>
        <v>130930.13928571431</v>
      </c>
      <c r="K60" s="11">
        <f t="shared" si="17"/>
        <v>125356.99642857135</v>
      </c>
      <c r="L60" s="11">
        <f t="shared" si="17"/>
        <v>66865.567857142829</v>
      </c>
      <c r="M60" s="11">
        <f t="shared" si="17"/>
        <v>-123091.28928571433</v>
      </c>
      <c r="N60" s="11">
        <f t="shared" si="17"/>
        <v>-81893.060714285646</v>
      </c>
      <c r="O60" s="11">
        <f t="shared" si="17"/>
        <v>31318.882142857357</v>
      </c>
      <c r="P60" s="11">
        <f t="shared" si="17"/>
        <v>-481669.43214285717</v>
      </c>
      <c r="Q60" s="11">
        <f t="shared" si="17"/>
        <v>381568.22500000003</v>
      </c>
      <c r="R60" s="11">
        <f t="shared" si="17"/>
        <v>10000</v>
      </c>
      <c r="S60" s="11">
        <f t="shared" si="17"/>
        <v>595589</v>
      </c>
      <c r="T60" s="11">
        <f t="shared" si="17"/>
        <v>-420726.57500000001</v>
      </c>
      <c r="U60" s="11">
        <f t="shared" si="17"/>
        <v>-571715.57499999995</v>
      </c>
      <c r="V60" s="11">
        <f t="shared" si="17"/>
        <v>-395336.57500000001</v>
      </c>
      <c r="W60" s="13">
        <f t="shared" si="8"/>
        <v>-871877.03571428545</v>
      </c>
      <c r="X60" s="13">
        <f t="shared" si="12"/>
        <v>-43593.851785714272</v>
      </c>
      <c r="Y60" s="10">
        <f>W60/W13</f>
        <v>-5.0297912112325392E-2</v>
      </c>
    </row>
    <row r="61" spans="1:25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</row>
    <row r="62" spans="1:25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</row>
    <row r="63" spans="1:25">
      <c r="A63" s="9"/>
      <c r="B63" s="35" t="s">
        <v>196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</row>
    <row r="64" spans="1:25">
      <c r="A64" s="9"/>
      <c r="B64" s="36" t="s">
        <v>197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</row>
    <row r="65" spans="1:22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</row>
    <row r="66" spans="1:22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</row>
    <row r="67" spans="1:22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</row>
    <row r="68" spans="1:22">
      <c r="A68" s="8"/>
      <c r="B68" s="35" t="s">
        <v>196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</row>
    <row r="69" spans="1:22">
      <c r="A69" s="8"/>
      <c r="B69" s="36" t="s">
        <v>197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</row>
    <row r="70" spans="1:22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</row>
    <row r="71" spans="1:22">
      <c r="A71" s="8"/>
      <c r="B71" s="8" t="s">
        <v>201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</row>
    <row r="72" spans="1:22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1:22">
      <c r="A73" s="8"/>
      <c r="B73" s="35" t="s">
        <v>196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2">
      <c r="A74" s="8"/>
      <c r="B74" s="36" t="s">
        <v>197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1:22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1:22">
      <c r="A76" s="8"/>
      <c r="B76" s="8" t="s">
        <v>205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1:22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1:22">
      <c r="A78" s="8"/>
      <c r="B78" s="35" t="s">
        <v>196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2">
      <c r="A79" s="8"/>
      <c r="B79" s="36" t="s">
        <v>197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2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</row>
    <row r="81" spans="1:22">
      <c r="A81" s="8"/>
      <c r="B81" s="8" t="s">
        <v>209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</row>
    <row r="82" spans="1:22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</row>
    <row r="83" spans="1:22">
      <c r="A83" s="8"/>
      <c r="B83" s="35" t="s">
        <v>196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</row>
    <row r="84" spans="1:22">
      <c r="A84" s="8"/>
      <c r="B84" s="36" t="s">
        <v>197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</row>
    <row r="85" spans="1:22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</row>
    <row r="86" spans="1:2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</row>
    <row r="87" spans="1:22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</row>
    <row r="88" spans="1:22">
      <c r="A88" s="8"/>
      <c r="B88" s="35" t="s">
        <v>196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</row>
    <row r="89" spans="1:22">
      <c r="B89" s="36" t="s">
        <v>197</v>
      </c>
    </row>
    <row r="90" spans="1:22">
      <c r="B90" s="36" t="s">
        <v>46</v>
      </c>
    </row>
    <row r="92" spans="1:22">
      <c r="B92" s="33"/>
    </row>
    <row r="93" spans="1:22">
      <c r="B93" s="35" t="s">
        <v>196</v>
      </c>
    </row>
    <row r="94" spans="1:22">
      <c r="B94" s="36" t="s">
        <v>197</v>
      </c>
    </row>
    <row r="95" spans="1:22">
      <c r="B95" s="36" t="s">
        <v>46</v>
      </c>
    </row>
    <row r="97" spans="2:2">
      <c r="B97" s="33"/>
    </row>
    <row r="98" spans="2:2">
      <c r="B98" s="35" t="s">
        <v>196</v>
      </c>
    </row>
    <row r="99" spans="2:2">
      <c r="B99" s="36" t="s">
        <v>197</v>
      </c>
    </row>
    <row r="100" spans="2:2">
      <c r="B100" s="36" t="s">
        <v>46</v>
      </c>
    </row>
    <row r="102" spans="2:2">
      <c r="B102" s="8" t="s">
        <v>222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6C2D-815C-436A-9334-5CE4DB59EDD4}">
  <sheetPr codeName="Sheet7"/>
  <dimension ref="A2:L102"/>
  <sheetViews>
    <sheetView workbookViewId="0">
      <selection sqref="A1:L60"/>
    </sheetView>
  </sheetViews>
  <sheetFormatPr defaultRowHeight="13.5"/>
  <cols>
    <col min="1" max="1" width="2.85546875" style="1" bestFit="1" customWidth="1"/>
    <col min="2" max="2" width="16.5703125" style="1" bestFit="1" customWidth="1"/>
    <col min="3" max="6" width="11" style="1" bestFit="1" customWidth="1"/>
    <col min="7" max="9" width="12.28515625" style="1" bestFit="1" customWidth="1"/>
    <col min="10" max="10" width="13.28515625" style="1" bestFit="1" customWidth="1"/>
    <col min="11" max="11" width="10" style="1" bestFit="1" customWidth="1"/>
    <col min="12" max="12" width="11" style="1" bestFit="1" customWidth="1"/>
    <col min="13" max="218" width="9" style="1"/>
    <col min="219" max="219" width="2.85546875" style="1" bestFit="1" customWidth="1"/>
    <col min="220" max="220" width="16.5703125" style="1" bestFit="1" customWidth="1"/>
    <col min="221" max="221" width="11.42578125" style="1" bestFit="1" customWidth="1"/>
    <col min="222" max="223" width="14.140625" style="1" bestFit="1" customWidth="1"/>
    <col min="224" max="224" width="11.42578125" style="1" bestFit="1" customWidth="1"/>
    <col min="225" max="228" width="12.42578125" style="1" bestFit="1" customWidth="1"/>
    <col min="229" max="248" width="13" style="1" bestFit="1" customWidth="1"/>
    <col min="249" max="252" width="11" style="1" bestFit="1" customWidth="1"/>
    <col min="253" max="255" width="12.28515625" style="1" bestFit="1" customWidth="1"/>
    <col min="256" max="265" width="11" style="1" bestFit="1" customWidth="1"/>
    <col min="266" max="266" width="13.28515625" style="1" bestFit="1" customWidth="1"/>
    <col min="267" max="267" width="10" style="1" bestFit="1" customWidth="1"/>
    <col min="268" max="268" width="11" style="1" bestFit="1" customWidth="1"/>
    <col min="269" max="474" width="9" style="1"/>
    <col min="475" max="475" width="2.85546875" style="1" bestFit="1" customWidth="1"/>
    <col min="476" max="476" width="16.5703125" style="1" bestFit="1" customWidth="1"/>
    <col min="477" max="477" width="11.42578125" style="1" bestFit="1" customWidth="1"/>
    <col min="478" max="479" width="14.140625" style="1" bestFit="1" customWidth="1"/>
    <col min="480" max="480" width="11.42578125" style="1" bestFit="1" customWidth="1"/>
    <col min="481" max="484" width="12.42578125" style="1" bestFit="1" customWidth="1"/>
    <col min="485" max="504" width="13" style="1" bestFit="1" customWidth="1"/>
    <col min="505" max="508" width="11" style="1" bestFit="1" customWidth="1"/>
    <col min="509" max="511" width="12.28515625" style="1" bestFit="1" customWidth="1"/>
    <col min="512" max="521" width="11" style="1" bestFit="1" customWidth="1"/>
    <col min="522" max="522" width="13.28515625" style="1" bestFit="1" customWidth="1"/>
    <col min="523" max="523" width="10" style="1" bestFit="1" customWidth="1"/>
    <col min="524" max="524" width="11" style="1" bestFit="1" customWidth="1"/>
    <col min="525" max="730" width="9" style="1"/>
    <col min="731" max="731" width="2.85546875" style="1" bestFit="1" customWidth="1"/>
    <col min="732" max="732" width="16.5703125" style="1" bestFit="1" customWidth="1"/>
    <col min="733" max="733" width="11.42578125" style="1" bestFit="1" customWidth="1"/>
    <col min="734" max="735" width="14.140625" style="1" bestFit="1" customWidth="1"/>
    <col min="736" max="736" width="11.42578125" style="1" bestFit="1" customWidth="1"/>
    <col min="737" max="740" width="12.42578125" style="1" bestFit="1" customWidth="1"/>
    <col min="741" max="760" width="13" style="1" bestFit="1" customWidth="1"/>
    <col min="761" max="764" width="11" style="1" bestFit="1" customWidth="1"/>
    <col min="765" max="767" width="12.28515625" style="1" bestFit="1" customWidth="1"/>
    <col min="768" max="777" width="11" style="1" bestFit="1" customWidth="1"/>
    <col min="778" max="778" width="13.28515625" style="1" bestFit="1" customWidth="1"/>
    <col min="779" max="779" width="10" style="1" bestFit="1" customWidth="1"/>
    <col min="780" max="780" width="11" style="1" bestFit="1" customWidth="1"/>
    <col min="781" max="986" width="9" style="1"/>
    <col min="987" max="987" width="2.85546875" style="1" bestFit="1" customWidth="1"/>
    <col min="988" max="988" width="16.5703125" style="1" bestFit="1" customWidth="1"/>
    <col min="989" max="989" width="11.42578125" style="1" bestFit="1" customWidth="1"/>
    <col min="990" max="991" width="14.140625" style="1" bestFit="1" customWidth="1"/>
    <col min="992" max="992" width="11.42578125" style="1" bestFit="1" customWidth="1"/>
    <col min="993" max="996" width="12.42578125" style="1" bestFit="1" customWidth="1"/>
    <col min="997" max="1016" width="13" style="1" bestFit="1" customWidth="1"/>
    <col min="1017" max="1020" width="11" style="1" bestFit="1" customWidth="1"/>
    <col min="1021" max="1023" width="12.28515625" style="1" bestFit="1" customWidth="1"/>
    <col min="1024" max="1033" width="11" style="1" bestFit="1" customWidth="1"/>
    <col min="1034" max="1034" width="13.28515625" style="1" bestFit="1" customWidth="1"/>
    <col min="1035" max="1035" width="10" style="1" bestFit="1" customWidth="1"/>
    <col min="1036" max="1036" width="11" style="1" bestFit="1" customWidth="1"/>
    <col min="1037" max="1242" width="9" style="1"/>
    <col min="1243" max="1243" width="2.85546875" style="1" bestFit="1" customWidth="1"/>
    <col min="1244" max="1244" width="16.5703125" style="1" bestFit="1" customWidth="1"/>
    <col min="1245" max="1245" width="11.42578125" style="1" bestFit="1" customWidth="1"/>
    <col min="1246" max="1247" width="14.140625" style="1" bestFit="1" customWidth="1"/>
    <col min="1248" max="1248" width="11.42578125" style="1" bestFit="1" customWidth="1"/>
    <col min="1249" max="1252" width="12.42578125" style="1" bestFit="1" customWidth="1"/>
    <col min="1253" max="1272" width="13" style="1" bestFit="1" customWidth="1"/>
    <col min="1273" max="1276" width="11" style="1" bestFit="1" customWidth="1"/>
    <col min="1277" max="1279" width="12.28515625" style="1" bestFit="1" customWidth="1"/>
    <col min="1280" max="1289" width="11" style="1" bestFit="1" customWidth="1"/>
    <col min="1290" max="1290" width="13.28515625" style="1" bestFit="1" customWidth="1"/>
    <col min="1291" max="1291" width="10" style="1" bestFit="1" customWidth="1"/>
    <col min="1292" max="1292" width="11" style="1" bestFit="1" customWidth="1"/>
    <col min="1293" max="1498" width="9" style="1"/>
    <col min="1499" max="1499" width="2.85546875" style="1" bestFit="1" customWidth="1"/>
    <col min="1500" max="1500" width="16.5703125" style="1" bestFit="1" customWidth="1"/>
    <col min="1501" max="1501" width="11.42578125" style="1" bestFit="1" customWidth="1"/>
    <col min="1502" max="1503" width="14.140625" style="1" bestFit="1" customWidth="1"/>
    <col min="1504" max="1504" width="11.42578125" style="1" bestFit="1" customWidth="1"/>
    <col min="1505" max="1508" width="12.42578125" style="1" bestFit="1" customWidth="1"/>
    <col min="1509" max="1528" width="13" style="1" bestFit="1" customWidth="1"/>
    <col min="1529" max="1532" width="11" style="1" bestFit="1" customWidth="1"/>
    <col min="1533" max="1535" width="12.28515625" style="1" bestFit="1" customWidth="1"/>
    <col min="1536" max="1545" width="11" style="1" bestFit="1" customWidth="1"/>
    <col min="1546" max="1546" width="13.28515625" style="1" bestFit="1" customWidth="1"/>
    <col min="1547" max="1547" width="10" style="1" bestFit="1" customWidth="1"/>
    <col min="1548" max="1548" width="11" style="1" bestFit="1" customWidth="1"/>
    <col min="1549" max="1754" width="9" style="1"/>
    <col min="1755" max="1755" width="2.85546875" style="1" bestFit="1" customWidth="1"/>
    <col min="1756" max="1756" width="16.5703125" style="1" bestFit="1" customWidth="1"/>
    <col min="1757" max="1757" width="11.42578125" style="1" bestFit="1" customWidth="1"/>
    <col min="1758" max="1759" width="14.140625" style="1" bestFit="1" customWidth="1"/>
    <col min="1760" max="1760" width="11.42578125" style="1" bestFit="1" customWidth="1"/>
    <col min="1761" max="1764" width="12.42578125" style="1" bestFit="1" customWidth="1"/>
    <col min="1765" max="1784" width="13" style="1" bestFit="1" customWidth="1"/>
    <col min="1785" max="1788" width="11" style="1" bestFit="1" customWidth="1"/>
    <col min="1789" max="1791" width="12.28515625" style="1" bestFit="1" customWidth="1"/>
    <col min="1792" max="1801" width="11" style="1" bestFit="1" customWidth="1"/>
    <col min="1802" max="1802" width="13.28515625" style="1" bestFit="1" customWidth="1"/>
    <col min="1803" max="1803" width="10" style="1" bestFit="1" customWidth="1"/>
    <col min="1804" max="1804" width="11" style="1" bestFit="1" customWidth="1"/>
    <col min="1805" max="2010" width="9" style="1"/>
    <col min="2011" max="2011" width="2.85546875" style="1" bestFit="1" customWidth="1"/>
    <col min="2012" max="2012" width="16.5703125" style="1" bestFit="1" customWidth="1"/>
    <col min="2013" max="2013" width="11.42578125" style="1" bestFit="1" customWidth="1"/>
    <col min="2014" max="2015" width="14.140625" style="1" bestFit="1" customWidth="1"/>
    <col min="2016" max="2016" width="11.42578125" style="1" bestFit="1" customWidth="1"/>
    <col min="2017" max="2020" width="12.42578125" style="1" bestFit="1" customWidth="1"/>
    <col min="2021" max="2040" width="13" style="1" bestFit="1" customWidth="1"/>
    <col min="2041" max="2044" width="11" style="1" bestFit="1" customWidth="1"/>
    <col min="2045" max="2047" width="12.28515625" style="1" bestFit="1" customWidth="1"/>
    <col min="2048" max="2057" width="11" style="1" bestFit="1" customWidth="1"/>
    <col min="2058" max="2058" width="13.28515625" style="1" bestFit="1" customWidth="1"/>
    <col min="2059" max="2059" width="10" style="1" bestFit="1" customWidth="1"/>
    <col min="2060" max="2060" width="11" style="1" bestFit="1" customWidth="1"/>
    <col min="2061" max="2266" width="9" style="1"/>
    <col min="2267" max="2267" width="2.85546875" style="1" bestFit="1" customWidth="1"/>
    <col min="2268" max="2268" width="16.5703125" style="1" bestFit="1" customWidth="1"/>
    <col min="2269" max="2269" width="11.42578125" style="1" bestFit="1" customWidth="1"/>
    <col min="2270" max="2271" width="14.140625" style="1" bestFit="1" customWidth="1"/>
    <col min="2272" max="2272" width="11.42578125" style="1" bestFit="1" customWidth="1"/>
    <col min="2273" max="2276" width="12.42578125" style="1" bestFit="1" customWidth="1"/>
    <col min="2277" max="2296" width="13" style="1" bestFit="1" customWidth="1"/>
    <col min="2297" max="2300" width="11" style="1" bestFit="1" customWidth="1"/>
    <col min="2301" max="2303" width="12.28515625" style="1" bestFit="1" customWidth="1"/>
    <col min="2304" max="2313" width="11" style="1" bestFit="1" customWidth="1"/>
    <col min="2314" max="2314" width="13.28515625" style="1" bestFit="1" customWidth="1"/>
    <col min="2315" max="2315" width="10" style="1" bestFit="1" customWidth="1"/>
    <col min="2316" max="2316" width="11" style="1" bestFit="1" customWidth="1"/>
    <col min="2317" max="2522" width="9" style="1"/>
    <col min="2523" max="2523" width="2.85546875" style="1" bestFit="1" customWidth="1"/>
    <col min="2524" max="2524" width="16.5703125" style="1" bestFit="1" customWidth="1"/>
    <col min="2525" max="2525" width="11.42578125" style="1" bestFit="1" customWidth="1"/>
    <col min="2526" max="2527" width="14.140625" style="1" bestFit="1" customWidth="1"/>
    <col min="2528" max="2528" width="11.42578125" style="1" bestFit="1" customWidth="1"/>
    <col min="2529" max="2532" width="12.42578125" style="1" bestFit="1" customWidth="1"/>
    <col min="2533" max="2552" width="13" style="1" bestFit="1" customWidth="1"/>
    <col min="2553" max="2556" width="11" style="1" bestFit="1" customWidth="1"/>
    <col min="2557" max="2559" width="12.28515625" style="1" bestFit="1" customWidth="1"/>
    <col min="2560" max="2569" width="11" style="1" bestFit="1" customWidth="1"/>
    <col min="2570" max="2570" width="13.28515625" style="1" bestFit="1" customWidth="1"/>
    <col min="2571" max="2571" width="10" style="1" bestFit="1" customWidth="1"/>
    <col min="2572" max="2572" width="11" style="1" bestFit="1" customWidth="1"/>
    <col min="2573" max="2778" width="9" style="1"/>
    <col min="2779" max="2779" width="2.85546875" style="1" bestFit="1" customWidth="1"/>
    <col min="2780" max="2780" width="16.5703125" style="1" bestFit="1" customWidth="1"/>
    <col min="2781" max="2781" width="11.42578125" style="1" bestFit="1" customWidth="1"/>
    <col min="2782" max="2783" width="14.140625" style="1" bestFit="1" customWidth="1"/>
    <col min="2784" max="2784" width="11.42578125" style="1" bestFit="1" customWidth="1"/>
    <col min="2785" max="2788" width="12.42578125" style="1" bestFit="1" customWidth="1"/>
    <col min="2789" max="2808" width="13" style="1" bestFit="1" customWidth="1"/>
    <col min="2809" max="2812" width="11" style="1" bestFit="1" customWidth="1"/>
    <col min="2813" max="2815" width="12.28515625" style="1" bestFit="1" customWidth="1"/>
    <col min="2816" max="2825" width="11" style="1" bestFit="1" customWidth="1"/>
    <col min="2826" max="2826" width="13.28515625" style="1" bestFit="1" customWidth="1"/>
    <col min="2827" max="2827" width="10" style="1" bestFit="1" customWidth="1"/>
    <col min="2828" max="2828" width="11" style="1" bestFit="1" customWidth="1"/>
    <col min="2829" max="3034" width="9" style="1"/>
    <col min="3035" max="3035" width="2.85546875" style="1" bestFit="1" customWidth="1"/>
    <col min="3036" max="3036" width="16.5703125" style="1" bestFit="1" customWidth="1"/>
    <col min="3037" max="3037" width="11.42578125" style="1" bestFit="1" customWidth="1"/>
    <col min="3038" max="3039" width="14.140625" style="1" bestFit="1" customWidth="1"/>
    <col min="3040" max="3040" width="11.42578125" style="1" bestFit="1" customWidth="1"/>
    <col min="3041" max="3044" width="12.42578125" style="1" bestFit="1" customWidth="1"/>
    <col min="3045" max="3064" width="13" style="1" bestFit="1" customWidth="1"/>
    <col min="3065" max="3068" width="11" style="1" bestFit="1" customWidth="1"/>
    <col min="3069" max="3071" width="12.28515625" style="1" bestFit="1" customWidth="1"/>
    <col min="3072" max="3081" width="11" style="1" bestFit="1" customWidth="1"/>
    <col min="3082" max="3082" width="13.28515625" style="1" bestFit="1" customWidth="1"/>
    <col min="3083" max="3083" width="10" style="1" bestFit="1" customWidth="1"/>
    <col min="3084" max="3084" width="11" style="1" bestFit="1" customWidth="1"/>
    <col min="3085" max="3290" width="9" style="1"/>
    <col min="3291" max="3291" width="2.85546875" style="1" bestFit="1" customWidth="1"/>
    <col min="3292" max="3292" width="16.5703125" style="1" bestFit="1" customWidth="1"/>
    <col min="3293" max="3293" width="11.42578125" style="1" bestFit="1" customWidth="1"/>
    <col min="3294" max="3295" width="14.140625" style="1" bestFit="1" customWidth="1"/>
    <col min="3296" max="3296" width="11.42578125" style="1" bestFit="1" customWidth="1"/>
    <col min="3297" max="3300" width="12.42578125" style="1" bestFit="1" customWidth="1"/>
    <col min="3301" max="3320" width="13" style="1" bestFit="1" customWidth="1"/>
    <col min="3321" max="3324" width="11" style="1" bestFit="1" customWidth="1"/>
    <col min="3325" max="3327" width="12.28515625" style="1" bestFit="1" customWidth="1"/>
    <col min="3328" max="3337" width="11" style="1" bestFit="1" customWidth="1"/>
    <col min="3338" max="3338" width="13.28515625" style="1" bestFit="1" customWidth="1"/>
    <col min="3339" max="3339" width="10" style="1" bestFit="1" customWidth="1"/>
    <col min="3340" max="3340" width="11" style="1" bestFit="1" customWidth="1"/>
    <col min="3341" max="3546" width="9" style="1"/>
    <col min="3547" max="3547" width="2.85546875" style="1" bestFit="1" customWidth="1"/>
    <col min="3548" max="3548" width="16.5703125" style="1" bestFit="1" customWidth="1"/>
    <col min="3549" max="3549" width="11.42578125" style="1" bestFit="1" customWidth="1"/>
    <col min="3550" max="3551" width="14.140625" style="1" bestFit="1" customWidth="1"/>
    <col min="3552" max="3552" width="11.42578125" style="1" bestFit="1" customWidth="1"/>
    <col min="3553" max="3556" width="12.42578125" style="1" bestFit="1" customWidth="1"/>
    <col min="3557" max="3576" width="13" style="1" bestFit="1" customWidth="1"/>
    <col min="3577" max="3580" width="11" style="1" bestFit="1" customWidth="1"/>
    <col min="3581" max="3583" width="12.28515625" style="1" bestFit="1" customWidth="1"/>
    <col min="3584" max="3593" width="11" style="1" bestFit="1" customWidth="1"/>
    <col min="3594" max="3594" width="13.28515625" style="1" bestFit="1" customWidth="1"/>
    <col min="3595" max="3595" width="10" style="1" bestFit="1" customWidth="1"/>
    <col min="3596" max="3596" width="11" style="1" bestFit="1" customWidth="1"/>
    <col min="3597" max="3802" width="9" style="1"/>
    <col min="3803" max="3803" width="2.85546875" style="1" bestFit="1" customWidth="1"/>
    <col min="3804" max="3804" width="16.5703125" style="1" bestFit="1" customWidth="1"/>
    <col min="3805" max="3805" width="11.42578125" style="1" bestFit="1" customWidth="1"/>
    <col min="3806" max="3807" width="14.140625" style="1" bestFit="1" customWidth="1"/>
    <col min="3808" max="3808" width="11.42578125" style="1" bestFit="1" customWidth="1"/>
    <col min="3809" max="3812" width="12.42578125" style="1" bestFit="1" customWidth="1"/>
    <col min="3813" max="3832" width="13" style="1" bestFit="1" customWidth="1"/>
    <col min="3833" max="3836" width="11" style="1" bestFit="1" customWidth="1"/>
    <col min="3837" max="3839" width="12.28515625" style="1" bestFit="1" customWidth="1"/>
    <col min="3840" max="3849" width="11" style="1" bestFit="1" customWidth="1"/>
    <col min="3850" max="3850" width="13.28515625" style="1" bestFit="1" customWidth="1"/>
    <col min="3851" max="3851" width="10" style="1" bestFit="1" customWidth="1"/>
    <col min="3852" max="3852" width="11" style="1" bestFit="1" customWidth="1"/>
    <col min="3853" max="4058" width="9" style="1"/>
    <col min="4059" max="4059" width="2.85546875" style="1" bestFit="1" customWidth="1"/>
    <col min="4060" max="4060" width="16.5703125" style="1" bestFit="1" customWidth="1"/>
    <col min="4061" max="4061" width="11.42578125" style="1" bestFit="1" customWidth="1"/>
    <col min="4062" max="4063" width="14.140625" style="1" bestFit="1" customWidth="1"/>
    <col min="4064" max="4064" width="11.42578125" style="1" bestFit="1" customWidth="1"/>
    <col min="4065" max="4068" width="12.42578125" style="1" bestFit="1" customWidth="1"/>
    <col min="4069" max="4088" width="13" style="1" bestFit="1" customWidth="1"/>
    <col min="4089" max="4092" width="11" style="1" bestFit="1" customWidth="1"/>
    <col min="4093" max="4095" width="12.28515625" style="1" bestFit="1" customWidth="1"/>
    <col min="4096" max="4105" width="11" style="1" bestFit="1" customWidth="1"/>
    <col min="4106" max="4106" width="13.28515625" style="1" bestFit="1" customWidth="1"/>
    <col min="4107" max="4107" width="10" style="1" bestFit="1" customWidth="1"/>
    <col min="4108" max="4108" width="11" style="1" bestFit="1" customWidth="1"/>
    <col min="4109" max="4314" width="9" style="1"/>
    <col min="4315" max="4315" width="2.85546875" style="1" bestFit="1" customWidth="1"/>
    <col min="4316" max="4316" width="16.5703125" style="1" bestFit="1" customWidth="1"/>
    <col min="4317" max="4317" width="11.42578125" style="1" bestFit="1" customWidth="1"/>
    <col min="4318" max="4319" width="14.140625" style="1" bestFit="1" customWidth="1"/>
    <col min="4320" max="4320" width="11.42578125" style="1" bestFit="1" customWidth="1"/>
    <col min="4321" max="4324" width="12.42578125" style="1" bestFit="1" customWidth="1"/>
    <col min="4325" max="4344" width="13" style="1" bestFit="1" customWidth="1"/>
    <col min="4345" max="4348" width="11" style="1" bestFit="1" customWidth="1"/>
    <col min="4349" max="4351" width="12.28515625" style="1" bestFit="1" customWidth="1"/>
    <col min="4352" max="4361" width="11" style="1" bestFit="1" customWidth="1"/>
    <col min="4362" max="4362" width="13.28515625" style="1" bestFit="1" customWidth="1"/>
    <col min="4363" max="4363" width="10" style="1" bestFit="1" customWidth="1"/>
    <col min="4364" max="4364" width="11" style="1" bestFit="1" customWidth="1"/>
    <col min="4365" max="4570" width="9" style="1"/>
    <col min="4571" max="4571" width="2.85546875" style="1" bestFit="1" customWidth="1"/>
    <col min="4572" max="4572" width="16.5703125" style="1" bestFit="1" customWidth="1"/>
    <col min="4573" max="4573" width="11.42578125" style="1" bestFit="1" customWidth="1"/>
    <col min="4574" max="4575" width="14.140625" style="1" bestFit="1" customWidth="1"/>
    <col min="4576" max="4576" width="11.42578125" style="1" bestFit="1" customWidth="1"/>
    <col min="4577" max="4580" width="12.42578125" style="1" bestFit="1" customWidth="1"/>
    <col min="4581" max="4600" width="13" style="1" bestFit="1" customWidth="1"/>
    <col min="4601" max="4604" width="11" style="1" bestFit="1" customWidth="1"/>
    <col min="4605" max="4607" width="12.28515625" style="1" bestFit="1" customWidth="1"/>
    <col min="4608" max="4617" width="11" style="1" bestFit="1" customWidth="1"/>
    <col min="4618" max="4618" width="13.28515625" style="1" bestFit="1" customWidth="1"/>
    <col min="4619" max="4619" width="10" style="1" bestFit="1" customWidth="1"/>
    <col min="4620" max="4620" width="11" style="1" bestFit="1" customWidth="1"/>
    <col min="4621" max="4826" width="9" style="1"/>
    <col min="4827" max="4827" width="2.85546875" style="1" bestFit="1" customWidth="1"/>
    <col min="4828" max="4828" width="16.5703125" style="1" bestFit="1" customWidth="1"/>
    <col min="4829" max="4829" width="11.42578125" style="1" bestFit="1" customWidth="1"/>
    <col min="4830" max="4831" width="14.140625" style="1" bestFit="1" customWidth="1"/>
    <col min="4832" max="4832" width="11.42578125" style="1" bestFit="1" customWidth="1"/>
    <col min="4833" max="4836" width="12.42578125" style="1" bestFit="1" customWidth="1"/>
    <col min="4837" max="4856" width="13" style="1" bestFit="1" customWidth="1"/>
    <col min="4857" max="4860" width="11" style="1" bestFit="1" customWidth="1"/>
    <col min="4861" max="4863" width="12.28515625" style="1" bestFit="1" customWidth="1"/>
    <col min="4864" max="4873" width="11" style="1" bestFit="1" customWidth="1"/>
    <col min="4874" max="4874" width="13.28515625" style="1" bestFit="1" customWidth="1"/>
    <col min="4875" max="4875" width="10" style="1" bestFit="1" customWidth="1"/>
    <col min="4876" max="4876" width="11" style="1" bestFit="1" customWidth="1"/>
    <col min="4877" max="5082" width="9" style="1"/>
    <col min="5083" max="5083" width="2.85546875" style="1" bestFit="1" customWidth="1"/>
    <col min="5084" max="5084" width="16.5703125" style="1" bestFit="1" customWidth="1"/>
    <col min="5085" max="5085" width="11.42578125" style="1" bestFit="1" customWidth="1"/>
    <col min="5086" max="5087" width="14.140625" style="1" bestFit="1" customWidth="1"/>
    <col min="5088" max="5088" width="11.42578125" style="1" bestFit="1" customWidth="1"/>
    <col min="5089" max="5092" width="12.42578125" style="1" bestFit="1" customWidth="1"/>
    <col min="5093" max="5112" width="13" style="1" bestFit="1" customWidth="1"/>
    <col min="5113" max="5116" width="11" style="1" bestFit="1" customWidth="1"/>
    <col min="5117" max="5119" width="12.28515625" style="1" bestFit="1" customWidth="1"/>
    <col min="5120" max="5129" width="11" style="1" bestFit="1" customWidth="1"/>
    <col min="5130" max="5130" width="13.28515625" style="1" bestFit="1" customWidth="1"/>
    <col min="5131" max="5131" width="10" style="1" bestFit="1" customWidth="1"/>
    <col min="5132" max="5132" width="11" style="1" bestFit="1" customWidth="1"/>
    <col min="5133" max="5338" width="9" style="1"/>
    <col min="5339" max="5339" width="2.85546875" style="1" bestFit="1" customWidth="1"/>
    <col min="5340" max="5340" width="16.5703125" style="1" bestFit="1" customWidth="1"/>
    <col min="5341" max="5341" width="11.42578125" style="1" bestFit="1" customWidth="1"/>
    <col min="5342" max="5343" width="14.140625" style="1" bestFit="1" customWidth="1"/>
    <col min="5344" max="5344" width="11.42578125" style="1" bestFit="1" customWidth="1"/>
    <col min="5345" max="5348" width="12.42578125" style="1" bestFit="1" customWidth="1"/>
    <col min="5349" max="5368" width="13" style="1" bestFit="1" customWidth="1"/>
    <col min="5369" max="5372" width="11" style="1" bestFit="1" customWidth="1"/>
    <col min="5373" max="5375" width="12.28515625" style="1" bestFit="1" customWidth="1"/>
    <col min="5376" max="5385" width="11" style="1" bestFit="1" customWidth="1"/>
    <col min="5386" max="5386" width="13.28515625" style="1" bestFit="1" customWidth="1"/>
    <col min="5387" max="5387" width="10" style="1" bestFit="1" customWidth="1"/>
    <col min="5388" max="5388" width="11" style="1" bestFit="1" customWidth="1"/>
    <col min="5389" max="5594" width="9" style="1"/>
    <col min="5595" max="5595" width="2.85546875" style="1" bestFit="1" customWidth="1"/>
    <col min="5596" max="5596" width="16.5703125" style="1" bestFit="1" customWidth="1"/>
    <col min="5597" max="5597" width="11.42578125" style="1" bestFit="1" customWidth="1"/>
    <col min="5598" max="5599" width="14.140625" style="1" bestFit="1" customWidth="1"/>
    <col min="5600" max="5600" width="11.42578125" style="1" bestFit="1" customWidth="1"/>
    <col min="5601" max="5604" width="12.42578125" style="1" bestFit="1" customWidth="1"/>
    <col min="5605" max="5624" width="13" style="1" bestFit="1" customWidth="1"/>
    <col min="5625" max="5628" width="11" style="1" bestFit="1" customWidth="1"/>
    <col min="5629" max="5631" width="12.28515625" style="1" bestFit="1" customWidth="1"/>
    <col min="5632" max="5641" width="11" style="1" bestFit="1" customWidth="1"/>
    <col min="5642" max="5642" width="13.28515625" style="1" bestFit="1" customWidth="1"/>
    <col min="5643" max="5643" width="10" style="1" bestFit="1" customWidth="1"/>
    <col min="5644" max="5644" width="11" style="1" bestFit="1" customWidth="1"/>
    <col min="5645" max="5850" width="9" style="1"/>
    <col min="5851" max="5851" width="2.85546875" style="1" bestFit="1" customWidth="1"/>
    <col min="5852" max="5852" width="16.5703125" style="1" bestFit="1" customWidth="1"/>
    <col min="5853" max="5853" width="11.42578125" style="1" bestFit="1" customWidth="1"/>
    <col min="5854" max="5855" width="14.140625" style="1" bestFit="1" customWidth="1"/>
    <col min="5856" max="5856" width="11.42578125" style="1" bestFit="1" customWidth="1"/>
    <col min="5857" max="5860" width="12.42578125" style="1" bestFit="1" customWidth="1"/>
    <col min="5861" max="5880" width="13" style="1" bestFit="1" customWidth="1"/>
    <col min="5881" max="5884" width="11" style="1" bestFit="1" customWidth="1"/>
    <col min="5885" max="5887" width="12.28515625" style="1" bestFit="1" customWidth="1"/>
    <col min="5888" max="5897" width="11" style="1" bestFit="1" customWidth="1"/>
    <col min="5898" max="5898" width="13.28515625" style="1" bestFit="1" customWidth="1"/>
    <col min="5899" max="5899" width="10" style="1" bestFit="1" customWidth="1"/>
    <col min="5900" max="5900" width="11" style="1" bestFit="1" customWidth="1"/>
    <col min="5901" max="6106" width="9" style="1"/>
    <col min="6107" max="6107" width="2.85546875" style="1" bestFit="1" customWidth="1"/>
    <col min="6108" max="6108" width="16.5703125" style="1" bestFit="1" customWidth="1"/>
    <col min="6109" max="6109" width="11.42578125" style="1" bestFit="1" customWidth="1"/>
    <col min="6110" max="6111" width="14.140625" style="1" bestFit="1" customWidth="1"/>
    <col min="6112" max="6112" width="11.42578125" style="1" bestFit="1" customWidth="1"/>
    <col min="6113" max="6116" width="12.42578125" style="1" bestFit="1" customWidth="1"/>
    <col min="6117" max="6136" width="13" style="1" bestFit="1" customWidth="1"/>
    <col min="6137" max="6140" width="11" style="1" bestFit="1" customWidth="1"/>
    <col min="6141" max="6143" width="12.28515625" style="1" bestFit="1" customWidth="1"/>
    <col min="6144" max="6153" width="11" style="1" bestFit="1" customWidth="1"/>
    <col min="6154" max="6154" width="13.28515625" style="1" bestFit="1" customWidth="1"/>
    <col min="6155" max="6155" width="10" style="1" bestFit="1" customWidth="1"/>
    <col min="6156" max="6156" width="11" style="1" bestFit="1" customWidth="1"/>
    <col min="6157" max="6362" width="9" style="1"/>
    <col min="6363" max="6363" width="2.85546875" style="1" bestFit="1" customWidth="1"/>
    <col min="6364" max="6364" width="16.5703125" style="1" bestFit="1" customWidth="1"/>
    <col min="6365" max="6365" width="11.42578125" style="1" bestFit="1" customWidth="1"/>
    <col min="6366" max="6367" width="14.140625" style="1" bestFit="1" customWidth="1"/>
    <col min="6368" max="6368" width="11.42578125" style="1" bestFit="1" customWidth="1"/>
    <col min="6369" max="6372" width="12.42578125" style="1" bestFit="1" customWidth="1"/>
    <col min="6373" max="6392" width="13" style="1" bestFit="1" customWidth="1"/>
    <col min="6393" max="6396" width="11" style="1" bestFit="1" customWidth="1"/>
    <col min="6397" max="6399" width="12.28515625" style="1" bestFit="1" customWidth="1"/>
    <col min="6400" max="6409" width="11" style="1" bestFit="1" customWidth="1"/>
    <col min="6410" max="6410" width="13.28515625" style="1" bestFit="1" customWidth="1"/>
    <col min="6411" max="6411" width="10" style="1" bestFit="1" customWidth="1"/>
    <col min="6412" max="6412" width="11" style="1" bestFit="1" customWidth="1"/>
    <col min="6413" max="6618" width="9" style="1"/>
    <col min="6619" max="6619" width="2.85546875" style="1" bestFit="1" customWidth="1"/>
    <col min="6620" max="6620" width="16.5703125" style="1" bestFit="1" customWidth="1"/>
    <col min="6621" max="6621" width="11.42578125" style="1" bestFit="1" customWidth="1"/>
    <col min="6622" max="6623" width="14.140625" style="1" bestFit="1" customWidth="1"/>
    <col min="6624" max="6624" width="11.42578125" style="1" bestFit="1" customWidth="1"/>
    <col min="6625" max="6628" width="12.42578125" style="1" bestFit="1" customWidth="1"/>
    <col min="6629" max="6648" width="13" style="1" bestFit="1" customWidth="1"/>
    <col min="6649" max="6652" width="11" style="1" bestFit="1" customWidth="1"/>
    <col min="6653" max="6655" width="12.28515625" style="1" bestFit="1" customWidth="1"/>
    <col min="6656" max="6665" width="11" style="1" bestFit="1" customWidth="1"/>
    <col min="6666" max="6666" width="13.28515625" style="1" bestFit="1" customWidth="1"/>
    <col min="6667" max="6667" width="10" style="1" bestFit="1" customWidth="1"/>
    <col min="6668" max="6668" width="11" style="1" bestFit="1" customWidth="1"/>
    <col min="6669" max="6874" width="9" style="1"/>
    <col min="6875" max="6875" width="2.85546875" style="1" bestFit="1" customWidth="1"/>
    <col min="6876" max="6876" width="16.5703125" style="1" bestFit="1" customWidth="1"/>
    <col min="6877" max="6877" width="11.42578125" style="1" bestFit="1" customWidth="1"/>
    <col min="6878" max="6879" width="14.140625" style="1" bestFit="1" customWidth="1"/>
    <col min="6880" max="6880" width="11.42578125" style="1" bestFit="1" customWidth="1"/>
    <col min="6881" max="6884" width="12.42578125" style="1" bestFit="1" customWidth="1"/>
    <col min="6885" max="6904" width="13" style="1" bestFit="1" customWidth="1"/>
    <col min="6905" max="6908" width="11" style="1" bestFit="1" customWidth="1"/>
    <col min="6909" max="6911" width="12.28515625" style="1" bestFit="1" customWidth="1"/>
    <col min="6912" max="6921" width="11" style="1" bestFit="1" customWidth="1"/>
    <col min="6922" max="6922" width="13.28515625" style="1" bestFit="1" customWidth="1"/>
    <col min="6923" max="6923" width="10" style="1" bestFit="1" customWidth="1"/>
    <col min="6924" max="6924" width="11" style="1" bestFit="1" customWidth="1"/>
    <col min="6925" max="7130" width="9" style="1"/>
    <col min="7131" max="7131" width="2.85546875" style="1" bestFit="1" customWidth="1"/>
    <col min="7132" max="7132" width="16.5703125" style="1" bestFit="1" customWidth="1"/>
    <col min="7133" max="7133" width="11.42578125" style="1" bestFit="1" customWidth="1"/>
    <col min="7134" max="7135" width="14.140625" style="1" bestFit="1" customWidth="1"/>
    <col min="7136" max="7136" width="11.42578125" style="1" bestFit="1" customWidth="1"/>
    <col min="7137" max="7140" width="12.42578125" style="1" bestFit="1" customWidth="1"/>
    <col min="7141" max="7160" width="13" style="1" bestFit="1" customWidth="1"/>
    <col min="7161" max="7164" width="11" style="1" bestFit="1" customWidth="1"/>
    <col min="7165" max="7167" width="12.28515625" style="1" bestFit="1" customWidth="1"/>
    <col min="7168" max="7177" width="11" style="1" bestFit="1" customWidth="1"/>
    <col min="7178" max="7178" width="13.28515625" style="1" bestFit="1" customWidth="1"/>
    <col min="7179" max="7179" width="10" style="1" bestFit="1" customWidth="1"/>
    <col min="7180" max="7180" width="11" style="1" bestFit="1" customWidth="1"/>
    <col min="7181" max="7386" width="9" style="1"/>
    <col min="7387" max="7387" width="2.85546875" style="1" bestFit="1" customWidth="1"/>
    <col min="7388" max="7388" width="16.5703125" style="1" bestFit="1" customWidth="1"/>
    <col min="7389" max="7389" width="11.42578125" style="1" bestFit="1" customWidth="1"/>
    <col min="7390" max="7391" width="14.140625" style="1" bestFit="1" customWidth="1"/>
    <col min="7392" max="7392" width="11.42578125" style="1" bestFit="1" customWidth="1"/>
    <col min="7393" max="7396" width="12.42578125" style="1" bestFit="1" customWidth="1"/>
    <col min="7397" max="7416" width="13" style="1" bestFit="1" customWidth="1"/>
    <col min="7417" max="7420" width="11" style="1" bestFit="1" customWidth="1"/>
    <col min="7421" max="7423" width="12.28515625" style="1" bestFit="1" customWidth="1"/>
    <col min="7424" max="7433" width="11" style="1" bestFit="1" customWidth="1"/>
    <col min="7434" max="7434" width="13.28515625" style="1" bestFit="1" customWidth="1"/>
    <col min="7435" max="7435" width="10" style="1" bestFit="1" customWidth="1"/>
    <col min="7436" max="7436" width="11" style="1" bestFit="1" customWidth="1"/>
    <col min="7437" max="7642" width="9" style="1"/>
    <col min="7643" max="7643" width="2.85546875" style="1" bestFit="1" customWidth="1"/>
    <col min="7644" max="7644" width="16.5703125" style="1" bestFit="1" customWidth="1"/>
    <col min="7645" max="7645" width="11.42578125" style="1" bestFit="1" customWidth="1"/>
    <col min="7646" max="7647" width="14.140625" style="1" bestFit="1" customWidth="1"/>
    <col min="7648" max="7648" width="11.42578125" style="1" bestFit="1" customWidth="1"/>
    <col min="7649" max="7652" width="12.42578125" style="1" bestFit="1" customWidth="1"/>
    <col min="7653" max="7672" width="13" style="1" bestFit="1" customWidth="1"/>
    <col min="7673" max="7676" width="11" style="1" bestFit="1" customWidth="1"/>
    <col min="7677" max="7679" width="12.28515625" style="1" bestFit="1" customWidth="1"/>
    <col min="7680" max="7689" width="11" style="1" bestFit="1" customWidth="1"/>
    <col min="7690" max="7690" width="13.28515625" style="1" bestFit="1" customWidth="1"/>
    <col min="7691" max="7691" width="10" style="1" bestFit="1" customWidth="1"/>
    <col min="7692" max="7692" width="11" style="1" bestFit="1" customWidth="1"/>
    <col min="7693" max="7898" width="9" style="1"/>
    <col min="7899" max="7899" width="2.85546875" style="1" bestFit="1" customWidth="1"/>
    <col min="7900" max="7900" width="16.5703125" style="1" bestFit="1" customWidth="1"/>
    <col min="7901" max="7901" width="11.42578125" style="1" bestFit="1" customWidth="1"/>
    <col min="7902" max="7903" width="14.140625" style="1" bestFit="1" customWidth="1"/>
    <col min="7904" max="7904" width="11.42578125" style="1" bestFit="1" customWidth="1"/>
    <col min="7905" max="7908" width="12.42578125" style="1" bestFit="1" customWidth="1"/>
    <col min="7909" max="7928" width="13" style="1" bestFit="1" customWidth="1"/>
    <col min="7929" max="7932" width="11" style="1" bestFit="1" customWidth="1"/>
    <col min="7933" max="7935" width="12.28515625" style="1" bestFit="1" customWidth="1"/>
    <col min="7936" max="7945" width="11" style="1" bestFit="1" customWidth="1"/>
    <col min="7946" max="7946" width="13.28515625" style="1" bestFit="1" customWidth="1"/>
    <col min="7947" max="7947" width="10" style="1" bestFit="1" customWidth="1"/>
    <col min="7948" max="7948" width="11" style="1" bestFit="1" customWidth="1"/>
    <col min="7949" max="8154" width="9" style="1"/>
    <col min="8155" max="8155" width="2.85546875" style="1" bestFit="1" customWidth="1"/>
    <col min="8156" max="8156" width="16.5703125" style="1" bestFit="1" customWidth="1"/>
    <col min="8157" max="8157" width="11.42578125" style="1" bestFit="1" customWidth="1"/>
    <col min="8158" max="8159" width="14.140625" style="1" bestFit="1" customWidth="1"/>
    <col min="8160" max="8160" width="11.42578125" style="1" bestFit="1" customWidth="1"/>
    <col min="8161" max="8164" width="12.42578125" style="1" bestFit="1" customWidth="1"/>
    <col min="8165" max="8184" width="13" style="1" bestFit="1" customWidth="1"/>
    <col min="8185" max="8188" width="11" style="1" bestFit="1" customWidth="1"/>
    <col min="8189" max="8191" width="12.28515625" style="1" bestFit="1" customWidth="1"/>
    <col min="8192" max="8201" width="11" style="1" bestFit="1" customWidth="1"/>
    <col min="8202" max="8202" width="13.28515625" style="1" bestFit="1" customWidth="1"/>
    <col min="8203" max="8203" width="10" style="1" bestFit="1" customWidth="1"/>
    <col min="8204" max="8204" width="11" style="1" bestFit="1" customWidth="1"/>
    <col min="8205" max="8410" width="9" style="1"/>
    <col min="8411" max="8411" width="2.85546875" style="1" bestFit="1" customWidth="1"/>
    <col min="8412" max="8412" width="16.5703125" style="1" bestFit="1" customWidth="1"/>
    <col min="8413" max="8413" width="11.42578125" style="1" bestFit="1" customWidth="1"/>
    <col min="8414" max="8415" width="14.140625" style="1" bestFit="1" customWidth="1"/>
    <col min="8416" max="8416" width="11.42578125" style="1" bestFit="1" customWidth="1"/>
    <col min="8417" max="8420" width="12.42578125" style="1" bestFit="1" customWidth="1"/>
    <col min="8421" max="8440" width="13" style="1" bestFit="1" customWidth="1"/>
    <col min="8441" max="8444" width="11" style="1" bestFit="1" customWidth="1"/>
    <col min="8445" max="8447" width="12.28515625" style="1" bestFit="1" customWidth="1"/>
    <col min="8448" max="8457" width="11" style="1" bestFit="1" customWidth="1"/>
    <col min="8458" max="8458" width="13.28515625" style="1" bestFit="1" customWidth="1"/>
    <col min="8459" max="8459" width="10" style="1" bestFit="1" customWidth="1"/>
    <col min="8460" max="8460" width="11" style="1" bestFit="1" customWidth="1"/>
    <col min="8461" max="8666" width="9" style="1"/>
    <col min="8667" max="8667" width="2.85546875" style="1" bestFit="1" customWidth="1"/>
    <col min="8668" max="8668" width="16.5703125" style="1" bestFit="1" customWidth="1"/>
    <col min="8669" max="8669" width="11.42578125" style="1" bestFit="1" customWidth="1"/>
    <col min="8670" max="8671" width="14.140625" style="1" bestFit="1" customWidth="1"/>
    <col min="8672" max="8672" width="11.42578125" style="1" bestFit="1" customWidth="1"/>
    <col min="8673" max="8676" width="12.42578125" style="1" bestFit="1" customWidth="1"/>
    <col min="8677" max="8696" width="13" style="1" bestFit="1" customWidth="1"/>
    <col min="8697" max="8700" width="11" style="1" bestFit="1" customWidth="1"/>
    <col min="8701" max="8703" width="12.28515625" style="1" bestFit="1" customWidth="1"/>
    <col min="8704" max="8713" width="11" style="1" bestFit="1" customWidth="1"/>
    <col min="8714" max="8714" width="13.28515625" style="1" bestFit="1" customWidth="1"/>
    <col min="8715" max="8715" width="10" style="1" bestFit="1" customWidth="1"/>
    <col min="8716" max="8716" width="11" style="1" bestFit="1" customWidth="1"/>
    <col min="8717" max="8922" width="9" style="1"/>
    <col min="8923" max="8923" width="2.85546875" style="1" bestFit="1" customWidth="1"/>
    <col min="8924" max="8924" width="16.5703125" style="1" bestFit="1" customWidth="1"/>
    <col min="8925" max="8925" width="11.42578125" style="1" bestFit="1" customWidth="1"/>
    <col min="8926" max="8927" width="14.140625" style="1" bestFit="1" customWidth="1"/>
    <col min="8928" max="8928" width="11.42578125" style="1" bestFit="1" customWidth="1"/>
    <col min="8929" max="8932" width="12.42578125" style="1" bestFit="1" customWidth="1"/>
    <col min="8933" max="8952" width="13" style="1" bestFit="1" customWidth="1"/>
    <col min="8953" max="8956" width="11" style="1" bestFit="1" customWidth="1"/>
    <col min="8957" max="8959" width="12.28515625" style="1" bestFit="1" customWidth="1"/>
    <col min="8960" max="8969" width="11" style="1" bestFit="1" customWidth="1"/>
    <col min="8970" max="8970" width="13.28515625" style="1" bestFit="1" customWidth="1"/>
    <col min="8971" max="8971" width="10" style="1" bestFit="1" customWidth="1"/>
    <col min="8972" max="8972" width="11" style="1" bestFit="1" customWidth="1"/>
    <col min="8973" max="9178" width="9" style="1"/>
    <col min="9179" max="9179" width="2.85546875" style="1" bestFit="1" customWidth="1"/>
    <col min="9180" max="9180" width="16.5703125" style="1" bestFit="1" customWidth="1"/>
    <col min="9181" max="9181" width="11.42578125" style="1" bestFit="1" customWidth="1"/>
    <col min="9182" max="9183" width="14.140625" style="1" bestFit="1" customWidth="1"/>
    <col min="9184" max="9184" width="11.42578125" style="1" bestFit="1" customWidth="1"/>
    <col min="9185" max="9188" width="12.42578125" style="1" bestFit="1" customWidth="1"/>
    <col min="9189" max="9208" width="13" style="1" bestFit="1" customWidth="1"/>
    <col min="9209" max="9212" width="11" style="1" bestFit="1" customWidth="1"/>
    <col min="9213" max="9215" width="12.28515625" style="1" bestFit="1" customWidth="1"/>
    <col min="9216" max="9225" width="11" style="1" bestFit="1" customWidth="1"/>
    <col min="9226" max="9226" width="13.28515625" style="1" bestFit="1" customWidth="1"/>
    <col min="9227" max="9227" width="10" style="1" bestFit="1" customWidth="1"/>
    <col min="9228" max="9228" width="11" style="1" bestFit="1" customWidth="1"/>
    <col min="9229" max="9434" width="9" style="1"/>
    <col min="9435" max="9435" width="2.85546875" style="1" bestFit="1" customWidth="1"/>
    <col min="9436" max="9436" width="16.5703125" style="1" bestFit="1" customWidth="1"/>
    <col min="9437" max="9437" width="11.42578125" style="1" bestFit="1" customWidth="1"/>
    <col min="9438" max="9439" width="14.140625" style="1" bestFit="1" customWidth="1"/>
    <col min="9440" max="9440" width="11.42578125" style="1" bestFit="1" customWidth="1"/>
    <col min="9441" max="9444" width="12.42578125" style="1" bestFit="1" customWidth="1"/>
    <col min="9445" max="9464" width="13" style="1" bestFit="1" customWidth="1"/>
    <col min="9465" max="9468" width="11" style="1" bestFit="1" customWidth="1"/>
    <col min="9469" max="9471" width="12.28515625" style="1" bestFit="1" customWidth="1"/>
    <col min="9472" max="9481" width="11" style="1" bestFit="1" customWidth="1"/>
    <col min="9482" max="9482" width="13.28515625" style="1" bestFit="1" customWidth="1"/>
    <col min="9483" max="9483" width="10" style="1" bestFit="1" customWidth="1"/>
    <col min="9484" max="9484" width="11" style="1" bestFit="1" customWidth="1"/>
    <col min="9485" max="9690" width="9" style="1"/>
    <col min="9691" max="9691" width="2.85546875" style="1" bestFit="1" customWidth="1"/>
    <col min="9692" max="9692" width="16.5703125" style="1" bestFit="1" customWidth="1"/>
    <col min="9693" max="9693" width="11.42578125" style="1" bestFit="1" customWidth="1"/>
    <col min="9694" max="9695" width="14.140625" style="1" bestFit="1" customWidth="1"/>
    <col min="9696" max="9696" width="11.42578125" style="1" bestFit="1" customWidth="1"/>
    <col min="9697" max="9700" width="12.42578125" style="1" bestFit="1" customWidth="1"/>
    <col min="9701" max="9720" width="13" style="1" bestFit="1" customWidth="1"/>
    <col min="9721" max="9724" width="11" style="1" bestFit="1" customWidth="1"/>
    <col min="9725" max="9727" width="12.28515625" style="1" bestFit="1" customWidth="1"/>
    <col min="9728" max="9737" width="11" style="1" bestFit="1" customWidth="1"/>
    <col min="9738" max="9738" width="13.28515625" style="1" bestFit="1" customWidth="1"/>
    <col min="9739" max="9739" width="10" style="1" bestFit="1" customWidth="1"/>
    <col min="9740" max="9740" width="11" style="1" bestFit="1" customWidth="1"/>
    <col min="9741" max="9946" width="9" style="1"/>
    <col min="9947" max="9947" width="2.85546875" style="1" bestFit="1" customWidth="1"/>
    <col min="9948" max="9948" width="16.5703125" style="1" bestFit="1" customWidth="1"/>
    <col min="9949" max="9949" width="11.42578125" style="1" bestFit="1" customWidth="1"/>
    <col min="9950" max="9951" width="14.140625" style="1" bestFit="1" customWidth="1"/>
    <col min="9952" max="9952" width="11.42578125" style="1" bestFit="1" customWidth="1"/>
    <col min="9953" max="9956" width="12.42578125" style="1" bestFit="1" customWidth="1"/>
    <col min="9957" max="9976" width="13" style="1" bestFit="1" customWidth="1"/>
    <col min="9977" max="9980" width="11" style="1" bestFit="1" customWidth="1"/>
    <col min="9981" max="9983" width="12.28515625" style="1" bestFit="1" customWidth="1"/>
    <col min="9984" max="9993" width="11" style="1" bestFit="1" customWidth="1"/>
    <col min="9994" max="9994" width="13.28515625" style="1" bestFit="1" customWidth="1"/>
    <col min="9995" max="9995" width="10" style="1" bestFit="1" customWidth="1"/>
    <col min="9996" max="9996" width="11" style="1" bestFit="1" customWidth="1"/>
    <col min="9997" max="10202" width="9" style="1"/>
    <col min="10203" max="10203" width="2.85546875" style="1" bestFit="1" customWidth="1"/>
    <col min="10204" max="10204" width="16.5703125" style="1" bestFit="1" customWidth="1"/>
    <col min="10205" max="10205" width="11.42578125" style="1" bestFit="1" customWidth="1"/>
    <col min="10206" max="10207" width="14.140625" style="1" bestFit="1" customWidth="1"/>
    <col min="10208" max="10208" width="11.42578125" style="1" bestFit="1" customWidth="1"/>
    <col min="10209" max="10212" width="12.42578125" style="1" bestFit="1" customWidth="1"/>
    <col min="10213" max="10232" width="13" style="1" bestFit="1" customWidth="1"/>
    <col min="10233" max="10236" width="11" style="1" bestFit="1" customWidth="1"/>
    <col min="10237" max="10239" width="12.28515625" style="1" bestFit="1" customWidth="1"/>
    <col min="10240" max="10249" width="11" style="1" bestFit="1" customWidth="1"/>
    <col min="10250" max="10250" width="13.28515625" style="1" bestFit="1" customWidth="1"/>
    <col min="10251" max="10251" width="10" style="1" bestFit="1" customWidth="1"/>
    <col min="10252" max="10252" width="11" style="1" bestFit="1" customWidth="1"/>
    <col min="10253" max="10458" width="9" style="1"/>
    <col min="10459" max="10459" width="2.85546875" style="1" bestFit="1" customWidth="1"/>
    <col min="10460" max="10460" width="16.5703125" style="1" bestFit="1" customWidth="1"/>
    <col min="10461" max="10461" width="11.42578125" style="1" bestFit="1" customWidth="1"/>
    <col min="10462" max="10463" width="14.140625" style="1" bestFit="1" customWidth="1"/>
    <col min="10464" max="10464" width="11.42578125" style="1" bestFit="1" customWidth="1"/>
    <col min="10465" max="10468" width="12.42578125" style="1" bestFit="1" customWidth="1"/>
    <col min="10469" max="10488" width="13" style="1" bestFit="1" customWidth="1"/>
    <col min="10489" max="10492" width="11" style="1" bestFit="1" customWidth="1"/>
    <col min="10493" max="10495" width="12.28515625" style="1" bestFit="1" customWidth="1"/>
    <col min="10496" max="10505" width="11" style="1" bestFit="1" customWidth="1"/>
    <col min="10506" max="10506" width="13.28515625" style="1" bestFit="1" customWidth="1"/>
    <col min="10507" max="10507" width="10" style="1" bestFit="1" customWidth="1"/>
    <col min="10508" max="10508" width="11" style="1" bestFit="1" customWidth="1"/>
    <col min="10509" max="10714" width="9" style="1"/>
    <col min="10715" max="10715" width="2.85546875" style="1" bestFit="1" customWidth="1"/>
    <col min="10716" max="10716" width="16.5703125" style="1" bestFit="1" customWidth="1"/>
    <col min="10717" max="10717" width="11.42578125" style="1" bestFit="1" customWidth="1"/>
    <col min="10718" max="10719" width="14.140625" style="1" bestFit="1" customWidth="1"/>
    <col min="10720" max="10720" width="11.42578125" style="1" bestFit="1" customWidth="1"/>
    <col min="10721" max="10724" width="12.42578125" style="1" bestFit="1" customWidth="1"/>
    <col min="10725" max="10744" width="13" style="1" bestFit="1" customWidth="1"/>
    <col min="10745" max="10748" width="11" style="1" bestFit="1" customWidth="1"/>
    <col min="10749" max="10751" width="12.28515625" style="1" bestFit="1" customWidth="1"/>
    <col min="10752" max="10761" width="11" style="1" bestFit="1" customWidth="1"/>
    <col min="10762" max="10762" width="13.28515625" style="1" bestFit="1" customWidth="1"/>
    <col min="10763" max="10763" width="10" style="1" bestFit="1" customWidth="1"/>
    <col min="10764" max="10764" width="11" style="1" bestFit="1" customWidth="1"/>
    <col min="10765" max="10970" width="9" style="1"/>
    <col min="10971" max="10971" width="2.85546875" style="1" bestFit="1" customWidth="1"/>
    <col min="10972" max="10972" width="16.5703125" style="1" bestFit="1" customWidth="1"/>
    <col min="10973" max="10973" width="11.42578125" style="1" bestFit="1" customWidth="1"/>
    <col min="10974" max="10975" width="14.140625" style="1" bestFit="1" customWidth="1"/>
    <col min="10976" max="10976" width="11.42578125" style="1" bestFit="1" customWidth="1"/>
    <col min="10977" max="10980" width="12.42578125" style="1" bestFit="1" customWidth="1"/>
    <col min="10981" max="11000" width="13" style="1" bestFit="1" customWidth="1"/>
    <col min="11001" max="11004" width="11" style="1" bestFit="1" customWidth="1"/>
    <col min="11005" max="11007" width="12.28515625" style="1" bestFit="1" customWidth="1"/>
    <col min="11008" max="11017" width="11" style="1" bestFit="1" customWidth="1"/>
    <col min="11018" max="11018" width="13.28515625" style="1" bestFit="1" customWidth="1"/>
    <col min="11019" max="11019" width="10" style="1" bestFit="1" customWidth="1"/>
    <col min="11020" max="11020" width="11" style="1" bestFit="1" customWidth="1"/>
    <col min="11021" max="11226" width="9" style="1"/>
    <col min="11227" max="11227" width="2.85546875" style="1" bestFit="1" customWidth="1"/>
    <col min="11228" max="11228" width="16.5703125" style="1" bestFit="1" customWidth="1"/>
    <col min="11229" max="11229" width="11.42578125" style="1" bestFit="1" customWidth="1"/>
    <col min="11230" max="11231" width="14.140625" style="1" bestFit="1" customWidth="1"/>
    <col min="11232" max="11232" width="11.42578125" style="1" bestFit="1" customWidth="1"/>
    <col min="11233" max="11236" width="12.42578125" style="1" bestFit="1" customWidth="1"/>
    <col min="11237" max="11256" width="13" style="1" bestFit="1" customWidth="1"/>
    <col min="11257" max="11260" width="11" style="1" bestFit="1" customWidth="1"/>
    <col min="11261" max="11263" width="12.28515625" style="1" bestFit="1" customWidth="1"/>
    <col min="11264" max="11273" width="11" style="1" bestFit="1" customWidth="1"/>
    <col min="11274" max="11274" width="13.28515625" style="1" bestFit="1" customWidth="1"/>
    <col min="11275" max="11275" width="10" style="1" bestFit="1" customWidth="1"/>
    <col min="11276" max="11276" width="11" style="1" bestFit="1" customWidth="1"/>
    <col min="11277" max="11482" width="9" style="1"/>
    <col min="11483" max="11483" width="2.85546875" style="1" bestFit="1" customWidth="1"/>
    <col min="11484" max="11484" width="16.5703125" style="1" bestFit="1" customWidth="1"/>
    <col min="11485" max="11485" width="11.42578125" style="1" bestFit="1" customWidth="1"/>
    <col min="11486" max="11487" width="14.140625" style="1" bestFit="1" customWidth="1"/>
    <col min="11488" max="11488" width="11.42578125" style="1" bestFit="1" customWidth="1"/>
    <col min="11489" max="11492" width="12.42578125" style="1" bestFit="1" customWidth="1"/>
    <col min="11493" max="11512" width="13" style="1" bestFit="1" customWidth="1"/>
    <col min="11513" max="11516" width="11" style="1" bestFit="1" customWidth="1"/>
    <col min="11517" max="11519" width="12.28515625" style="1" bestFit="1" customWidth="1"/>
    <col min="11520" max="11529" width="11" style="1" bestFit="1" customWidth="1"/>
    <col min="11530" max="11530" width="13.28515625" style="1" bestFit="1" customWidth="1"/>
    <col min="11531" max="11531" width="10" style="1" bestFit="1" customWidth="1"/>
    <col min="11532" max="11532" width="11" style="1" bestFit="1" customWidth="1"/>
    <col min="11533" max="11738" width="9" style="1"/>
    <col min="11739" max="11739" width="2.85546875" style="1" bestFit="1" customWidth="1"/>
    <col min="11740" max="11740" width="16.5703125" style="1" bestFit="1" customWidth="1"/>
    <col min="11741" max="11741" width="11.42578125" style="1" bestFit="1" customWidth="1"/>
    <col min="11742" max="11743" width="14.140625" style="1" bestFit="1" customWidth="1"/>
    <col min="11744" max="11744" width="11.42578125" style="1" bestFit="1" customWidth="1"/>
    <col min="11745" max="11748" width="12.42578125" style="1" bestFit="1" customWidth="1"/>
    <col min="11749" max="11768" width="13" style="1" bestFit="1" customWidth="1"/>
    <col min="11769" max="11772" width="11" style="1" bestFit="1" customWidth="1"/>
    <col min="11773" max="11775" width="12.28515625" style="1" bestFit="1" customWidth="1"/>
    <col min="11776" max="11785" width="11" style="1" bestFit="1" customWidth="1"/>
    <col min="11786" max="11786" width="13.28515625" style="1" bestFit="1" customWidth="1"/>
    <col min="11787" max="11787" width="10" style="1" bestFit="1" customWidth="1"/>
    <col min="11788" max="11788" width="11" style="1" bestFit="1" customWidth="1"/>
    <col min="11789" max="11994" width="9" style="1"/>
    <col min="11995" max="11995" width="2.85546875" style="1" bestFit="1" customWidth="1"/>
    <col min="11996" max="11996" width="16.5703125" style="1" bestFit="1" customWidth="1"/>
    <col min="11997" max="11997" width="11.42578125" style="1" bestFit="1" customWidth="1"/>
    <col min="11998" max="11999" width="14.140625" style="1" bestFit="1" customWidth="1"/>
    <col min="12000" max="12000" width="11.42578125" style="1" bestFit="1" customWidth="1"/>
    <col min="12001" max="12004" width="12.42578125" style="1" bestFit="1" customWidth="1"/>
    <col min="12005" max="12024" width="13" style="1" bestFit="1" customWidth="1"/>
    <col min="12025" max="12028" width="11" style="1" bestFit="1" customWidth="1"/>
    <col min="12029" max="12031" width="12.28515625" style="1" bestFit="1" customWidth="1"/>
    <col min="12032" max="12041" width="11" style="1" bestFit="1" customWidth="1"/>
    <col min="12042" max="12042" width="13.28515625" style="1" bestFit="1" customWidth="1"/>
    <col min="12043" max="12043" width="10" style="1" bestFit="1" customWidth="1"/>
    <col min="12044" max="12044" width="11" style="1" bestFit="1" customWidth="1"/>
    <col min="12045" max="12250" width="9" style="1"/>
    <col min="12251" max="12251" width="2.85546875" style="1" bestFit="1" customWidth="1"/>
    <col min="12252" max="12252" width="16.5703125" style="1" bestFit="1" customWidth="1"/>
    <col min="12253" max="12253" width="11.42578125" style="1" bestFit="1" customWidth="1"/>
    <col min="12254" max="12255" width="14.140625" style="1" bestFit="1" customWidth="1"/>
    <col min="12256" max="12256" width="11.42578125" style="1" bestFit="1" customWidth="1"/>
    <col min="12257" max="12260" width="12.42578125" style="1" bestFit="1" customWidth="1"/>
    <col min="12261" max="12280" width="13" style="1" bestFit="1" customWidth="1"/>
    <col min="12281" max="12284" width="11" style="1" bestFit="1" customWidth="1"/>
    <col min="12285" max="12287" width="12.28515625" style="1" bestFit="1" customWidth="1"/>
    <col min="12288" max="12297" width="11" style="1" bestFit="1" customWidth="1"/>
    <col min="12298" max="12298" width="13.28515625" style="1" bestFit="1" customWidth="1"/>
    <col min="12299" max="12299" width="10" style="1" bestFit="1" customWidth="1"/>
    <col min="12300" max="12300" width="11" style="1" bestFit="1" customWidth="1"/>
    <col min="12301" max="12506" width="9" style="1"/>
    <col min="12507" max="12507" width="2.85546875" style="1" bestFit="1" customWidth="1"/>
    <col min="12508" max="12508" width="16.5703125" style="1" bestFit="1" customWidth="1"/>
    <col min="12509" max="12509" width="11.42578125" style="1" bestFit="1" customWidth="1"/>
    <col min="12510" max="12511" width="14.140625" style="1" bestFit="1" customWidth="1"/>
    <col min="12512" max="12512" width="11.42578125" style="1" bestFit="1" customWidth="1"/>
    <col min="12513" max="12516" width="12.42578125" style="1" bestFit="1" customWidth="1"/>
    <col min="12517" max="12536" width="13" style="1" bestFit="1" customWidth="1"/>
    <col min="12537" max="12540" width="11" style="1" bestFit="1" customWidth="1"/>
    <col min="12541" max="12543" width="12.28515625" style="1" bestFit="1" customWidth="1"/>
    <col min="12544" max="12553" width="11" style="1" bestFit="1" customWidth="1"/>
    <col min="12554" max="12554" width="13.28515625" style="1" bestFit="1" customWidth="1"/>
    <col min="12555" max="12555" width="10" style="1" bestFit="1" customWidth="1"/>
    <col min="12556" max="12556" width="11" style="1" bestFit="1" customWidth="1"/>
    <col min="12557" max="12762" width="9" style="1"/>
    <col min="12763" max="12763" width="2.85546875" style="1" bestFit="1" customWidth="1"/>
    <col min="12764" max="12764" width="16.5703125" style="1" bestFit="1" customWidth="1"/>
    <col min="12765" max="12765" width="11.42578125" style="1" bestFit="1" customWidth="1"/>
    <col min="12766" max="12767" width="14.140625" style="1" bestFit="1" customWidth="1"/>
    <col min="12768" max="12768" width="11.42578125" style="1" bestFit="1" customWidth="1"/>
    <col min="12769" max="12772" width="12.42578125" style="1" bestFit="1" customWidth="1"/>
    <col min="12773" max="12792" width="13" style="1" bestFit="1" customWidth="1"/>
    <col min="12793" max="12796" width="11" style="1" bestFit="1" customWidth="1"/>
    <col min="12797" max="12799" width="12.28515625" style="1" bestFit="1" customWidth="1"/>
    <col min="12800" max="12809" width="11" style="1" bestFit="1" customWidth="1"/>
    <col min="12810" max="12810" width="13.28515625" style="1" bestFit="1" customWidth="1"/>
    <col min="12811" max="12811" width="10" style="1" bestFit="1" customWidth="1"/>
    <col min="12812" max="12812" width="11" style="1" bestFit="1" customWidth="1"/>
    <col min="12813" max="13018" width="9" style="1"/>
    <col min="13019" max="13019" width="2.85546875" style="1" bestFit="1" customWidth="1"/>
    <col min="13020" max="13020" width="16.5703125" style="1" bestFit="1" customWidth="1"/>
    <col min="13021" max="13021" width="11.42578125" style="1" bestFit="1" customWidth="1"/>
    <col min="13022" max="13023" width="14.140625" style="1" bestFit="1" customWidth="1"/>
    <col min="13024" max="13024" width="11.42578125" style="1" bestFit="1" customWidth="1"/>
    <col min="13025" max="13028" width="12.42578125" style="1" bestFit="1" customWidth="1"/>
    <col min="13029" max="13048" width="13" style="1" bestFit="1" customWidth="1"/>
    <col min="13049" max="13052" width="11" style="1" bestFit="1" customWidth="1"/>
    <col min="13053" max="13055" width="12.28515625" style="1" bestFit="1" customWidth="1"/>
    <col min="13056" max="13065" width="11" style="1" bestFit="1" customWidth="1"/>
    <col min="13066" max="13066" width="13.28515625" style="1" bestFit="1" customWidth="1"/>
    <col min="13067" max="13067" width="10" style="1" bestFit="1" customWidth="1"/>
    <col min="13068" max="13068" width="11" style="1" bestFit="1" customWidth="1"/>
    <col min="13069" max="13274" width="9" style="1"/>
    <col min="13275" max="13275" width="2.85546875" style="1" bestFit="1" customWidth="1"/>
    <col min="13276" max="13276" width="16.5703125" style="1" bestFit="1" customWidth="1"/>
    <col min="13277" max="13277" width="11.42578125" style="1" bestFit="1" customWidth="1"/>
    <col min="13278" max="13279" width="14.140625" style="1" bestFit="1" customWidth="1"/>
    <col min="13280" max="13280" width="11.42578125" style="1" bestFit="1" customWidth="1"/>
    <col min="13281" max="13284" width="12.42578125" style="1" bestFit="1" customWidth="1"/>
    <col min="13285" max="13304" width="13" style="1" bestFit="1" customWidth="1"/>
    <col min="13305" max="13308" width="11" style="1" bestFit="1" customWidth="1"/>
    <col min="13309" max="13311" width="12.28515625" style="1" bestFit="1" customWidth="1"/>
    <col min="13312" max="13321" width="11" style="1" bestFit="1" customWidth="1"/>
    <col min="13322" max="13322" width="13.28515625" style="1" bestFit="1" customWidth="1"/>
    <col min="13323" max="13323" width="10" style="1" bestFit="1" customWidth="1"/>
    <col min="13324" max="13324" width="11" style="1" bestFit="1" customWidth="1"/>
    <col min="13325" max="13530" width="9" style="1"/>
    <col min="13531" max="13531" width="2.85546875" style="1" bestFit="1" customWidth="1"/>
    <col min="13532" max="13532" width="16.5703125" style="1" bestFit="1" customWidth="1"/>
    <col min="13533" max="13533" width="11.42578125" style="1" bestFit="1" customWidth="1"/>
    <col min="13534" max="13535" width="14.140625" style="1" bestFit="1" customWidth="1"/>
    <col min="13536" max="13536" width="11.42578125" style="1" bestFit="1" customWidth="1"/>
    <col min="13537" max="13540" width="12.42578125" style="1" bestFit="1" customWidth="1"/>
    <col min="13541" max="13560" width="13" style="1" bestFit="1" customWidth="1"/>
    <col min="13561" max="13564" width="11" style="1" bestFit="1" customWidth="1"/>
    <col min="13565" max="13567" width="12.28515625" style="1" bestFit="1" customWidth="1"/>
    <col min="13568" max="13577" width="11" style="1" bestFit="1" customWidth="1"/>
    <col min="13578" max="13578" width="13.28515625" style="1" bestFit="1" customWidth="1"/>
    <col min="13579" max="13579" width="10" style="1" bestFit="1" customWidth="1"/>
    <col min="13580" max="13580" width="11" style="1" bestFit="1" customWidth="1"/>
    <col min="13581" max="13786" width="9" style="1"/>
    <col min="13787" max="13787" width="2.85546875" style="1" bestFit="1" customWidth="1"/>
    <col min="13788" max="13788" width="16.5703125" style="1" bestFit="1" customWidth="1"/>
    <col min="13789" max="13789" width="11.42578125" style="1" bestFit="1" customWidth="1"/>
    <col min="13790" max="13791" width="14.140625" style="1" bestFit="1" customWidth="1"/>
    <col min="13792" max="13792" width="11.42578125" style="1" bestFit="1" customWidth="1"/>
    <col min="13793" max="13796" width="12.42578125" style="1" bestFit="1" customWidth="1"/>
    <col min="13797" max="13816" width="13" style="1" bestFit="1" customWidth="1"/>
    <col min="13817" max="13820" width="11" style="1" bestFit="1" customWidth="1"/>
    <col min="13821" max="13823" width="12.28515625" style="1" bestFit="1" customWidth="1"/>
    <col min="13824" max="13833" width="11" style="1" bestFit="1" customWidth="1"/>
    <col min="13834" max="13834" width="13.28515625" style="1" bestFit="1" customWidth="1"/>
    <col min="13835" max="13835" width="10" style="1" bestFit="1" customWidth="1"/>
    <col min="13836" max="13836" width="11" style="1" bestFit="1" customWidth="1"/>
    <col min="13837" max="14042" width="9" style="1"/>
    <col min="14043" max="14043" width="2.85546875" style="1" bestFit="1" customWidth="1"/>
    <col min="14044" max="14044" width="16.5703125" style="1" bestFit="1" customWidth="1"/>
    <col min="14045" max="14045" width="11.42578125" style="1" bestFit="1" customWidth="1"/>
    <col min="14046" max="14047" width="14.140625" style="1" bestFit="1" customWidth="1"/>
    <col min="14048" max="14048" width="11.42578125" style="1" bestFit="1" customWidth="1"/>
    <col min="14049" max="14052" width="12.42578125" style="1" bestFit="1" customWidth="1"/>
    <col min="14053" max="14072" width="13" style="1" bestFit="1" customWidth="1"/>
    <col min="14073" max="14076" width="11" style="1" bestFit="1" customWidth="1"/>
    <col min="14077" max="14079" width="12.28515625" style="1" bestFit="1" customWidth="1"/>
    <col min="14080" max="14089" width="11" style="1" bestFit="1" customWidth="1"/>
    <col min="14090" max="14090" width="13.28515625" style="1" bestFit="1" customWidth="1"/>
    <col min="14091" max="14091" width="10" style="1" bestFit="1" customWidth="1"/>
    <col min="14092" max="14092" width="11" style="1" bestFit="1" customWidth="1"/>
    <col min="14093" max="14298" width="9" style="1"/>
    <col min="14299" max="14299" width="2.85546875" style="1" bestFit="1" customWidth="1"/>
    <col min="14300" max="14300" width="16.5703125" style="1" bestFit="1" customWidth="1"/>
    <col min="14301" max="14301" width="11.42578125" style="1" bestFit="1" customWidth="1"/>
    <col min="14302" max="14303" width="14.140625" style="1" bestFit="1" customWidth="1"/>
    <col min="14304" max="14304" width="11.42578125" style="1" bestFit="1" customWidth="1"/>
    <col min="14305" max="14308" width="12.42578125" style="1" bestFit="1" customWidth="1"/>
    <col min="14309" max="14328" width="13" style="1" bestFit="1" customWidth="1"/>
    <col min="14329" max="14332" width="11" style="1" bestFit="1" customWidth="1"/>
    <col min="14333" max="14335" width="12.28515625" style="1" bestFit="1" customWidth="1"/>
    <col min="14336" max="14345" width="11" style="1" bestFit="1" customWidth="1"/>
    <col min="14346" max="14346" width="13.28515625" style="1" bestFit="1" customWidth="1"/>
    <col min="14347" max="14347" width="10" style="1" bestFit="1" customWidth="1"/>
    <col min="14348" max="14348" width="11" style="1" bestFit="1" customWidth="1"/>
    <col min="14349" max="14554" width="9" style="1"/>
    <col min="14555" max="14555" width="2.85546875" style="1" bestFit="1" customWidth="1"/>
    <col min="14556" max="14556" width="16.5703125" style="1" bestFit="1" customWidth="1"/>
    <col min="14557" max="14557" width="11.42578125" style="1" bestFit="1" customWidth="1"/>
    <col min="14558" max="14559" width="14.140625" style="1" bestFit="1" customWidth="1"/>
    <col min="14560" max="14560" width="11.42578125" style="1" bestFit="1" customWidth="1"/>
    <col min="14561" max="14564" width="12.42578125" style="1" bestFit="1" customWidth="1"/>
    <col min="14565" max="14584" width="13" style="1" bestFit="1" customWidth="1"/>
    <col min="14585" max="14588" width="11" style="1" bestFit="1" customWidth="1"/>
    <col min="14589" max="14591" width="12.28515625" style="1" bestFit="1" customWidth="1"/>
    <col min="14592" max="14601" width="11" style="1" bestFit="1" customWidth="1"/>
    <col min="14602" max="14602" width="13.28515625" style="1" bestFit="1" customWidth="1"/>
    <col min="14603" max="14603" width="10" style="1" bestFit="1" customWidth="1"/>
    <col min="14604" max="14604" width="11" style="1" bestFit="1" customWidth="1"/>
    <col min="14605" max="14810" width="9" style="1"/>
    <col min="14811" max="14811" width="2.85546875" style="1" bestFit="1" customWidth="1"/>
    <col min="14812" max="14812" width="16.5703125" style="1" bestFit="1" customWidth="1"/>
    <col min="14813" max="14813" width="11.42578125" style="1" bestFit="1" customWidth="1"/>
    <col min="14814" max="14815" width="14.140625" style="1" bestFit="1" customWidth="1"/>
    <col min="14816" max="14816" width="11.42578125" style="1" bestFit="1" customWidth="1"/>
    <col min="14817" max="14820" width="12.42578125" style="1" bestFit="1" customWidth="1"/>
    <col min="14821" max="14840" width="13" style="1" bestFit="1" customWidth="1"/>
    <col min="14841" max="14844" width="11" style="1" bestFit="1" customWidth="1"/>
    <col min="14845" max="14847" width="12.28515625" style="1" bestFit="1" customWidth="1"/>
    <col min="14848" max="14857" width="11" style="1" bestFit="1" customWidth="1"/>
    <col min="14858" max="14858" width="13.28515625" style="1" bestFit="1" customWidth="1"/>
    <col min="14859" max="14859" width="10" style="1" bestFit="1" customWidth="1"/>
    <col min="14860" max="14860" width="11" style="1" bestFit="1" customWidth="1"/>
    <col min="14861" max="15066" width="9" style="1"/>
    <col min="15067" max="15067" width="2.85546875" style="1" bestFit="1" customWidth="1"/>
    <col min="15068" max="15068" width="16.5703125" style="1" bestFit="1" customWidth="1"/>
    <col min="15069" max="15069" width="11.42578125" style="1" bestFit="1" customWidth="1"/>
    <col min="15070" max="15071" width="14.140625" style="1" bestFit="1" customWidth="1"/>
    <col min="15072" max="15072" width="11.42578125" style="1" bestFit="1" customWidth="1"/>
    <col min="15073" max="15076" width="12.42578125" style="1" bestFit="1" customWidth="1"/>
    <col min="15077" max="15096" width="13" style="1" bestFit="1" customWidth="1"/>
    <col min="15097" max="15100" width="11" style="1" bestFit="1" customWidth="1"/>
    <col min="15101" max="15103" width="12.28515625" style="1" bestFit="1" customWidth="1"/>
    <col min="15104" max="15113" width="11" style="1" bestFit="1" customWidth="1"/>
    <col min="15114" max="15114" width="13.28515625" style="1" bestFit="1" customWidth="1"/>
    <col min="15115" max="15115" width="10" style="1" bestFit="1" customWidth="1"/>
    <col min="15116" max="15116" width="11" style="1" bestFit="1" customWidth="1"/>
    <col min="15117" max="15322" width="9" style="1"/>
    <col min="15323" max="15323" width="2.85546875" style="1" bestFit="1" customWidth="1"/>
    <col min="15324" max="15324" width="16.5703125" style="1" bestFit="1" customWidth="1"/>
    <col min="15325" max="15325" width="11.42578125" style="1" bestFit="1" customWidth="1"/>
    <col min="15326" max="15327" width="14.140625" style="1" bestFit="1" customWidth="1"/>
    <col min="15328" max="15328" width="11.42578125" style="1" bestFit="1" customWidth="1"/>
    <col min="15329" max="15332" width="12.42578125" style="1" bestFit="1" customWidth="1"/>
    <col min="15333" max="15352" width="13" style="1" bestFit="1" customWidth="1"/>
    <col min="15353" max="15356" width="11" style="1" bestFit="1" customWidth="1"/>
    <col min="15357" max="15359" width="12.28515625" style="1" bestFit="1" customWidth="1"/>
    <col min="15360" max="15369" width="11" style="1" bestFit="1" customWidth="1"/>
    <col min="15370" max="15370" width="13.28515625" style="1" bestFit="1" customWidth="1"/>
    <col min="15371" max="15371" width="10" style="1" bestFit="1" customWidth="1"/>
    <col min="15372" max="15372" width="11" style="1" bestFit="1" customWidth="1"/>
    <col min="15373" max="15578" width="9" style="1"/>
    <col min="15579" max="15579" width="2.85546875" style="1" bestFit="1" customWidth="1"/>
    <col min="15580" max="15580" width="16.5703125" style="1" bestFit="1" customWidth="1"/>
    <col min="15581" max="15581" width="11.42578125" style="1" bestFit="1" customWidth="1"/>
    <col min="15582" max="15583" width="14.140625" style="1" bestFit="1" customWidth="1"/>
    <col min="15584" max="15584" width="11.42578125" style="1" bestFit="1" customWidth="1"/>
    <col min="15585" max="15588" width="12.42578125" style="1" bestFit="1" customWidth="1"/>
    <col min="15589" max="15608" width="13" style="1" bestFit="1" customWidth="1"/>
    <col min="15609" max="15612" width="11" style="1" bestFit="1" customWidth="1"/>
    <col min="15613" max="15615" width="12.28515625" style="1" bestFit="1" customWidth="1"/>
    <col min="15616" max="15625" width="11" style="1" bestFit="1" customWidth="1"/>
    <col min="15626" max="15626" width="13.28515625" style="1" bestFit="1" customWidth="1"/>
    <col min="15627" max="15627" width="10" style="1" bestFit="1" customWidth="1"/>
    <col min="15628" max="15628" width="11" style="1" bestFit="1" customWidth="1"/>
    <col min="15629" max="15834" width="9" style="1"/>
    <col min="15835" max="15835" width="2.85546875" style="1" bestFit="1" customWidth="1"/>
    <col min="15836" max="15836" width="16.5703125" style="1" bestFit="1" customWidth="1"/>
    <col min="15837" max="15837" width="11.42578125" style="1" bestFit="1" customWidth="1"/>
    <col min="15838" max="15839" width="14.140625" style="1" bestFit="1" customWidth="1"/>
    <col min="15840" max="15840" width="11.42578125" style="1" bestFit="1" customWidth="1"/>
    <col min="15841" max="15844" width="12.42578125" style="1" bestFit="1" customWidth="1"/>
    <col min="15845" max="15864" width="13" style="1" bestFit="1" customWidth="1"/>
    <col min="15865" max="15868" width="11" style="1" bestFit="1" customWidth="1"/>
    <col min="15869" max="15871" width="12.28515625" style="1" bestFit="1" customWidth="1"/>
    <col min="15872" max="15881" width="11" style="1" bestFit="1" customWidth="1"/>
    <col min="15882" max="15882" width="13.28515625" style="1" bestFit="1" customWidth="1"/>
    <col min="15883" max="15883" width="10" style="1" bestFit="1" customWidth="1"/>
    <col min="15884" max="15884" width="11" style="1" bestFit="1" customWidth="1"/>
    <col min="15885" max="16090" width="9" style="1"/>
    <col min="16091" max="16091" width="2.85546875" style="1" bestFit="1" customWidth="1"/>
    <col min="16092" max="16092" width="16.5703125" style="1" bestFit="1" customWidth="1"/>
    <col min="16093" max="16093" width="11.42578125" style="1" bestFit="1" customWidth="1"/>
    <col min="16094" max="16095" width="14.140625" style="1" bestFit="1" customWidth="1"/>
    <col min="16096" max="16096" width="11.42578125" style="1" bestFit="1" customWidth="1"/>
    <col min="16097" max="16100" width="12.42578125" style="1" bestFit="1" customWidth="1"/>
    <col min="16101" max="16120" width="13" style="1" bestFit="1" customWidth="1"/>
    <col min="16121" max="16124" width="11" style="1" bestFit="1" customWidth="1"/>
    <col min="16125" max="16127" width="12.28515625" style="1" bestFit="1" customWidth="1"/>
    <col min="16128" max="16137" width="11" style="1" bestFit="1" customWidth="1"/>
    <col min="16138" max="16138" width="13.285156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/>
    <row r="3" spans="1:12" ht="17.25">
      <c r="A3" s="53">
        <v>45717</v>
      </c>
      <c r="B3" s="53"/>
      <c r="C3" s="40" t="s">
        <v>226</v>
      </c>
    </row>
    <row r="4" spans="1:12" s="3" customFormat="1">
      <c r="A4" s="46" t="s">
        <v>1</v>
      </c>
      <c r="B4" s="46"/>
      <c r="C4" s="42" t="s">
        <v>30</v>
      </c>
      <c r="D4" s="42" t="s">
        <v>31</v>
      </c>
      <c r="E4" s="42" t="s">
        <v>32</v>
      </c>
      <c r="F4" s="42" t="s">
        <v>33</v>
      </c>
      <c r="G4" s="42" t="s">
        <v>34</v>
      </c>
      <c r="H4" s="42" t="s">
        <v>35</v>
      </c>
      <c r="I4" s="42" t="s">
        <v>36</v>
      </c>
      <c r="J4" s="43" t="s">
        <v>46</v>
      </c>
      <c r="K4" s="43" t="s">
        <v>47</v>
      </c>
      <c r="L4" s="2" t="s">
        <v>48</v>
      </c>
    </row>
    <row r="5" spans="1:12" s="3" customFormat="1" hidden="1">
      <c r="A5" s="50" t="s">
        <v>49</v>
      </c>
      <c r="B5" s="54"/>
      <c r="C5" s="42">
        <v>6</v>
      </c>
      <c r="D5" s="42">
        <v>6</v>
      </c>
      <c r="E5" s="42">
        <v>6</v>
      </c>
      <c r="F5" s="42">
        <v>6</v>
      </c>
      <c r="G5" s="42">
        <v>6</v>
      </c>
      <c r="H5" s="42">
        <v>6</v>
      </c>
      <c r="I5" s="42">
        <v>6</v>
      </c>
      <c r="J5" s="43"/>
      <c r="K5" s="43"/>
      <c r="L5" s="2"/>
    </row>
    <row r="6" spans="1:12" s="3" customFormat="1" hidden="1">
      <c r="A6" s="50" t="s">
        <v>50</v>
      </c>
      <c r="B6" s="54"/>
      <c r="C6" s="42" t="s">
        <v>53</v>
      </c>
      <c r="D6" s="42" t="s">
        <v>53</v>
      </c>
      <c r="E6" s="42" t="s">
        <v>53</v>
      </c>
      <c r="F6" s="42" t="s">
        <v>53</v>
      </c>
      <c r="G6" s="42" t="s">
        <v>53</v>
      </c>
      <c r="H6" s="42" t="s">
        <v>53</v>
      </c>
      <c r="I6" s="42" t="s">
        <v>53</v>
      </c>
      <c r="J6" s="43"/>
      <c r="K6" s="43"/>
      <c r="L6" s="2"/>
    </row>
    <row r="7" spans="1:12" s="3" customFormat="1">
      <c r="A7" s="52" t="s">
        <v>56</v>
      </c>
      <c r="B7" s="52"/>
      <c r="C7" s="41" t="s">
        <v>78</v>
      </c>
      <c r="D7" s="41" t="s">
        <v>79</v>
      </c>
      <c r="E7" s="38" t="s">
        <v>80</v>
      </c>
      <c r="F7" s="39" t="s">
        <v>81</v>
      </c>
      <c r="G7" s="38" t="s">
        <v>82</v>
      </c>
      <c r="H7" s="41" t="s">
        <v>83</v>
      </c>
      <c r="I7" s="38" t="s">
        <v>82</v>
      </c>
      <c r="J7" s="44"/>
      <c r="K7" s="44"/>
      <c r="L7" s="4"/>
    </row>
    <row r="8" spans="1:12" s="3" customFormat="1">
      <c r="A8" s="52" t="s">
        <v>89</v>
      </c>
      <c r="B8" s="52"/>
      <c r="C8" s="41" t="s">
        <v>113</v>
      </c>
      <c r="D8" s="41" t="s">
        <v>114</v>
      </c>
      <c r="E8" s="41" t="s">
        <v>115</v>
      </c>
      <c r="F8" s="41" t="s">
        <v>116</v>
      </c>
      <c r="G8" s="41" t="s">
        <v>117</v>
      </c>
      <c r="H8" s="41" t="s">
        <v>118</v>
      </c>
      <c r="I8" s="41" t="s">
        <v>119</v>
      </c>
      <c r="J8" s="44"/>
      <c r="K8" s="44"/>
      <c r="L8" s="4"/>
    </row>
    <row r="9" spans="1:12">
      <c r="A9" s="48" t="s">
        <v>125</v>
      </c>
      <c r="B9" s="49"/>
      <c r="C9" s="5">
        <v>8</v>
      </c>
      <c r="D9" s="5">
        <v>8</v>
      </c>
      <c r="E9" s="5">
        <v>8</v>
      </c>
      <c r="F9" s="5">
        <v>10</v>
      </c>
      <c r="G9" s="5">
        <v>10</v>
      </c>
      <c r="H9" s="5">
        <v>10</v>
      </c>
      <c r="I9" s="5">
        <v>10</v>
      </c>
      <c r="J9" s="6">
        <f>SUM(C9:I9)</f>
        <v>64</v>
      </c>
      <c r="K9" s="6"/>
      <c r="L9" s="7"/>
    </row>
    <row r="10" spans="1:12">
      <c r="A10" s="46" t="s">
        <v>126</v>
      </c>
      <c r="B10" s="46"/>
      <c r="C10" s="8" t="s">
        <v>135</v>
      </c>
      <c r="D10" s="8" t="s">
        <v>135</v>
      </c>
      <c r="E10" s="8" t="s">
        <v>129</v>
      </c>
      <c r="F10" s="8" t="s">
        <v>130</v>
      </c>
      <c r="G10" s="8" t="s">
        <v>132</v>
      </c>
      <c r="H10" s="8" t="s">
        <v>132</v>
      </c>
      <c r="I10" s="8" t="s">
        <v>132</v>
      </c>
      <c r="J10" s="9"/>
      <c r="K10" s="9"/>
      <c r="L10" s="10"/>
    </row>
    <row r="11" spans="1:12">
      <c r="A11" s="46" t="s">
        <v>137</v>
      </c>
      <c r="B11" s="46"/>
      <c r="C11" s="11">
        <v>7748</v>
      </c>
      <c r="D11" s="11">
        <v>8174</v>
      </c>
      <c r="E11" s="11">
        <v>7467</v>
      </c>
      <c r="F11" s="11">
        <v>7538</v>
      </c>
      <c r="G11" s="11">
        <v>3637</v>
      </c>
      <c r="H11" s="11">
        <v>5332</v>
      </c>
      <c r="I11" s="11">
        <v>2333</v>
      </c>
      <c r="J11" s="13">
        <f>SUM(C11:I11)</f>
        <v>42229</v>
      </c>
      <c r="K11" s="13">
        <f t="shared" ref="K11:K42" si="0">AVERAGE(C11:I11)</f>
        <v>6032.7142857142853</v>
      </c>
      <c r="L11" s="10"/>
    </row>
    <row r="12" spans="1:12">
      <c r="A12" s="50" t="s">
        <v>138</v>
      </c>
      <c r="B12" s="51"/>
      <c r="C12" s="14">
        <v>10.154166666666667</v>
      </c>
      <c r="D12" s="14">
        <v>10.05625</v>
      </c>
      <c r="E12" s="14">
        <v>11.030555555555555</v>
      </c>
      <c r="F12" s="14">
        <v>9.8583333333333325</v>
      </c>
      <c r="G12" s="14">
        <v>7.6673611111111111</v>
      </c>
      <c r="H12" s="14">
        <v>8.9361111111111118</v>
      </c>
      <c r="I12" s="14">
        <v>5</v>
      </c>
      <c r="J12" s="16">
        <f>SUM(C12:I12)</f>
        <v>62.702777777777776</v>
      </c>
      <c r="K12" s="16">
        <f t="shared" si="0"/>
        <v>8.9575396825396822</v>
      </c>
      <c r="L12" s="10"/>
    </row>
    <row r="13" spans="1:12">
      <c r="A13" s="46" t="s">
        <v>139</v>
      </c>
      <c r="B13" s="46"/>
      <c r="C13" s="11">
        <v>1860273</v>
      </c>
      <c r="D13" s="11">
        <v>1957816</v>
      </c>
      <c r="E13" s="11">
        <v>1525608</v>
      </c>
      <c r="F13" s="11">
        <v>1137250</v>
      </c>
      <c r="G13" s="11">
        <v>815695</v>
      </c>
      <c r="H13" s="11">
        <v>1343150</v>
      </c>
      <c r="I13" s="11">
        <v>533796</v>
      </c>
      <c r="J13" s="13">
        <f>SUM(C13:I13)</f>
        <v>9173588</v>
      </c>
      <c r="K13" s="13">
        <f t="shared" si="0"/>
        <v>1310512.5714285714</v>
      </c>
      <c r="L13" s="10">
        <f>J13/J13</f>
        <v>1</v>
      </c>
    </row>
    <row r="14" spans="1:12">
      <c r="A14" s="50" t="s">
        <v>140</v>
      </c>
      <c r="B14" s="51"/>
      <c r="C14" s="11">
        <v>0</v>
      </c>
      <c r="D14" s="11">
        <v>0</v>
      </c>
      <c r="E14" s="11">
        <v>0</v>
      </c>
      <c r="F14" s="11">
        <v>127430</v>
      </c>
      <c r="G14" s="11">
        <v>0</v>
      </c>
      <c r="H14" s="11">
        <v>0</v>
      </c>
      <c r="I14" s="11">
        <v>0</v>
      </c>
      <c r="J14" s="13">
        <f>SUM(C14:I14)</f>
        <v>127430</v>
      </c>
      <c r="K14" s="13">
        <f t="shared" si="0"/>
        <v>18204.285714285714</v>
      </c>
      <c r="L14" s="10"/>
    </row>
    <row r="15" spans="1:12">
      <c r="A15" s="46" t="s">
        <v>141</v>
      </c>
      <c r="B15" s="46"/>
      <c r="C15" s="11">
        <f t="shared" ref="C15:I15" si="1">SUM(C13/C11)</f>
        <v>240.0971863706763</v>
      </c>
      <c r="D15" s="11">
        <f t="shared" si="1"/>
        <v>239.51749449473942</v>
      </c>
      <c r="E15" s="11">
        <f t="shared" si="1"/>
        <v>204.31337886701488</v>
      </c>
      <c r="F15" s="11">
        <f t="shared" si="1"/>
        <v>150.86893075086229</v>
      </c>
      <c r="G15" s="11">
        <f t="shared" si="1"/>
        <v>224.27687654660434</v>
      </c>
      <c r="H15" s="11">
        <f t="shared" si="1"/>
        <v>251.90360090022506</v>
      </c>
      <c r="I15" s="11">
        <f t="shared" si="1"/>
        <v>228.80240034290614</v>
      </c>
      <c r="J15" s="9">
        <f>SUM(J13/J11)</f>
        <v>217.23431764900897</v>
      </c>
      <c r="K15" s="13">
        <f t="shared" si="0"/>
        <v>219.96855261043262</v>
      </c>
      <c r="L15" s="10"/>
    </row>
    <row r="16" spans="1:12">
      <c r="A16" s="50" t="s">
        <v>142</v>
      </c>
      <c r="B16" s="51"/>
      <c r="C16" s="17">
        <f t="shared" ref="C16:J16" si="2">C13/(C12*24)</f>
        <v>7633.4550677061961</v>
      </c>
      <c r="D16" s="17">
        <f t="shared" si="2"/>
        <v>8111.9370209239687</v>
      </c>
      <c r="E16" s="17">
        <f t="shared" si="2"/>
        <v>5762.8103752203469</v>
      </c>
      <c r="F16" s="17">
        <f t="shared" si="2"/>
        <v>4806.6356720202884</v>
      </c>
      <c r="G16" s="17">
        <f t="shared" si="2"/>
        <v>4432.7234851915591</v>
      </c>
      <c r="H16" s="17">
        <f t="shared" si="2"/>
        <v>6262.7447932856694</v>
      </c>
      <c r="I16" s="17">
        <f t="shared" si="2"/>
        <v>4448.3</v>
      </c>
      <c r="J16" s="19">
        <f t="shared" si="2"/>
        <v>6095.9473707526695</v>
      </c>
      <c r="K16" s="19">
        <f t="shared" si="0"/>
        <v>5922.6580591925758</v>
      </c>
      <c r="L16" s="10"/>
    </row>
    <row r="17" spans="1:12">
      <c r="A17" s="47" t="s">
        <v>143</v>
      </c>
      <c r="B17" s="8" t="s">
        <v>144</v>
      </c>
      <c r="C17" s="11">
        <v>0</v>
      </c>
      <c r="D17" s="11">
        <v>215200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3">
        <f t="shared" ref="J17:J28" si="3">SUM(C17:I17)</f>
        <v>215200</v>
      </c>
      <c r="K17" s="13">
        <f t="shared" si="0"/>
        <v>30742.857142857141</v>
      </c>
      <c r="L17" s="10">
        <f>J17/J13</f>
        <v>2.3458651075239045E-2</v>
      </c>
    </row>
    <row r="18" spans="1:12">
      <c r="A18" s="47"/>
      <c r="B18" s="8" t="s">
        <v>145</v>
      </c>
      <c r="C18" s="11">
        <v>3241</v>
      </c>
      <c r="D18" s="11">
        <v>0</v>
      </c>
      <c r="E18" s="11">
        <v>4417</v>
      </c>
      <c r="F18" s="11">
        <v>4025</v>
      </c>
      <c r="G18" s="11">
        <v>4417</v>
      </c>
      <c r="H18" s="11">
        <v>4417</v>
      </c>
      <c r="I18" s="11">
        <v>4825</v>
      </c>
      <c r="J18" s="13">
        <f t="shared" si="3"/>
        <v>25342</v>
      </c>
      <c r="K18" s="13">
        <f t="shared" si="0"/>
        <v>3620.2857142857142</v>
      </c>
      <c r="L18" s="10">
        <f>J18/J13</f>
        <v>2.7624959830330293E-3</v>
      </c>
    </row>
    <row r="19" spans="1:12">
      <c r="A19" s="47"/>
      <c r="B19" s="8" t="s">
        <v>146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3">
        <f t="shared" si="3"/>
        <v>0</v>
      </c>
      <c r="K19" s="13">
        <f t="shared" si="0"/>
        <v>0</v>
      </c>
      <c r="L19" s="10">
        <f>J19/J13</f>
        <v>0</v>
      </c>
    </row>
    <row r="20" spans="1:12">
      <c r="A20" s="47"/>
      <c r="B20" s="8" t="s">
        <v>147</v>
      </c>
      <c r="C20" s="11">
        <v>4550</v>
      </c>
      <c r="D20" s="11">
        <v>4583</v>
      </c>
      <c r="E20" s="11">
        <v>4766</v>
      </c>
      <c r="F20" s="11">
        <v>4583</v>
      </c>
      <c r="G20" s="11">
        <v>4950</v>
      </c>
      <c r="H20" s="11">
        <v>4766</v>
      </c>
      <c r="I20" s="11">
        <v>4950</v>
      </c>
      <c r="J20" s="13">
        <f t="shared" si="3"/>
        <v>33148</v>
      </c>
      <c r="K20" s="13">
        <f t="shared" si="0"/>
        <v>4735.4285714285716</v>
      </c>
      <c r="L20" s="10">
        <f>J20/J13</f>
        <v>3.6134171275186981E-3</v>
      </c>
    </row>
    <row r="21" spans="1:12">
      <c r="A21" s="47"/>
      <c r="B21" s="8" t="s">
        <v>148</v>
      </c>
      <c r="C21" s="11">
        <v>49238</v>
      </c>
      <c r="D21" s="11">
        <v>31013</v>
      </c>
      <c r="E21" s="11">
        <v>49888</v>
      </c>
      <c r="F21" s="11">
        <v>27811</v>
      </c>
      <c r="G21" s="11">
        <v>38733</v>
      </c>
      <c r="H21" s="11">
        <v>37312</v>
      </c>
      <c r="I21" s="11">
        <v>49900</v>
      </c>
      <c r="J21" s="13">
        <f t="shared" si="3"/>
        <v>283895</v>
      </c>
      <c r="K21" s="13">
        <f t="shared" si="0"/>
        <v>40556.428571428572</v>
      </c>
      <c r="L21" s="10">
        <f>J21/J13</f>
        <v>3.0946996965636565E-2</v>
      </c>
    </row>
    <row r="22" spans="1:12">
      <c r="A22" s="47"/>
      <c r="B22" s="20" t="s">
        <v>149</v>
      </c>
      <c r="C22" s="21">
        <f t="shared" ref="C22:I22" si="4">SUM(C17:C21)</f>
        <v>57029</v>
      </c>
      <c r="D22" s="21">
        <f t="shared" si="4"/>
        <v>250796</v>
      </c>
      <c r="E22" s="21">
        <f t="shared" si="4"/>
        <v>59071</v>
      </c>
      <c r="F22" s="21">
        <f t="shared" si="4"/>
        <v>36419</v>
      </c>
      <c r="G22" s="21">
        <f t="shared" si="4"/>
        <v>48100</v>
      </c>
      <c r="H22" s="21">
        <f t="shared" si="4"/>
        <v>46495</v>
      </c>
      <c r="I22" s="21">
        <f t="shared" si="4"/>
        <v>59675</v>
      </c>
      <c r="J22" s="23">
        <f t="shared" si="3"/>
        <v>557585</v>
      </c>
      <c r="K22" s="23">
        <f t="shared" si="0"/>
        <v>79655</v>
      </c>
      <c r="L22" s="24">
        <f>J22/J13</f>
        <v>6.0781561151427334E-2</v>
      </c>
    </row>
    <row r="23" spans="1:12">
      <c r="A23" s="47" t="s">
        <v>150</v>
      </c>
      <c r="B23" s="8" t="s">
        <v>151</v>
      </c>
      <c r="C23" s="11">
        <v>0</v>
      </c>
      <c r="D23" s="11">
        <v>0</v>
      </c>
      <c r="E23" s="11">
        <v>384380</v>
      </c>
      <c r="F23" s="11">
        <v>0</v>
      </c>
      <c r="G23" s="11">
        <v>121042</v>
      </c>
      <c r="H23" s="11">
        <v>0</v>
      </c>
      <c r="I23" s="11">
        <v>65100</v>
      </c>
      <c r="J23" s="13">
        <f t="shared" si="3"/>
        <v>570522</v>
      </c>
      <c r="K23" s="13">
        <f t="shared" si="0"/>
        <v>81503.142857142855</v>
      </c>
      <c r="L23" s="10">
        <f>J23/J13</f>
        <v>6.2191805430982947E-2</v>
      </c>
    </row>
    <row r="24" spans="1:12">
      <c r="A24" s="47"/>
      <c r="B24" s="8" t="s">
        <v>152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3">
        <f t="shared" si="3"/>
        <v>0</v>
      </c>
      <c r="K24" s="13">
        <f t="shared" si="0"/>
        <v>0</v>
      </c>
      <c r="L24" s="10">
        <f>J24/J13</f>
        <v>0</v>
      </c>
    </row>
    <row r="25" spans="1:12">
      <c r="A25" s="47"/>
      <c r="B25" s="8" t="s">
        <v>153</v>
      </c>
      <c r="C25" s="11">
        <f t="shared" ref="C25:I25" si="5">30000*C9/70000*C11</f>
        <v>26564.571428571428</v>
      </c>
      <c r="D25" s="11">
        <f t="shared" si="5"/>
        <v>28025.142857142855</v>
      </c>
      <c r="E25" s="11">
        <f t="shared" si="5"/>
        <v>25601.142857142855</v>
      </c>
      <c r="F25" s="11">
        <f t="shared" si="5"/>
        <v>32305.714285714286</v>
      </c>
      <c r="G25" s="11">
        <f t="shared" si="5"/>
        <v>15587.142857142857</v>
      </c>
      <c r="H25" s="11">
        <f t="shared" si="5"/>
        <v>22851.428571428572</v>
      </c>
      <c r="I25" s="11">
        <f t="shared" si="5"/>
        <v>9998.5714285714275</v>
      </c>
      <c r="J25" s="13">
        <f t="shared" si="3"/>
        <v>160933.71428571426</v>
      </c>
      <c r="K25" s="13">
        <f t="shared" si="0"/>
        <v>22990.530612244893</v>
      </c>
      <c r="L25" s="10">
        <f>J25/J13</f>
        <v>1.7543159152745281E-2</v>
      </c>
    </row>
    <row r="26" spans="1:12">
      <c r="A26" s="47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3">
        <f t="shared" si="3"/>
        <v>0</v>
      </c>
      <c r="K26" s="13">
        <f t="shared" si="0"/>
        <v>0</v>
      </c>
      <c r="L26" s="10">
        <f>J26/J13</f>
        <v>0</v>
      </c>
    </row>
    <row r="27" spans="1:12">
      <c r="A27" s="47"/>
      <c r="B27" s="20" t="s">
        <v>154</v>
      </c>
      <c r="C27" s="21">
        <f t="shared" ref="C27:I27" si="6">SUM(C23:C26)</f>
        <v>26564.571428571428</v>
      </c>
      <c r="D27" s="21">
        <f t="shared" si="6"/>
        <v>28025.142857142855</v>
      </c>
      <c r="E27" s="21">
        <f t="shared" si="6"/>
        <v>409981.14285714284</v>
      </c>
      <c r="F27" s="21">
        <f t="shared" si="6"/>
        <v>32305.714285714286</v>
      </c>
      <c r="G27" s="21">
        <f t="shared" si="6"/>
        <v>136629.14285714287</v>
      </c>
      <c r="H27" s="21">
        <f t="shared" si="6"/>
        <v>22851.428571428572</v>
      </c>
      <c r="I27" s="21">
        <f t="shared" si="6"/>
        <v>75098.57142857142</v>
      </c>
      <c r="J27" s="23">
        <f t="shared" si="3"/>
        <v>731455.71428571409</v>
      </c>
      <c r="K27" s="23">
        <f t="shared" si="0"/>
        <v>104493.67346938772</v>
      </c>
      <c r="L27" s="24">
        <f>J27/J13</f>
        <v>7.973496458372821E-2</v>
      </c>
    </row>
    <row r="28" spans="1:12">
      <c r="A28" s="47" t="s">
        <v>155</v>
      </c>
      <c r="B28" s="5" t="s">
        <v>156</v>
      </c>
      <c r="C28" s="25">
        <v>2040</v>
      </c>
      <c r="D28" s="25">
        <v>2038</v>
      </c>
      <c r="E28" s="25">
        <v>1882</v>
      </c>
      <c r="F28" s="25">
        <v>2030</v>
      </c>
      <c r="G28" s="25">
        <v>940</v>
      </c>
      <c r="H28" s="25">
        <v>1326</v>
      </c>
      <c r="I28" s="25">
        <v>621</v>
      </c>
      <c r="J28" s="27">
        <f t="shared" si="3"/>
        <v>10877</v>
      </c>
      <c r="K28" s="27">
        <f t="shared" si="0"/>
        <v>1553.8571428571429</v>
      </c>
      <c r="L28" s="7">
        <f>J28/J13</f>
        <v>1.1856865601550888E-3</v>
      </c>
    </row>
    <row r="29" spans="1:12">
      <c r="A29" s="47"/>
      <c r="B29" s="28" t="s">
        <v>157</v>
      </c>
      <c r="C29" s="29">
        <f t="shared" ref="C29:J29" si="7">SUM(C11/C28)</f>
        <v>3.7980392156862743</v>
      </c>
      <c r="D29" s="29">
        <f t="shared" si="7"/>
        <v>4.010794896957802</v>
      </c>
      <c r="E29" s="29">
        <f t="shared" si="7"/>
        <v>3.9675876726886292</v>
      </c>
      <c r="F29" s="29">
        <f t="shared" si="7"/>
        <v>3.7133004926108373</v>
      </c>
      <c r="G29" s="29">
        <f t="shared" si="7"/>
        <v>3.8691489361702129</v>
      </c>
      <c r="H29" s="29">
        <f t="shared" si="7"/>
        <v>4.0211161387631975</v>
      </c>
      <c r="I29" s="29">
        <f t="shared" si="7"/>
        <v>3.756843800322061</v>
      </c>
      <c r="J29" s="31">
        <f t="shared" si="7"/>
        <v>3.8824124298979497</v>
      </c>
      <c r="K29" s="31">
        <f t="shared" si="0"/>
        <v>3.8766901647427159</v>
      </c>
      <c r="L29" s="28">
        <f>J29/J13</f>
        <v>4.2321635001462349E-7</v>
      </c>
    </row>
    <row r="30" spans="1:12">
      <c r="A30" s="47"/>
      <c r="B30" s="8" t="s">
        <v>158</v>
      </c>
      <c r="C30" s="11">
        <v>249696</v>
      </c>
      <c r="D30" s="11">
        <v>249451</v>
      </c>
      <c r="E30" s="11">
        <v>230357</v>
      </c>
      <c r="F30" s="11">
        <v>248472</v>
      </c>
      <c r="G30" s="11">
        <v>115056</v>
      </c>
      <c r="H30" s="11">
        <v>162302</v>
      </c>
      <c r="I30" s="11">
        <v>76010</v>
      </c>
      <c r="J30" s="13">
        <f t="shared" ref="J30:J60" si="8">SUM(C30:I30)</f>
        <v>1331344</v>
      </c>
      <c r="K30" s="13">
        <f t="shared" si="0"/>
        <v>190192</v>
      </c>
      <c r="L30" s="10">
        <f>J30/J13</f>
        <v>0.14512794775610155</v>
      </c>
    </row>
    <row r="31" spans="1:12">
      <c r="A31" s="47"/>
      <c r="B31" s="8" t="s">
        <v>159</v>
      </c>
      <c r="C31" s="11">
        <v>0</v>
      </c>
      <c r="D31" s="11">
        <v>0</v>
      </c>
      <c r="E31" s="11">
        <v>9585</v>
      </c>
      <c r="F31" s="11">
        <v>9585</v>
      </c>
      <c r="G31" s="11">
        <v>0</v>
      </c>
      <c r="H31" s="11">
        <v>0</v>
      </c>
      <c r="I31" s="11">
        <v>0</v>
      </c>
      <c r="J31" s="13">
        <f t="shared" si="8"/>
        <v>19170</v>
      </c>
      <c r="K31" s="13">
        <f t="shared" si="0"/>
        <v>2738.5714285714284</v>
      </c>
      <c r="L31" s="10">
        <f>J31/J13</f>
        <v>2.0896948936446678E-3</v>
      </c>
    </row>
    <row r="32" spans="1:12">
      <c r="A32" s="47"/>
      <c r="B32" s="8" t="s">
        <v>160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3">
        <f t="shared" si="8"/>
        <v>0</v>
      </c>
      <c r="K32" s="13">
        <f t="shared" si="0"/>
        <v>0</v>
      </c>
      <c r="L32" s="10">
        <f>J32/J13</f>
        <v>0</v>
      </c>
    </row>
    <row r="33" spans="1:12">
      <c r="A33" s="47"/>
      <c r="B33" s="20" t="s">
        <v>161</v>
      </c>
      <c r="C33" s="21">
        <f t="shared" ref="C33:I33" si="9">SUM(C30:C32)</f>
        <v>249696</v>
      </c>
      <c r="D33" s="21">
        <f t="shared" si="9"/>
        <v>249451</v>
      </c>
      <c r="E33" s="21">
        <f t="shared" si="9"/>
        <v>239942</v>
      </c>
      <c r="F33" s="21">
        <f t="shared" si="9"/>
        <v>258057</v>
      </c>
      <c r="G33" s="21">
        <f t="shared" si="9"/>
        <v>115056</v>
      </c>
      <c r="H33" s="21">
        <f t="shared" si="9"/>
        <v>162302</v>
      </c>
      <c r="I33" s="21">
        <f t="shared" si="9"/>
        <v>76010</v>
      </c>
      <c r="J33" s="23">
        <f t="shared" si="8"/>
        <v>1350514</v>
      </c>
      <c r="K33" s="23">
        <f t="shared" si="0"/>
        <v>192930.57142857142</v>
      </c>
      <c r="L33" s="24">
        <f>J33/J13</f>
        <v>0.14721764264974621</v>
      </c>
    </row>
    <row r="34" spans="1:12">
      <c r="A34" s="47" t="s">
        <v>162</v>
      </c>
      <c r="B34" s="8" t="s">
        <v>163</v>
      </c>
      <c r="C34" s="11">
        <v>2008</v>
      </c>
      <c r="D34" s="11">
        <v>2008</v>
      </c>
      <c r="E34" s="11">
        <v>2008</v>
      </c>
      <c r="F34" s="11">
        <v>2008</v>
      </c>
      <c r="G34" s="11">
        <v>2008</v>
      </c>
      <c r="H34" s="11">
        <v>2008</v>
      </c>
      <c r="I34" s="11">
        <v>2625</v>
      </c>
      <c r="J34" s="13">
        <f t="shared" si="8"/>
        <v>14673</v>
      </c>
      <c r="K34" s="13">
        <f t="shared" si="0"/>
        <v>2096.1428571428573</v>
      </c>
      <c r="L34" s="10">
        <f>J34/J13</f>
        <v>1.5994832120212943E-3</v>
      </c>
    </row>
    <row r="35" spans="1:12">
      <c r="A35" s="47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3">
        <f t="shared" si="8"/>
        <v>0</v>
      </c>
      <c r="K35" s="13">
        <f t="shared" si="0"/>
        <v>0</v>
      </c>
      <c r="L35" s="10">
        <f>J35/J13</f>
        <v>0</v>
      </c>
    </row>
    <row r="36" spans="1:12">
      <c r="A36" s="47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3">
        <f t="shared" si="8"/>
        <v>0</v>
      </c>
      <c r="K36" s="13">
        <f t="shared" si="0"/>
        <v>0</v>
      </c>
      <c r="L36" s="10">
        <f>J36/J13</f>
        <v>0</v>
      </c>
    </row>
    <row r="37" spans="1:12">
      <c r="A37" s="47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3">
        <f t="shared" si="8"/>
        <v>0</v>
      </c>
      <c r="K37" s="13">
        <f t="shared" si="0"/>
        <v>0</v>
      </c>
      <c r="L37" s="10">
        <f>J37/J13</f>
        <v>0</v>
      </c>
    </row>
    <row r="38" spans="1:12">
      <c r="A38" s="47"/>
      <c r="B38" s="8" t="s">
        <v>164</v>
      </c>
      <c r="C38" s="11">
        <v>5366</v>
      </c>
      <c r="D38" s="11">
        <v>10370</v>
      </c>
      <c r="E38" s="11">
        <v>5366</v>
      </c>
      <c r="F38" s="11">
        <v>5366</v>
      </c>
      <c r="G38" s="11">
        <v>4621</v>
      </c>
      <c r="H38" s="11">
        <v>4621</v>
      </c>
      <c r="I38" s="11">
        <v>4621</v>
      </c>
      <c r="J38" s="13">
        <f t="shared" si="8"/>
        <v>40331</v>
      </c>
      <c r="K38" s="13">
        <f t="shared" si="0"/>
        <v>5761.5714285714284</v>
      </c>
      <c r="L38" s="10">
        <f>J38/J13</f>
        <v>4.3964259131759565E-3</v>
      </c>
    </row>
    <row r="39" spans="1:12">
      <c r="A39" s="47"/>
      <c r="B39" s="20" t="s">
        <v>165</v>
      </c>
      <c r="C39" s="21">
        <f t="shared" ref="C39:I39" si="10">SUM(C34:C38)</f>
        <v>7374</v>
      </c>
      <c r="D39" s="21">
        <f t="shared" si="10"/>
        <v>12378</v>
      </c>
      <c r="E39" s="21">
        <f t="shared" si="10"/>
        <v>7374</v>
      </c>
      <c r="F39" s="21">
        <f t="shared" si="10"/>
        <v>7374</v>
      </c>
      <c r="G39" s="21">
        <f t="shared" si="10"/>
        <v>6629</v>
      </c>
      <c r="H39" s="21">
        <f t="shared" si="10"/>
        <v>6629</v>
      </c>
      <c r="I39" s="21">
        <f t="shared" si="10"/>
        <v>7246</v>
      </c>
      <c r="J39" s="23">
        <f t="shared" si="8"/>
        <v>55004</v>
      </c>
      <c r="K39" s="23">
        <f t="shared" si="0"/>
        <v>7857.7142857142853</v>
      </c>
      <c r="L39" s="24">
        <f>J39/J13</f>
        <v>5.9959091251972508E-3</v>
      </c>
    </row>
    <row r="40" spans="1:12">
      <c r="A40" s="47" t="s">
        <v>166</v>
      </c>
      <c r="B40" s="8" t="s">
        <v>167</v>
      </c>
      <c r="C40" s="11">
        <v>138220</v>
      </c>
      <c r="D40" s="11">
        <v>148410</v>
      </c>
      <c r="E40" s="11">
        <v>222620</v>
      </c>
      <c r="F40" s="11">
        <v>149150</v>
      </c>
      <c r="G40" s="11">
        <v>35780</v>
      </c>
      <c r="H40" s="11">
        <v>64970</v>
      </c>
      <c r="I40" s="11">
        <v>7180</v>
      </c>
      <c r="J40" s="13">
        <f t="shared" si="8"/>
        <v>766330</v>
      </c>
      <c r="K40" s="13">
        <f t="shared" si="0"/>
        <v>109475.71428571429</v>
      </c>
      <c r="L40" s="10">
        <f>J40/J13</f>
        <v>8.3536561703010867E-2</v>
      </c>
    </row>
    <row r="41" spans="1:12">
      <c r="A41" s="47"/>
      <c r="B41" s="8" t="s">
        <v>168</v>
      </c>
      <c r="C41" s="11">
        <v>-138220</v>
      </c>
      <c r="D41" s="11">
        <v>-148410</v>
      </c>
      <c r="E41" s="11">
        <v>-194992</v>
      </c>
      <c r="F41" s="11">
        <v>-23039</v>
      </c>
      <c r="G41" s="11">
        <v>0</v>
      </c>
      <c r="H41" s="11">
        <v>0</v>
      </c>
      <c r="I41" s="11">
        <v>0</v>
      </c>
      <c r="J41" s="13">
        <f t="shared" si="8"/>
        <v>-504661</v>
      </c>
      <c r="K41" s="13">
        <f t="shared" si="0"/>
        <v>-72094.428571428565</v>
      </c>
      <c r="L41" s="10">
        <f>J41/J13</f>
        <v>-5.5012389917663621E-2</v>
      </c>
    </row>
    <row r="42" spans="1:12">
      <c r="A42" s="47"/>
      <c r="B42" s="8" t="s">
        <v>169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3">
        <f t="shared" si="8"/>
        <v>0</v>
      </c>
      <c r="K42" s="13">
        <f t="shared" si="0"/>
        <v>0</v>
      </c>
      <c r="L42" s="10">
        <f>J42/J13</f>
        <v>0</v>
      </c>
    </row>
    <row r="43" spans="1:12">
      <c r="A43" s="47"/>
      <c r="B43" s="8" t="s">
        <v>170</v>
      </c>
      <c r="C43" s="11">
        <v>-44230.400000000001</v>
      </c>
      <c r="D43" s="11">
        <v>-47491.199999999997</v>
      </c>
      <c r="E43" s="11">
        <v>-71238.399999999994</v>
      </c>
      <c r="F43" s="11">
        <v>-47728</v>
      </c>
      <c r="G43" s="11">
        <v>-11449.6</v>
      </c>
      <c r="H43" s="11">
        <v>-20790.400000000001</v>
      </c>
      <c r="I43" s="11">
        <v>-2297.6</v>
      </c>
      <c r="J43" s="13">
        <f t="shared" si="8"/>
        <v>-245225.60000000001</v>
      </c>
      <c r="K43" s="13">
        <f>AVERAGE(B43:I43)</f>
        <v>-35032.228571428575</v>
      </c>
      <c r="L43" s="10">
        <f>J43/J13</f>
        <v>-2.6731699744963477E-2</v>
      </c>
    </row>
    <row r="44" spans="1:12">
      <c r="A44" s="47"/>
      <c r="B44" s="20" t="s">
        <v>171</v>
      </c>
      <c r="C44" s="21">
        <f t="shared" ref="C44:I44" si="11">SUM(C40:C43)</f>
        <v>-44230.400000000001</v>
      </c>
      <c r="D44" s="21">
        <f t="shared" si="11"/>
        <v>-47491.199999999997</v>
      </c>
      <c r="E44" s="21">
        <f t="shared" si="11"/>
        <v>-43610.399999999994</v>
      </c>
      <c r="F44" s="21">
        <f t="shared" si="11"/>
        <v>78383</v>
      </c>
      <c r="G44" s="21">
        <f t="shared" si="11"/>
        <v>24330.400000000001</v>
      </c>
      <c r="H44" s="21">
        <f t="shared" si="11"/>
        <v>44179.6</v>
      </c>
      <c r="I44" s="21">
        <f t="shared" si="11"/>
        <v>4882.3999999999996</v>
      </c>
      <c r="J44" s="23">
        <f t="shared" si="8"/>
        <v>16443.400000000001</v>
      </c>
      <c r="K44" s="23">
        <f>AVERAGE(B44:I44)</f>
        <v>2349.0571428571429</v>
      </c>
      <c r="L44" s="24">
        <f>J44/J13</f>
        <v>1.7924720403837628E-3</v>
      </c>
    </row>
    <row r="45" spans="1:12">
      <c r="A45" s="47" t="s">
        <v>172</v>
      </c>
      <c r="B45" s="8" t="s">
        <v>173</v>
      </c>
      <c r="C45" s="11">
        <v>337620</v>
      </c>
      <c r="D45" s="11">
        <v>365755</v>
      </c>
      <c r="E45" s="11">
        <v>323552</v>
      </c>
      <c r="F45" s="11">
        <v>295417</v>
      </c>
      <c r="G45" s="11">
        <v>464231</v>
      </c>
      <c r="H45" s="11">
        <v>407957</v>
      </c>
      <c r="I45" s="11">
        <v>281356</v>
      </c>
      <c r="J45" s="13">
        <f t="shared" si="8"/>
        <v>2475888</v>
      </c>
      <c r="K45" s="13">
        <f t="shared" ref="K45:K60" si="12">AVERAGE(C45:I45)</f>
        <v>353698.28571428574</v>
      </c>
      <c r="L45" s="10">
        <f>J45/J13</f>
        <v>0.26989308872384504</v>
      </c>
    </row>
    <row r="46" spans="1:12">
      <c r="A46" s="47"/>
      <c r="B46" s="8" t="s">
        <v>174</v>
      </c>
      <c r="C46" s="11">
        <v>18513</v>
      </c>
      <c r="D46" s="11">
        <v>20056</v>
      </c>
      <c r="E46" s="11">
        <v>17741</v>
      </c>
      <c r="F46" s="11">
        <v>16199</v>
      </c>
      <c r="G46" s="11">
        <v>25461</v>
      </c>
      <c r="H46" s="11">
        <v>22370</v>
      </c>
      <c r="I46" s="11">
        <v>15427</v>
      </c>
      <c r="J46" s="13">
        <f t="shared" si="8"/>
        <v>135767</v>
      </c>
      <c r="K46" s="13">
        <f t="shared" si="12"/>
        <v>19395.285714285714</v>
      </c>
      <c r="L46" s="10">
        <f>J46/J13</f>
        <v>1.479977082031589E-2</v>
      </c>
    </row>
    <row r="47" spans="1:12">
      <c r="A47" s="47"/>
      <c r="B47" s="8" t="s">
        <v>175</v>
      </c>
      <c r="C47" s="11">
        <v>58694</v>
      </c>
      <c r="D47" s="11">
        <v>63585</v>
      </c>
      <c r="E47" s="11">
        <v>56248</v>
      </c>
      <c r="F47" s="11">
        <v>51357</v>
      </c>
      <c r="G47" s="11">
        <v>80702</v>
      </c>
      <c r="H47" s="11">
        <v>70921</v>
      </c>
      <c r="I47" s="11">
        <v>48910</v>
      </c>
      <c r="J47" s="13">
        <f t="shared" si="8"/>
        <v>430417</v>
      </c>
      <c r="K47" s="13">
        <f t="shared" si="12"/>
        <v>61488.142857142855</v>
      </c>
      <c r="L47" s="10">
        <f>J47/J13</f>
        <v>4.691915529670615E-2</v>
      </c>
    </row>
    <row r="48" spans="1:12">
      <c r="A48" s="47"/>
      <c r="B48" s="8" t="s">
        <v>176</v>
      </c>
      <c r="C48" s="11">
        <v>3417</v>
      </c>
      <c r="D48" s="11">
        <v>3702</v>
      </c>
      <c r="E48" s="11">
        <v>3274</v>
      </c>
      <c r="F48" s="11">
        <v>2990</v>
      </c>
      <c r="G48" s="11">
        <v>4704</v>
      </c>
      <c r="H48" s="11">
        <v>4129</v>
      </c>
      <c r="I48" s="11">
        <v>2847</v>
      </c>
      <c r="J48" s="13">
        <f t="shared" si="8"/>
        <v>25063</v>
      </c>
      <c r="K48" s="13">
        <f t="shared" si="12"/>
        <v>3580.4285714285716</v>
      </c>
      <c r="L48" s="10">
        <f>J48/J13</f>
        <v>2.7320825831724728E-3</v>
      </c>
    </row>
    <row r="49" spans="1:12">
      <c r="A49" s="47"/>
      <c r="B49" s="20" t="s">
        <v>177</v>
      </c>
      <c r="C49" s="21">
        <f t="shared" ref="C49:I49" si="13">SUM(C45:C48)</f>
        <v>418244</v>
      </c>
      <c r="D49" s="21">
        <f t="shared" si="13"/>
        <v>453098</v>
      </c>
      <c r="E49" s="21">
        <f t="shared" si="13"/>
        <v>400815</v>
      </c>
      <c r="F49" s="21">
        <f t="shared" si="13"/>
        <v>365963</v>
      </c>
      <c r="G49" s="21">
        <f t="shared" si="13"/>
        <v>575098</v>
      </c>
      <c r="H49" s="21">
        <f t="shared" si="13"/>
        <v>505377</v>
      </c>
      <c r="I49" s="21">
        <f t="shared" si="13"/>
        <v>348540</v>
      </c>
      <c r="J49" s="23">
        <f t="shared" si="8"/>
        <v>3067135</v>
      </c>
      <c r="K49" s="23">
        <f t="shared" si="12"/>
        <v>438162.14285714284</v>
      </c>
      <c r="L49" s="24">
        <f>J49/J13</f>
        <v>0.33434409742403953</v>
      </c>
    </row>
    <row r="50" spans="1:12">
      <c r="A50" s="47" t="s">
        <v>178</v>
      </c>
      <c r="B50" s="8" t="s">
        <v>179</v>
      </c>
      <c r="C50" s="11">
        <v>21428.571428571428</v>
      </c>
      <c r="D50" s="11">
        <v>21428.571428571428</v>
      </c>
      <c r="E50" s="11">
        <v>21428.571428571428</v>
      </c>
      <c r="F50" s="11">
        <v>21428.571428571428</v>
      </c>
      <c r="G50" s="11">
        <v>21428.571428571428</v>
      </c>
      <c r="H50" s="11">
        <v>21428.571428571428</v>
      </c>
      <c r="I50" s="11">
        <v>21428.571428571428</v>
      </c>
      <c r="J50" s="13">
        <f t="shared" si="8"/>
        <v>149999.99999999997</v>
      </c>
      <c r="K50" s="13">
        <f t="shared" si="12"/>
        <v>21428.571428571424</v>
      </c>
      <c r="L50" s="10">
        <f>J50/J13</f>
        <v>1.6351290247610856E-2</v>
      </c>
    </row>
    <row r="51" spans="1:12">
      <c r="A51" s="47"/>
      <c r="B51" s="8" t="s">
        <v>180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3">
        <f t="shared" si="8"/>
        <v>0</v>
      </c>
      <c r="K51" s="13">
        <f t="shared" si="12"/>
        <v>0</v>
      </c>
      <c r="L51" s="10">
        <f>J51/J13</f>
        <v>0</v>
      </c>
    </row>
    <row r="52" spans="1:12">
      <c r="A52" s="47"/>
      <c r="B52" s="8" t="s">
        <v>181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3">
        <f t="shared" si="8"/>
        <v>0</v>
      </c>
      <c r="K52" s="13">
        <f t="shared" si="12"/>
        <v>0</v>
      </c>
      <c r="L52" s="10">
        <f>J52/J13</f>
        <v>0</v>
      </c>
    </row>
    <row r="53" spans="1:12">
      <c r="A53" s="47"/>
      <c r="B53" s="8" t="s">
        <v>182</v>
      </c>
      <c r="C53" s="11">
        <v>80753.571428571435</v>
      </c>
      <c r="D53" s="11">
        <v>80753.571428571435</v>
      </c>
      <c r="E53" s="11">
        <v>80753.571428571435</v>
      </c>
      <c r="F53" s="11">
        <v>80753.571428571435</v>
      </c>
      <c r="G53" s="11">
        <v>80753.571428571435</v>
      </c>
      <c r="H53" s="11">
        <v>80753.571428571435</v>
      </c>
      <c r="I53" s="11">
        <v>80753.571428571435</v>
      </c>
      <c r="J53" s="13">
        <f t="shared" si="8"/>
        <v>565275</v>
      </c>
      <c r="K53" s="13">
        <f t="shared" si="12"/>
        <v>80753.571428571435</v>
      </c>
      <c r="L53" s="10">
        <f>J53/J13</f>
        <v>6.1619837298121517E-2</v>
      </c>
    </row>
    <row r="54" spans="1:12">
      <c r="A54" s="47"/>
      <c r="B54" s="8" t="s">
        <v>183</v>
      </c>
      <c r="C54" s="11">
        <v>64655.714285714283</v>
      </c>
      <c r="D54" s="11">
        <v>64655.714285714283</v>
      </c>
      <c r="E54" s="11">
        <v>64655.714285714283</v>
      </c>
      <c r="F54" s="11">
        <v>64655.714285714283</v>
      </c>
      <c r="G54" s="11">
        <v>64655.714285714283</v>
      </c>
      <c r="H54" s="11">
        <v>64655.714285714283</v>
      </c>
      <c r="I54" s="11">
        <v>64655.714285714283</v>
      </c>
      <c r="J54" s="13">
        <f t="shared" si="8"/>
        <v>452589.99999999994</v>
      </c>
      <c r="K54" s="13">
        <f t="shared" si="12"/>
        <v>64655.714285714275</v>
      </c>
      <c r="L54" s="10">
        <f>J54/J13</f>
        <v>4.9336203021107986E-2</v>
      </c>
    </row>
    <row r="55" spans="1:12">
      <c r="A55" s="47"/>
      <c r="B55" s="20" t="s">
        <v>184</v>
      </c>
      <c r="C55" s="21">
        <f t="shared" ref="C55:I55" si="14">SUM(C50:C54)</f>
        <v>166837.85714285716</v>
      </c>
      <c r="D55" s="21">
        <f t="shared" si="14"/>
        <v>166837.85714285716</v>
      </c>
      <c r="E55" s="21">
        <f t="shared" si="14"/>
        <v>166837.85714285716</v>
      </c>
      <c r="F55" s="21">
        <f t="shared" si="14"/>
        <v>166837.85714285716</v>
      </c>
      <c r="G55" s="21">
        <f t="shared" si="14"/>
        <v>166837.85714285716</v>
      </c>
      <c r="H55" s="21">
        <f t="shared" si="14"/>
        <v>166837.85714285716</v>
      </c>
      <c r="I55" s="21">
        <f t="shared" si="14"/>
        <v>166837.85714285716</v>
      </c>
      <c r="J55" s="23">
        <f t="shared" si="8"/>
        <v>1167865</v>
      </c>
      <c r="K55" s="23">
        <f t="shared" si="12"/>
        <v>166837.85714285713</v>
      </c>
      <c r="L55" s="24">
        <f>J55/J13</f>
        <v>0.12730733056684038</v>
      </c>
    </row>
    <row r="56" spans="1:12">
      <c r="A56" s="46" t="s">
        <v>185</v>
      </c>
      <c r="B56" s="46"/>
      <c r="C56" s="11">
        <f t="shared" ref="C56:I56" si="15">SUM(C49+C22+C27+C33+C39+C44+C55)</f>
        <v>881515.0285714285</v>
      </c>
      <c r="D56" s="11">
        <f t="shared" si="15"/>
        <v>1113094.8</v>
      </c>
      <c r="E56" s="11">
        <f t="shared" si="15"/>
        <v>1240410.6000000001</v>
      </c>
      <c r="F56" s="11">
        <f t="shared" si="15"/>
        <v>945339.57142857148</v>
      </c>
      <c r="G56" s="11">
        <f t="shared" si="15"/>
        <v>1072680.3999999999</v>
      </c>
      <c r="H56" s="11">
        <f t="shared" si="15"/>
        <v>954671.88571428566</v>
      </c>
      <c r="I56" s="11">
        <f t="shared" si="15"/>
        <v>738289.82857142854</v>
      </c>
      <c r="J56" s="13">
        <f t="shared" si="8"/>
        <v>6946002.1142857149</v>
      </c>
      <c r="K56" s="13">
        <f t="shared" si="12"/>
        <v>992286.01632653072</v>
      </c>
      <c r="L56" s="10">
        <f>J56/J13</f>
        <v>0.75717397754136273</v>
      </c>
    </row>
    <row r="57" spans="1:12">
      <c r="A57" s="46" t="s">
        <v>186</v>
      </c>
      <c r="B57" s="46"/>
      <c r="C57" s="11">
        <f t="shared" ref="C57:I57" si="16">SUM(C13+C14-C56)</f>
        <v>978757.9714285715</v>
      </c>
      <c r="D57" s="11">
        <f t="shared" si="16"/>
        <v>844721.2</v>
      </c>
      <c r="E57" s="11">
        <f t="shared" si="16"/>
        <v>285197.39999999991</v>
      </c>
      <c r="F57" s="11">
        <f t="shared" si="16"/>
        <v>319340.42857142852</v>
      </c>
      <c r="G57" s="11">
        <f t="shared" si="16"/>
        <v>-256985.39999999991</v>
      </c>
      <c r="H57" s="11">
        <f t="shared" si="16"/>
        <v>388478.11428571434</v>
      </c>
      <c r="I57" s="11">
        <f t="shared" si="16"/>
        <v>-204493.82857142854</v>
      </c>
      <c r="J57" s="13">
        <f t="shared" si="8"/>
        <v>2355015.885714286</v>
      </c>
      <c r="K57" s="13">
        <f t="shared" si="12"/>
        <v>336430.84081632656</v>
      </c>
      <c r="L57" s="10">
        <f>J57/J13</f>
        <v>0.25671698856699104</v>
      </c>
    </row>
    <row r="58" spans="1:12">
      <c r="A58" s="46" t="s">
        <v>187</v>
      </c>
      <c r="B58" s="46"/>
      <c r="C58" s="11">
        <v>117386.075</v>
      </c>
      <c r="D58" s="11">
        <v>117386.075</v>
      </c>
      <c r="E58" s="11">
        <v>117386.075</v>
      </c>
      <c r="F58" s="11">
        <v>117386.075</v>
      </c>
      <c r="G58" s="11">
        <v>117386.075</v>
      </c>
      <c r="H58" s="11">
        <v>117386.075</v>
      </c>
      <c r="I58" s="11">
        <v>117386.075</v>
      </c>
      <c r="J58" s="13">
        <f t="shared" si="8"/>
        <v>821702.52499999991</v>
      </c>
      <c r="K58" s="13">
        <f t="shared" si="12"/>
        <v>117386.07499999998</v>
      </c>
      <c r="L58" s="10">
        <f>J58/J13</f>
        <v>8.9572643223131437E-2</v>
      </c>
    </row>
    <row r="59" spans="1:12">
      <c r="A59" s="46" t="s">
        <v>188</v>
      </c>
      <c r="B59" s="46"/>
      <c r="C59" s="11">
        <v>46460</v>
      </c>
      <c r="D59" s="11">
        <v>46460</v>
      </c>
      <c r="E59" s="11">
        <v>46460</v>
      </c>
      <c r="F59" s="11">
        <v>46460</v>
      </c>
      <c r="G59" s="11">
        <v>46460</v>
      </c>
      <c r="H59" s="11">
        <v>46460</v>
      </c>
      <c r="I59" s="11">
        <v>46460</v>
      </c>
      <c r="J59" s="13">
        <f t="shared" si="8"/>
        <v>325220</v>
      </c>
      <c r="K59" s="13">
        <f t="shared" si="12"/>
        <v>46460</v>
      </c>
      <c r="L59" s="10">
        <f>J59/J13</f>
        <v>3.5451777428853359E-2</v>
      </c>
    </row>
    <row r="60" spans="1:12">
      <c r="A60" s="46" t="s">
        <v>189</v>
      </c>
      <c r="B60" s="46"/>
      <c r="C60" s="11">
        <f t="shared" ref="C60:I60" si="17">SUM(C57-(C58+C59))</f>
        <v>814911.89642857155</v>
      </c>
      <c r="D60" s="11">
        <f t="shared" si="17"/>
        <v>680875.125</v>
      </c>
      <c r="E60" s="11">
        <f t="shared" si="17"/>
        <v>121351.3249999999</v>
      </c>
      <c r="F60" s="11">
        <f t="shared" si="17"/>
        <v>155494.35357142851</v>
      </c>
      <c r="G60" s="11">
        <f t="shared" si="17"/>
        <v>-420831.47499999992</v>
      </c>
      <c r="H60" s="11">
        <f t="shared" si="17"/>
        <v>224632.03928571433</v>
      </c>
      <c r="I60" s="11">
        <f t="shared" si="17"/>
        <v>-368339.90357142856</v>
      </c>
      <c r="J60" s="13">
        <f t="shared" si="8"/>
        <v>1208093.3607142859</v>
      </c>
      <c r="K60" s="13">
        <f t="shared" si="12"/>
        <v>172584.76581632654</v>
      </c>
      <c r="L60" s="10">
        <f>J60/J13</f>
        <v>0.13169256791500619</v>
      </c>
    </row>
    <row r="61" spans="1:12">
      <c r="A61" s="8"/>
      <c r="B61" s="32" t="s">
        <v>51</v>
      </c>
      <c r="C61" s="8"/>
      <c r="D61" s="8"/>
      <c r="E61" s="8"/>
      <c r="F61" s="8"/>
      <c r="G61" s="8"/>
      <c r="H61" s="8"/>
      <c r="I61" s="8"/>
    </row>
    <row r="62" spans="1:12">
      <c r="A62" s="9"/>
      <c r="B62" s="33"/>
      <c r="C62" s="8"/>
      <c r="D62" s="8"/>
      <c r="E62" s="8"/>
      <c r="F62" s="8"/>
      <c r="G62" s="8"/>
      <c r="H62" s="8"/>
      <c r="I62" s="8"/>
    </row>
    <row r="63" spans="1:12">
      <c r="A63" s="9"/>
      <c r="B63" s="35" t="s">
        <v>196</v>
      </c>
      <c r="C63" s="8"/>
      <c r="D63" s="8"/>
      <c r="E63" s="8"/>
      <c r="F63" s="8"/>
      <c r="G63" s="8"/>
      <c r="H63" s="8"/>
      <c r="I63" s="8"/>
    </row>
    <row r="64" spans="1:12">
      <c r="A64" s="9"/>
      <c r="B64" s="36" t="s">
        <v>197</v>
      </c>
      <c r="C64" s="8"/>
      <c r="D64" s="8"/>
      <c r="E64" s="8"/>
      <c r="F64" s="8"/>
      <c r="G64" s="8"/>
      <c r="H64" s="8"/>
      <c r="I64" s="8"/>
    </row>
    <row r="65" spans="1:9">
      <c r="A65" s="9"/>
      <c r="B65" s="36" t="s">
        <v>46</v>
      </c>
      <c r="C65" s="8"/>
      <c r="D65" s="8"/>
      <c r="E65" s="8"/>
      <c r="F65" s="8"/>
      <c r="G65" s="8"/>
      <c r="H65" s="8"/>
      <c r="I65" s="8"/>
    </row>
    <row r="66" spans="1:9">
      <c r="A66" s="8"/>
      <c r="B66" s="37" t="s">
        <v>52</v>
      </c>
      <c r="C66" s="8"/>
      <c r="D66" s="8"/>
      <c r="E66" s="8"/>
      <c r="F66" s="8"/>
      <c r="G66" s="8"/>
      <c r="H66" s="8"/>
      <c r="I66" s="8"/>
    </row>
    <row r="67" spans="1:9">
      <c r="A67" s="8"/>
      <c r="B67" s="33"/>
      <c r="C67" s="8"/>
      <c r="D67" s="8"/>
      <c r="E67" s="8"/>
      <c r="F67" s="8"/>
      <c r="G67" s="8"/>
      <c r="H67" s="8"/>
      <c r="I67" s="8"/>
    </row>
    <row r="68" spans="1:9">
      <c r="A68" s="8"/>
      <c r="B68" s="35" t="s">
        <v>196</v>
      </c>
      <c r="C68" s="8"/>
      <c r="D68" s="8"/>
      <c r="E68" s="8"/>
      <c r="F68" s="8"/>
      <c r="G68" s="8"/>
      <c r="H68" s="8"/>
      <c r="I68" s="8"/>
    </row>
    <row r="69" spans="1:9">
      <c r="A69" s="8"/>
      <c r="B69" s="36" t="s">
        <v>197</v>
      </c>
      <c r="C69" s="8"/>
      <c r="D69" s="8"/>
      <c r="E69" s="8"/>
      <c r="F69" s="8"/>
      <c r="G69" s="8"/>
      <c r="H69" s="8"/>
      <c r="I69" s="8"/>
    </row>
    <row r="70" spans="1:9">
      <c r="A70" s="8"/>
      <c r="B70" s="36" t="s">
        <v>46</v>
      </c>
      <c r="C70" s="8"/>
      <c r="D70" s="8"/>
      <c r="E70" s="8"/>
      <c r="F70" s="8"/>
      <c r="G70" s="8"/>
      <c r="H70" s="8"/>
      <c r="I70" s="8"/>
    </row>
    <row r="71" spans="1:9">
      <c r="A71" s="8"/>
      <c r="B71" s="8" t="s">
        <v>201</v>
      </c>
      <c r="C71" s="8"/>
      <c r="D71" s="8"/>
      <c r="E71" s="8"/>
      <c r="F71" s="8"/>
      <c r="G71" s="8"/>
      <c r="H71" s="8"/>
      <c r="I71" s="8"/>
    </row>
    <row r="72" spans="1:9">
      <c r="A72" s="8"/>
      <c r="B72" s="33"/>
      <c r="C72" s="8"/>
      <c r="D72" s="8"/>
      <c r="E72" s="8"/>
      <c r="F72" s="8"/>
      <c r="G72" s="8"/>
      <c r="H72" s="8"/>
      <c r="I72" s="8"/>
    </row>
    <row r="73" spans="1:9">
      <c r="A73" s="8"/>
      <c r="B73" s="35" t="s">
        <v>196</v>
      </c>
      <c r="C73" s="8"/>
      <c r="D73" s="8"/>
      <c r="E73" s="8"/>
      <c r="F73" s="8"/>
      <c r="G73" s="8"/>
      <c r="H73" s="8"/>
      <c r="I73" s="8"/>
    </row>
    <row r="74" spans="1:9">
      <c r="A74" s="8"/>
      <c r="B74" s="36" t="s">
        <v>197</v>
      </c>
      <c r="C74" s="8"/>
      <c r="D74" s="8"/>
      <c r="E74" s="8"/>
      <c r="F74" s="8"/>
      <c r="G74" s="8"/>
      <c r="H74" s="8"/>
      <c r="I74" s="8"/>
    </row>
    <row r="75" spans="1:9">
      <c r="A75" s="8"/>
      <c r="B75" s="36" t="s">
        <v>46</v>
      </c>
      <c r="C75" s="8"/>
      <c r="D75" s="8"/>
      <c r="E75" s="8"/>
      <c r="F75" s="8"/>
      <c r="G75" s="8"/>
      <c r="H75" s="8"/>
      <c r="I75" s="8"/>
    </row>
    <row r="76" spans="1:9">
      <c r="A76" s="8"/>
      <c r="B76" s="8" t="s">
        <v>205</v>
      </c>
      <c r="C76" s="8"/>
      <c r="D76" s="8"/>
      <c r="E76" s="8"/>
      <c r="F76" s="8"/>
      <c r="G76" s="8"/>
      <c r="H76" s="8"/>
      <c r="I76" s="8"/>
    </row>
    <row r="77" spans="1:9">
      <c r="A77" s="8"/>
      <c r="B77" s="33"/>
      <c r="C77" s="8"/>
      <c r="D77" s="8"/>
      <c r="E77" s="8"/>
      <c r="F77" s="8"/>
      <c r="G77" s="8"/>
      <c r="H77" s="8"/>
      <c r="I77" s="8"/>
    </row>
    <row r="78" spans="1:9">
      <c r="A78" s="8"/>
      <c r="B78" s="35" t="s">
        <v>196</v>
      </c>
      <c r="C78" s="8"/>
      <c r="D78" s="8"/>
      <c r="E78" s="8"/>
      <c r="F78" s="8"/>
      <c r="G78" s="8"/>
      <c r="H78" s="8"/>
      <c r="I78" s="8"/>
    </row>
    <row r="79" spans="1:9">
      <c r="A79" s="8"/>
      <c r="B79" s="36" t="s">
        <v>197</v>
      </c>
      <c r="C79" s="8"/>
      <c r="D79" s="8"/>
      <c r="E79" s="8"/>
      <c r="F79" s="8"/>
      <c r="G79" s="8"/>
      <c r="H79" s="8"/>
      <c r="I79" s="8"/>
    </row>
    <row r="80" spans="1:9">
      <c r="A80" s="8"/>
      <c r="B80" s="36" t="s">
        <v>46</v>
      </c>
      <c r="C80" s="8"/>
      <c r="D80" s="8"/>
      <c r="E80" s="8"/>
      <c r="F80" s="8"/>
      <c r="G80" s="8"/>
      <c r="H80" s="8"/>
      <c r="I80" s="8"/>
    </row>
    <row r="81" spans="1:9">
      <c r="A81" s="8"/>
      <c r="B81" s="8" t="s">
        <v>209</v>
      </c>
      <c r="C81" s="8"/>
      <c r="D81" s="8"/>
      <c r="E81" s="8"/>
      <c r="F81" s="8"/>
      <c r="G81" s="8"/>
      <c r="H81" s="8"/>
      <c r="I81" s="8"/>
    </row>
    <row r="82" spans="1:9">
      <c r="A82" s="8"/>
      <c r="B82" s="33"/>
      <c r="C82" s="8"/>
      <c r="D82" s="8"/>
      <c r="E82" s="8"/>
      <c r="F82" s="8"/>
      <c r="G82" s="8"/>
      <c r="H82" s="8"/>
      <c r="I82" s="8"/>
    </row>
    <row r="83" spans="1:9">
      <c r="A83" s="8"/>
      <c r="B83" s="35" t="s">
        <v>196</v>
      </c>
      <c r="C83" s="8"/>
      <c r="D83" s="8"/>
      <c r="E83" s="8"/>
      <c r="F83" s="8"/>
      <c r="G83" s="8"/>
      <c r="H83" s="8"/>
      <c r="I83" s="8"/>
    </row>
    <row r="84" spans="1:9">
      <c r="A84" s="8"/>
      <c r="B84" s="36" t="s">
        <v>197</v>
      </c>
      <c r="C84" s="8"/>
      <c r="D84" s="8"/>
      <c r="E84" s="8"/>
      <c r="F84" s="8"/>
      <c r="G84" s="8"/>
      <c r="H84" s="8"/>
      <c r="I84" s="8"/>
    </row>
    <row r="85" spans="1:9">
      <c r="A85" s="8"/>
      <c r="B85" s="36" t="s">
        <v>46</v>
      </c>
      <c r="C85" s="8"/>
      <c r="D85" s="8"/>
      <c r="E85" s="8"/>
      <c r="F85" s="8"/>
      <c r="G85" s="8"/>
      <c r="H85" s="8"/>
      <c r="I85" s="8"/>
    </row>
    <row r="86" spans="1:9">
      <c r="A86" s="8"/>
      <c r="B86" s="8"/>
      <c r="C86" s="8"/>
      <c r="D86" s="8"/>
      <c r="E86" s="8"/>
      <c r="F86" s="8"/>
      <c r="G86" s="8"/>
      <c r="H86" s="8"/>
      <c r="I86" s="8"/>
    </row>
    <row r="87" spans="1:9">
      <c r="A87" s="8"/>
      <c r="B87" s="33"/>
      <c r="C87" s="8"/>
      <c r="D87" s="8"/>
      <c r="E87" s="8"/>
      <c r="F87" s="8"/>
      <c r="G87" s="8"/>
      <c r="H87" s="8"/>
      <c r="I87" s="8"/>
    </row>
    <row r="88" spans="1:9">
      <c r="A88" s="8"/>
      <c r="B88" s="35" t="s">
        <v>196</v>
      </c>
      <c r="C88" s="8"/>
      <c r="D88" s="8"/>
      <c r="E88" s="8"/>
      <c r="F88" s="8"/>
      <c r="G88" s="8"/>
      <c r="H88" s="8"/>
      <c r="I88" s="8"/>
    </row>
    <row r="89" spans="1:9">
      <c r="B89" s="36" t="s">
        <v>197</v>
      </c>
    </row>
    <row r="90" spans="1:9">
      <c r="B90" s="36" t="s">
        <v>46</v>
      </c>
    </row>
    <row r="92" spans="1:9">
      <c r="B92" s="33"/>
    </row>
    <row r="93" spans="1:9">
      <c r="B93" s="35" t="s">
        <v>196</v>
      </c>
    </row>
    <row r="94" spans="1:9">
      <c r="B94" s="36" t="s">
        <v>197</v>
      </c>
    </row>
    <row r="95" spans="1:9">
      <c r="B95" s="36" t="s">
        <v>46</v>
      </c>
    </row>
    <row r="97" spans="2:2">
      <c r="B97" s="33"/>
    </row>
    <row r="98" spans="2:2">
      <c r="B98" s="35" t="s">
        <v>196</v>
      </c>
    </row>
    <row r="99" spans="2:2">
      <c r="B99" s="36" t="s">
        <v>197</v>
      </c>
    </row>
    <row r="100" spans="2:2">
      <c r="B100" s="36" t="s">
        <v>46</v>
      </c>
    </row>
    <row r="102" spans="2:2">
      <c r="B102" s="8" t="s">
        <v>222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04207-FDDE-423A-A9FF-AA6D60573422}">
  <sheetPr codeName="Sheet4"/>
  <dimension ref="A2:M102"/>
  <sheetViews>
    <sheetView workbookViewId="0">
      <selection activeCell="C2" sqref="C2"/>
    </sheetView>
  </sheetViews>
  <sheetFormatPr defaultRowHeight="13.5"/>
  <cols>
    <col min="1" max="1" width="2.85546875" style="1" bestFit="1" customWidth="1"/>
    <col min="2" max="2" width="16.5703125" style="1" bestFit="1" customWidth="1"/>
    <col min="3" max="10" width="11" style="1" bestFit="1" customWidth="1"/>
    <col min="11" max="11" width="13.28515625" style="1" bestFit="1" customWidth="1"/>
    <col min="12" max="12" width="10" style="1" bestFit="1" customWidth="1"/>
    <col min="13" max="13" width="11" style="1" bestFit="1" customWidth="1"/>
    <col min="14" max="219" width="9" style="1"/>
    <col min="220" max="220" width="2.85546875" style="1" bestFit="1" customWidth="1"/>
    <col min="221" max="221" width="16.5703125" style="1" bestFit="1" customWidth="1"/>
    <col min="222" max="222" width="11.42578125" style="1" bestFit="1" customWidth="1"/>
    <col min="223" max="224" width="14.140625" style="1" bestFit="1" customWidth="1"/>
    <col min="225" max="225" width="11.42578125" style="1" bestFit="1" customWidth="1"/>
    <col min="226" max="229" width="12.42578125" style="1" bestFit="1" customWidth="1"/>
    <col min="230" max="249" width="13" style="1" bestFit="1" customWidth="1"/>
    <col min="250" max="253" width="11" style="1" bestFit="1" customWidth="1"/>
    <col min="254" max="256" width="12.28515625" style="1" bestFit="1" customWidth="1"/>
    <col min="257" max="266" width="11" style="1" bestFit="1" customWidth="1"/>
    <col min="267" max="267" width="13.28515625" style="1" bestFit="1" customWidth="1"/>
    <col min="268" max="268" width="10" style="1" bestFit="1" customWidth="1"/>
    <col min="269" max="269" width="11" style="1" bestFit="1" customWidth="1"/>
    <col min="270" max="475" width="9" style="1"/>
    <col min="476" max="476" width="2.85546875" style="1" bestFit="1" customWidth="1"/>
    <col min="477" max="477" width="16.5703125" style="1" bestFit="1" customWidth="1"/>
    <col min="478" max="478" width="11.42578125" style="1" bestFit="1" customWidth="1"/>
    <col min="479" max="480" width="14.140625" style="1" bestFit="1" customWidth="1"/>
    <col min="481" max="481" width="11.42578125" style="1" bestFit="1" customWidth="1"/>
    <col min="482" max="485" width="12.42578125" style="1" bestFit="1" customWidth="1"/>
    <col min="486" max="505" width="13" style="1" bestFit="1" customWidth="1"/>
    <col min="506" max="509" width="11" style="1" bestFit="1" customWidth="1"/>
    <col min="510" max="512" width="12.28515625" style="1" bestFit="1" customWidth="1"/>
    <col min="513" max="522" width="11" style="1" bestFit="1" customWidth="1"/>
    <col min="523" max="523" width="13.28515625" style="1" bestFit="1" customWidth="1"/>
    <col min="524" max="524" width="10" style="1" bestFit="1" customWidth="1"/>
    <col min="525" max="525" width="11" style="1" bestFit="1" customWidth="1"/>
    <col min="526" max="731" width="9" style="1"/>
    <col min="732" max="732" width="2.85546875" style="1" bestFit="1" customWidth="1"/>
    <col min="733" max="733" width="16.5703125" style="1" bestFit="1" customWidth="1"/>
    <col min="734" max="734" width="11.42578125" style="1" bestFit="1" customWidth="1"/>
    <col min="735" max="736" width="14.140625" style="1" bestFit="1" customWidth="1"/>
    <col min="737" max="737" width="11.42578125" style="1" bestFit="1" customWidth="1"/>
    <col min="738" max="741" width="12.42578125" style="1" bestFit="1" customWidth="1"/>
    <col min="742" max="761" width="13" style="1" bestFit="1" customWidth="1"/>
    <col min="762" max="765" width="11" style="1" bestFit="1" customWidth="1"/>
    <col min="766" max="768" width="12.28515625" style="1" bestFit="1" customWidth="1"/>
    <col min="769" max="778" width="11" style="1" bestFit="1" customWidth="1"/>
    <col min="779" max="779" width="13.28515625" style="1" bestFit="1" customWidth="1"/>
    <col min="780" max="780" width="10" style="1" bestFit="1" customWidth="1"/>
    <col min="781" max="781" width="11" style="1" bestFit="1" customWidth="1"/>
    <col min="782" max="987" width="9" style="1"/>
    <col min="988" max="988" width="2.85546875" style="1" bestFit="1" customWidth="1"/>
    <col min="989" max="989" width="16.5703125" style="1" bestFit="1" customWidth="1"/>
    <col min="990" max="990" width="11.42578125" style="1" bestFit="1" customWidth="1"/>
    <col min="991" max="992" width="14.140625" style="1" bestFit="1" customWidth="1"/>
    <col min="993" max="993" width="11.42578125" style="1" bestFit="1" customWidth="1"/>
    <col min="994" max="997" width="12.42578125" style="1" bestFit="1" customWidth="1"/>
    <col min="998" max="1017" width="13" style="1" bestFit="1" customWidth="1"/>
    <col min="1018" max="1021" width="11" style="1" bestFit="1" customWidth="1"/>
    <col min="1022" max="1024" width="12.28515625" style="1" bestFit="1" customWidth="1"/>
    <col min="1025" max="1034" width="11" style="1" bestFit="1" customWidth="1"/>
    <col min="1035" max="1035" width="13.28515625" style="1" bestFit="1" customWidth="1"/>
    <col min="1036" max="1036" width="10" style="1" bestFit="1" customWidth="1"/>
    <col min="1037" max="1037" width="11" style="1" bestFit="1" customWidth="1"/>
    <col min="1038" max="1243" width="9" style="1"/>
    <col min="1244" max="1244" width="2.85546875" style="1" bestFit="1" customWidth="1"/>
    <col min="1245" max="1245" width="16.5703125" style="1" bestFit="1" customWidth="1"/>
    <col min="1246" max="1246" width="11.42578125" style="1" bestFit="1" customWidth="1"/>
    <col min="1247" max="1248" width="14.140625" style="1" bestFit="1" customWidth="1"/>
    <col min="1249" max="1249" width="11.42578125" style="1" bestFit="1" customWidth="1"/>
    <col min="1250" max="1253" width="12.42578125" style="1" bestFit="1" customWidth="1"/>
    <col min="1254" max="1273" width="13" style="1" bestFit="1" customWidth="1"/>
    <col min="1274" max="1277" width="11" style="1" bestFit="1" customWidth="1"/>
    <col min="1278" max="1280" width="12.28515625" style="1" bestFit="1" customWidth="1"/>
    <col min="1281" max="1290" width="11" style="1" bestFit="1" customWidth="1"/>
    <col min="1291" max="1291" width="13.28515625" style="1" bestFit="1" customWidth="1"/>
    <col min="1292" max="1292" width="10" style="1" bestFit="1" customWidth="1"/>
    <col min="1293" max="1293" width="11" style="1" bestFit="1" customWidth="1"/>
    <col min="1294" max="1499" width="9" style="1"/>
    <col min="1500" max="1500" width="2.85546875" style="1" bestFit="1" customWidth="1"/>
    <col min="1501" max="1501" width="16.5703125" style="1" bestFit="1" customWidth="1"/>
    <col min="1502" max="1502" width="11.42578125" style="1" bestFit="1" customWidth="1"/>
    <col min="1503" max="1504" width="14.140625" style="1" bestFit="1" customWidth="1"/>
    <col min="1505" max="1505" width="11.42578125" style="1" bestFit="1" customWidth="1"/>
    <col min="1506" max="1509" width="12.42578125" style="1" bestFit="1" customWidth="1"/>
    <col min="1510" max="1529" width="13" style="1" bestFit="1" customWidth="1"/>
    <col min="1530" max="1533" width="11" style="1" bestFit="1" customWidth="1"/>
    <col min="1534" max="1536" width="12.28515625" style="1" bestFit="1" customWidth="1"/>
    <col min="1537" max="1546" width="11" style="1" bestFit="1" customWidth="1"/>
    <col min="1547" max="1547" width="13.28515625" style="1" bestFit="1" customWidth="1"/>
    <col min="1548" max="1548" width="10" style="1" bestFit="1" customWidth="1"/>
    <col min="1549" max="1549" width="11" style="1" bestFit="1" customWidth="1"/>
    <col min="1550" max="1755" width="9" style="1"/>
    <col min="1756" max="1756" width="2.85546875" style="1" bestFit="1" customWidth="1"/>
    <col min="1757" max="1757" width="16.5703125" style="1" bestFit="1" customWidth="1"/>
    <col min="1758" max="1758" width="11.42578125" style="1" bestFit="1" customWidth="1"/>
    <col min="1759" max="1760" width="14.140625" style="1" bestFit="1" customWidth="1"/>
    <col min="1761" max="1761" width="11.42578125" style="1" bestFit="1" customWidth="1"/>
    <col min="1762" max="1765" width="12.42578125" style="1" bestFit="1" customWidth="1"/>
    <col min="1766" max="1785" width="13" style="1" bestFit="1" customWidth="1"/>
    <col min="1786" max="1789" width="11" style="1" bestFit="1" customWidth="1"/>
    <col min="1790" max="1792" width="12.28515625" style="1" bestFit="1" customWidth="1"/>
    <col min="1793" max="1802" width="11" style="1" bestFit="1" customWidth="1"/>
    <col min="1803" max="1803" width="13.28515625" style="1" bestFit="1" customWidth="1"/>
    <col min="1804" max="1804" width="10" style="1" bestFit="1" customWidth="1"/>
    <col min="1805" max="1805" width="11" style="1" bestFit="1" customWidth="1"/>
    <col min="1806" max="2011" width="9" style="1"/>
    <col min="2012" max="2012" width="2.85546875" style="1" bestFit="1" customWidth="1"/>
    <col min="2013" max="2013" width="16.5703125" style="1" bestFit="1" customWidth="1"/>
    <col min="2014" max="2014" width="11.42578125" style="1" bestFit="1" customWidth="1"/>
    <col min="2015" max="2016" width="14.140625" style="1" bestFit="1" customWidth="1"/>
    <col min="2017" max="2017" width="11.42578125" style="1" bestFit="1" customWidth="1"/>
    <col min="2018" max="2021" width="12.42578125" style="1" bestFit="1" customWidth="1"/>
    <col min="2022" max="2041" width="13" style="1" bestFit="1" customWidth="1"/>
    <col min="2042" max="2045" width="11" style="1" bestFit="1" customWidth="1"/>
    <col min="2046" max="2048" width="12.28515625" style="1" bestFit="1" customWidth="1"/>
    <col min="2049" max="2058" width="11" style="1" bestFit="1" customWidth="1"/>
    <col min="2059" max="2059" width="13.28515625" style="1" bestFit="1" customWidth="1"/>
    <col min="2060" max="2060" width="10" style="1" bestFit="1" customWidth="1"/>
    <col min="2061" max="2061" width="11" style="1" bestFit="1" customWidth="1"/>
    <col min="2062" max="2267" width="9" style="1"/>
    <col min="2268" max="2268" width="2.85546875" style="1" bestFit="1" customWidth="1"/>
    <col min="2269" max="2269" width="16.5703125" style="1" bestFit="1" customWidth="1"/>
    <col min="2270" max="2270" width="11.42578125" style="1" bestFit="1" customWidth="1"/>
    <col min="2271" max="2272" width="14.140625" style="1" bestFit="1" customWidth="1"/>
    <col min="2273" max="2273" width="11.42578125" style="1" bestFit="1" customWidth="1"/>
    <col min="2274" max="2277" width="12.42578125" style="1" bestFit="1" customWidth="1"/>
    <col min="2278" max="2297" width="13" style="1" bestFit="1" customWidth="1"/>
    <col min="2298" max="2301" width="11" style="1" bestFit="1" customWidth="1"/>
    <col min="2302" max="2304" width="12.28515625" style="1" bestFit="1" customWidth="1"/>
    <col min="2305" max="2314" width="11" style="1" bestFit="1" customWidth="1"/>
    <col min="2315" max="2315" width="13.28515625" style="1" bestFit="1" customWidth="1"/>
    <col min="2316" max="2316" width="10" style="1" bestFit="1" customWidth="1"/>
    <col min="2317" max="2317" width="11" style="1" bestFit="1" customWidth="1"/>
    <col min="2318" max="2523" width="9" style="1"/>
    <col min="2524" max="2524" width="2.85546875" style="1" bestFit="1" customWidth="1"/>
    <col min="2525" max="2525" width="16.5703125" style="1" bestFit="1" customWidth="1"/>
    <col min="2526" max="2526" width="11.42578125" style="1" bestFit="1" customWidth="1"/>
    <col min="2527" max="2528" width="14.140625" style="1" bestFit="1" customWidth="1"/>
    <col min="2529" max="2529" width="11.42578125" style="1" bestFit="1" customWidth="1"/>
    <col min="2530" max="2533" width="12.42578125" style="1" bestFit="1" customWidth="1"/>
    <col min="2534" max="2553" width="13" style="1" bestFit="1" customWidth="1"/>
    <col min="2554" max="2557" width="11" style="1" bestFit="1" customWidth="1"/>
    <col min="2558" max="2560" width="12.28515625" style="1" bestFit="1" customWidth="1"/>
    <col min="2561" max="2570" width="11" style="1" bestFit="1" customWidth="1"/>
    <col min="2571" max="2571" width="13.28515625" style="1" bestFit="1" customWidth="1"/>
    <col min="2572" max="2572" width="10" style="1" bestFit="1" customWidth="1"/>
    <col min="2573" max="2573" width="11" style="1" bestFit="1" customWidth="1"/>
    <col min="2574" max="2779" width="9" style="1"/>
    <col min="2780" max="2780" width="2.85546875" style="1" bestFit="1" customWidth="1"/>
    <col min="2781" max="2781" width="16.5703125" style="1" bestFit="1" customWidth="1"/>
    <col min="2782" max="2782" width="11.42578125" style="1" bestFit="1" customWidth="1"/>
    <col min="2783" max="2784" width="14.140625" style="1" bestFit="1" customWidth="1"/>
    <col min="2785" max="2785" width="11.42578125" style="1" bestFit="1" customWidth="1"/>
    <col min="2786" max="2789" width="12.42578125" style="1" bestFit="1" customWidth="1"/>
    <col min="2790" max="2809" width="13" style="1" bestFit="1" customWidth="1"/>
    <col min="2810" max="2813" width="11" style="1" bestFit="1" customWidth="1"/>
    <col min="2814" max="2816" width="12.28515625" style="1" bestFit="1" customWidth="1"/>
    <col min="2817" max="2826" width="11" style="1" bestFit="1" customWidth="1"/>
    <col min="2827" max="2827" width="13.28515625" style="1" bestFit="1" customWidth="1"/>
    <col min="2828" max="2828" width="10" style="1" bestFit="1" customWidth="1"/>
    <col min="2829" max="2829" width="11" style="1" bestFit="1" customWidth="1"/>
    <col min="2830" max="3035" width="9" style="1"/>
    <col min="3036" max="3036" width="2.85546875" style="1" bestFit="1" customWidth="1"/>
    <col min="3037" max="3037" width="16.5703125" style="1" bestFit="1" customWidth="1"/>
    <col min="3038" max="3038" width="11.42578125" style="1" bestFit="1" customWidth="1"/>
    <col min="3039" max="3040" width="14.140625" style="1" bestFit="1" customWidth="1"/>
    <col min="3041" max="3041" width="11.42578125" style="1" bestFit="1" customWidth="1"/>
    <col min="3042" max="3045" width="12.42578125" style="1" bestFit="1" customWidth="1"/>
    <col min="3046" max="3065" width="13" style="1" bestFit="1" customWidth="1"/>
    <col min="3066" max="3069" width="11" style="1" bestFit="1" customWidth="1"/>
    <col min="3070" max="3072" width="12.28515625" style="1" bestFit="1" customWidth="1"/>
    <col min="3073" max="3082" width="11" style="1" bestFit="1" customWidth="1"/>
    <col min="3083" max="3083" width="13.28515625" style="1" bestFit="1" customWidth="1"/>
    <col min="3084" max="3084" width="10" style="1" bestFit="1" customWidth="1"/>
    <col min="3085" max="3085" width="11" style="1" bestFit="1" customWidth="1"/>
    <col min="3086" max="3291" width="9" style="1"/>
    <col min="3292" max="3292" width="2.85546875" style="1" bestFit="1" customWidth="1"/>
    <col min="3293" max="3293" width="16.5703125" style="1" bestFit="1" customWidth="1"/>
    <col min="3294" max="3294" width="11.42578125" style="1" bestFit="1" customWidth="1"/>
    <col min="3295" max="3296" width="14.140625" style="1" bestFit="1" customWidth="1"/>
    <col min="3297" max="3297" width="11.42578125" style="1" bestFit="1" customWidth="1"/>
    <col min="3298" max="3301" width="12.42578125" style="1" bestFit="1" customWidth="1"/>
    <col min="3302" max="3321" width="13" style="1" bestFit="1" customWidth="1"/>
    <col min="3322" max="3325" width="11" style="1" bestFit="1" customWidth="1"/>
    <col min="3326" max="3328" width="12.28515625" style="1" bestFit="1" customWidth="1"/>
    <col min="3329" max="3338" width="11" style="1" bestFit="1" customWidth="1"/>
    <col min="3339" max="3339" width="13.28515625" style="1" bestFit="1" customWidth="1"/>
    <col min="3340" max="3340" width="10" style="1" bestFit="1" customWidth="1"/>
    <col min="3341" max="3341" width="11" style="1" bestFit="1" customWidth="1"/>
    <col min="3342" max="3547" width="9" style="1"/>
    <col min="3548" max="3548" width="2.85546875" style="1" bestFit="1" customWidth="1"/>
    <col min="3549" max="3549" width="16.5703125" style="1" bestFit="1" customWidth="1"/>
    <col min="3550" max="3550" width="11.42578125" style="1" bestFit="1" customWidth="1"/>
    <col min="3551" max="3552" width="14.140625" style="1" bestFit="1" customWidth="1"/>
    <col min="3553" max="3553" width="11.42578125" style="1" bestFit="1" customWidth="1"/>
    <col min="3554" max="3557" width="12.42578125" style="1" bestFit="1" customWidth="1"/>
    <col min="3558" max="3577" width="13" style="1" bestFit="1" customWidth="1"/>
    <col min="3578" max="3581" width="11" style="1" bestFit="1" customWidth="1"/>
    <col min="3582" max="3584" width="12.28515625" style="1" bestFit="1" customWidth="1"/>
    <col min="3585" max="3594" width="11" style="1" bestFit="1" customWidth="1"/>
    <col min="3595" max="3595" width="13.28515625" style="1" bestFit="1" customWidth="1"/>
    <col min="3596" max="3596" width="10" style="1" bestFit="1" customWidth="1"/>
    <col min="3597" max="3597" width="11" style="1" bestFit="1" customWidth="1"/>
    <col min="3598" max="3803" width="9" style="1"/>
    <col min="3804" max="3804" width="2.85546875" style="1" bestFit="1" customWidth="1"/>
    <col min="3805" max="3805" width="16.5703125" style="1" bestFit="1" customWidth="1"/>
    <col min="3806" max="3806" width="11.42578125" style="1" bestFit="1" customWidth="1"/>
    <col min="3807" max="3808" width="14.140625" style="1" bestFit="1" customWidth="1"/>
    <col min="3809" max="3809" width="11.42578125" style="1" bestFit="1" customWidth="1"/>
    <col min="3810" max="3813" width="12.42578125" style="1" bestFit="1" customWidth="1"/>
    <col min="3814" max="3833" width="13" style="1" bestFit="1" customWidth="1"/>
    <col min="3834" max="3837" width="11" style="1" bestFit="1" customWidth="1"/>
    <col min="3838" max="3840" width="12.28515625" style="1" bestFit="1" customWidth="1"/>
    <col min="3841" max="3850" width="11" style="1" bestFit="1" customWidth="1"/>
    <col min="3851" max="3851" width="13.28515625" style="1" bestFit="1" customWidth="1"/>
    <col min="3852" max="3852" width="10" style="1" bestFit="1" customWidth="1"/>
    <col min="3853" max="3853" width="11" style="1" bestFit="1" customWidth="1"/>
    <col min="3854" max="4059" width="9" style="1"/>
    <col min="4060" max="4060" width="2.85546875" style="1" bestFit="1" customWidth="1"/>
    <col min="4061" max="4061" width="16.5703125" style="1" bestFit="1" customWidth="1"/>
    <col min="4062" max="4062" width="11.42578125" style="1" bestFit="1" customWidth="1"/>
    <col min="4063" max="4064" width="14.140625" style="1" bestFit="1" customWidth="1"/>
    <col min="4065" max="4065" width="11.42578125" style="1" bestFit="1" customWidth="1"/>
    <col min="4066" max="4069" width="12.42578125" style="1" bestFit="1" customWidth="1"/>
    <col min="4070" max="4089" width="13" style="1" bestFit="1" customWidth="1"/>
    <col min="4090" max="4093" width="11" style="1" bestFit="1" customWidth="1"/>
    <col min="4094" max="4096" width="12.28515625" style="1" bestFit="1" customWidth="1"/>
    <col min="4097" max="4106" width="11" style="1" bestFit="1" customWidth="1"/>
    <col min="4107" max="4107" width="13.28515625" style="1" bestFit="1" customWidth="1"/>
    <col min="4108" max="4108" width="10" style="1" bestFit="1" customWidth="1"/>
    <col min="4109" max="4109" width="11" style="1" bestFit="1" customWidth="1"/>
    <col min="4110" max="4315" width="9" style="1"/>
    <col min="4316" max="4316" width="2.85546875" style="1" bestFit="1" customWidth="1"/>
    <col min="4317" max="4317" width="16.5703125" style="1" bestFit="1" customWidth="1"/>
    <col min="4318" max="4318" width="11.42578125" style="1" bestFit="1" customWidth="1"/>
    <col min="4319" max="4320" width="14.140625" style="1" bestFit="1" customWidth="1"/>
    <col min="4321" max="4321" width="11.42578125" style="1" bestFit="1" customWidth="1"/>
    <col min="4322" max="4325" width="12.42578125" style="1" bestFit="1" customWidth="1"/>
    <col min="4326" max="4345" width="13" style="1" bestFit="1" customWidth="1"/>
    <col min="4346" max="4349" width="11" style="1" bestFit="1" customWidth="1"/>
    <col min="4350" max="4352" width="12.28515625" style="1" bestFit="1" customWidth="1"/>
    <col min="4353" max="4362" width="11" style="1" bestFit="1" customWidth="1"/>
    <col min="4363" max="4363" width="13.28515625" style="1" bestFit="1" customWidth="1"/>
    <col min="4364" max="4364" width="10" style="1" bestFit="1" customWidth="1"/>
    <col min="4365" max="4365" width="11" style="1" bestFit="1" customWidth="1"/>
    <col min="4366" max="4571" width="9" style="1"/>
    <col min="4572" max="4572" width="2.85546875" style="1" bestFit="1" customWidth="1"/>
    <col min="4573" max="4573" width="16.5703125" style="1" bestFit="1" customWidth="1"/>
    <col min="4574" max="4574" width="11.42578125" style="1" bestFit="1" customWidth="1"/>
    <col min="4575" max="4576" width="14.140625" style="1" bestFit="1" customWidth="1"/>
    <col min="4577" max="4577" width="11.42578125" style="1" bestFit="1" customWidth="1"/>
    <col min="4578" max="4581" width="12.42578125" style="1" bestFit="1" customWidth="1"/>
    <col min="4582" max="4601" width="13" style="1" bestFit="1" customWidth="1"/>
    <col min="4602" max="4605" width="11" style="1" bestFit="1" customWidth="1"/>
    <col min="4606" max="4608" width="12.28515625" style="1" bestFit="1" customWidth="1"/>
    <col min="4609" max="4618" width="11" style="1" bestFit="1" customWidth="1"/>
    <col min="4619" max="4619" width="13.28515625" style="1" bestFit="1" customWidth="1"/>
    <col min="4620" max="4620" width="10" style="1" bestFit="1" customWidth="1"/>
    <col min="4621" max="4621" width="11" style="1" bestFit="1" customWidth="1"/>
    <col min="4622" max="4827" width="9" style="1"/>
    <col min="4828" max="4828" width="2.85546875" style="1" bestFit="1" customWidth="1"/>
    <col min="4829" max="4829" width="16.5703125" style="1" bestFit="1" customWidth="1"/>
    <col min="4830" max="4830" width="11.42578125" style="1" bestFit="1" customWidth="1"/>
    <col min="4831" max="4832" width="14.140625" style="1" bestFit="1" customWidth="1"/>
    <col min="4833" max="4833" width="11.42578125" style="1" bestFit="1" customWidth="1"/>
    <col min="4834" max="4837" width="12.42578125" style="1" bestFit="1" customWidth="1"/>
    <col min="4838" max="4857" width="13" style="1" bestFit="1" customWidth="1"/>
    <col min="4858" max="4861" width="11" style="1" bestFit="1" customWidth="1"/>
    <col min="4862" max="4864" width="12.28515625" style="1" bestFit="1" customWidth="1"/>
    <col min="4865" max="4874" width="11" style="1" bestFit="1" customWidth="1"/>
    <col min="4875" max="4875" width="13.28515625" style="1" bestFit="1" customWidth="1"/>
    <col min="4876" max="4876" width="10" style="1" bestFit="1" customWidth="1"/>
    <col min="4877" max="4877" width="11" style="1" bestFit="1" customWidth="1"/>
    <col min="4878" max="5083" width="9" style="1"/>
    <col min="5084" max="5084" width="2.85546875" style="1" bestFit="1" customWidth="1"/>
    <col min="5085" max="5085" width="16.5703125" style="1" bestFit="1" customWidth="1"/>
    <col min="5086" max="5086" width="11.42578125" style="1" bestFit="1" customWidth="1"/>
    <col min="5087" max="5088" width="14.140625" style="1" bestFit="1" customWidth="1"/>
    <col min="5089" max="5089" width="11.42578125" style="1" bestFit="1" customWidth="1"/>
    <col min="5090" max="5093" width="12.42578125" style="1" bestFit="1" customWidth="1"/>
    <col min="5094" max="5113" width="13" style="1" bestFit="1" customWidth="1"/>
    <col min="5114" max="5117" width="11" style="1" bestFit="1" customWidth="1"/>
    <col min="5118" max="5120" width="12.28515625" style="1" bestFit="1" customWidth="1"/>
    <col min="5121" max="5130" width="11" style="1" bestFit="1" customWidth="1"/>
    <col min="5131" max="5131" width="13.28515625" style="1" bestFit="1" customWidth="1"/>
    <col min="5132" max="5132" width="10" style="1" bestFit="1" customWidth="1"/>
    <col min="5133" max="5133" width="11" style="1" bestFit="1" customWidth="1"/>
    <col min="5134" max="5339" width="9" style="1"/>
    <col min="5340" max="5340" width="2.85546875" style="1" bestFit="1" customWidth="1"/>
    <col min="5341" max="5341" width="16.5703125" style="1" bestFit="1" customWidth="1"/>
    <col min="5342" max="5342" width="11.42578125" style="1" bestFit="1" customWidth="1"/>
    <col min="5343" max="5344" width="14.140625" style="1" bestFit="1" customWidth="1"/>
    <col min="5345" max="5345" width="11.42578125" style="1" bestFit="1" customWidth="1"/>
    <col min="5346" max="5349" width="12.42578125" style="1" bestFit="1" customWidth="1"/>
    <col min="5350" max="5369" width="13" style="1" bestFit="1" customWidth="1"/>
    <col min="5370" max="5373" width="11" style="1" bestFit="1" customWidth="1"/>
    <col min="5374" max="5376" width="12.28515625" style="1" bestFit="1" customWidth="1"/>
    <col min="5377" max="5386" width="11" style="1" bestFit="1" customWidth="1"/>
    <col min="5387" max="5387" width="13.28515625" style="1" bestFit="1" customWidth="1"/>
    <col min="5388" max="5388" width="10" style="1" bestFit="1" customWidth="1"/>
    <col min="5389" max="5389" width="11" style="1" bestFit="1" customWidth="1"/>
    <col min="5390" max="5595" width="9" style="1"/>
    <col min="5596" max="5596" width="2.85546875" style="1" bestFit="1" customWidth="1"/>
    <col min="5597" max="5597" width="16.5703125" style="1" bestFit="1" customWidth="1"/>
    <col min="5598" max="5598" width="11.42578125" style="1" bestFit="1" customWidth="1"/>
    <col min="5599" max="5600" width="14.140625" style="1" bestFit="1" customWidth="1"/>
    <col min="5601" max="5601" width="11.42578125" style="1" bestFit="1" customWidth="1"/>
    <col min="5602" max="5605" width="12.42578125" style="1" bestFit="1" customWidth="1"/>
    <col min="5606" max="5625" width="13" style="1" bestFit="1" customWidth="1"/>
    <col min="5626" max="5629" width="11" style="1" bestFit="1" customWidth="1"/>
    <col min="5630" max="5632" width="12.28515625" style="1" bestFit="1" customWidth="1"/>
    <col min="5633" max="5642" width="11" style="1" bestFit="1" customWidth="1"/>
    <col min="5643" max="5643" width="13.28515625" style="1" bestFit="1" customWidth="1"/>
    <col min="5644" max="5644" width="10" style="1" bestFit="1" customWidth="1"/>
    <col min="5645" max="5645" width="11" style="1" bestFit="1" customWidth="1"/>
    <col min="5646" max="5851" width="9" style="1"/>
    <col min="5852" max="5852" width="2.85546875" style="1" bestFit="1" customWidth="1"/>
    <col min="5853" max="5853" width="16.5703125" style="1" bestFit="1" customWidth="1"/>
    <col min="5854" max="5854" width="11.42578125" style="1" bestFit="1" customWidth="1"/>
    <col min="5855" max="5856" width="14.140625" style="1" bestFit="1" customWidth="1"/>
    <col min="5857" max="5857" width="11.42578125" style="1" bestFit="1" customWidth="1"/>
    <col min="5858" max="5861" width="12.42578125" style="1" bestFit="1" customWidth="1"/>
    <col min="5862" max="5881" width="13" style="1" bestFit="1" customWidth="1"/>
    <col min="5882" max="5885" width="11" style="1" bestFit="1" customWidth="1"/>
    <col min="5886" max="5888" width="12.28515625" style="1" bestFit="1" customWidth="1"/>
    <col min="5889" max="5898" width="11" style="1" bestFit="1" customWidth="1"/>
    <col min="5899" max="5899" width="13.28515625" style="1" bestFit="1" customWidth="1"/>
    <col min="5900" max="5900" width="10" style="1" bestFit="1" customWidth="1"/>
    <col min="5901" max="5901" width="11" style="1" bestFit="1" customWidth="1"/>
    <col min="5902" max="6107" width="9" style="1"/>
    <col min="6108" max="6108" width="2.85546875" style="1" bestFit="1" customWidth="1"/>
    <col min="6109" max="6109" width="16.5703125" style="1" bestFit="1" customWidth="1"/>
    <col min="6110" max="6110" width="11.42578125" style="1" bestFit="1" customWidth="1"/>
    <col min="6111" max="6112" width="14.140625" style="1" bestFit="1" customWidth="1"/>
    <col min="6113" max="6113" width="11.42578125" style="1" bestFit="1" customWidth="1"/>
    <col min="6114" max="6117" width="12.42578125" style="1" bestFit="1" customWidth="1"/>
    <col min="6118" max="6137" width="13" style="1" bestFit="1" customWidth="1"/>
    <col min="6138" max="6141" width="11" style="1" bestFit="1" customWidth="1"/>
    <col min="6142" max="6144" width="12.28515625" style="1" bestFit="1" customWidth="1"/>
    <col min="6145" max="6154" width="11" style="1" bestFit="1" customWidth="1"/>
    <col min="6155" max="6155" width="13.28515625" style="1" bestFit="1" customWidth="1"/>
    <col min="6156" max="6156" width="10" style="1" bestFit="1" customWidth="1"/>
    <col min="6157" max="6157" width="11" style="1" bestFit="1" customWidth="1"/>
    <col min="6158" max="6363" width="9" style="1"/>
    <col min="6364" max="6364" width="2.85546875" style="1" bestFit="1" customWidth="1"/>
    <col min="6365" max="6365" width="16.5703125" style="1" bestFit="1" customWidth="1"/>
    <col min="6366" max="6366" width="11.42578125" style="1" bestFit="1" customWidth="1"/>
    <col min="6367" max="6368" width="14.140625" style="1" bestFit="1" customWidth="1"/>
    <col min="6369" max="6369" width="11.42578125" style="1" bestFit="1" customWidth="1"/>
    <col min="6370" max="6373" width="12.42578125" style="1" bestFit="1" customWidth="1"/>
    <col min="6374" max="6393" width="13" style="1" bestFit="1" customWidth="1"/>
    <col min="6394" max="6397" width="11" style="1" bestFit="1" customWidth="1"/>
    <col min="6398" max="6400" width="12.28515625" style="1" bestFit="1" customWidth="1"/>
    <col min="6401" max="6410" width="11" style="1" bestFit="1" customWidth="1"/>
    <col min="6411" max="6411" width="13.28515625" style="1" bestFit="1" customWidth="1"/>
    <col min="6412" max="6412" width="10" style="1" bestFit="1" customWidth="1"/>
    <col min="6413" max="6413" width="11" style="1" bestFit="1" customWidth="1"/>
    <col min="6414" max="6619" width="9" style="1"/>
    <col min="6620" max="6620" width="2.85546875" style="1" bestFit="1" customWidth="1"/>
    <col min="6621" max="6621" width="16.5703125" style="1" bestFit="1" customWidth="1"/>
    <col min="6622" max="6622" width="11.42578125" style="1" bestFit="1" customWidth="1"/>
    <col min="6623" max="6624" width="14.140625" style="1" bestFit="1" customWidth="1"/>
    <col min="6625" max="6625" width="11.42578125" style="1" bestFit="1" customWidth="1"/>
    <col min="6626" max="6629" width="12.42578125" style="1" bestFit="1" customWidth="1"/>
    <col min="6630" max="6649" width="13" style="1" bestFit="1" customWidth="1"/>
    <col min="6650" max="6653" width="11" style="1" bestFit="1" customWidth="1"/>
    <col min="6654" max="6656" width="12.28515625" style="1" bestFit="1" customWidth="1"/>
    <col min="6657" max="6666" width="11" style="1" bestFit="1" customWidth="1"/>
    <col min="6667" max="6667" width="13.28515625" style="1" bestFit="1" customWidth="1"/>
    <col min="6668" max="6668" width="10" style="1" bestFit="1" customWidth="1"/>
    <col min="6669" max="6669" width="11" style="1" bestFit="1" customWidth="1"/>
    <col min="6670" max="6875" width="9" style="1"/>
    <col min="6876" max="6876" width="2.85546875" style="1" bestFit="1" customWidth="1"/>
    <col min="6877" max="6877" width="16.5703125" style="1" bestFit="1" customWidth="1"/>
    <col min="6878" max="6878" width="11.42578125" style="1" bestFit="1" customWidth="1"/>
    <col min="6879" max="6880" width="14.140625" style="1" bestFit="1" customWidth="1"/>
    <col min="6881" max="6881" width="11.42578125" style="1" bestFit="1" customWidth="1"/>
    <col min="6882" max="6885" width="12.42578125" style="1" bestFit="1" customWidth="1"/>
    <col min="6886" max="6905" width="13" style="1" bestFit="1" customWidth="1"/>
    <col min="6906" max="6909" width="11" style="1" bestFit="1" customWidth="1"/>
    <col min="6910" max="6912" width="12.28515625" style="1" bestFit="1" customWidth="1"/>
    <col min="6913" max="6922" width="11" style="1" bestFit="1" customWidth="1"/>
    <col min="6923" max="6923" width="13.28515625" style="1" bestFit="1" customWidth="1"/>
    <col min="6924" max="6924" width="10" style="1" bestFit="1" customWidth="1"/>
    <col min="6925" max="6925" width="11" style="1" bestFit="1" customWidth="1"/>
    <col min="6926" max="7131" width="9" style="1"/>
    <col min="7132" max="7132" width="2.85546875" style="1" bestFit="1" customWidth="1"/>
    <col min="7133" max="7133" width="16.5703125" style="1" bestFit="1" customWidth="1"/>
    <col min="7134" max="7134" width="11.42578125" style="1" bestFit="1" customWidth="1"/>
    <col min="7135" max="7136" width="14.140625" style="1" bestFit="1" customWidth="1"/>
    <col min="7137" max="7137" width="11.42578125" style="1" bestFit="1" customWidth="1"/>
    <col min="7138" max="7141" width="12.42578125" style="1" bestFit="1" customWidth="1"/>
    <col min="7142" max="7161" width="13" style="1" bestFit="1" customWidth="1"/>
    <col min="7162" max="7165" width="11" style="1" bestFit="1" customWidth="1"/>
    <col min="7166" max="7168" width="12.28515625" style="1" bestFit="1" customWidth="1"/>
    <col min="7169" max="7178" width="11" style="1" bestFit="1" customWidth="1"/>
    <col min="7179" max="7179" width="13.28515625" style="1" bestFit="1" customWidth="1"/>
    <col min="7180" max="7180" width="10" style="1" bestFit="1" customWidth="1"/>
    <col min="7181" max="7181" width="11" style="1" bestFit="1" customWidth="1"/>
    <col min="7182" max="7387" width="9" style="1"/>
    <col min="7388" max="7388" width="2.85546875" style="1" bestFit="1" customWidth="1"/>
    <col min="7389" max="7389" width="16.5703125" style="1" bestFit="1" customWidth="1"/>
    <col min="7390" max="7390" width="11.42578125" style="1" bestFit="1" customWidth="1"/>
    <col min="7391" max="7392" width="14.140625" style="1" bestFit="1" customWidth="1"/>
    <col min="7393" max="7393" width="11.42578125" style="1" bestFit="1" customWidth="1"/>
    <col min="7394" max="7397" width="12.42578125" style="1" bestFit="1" customWidth="1"/>
    <col min="7398" max="7417" width="13" style="1" bestFit="1" customWidth="1"/>
    <col min="7418" max="7421" width="11" style="1" bestFit="1" customWidth="1"/>
    <col min="7422" max="7424" width="12.28515625" style="1" bestFit="1" customWidth="1"/>
    <col min="7425" max="7434" width="11" style="1" bestFit="1" customWidth="1"/>
    <col min="7435" max="7435" width="13.28515625" style="1" bestFit="1" customWidth="1"/>
    <col min="7436" max="7436" width="10" style="1" bestFit="1" customWidth="1"/>
    <col min="7437" max="7437" width="11" style="1" bestFit="1" customWidth="1"/>
    <col min="7438" max="7643" width="9" style="1"/>
    <col min="7644" max="7644" width="2.85546875" style="1" bestFit="1" customWidth="1"/>
    <col min="7645" max="7645" width="16.5703125" style="1" bestFit="1" customWidth="1"/>
    <col min="7646" max="7646" width="11.42578125" style="1" bestFit="1" customWidth="1"/>
    <col min="7647" max="7648" width="14.140625" style="1" bestFit="1" customWidth="1"/>
    <col min="7649" max="7649" width="11.42578125" style="1" bestFit="1" customWidth="1"/>
    <col min="7650" max="7653" width="12.42578125" style="1" bestFit="1" customWidth="1"/>
    <col min="7654" max="7673" width="13" style="1" bestFit="1" customWidth="1"/>
    <col min="7674" max="7677" width="11" style="1" bestFit="1" customWidth="1"/>
    <col min="7678" max="7680" width="12.28515625" style="1" bestFit="1" customWidth="1"/>
    <col min="7681" max="7690" width="11" style="1" bestFit="1" customWidth="1"/>
    <col min="7691" max="7691" width="13.28515625" style="1" bestFit="1" customWidth="1"/>
    <col min="7692" max="7692" width="10" style="1" bestFit="1" customWidth="1"/>
    <col min="7693" max="7693" width="11" style="1" bestFit="1" customWidth="1"/>
    <col min="7694" max="7899" width="9" style="1"/>
    <col min="7900" max="7900" width="2.85546875" style="1" bestFit="1" customWidth="1"/>
    <col min="7901" max="7901" width="16.5703125" style="1" bestFit="1" customWidth="1"/>
    <col min="7902" max="7902" width="11.42578125" style="1" bestFit="1" customWidth="1"/>
    <col min="7903" max="7904" width="14.140625" style="1" bestFit="1" customWidth="1"/>
    <col min="7905" max="7905" width="11.42578125" style="1" bestFit="1" customWidth="1"/>
    <col min="7906" max="7909" width="12.42578125" style="1" bestFit="1" customWidth="1"/>
    <col min="7910" max="7929" width="13" style="1" bestFit="1" customWidth="1"/>
    <col min="7930" max="7933" width="11" style="1" bestFit="1" customWidth="1"/>
    <col min="7934" max="7936" width="12.28515625" style="1" bestFit="1" customWidth="1"/>
    <col min="7937" max="7946" width="11" style="1" bestFit="1" customWidth="1"/>
    <col min="7947" max="7947" width="13.28515625" style="1" bestFit="1" customWidth="1"/>
    <col min="7948" max="7948" width="10" style="1" bestFit="1" customWidth="1"/>
    <col min="7949" max="7949" width="11" style="1" bestFit="1" customWidth="1"/>
    <col min="7950" max="8155" width="9" style="1"/>
    <col min="8156" max="8156" width="2.85546875" style="1" bestFit="1" customWidth="1"/>
    <col min="8157" max="8157" width="16.5703125" style="1" bestFit="1" customWidth="1"/>
    <col min="8158" max="8158" width="11.42578125" style="1" bestFit="1" customWidth="1"/>
    <col min="8159" max="8160" width="14.140625" style="1" bestFit="1" customWidth="1"/>
    <col min="8161" max="8161" width="11.42578125" style="1" bestFit="1" customWidth="1"/>
    <col min="8162" max="8165" width="12.42578125" style="1" bestFit="1" customWidth="1"/>
    <col min="8166" max="8185" width="13" style="1" bestFit="1" customWidth="1"/>
    <col min="8186" max="8189" width="11" style="1" bestFit="1" customWidth="1"/>
    <col min="8190" max="8192" width="12.28515625" style="1" bestFit="1" customWidth="1"/>
    <col min="8193" max="8202" width="11" style="1" bestFit="1" customWidth="1"/>
    <col min="8203" max="8203" width="13.28515625" style="1" bestFit="1" customWidth="1"/>
    <col min="8204" max="8204" width="10" style="1" bestFit="1" customWidth="1"/>
    <col min="8205" max="8205" width="11" style="1" bestFit="1" customWidth="1"/>
    <col min="8206" max="8411" width="9" style="1"/>
    <col min="8412" max="8412" width="2.85546875" style="1" bestFit="1" customWidth="1"/>
    <col min="8413" max="8413" width="16.5703125" style="1" bestFit="1" customWidth="1"/>
    <col min="8414" max="8414" width="11.42578125" style="1" bestFit="1" customWidth="1"/>
    <col min="8415" max="8416" width="14.140625" style="1" bestFit="1" customWidth="1"/>
    <col min="8417" max="8417" width="11.42578125" style="1" bestFit="1" customWidth="1"/>
    <col min="8418" max="8421" width="12.42578125" style="1" bestFit="1" customWidth="1"/>
    <col min="8422" max="8441" width="13" style="1" bestFit="1" customWidth="1"/>
    <col min="8442" max="8445" width="11" style="1" bestFit="1" customWidth="1"/>
    <col min="8446" max="8448" width="12.28515625" style="1" bestFit="1" customWidth="1"/>
    <col min="8449" max="8458" width="11" style="1" bestFit="1" customWidth="1"/>
    <col min="8459" max="8459" width="13.28515625" style="1" bestFit="1" customWidth="1"/>
    <col min="8460" max="8460" width="10" style="1" bestFit="1" customWidth="1"/>
    <col min="8461" max="8461" width="11" style="1" bestFit="1" customWidth="1"/>
    <col min="8462" max="8667" width="9" style="1"/>
    <col min="8668" max="8668" width="2.85546875" style="1" bestFit="1" customWidth="1"/>
    <col min="8669" max="8669" width="16.5703125" style="1" bestFit="1" customWidth="1"/>
    <col min="8670" max="8670" width="11.42578125" style="1" bestFit="1" customWidth="1"/>
    <col min="8671" max="8672" width="14.140625" style="1" bestFit="1" customWidth="1"/>
    <col min="8673" max="8673" width="11.42578125" style="1" bestFit="1" customWidth="1"/>
    <col min="8674" max="8677" width="12.42578125" style="1" bestFit="1" customWidth="1"/>
    <col min="8678" max="8697" width="13" style="1" bestFit="1" customWidth="1"/>
    <col min="8698" max="8701" width="11" style="1" bestFit="1" customWidth="1"/>
    <col min="8702" max="8704" width="12.28515625" style="1" bestFit="1" customWidth="1"/>
    <col min="8705" max="8714" width="11" style="1" bestFit="1" customWidth="1"/>
    <col min="8715" max="8715" width="13.28515625" style="1" bestFit="1" customWidth="1"/>
    <col min="8716" max="8716" width="10" style="1" bestFit="1" customWidth="1"/>
    <col min="8717" max="8717" width="11" style="1" bestFit="1" customWidth="1"/>
    <col min="8718" max="8923" width="9" style="1"/>
    <col min="8924" max="8924" width="2.85546875" style="1" bestFit="1" customWidth="1"/>
    <col min="8925" max="8925" width="16.5703125" style="1" bestFit="1" customWidth="1"/>
    <col min="8926" max="8926" width="11.42578125" style="1" bestFit="1" customWidth="1"/>
    <col min="8927" max="8928" width="14.140625" style="1" bestFit="1" customWidth="1"/>
    <col min="8929" max="8929" width="11.42578125" style="1" bestFit="1" customWidth="1"/>
    <col min="8930" max="8933" width="12.42578125" style="1" bestFit="1" customWidth="1"/>
    <col min="8934" max="8953" width="13" style="1" bestFit="1" customWidth="1"/>
    <col min="8954" max="8957" width="11" style="1" bestFit="1" customWidth="1"/>
    <col min="8958" max="8960" width="12.28515625" style="1" bestFit="1" customWidth="1"/>
    <col min="8961" max="8970" width="11" style="1" bestFit="1" customWidth="1"/>
    <col min="8971" max="8971" width="13.28515625" style="1" bestFit="1" customWidth="1"/>
    <col min="8972" max="8972" width="10" style="1" bestFit="1" customWidth="1"/>
    <col min="8973" max="8973" width="11" style="1" bestFit="1" customWidth="1"/>
    <col min="8974" max="9179" width="9" style="1"/>
    <col min="9180" max="9180" width="2.85546875" style="1" bestFit="1" customWidth="1"/>
    <col min="9181" max="9181" width="16.5703125" style="1" bestFit="1" customWidth="1"/>
    <col min="9182" max="9182" width="11.42578125" style="1" bestFit="1" customWidth="1"/>
    <col min="9183" max="9184" width="14.140625" style="1" bestFit="1" customWidth="1"/>
    <col min="9185" max="9185" width="11.42578125" style="1" bestFit="1" customWidth="1"/>
    <col min="9186" max="9189" width="12.42578125" style="1" bestFit="1" customWidth="1"/>
    <col min="9190" max="9209" width="13" style="1" bestFit="1" customWidth="1"/>
    <col min="9210" max="9213" width="11" style="1" bestFit="1" customWidth="1"/>
    <col min="9214" max="9216" width="12.28515625" style="1" bestFit="1" customWidth="1"/>
    <col min="9217" max="9226" width="11" style="1" bestFit="1" customWidth="1"/>
    <col min="9227" max="9227" width="13.28515625" style="1" bestFit="1" customWidth="1"/>
    <col min="9228" max="9228" width="10" style="1" bestFit="1" customWidth="1"/>
    <col min="9229" max="9229" width="11" style="1" bestFit="1" customWidth="1"/>
    <col min="9230" max="9435" width="9" style="1"/>
    <col min="9436" max="9436" width="2.85546875" style="1" bestFit="1" customWidth="1"/>
    <col min="9437" max="9437" width="16.5703125" style="1" bestFit="1" customWidth="1"/>
    <col min="9438" max="9438" width="11.42578125" style="1" bestFit="1" customWidth="1"/>
    <col min="9439" max="9440" width="14.140625" style="1" bestFit="1" customWidth="1"/>
    <col min="9441" max="9441" width="11.42578125" style="1" bestFit="1" customWidth="1"/>
    <col min="9442" max="9445" width="12.42578125" style="1" bestFit="1" customWidth="1"/>
    <col min="9446" max="9465" width="13" style="1" bestFit="1" customWidth="1"/>
    <col min="9466" max="9469" width="11" style="1" bestFit="1" customWidth="1"/>
    <col min="9470" max="9472" width="12.28515625" style="1" bestFit="1" customWidth="1"/>
    <col min="9473" max="9482" width="11" style="1" bestFit="1" customWidth="1"/>
    <col min="9483" max="9483" width="13.28515625" style="1" bestFit="1" customWidth="1"/>
    <col min="9484" max="9484" width="10" style="1" bestFit="1" customWidth="1"/>
    <col min="9485" max="9485" width="11" style="1" bestFit="1" customWidth="1"/>
    <col min="9486" max="9691" width="9" style="1"/>
    <col min="9692" max="9692" width="2.85546875" style="1" bestFit="1" customWidth="1"/>
    <col min="9693" max="9693" width="16.5703125" style="1" bestFit="1" customWidth="1"/>
    <col min="9694" max="9694" width="11.42578125" style="1" bestFit="1" customWidth="1"/>
    <col min="9695" max="9696" width="14.140625" style="1" bestFit="1" customWidth="1"/>
    <col min="9697" max="9697" width="11.42578125" style="1" bestFit="1" customWidth="1"/>
    <col min="9698" max="9701" width="12.42578125" style="1" bestFit="1" customWidth="1"/>
    <col min="9702" max="9721" width="13" style="1" bestFit="1" customWidth="1"/>
    <col min="9722" max="9725" width="11" style="1" bestFit="1" customWidth="1"/>
    <col min="9726" max="9728" width="12.28515625" style="1" bestFit="1" customWidth="1"/>
    <col min="9729" max="9738" width="11" style="1" bestFit="1" customWidth="1"/>
    <col min="9739" max="9739" width="13.28515625" style="1" bestFit="1" customWidth="1"/>
    <col min="9740" max="9740" width="10" style="1" bestFit="1" customWidth="1"/>
    <col min="9741" max="9741" width="11" style="1" bestFit="1" customWidth="1"/>
    <col min="9742" max="9947" width="9" style="1"/>
    <col min="9948" max="9948" width="2.85546875" style="1" bestFit="1" customWidth="1"/>
    <col min="9949" max="9949" width="16.5703125" style="1" bestFit="1" customWidth="1"/>
    <col min="9950" max="9950" width="11.42578125" style="1" bestFit="1" customWidth="1"/>
    <col min="9951" max="9952" width="14.140625" style="1" bestFit="1" customWidth="1"/>
    <col min="9953" max="9953" width="11.42578125" style="1" bestFit="1" customWidth="1"/>
    <col min="9954" max="9957" width="12.42578125" style="1" bestFit="1" customWidth="1"/>
    <col min="9958" max="9977" width="13" style="1" bestFit="1" customWidth="1"/>
    <col min="9978" max="9981" width="11" style="1" bestFit="1" customWidth="1"/>
    <col min="9982" max="9984" width="12.28515625" style="1" bestFit="1" customWidth="1"/>
    <col min="9985" max="9994" width="11" style="1" bestFit="1" customWidth="1"/>
    <col min="9995" max="9995" width="13.28515625" style="1" bestFit="1" customWidth="1"/>
    <col min="9996" max="9996" width="10" style="1" bestFit="1" customWidth="1"/>
    <col min="9997" max="9997" width="11" style="1" bestFit="1" customWidth="1"/>
    <col min="9998" max="10203" width="9" style="1"/>
    <col min="10204" max="10204" width="2.85546875" style="1" bestFit="1" customWidth="1"/>
    <col min="10205" max="10205" width="16.5703125" style="1" bestFit="1" customWidth="1"/>
    <col min="10206" max="10206" width="11.42578125" style="1" bestFit="1" customWidth="1"/>
    <col min="10207" max="10208" width="14.140625" style="1" bestFit="1" customWidth="1"/>
    <col min="10209" max="10209" width="11.42578125" style="1" bestFit="1" customWidth="1"/>
    <col min="10210" max="10213" width="12.42578125" style="1" bestFit="1" customWidth="1"/>
    <col min="10214" max="10233" width="13" style="1" bestFit="1" customWidth="1"/>
    <col min="10234" max="10237" width="11" style="1" bestFit="1" customWidth="1"/>
    <col min="10238" max="10240" width="12.28515625" style="1" bestFit="1" customWidth="1"/>
    <col min="10241" max="10250" width="11" style="1" bestFit="1" customWidth="1"/>
    <col min="10251" max="10251" width="13.28515625" style="1" bestFit="1" customWidth="1"/>
    <col min="10252" max="10252" width="10" style="1" bestFit="1" customWidth="1"/>
    <col min="10253" max="10253" width="11" style="1" bestFit="1" customWidth="1"/>
    <col min="10254" max="10459" width="9" style="1"/>
    <col min="10460" max="10460" width="2.85546875" style="1" bestFit="1" customWidth="1"/>
    <col min="10461" max="10461" width="16.5703125" style="1" bestFit="1" customWidth="1"/>
    <col min="10462" max="10462" width="11.42578125" style="1" bestFit="1" customWidth="1"/>
    <col min="10463" max="10464" width="14.140625" style="1" bestFit="1" customWidth="1"/>
    <col min="10465" max="10465" width="11.42578125" style="1" bestFit="1" customWidth="1"/>
    <col min="10466" max="10469" width="12.42578125" style="1" bestFit="1" customWidth="1"/>
    <col min="10470" max="10489" width="13" style="1" bestFit="1" customWidth="1"/>
    <col min="10490" max="10493" width="11" style="1" bestFit="1" customWidth="1"/>
    <col min="10494" max="10496" width="12.28515625" style="1" bestFit="1" customWidth="1"/>
    <col min="10497" max="10506" width="11" style="1" bestFit="1" customWidth="1"/>
    <col min="10507" max="10507" width="13.28515625" style="1" bestFit="1" customWidth="1"/>
    <col min="10508" max="10508" width="10" style="1" bestFit="1" customWidth="1"/>
    <col min="10509" max="10509" width="11" style="1" bestFit="1" customWidth="1"/>
    <col min="10510" max="10715" width="9" style="1"/>
    <col min="10716" max="10716" width="2.85546875" style="1" bestFit="1" customWidth="1"/>
    <col min="10717" max="10717" width="16.5703125" style="1" bestFit="1" customWidth="1"/>
    <col min="10718" max="10718" width="11.42578125" style="1" bestFit="1" customWidth="1"/>
    <col min="10719" max="10720" width="14.140625" style="1" bestFit="1" customWidth="1"/>
    <col min="10721" max="10721" width="11.42578125" style="1" bestFit="1" customWidth="1"/>
    <col min="10722" max="10725" width="12.42578125" style="1" bestFit="1" customWidth="1"/>
    <col min="10726" max="10745" width="13" style="1" bestFit="1" customWidth="1"/>
    <col min="10746" max="10749" width="11" style="1" bestFit="1" customWidth="1"/>
    <col min="10750" max="10752" width="12.28515625" style="1" bestFit="1" customWidth="1"/>
    <col min="10753" max="10762" width="11" style="1" bestFit="1" customWidth="1"/>
    <col min="10763" max="10763" width="13.28515625" style="1" bestFit="1" customWidth="1"/>
    <col min="10764" max="10764" width="10" style="1" bestFit="1" customWidth="1"/>
    <col min="10765" max="10765" width="11" style="1" bestFit="1" customWidth="1"/>
    <col min="10766" max="10971" width="9" style="1"/>
    <col min="10972" max="10972" width="2.85546875" style="1" bestFit="1" customWidth="1"/>
    <col min="10973" max="10973" width="16.5703125" style="1" bestFit="1" customWidth="1"/>
    <col min="10974" max="10974" width="11.42578125" style="1" bestFit="1" customWidth="1"/>
    <col min="10975" max="10976" width="14.140625" style="1" bestFit="1" customWidth="1"/>
    <col min="10977" max="10977" width="11.42578125" style="1" bestFit="1" customWidth="1"/>
    <col min="10978" max="10981" width="12.42578125" style="1" bestFit="1" customWidth="1"/>
    <col min="10982" max="11001" width="13" style="1" bestFit="1" customWidth="1"/>
    <col min="11002" max="11005" width="11" style="1" bestFit="1" customWidth="1"/>
    <col min="11006" max="11008" width="12.28515625" style="1" bestFit="1" customWidth="1"/>
    <col min="11009" max="11018" width="11" style="1" bestFit="1" customWidth="1"/>
    <col min="11019" max="11019" width="13.28515625" style="1" bestFit="1" customWidth="1"/>
    <col min="11020" max="11020" width="10" style="1" bestFit="1" customWidth="1"/>
    <col min="11021" max="11021" width="11" style="1" bestFit="1" customWidth="1"/>
    <col min="11022" max="11227" width="9" style="1"/>
    <col min="11228" max="11228" width="2.85546875" style="1" bestFit="1" customWidth="1"/>
    <col min="11229" max="11229" width="16.5703125" style="1" bestFit="1" customWidth="1"/>
    <col min="11230" max="11230" width="11.42578125" style="1" bestFit="1" customWidth="1"/>
    <col min="11231" max="11232" width="14.140625" style="1" bestFit="1" customWidth="1"/>
    <col min="11233" max="11233" width="11.42578125" style="1" bestFit="1" customWidth="1"/>
    <col min="11234" max="11237" width="12.42578125" style="1" bestFit="1" customWidth="1"/>
    <col min="11238" max="11257" width="13" style="1" bestFit="1" customWidth="1"/>
    <col min="11258" max="11261" width="11" style="1" bestFit="1" customWidth="1"/>
    <col min="11262" max="11264" width="12.28515625" style="1" bestFit="1" customWidth="1"/>
    <col min="11265" max="11274" width="11" style="1" bestFit="1" customWidth="1"/>
    <col min="11275" max="11275" width="13.28515625" style="1" bestFit="1" customWidth="1"/>
    <col min="11276" max="11276" width="10" style="1" bestFit="1" customWidth="1"/>
    <col min="11277" max="11277" width="11" style="1" bestFit="1" customWidth="1"/>
    <col min="11278" max="11483" width="9" style="1"/>
    <col min="11484" max="11484" width="2.85546875" style="1" bestFit="1" customWidth="1"/>
    <col min="11485" max="11485" width="16.5703125" style="1" bestFit="1" customWidth="1"/>
    <col min="11486" max="11486" width="11.42578125" style="1" bestFit="1" customWidth="1"/>
    <col min="11487" max="11488" width="14.140625" style="1" bestFit="1" customWidth="1"/>
    <col min="11489" max="11489" width="11.42578125" style="1" bestFit="1" customWidth="1"/>
    <col min="11490" max="11493" width="12.42578125" style="1" bestFit="1" customWidth="1"/>
    <col min="11494" max="11513" width="13" style="1" bestFit="1" customWidth="1"/>
    <col min="11514" max="11517" width="11" style="1" bestFit="1" customWidth="1"/>
    <col min="11518" max="11520" width="12.28515625" style="1" bestFit="1" customWidth="1"/>
    <col min="11521" max="11530" width="11" style="1" bestFit="1" customWidth="1"/>
    <col min="11531" max="11531" width="13.28515625" style="1" bestFit="1" customWidth="1"/>
    <col min="11532" max="11532" width="10" style="1" bestFit="1" customWidth="1"/>
    <col min="11533" max="11533" width="11" style="1" bestFit="1" customWidth="1"/>
    <col min="11534" max="11739" width="9" style="1"/>
    <col min="11740" max="11740" width="2.85546875" style="1" bestFit="1" customWidth="1"/>
    <col min="11741" max="11741" width="16.5703125" style="1" bestFit="1" customWidth="1"/>
    <col min="11742" max="11742" width="11.42578125" style="1" bestFit="1" customWidth="1"/>
    <col min="11743" max="11744" width="14.140625" style="1" bestFit="1" customWidth="1"/>
    <col min="11745" max="11745" width="11.42578125" style="1" bestFit="1" customWidth="1"/>
    <col min="11746" max="11749" width="12.42578125" style="1" bestFit="1" customWidth="1"/>
    <col min="11750" max="11769" width="13" style="1" bestFit="1" customWidth="1"/>
    <col min="11770" max="11773" width="11" style="1" bestFit="1" customWidth="1"/>
    <col min="11774" max="11776" width="12.28515625" style="1" bestFit="1" customWidth="1"/>
    <col min="11777" max="11786" width="11" style="1" bestFit="1" customWidth="1"/>
    <col min="11787" max="11787" width="13.28515625" style="1" bestFit="1" customWidth="1"/>
    <col min="11788" max="11788" width="10" style="1" bestFit="1" customWidth="1"/>
    <col min="11789" max="11789" width="11" style="1" bestFit="1" customWidth="1"/>
    <col min="11790" max="11995" width="9" style="1"/>
    <col min="11996" max="11996" width="2.85546875" style="1" bestFit="1" customWidth="1"/>
    <col min="11997" max="11997" width="16.5703125" style="1" bestFit="1" customWidth="1"/>
    <col min="11998" max="11998" width="11.42578125" style="1" bestFit="1" customWidth="1"/>
    <col min="11999" max="12000" width="14.140625" style="1" bestFit="1" customWidth="1"/>
    <col min="12001" max="12001" width="11.42578125" style="1" bestFit="1" customWidth="1"/>
    <col min="12002" max="12005" width="12.42578125" style="1" bestFit="1" customWidth="1"/>
    <col min="12006" max="12025" width="13" style="1" bestFit="1" customWidth="1"/>
    <col min="12026" max="12029" width="11" style="1" bestFit="1" customWidth="1"/>
    <col min="12030" max="12032" width="12.28515625" style="1" bestFit="1" customWidth="1"/>
    <col min="12033" max="12042" width="11" style="1" bestFit="1" customWidth="1"/>
    <col min="12043" max="12043" width="13.28515625" style="1" bestFit="1" customWidth="1"/>
    <col min="12044" max="12044" width="10" style="1" bestFit="1" customWidth="1"/>
    <col min="12045" max="12045" width="11" style="1" bestFit="1" customWidth="1"/>
    <col min="12046" max="12251" width="9" style="1"/>
    <col min="12252" max="12252" width="2.85546875" style="1" bestFit="1" customWidth="1"/>
    <col min="12253" max="12253" width="16.5703125" style="1" bestFit="1" customWidth="1"/>
    <col min="12254" max="12254" width="11.42578125" style="1" bestFit="1" customWidth="1"/>
    <col min="12255" max="12256" width="14.140625" style="1" bestFit="1" customWidth="1"/>
    <col min="12257" max="12257" width="11.42578125" style="1" bestFit="1" customWidth="1"/>
    <col min="12258" max="12261" width="12.42578125" style="1" bestFit="1" customWidth="1"/>
    <col min="12262" max="12281" width="13" style="1" bestFit="1" customWidth="1"/>
    <col min="12282" max="12285" width="11" style="1" bestFit="1" customWidth="1"/>
    <col min="12286" max="12288" width="12.28515625" style="1" bestFit="1" customWidth="1"/>
    <col min="12289" max="12298" width="11" style="1" bestFit="1" customWidth="1"/>
    <col min="12299" max="12299" width="13.28515625" style="1" bestFit="1" customWidth="1"/>
    <col min="12300" max="12300" width="10" style="1" bestFit="1" customWidth="1"/>
    <col min="12301" max="12301" width="11" style="1" bestFit="1" customWidth="1"/>
    <col min="12302" max="12507" width="9" style="1"/>
    <col min="12508" max="12508" width="2.85546875" style="1" bestFit="1" customWidth="1"/>
    <col min="12509" max="12509" width="16.5703125" style="1" bestFit="1" customWidth="1"/>
    <col min="12510" max="12510" width="11.42578125" style="1" bestFit="1" customWidth="1"/>
    <col min="12511" max="12512" width="14.140625" style="1" bestFit="1" customWidth="1"/>
    <col min="12513" max="12513" width="11.42578125" style="1" bestFit="1" customWidth="1"/>
    <col min="12514" max="12517" width="12.42578125" style="1" bestFit="1" customWidth="1"/>
    <col min="12518" max="12537" width="13" style="1" bestFit="1" customWidth="1"/>
    <col min="12538" max="12541" width="11" style="1" bestFit="1" customWidth="1"/>
    <col min="12542" max="12544" width="12.28515625" style="1" bestFit="1" customWidth="1"/>
    <col min="12545" max="12554" width="11" style="1" bestFit="1" customWidth="1"/>
    <col min="12555" max="12555" width="13.28515625" style="1" bestFit="1" customWidth="1"/>
    <col min="12556" max="12556" width="10" style="1" bestFit="1" customWidth="1"/>
    <col min="12557" max="12557" width="11" style="1" bestFit="1" customWidth="1"/>
    <col min="12558" max="12763" width="9" style="1"/>
    <col min="12764" max="12764" width="2.85546875" style="1" bestFit="1" customWidth="1"/>
    <col min="12765" max="12765" width="16.5703125" style="1" bestFit="1" customWidth="1"/>
    <col min="12766" max="12766" width="11.42578125" style="1" bestFit="1" customWidth="1"/>
    <col min="12767" max="12768" width="14.140625" style="1" bestFit="1" customWidth="1"/>
    <col min="12769" max="12769" width="11.42578125" style="1" bestFit="1" customWidth="1"/>
    <col min="12770" max="12773" width="12.42578125" style="1" bestFit="1" customWidth="1"/>
    <col min="12774" max="12793" width="13" style="1" bestFit="1" customWidth="1"/>
    <col min="12794" max="12797" width="11" style="1" bestFit="1" customWidth="1"/>
    <col min="12798" max="12800" width="12.28515625" style="1" bestFit="1" customWidth="1"/>
    <col min="12801" max="12810" width="11" style="1" bestFit="1" customWidth="1"/>
    <col min="12811" max="12811" width="13.28515625" style="1" bestFit="1" customWidth="1"/>
    <col min="12812" max="12812" width="10" style="1" bestFit="1" customWidth="1"/>
    <col min="12813" max="12813" width="11" style="1" bestFit="1" customWidth="1"/>
    <col min="12814" max="13019" width="9" style="1"/>
    <col min="13020" max="13020" width="2.85546875" style="1" bestFit="1" customWidth="1"/>
    <col min="13021" max="13021" width="16.5703125" style="1" bestFit="1" customWidth="1"/>
    <col min="13022" max="13022" width="11.42578125" style="1" bestFit="1" customWidth="1"/>
    <col min="13023" max="13024" width="14.140625" style="1" bestFit="1" customWidth="1"/>
    <col min="13025" max="13025" width="11.42578125" style="1" bestFit="1" customWidth="1"/>
    <col min="13026" max="13029" width="12.42578125" style="1" bestFit="1" customWidth="1"/>
    <col min="13030" max="13049" width="13" style="1" bestFit="1" customWidth="1"/>
    <col min="13050" max="13053" width="11" style="1" bestFit="1" customWidth="1"/>
    <col min="13054" max="13056" width="12.28515625" style="1" bestFit="1" customWidth="1"/>
    <col min="13057" max="13066" width="11" style="1" bestFit="1" customWidth="1"/>
    <col min="13067" max="13067" width="13.28515625" style="1" bestFit="1" customWidth="1"/>
    <col min="13068" max="13068" width="10" style="1" bestFit="1" customWidth="1"/>
    <col min="13069" max="13069" width="11" style="1" bestFit="1" customWidth="1"/>
    <col min="13070" max="13275" width="9" style="1"/>
    <col min="13276" max="13276" width="2.85546875" style="1" bestFit="1" customWidth="1"/>
    <col min="13277" max="13277" width="16.5703125" style="1" bestFit="1" customWidth="1"/>
    <col min="13278" max="13278" width="11.42578125" style="1" bestFit="1" customWidth="1"/>
    <col min="13279" max="13280" width="14.140625" style="1" bestFit="1" customWidth="1"/>
    <col min="13281" max="13281" width="11.42578125" style="1" bestFit="1" customWidth="1"/>
    <col min="13282" max="13285" width="12.42578125" style="1" bestFit="1" customWidth="1"/>
    <col min="13286" max="13305" width="13" style="1" bestFit="1" customWidth="1"/>
    <col min="13306" max="13309" width="11" style="1" bestFit="1" customWidth="1"/>
    <col min="13310" max="13312" width="12.28515625" style="1" bestFit="1" customWidth="1"/>
    <col min="13313" max="13322" width="11" style="1" bestFit="1" customWidth="1"/>
    <col min="13323" max="13323" width="13.28515625" style="1" bestFit="1" customWidth="1"/>
    <col min="13324" max="13324" width="10" style="1" bestFit="1" customWidth="1"/>
    <col min="13325" max="13325" width="11" style="1" bestFit="1" customWidth="1"/>
    <col min="13326" max="13531" width="9" style="1"/>
    <col min="13532" max="13532" width="2.85546875" style="1" bestFit="1" customWidth="1"/>
    <col min="13533" max="13533" width="16.5703125" style="1" bestFit="1" customWidth="1"/>
    <col min="13534" max="13534" width="11.42578125" style="1" bestFit="1" customWidth="1"/>
    <col min="13535" max="13536" width="14.140625" style="1" bestFit="1" customWidth="1"/>
    <col min="13537" max="13537" width="11.42578125" style="1" bestFit="1" customWidth="1"/>
    <col min="13538" max="13541" width="12.42578125" style="1" bestFit="1" customWidth="1"/>
    <col min="13542" max="13561" width="13" style="1" bestFit="1" customWidth="1"/>
    <col min="13562" max="13565" width="11" style="1" bestFit="1" customWidth="1"/>
    <col min="13566" max="13568" width="12.28515625" style="1" bestFit="1" customWidth="1"/>
    <col min="13569" max="13578" width="11" style="1" bestFit="1" customWidth="1"/>
    <col min="13579" max="13579" width="13.28515625" style="1" bestFit="1" customWidth="1"/>
    <col min="13580" max="13580" width="10" style="1" bestFit="1" customWidth="1"/>
    <col min="13581" max="13581" width="11" style="1" bestFit="1" customWidth="1"/>
    <col min="13582" max="13787" width="9" style="1"/>
    <col min="13788" max="13788" width="2.85546875" style="1" bestFit="1" customWidth="1"/>
    <col min="13789" max="13789" width="16.5703125" style="1" bestFit="1" customWidth="1"/>
    <col min="13790" max="13790" width="11.42578125" style="1" bestFit="1" customWidth="1"/>
    <col min="13791" max="13792" width="14.140625" style="1" bestFit="1" customWidth="1"/>
    <col min="13793" max="13793" width="11.42578125" style="1" bestFit="1" customWidth="1"/>
    <col min="13794" max="13797" width="12.42578125" style="1" bestFit="1" customWidth="1"/>
    <col min="13798" max="13817" width="13" style="1" bestFit="1" customWidth="1"/>
    <col min="13818" max="13821" width="11" style="1" bestFit="1" customWidth="1"/>
    <col min="13822" max="13824" width="12.28515625" style="1" bestFit="1" customWidth="1"/>
    <col min="13825" max="13834" width="11" style="1" bestFit="1" customWidth="1"/>
    <col min="13835" max="13835" width="13.28515625" style="1" bestFit="1" customWidth="1"/>
    <col min="13836" max="13836" width="10" style="1" bestFit="1" customWidth="1"/>
    <col min="13837" max="13837" width="11" style="1" bestFit="1" customWidth="1"/>
    <col min="13838" max="14043" width="9" style="1"/>
    <col min="14044" max="14044" width="2.85546875" style="1" bestFit="1" customWidth="1"/>
    <col min="14045" max="14045" width="16.5703125" style="1" bestFit="1" customWidth="1"/>
    <col min="14046" max="14046" width="11.42578125" style="1" bestFit="1" customWidth="1"/>
    <col min="14047" max="14048" width="14.140625" style="1" bestFit="1" customWidth="1"/>
    <col min="14049" max="14049" width="11.42578125" style="1" bestFit="1" customWidth="1"/>
    <col min="14050" max="14053" width="12.42578125" style="1" bestFit="1" customWidth="1"/>
    <col min="14054" max="14073" width="13" style="1" bestFit="1" customWidth="1"/>
    <col min="14074" max="14077" width="11" style="1" bestFit="1" customWidth="1"/>
    <col min="14078" max="14080" width="12.28515625" style="1" bestFit="1" customWidth="1"/>
    <col min="14081" max="14090" width="11" style="1" bestFit="1" customWidth="1"/>
    <col min="14091" max="14091" width="13.28515625" style="1" bestFit="1" customWidth="1"/>
    <col min="14092" max="14092" width="10" style="1" bestFit="1" customWidth="1"/>
    <col min="14093" max="14093" width="11" style="1" bestFit="1" customWidth="1"/>
    <col min="14094" max="14299" width="9" style="1"/>
    <col min="14300" max="14300" width="2.85546875" style="1" bestFit="1" customWidth="1"/>
    <col min="14301" max="14301" width="16.5703125" style="1" bestFit="1" customWidth="1"/>
    <col min="14302" max="14302" width="11.42578125" style="1" bestFit="1" customWidth="1"/>
    <col min="14303" max="14304" width="14.140625" style="1" bestFit="1" customWidth="1"/>
    <col min="14305" max="14305" width="11.42578125" style="1" bestFit="1" customWidth="1"/>
    <col min="14306" max="14309" width="12.42578125" style="1" bestFit="1" customWidth="1"/>
    <col min="14310" max="14329" width="13" style="1" bestFit="1" customWidth="1"/>
    <col min="14330" max="14333" width="11" style="1" bestFit="1" customWidth="1"/>
    <col min="14334" max="14336" width="12.28515625" style="1" bestFit="1" customWidth="1"/>
    <col min="14337" max="14346" width="11" style="1" bestFit="1" customWidth="1"/>
    <col min="14347" max="14347" width="13.28515625" style="1" bestFit="1" customWidth="1"/>
    <col min="14348" max="14348" width="10" style="1" bestFit="1" customWidth="1"/>
    <col min="14349" max="14349" width="11" style="1" bestFit="1" customWidth="1"/>
    <col min="14350" max="14555" width="9" style="1"/>
    <col min="14556" max="14556" width="2.85546875" style="1" bestFit="1" customWidth="1"/>
    <col min="14557" max="14557" width="16.5703125" style="1" bestFit="1" customWidth="1"/>
    <col min="14558" max="14558" width="11.42578125" style="1" bestFit="1" customWidth="1"/>
    <col min="14559" max="14560" width="14.140625" style="1" bestFit="1" customWidth="1"/>
    <col min="14561" max="14561" width="11.42578125" style="1" bestFit="1" customWidth="1"/>
    <col min="14562" max="14565" width="12.42578125" style="1" bestFit="1" customWidth="1"/>
    <col min="14566" max="14585" width="13" style="1" bestFit="1" customWidth="1"/>
    <col min="14586" max="14589" width="11" style="1" bestFit="1" customWidth="1"/>
    <col min="14590" max="14592" width="12.28515625" style="1" bestFit="1" customWidth="1"/>
    <col min="14593" max="14602" width="11" style="1" bestFit="1" customWidth="1"/>
    <col min="14603" max="14603" width="13.28515625" style="1" bestFit="1" customWidth="1"/>
    <col min="14604" max="14604" width="10" style="1" bestFit="1" customWidth="1"/>
    <col min="14605" max="14605" width="11" style="1" bestFit="1" customWidth="1"/>
    <col min="14606" max="14811" width="9" style="1"/>
    <col min="14812" max="14812" width="2.85546875" style="1" bestFit="1" customWidth="1"/>
    <col min="14813" max="14813" width="16.5703125" style="1" bestFit="1" customWidth="1"/>
    <col min="14814" max="14814" width="11.42578125" style="1" bestFit="1" customWidth="1"/>
    <col min="14815" max="14816" width="14.140625" style="1" bestFit="1" customWidth="1"/>
    <col min="14817" max="14817" width="11.42578125" style="1" bestFit="1" customWidth="1"/>
    <col min="14818" max="14821" width="12.42578125" style="1" bestFit="1" customWidth="1"/>
    <col min="14822" max="14841" width="13" style="1" bestFit="1" customWidth="1"/>
    <col min="14842" max="14845" width="11" style="1" bestFit="1" customWidth="1"/>
    <col min="14846" max="14848" width="12.28515625" style="1" bestFit="1" customWidth="1"/>
    <col min="14849" max="14858" width="11" style="1" bestFit="1" customWidth="1"/>
    <col min="14859" max="14859" width="13.28515625" style="1" bestFit="1" customWidth="1"/>
    <col min="14860" max="14860" width="10" style="1" bestFit="1" customWidth="1"/>
    <col min="14861" max="14861" width="11" style="1" bestFit="1" customWidth="1"/>
    <col min="14862" max="15067" width="9" style="1"/>
    <col min="15068" max="15068" width="2.85546875" style="1" bestFit="1" customWidth="1"/>
    <col min="15069" max="15069" width="16.5703125" style="1" bestFit="1" customWidth="1"/>
    <col min="15070" max="15070" width="11.42578125" style="1" bestFit="1" customWidth="1"/>
    <col min="15071" max="15072" width="14.140625" style="1" bestFit="1" customWidth="1"/>
    <col min="15073" max="15073" width="11.42578125" style="1" bestFit="1" customWidth="1"/>
    <col min="15074" max="15077" width="12.42578125" style="1" bestFit="1" customWidth="1"/>
    <col min="15078" max="15097" width="13" style="1" bestFit="1" customWidth="1"/>
    <col min="15098" max="15101" width="11" style="1" bestFit="1" customWidth="1"/>
    <col min="15102" max="15104" width="12.28515625" style="1" bestFit="1" customWidth="1"/>
    <col min="15105" max="15114" width="11" style="1" bestFit="1" customWidth="1"/>
    <col min="15115" max="15115" width="13.28515625" style="1" bestFit="1" customWidth="1"/>
    <col min="15116" max="15116" width="10" style="1" bestFit="1" customWidth="1"/>
    <col min="15117" max="15117" width="11" style="1" bestFit="1" customWidth="1"/>
    <col min="15118" max="15323" width="9" style="1"/>
    <col min="15324" max="15324" width="2.85546875" style="1" bestFit="1" customWidth="1"/>
    <col min="15325" max="15325" width="16.5703125" style="1" bestFit="1" customWidth="1"/>
    <col min="15326" max="15326" width="11.42578125" style="1" bestFit="1" customWidth="1"/>
    <col min="15327" max="15328" width="14.140625" style="1" bestFit="1" customWidth="1"/>
    <col min="15329" max="15329" width="11.42578125" style="1" bestFit="1" customWidth="1"/>
    <col min="15330" max="15333" width="12.42578125" style="1" bestFit="1" customWidth="1"/>
    <col min="15334" max="15353" width="13" style="1" bestFit="1" customWidth="1"/>
    <col min="15354" max="15357" width="11" style="1" bestFit="1" customWidth="1"/>
    <col min="15358" max="15360" width="12.28515625" style="1" bestFit="1" customWidth="1"/>
    <col min="15361" max="15370" width="11" style="1" bestFit="1" customWidth="1"/>
    <col min="15371" max="15371" width="13.28515625" style="1" bestFit="1" customWidth="1"/>
    <col min="15372" max="15372" width="10" style="1" bestFit="1" customWidth="1"/>
    <col min="15373" max="15373" width="11" style="1" bestFit="1" customWidth="1"/>
    <col min="15374" max="15579" width="9" style="1"/>
    <col min="15580" max="15580" width="2.85546875" style="1" bestFit="1" customWidth="1"/>
    <col min="15581" max="15581" width="16.5703125" style="1" bestFit="1" customWidth="1"/>
    <col min="15582" max="15582" width="11.42578125" style="1" bestFit="1" customWidth="1"/>
    <col min="15583" max="15584" width="14.140625" style="1" bestFit="1" customWidth="1"/>
    <col min="15585" max="15585" width="11.42578125" style="1" bestFit="1" customWidth="1"/>
    <col min="15586" max="15589" width="12.42578125" style="1" bestFit="1" customWidth="1"/>
    <col min="15590" max="15609" width="13" style="1" bestFit="1" customWidth="1"/>
    <col min="15610" max="15613" width="11" style="1" bestFit="1" customWidth="1"/>
    <col min="15614" max="15616" width="12.28515625" style="1" bestFit="1" customWidth="1"/>
    <col min="15617" max="15626" width="11" style="1" bestFit="1" customWidth="1"/>
    <col min="15627" max="15627" width="13.28515625" style="1" bestFit="1" customWidth="1"/>
    <col min="15628" max="15628" width="10" style="1" bestFit="1" customWidth="1"/>
    <col min="15629" max="15629" width="11" style="1" bestFit="1" customWidth="1"/>
    <col min="15630" max="15835" width="9" style="1"/>
    <col min="15836" max="15836" width="2.85546875" style="1" bestFit="1" customWidth="1"/>
    <col min="15837" max="15837" width="16.5703125" style="1" bestFit="1" customWidth="1"/>
    <col min="15838" max="15838" width="11.42578125" style="1" bestFit="1" customWidth="1"/>
    <col min="15839" max="15840" width="14.140625" style="1" bestFit="1" customWidth="1"/>
    <col min="15841" max="15841" width="11.42578125" style="1" bestFit="1" customWidth="1"/>
    <col min="15842" max="15845" width="12.42578125" style="1" bestFit="1" customWidth="1"/>
    <col min="15846" max="15865" width="13" style="1" bestFit="1" customWidth="1"/>
    <col min="15866" max="15869" width="11" style="1" bestFit="1" customWidth="1"/>
    <col min="15870" max="15872" width="12.28515625" style="1" bestFit="1" customWidth="1"/>
    <col min="15873" max="15882" width="11" style="1" bestFit="1" customWidth="1"/>
    <col min="15883" max="15883" width="13.28515625" style="1" bestFit="1" customWidth="1"/>
    <col min="15884" max="15884" width="10" style="1" bestFit="1" customWidth="1"/>
    <col min="15885" max="15885" width="11" style="1" bestFit="1" customWidth="1"/>
    <col min="15886" max="16091" width="9" style="1"/>
    <col min="16092" max="16092" width="2.85546875" style="1" bestFit="1" customWidth="1"/>
    <col min="16093" max="16093" width="16.5703125" style="1" bestFit="1" customWidth="1"/>
    <col min="16094" max="16094" width="11.42578125" style="1" bestFit="1" customWidth="1"/>
    <col min="16095" max="16096" width="14.140625" style="1" bestFit="1" customWidth="1"/>
    <col min="16097" max="16097" width="11.42578125" style="1" bestFit="1" customWidth="1"/>
    <col min="16098" max="16101" width="12.42578125" style="1" bestFit="1" customWidth="1"/>
    <col min="16102" max="16121" width="13" style="1" bestFit="1" customWidth="1"/>
    <col min="16122" max="16125" width="11" style="1" bestFit="1" customWidth="1"/>
    <col min="16126" max="16128" width="12.28515625" style="1" bestFit="1" customWidth="1"/>
    <col min="16129" max="16138" width="11" style="1" bestFit="1" customWidth="1"/>
    <col min="16139" max="16139" width="13.285156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/>
    <row r="3" spans="1:13" ht="17.25">
      <c r="A3" s="53">
        <v>45717</v>
      </c>
      <c r="B3" s="53"/>
      <c r="C3" s="40" t="s">
        <v>227</v>
      </c>
    </row>
    <row r="4" spans="1:13" s="3" customFormat="1">
      <c r="A4" s="46" t="s">
        <v>1</v>
      </c>
      <c r="B4" s="46"/>
      <c r="C4" s="42" t="s">
        <v>37</v>
      </c>
      <c r="D4" s="42" t="s">
        <v>38</v>
      </c>
      <c r="E4" s="42" t="s">
        <v>39</v>
      </c>
      <c r="F4" s="42" t="s">
        <v>40</v>
      </c>
      <c r="G4" s="42" t="s">
        <v>41</v>
      </c>
      <c r="H4" s="42" t="s">
        <v>42</v>
      </c>
      <c r="I4" s="42" t="s">
        <v>43</v>
      </c>
      <c r="J4" s="42" t="s">
        <v>44</v>
      </c>
      <c r="K4" s="43" t="s">
        <v>46</v>
      </c>
      <c r="L4" s="43" t="s">
        <v>47</v>
      </c>
      <c r="M4" s="2" t="s">
        <v>48</v>
      </c>
    </row>
    <row r="5" spans="1:13" s="3" customFormat="1" hidden="1">
      <c r="A5" s="50" t="s">
        <v>49</v>
      </c>
      <c r="B5" s="54"/>
      <c r="C5" s="42">
        <v>7</v>
      </c>
      <c r="D5" s="42">
        <v>7</v>
      </c>
      <c r="E5" s="42">
        <v>7</v>
      </c>
      <c r="F5" s="42">
        <v>7</v>
      </c>
      <c r="G5" s="42">
        <v>7</v>
      </c>
      <c r="H5" s="42">
        <v>7</v>
      </c>
      <c r="I5" s="42">
        <v>7</v>
      </c>
      <c r="J5" s="42">
        <v>8</v>
      </c>
      <c r="K5" s="43"/>
      <c r="L5" s="43"/>
      <c r="M5" s="2"/>
    </row>
    <row r="6" spans="1:13" s="3" customFormat="1" hidden="1">
      <c r="A6" s="50" t="s">
        <v>50</v>
      </c>
      <c r="B6" s="54"/>
      <c r="C6" s="42" t="s">
        <v>54</v>
      </c>
      <c r="D6" s="42" t="s">
        <v>54</v>
      </c>
      <c r="E6" s="42" t="s">
        <v>54</v>
      </c>
      <c r="F6" s="42" t="s">
        <v>54</v>
      </c>
      <c r="G6" s="42" t="s">
        <v>54</v>
      </c>
      <c r="H6" s="42" t="s">
        <v>54</v>
      </c>
      <c r="I6" s="42" t="s">
        <v>54</v>
      </c>
      <c r="J6" s="42" t="s">
        <v>55</v>
      </c>
      <c r="K6" s="43"/>
      <c r="L6" s="43"/>
      <c r="M6" s="2"/>
    </row>
    <row r="7" spans="1:13" s="3" customFormat="1">
      <c r="A7" s="52" t="s">
        <v>56</v>
      </c>
      <c r="B7" s="52"/>
      <c r="C7" s="38" t="s">
        <v>84</v>
      </c>
      <c r="D7" s="38" t="s">
        <v>85</v>
      </c>
      <c r="E7" s="41"/>
      <c r="F7" s="41" t="s">
        <v>86</v>
      </c>
      <c r="G7" s="41" t="s">
        <v>87</v>
      </c>
      <c r="H7" s="41" t="s">
        <v>88</v>
      </c>
      <c r="I7" s="41"/>
      <c r="J7" s="41"/>
      <c r="K7" s="44"/>
      <c r="L7" s="44"/>
      <c r="M7" s="4"/>
    </row>
    <row r="8" spans="1:13" s="3" customFormat="1">
      <c r="A8" s="52" t="s">
        <v>89</v>
      </c>
      <c r="B8" s="52"/>
      <c r="C8" s="41" t="s">
        <v>120</v>
      </c>
      <c r="D8" s="41" t="s">
        <v>121</v>
      </c>
      <c r="E8" s="41" t="s">
        <v>115</v>
      </c>
      <c r="F8" s="41" t="s">
        <v>122</v>
      </c>
      <c r="G8" s="41" t="s">
        <v>94</v>
      </c>
      <c r="H8" s="41" t="s">
        <v>123</v>
      </c>
      <c r="I8" s="41"/>
      <c r="J8" s="41" t="s">
        <v>124</v>
      </c>
      <c r="K8" s="44"/>
      <c r="L8" s="44"/>
      <c r="M8" s="4"/>
    </row>
    <row r="9" spans="1:13">
      <c r="A9" s="48" t="s">
        <v>125</v>
      </c>
      <c r="B9" s="49"/>
      <c r="C9" s="5">
        <v>14</v>
      </c>
      <c r="D9" s="5">
        <v>14</v>
      </c>
      <c r="E9" s="5">
        <v>18</v>
      </c>
      <c r="F9" s="5">
        <v>8</v>
      </c>
      <c r="G9" s="5">
        <v>8</v>
      </c>
      <c r="H9" s="5">
        <v>8</v>
      </c>
      <c r="I9" s="5"/>
      <c r="J9" s="5">
        <v>8</v>
      </c>
      <c r="K9" s="6">
        <f>SUM(C9:J9)</f>
        <v>78</v>
      </c>
      <c r="L9" s="6"/>
      <c r="M9" s="7"/>
    </row>
    <row r="10" spans="1:13">
      <c r="A10" s="46" t="s">
        <v>126</v>
      </c>
      <c r="B10" s="46"/>
      <c r="C10" s="8" t="s">
        <v>136</v>
      </c>
      <c r="D10" s="8" t="s">
        <v>136</v>
      </c>
      <c r="E10" s="8" t="s">
        <v>136</v>
      </c>
      <c r="F10" s="8" t="s">
        <v>133</v>
      </c>
      <c r="G10" s="8" t="s">
        <v>133</v>
      </c>
      <c r="H10" s="8" t="s">
        <v>133</v>
      </c>
      <c r="I10" s="8"/>
      <c r="J10" s="8"/>
      <c r="K10" s="9"/>
      <c r="L10" s="9"/>
      <c r="M10" s="10"/>
    </row>
    <row r="11" spans="1:13">
      <c r="A11" s="46" t="s">
        <v>137</v>
      </c>
      <c r="B11" s="46"/>
      <c r="C11" s="11">
        <v>3402.4</v>
      </c>
      <c r="D11" s="11">
        <v>3307.5</v>
      </c>
      <c r="E11" s="11">
        <v>22.700000000000003</v>
      </c>
      <c r="F11" s="11">
        <v>2934.2999999999997</v>
      </c>
      <c r="G11" s="11">
        <v>4270.3</v>
      </c>
      <c r="H11" s="11">
        <v>510.7</v>
      </c>
      <c r="I11" s="11">
        <v>0</v>
      </c>
      <c r="J11" s="11">
        <v>0</v>
      </c>
      <c r="K11" s="13">
        <f t="shared" ref="K11:K14" si="0">SUM(C11:J11)</f>
        <v>14447.900000000001</v>
      </c>
      <c r="L11" s="13">
        <f t="shared" ref="L11:L42" si="1">AVERAGE(C11:I11)</f>
        <v>2063.9857142857145</v>
      </c>
      <c r="M11" s="10"/>
    </row>
    <row r="12" spans="1:13">
      <c r="A12" s="50" t="s">
        <v>138</v>
      </c>
      <c r="B12" s="51"/>
      <c r="C12" s="14">
        <v>7.5847222222222221</v>
      </c>
      <c r="D12" s="14">
        <v>4.8118055555555559</v>
      </c>
      <c r="E12" s="14">
        <v>0.11319444444444444</v>
      </c>
      <c r="F12" s="14">
        <v>4.1048611111111111</v>
      </c>
      <c r="G12" s="14">
        <v>6.9729166666666664</v>
      </c>
      <c r="H12" s="14">
        <v>0.90277777777777779</v>
      </c>
      <c r="I12" s="14">
        <v>0</v>
      </c>
      <c r="J12" s="14">
        <v>0</v>
      </c>
      <c r="K12" s="16">
        <f t="shared" si="0"/>
        <v>24.490277777777777</v>
      </c>
      <c r="L12" s="16">
        <f t="shared" si="1"/>
        <v>3.4986111111111109</v>
      </c>
      <c r="M12" s="10"/>
    </row>
    <row r="13" spans="1:13">
      <c r="A13" s="46" t="s">
        <v>139</v>
      </c>
      <c r="B13" s="46"/>
      <c r="C13" s="11">
        <v>1690900</v>
      </c>
      <c r="D13" s="11">
        <v>988700</v>
      </c>
      <c r="E13" s="11">
        <v>0</v>
      </c>
      <c r="F13" s="11">
        <v>615300</v>
      </c>
      <c r="G13" s="11">
        <v>973100</v>
      </c>
      <c r="H13" s="11">
        <v>151300</v>
      </c>
      <c r="I13" s="11">
        <v>320333</v>
      </c>
      <c r="J13" s="11">
        <v>0</v>
      </c>
      <c r="K13" s="13">
        <f t="shared" si="0"/>
        <v>4739633</v>
      </c>
      <c r="L13" s="13">
        <f t="shared" si="1"/>
        <v>677090.42857142852</v>
      </c>
      <c r="M13" s="10">
        <f>K13/K13</f>
        <v>1</v>
      </c>
    </row>
    <row r="14" spans="1:13">
      <c r="A14" s="50" t="s">
        <v>140</v>
      </c>
      <c r="B14" s="51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3">
        <f t="shared" si="0"/>
        <v>0</v>
      </c>
      <c r="L14" s="13">
        <f t="shared" si="1"/>
        <v>0</v>
      </c>
      <c r="M14" s="10"/>
    </row>
    <row r="15" spans="1:13">
      <c r="A15" s="46" t="s">
        <v>141</v>
      </c>
      <c r="B15" s="46"/>
      <c r="C15" s="11">
        <f t="shared" ref="C15:I15" si="2">SUM(C13/C11)</f>
        <v>496.97272513519869</v>
      </c>
      <c r="D15" s="11">
        <f t="shared" si="2"/>
        <v>298.92668178382462</v>
      </c>
      <c r="E15" s="11">
        <f t="shared" si="2"/>
        <v>0</v>
      </c>
      <c r="F15" s="11">
        <f t="shared" si="2"/>
        <v>209.69226050506086</v>
      </c>
      <c r="G15" s="11">
        <f t="shared" si="2"/>
        <v>227.87626162096339</v>
      </c>
      <c r="H15" s="11">
        <f t="shared" si="2"/>
        <v>296.26003524574116</v>
      </c>
      <c r="I15" s="11" t="e">
        <f t="shared" si="2"/>
        <v>#DIV/0!</v>
      </c>
      <c r="J15" s="11" t="e">
        <f>SUM(J13/J11)</f>
        <v>#DIV/0!</v>
      </c>
      <c r="K15" s="9">
        <f>SUM(K13/K11)</f>
        <v>328.04995881754439</v>
      </c>
      <c r="L15" s="13" t="e">
        <f t="shared" si="1"/>
        <v>#DIV/0!</v>
      </c>
      <c r="M15" s="10"/>
    </row>
    <row r="16" spans="1:13">
      <c r="A16" s="50" t="s">
        <v>142</v>
      </c>
      <c r="B16" s="51"/>
      <c r="C16" s="17">
        <f t="shared" ref="C16:I16" si="3">C13/(C12*24)</f>
        <v>9288.9580662882254</v>
      </c>
      <c r="D16" s="17">
        <f t="shared" si="3"/>
        <v>8561.4085726656067</v>
      </c>
      <c r="E16" s="17">
        <f t="shared" si="3"/>
        <v>0</v>
      </c>
      <c r="F16" s="17">
        <f t="shared" si="3"/>
        <v>6245.6437151074269</v>
      </c>
      <c r="G16" s="17">
        <f t="shared" si="3"/>
        <v>5814.759486106962</v>
      </c>
      <c r="H16" s="17">
        <f t="shared" si="3"/>
        <v>6983.0769230769229</v>
      </c>
      <c r="I16" s="17" t="e">
        <f t="shared" si="3"/>
        <v>#DIV/0!</v>
      </c>
      <c r="J16" s="17" t="e">
        <f>J13/(J12*24)</f>
        <v>#DIV/0!</v>
      </c>
      <c r="K16" s="19" t="e">
        <f t="shared" ref="K16:K28" si="4">SUM(C16:J16)</f>
        <v>#DIV/0!</v>
      </c>
      <c r="L16" s="19" t="e">
        <f t="shared" si="1"/>
        <v>#DIV/0!</v>
      </c>
      <c r="M16" s="10"/>
    </row>
    <row r="17" spans="1:13">
      <c r="A17" s="47" t="s">
        <v>143</v>
      </c>
      <c r="B17" s="8" t="s">
        <v>144</v>
      </c>
      <c r="C17" s="11">
        <v>0</v>
      </c>
      <c r="D17" s="11">
        <v>0</v>
      </c>
      <c r="E17" s="11">
        <v>82900</v>
      </c>
      <c r="F17" s="11">
        <v>0</v>
      </c>
      <c r="G17" s="11">
        <v>0</v>
      </c>
      <c r="H17" s="11">
        <v>48750</v>
      </c>
      <c r="I17" s="11">
        <v>0</v>
      </c>
      <c r="J17" s="11">
        <v>271700</v>
      </c>
      <c r="K17" s="13">
        <f t="shared" si="4"/>
        <v>403350</v>
      </c>
      <c r="L17" s="13">
        <f t="shared" si="1"/>
        <v>18807.142857142859</v>
      </c>
      <c r="M17" s="10">
        <f>K17/K13</f>
        <v>8.5101525793241803E-2</v>
      </c>
    </row>
    <row r="18" spans="1:13">
      <c r="A18" s="47"/>
      <c r="B18" s="8" t="s">
        <v>145</v>
      </c>
      <c r="C18" s="11">
        <v>6950</v>
      </c>
      <c r="D18" s="11">
        <v>7075</v>
      </c>
      <c r="E18" s="11">
        <v>6950</v>
      </c>
      <c r="F18" s="11">
        <v>4025</v>
      </c>
      <c r="G18" s="11">
        <v>4825</v>
      </c>
      <c r="H18" s="11">
        <v>2410</v>
      </c>
      <c r="I18" s="11">
        <v>0</v>
      </c>
      <c r="J18" s="11">
        <v>0</v>
      </c>
      <c r="K18" s="13">
        <f t="shared" si="4"/>
        <v>32235</v>
      </c>
      <c r="L18" s="13">
        <f t="shared" si="1"/>
        <v>4605</v>
      </c>
      <c r="M18" s="10">
        <f>K18/K13</f>
        <v>6.8011594990582602E-3</v>
      </c>
    </row>
    <row r="19" spans="1:13">
      <c r="A19" s="47"/>
      <c r="B19" s="8" t="s">
        <v>146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3">
        <f t="shared" si="4"/>
        <v>0</v>
      </c>
      <c r="L19" s="13">
        <f t="shared" si="1"/>
        <v>0</v>
      </c>
      <c r="M19" s="10">
        <f>K19/K13</f>
        <v>0</v>
      </c>
    </row>
    <row r="20" spans="1:13">
      <c r="A20" s="47"/>
      <c r="B20" s="8" t="s">
        <v>147</v>
      </c>
      <c r="C20" s="11">
        <v>8333</v>
      </c>
      <c r="D20" s="11">
        <v>9333</v>
      </c>
      <c r="E20" s="11">
        <v>8333</v>
      </c>
      <c r="F20" s="11">
        <v>4583</v>
      </c>
      <c r="G20" s="11">
        <v>4950</v>
      </c>
      <c r="H20" s="11">
        <v>4766</v>
      </c>
      <c r="I20" s="11">
        <v>0</v>
      </c>
      <c r="J20" s="11">
        <v>4587</v>
      </c>
      <c r="K20" s="13">
        <f t="shared" si="4"/>
        <v>44885</v>
      </c>
      <c r="L20" s="13">
        <f t="shared" si="1"/>
        <v>5756.8571428571431</v>
      </c>
      <c r="M20" s="10">
        <f>K20/K13</f>
        <v>9.4701425194735536E-3</v>
      </c>
    </row>
    <row r="21" spans="1:13">
      <c r="A21" s="47"/>
      <c r="B21" s="8" t="s">
        <v>148</v>
      </c>
      <c r="C21" s="11">
        <v>49528</v>
      </c>
      <c r="D21" s="11">
        <v>37504</v>
      </c>
      <c r="E21" s="11">
        <v>41937</v>
      </c>
      <c r="F21" s="11">
        <v>27800</v>
      </c>
      <c r="G21" s="11">
        <v>35758</v>
      </c>
      <c r="H21" s="11">
        <v>34656</v>
      </c>
      <c r="I21" s="11">
        <v>0</v>
      </c>
      <c r="J21" s="11">
        <v>33519</v>
      </c>
      <c r="K21" s="13">
        <f t="shared" si="4"/>
        <v>260702</v>
      </c>
      <c r="L21" s="13">
        <f t="shared" si="1"/>
        <v>32454.714285714286</v>
      </c>
      <c r="M21" s="10">
        <f>K21/K13</f>
        <v>5.5004680742158731E-2</v>
      </c>
    </row>
    <row r="22" spans="1:13">
      <c r="A22" s="47"/>
      <c r="B22" s="20" t="s">
        <v>149</v>
      </c>
      <c r="C22" s="21">
        <f t="shared" ref="C22:I22" si="5">SUM(C17:C21)</f>
        <v>64811</v>
      </c>
      <c r="D22" s="21">
        <f t="shared" si="5"/>
        <v>53912</v>
      </c>
      <c r="E22" s="21">
        <f t="shared" si="5"/>
        <v>140120</v>
      </c>
      <c r="F22" s="21">
        <f t="shared" si="5"/>
        <v>36408</v>
      </c>
      <c r="G22" s="21">
        <f t="shared" si="5"/>
        <v>45533</v>
      </c>
      <c r="H22" s="21">
        <f t="shared" si="5"/>
        <v>90582</v>
      </c>
      <c r="I22" s="21">
        <f t="shared" si="5"/>
        <v>0</v>
      </c>
      <c r="J22" s="21">
        <f>SUM(J17:J21)</f>
        <v>309806</v>
      </c>
      <c r="K22" s="23">
        <f t="shared" si="4"/>
        <v>741172</v>
      </c>
      <c r="L22" s="23">
        <f t="shared" si="1"/>
        <v>61623.714285714283</v>
      </c>
      <c r="M22" s="24">
        <f>K22/K13</f>
        <v>0.15637750855393234</v>
      </c>
    </row>
    <row r="23" spans="1:13">
      <c r="A23" s="47" t="s">
        <v>150</v>
      </c>
      <c r="B23" s="8" t="s">
        <v>151</v>
      </c>
      <c r="C23" s="11">
        <v>249540</v>
      </c>
      <c r="D23" s="11">
        <v>0</v>
      </c>
      <c r="E23" s="11">
        <v>42000</v>
      </c>
      <c r="F23" s="11">
        <v>43954</v>
      </c>
      <c r="G23" s="11">
        <v>0</v>
      </c>
      <c r="H23" s="11">
        <v>45150</v>
      </c>
      <c r="I23" s="11">
        <v>0</v>
      </c>
      <c r="J23" s="11">
        <v>0</v>
      </c>
      <c r="K23" s="13">
        <f t="shared" si="4"/>
        <v>380644</v>
      </c>
      <c r="L23" s="13">
        <f t="shared" si="1"/>
        <v>54377.714285714283</v>
      </c>
      <c r="M23" s="10">
        <f>K23/K13</f>
        <v>8.0310859511696364E-2</v>
      </c>
    </row>
    <row r="24" spans="1:13">
      <c r="A24" s="47"/>
      <c r="B24" s="8" t="s">
        <v>152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3">
        <f t="shared" si="4"/>
        <v>0</v>
      </c>
      <c r="L24" s="13">
        <f t="shared" si="1"/>
        <v>0</v>
      </c>
      <c r="M24" s="10">
        <f>K24/K13</f>
        <v>0</v>
      </c>
    </row>
    <row r="25" spans="1:13">
      <c r="A25" s="47"/>
      <c r="B25" s="8" t="s">
        <v>153</v>
      </c>
      <c r="C25" s="11">
        <f t="shared" ref="C25:I25" si="6">30000*C9/70000*C11</f>
        <v>20414.400000000001</v>
      </c>
      <c r="D25" s="11">
        <f t="shared" si="6"/>
        <v>19845</v>
      </c>
      <c r="E25" s="11">
        <f t="shared" si="6"/>
        <v>175.11428571428573</v>
      </c>
      <c r="F25" s="11">
        <f t="shared" si="6"/>
        <v>10060.457142857142</v>
      </c>
      <c r="G25" s="11">
        <f t="shared" si="6"/>
        <v>14641.028571428571</v>
      </c>
      <c r="H25" s="11">
        <f t="shared" si="6"/>
        <v>1750.9714285714285</v>
      </c>
      <c r="I25" s="11">
        <f t="shared" si="6"/>
        <v>0</v>
      </c>
      <c r="J25" s="11">
        <f>30000*J9/70000*J11</f>
        <v>0</v>
      </c>
      <c r="K25" s="13">
        <f t="shared" si="4"/>
        <v>66886.971428571429</v>
      </c>
      <c r="L25" s="13">
        <f t="shared" si="1"/>
        <v>9555.281632653061</v>
      </c>
      <c r="M25" s="10">
        <f>K25/K13</f>
        <v>1.4112268065601584E-2</v>
      </c>
    </row>
    <row r="26" spans="1:13">
      <c r="A26" s="47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3">
        <f t="shared" si="4"/>
        <v>0</v>
      </c>
      <c r="L26" s="13">
        <f t="shared" si="1"/>
        <v>0</v>
      </c>
      <c r="M26" s="10">
        <f>K26/K13</f>
        <v>0</v>
      </c>
    </row>
    <row r="27" spans="1:13">
      <c r="A27" s="47"/>
      <c r="B27" s="20" t="s">
        <v>154</v>
      </c>
      <c r="C27" s="21">
        <f t="shared" ref="C27:I27" si="7">SUM(C23:C26)</f>
        <v>269954.40000000002</v>
      </c>
      <c r="D27" s="21">
        <f t="shared" si="7"/>
        <v>19845</v>
      </c>
      <c r="E27" s="21">
        <f t="shared" si="7"/>
        <v>42175.114285714284</v>
      </c>
      <c r="F27" s="21">
        <f t="shared" si="7"/>
        <v>54014.457142857143</v>
      </c>
      <c r="G27" s="21">
        <f t="shared" si="7"/>
        <v>14641.028571428571</v>
      </c>
      <c r="H27" s="21">
        <f t="shared" si="7"/>
        <v>46900.971428571429</v>
      </c>
      <c r="I27" s="21">
        <f t="shared" si="7"/>
        <v>0</v>
      </c>
      <c r="J27" s="21">
        <f>SUM(J23:J26)</f>
        <v>0</v>
      </c>
      <c r="K27" s="23">
        <f t="shared" si="4"/>
        <v>447530.97142857144</v>
      </c>
      <c r="L27" s="23">
        <f t="shared" si="1"/>
        <v>63932.995918367349</v>
      </c>
      <c r="M27" s="24">
        <f>K27/K13</f>
        <v>9.4423127577297955E-2</v>
      </c>
    </row>
    <row r="28" spans="1:13">
      <c r="A28" s="47" t="s">
        <v>155</v>
      </c>
      <c r="B28" s="5" t="s">
        <v>156</v>
      </c>
      <c r="C28" s="25">
        <v>1271</v>
      </c>
      <c r="D28" s="25">
        <v>1384</v>
      </c>
      <c r="E28" s="25">
        <v>309</v>
      </c>
      <c r="F28" s="25">
        <v>856</v>
      </c>
      <c r="G28" s="25">
        <v>1037</v>
      </c>
      <c r="H28" s="25">
        <v>217</v>
      </c>
      <c r="I28" s="25">
        <v>0</v>
      </c>
      <c r="J28" s="25">
        <v>0</v>
      </c>
      <c r="K28" s="27">
        <f t="shared" si="4"/>
        <v>5074</v>
      </c>
      <c r="L28" s="27">
        <f t="shared" si="1"/>
        <v>724.85714285714289</v>
      </c>
      <c r="M28" s="7">
        <f>K28/K13</f>
        <v>1.0705470233665772E-3</v>
      </c>
    </row>
    <row r="29" spans="1:13">
      <c r="A29" s="47"/>
      <c r="B29" s="28" t="s">
        <v>157</v>
      </c>
      <c r="C29" s="29">
        <f t="shared" ref="C29:K29" si="8">SUM(C11/C28)</f>
        <v>2.6769472856018885</v>
      </c>
      <c r="D29" s="29">
        <f t="shared" si="8"/>
        <v>2.3898121387283235</v>
      </c>
      <c r="E29" s="29">
        <f t="shared" si="8"/>
        <v>7.3462783171521051E-2</v>
      </c>
      <c r="F29" s="29">
        <f t="shared" si="8"/>
        <v>3.4279205607476633</v>
      </c>
      <c r="G29" s="29">
        <f t="shared" si="8"/>
        <v>4.1179363548698174</v>
      </c>
      <c r="H29" s="29">
        <f t="shared" si="8"/>
        <v>2.3534562211981567</v>
      </c>
      <c r="I29" s="29" t="e">
        <f t="shared" si="8"/>
        <v>#DIV/0!</v>
      </c>
      <c r="J29" s="29" t="e">
        <f>SUM(J11/J28)</f>
        <v>#DIV/0!</v>
      </c>
      <c r="K29" s="31">
        <f t="shared" si="8"/>
        <v>2.8474379188017345</v>
      </c>
      <c r="L29" s="31" t="e">
        <f t="shared" si="1"/>
        <v>#DIV/0!</v>
      </c>
      <c r="M29" s="28">
        <f>K29/K13</f>
        <v>6.0077181478011784E-7</v>
      </c>
    </row>
    <row r="30" spans="1:13">
      <c r="A30" s="47"/>
      <c r="B30" s="8" t="s">
        <v>158</v>
      </c>
      <c r="C30" s="11">
        <v>164847</v>
      </c>
      <c r="D30" s="11">
        <v>179270</v>
      </c>
      <c r="E30" s="11">
        <v>40077</v>
      </c>
      <c r="F30" s="11">
        <v>111357</v>
      </c>
      <c r="G30" s="11">
        <v>134298</v>
      </c>
      <c r="H30" s="11">
        <v>28144</v>
      </c>
      <c r="I30" s="11">
        <v>0</v>
      </c>
      <c r="J30" s="11">
        <v>0</v>
      </c>
      <c r="K30" s="13">
        <f t="shared" ref="K30:K60" si="9">SUM(C30:J30)</f>
        <v>657993</v>
      </c>
      <c r="L30" s="13">
        <f t="shared" si="1"/>
        <v>93999</v>
      </c>
      <c r="M30" s="10">
        <f>K30/K13</f>
        <v>0.1388278375140016</v>
      </c>
    </row>
    <row r="31" spans="1:13">
      <c r="A31" s="47"/>
      <c r="B31" s="8" t="s">
        <v>159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3">
        <f t="shared" si="9"/>
        <v>0</v>
      </c>
      <c r="L31" s="13">
        <f t="shared" si="1"/>
        <v>0</v>
      </c>
      <c r="M31" s="10">
        <f>K31/K13</f>
        <v>0</v>
      </c>
    </row>
    <row r="32" spans="1:13">
      <c r="A32" s="47"/>
      <c r="B32" s="8" t="s">
        <v>160</v>
      </c>
      <c r="C32" s="11">
        <v>3285</v>
      </c>
      <c r="D32" s="11">
        <v>6490</v>
      </c>
      <c r="E32" s="11">
        <v>1693</v>
      </c>
      <c r="F32" s="11">
        <v>2157</v>
      </c>
      <c r="G32" s="11">
        <v>2525</v>
      </c>
      <c r="H32" s="11">
        <v>2132</v>
      </c>
      <c r="I32" s="11">
        <v>0</v>
      </c>
      <c r="J32" s="11">
        <v>0</v>
      </c>
      <c r="K32" s="13">
        <f t="shared" si="9"/>
        <v>18282</v>
      </c>
      <c r="L32" s="13">
        <f t="shared" si="1"/>
        <v>2611.7142857142858</v>
      </c>
      <c r="M32" s="10">
        <f>K32/K13</f>
        <v>3.85726067820019E-3</v>
      </c>
    </row>
    <row r="33" spans="1:13">
      <c r="A33" s="47"/>
      <c r="B33" s="20" t="s">
        <v>161</v>
      </c>
      <c r="C33" s="21">
        <f t="shared" ref="C33:I33" si="10">SUM(C30:C32)</f>
        <v>168132</v>
      </c>
      <c r="D33" s="21">
        <f t="shared" si="10"/>
        <v>185760</v>
      </c>
      <c r="E33" s="21">
        <f t="shared" si="10"/>
        <v>41770</v>
      </c>
      <c r="F33" s="21">
        <f t="shared" si="10"/>
        <v>113514</v>
      </c>
      <c r="G33" s="21">
        <f t="shared" si="10"/>
        <v>136823</v>
      </c>
      <c r="H33" s="21">
        <f t="shared" si="10"/>
        <v>30276</v>
      </c>
      <c r="I33" s="21">
        <f t="shared" si="10"/>
        <v>0</v>
      </c>
      <c r="J33" s="21">
        <f>SUM(J30:J32)</f>
        <v>0</v>
      </c>
      <c r="K33" s="23">
        <f t="shared" si="9"/>
        <v>676275</v>
      </c>
      <c r="L33" s="23">
        <f t="shared" si="1"/>
        <v>96610.71428571429</v>
      </c>
      <c r="M33" s="24">
        <f>K33/K13</f>
        <v>0.14268509819220179</v>
      </c>
    </row>
    <row r="34" spans="1:13">
      <c r="A34" s="47" t="s">
        <v>162</v>
      </c>
      <c r="B34" s="8" t="s">
        <v>163</v>
      </c>
      <c r="C34" s="11">
        <v>2451</v>
      </c>
      <c r="D34" s="11">
        <v>2451</v>
      </c>
      <c r="E34" s="11">
        <v>2451</v>
      </c>
      <c r="F34" s="11">
        <v>2008</v>
      </c>
      <c r="G34" s="11">
        <v>2008</v>
      </c>
      <c r="H34" s="11">
        <v>2008</v>
      </c>
      <c r="I34" s="11">
        <v>0</v>
      </c>
      <c r="J34" s="11">
        <v>2008</v>
      </c>
      <c r="K34" s="13">
        <f t="shared" si="9"/>
        <v>15385</v>
      </c>
      <c r="L34" s="13">
        <f t="shared" si="1"/>
        <v>1911</v>
      </c>
      <c r="M34" s="10">
        <f>K34/K13</f>
        <v>3.2460319185050827E-3</v>
      </c>
    </row>
    <row r="35" spans="1:13">
      <c r="A35" s="47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3">
        <f t="shared" si="9"/>
        <v>0</v>
      </c>
      <c r="L35" s="13">
        <f t="shared" si="1"/>
        <v>0</v>
      </c>
      <c r="M35" s="10">
        <f>K35/K13</f>
        <v>0</v>
      </c>
    </row>
    <row r="36" spans="1:13">
      <c r="A36" s="47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3">
        <f t="shared" si="9"/>
        <v>0</v>
      </c>
      <c r="L36" s="13">
        <f t="shared" si="1"/>
        <v>0</v>
      </c>
      <c r="M36" s="10">
        <f>K36/K13</f>
        <v>0</v>
      </c>
    </row>
    <row r="37" spans="1:13">
      <c r="A37" s="47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3">
        <f t="shared" si="9"/>
        <v>0</v>
      </c>
      <c r="L37" s="13">
        <f t="shared" si="1"/>
        <v>0</v>
      </c>
      <c r="M37" s="10">
        <f>K37/K13</f>
        <v>0</v>
      </c>
    </row>
    <row r="38" spans="1:13">
      <c r="A38" s="47"/>
      <c r="B38" s="8" t="s">
        <v>164</v>
      </c>
      <c r="C38" s="11">
        <v>10690</v>
      </c>
      <c r="D38" s="11">
        <v>10690</v>
      </c>
      <c r="E38" s="11">
        <v>10690</v>
      </c>
      <c r="F38" s="11">
        <v>5366</v>
      </c>
      <c r="G38" s="11">
        <v>5366</v>
      </c>
      <c r="H38" s="11">
        <v>7978</v>
      </c>
      <c r="I38" s="11">
        <v>0</v>
      </c>
      <c r="J38" s="11">
        <v>9667</v>
      </c>
      <c r="K38" s="13">
        <f t="shared" si="9"/>
        <v>60447</v>
      </c>
      <c r="L38" s="13">
        <f t="shared" si="1"/>
        <v>7254.2857142857147</v>
      </c>
      <c r="M38" s="10">
        <f>K38/K13</f>
        <v>1.2753519101584447E-2</v>
      </c>
    </row>
    <row r="39" spans="1:13">
      <c r="A39" s="47"/>
      <c r="B39" s="20" t="s">
        <v>165</v>
      </c>
      <c r="C39" s="21">
        <f t="shared" ref="C39:I39" si="11">SUM(C34:C38)</f>
        <v>13141</v>
      </c>
      <c r="D39" s="21">
        <f t="shared" si="11"/>
        <v>13141</v>
      </c>
      <c r="E39" s="21">
        <f t="shared" si="11"/>
        <v>13141</v>
      </c>
      <c r="F39" s="21">
        <f t="shared" si="11"/>
        <v>7374</v>
      </c>
      <c r="G39" s="21">
        <f t="shared" si="11"/>
        <v>7374</v>
      </c>
      <c r="H39" s="21">
        <f t="shared" si="11"/>
        <v>9986</v>
      </c>
      <c r="I39" s="21">
        <f t="shared" si="11"/>
        <v>0</v>
      </c>
      <c r="J39" s="21">
        <f>SUM(J34:J38)</f>
        <v>11675</v>
      </c>
      <c r="K39" s="23">
        <f t="shared" si="9"/>
        <v>75832</v>
      </c>
      <c r="L39" s="23">
        <f t="shared" si="1"/>
        <v>9165.2857142857138</v>
      </c>
      <c r="M39" s="24">
        <f>K39/K13</f>
        <v>1.5999551020089531E-2</v>
      </c>
    </row>
    <row r="40" spans="1:13">
      <c r="A40" s="47" t="s">
        <v>166</v>
      </c>
      <c r="B40" s="8" t="s">
        <v>167</v>
      </c>
      <c r="C40" s="11">
        <v>91550</v>
      </c>
      <c r="D40" s="11">
        <v>172180</v>
      </c>
      <c r="E40" s="11">
        <v>0</v>
      </c>
      <c r="F40" s="11">
        <v>109680</v>
      </c>
      <c r="G40" s="11">
        <v>163730</v>
      </c>
      <c r="H40" s="11">
        <v>21200</v>
      </c>
      <c r="I40" s="11">
        <v>0</v>
      </c>
      <c r="J40" s="11">
        <v>0</v>
      </c>
      <c r="K40" s="13">
        <f t="shared" si="9"/>
        <v>558340</v>
      </c>
      <c r="L40" s="13">
        <f t="shared" si="1"/>
        <v>79762.857142857145</v>
      </c>
      <c r="M40" s="10">
        <f>K40/K13</f>
        <v>0.11780236993033005</v>
      </c>
    </row>
    <row r="41" spans="1:13">
      <c r="A41" s="47"/>
      <c r="B41" s="8" t="s">
        <v>168</v>
      </c>
      <c r="C41" s="11">
        <v>-75332</v>
      </c>
      <c r="D41" s="11">
        <v>-112471</v>
      </c>
      <c r="E41" s="11">
        <v>0</v>
      </c>
      <c r="F41" s="11">
        <v>-61853</v>
      </c>
      <c r="G41" s="11">
        <v>-84757</v>
      </c>
      <c r="H41" s="11">
        <v>-13073</v>
      </c>
      <c r="I41" s="11">
        <v>0</v>
      </c>
      <c r="J41" s="11">
        <v>0</v>
      </c>
      <c r="K41" s="13">
        <f t="shared" si="9"/>
        <v>-347486</v>
      </c>
      <c r="L41" s="13">
        <f t="shared" si="1"/>
        <v>-49640.857142857145</v>
      </c>
      <c r="M41" s="10">
        <f>K41/K13</f>
        <v>-7.3314959196207813E-2</v>
      </c>
    </row>
    <row r="42" spans="1:13">
      <c r="A42" s="47"/>
      <c r="B42" s="8" t="s">
        <v>169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3">
        <f t="shared" si="9"/>
        <v>0</v>
      </c>
      <c r="L42" s="13">
        <f t="shared" si="1"/>
        <v>0</v>
      </c>
      <c r="M42" s="10">
        <f>K42/K13</f>
        <v>0</v>
      </c>
    </row>
    <row r="43" spans="1:13">
      <c r="A43" s="47"/>
      <c r="B43" s="8" t="s">
        <v>170</v>
      </c>
      <c r="C43" s="11">
        <v>-29296</v>
      </c>
      <c r="D43" s="11">
        <v>-55097.599999999999</v>
      </c>
      <c r="E43" s="11">
        <v>0</v>
      </c>
      <c r="F43" s="11">
        <v>-35097.599999999999</v>
      </c>
      <c r="G43" s="11">
        <v>-52393.599999999999</v>
      </c>
      <c r="H43" s="11">
        <v>-6784</v>
      </c>
      <c r="I43" s="11">
        <v>0</v>
      </c>
      <c r="J43" s="11">
        <v>0</v>
      </c>
      <c r="K43" s="13">
        <f t="shared" si="9"/>
        <v>-178668.80000000002</v>
      </c>
      <c r="L43" s="13">
        <f>AVERAGE(B43:I43)</f>
        <v>-25524.114285714288</v>
      </c>
      <c r="M43" s="10">
        <f>K43/K13</f>
        <v>-3.7696758377705621E-2</v>
      </c>
    </row>
    <row r="44" spans="1:13">
      <c r="A44" s="47"/>
      <c r="B44" s="20" t="s">
        <v>171</v>
      </c>
      <c r="C44" s="21">
        <f t="shared" ref="C44:I44" si="12">SUM(C40:C43)</f>
        <v>-13078</v>
      </c>
      <c r="D44" s="21">
        <f t="shared" si="12"/>
        <v>4611.4000000000015</v>
      </c>
      <c r="E44" s="21">
        <f t="shared" si="12"/>
        <v>0</v>
      </c>
      <c r="F44" s="21">
        <f t="shared" si="12"/>
        <v>12729.400000000001</v>
      </c>
      <c r="G44" s="21">
        <f t="shared" si="12"/>
        <v>26579.4</v>
      </c>
      <c r="H44" s="21">
        <f t="shared" si="12"/>
        <v>1343</v>
      </c>
      <c r="I44" s="21">
        <f t="shared" si="12"/>
        <v>0</v>
      </c>
      <c r="J44" s="21">
        <f>SUM(J40:J43)</f>
        <v>0</v>
      </c>
      <c r="K44" s="23">
        <f t="shared" si="9"/>
        <v>32185.200000000004</v>
      </c>
      <c r="L44" s="23">
        <f>AVERAGE(B44:I44)</f>
        <v>4597.885714285715</v>
      </c>
      <c r="M44" s="24">
        <f>K44/K13</f>
        <v>6.7906523564166266E-3</v>
      </c>
    </row>
    <row r="45" spans="1:13">
      <c r="A45" s="47" t="s">
        <v>172</v>
      </c>
      <c r="B45" s="8" t="s">
        <v>173</v>
      </c>
      <c r="C45" s="11">
        <v>349219</v>
      </c>
      <c r="D45" s="11">
        <v>183800</v>
      </c>
      <c r="E45" s="11">
        <v>0</v>
      </c>
      <c r="F45" s="11">
        <v>202179</v>
      </c>
      <c r="G45" s="11">
        <v>312458</v>
      </c>
      <c r="H45" s="11">
        <v>55140</v>
      </c>
      <c r="I45" s="11">
        <v>0</v>
      </c>
      <c r="J45" s="11">
        <v>0</v>
      </c>
      <c r="K45" s="13">
        <f t="shared" si="9"/>
        <v>1102796</v>
      </c>
      <c r="L45" s="13">
        <f t="shared" ref="L45:L60" si="13">AVERAGE(C45:I45)</f>
        <v>157542.28571428571</v>
      </c>
      <c r="M45" s="10">
        <f>K45/K13</f>
        <v>0.23267539912900428</v>
      </c>
    </row>
    <row r="46" spans="1:13">
      <c r="A46" s="47"/>
      <c r="B46" s="8" t="s">
        <v>174</v>
      </c>
      <c r="C46" s="11">
        <v>13828</v>
      </c>
      <c r="D46" s="11">
        <v>7278</v>
      </c>
      <c r="E46" s="11">
        <v>0</v>
      </c>
      <c r="F46" s="11">
        <v>8006</v>
      </c>
      <c r="G46" s="11">
        <v>12372</v>
      </c>
      <c r="H46" s="11">
        <v>2183</v>
      </c>
      <c r="I46" s="11">
        <v>0</v>
      </c>
      <c r="J46" s="11">
        <v>0</v>
      </c>
      <c r="K46" s="13">
        <f t="shared" si="9"/>
        <v>43667</v>
      </c>
      <c r="L46" s="13">
        <f t="shared" si="13"/>
        <v>6238.1428571428569</v>
      </c>
      <c r="M46" s="10">
        <f>K46/K13</f>
        <v>9.2131605970335682E-3</v>
      </c>
    </row>
    <row r="47" spans="1:13">
      <c r="A47" s="47"/>
      <c r="B47" s="8" t="s">
        <v>175</v>
      </c>
      <c r="C47" s="11">
        <v>59749</v>
      </c>
      <c r="D47" s="11">
        <v>31446</v>
      </c>
      <c r="E47" s="11">
        <v>0</v>
      </c>
      <c r="F47" s="11">
        <v>34592</v>
      </c>
      <c r="G47" s="11">
        <v>53460</v>
      </c>
      <c r="H47" s="11">
        <v>9434</v>
      </c>
      <c r="I47" s="11">
        <v>0</v>
      </c>
      <c r="J47" s="11">
        <v>0</v>
      </c>
      <c r="K47" s="13">
        <f t="shared" si="9"/>
        <v>188681</v>
      </c>
      <c r="L47" s="13">
        <f t="shared" si="13"/>
        <v>26954.428571428572</v>
      </c>
      <c r="M47" s="10">
        <f>K47/K13</f>
        <v>3.980920041699431E-2</v>
      </c>
    </row>
    <row r="48" spans="1:13">
      <c r="A48" s="47"/>
      <c r="B48" s="8" t="s">
        <v>176</v>
      </c>
      <c r="C48" s="11">
        <v>1900</v>
      </c>
      <c r="D48" s="11">
        <v>1000</v>
      </c>
      <c r="E48" s="11">
        <v>0</v>
      </c>
      <c r="F48" s="11">
        <v>1100</v>
      </c>
      <c r="G48" s="11">
        <v>1700</v>
      </c>
      <c r="H48" s="11">
        <v>300</v>
      </c>
      <c r="I48" s="11">
        <v>0</v>
      </c>
      <c r="J48" s="11">
        <v>0</v>
      </c>
      <c r="K48" s="13">
        <f t="shared" si="9"/>
        <v>6000</v>
      </c>
      <c r="L48" s="13">
        <f t="shared" si="13"/>
        <v>857.14285714285711</v>
      </c>
      <c r="M48" s="10">
        <f>K48/K13</f>
        <v>1.2659208001969773E-3</v>
      </c>
    </row>
    <row r="49" spans="1:13">
      <c r="A49" s="47"/>
      <c r="B49" s="20" t="s">
        <v>177</v>
      </c>
      <c r="C49" s="21">
        <f t="shared" ref="C49:I49" si="14">SUM(C45:C48)</f>
        <v>424696</v>
      </c>
      <c r="D49" s="21">
        <f t="shared" si="14"/>
        <v>223524</v>
      </c>
      <c r="E49" s="21">
        <f t="shared" si="14"/>
        <v>0</v>
      </c>
      <c r="F49" s="21">
        <f t="shared" si="14"/>
        <v>245877</v>
      </c>
      <c r="G49" s="21">
        <f t="shared" si="14"/>
        <v>379990</v>
      </c>
      <c r="H49" s="21">
        <f t="shared" si="14"/>
        <v>67057</v>
      </c>
      <c r="I49" s="21">
        <f t="shared" si="14"/>
        <v>0</v>
      </c>
      <c r="J49" s="21">
        <f>SUM(J45:J48)</f>
        <v>0</v>
      </c>
      <c r="K49" s="23">
        <f t="shared" si="9"/>
        <v>1341144</v>
      </c>
      <c r="L49" s="23">
        <f t="shared" si="13"/>
        <v>191592</v>
      </c>
      <c r="M49" s="24">
        <f>K49/K13</f>
        <v>0.28296368094322916</v>
      </c>
    </row>
    <row r="50" spans="1:13">
      <c r="A50" s="47" t="s">
        <v>178</v>
      </c>
      <c r="B50" s="8" t="s">
        <v>179</v>
      </c>
      <c r="C50" s="11">
        <v>42428.571428571428</v>
      </c>
      <c r="D50" s="11">
        <v>42428.571428571428</v>
      </c>
      <c r="E50" s="11">
        <v>42428.571428571428</v>
      </c>
      <c r="F50" s="11">
        <v>42428.571428571428</v>
      </c>
      <c r="G50" s="11">
        <v>42428.571428571428</v>
      </c>
      <c r="H50" s="11">
        <v>42428.571428571428</v>
      </c>
      <c r="I50" s="11">
        <v>0</v>
      </c>
      <c r="J50" s="11">
        <v>42428.571428571428</v>
      </c>
      <c r="K50" s="13">
        <f t="shared" si="9"/>
        <v>297000</v>
      </c>
      <c r="L50" s="13">
        <f t="shared" si="13"/>
        <v>36367.34693877551</v>
      </c>
      <c r="M50" s="10">
        <f>K50/K13</f>
        <v>6.2663079609750372E-2</v>
      </c>
    </row>
    <row r="51" spans="1:13">
      <c r="A51" s="47"/>
      <c r="B51" s="8" t="s">
        <v>180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3">
        <f t="shared" si="9"/>
        <v>0</v>
      </c>
      <c r="L51" s="13">
        <f t="shared" si="13"/>
        <v>0</v>
      </c>
      <c r="M51" s="10">
        <f>K51/K13</f>
        <v>0</v>
      </c>
    </row>
    <row r="52" spans="1:13">
      <c r="A52" s="47"/>
      <c r="B52" s="8" t="s">
        <v>181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3">
        <f t="shared" si="9"/>
        <v>0</v>
      </c>
      <c r="L52" s="13">
        <f t="shared" si="13"/>
        <v>0</v>
      </c>
      <c r="M52" s="10">
        <f>K52/K13</f>
        <v>0</v>
      </c>
    </row>
    <row r="53" spans="1:13">
      <c r="A53" s="47"/>
      <c r="B53" s="8" t="s">
        <v>182</v>
      </c>
      <c r="C53" s="11">
        <v>83637.28571428571</v>
      </c>
      <c r="D53" s="11">
        <v>83637.28571428571</v>
      </c>
      <c r="E53" s="11">
        <v>83637.28571428571</v>
      </c>
      <c r="F53" s="11">
        <v>83637.28571428571</v>
      </c>
      <c r="G53" s="11">
        <v>83637.28571428571</v>
      </c>
      <c r="H53" s="11">
        <v>83637.28571428571</v>
      </c>
      <c r="I53" s="11">
        <v>0</v>
      </c>
      <c r="J53" s="11">
        <v>83637.28571428571</v>
      </c>
      <c r="K53" s="13">
        <f t="shared" si="9"/>
        <v>585460.99999999988</v>
      </c>
      <c r="L53" s="13">
        <f t="shared" si="13"/>
        <v>71689.102040816317</v>
      </c>
      <c r="M53" s="10">
        <f>K53/K13</f>
        <v>0.12352454293402039</v>
      </c>
    </row>
    <row r="54" spans="1:13">
      <c r="A54" s="47"/>
      <c r="B54" s="8" t="s">
        <v>183</v>
      </c>
      <c r="C54" s="11">
        <v>36348.857142857145</v>
      </c>
      <c r="D54" s="11">
        <v>36348.857142857145</v>
      </c>
      <c r="E54" s="11">
        <v>36348.857142857145</v>
      </c>
      <c r="F54" s="11">
        <v>36348.857142857145</v>
      </c>
      <c r="G54" s="11">
        <v>36348.857142857145</v>
      </c>
      <c r="H54" s="11">
        <v>36348.857142857145</v>
      </c>
      <c r="I54" s="11">
        <v>0</v>
      </c>
      <c r="J54" s="11">
        <v>36348.857142857145</v>
      </c>
      <c r="K54" s="13">
        <f t="shared" si="9"/>
        <v>254442.00000000006</v>
      </c>
      <c r="L54" s="13">
        <f t="shared" si="13"/>
        <v>31156.163265306128</v>
      </c>
      <c r="M54" s="10">
        <f>K54/K13</f>
        <v>5.3683903373953228E-2</v>
      </c>
    </row>
    <row r="55" spans="1:13">
      <c r="A55" s="47"/>
      <c r="B55" s="20" t="s">
        <v>184</v>
      </c>
      <c r="C55" s="21">
        <f t="shared" ref="C55:I55" si="15">SUM(C50:C54)</f>
        <v>162414.71428571426</v>
      </c>
      <c r="D55" s="21">
        <f t="shared" si="15"/>
        <v>162414.71428571426</v>
      </c>
      <c r="E55" s="21">
        <f t="shared" si="15"/>
        <v>162414.71428571426</v>
      </c>
      <c r="F55" s="21">
        <f t="shared" si="15"/>
        <v>162414.71428571426</v>
      </c>
      <c r="G55" s="21">
        <f t="shared" si="15"/>
        <v>162414.71428571426</v>
      </c>
      <c r="H55" s="21">
        <f t="shared" si="15"/>
        <v>162414.71428571426</v>
      </c>
      <c r="I55" s="21">
        <f t="shared" si="15"/>
        <v>0</v>
      </c>
      <c r="J55" s="21">
        <f>SUM(J50:J54)</f>
        <v>162414.71428571426</v>
      </c>
      <c r="K55" s="23">
        <f t="shared" si="9"/>
        <v>1136903</v>
      </c>
      <c r="L55" s="23">
        <f t="shared" si="13"/>
        <v>139212.61224489796</v>
      </c>
      <c r="M55" s="24">
        <f>K55/K13</f>
        <v>0.23987152591772401</v>
      </c>
    </row>
    <row r="56" spans="1:13">
      <c r="A56" s="46" t="s">
        <v>185</v>
      </c>
      <c r="B56" s="46"/>
      <c r="C56" s="11">
        <f t="shared" ref="C56:I56" si="16">SUM(C49+C22+C27+C33+C39+C44+C55)</f>
        <v>1090071.1142857142</v>
      </c>
      <c r="D56" s="11">
        <f t="shared" si="16"/>
        <v>663208.11428571423</v>
      </c>
      <c r="E56" s="11">
        <f t="shared" si="16"/>
        <v>399620.82857142854</v>
      </c>
      <c r="F56" s="11">
        <f t="shared" si="16"/>
        <v>632331.57142857136</v>
      </c>
      <c r="G56" s="11">
        <f t="shared" si="16"/>
        <v>773355.14285714272</v>
      </c>
      <c r="H56" s="11">
        <f t="shared" si="16"/>
        <v>408559.6857142857</v>
      </c>
      <c r="I56" s="11">
        <f t="shared" si="16"/>
        <v>0</v>
      </c>
      <c r="J56" s="11">
        <f>SUM(J49+J22+J27+J33+J39+J44+J55)</f>
        <v>483895.71428571426</v>
      </c>
      <c r="K56" s="13">
        <f t="shared" si="9"/>
        <v>4451042.1714285715</v>
      </c>
      <c r="L56" s="13">
        <f t="shared" si="13"/>
        <v>566735.20816326526</v>
      </c>
      <c r="M56" s="10">
        <f>K56/K13</f>
        <v>0.9391111445608914</v>
      </c>
    </row>
    <row r="57" spans="1:13">
      <c r="A57" s="46" t="s">
        <v>186</v>
      </c>
      <c r="B57" s="46"/>
      <c r="C57" s="11">
        <f t="shared" ref="C57:I57" si="17">SUM(C13+C14-C56)</f>
        <v>600828.88571428577</v>
      </c>
      <c r="D57" s="11">
        <f t="shared" si="17"/>
        <v>325491.88571428577</v>
      </c>
      <c r="E57" s="11">
        <f t="shared" si="17"/>
        <v>-399620.82857142854</v>
      </c>
      <c r="F57" s="11">
        <f t="shared" si="17"/>
        <v>-17031.571428571362</v>
      </c>
      <c r="G57" s="11">
        <f t="shared" si="17"/>
        <v>199744.85714285728</v>
      </c>
      <c r="H57" s="11">
        <f t="shared" si="17"/>
        <v>-257259.6857142857</v>
      </c>
      <c r="I57" s="11">
        <f t="shared" si="17"/>
        <v>320333</v>
      </c>
      <c r="J57" s="11">
        <f>SUM(J13+J14-J56)</f>
        <v>-483895.71428571426</v>
      </c>
      <c r="K57" s="13">
        <f t="shared" si="9"/>
        <v>288590.82857142895</v>
      </c>
      <c r="L57" s="13">
        <f t="shared" si="13"/>
        <v>110355.22040816331</v>
      </c>
      <c r="M57" s="10">
        <f>K57/K13</f>
        <v>6.0888855439108672E-2</v>
      </c>
    </row>
    <row r="58" spans="1:13">
      <c r="A58" s="46" t="s">
        <v>187</v>
      </c>
      <c r="B58" s="46"/>
      <c r="C58" s="11">
        <v>117386.075</v>
      </c>
      <c r="D58" s="11">
        <v>117386.075</v>
      </c>
      <c r="E58" s="11">
        <v>117386.075</v>
      </c>
      <c r="F58" s="11">
        <v>117386.075</v>
      </c>
      <c r="G58" s="11">
        <v>117386.075</v>
      </c>
      <c r="H58" s="11">
        <v>117386.075</v>
      </c>
      <c r="I58" s="11">
        <v>0</v>
      </c>
      <c r="J58" s="11">
        <v>117386.075</v>
      </c>
      <c r="K58" s="13">
        <f t="shared" si="9"/>
        <v>821702.52499999991</v>
      </c>
      <c r="L58" s="13">
        <f t="shared" si="13"/>
        <v>100616.6357142857</v>
      </c>
      <c r="M58" s="10">
        <f>K58/K13</f>
        <v>0.1733683863286461</v>
      </c>
    </row>
    <row r="59" spans="1:13">
      <c r="A59" s="46" t="s">
        <v>188</v>
      </c>
      <c r="B59" s="46"/>
      <c r="C59" s="11">
        <v>46460</v>
      </c>
      <c r="D59" s="11">
        <v>46460</v>
      </c>
      <c r="E59" s="11">
        <v>46460</v>
      </c>
      <c r="F59" s="11">
        <v>46460</v>
      </c>
      <c r="G59" s="11">
        <v>46460</v>
      </c>
      <c r="H59" s="11">
        <v>46460</v>
      </c>
      <c r="I59" s="11">
        <v>0</v>
      </c>
      <c r="J59" s="11">
        <v>46460</v>
      </c>
      <c r="K59" s="13">
        <f t="shared" si="9"/>
        <v>325220</v>
      </c>
      <c r="L59" s="13">
        <f t="shared" si="13"/>
        <v>39822.857142857145</v>
      </c>
      <c r="M59" s="10">
        <f>K59/K13</f>
        <v>6.861712710667682E-2</v>
      </c>
    </row>
    <row r="60" spans="1:13">
      <c r="A60" s="46" t="s">
        <v>189</v>
      </c>
      <c r="B60" s="46"/>
      <c r="C60" s="11">
        <f t="shared" ref="C60:I60" si="18">SUM(C57-(C58+C59))</f>
        <v>436982.81071428576</v>
      </c>
      <c r="D60" s="11">
        <f t="shared" si="18"/>
        <v>161645.81071428576</v>
      </c>
      <c r="E60" s="11">
        <f t="shared" si="18"/>
        <v>-563466.9035714285</v>
      </c>
      <c r="F60" s="11">
        <f t="shared" si="18"/>
        <v>-180877.64642857137</v>
      </c>
      <c r="G60" s="11">
        <f t="shared" si="18"/>
        <v>35898.782142857264</v>
      </c>
      <c r="H60" s="11">
        <f t="shared" si="18"/>
        <v>-421105.76071428572</v>
      </c>
      <c r="I60" s="11">
        <f t="shared" si="18"/>
        <v>320333</v>
      </c>
      <c r="J60" s="11">
        <f>SUM(J57-(J58+J59))</f>
        <v>-647741.78928571427</v>
      </c>
      <c r="K60" s="13">
        <f t="shared" si="9"/>
        <v>-858331.69642857113</v>
      </c>
      <c r="L60" s="13">
        <f t="shared" si="13"/>
        <v>-30084.272448979551</v>
      </c>
      <c r="M60" s="10">
        <f>K60/K13</f>
        <v>-0.1810966579962143</v>
      </c>
    </row>
    <row r="61" spans="1:13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</row>
    <row r="62" spans="1:13">
      <c r="A62" s="9"/>
      <c r="B62" s="33"/>
      <c r="C62" s="8"/>
      <c r="D62" s="8"/>
      <c r="E62" s="8"/>
      <c r="F62" s="8"/>
      <c r="G62" s="8"/>
      <c r="H62" s="8"/>
      <c r="I62" s="8"/>
      <c r="J62" s="8"/>
    </row>
    <row r="63" spans="1:13">
      <c r="A63" s="9"/>
      <c r="B63" s="35" t="s">
        <v>196</v>
      </c>
      <c r="C63" s="8"/>
      <c r="D63" s="8"/>
      <c r="E63" s="8"/>
      <c r="F63" s="8"/>
      <c r="G63" s="8"/>
      <c r="H63" s="8"/>
      <c r="I63" s="8"/>
      <c r="J63" s="8"/>
    </row>
    <row r="64" spans="1:13">
      <c r="A64" s="9"/>
      <c r="B64" s="36" t="s">
        <v>197</v>
      </c>
      <c r="C64" s="8"/>
      <c r="D64" s="8"/>
      <c r="E64" s="8"/>
      <c r="F64" s="8"/>
      <c r="G64" s="8"/>
      <c r="H64" s="8"/>
      <c r="I64" s="8"/>
      <c r="J64" s="8"/>
    </row>
    <row r="65" spans="1:10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</row>
    <row r="66" spans="1:10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</row>
    <row r="67" spans="1:10">
      <c r="A67" s="8"/>
      <c r="B67" s="33"/>
      <c r="C67" s="8"/>
      <c r="D67" s="8"/>
      <c r="E67" s="8"/>
      <c r="F67" s="8"/>
      <c r="G67" s="8"/>
      <c r="H67" s="8"/>
      <c r="I67" s="8"/>
      <c r="J67" s="8"/>
    </row>
    <row r="68" spans="1:10">
      <c r="A68" s="8"/>
      <c r="B68" s="35" t="s">
        <v>196</v>
      </c>
      <c r="C68" s="8"/>
      <c r="D68" s="8"/>
      <c r="E68" s="8"/>
      <c r="F68" s="8"/>
      <c r="G68" s="8"/>
      <c r="H68" s="8"/>
      <c r="I68" s="8"/>
      <c r="J68" s="8"/>
    </row>
    <row r="69" spans="1:10">
      <c r="A69" s="8"/>
      <c r="B69" s="36" t="s">
        <v>197</v>
      </c>
      <c r="C69" s="8"/>
      <c r="D69" s="8"/>
      <c r="E69" s="8"/>
      <c r="F69" s="8"/>
      <c r="G69" s="8"/>
      <c r="H69" s="8"/>
      <c r="I69" s="8"/>
      <c r="J69" s="8"/>
    </row>
    <row r="70" spans="1:10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</row>
    <row r="71" spans="1:10">
      <c r="A71" s="8"/>
      <c r="B71" s="8" t="s">
        <v>201</v>
      </c>
      <c r="C71" s="8"/>
      <c r="D71" s="8"/>
      <c r="E71" s="8"/>
      <c r="F71" s="8"/>
      <c r="G71" s="8"/>
      <c r="H71" s="8"/>
      <c r="I71" s="8"/>
      <c r="J71" s="8"/>
    </row>
    <row r="72" spans="1:10">
      <c r="A72" s="8"/>
      <c r="B72" s="33"/>
      <c r="C72" s="8"/>
      <c r="D72" s="8"/>
      <c r="E72" s="8"/>
      <c r="F72" s="8"/>
      <c r="G72" s="8"/>
      <c r="H72" s="8"/>
      <c r="I72" s="8"/>
      <c r="J72" s="8"/>
    </row>
    <row r="73" spans="1:10">
      <c r="A73" s="8"/>
      <c r="B73" s="35" t="s">
        <v>196</v>
      </c>
      <c r="C73" s="8"/>
      <c r="D73" s="8"/>
      <c r="E73" s="8"/>
      <c r="F73" s="8"/>
      <c r="G73" s="8"/>
      <c r="H73" s="8"/>
      <c r="I73" s="8"/>
      <c r="J73" s="8"/>
    </row>
    <row r="74" spans="1:10">
      <c r="A74" s="8"/>
      <c r="B74" s="36" t="s">
        <v>197</v>
      </c>
      <c r="C74" s="8"/>
      <c r="D74" s="8"/>
      <c r="E74" s="8"/>
      <c r="F74" s="8"/>
      <c r="G74" s="8"/>
      <c r="H74" s="8"/>
      <c r="I74" s="8"/>
      <c r="J74" s="8"/>
    </row>
    <row r="75" spans="1:10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</row>
    <row r="76" spans="1:10">
      <c r="A76" s="8"/>
      <c r="B76" s="8" t="s">
        <v>205</v>
      </c>
      <c r="C76" s="8"/>
      <c r="D76" s="8"/>
      <c r="E76" s="8"/>
      <c r="F76" s="8"/>
      <c r="G76" s="8"/>
      <c r="H76" s="8"/>
      <c r="I76" s="8"/>
      <c r="J76" s="8"/>
    </row>
    <row r="77" spans="1:10">
      <c r="A77" s="8"/>
      <c r="B77" s="33"/>
      <c r="C77" s="8"/>
      <c r="D77" s="8"/>
      <c r="E77" s="8"/>
      <c r="F77" s="8"/>
      <c r="G77" s="8"/>
      <c r="H77" s="8"/>
      <c r="I77" s="8"/>
      <c r="J77" s="8"/>
    </row>
    <row r="78" spans="1:10">
      <c r="A78" s="8"/>
      <c r="B78" s="35" t="s">
        <v>196</v>
      </c>
      <c r="C78" s="8"/>
      <c r="D78" s="8"/>
      <c r="E78" s="8"/>
      <c r="F78" s="8"/>
      <c r="G78" s="8"/>
      <c r="H78" s="8"/>
      <c r="I78" s="8"/>
      <c r="J78" s="8"/>
    </row>
    <row r="79" spans="1:10">
      <c r="A79" s="8"/>
      <c r="B79" s="36" t="s">
        <v>197</v>
      </c>
      <c r="C79" s="8"/>
      <c r="D79" s="8"/>
      <c r="E79" s="8"/>
      <c r="F79" s="8"/>
      <c r="G79" s="8"/>
      <c r="H79" s="8"/>
      <c r="I79" s="8"/>
      <c r="J79" s="8"/>
    </row>
    <row r="80" spans="1:10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</row>
    <row r="81" spans="1:10">
      <c r="A81" s="8"/>
      <c r="B81" s="8" t="s">
        <v>209</v>
      </c>
      <c r="C81" s="8"/>
      <c r="D81" s="8"/>
      <c r="E81" s="8"/>
      <c r="F81" s="8"/>
      <c r="G81" s="8"/>
      <c r="H81" s="8"/>
      <c r="I81" s="8"/>
      <c r="J81" s="8"/>
    </row>
    <row r="82" spans="1:10">
      <c r="A82" s="8"/>
      <c r="B82" s="33"/>
      <c r="C82" s="8"/>
      <c r="D82" s="8"/>
      <c r="E82" s="8"/>
      <c r="F82" s="8"/>
      <c r="G82" s="8"/>
      <c r="H82" s="8"/>
      <c r="I82" s="8"/>
      <c r="J82" s="8"/>
    </row>
    <row r="83" spans="1:10">
      <c r="A83" s="8"/>
      <c r="B83" s="35" t="s">
        <v>196</v>
      </c>
      <c r="C83" s="8"/>
      <c r="D83" s="8"/>
      <c r="E83" s="8"/>
      <c r="F83" s="8"/>
      <c r="G83" s="8"/>
      <c r="H83" s="8"/>
      <c r="I83" s="8"/>
      <c r="J83" s="8"/>
    </row>
    <row r="84" spans="1:10">
      <c r="A84" s="8"/>
      <c r="B84" s="36" t="s">
        <v>197</v>
      </c>
      <c r="C84" s="8"/>
      <c r="D84" s="8"/>
      <c r="E84" s="8"/>
      <c r="F84" s="8"/>
      <c r="G84" s="8"/>
      <c r="H84" s="8"/>
      <c r="I84" s="8"/>
      <c r="J84" s="8"/>
    </row>
    <row r="85" spans="1:10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</row>
    <row r="86" spans="1:10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>
      <c r="A87" s="8"/>
      <c r="B87" s="33"/>
      <c r="C87" s="8"/>
      <c r="D87" s="8"/>
      <c r="E87" s="8"/>
      <c r="F87" s="8"/>
      <c r="G87" s="8"/>
      <c r="H87" s="8"/>
      <c r="I87" s="8"/>
      <c r="J87" s="8"/>
    </row>
    <row r="88" spans="1:10">
      <c r="A88" s="8"/>
      <c r="B88" s="35" t="s">
        <v>196</v>
      </c>
      <c r="C88" s="8"/>
      <c r="D88" s="8"/>
      <c r="E88" s="8"/>
      <c r="F88" s="8"/>
      <c r="G88" s="8"/>
      <c r="H88" s="8"/>
      <c r="I88" s="8"/>
      <c r="J88" s="8"/>
    </row>
    <row r="89" spans="1:10">
      <c r="B89" s="36" t="s">
        <v>197</v>
      </c>
    </row>
    <row r="90" spans="1:10">
      <c r="B90" s="36" t="s">
        <v>46</v>
      </c>
    </row>
    <row r="92" spans="1:10">
      <c r="B92" s="33"/>
    </row>
    <row r="93" spans="1:10">
      <c r="B93" s="35" t="s">
        <v>196</v>
      </c>
    </row>
    <row r="94" spans="1:10">
      <c r="B94" s="36" t="s">
        <v>197</v>
      </c>
    </row>
    <row r="95" spans="1:10">
      <c r="B95" s="36" t="s">
        <v>46</v>
      </c>
    </row>
    <row r="97" spans="2:2">
      <c r="B97" s="33"/>
    </row>
    <row r="98" spans="2:2">
      <c r="B98" s="35" t="s">
        <v>196</v>
      </c>
    </row>
    <row r="99" spans="2:2">
      <c r="B99" s="36" t="s">
        <v>197</v>
      </c>
    </row>
    <row r="100" spans="2:2">
      <c r="B100" s="36" t="s">
        <v>46</v>
      </c>
    </row>
    <row r="102" spans="2:2">
      <c r="B102" s="8" t="s">
        <v>222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9AE0D-F925-4692-9CFF-AFB582BF6270}">
  <sheetPr codeName="Sheet5"/>
  <dimension ref="A2:F102"/>
  <sheetViews>
    <sheetView workbookViewId="0">
      <selection activeCell="C60" sqref="C60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" style="1" bestFit="1" customWidth="1"/>
    <col min="4" max="4" width="13.28515625" style="1" bestFit="1" customWidth="1"/>
    <col min="5" max="5" width="10" style="1" bestFit="1" customWidth="1"/>
    <col min="6" max="6" width="11" style="1" bestFit="1" customWidth="1"/>
    <col min="7" max="212" width="9" style="1"/>
    <col min="213" max="213" width="2.85546875" style="1" bestFit="1" customWidth="1"/>
    <col min="214" max="214" width="16.5703125" style="1" bestFit="1" customWidth="1"/>
    <col min="215" max="215" width="11.42578125" style="1" bestFit="1" customWidth="1"/>
    <col min="216" max="217" width="14.140625" style="1" bestFit="1" customWidth="1"/>
    <col min="218" max="218" width="11.42578125" style="1" bestFit="1" customWidth="1"/>
    <col min="219" max="222" width="12.42578125" style="1" bestFit="1" customWidth="1"/>
    <col min="223" max="242" width="13" style="1" bestFit="1" customWidth="1"/>
    <col min="243" max="246" width="11" style="1" bestFit="1" customWidth="1"/>
    <col min="247" max="249" width="12.28515625" style="1" bestFit="1" customWidth="1"/>
    <col min="250" max="259" width="11" style="1" bestFit="1" customWidth="1"/>
    <col min="260" max="260" width="13.28515625" style="1" bestFit="1" customWidth="1"/>
    <col min="261" max="261" width="10" style="1" bestFit="1" customWidth="1"/>
    <col min="262" max="262" width="11" style="1" bestFit="1" customWidth="1"/>
    <col min="263" max="468" width="9" style="1"/>
    <col min="469" max="469" width="2.85546875" style="1" bestFit="1" customWidth="1"/>
    <col min="470" max="470" width="16.5703125" style="1" bestFit="1" customWidth="1"/>
    <col min="471" max="471" width="11.42578125" style="1" bestFit="1" customWidth="1"/>
    <col min="472" max="473" width="14.140625" style="1" bestFit="1" customWidth="1"/>
    <col min="474" max="474" width="11.42578125" style="1" bestFit="1" customWidth="1"/>
    <col min="475" max="478" width="12.42578125" style="1" bestFit="1" customWidth="1"/>
    <col min="479" max="498" width="13" style="1" bestFit="1" customWidth="1"/>
    <col min="499" max="502" width="11" style="1" bestFit="1" customWidth="1"/>
    <col min="503" max="505" width="12.28515625" style="1" bestFit="1" customWidth="1"/>
    <col min="506" max="515" width="11" style="1" bestFit="1" customWidth="1"/>
    <col min="516" max="516" width="13.28515625" style="1" bestFit="1" customWidth="1"/>
    <col min="517" max="517" width="10" style="1" bestFit="1" customWidth="1"/>
    <col min="518" max="518" width="11" style="1" bestFit="1" customWidth="1"/>
    <col min="519" max="724" width="9" style="1"/>
    <col min="725" max="725" width="2.85546875" style="1" bestFit="1" customWidth="1"/>
    <col min="726" max="726" width="16.5703125" style="1" bestFit="1" customWidth="1"/>
    <col min="727" max="727" width="11.42578125" style="1" bestFit="1" customWidth="1"/>
    <col min="728" max="729" width="14.140625" style="1" bestFit="1" customWidth="1"/>
    <col min="730" max="730" width="11.42578125" style="1" bestFit="1" customWidth="1"/>
    <col min="731" max="734" width="12.42578125" style="1" bestFit="1" customWidth="1"/>
    <col min="735" max="754" width="13" style="1" bestFit="1" customWidth="1"/>
    <col min="755" max="758" width="11" style="1" bestFit="1" customWidth="1"/>
    <col min="759" max="761" width="12.28515625" style="1" bestFit="1" customWidth="1"/>
    <col min="762" max="771" width="11" style="1" bestFit="1" customWidth="1"/>
    <col min="772" max="772" width="13.28515625" style="1" bestFit="1" customWidth="1"/>
    <col min="773" max="773" width="10" style="1" bestFit="1" customWidth="1"/>
    <col min="774" max="774" width="11" style="1" bestFit="1" customWidth="1"/>
    <col min="775" max="980" width="9" style="1"/>
    <col min="981" max="981" width="2.85546875" style="1" bestFit="1" customWidth="1"/>
    <col min="982" max="982" width="16.5703125" style="1" bestFit="1" customWidth="1"/>
    <col min="983" max="983" width="11.42578125" style="1" bestFit="1" customWidth="1"/>
    <col min="984" max="985" width="14.140625" style="1" bestFit="1" customWidth="1"/>
    <col min="986" max="986" width="11.42578125" style="1" bestFit="1" customWidth="1"/>
    <col min="987" max="990" width="12.42578125" style="1" bestFit="1" customWidth="1"/>
    <col min="991" max="1010" width="13" style="1" bestFit="1" customWidth="1"/>
    <col min="1011" max="1014" width="11" style="1" bestFit="1" customWidth="1"/>
    <col min="1015" max="1017" width="12.28515625" style="1" bestFit="1" customWidth="1"/>
    <col min="1018" max="1027" width="11" style="1" bestFit="1" customWidth="1"/>
    <col min="1028" max="1028" width="13.28515625" style="1" bestFit="1" customWidth="1"/>
    <col min="1029" max="1029" width="10" style="1" bestFit="1" customWidth="1"/>
    <col min="1030" max="1030" width="11" style="1" bestFit="1" customWidth="1"/>
    <col min="1031" max="1236" width="9" style="1"/>
    <col min="1237" max="1237" width="2.85546875" style="1" bestFit="1" customWidth="1"/>
    <col min="1238" max="1238" width="16.5703125" style="1" bestFit="1" customWidth="1"/>
    <col min="1239" max="1239" width="11.42578125" style="1" bestFit="1" customWidth="1"/>
    <col min="1240" max="1241" width="14.140625" style="1" bestFit="1" customWidth="1"/>
    <col min="1242" max="1242" width="11.42578125" style="1" bestFit="1" customWidth="1"/>
    <col min="1243" max="1246" width="12.42578125" style="1" bestFit="1" customWidth="1"/>
    <col min="1247" max="1266" width="13" style="1" bestFit="1" customWidth="1"/>
    <col min="1267" max="1270" width="11" style="1" bestFit="1" customWidth="1"/>
    <col min="1271" max="1273" width="12.28515625" style="1" bestFit="1" customWidth="1"/>
    <col min="1274" max="1283" width="11" style="1" bestFit="1" customWidth="1"/>
    <col min="1284" max="1284" width="13.28515625" style="1" bestFit="1" customWidth="1"/>
    <col min="1285" max="1285" width="10" style="1" bestFit="1" customWidth="1"/>
    <col min="1286" max="1286" width="11" style="1" bestFit="1" customWidth="1"/>
    <col min="1287" max="1492" width="9" style="1"/>
    <col min="1493" max="1493" width="2.85546875" style="1" bestFit="1" customWidth="1"/>
    <col min="1494" max="1494" width="16.5703125" style="1" bestFit="1" customWidth="1"/>
    <col min="1495" max="1495" width="11.42578125" style="1" bestFit="1" customWidth="1"/>
    <col min="1496" max="1497" width="14.140625" style="1" bestFit="1" customWidth="1"/>
    <col min="1498" max="1498" width="11.42578125" style="1" bestFit="1" customWidth="1"/>
    <col min="1499" max="1502" width="12.42578125" style="1" bestFit="1" customWidth="1"/>
    <col min="1503" max="1522" width="13" style="1" bestFit="1" customWidth="1"/>
    <col min="1523" max="1526" width="11" style="1" bestFit="1" customWidth="1"/>
    <col min="1527" max="1529" width="12.28515625" style="1" bestFit="1" customWidth="1"/>
    <col min="1530" max="1539" width="11" style="1" bestFit="1" customWidth="1"/>
    <col min="1540" max="1540" width="13.28515625" style="1" bestFit="1" customWidth="1"/>
    <col min="1541" max="1541" width="10" style="1" bestFit="1" customWidth="1"/>
    <col min="1542" max="1542" width="11" style="1" bestFit="1" customWidth="1"/>
    <col min="1543" max="1748" width="9" style="1"/>
    <col min="1749" max="1749" width="2.85546875" style="1" bestFit="1" customWidth="1"/>
    <col min="1750" max="1750" width="16.5703125" style="1" bestFit="1" customWidth="1"/>
    <col min="1751" max="1751" width="11.42578125" style="1" bestFit="1" customWidth="1"/>
    <col min="1752" max="1753" width="14.140625" style="1" bestFit="1" customWidth="1"/>
    <col min="1754" max="1754" width="11.42578125" style="1" bestFit="1" customWidth="1"/>
    <col min="1755" max="1758" width="12.42578125" style="1" bestFit="1" customWidth="1"/>
    <col min="1759" max="1778" width="13" style="1" bestFit="1" customWidth="1"/>
    <col min="1779" max="1782" width="11" style="1" bestFit="1" customWidth="1"/>
    <col min="1783" max="1785" width="12.28515625" style="1" bestFit="1" customWidth="1"/>
    <col min="1786" max="1795" width="11" style="1" bestFit="1" customWidth="1"/>
    <col min="1796" max="1796" width="13.28515625" style="1" bestFit="1" customWidth="1"/>
    <col min="1797" max="1797" width="10" style="1" bestFit="1" customWidth="1"/>
    <col min="1798" max="1798" width="11" style="1" bestFit="1" customWidth="1"/>
    <col min="1799" max="2004" width="9" style="1"/>
    <col min="2005" max="2005" width="2.85546875" style="1" bestFit="1" customWidth="1"/>
    <col min="2006" max="2006" width="16.5703125" style="1" bestFit="1" customWidth="1"/>
    <col min="2007" max="2007" width="11.42578125" style="1" bestFit="1" customWidth="1"/>
    <col min="2008" max="2009" width="14.140625" style="1" bestFit="1" customWidth="1"/>
    <col min="2010" max="2010" width="11.42578125" style="1" bestFit="1" customWidth="1"/>
    <col min="2011" max="2014" width="12.42578125" style="1" bestFit="1" customWidth="1"/>
    <col min="2015" max="2034" width="13" style="1" bestFit="1" customWidth="1"/>
    <col min="2035" max="2038" width="11" style="1" bestFit="1" customWidth="1"/>
    <col min="2039" max="2041" width="12.28515625" style="1" bestFit="1" customWidth="1"/>
    <col min="2042" max="2051" width="11" style="1" bestFit="1" customWidth="1"/>
    <col min="2052" max="2052" width="13.28515625" style="1" bestFit="1" customWidth="1"/>
    <col min="2053" max="2053" width="10" style="1" bestFit="1" customWidth="1"/>
    <col min="2054" max="2054" width="11" style="1" bestFit="1" customWidth="1"/>
    <col min="2055" max="2260" width="9" style="1"/>
    <col min="2261" max="2261" width="2.85546875" style="1" bestFit="1" customWidth="1"/>
    <col min="2262" max="2262" width="16.5703125" style="1" bestFit="1" customWidth="1"/>
    <col min="2263" max="2263" width="11.42578125" style="1" bestFit="1" customWidth="1"/>
    <col min="2264" max="2265" width="14.140625" style="1" bestFit="1" customWidth="1"/>
    <col min="2266" max="2266" width="11.42578125" style="1" bestFit="1" customWidth="1"/>
    <col min="2267" max="2270" width="12.42578125" style="1" bestFit="1" customWidth="1"/>
    <col min="2271" max="2290" width="13" style="1" bestFit="1" customWidth="1"/>
    <col min="2291" max="2294" width="11" style="1" bestFit="1" customWidth="1"/>
    <col min="2295" max="2297" width="12.28515625" style="1" bestFit="1" customWidth="1"/>
    <col min="2298" max="2307" width="11" style="1" bestFit="1" customWidth="1"/>
    <col min="2308" max="2308" width="13.28515625" style="1" bestFit="1" customWidth="1"/>
    <col min="2309" max="2309" width="10" style="1" bestFit="1" customWidth="1"/>
    <col min="2310" max="2310" width="11" style="1" bestFit="1" customWidth="1"/>
    <col min="2311" max="2516" width="9" style="1"/>
    <col min="2517" max="2517" width="2.85546875" style="1" bestFit="1" customWidth="1"/>
    <col min="2518" max="2518" width="16.5703125" style="1" bestFit="1" customWidth="1"/>
    <col min="2519" max="2519" width="11.42578125" style="1" bestFit="1" customWidth="1"/>
    <col min="2520" max="2521" width="14.140625" style="1" bestFit="1" customWidth="1"/>
    <col min="2522" max="2522" width="11.42578125" style="1" bestFit="1" customWidth="1"/>
    <col min="2523" max="2526" width="12.42578125" style="1" bestFit="1" customWidth="1"/>
    <col min="2527" max="2546" width="13" style="1" bestFit="1" customWidth="1"/>
    <col min="2547" max="2550" width="11" style="1" bestFit="1" customWidth="1"/>
    <col min="2551" max="2553" width="12.28515625" style="1" bestFit="1" customWidth="1"/>
    <col min="2554" max="2563" width="11" style="1" bestFit="1" customWidth="1"/>
    <col min="2564" max="2564" width="13.28515625" style="1" bestFit="1" customWidth="1"/>
    <col min="2565" max="2565" width="10" style="1" bestFit="1" customWidth="1"/>
    <col min="2566" max="2566" width="11" style="1" bestFit="1" customWidth="1"/>
    <col min="2567" max="2772" width="9" style="1"/>
    <col min="2773" max="2773" width="2.85546875" style="1" bestFit="1" customWidth="1"/>
    <col min="2774" max="2774" width="16.5703125" style="1" bestFit="1" customWidth="1"/>
    <col min="2775" max="2775" width="11.42578125" style="1" bestFit="1" customWidth="1"/>
    <col min="2776" max="2777" width="14.140625" style="1" bestFit="1" customWidth="1"/>
    <col min="2778" max="2778" width="11.42578125" style="1" bestFit="1" customWidth="1"/>
    <col min="2779" max="2782" width="12.42578125" style="1" bestFit="1" customWidth="1"/>
    <col min="2783" max="2802" width="13" style="1" bestFit="1" customWidth="1"/>
    <col min="2803" max="2806" width="11" style="1" bestFit="1" customWidth="1"/>
    <col min="2807" max="2809" width="12.28515625" style="1" bestFit="1" customWidth="1"/>
    <col min="2810" max="2819" width="11" style="1" bestFit="1" customWidth="1"/>
    <col min="2820" max="2820" width="13.28515625" style="1" bestFit="1" customWidth="1"/>
    <col min="2821" max="2821" width="10" style="1" bestFit="1" customWidth="1"/>
    <col min="2822" max="2822" width="11" style="1" bestFit="1" customWidth="1"/>
    <col min="2823" max="3028" width="9" style="1"/>
    <col min="3029" max="3029" width="2.85546875" style="1" bestFit="1" customWidth="1"/>
    <col min="3030" max="3030" width="16.5703125" style="1" bestFit="1" customWidth="1"/>
    <col min="3031" max="3031" width="11.42578125" style="1" bestFit="1" customWidth="1"/>
    <col min="3032" max="3033" width="14.140625" style="1" bestFit="1" customWidth="1"/>
    <col min="3034" max="3034" width="11.42578125" style="1" bestFit="1" customWidth="1"/>
    <col min="3035" max="3038" width="12.42578125" style="1" bestFit="1" customWidth="1"/>
    <col min="3039" max="3058" width="13" style="1" bestFit="1" customWidth="1"/>
    <col min="3059" max="3062" width="11" style="1" bestFit="1" customWidth="1"/>
    <col min="3063" max="3065" width="12.28515625" style="1" bestFit="1" customWidth="1"/>
    <col min="3066" max="3075" width="11" style="1" bestFit="1" customWidth="1"/>
    <col min="3076" max="3076" width="13.28515625" style="1" bestFit="1" customWidth="1"/>
    <col min="3077" max="3077" width="10" style="1" bestFit="1" customWidth="1"/>
    <col min="3078" max="3078" width="11" style="1" bestFit="1" customWidth="1"/>
    <col min="3079" max="3284" width="9" style="1"/>
    <col min="3285" max="3285" width="2.85546875" style="1" bestFit="1" customWidth="1"/>
    <col min="3286" max="3286" width="16.5703125" style="1" bestFit="1" customWidth="1"/>
    <col min="3287" max="3287" width="11.42578125" style="1" bestFit="1" customWidth="1"/>
    <col min="3288" max="3289" width="14.140625" style="1" bestFit="1" customWidth="1"/>
    <col min="3290" max="3290" width="11.42578125" style="1" bestFit="1" customWidth="1"/>
    <col min="3291" max="3294" width="12.42578125" style="1" bestFit="1" customWidth="1"/>
    <col min="3295" max="3314" width="13" style="1" bestFit="1" customWidth="1"/>
    <col min="3315" max="3318" width="11" style="1" bestFit="1" customWidth="1"/>
    <col min="3319" max="3321" width="12.28515625" style="1" bestFit="1" customWidth="1"/>
    <col min="3322" max="3331" width="11" style="1" bestFit="1" customWidth="1"/>
    <col min="3332" max="3332" width="13.28515625" style="1" bestFit="1" customWidth="1"/>
    <col min="3333" max="3333" width="10" style="1" bestFit="1" customWidth="1"/>
    <col min="3334" max="3334" width="11" style="1" bestFit="1" customWidth="1"/>
    <col min="3335" max="3540" width="9" style="1"/>
    <col min="3541" max="3541" width="2.85546875" style="1" bestFit="1" customWidth="1"/>
    <col min="3542" max="3542" width="16.5703125" style="1" bestFit="1" customWidth="1"/>
    <col min="3543" max="3543" width="11.42578125" style="1" bestFit="1" customWidth="1"/>
    <col min="3544" max="3545" width="14.140625" style="1" bestFit="1" customWidth="1"/>
    <col min="3546" max="3546" width="11.42578125" style="1" bestFit="1" customWidth="1"/>
    <col min="3547" max="3550" width="12.42578125" style="1" bestFit="1" customWidth="1"/>
    <col min="3551" max="3570" width="13" style="1" bestFit="1" customWidth="1"/>
    <col min="3571" max="3574" width="11" style="1" bestFit="1" customWidth="1"/>
    <col min="3575" max="3577" width="12.28515625" style="1" bestFit="1" customWidth="1"/>
    <col min="3578" max="3587" width="11" style="1" bestFit="1" customWidth="1"/>
    <col min="3588" max="3588" width="13.28515625" style="1" bestFit="1" customWidth="1"/>
    <col min="3589" max="3589" width="10" style="1" bestFit="1" customWidth="1"/>
    <col min="3590" max="3590" width="11" style="1" bestFit="1" customWidth="1"/>
    <col min="3591" max="3796" width="9" style="1"/>
    <col min="3797" max="3797" width="2.85546875" style="1" bestFit="1" customWidth="1"/>
    <col min="3798" max="3798" width="16.5703125" style="1" bestFit="1" customWidth="1"/>
    <col min="3799" max="3799" width="11.42578125" style="1" bestFit="1" customWidth="1"/>
    <col min="3800" max="3801" width="14.140625" style="1" bestFit="1" customWidth="1"/>
    <col min="3802" max="3802" width="11.42578125" style="1" bestFit="1" customWidth="1"/>
    <col min="3803" max="3806" width="12.42578125" style="1" bestFit="1" customWidth="1"/>
    <col min="3807" max="3826" width="13" style="1" bestFit="1" customWidth="1"/>
    <col min="3827" max="3830" width="11" style="1" bestFit="1" customWidth="1"/>
    <col min="3831" max="3833" width="12.28515625" style="1" bestFit="1" customWidth="1"/>
    <col min="3834" max="3843" width="11" style="1" bestFit="1" customWidth="1"/>
    <col min="3844" max="3844" width="13.28515625" style="1" bestFit="1" customWidth="1"/>
    <col min="3845" max="3845" width="10" style="1" bestFit="1" customWidth="1"/>
    <col min="3846" max="3846" width="11" style="1" bestFit="1" customWidth="1"/>
    <col min="3847" max="4052" width="9" style="1"/>
    <col min="4053" max="4053" width="2.85546875" style="1" bestFit="1" customWidth="1"/>
    <col min="4054" max="4054" width="16.5703125" style="1" bestFit="1" customWidth="1"/>
    <col min="4055" max="4055" width="11.42578125" style="1" bestFit="1" customWidth="1"/>
    <col min="4056" max="4057" width="14.140625" style="1" bestFit="1" customWidth="1"/>
    <col min="4058" max="4058" width="11.42578125" style="1" bestFit="1" customWidth="1"/>
    <col min="4059" max="4062" width="12.42578125" style="1" bestFit="1" customWidth="1"/>
    <col min="4063" max="4082" width="13" style="1" bestFit="1" customWidth="1"/>
    <col min="4083" max="4086" width="11" style="1" bestFit="1" customWidth="1"/>
    <col min="4087" max="4089" width="12.28515625" style="1" bestFit="1" customWidth="1"/>
    <col min="4090" max="4099" width="11" style="1" bestFit="1" customWidth="1"/>
    <col min="4100" max="4100" width="13.28515625" style="1" bestFit="1" customWidth="1"/>
    <col min="4101" max="4101" width="10" style="1" bestFit="1" customWidth="1"/>
    <col min="4102" max="4102" width="11" style="1" bestFit="1" customWidth="1"/>
    <col min="4103" max="4308" width="9" style="1"/>
    <col min="4309" max="4309" width="2.85546875" style="1" bestFit="1" customWidth="1"/>
    <col min="4310" max="4310" width="16.5703125" style="1" bestFit="1" customWidth="1"/>
    <col min="4311" max="4311" width="11.42578125" style="1" bestFit="1" customWidth="1"/>
    <col min="4312" max="4313" width="14.140625" style="1" bestFit="1" customWidth="1"/>
    <col min="4314" max="4314" width="11.42578125" style="1" bestFit="1" customWidth="1"/>
    <col min="4315" max="4318" width="12.42578125" style="1" bestFit="1" customWidth="1"/>
    <col min="4319" max="4338" width="13" style="1" bestFit="1" customWidth="1"/>
    <col min="4339" max="4342" width="11" style="1" bestFit="1" customWidth="1"/>
    <col min="4343" max="4345" width="12.28515625" style="1" bestFit="1" customWidth="1"/>
    <col min="4346" max="4355" width="11" style="1" bestFit="1" customWidth="1"/>
    <col min="4356" max="4356" width="13.28515625" style="1" bestFit="1" customWidth="1"/>
    <col min="4357" max="4357" width="10" style="1" bestFit="1" customWidth="1"/>
    <col min="4358" max="4358" width="11" style="1" bestFit="1" customWidth="1"/>
    <col min="4359" max="4564" width="9" style="1"/>
    <col min="4565" max="4565" width="2.85546875" style="1" bestFit="1" customWidth="1"/>
    <col min="4566" max="4566" width="16.5703125" style="1" bestFit="1" customWidth="1"/>
    <col min="4567" max="4567" width="11.42578125" style="1" bestFit="1" customWidth="1"/>
    <col min="4568" max="4569" width="14.140625" style="1" bestFit="1" customWidth="1"/>
    <col min="4570" max="4570" width="11.42578125" style="1" bestFit="1" customWidth="1"/>
    <col min="4571" max="4574" width="12.42578125" style="1" bestFit="1" customWidth="1"/>
    <col min="4575" max="4594" width="13" style="1" bestFit="1" customWidth="1"/>
    <col min="4595" max="4598" width="11" style="1" bestFit="1" customWidth="1"/>
    <col min="4599" max="4601" width="12.28515625" style="1" bestFit="1" customWidth="1"/>
    <col min="4602" max="4611" width="11" style="1" bestFit="1" customWidth="1"/>
    <col min="4612" max="4612" width="13.28515625" style="1" bestFit="1" customWidth="1"/>
    <col min="4613" max="4613" width="10" style="1" bestFit="1" customWidth="1"/>
    <col min="4614" max="4614" width="11" style="1" bestFit="1" customWidth="1"/>
    <col min="4615" max="4820" width="9" style="1"/>
    <col min="4821" max="4821" width="2.85546875" style="1" bestFit="1" customWidth="1"/>
    <col min="4822" max="4822" width="16.5703125" style="1" bestFit="1" customWidth="1"/>
    <col min="4823" max="4823" width="11.42578125" style="1" bestFit="1" customWidth="1"/>
    <col min="4824" max="4825" width="14.140625" style="1" bestFit="1" customWidth="1"/>
    <col min="4826" max="4826" width="11.42578125" style="1" bestFit="1" customWidth="1"/>
    <col min="4827" max="4830" width="12.42578125" style="1" bestFit="1" customWidth="1"/>
    <col min="4831" max="4850" width="13" style="1" bestFit="1" customWidth="1"/>
    <col min="4851" max="4854" width="11" style="1" bestFit="1" customWidth="1"/>
    <col min="4855" max="4857" width="12.28515625" style="1" bestFit="1" customWidth="1"/>
    <col min="4858" max="4867" width="11" style="1" bestFit="1" customWidth="1"/>
    <col min="4868" max="4868" width="13.28515625" style="1" bestFit="1" customWidth="1"/>
    <col min="4869" max="4869" width="10" style="1" bestFit="1" customWidth="1"/>
    <col min="4870" max="4870" width="11" style="1" bestFit="1" customWidth="1"/>
    <col min="4871" max="5076" width="9" style="1"/>
    <col min="5077" max="5077" width="2.85546875" style="1" bestFit="1" customWidth="1"/>
    <col min="5078" max="5078" width="16.5703125" style="1" bestFit="1" customWidth="1"/>
    <col min="5079" max="5079" width="11.42578125" style="1" bestFit="1" customWidth="1"/>
    <col min="5080" max="5081" width="14.140625" style="1" bestFit="1" customWidth="1"/>
    <col min="5082" max="5082" width="11.42578125" style="1" bestFit="1" customWidth="1"/>
    <col min="5083" max="5086" width="12.42578125" style="1" bestFit="1" customWidth="1"/>
    <col min="5087" max="5106" width="13" style="1" bestFit="1" customWidth="1"/>
    <col min="5107" max="5110" width="11" style="1" bestFit="1" customWidth="1"/>
    <col min="5111" max="5113" width="12.28515625" style="1" bestFit="1" customWidth="1"/>
    <col min="5114" max="5123" width="11" style="1" bestFit="1" customWidth="1"/>
    <col min="5124" max="5124" width="13.28515625" style="1" bestFit="1" customWidth="1"/>
    <col min="5125" max="5125" width="10" style="1" bestFit="1" customWidth="1"/>
    <col min="5126" max="5126" width="11" style="1" bestFit="1" customWidth="1"/>
    <col min="5127" max="5332" width="9" style="1"/>
    <col min="5333" max="5333" width="2.85546875" style="1" bestFit="1" customWidth="1"/>
    <col min="5334" max="5334" width="16.5703125" style="1" bestFit="1" customWidth="1"/>
    <col min="5335" max="5335" width="11.42578125" style="1" bestFit="1" customWidth="1"/>
    <col min="5336" max="5337" width="14.140625" style="1" bestFit="1" customWidth="1"/>
    <col min="5338" max="5338" width="11.42578125" style="1" bestFit="1" customWidth="1"/>
    <col min="5339" max="5342" width="12.42578125" style="1" bestFit="1" customWidth="1"/>
    <col min="5343" max="5362" width="13" style="1" bestFit="1" customWidth="1"/>
    <col min="5363" max="5366" width="11" style="1" bestFit="1" customWidth="1"/>
    <col min="5367" max="5369" width="12.28515625" style="1" bestFit="1" customWidth="1"/>
    <col min="5370" max="5379" width="11" style="1" bestFit="1" customWidth="1"/>
    <col min="5380" max="5380" width="13.28515625" style="1" bestFit="1" customWidth="1"/>
    <col min="5381" max="5381" width="10" style="1" bestFit="1" customWidth="1"/>
    <col min="5382" max="5382" width="11" style="1" bestFit="1" customWidth="1"/>
    <col min="5383" max="5588" width="9" style="1"/>
    <col min="5589" max="5589" width="2.85546875" style="1" bestFit="1" customWidth="1"/>
    <col min="5590" max="5590" width="16.5703125" style="1" bestFit="1" customWidth="1"/>
    <col min="5591" max="5591" width="11.42578125" style="1" bestFit="1" customWidth="1"/>
    <col min="5592" max="5593" width="14.140625" style="1" bestFit="1" customWidth="1"/>
    <col min="5594" max="5594" width="11.42578125" style="1" bestFit="1" customWidth="1"/>
    <col min="5595" max="5598" width="12.42578125" style="1" bestFit="1" customWidth="1"/>
    <col min="5599" max="5618" width="13" style="1" bestFit="1" customWidth="1"/>
    <col min="5619" max="5622" width="11" style="1" bestFit="1" customWidth="1"/>
    <col min="5623" max="5625" width="12.28515625" style="1" bestFit="1" customWidth="1"/>
    <col min="5626" max="5635" width="11" style="1" bestFit="1" customWidth="1"/>
    <col min="5636" max="5636" width="13.28515625" style="1" bestFit="1" customWidth="1"/>
    <col min="5637" max="5637" width="10" style="1" bestFit="1" customWidth="1"/>
    <col min="5638" max="5638" width="11" style="1" bestFit="1" customWidth="1"/>
    <col min="5639" max="5844" width="9" style="1"/>
    <col min="5845" max="5845" width="2.85546875" style="1" bestFit="1" customWidth="1"/>
    <col min="5846" max="5846" width="16.5703125" style="1" bestFit="1" customWidth="1"/>
    <col min="5847" max="5847" width="11.42578125" style="1" bestFit="1" customWidth="1"/>
    <col min="5848" max="5849" width="14.140625" style="1" bestFit="1" customWidth="1"/>
    <col min="5850" max="5850" width="11.42578125" style="1" bestFit="1" customWidth="1"/>
    <col min="5851" max="5854" width="12.42578125" style="1" bestFit="1" customWidth="1"/>
    <col min="5855" max="5874" width="13" style="1" bestFit="1" customWidth="1"/>
    <col min="5875" max="5878" width="11" style="1" bestFit="1" customWidth="1"/>
    <col min="5879" max="5881" width="12.28515625" style="1" bestFit="1" customWidth="1"/>
    <col min="5882" max="5891" width="11" style="1" bestFit="1" customWidth="1"/>
    <col min="5892" max="5892" width="13.28515625" style="1" bestFit="1" customWidth="1"/>
    <col min="5893" max="5893" width="10" style="1" bestFit="1" customWidth="1"/>
    <col min="5894" max="5894" width="11" style="1" bestFit="1" customWidth="1"/>
    <col min="5895" max="6100" width="9" style="1"/>
    <col min="6101" max="6101" width="2.85546875" style="1" bestFit="1" customWidth="1"/>
    <col min="6102" max="6102" width="16.5703125" style="1" bestFit="1" customWidth="1"/>
    <col min="6103" max="6103" width="11.42578125" style="1" bestFit="1" customWidth="1"/>
    <col min="6104" max="6105" width="14.140625" style="1" bestFit="1" customWidth="1"/>
    <col min="6106" max="6106" width="11.42578125" style="1" bestFit="1" customWidth="1"/>
    <col min="6107" max="6110" width="12.42578125" style="1" bestFit="1" customWidth="1"/>
    <col min="6111" max="6130" width="13" style="1" bestFit="1" customWidth="1"/>
    <col min="6131" max="6134" width="11" style="1" bestFit="1" customWidth="1"/>
    <col min="6135" max="6137" width="12.28515625" style="1" bestFit="1" customWidth="1"/>
    <col min="6138" max="6147" width="11" style="1" bestFit="1" customWidth="1"/>
    <col min="6148" max="6148" width="13.28515625" style="1" bestFit="1" customWidth="1"/>
    <col min="6149" max="6149" width="10" style="1" bestFit="1" customWidth="1"/>
    <col min="6150" max="6150" width="11" style="1" bestFit="1" customWidth="1"/>
    <col min="6151" max="6356" width="9" style="1"/>
    <col min="6357" max="6357" width="2.85546875" style="1" bestFit="1" customWidth="1"/>
    <col min="6358" max="6358" width="16.5703125" style="1" bestFit="1" customWidth="1"/>
    <col min="6359" max="6359" width="11.42578125" style="1" bestFit="1" customWidth="1"/>
    <col min="6360" max="6361" width="14.140625" style="1" bestFit="1" customWidth="1"/>
    <col min="6362" max="6362" width="11.42578125" style="1" bestFit="1" customWidth="1"/>
    <col min="6363" max="6366" width="12.42578125" style="1" bestFit="1" customWidth="1"/>
    <col min="6367" max="6386" width="13" style="1" bestFit="1" customWidth="1"/>
    <col min="6387" max="6390" width="11" style="1" bestFit="1" customWidth="1"/>
    <col min="6391" max="6393" width="12.28515625" style="1" bestFit="1" customWidth="1"/>
    <col min="6394" max="6403" width="11" style="1" bestFit="1" customWidth="1"/>
    <col min="6404" max="6404" width="13.28515625" style="1" bestFit="1" customWidth="1"/>
    <col min="6405" max="6405" width="10" style="1" bestFit="1" customWidth="1"/>
    <col min="6406" max="6406" width="11" style="1" bestFit="1" customWidth="1"/>
    <col min="6407" max="6612" width="9" style="1"/>
    <col min="6613" max="6613" width="2.85546875" style="1" bestFit="1" customWidth="1"/>
    <col min="6614" max="6614" width="16.5703125" style="1" bestFit="1" customWidth="1"/>
    <col min="6615" max="6615" width="11.42578125" style="1" bestFit="1" customWidth="1"/>
    <col min="6616" max="6617" width="14.140625" style="1" bestFit="1" customWidth="1"/>
    <col min="6618" max="6618" width="11.42578125" style="1" bestFit="1" customWidth="1"/>
    <col min="6619" max="6622" width="12.42578125" style="1" bestFit="1" customWidth="1"/>
    <col min="6623" max="6642" width="13" style="1" bestFit="1" customWidth="1"/>
    <col min="6643" max="6646" width="11" style="1" bestFit="1" customWidth="1"/>
    <col min="6647" max="6649" width="12.28515625" style="1" bestFit="1" customWidth="1"/>
    <col min="6650" max="6659" width="11" style="1" bestFit="1" customWidth="1"/>
    <col min="6660" max="6660" width="13.28515625" style="1" bestFit="1" customWidth="1"/>
    <col min="6661" max="6661" width="10" style="1" bestFit="1" customWidth="1"/>
    <col min="6662" max="6662" width="11" style="1" bestFit="1" customWidth="1"/>
    <col min="6663" max="6868" width="9" style="1"/>
    <col min="6869" max="6869" width="2.85546875" style="1" bestFit="1" customWidth="1"/>
    <col min="6870" max="6870" width="16.5703125" style="1" bestFit="1" customWidth="1"/>
    <col min="6871" max="6871" width="11.42578125" style="1" bestFit="1" customWidth="1"/>
    <col min="6872" max="6873" width="14.140625" style="1" bestFit="1" customWidth="1"/>
    <col min="6874" max="6874" width="11.42578125" style="1" bestFit="1" customWidth="1"/>
    <col min="6875" max="6878" width="12.42578125" style="1" bestFit="1" customWidth="1"/>
    <col min="6879" max="6898" width="13" style="1" bestFit="1" customWidth="1"/>
    <col min="6899" max="6902" width="11" style="1" bestFit="1" customWidth="1"/>
    <col min="6903" max="6905" width="12.28515625" style="1" bestFit="1" customWidth="1"/>
    <col min="6906" max="6915" width="11" style="1" bestFit="1" customWidth="1"/>
    <col min="6916" max="6916" width="13.28515625" style="1" bestFit="1" customWidth="1"/>
    <col min="6917" max="6917" width="10" style="1" bestFit="1" customWidth="1"/>
    <col min="6918" max="6918" width="11" style="1" bestFit="1" customWidth="1"/>
    <col min="6919" max="7124" width="9" style="1"/>
    <col min="7125" max="7125" width="2.85546875" style="1" bestFit="1" customWidth="1"/>
    <col min="7126" max="7126" width="16.5703125" style="1" bestFit="1" customWidth="1"/>
    <col min="7127" max="7127" width="11.42578125" style="1" bestFit="1" customWidth="1"/>
    <col min="7128" max="7129" width="14.140625" style="1" bestFit="1" customWidth="1"/>
    <col min="7130" max="7130" width="11.42578125" style="1" bestFit="1" customWidth="1"/>
    <col min="7131" max="7134" width="12.42578125" style="1" bestFit="1" customWidth="1"/>
    <col min="7135" max="7154" width="13" style="1" bestFit="1" customWidth="1"/>
    <col min="7155" max="7158" width="11" style="1" bestFit="1" customWidth="1"/>
    <col min="7159" max="7161" width="12.28515625" style="1" bestFit="1" customWidth="1"/>
    <col min="7162" max="7171" width="11" style="1" bestFit="1" customWidth="1"/>
    <col min="7172" max="7172" width="13.28515625" style="1" bestFit="1" customWidth="1"/>
    <col min="7173" max="7173" width="10" style="1" bestFit="1" customWidth="1"/>
    <col min="7174" max="7174" width="11" style="1" bestFit="1" customWidth="1"/>
    <col min="7175" max="7380" width="9" style="1"/>
    <col min="7381" max="7381" width="2.85546875" style="1" bestFit="1" customWidth="1"/>
    <col min="7382" max="7382" width="16.5703125" style="1" bestFit="1" customWidth="1"/>
    <col min="7383" max="7383" width="11.42578125" style="1" bestFit="1" customWidth="1"/>
    <col min="7384" max="7385" width="14.140625" style="1" bestFit="1" customWidth="1"/>
    <col min="7386" max="7386" width="11.42578125" style="1" bestFit="1" customWidth="1"/>
    <col min="7387" max="7390" width="12.42578125" style="1" bestFit="1" customWidth="1"/>
    <col min="7391" max="7410" width="13" style="1" bestFit="1" customWidth="1"/>
    <col min="7411" max="7414" width="11" style="1" bestFit="1" customWidth="1"/>
    <col min="7415" max="7417" width="12.28515625" style="1" bestFit="1" customWidth="1"/>
    <col min="7418" max="7427" width="11" style="1" bestFit="1" customWidth="1"/>
    <col min="7428" max="7428" width="13.28515625" style="1" bestFit="1" customWidth="1"/>
    <col min="7429" max="7429" width="10" style="1" bestFit="1" customWidth="1"/>
    <col min="7430" max="7430" width="11" style="1" bestFit="1" customWidth="1"/>
    <col min="7431" max="7636" width="9" style="1"/>
    <col min="7637" max="7637" width="2.85546875" style="1" bestFit="1" customWidth="1"/>
    <col min="7638" max="7638" width="16.5703125" style="1" bestFit="1" customWidth="1"/>
    <col min="7639" max="7639" width="11.42578125" style="1" bestFit="1" customWidth="1"/>
    <col min="7640" max="7641" width="14.140625" style="1" bestFit="1" customWidth="1"/>
    <col min="7642" max="7642" width="11.42578125" style="1" bestFit="1" customWidth="1"/>
    <col min="7643" max="7646" width="12.42578125" style="1" bestFit="1" customWidth="1"/>
    <col min="7647" max="7666" width="13" style="1" bestFit="1" customWidth="1"/>
    <col min="7667" max="7670" width="11" style="1" bestFit="1" customWidth="1"/>
    <col min="7671" max="7673" width="12.28515625" style="1" bestFit="1" customWidth="1"/>
    <col min="7674" max="7683" width="11" style="1" bestFit="1" customWidth="1"/>
    <col min="7684" max="7684" width="13.28515625" style="1" bestFit="1" customWidth="1"/>
    <col min="7685" max="7685" width="10" style="1" bestFit="1" customWidth="1"/>
    <col min="7686" max="7686" width="11" style="1" bestFit="1" customWidth="1"/>
    <col min="7687" max="7892" width="9" style="1"/>
    <col min="7893" max="7893" width="2.85546875" style="1" bestFit="1" customWidth="1"/>
    <col min="7894" max="7894" width="16.5703125" style="1" bestFit="1" customWidth="1"/>
    <col min="7895" max="7895" width="11.42578125" style="1" bestFit="1" customWidth="1"/>
    <col min="7896" max="7897" width="14.140625" style="1" bestFit="1" customWidth="1"/>
    <col min="7898" max="7898" width="11.42578125" style="1" bestFit="1" customWidth="1"/>
    <col min="7899" max="7902" width="12.42578125" style="1" bestFit="1" customWidth="1"/>
    <col min="7903" max="7922" width="13" style="1" bestFit="1" customWidth="1"/>
    <col min="7923" max="7926" width="11" style="1" bestFit="1" customWidth="1"/>
    <col min="7927" max="7929" width="12.28515625" style="1" bestFit="1" customWidth="1"/>
    <col min="7930" max="7939" width="11" style="1" bestFit="1" customWidth="1"/>
    <col min="7940" max="7940" width="13.28515625" style="1" bestFit="1" customWidth="1"/>
    <col min="7941" max="7941" width="10" style="1" bestFit="1" customWidth="1"/>
    <col min="7942" max="7942" width="11" style="1" bestFit="1" customWidth="1"/>
    <col min="7943" max="8148" width="9" style="1"/>
    <col min="8149" max="8149" width="2.85546875" style="1" bestFit="1" customWidth="1"/>
    <col min="8150" max="8150" width="16.5703125" style="1" bestFit="1" customWidth="1"/>
    <col min="8151" max="8151" width="11.42578125" style="1" bestFit="1" customWidth="1"/>
    <col min="8152" max="8153" width="14.140625" style="1" bestFit="1" customWidth="1"/>
    <col min="8154" max="8154" width="11.42578125" style="1" bestFit="1" customWidth="1"/>
    <col min="8155" max="8158" width="12.42578125" style="1" bestFit="1" customWidth="1"/>
    <col min="8159" max="8178" width="13" style="1" bestFit="1" customWidth="1"/>
    <col min="8179" max="8182" width="11" style="1" bestFit="1" customWidth="1"/>
    <col min="8183" max="8185" width="12.28515625" style="1" bestFit="1" customWidth="1"/>
    <col min="8186" max="8195" width="11" style="1" bestFit="1" customWidth="1"/>
    <col min="8196" max="8196" width="13.28515625" style="1" bestFit="1" customWidth="1"/>
    <col min="8197" max="8197" width="10" style="1" bestFit="1" customWidth="1"/>
    <col min="8198" max="8198" width="11" style="1" bestFit="1" customWidth="1"/>
    <col min="8199" max="8404" width="9" style="1"/>
    <col min="8405" max="8405" width="2.85546875" style="1" bestFit="1" customWidth="1"/>
    <col min="8406" max="8406" width="16.5703125" style="1" bestFit="1" customWidth="1"/>
    <col min="8407" max="8407" width="11.42578125" style="1" bestFit="1" customWidth="1"/>
    <col min="8408" max="8409" width="14.140625" style="1" bestFit="1" customWidth="1"/>
    <col min="8410" max="8410" width="11.42578125" style="1" bestFit="1" customWidth="1"/>
    <col min="8411" max="8414" width="12.42578125" style="1" bestFit="1" customWidth="1"/>
    <col min="8415" max="8434" width="13" style="1" bestFit="1" customWidth="1"/>
    <col min="8435" max="8438" width="11" style="1" bestFit="1" customWidth="1"/>
    <col min="8439" max="8441" width="12.28515625" style="1" bestFit="1" customWidth="1"/>
    <col min="8442" max="8451" width="11" style="1" bestFit="1" customWidth="1"/>
    <col min="8452" max="8452" width="13.28515625" style="1" bestFit="1" customWidth="1"/>
    <col min="8453" max="8453" width="10" style="1" bestFit="1" customWidth="1"/>
    <col min="8454" max="8454" width="11" style="1" bestFit="1" customWidth="1"/>
    <col min="8455" max="8660" width="9" style="1"/>
    <col min="8661" max="8661" width="2.85546875" style="1" bestFit="1" customWidth="1"/>
    <col min="8662" max="8662" width="16.5703125" style="1" bestFit="1" customWidth="1"/>
    <col min="8663" max="8663" width="11.42578125" style="1" bestFit="1" customWidth="1"/>
    <col min="8664" max="8665" width="14.140625" style="1" bestFit="1" customWidth="1"/>
    <col min="8666" max="8666" width="11.42578125" style="1" bestFit="1" customWidth="1"/>
    <col min="8667" max="8670" width="12.42578125" style="1" bestFit="1" customWidth="1"/>
    <col min="8671" max="8690" width="13" style="1" bestFit="1" customWidth="1"/>
    <col min="8691" max="8694" width="11" style="1" bestFit="1" customWidth="1"/>
    <col min="8695" max="8697" width="12.28515625" style="1" bestFit="1" customWidth="1"/>
    <col min="8698" max="8707" width="11" style="1" bestFit="1" customWidth="1"/>
    <col min="8708" max="8708" width="13.28515625" style="1" bestFit="1" customWidth="1"/>
    <col min="8709" max="8709" width="10" style="1" bestFit="1" customWidth="1"/>
    <col min="8710" max="8710" width="11" style="1" bestFit="1" customWidth="1"/>
    <col min="8711" max="8916" width="9" style="1"/>
    <col min="8917" max="8917" width="2.85546875" style="1" bestFit="1" customWidth="1"/>
    <col min="8918" max="8918" width="16.5703125" style="1" bestFit="1" customWidth="1"/>
    <col min="8919" max="8919" width="11.42578125" style="1" bestFit="1" customWidth="1"/>
    <col min="8920" max="8921" width="14.140625" style="1" bestFit="1" customWidth="1"/>
    <col min="8922" max="8922" width="11.42578125" style="1" bestFit="1" customWidth="1"/>
    <col min="8923" max="8926" width="12.42578125" style="1" bestFit="1" customWidth="1"/>
    <col min="8927" max="8946" width="13" style="1" bestFit="1" customWidth="1"/>
    <col min="8947" max="8950" width="11" style="1" bestFit="1" customWidth="1"/>
    <col min="8951" max="8953" width="12.28515625" style="1" bestFit="1" customWidth="1"/>
    <col min="8954" max="8963" width="11" style="1" bestFit="1" customWidth="1"/>
    <col min="8964" max="8964" width="13.28515625" style="1" bestFit="1" customWidth="1"/>
    <col min="8965" max="8965" width="10" style="1" bestFit="1" customWidth="1"/>
    <col min="8966" max="8966" width="11" style="1" bestFit="1" customWidth="1"/>
    <col min="8967" max="9172" width="9" style="1"/>
    <col min="9173" max="9173" width="2.85546875" style="1" bestFit="1" customWidth="1"/>
    <col min="9174" max="9174" width="16.5703125" style="1" bestFit="1" customWidth="1"/>
    <col min="9175" max="9175" width="11.42578125" style="1" bestFit="1" customWidth="1"/>
    <col min="9176" max="9177" width="14.140625" style="1" bestFit="1" customWidth="1"/>
    <col min="9178" max="9178" width="11.42578125" style="1" bestFit="1" customWidth="1"/>
    <col min="9179" max="9182" width="12.42578125" style="1" bestFit="1" customWidth="1"/>
    <col min="9183" max="9202" width="13" style="1" bestFit="1" customWidth="1"/>
    <col min="9203" max="9206" width="11" style="1" bestFit="1" customWidth="1"/>
    <col min="9207" max="9209" width="12.28515625" style="1" bestFit="1" customWidth="1"/>
    <col min="9210" max="9219" width="11" style="1" bestFit="1" customWidth="1"/>
    <col min="9220" max="9220" width="13.28515625" style="1" bestFit="1" customWidth="1"/>
    <col min="9221" max="9221" width="10" style="1" bestFit="1" customWidth="1"/>
    <col min="9222" max="9222" width="11" style="1" bestFit="1" customWidth="1"/>
    <col min="9223" max="9428" width="9" style="1"/>
    <col min="9429" max="9429" width="2.85546875" style="1" bestFit="1" customWidth="1"/>
    <col min="9430" max="9430" width="16.5703125" style="1" bestFit="1" customWidth="1"/>
    <col min="9431" max="9431" width="11.42578125" style="1" bestFit="1" customWidth="1"/>
    <col min="9432" max="9433" width="14.140625" style="1" bestFit="1" customWidth="1"/>
    <col min="9434" max="9434" width="11.42578125" style="1" bestFit="1" customWidth="1"/>
    <col min="9435" max="9438" width="12.42578125" style="1" bestFit="1" customWidth="1"/>
    <col min="9439" max="9458" width="13" style="1" bestFit="1" customWidth="1"/>
    <col min="9459" max="9462" width="11" style="1" bestFit="1" customWidth="1"/>
    <col min="9463" max="9465" width="12.28515625" style="1" bestFit="1" customWidth="1"/>
    <col min="9466" max="9475" width="11" style="1" bestFit="1" customWidth="1"/>
    <col min="9476" max="9476" width="13.28515625" style="1" bestFit="1" customWidth="1"/>
    <col min="9477" max="9477" width="10" style="1" bestFit="1" customWidth="1"/>
    <col min="9478" max="9478" width="11" style="1" bestFit="1" customWidth="1"/>
    <col min="9479" max="9684" width="9" style="1"/>
    <col min="9685" max="9685" width="2.85546875" style="1" bestFit="1" customWidth="1"/>
    <col min="9686" max="9686" width="16.5703125" style="1" bestFit="1" customWidth="1"/>
    <col min="9687" max="9687" width="11.42578125" style="1" bestFit="1" customWidth="1"/>
    <col min="9688" max="9689" width="14.140625" style="1" bestFit="1" customWidth="1"/>
    <col min="9690" max="9690" width="11.42578125" style="1" bestFit="1" customWidth="1"/>
    <col min="9691" max="9694" width="12.42578125" style="1" bestFit="1" customWidth="1"/>
    <col min="9695" max="9714" width="13" style="1" bestFit="1" customWidth="1"/>
    <col min="9715" max="9718" width="11" style="1" bestFit="1" customWidth="1"/>
    <col min="9719" max="9721" width="12.28515625" style="1" bestFit="1" customWidth="1"/>
    <col min="9722" max="9731" width="11" style="1" bestFit="1" customWidth="1"/>
    <col min="9732" max="9732" width="13.28515625" style="1" bestFit="1" customWidth="1"/>
    <col min="9733" max="9733" width="10" style="1" bestFit="1" customWidth="1"/>
    <col min="9734" max="9734" width="11" style="1" bestFit="1" customWidth="1"/>
    <col min="9735" max="9940" width="9" style="1"/>
    <col min="9941" max="9941" width="2.85546875" style="1" bestFit="1" customWidth="1"/>
    <col min="9942" max="9942" width="16.5703125" style="1" bestFit="1" customWidth="1"/>
    <col min="9943" max="9943" width="11.42578125" style="1" bestFit="1" customWidth="1"/>
    <col min="9944" max="9945" width="14.140625" style="1" bestFit="1" customWidth="1"/>
    <col min="9946" max="9946" width="11.42578125" style="1" bestFit="1" customWidth="1"/>
    <col min="9947" max="9950" width="12.42578125" style="1" bestFit="1" customWidth="1"/>
    <col min="9951" max="9970" width="13" style="1" bestFit="1" customWidth="1"/>
    <col min="9971" max="9974" width="11" style="1" bestFit="1" customWidth="1"/>
    <col min="9975" max="9977" width="12.28515625" style="1" bestFit="1" customWidth="1"/>
    <col min="9978" max="9987" width="11" style="1" bestFit="1" customWidth="1"/>
    <col min="9988" max="9988" width="13.28515625" style="1" bestFit="1" customWidth="1"/>
    <col min="9989" max="9989" width="10" style="1" bestFit="1" customWidth="1"/>
    <col min="9990" max="9990" width="11" style="1" bestFit="1" customWidth="1"/>
    <col min="9991" max="10196" width="9" style="1"/>
    <col min="10197" max="10197" width="2.85546875" style="1" bestFit="1" customWidth="1"/>
    <col min="10198" max="10198" width="16.5703125" style="1" bestFit="1" customWidth="1"/>
    <col min="10199" max="10199" width="11.42578125" style="1" bestFit="1" customWidth="1"/>
    <col min="10200" max="10201" width="14.140625" style="1" bestFit="1" customWidth="1"/>
    <col min="10202" max="10202" width="11.42578125" style="1" bestFit="1" customWidth="1"/>
    <col min="10203" max="10206" width="12.42578125" style="1" bestFit="1" customWidth="1"/>
    <col min="10207" max="10226" width="13" style="1" bestFit="1" customWidth="1"/>
    <col min="10227" max="10230" width="11" style="1" bestFit="1" customWidth="1"/>
    <col min="10231" max="10233" width="12.28515625" style="1" bestFit="1" customWidth="1"/>
    <col min="10234" max="10243" width="11" style="1" bestFit="1" customWidth="1"/>
    <col min="10244" max="10244" width="13.28515625" style="1" bestFit="1" customWidth="1"/>
    <col min="10245" max="10245" width="10" style="1" bestFit="1" customWidth="1"/>
    <col min="10246" max="10246" width="11" style="1" bestFit="1" customWidth="1"/>
    <col min="10247" max="10452" width="9" style="1"/>
    <col min="10453" max="10453" width="2.85546875" style="1" bestFit="1" customWidth="1"/>
    <col min="10454" max="10454" width="16.5703125" style="1" bestFit="1" customWidth="1"/>
    <col min="10455" max="10455" width="11.42578125" style="1" bestFit="1" customWidth="1"/>
    <col min="10456" max="10457" width="14.140625" style="1" bestFit="1" customWidth="1"/>
    <col min="10458" max="10458" width="11.42578125" style="1" bestFit="1" customWidth="1"/>
    <col min="10459" max="10462" width="12.42578125" style="1" bestFit="1" customWidth="1"/>
    <col min="10463" max="10482" width="13" style="1" bestFit="1" customWidth="1"/>
    <col min="10483" max="10486" width="11" style="1" bestFit="1" customWidth="1"/>
    <col min="10487" max="10489" width="12.28515625" style="1" bestFit="1" customWidth="1"/>
    <col min="10490" max="10499" width="11" style="1" bestFit="1" customWidth="1"/>
    <col min="10500" max="10500" width="13.28515625" style="1" bestFit="1" customWidth="1"/>
    <col min="10501" max="10501" width="10" style="1" bestFit="1" customWidth="1"/>
    <col min="10502" max="10502" width="11" style="1" bestFit="1" customWidth="1"/>
    <col min="10503" max="10708" width="9" style="1"/>
    <col min="10709" max="10709" width="2.85546875" style="1" bestFit="1" customWidth="1"/>
    <col min="10710" max="10710" width="16.5703125" style="1" bestFit="1" customWidth="1"/>
    <col min="10711" max="10711" width="11.42578125" style="1" bestFit="1" customWidth="1"/>
    <col min="10712" max="10713" width="14.140625" style="1" bestFit="1" customWidth="1"/>
    <col min="10714" max="10714" width="11.42578125" style="1" bestFit="1" customWidth="1"/>
    <col min="10715" max="10718" width="12.42578125" style="1" bestFit="1" customWidth="1"/>
    <col min="10719" max="10738" width="13" style="1" bestFit="1" customWidth="1"/>
    <col min="10739" max="10742" width="11" style="1" bestFit="1" customWidth="1"/>
    <col min="10743" max="10745" width="12.28515625" style="1" bestFit="1" customWidth="1"/>
    <col min="10746" max="10755" width="11" style="1" bestFit="1" customWidth="1"/>
    <col min="10756" max="10756" width="13.28515625" style="1" bestFit="1" customWidth="1"/>
    <col min="10757" max="10757" width="10" style="1" bestFit="1" customWidth="1"/>
    <col min="10758" max="10758" width="11" style="1" bestFit="1" customWidth="1"/>
    <col min="10759" max="10964" width="9" style="1"/>
    <col min="10965" max="10965" width="2.85546875" style="1" bestFit="1" customWidth="1"/>
    <col min="10966" max="10966" width="16.5703125" style="1" bestFit="1" customWidth="1"/>
    <col min="10967" max="10967" width="11.42578125" style="1" bestFit="1" customWidth="1"/>
    <col min="10968" max="10969" width="14.140625" style="1" bestFit="1" customWidth="1"/>
    <col min="10970" max="10970" width="11.42578125" style="1" bestFit="1" customWidth="1"/>
    <col min="10971" max="10974" width="12.42578125" style="1" bestFit="1" customWidth="1"/>
    <col min="10975" max="10994" width="13" style="1" bestFit="1" customWidth="1"/>
    <col min="10995" max="10998" width="11" style="1" bestFit="1" customWidth="1"/>
    <col min="10999" max="11001" width="12.28515625" style="1" bestFit="1" customWidth="1"/>
    <col min="11002" max="11011" width="11" style="1" bestFit="1" customWidth="1"/>
    <col min="11012" max="11012" width="13.28515625" style="1" bestFit="1" customWidth="1"/>
    <col min="11013" max="11013" width="10" style="1" bestFit="1" customWidth="1"/>
    <col min="11014" max="11014" width="11" style="1" bestFit="1" customWidth="1"/>
    <col min="11015" max="11220" width="9" style="1"/>
    <col min="11221" max="11221" width="2.85546875" style="1" bestFit="1" customWidth="1"/>
    <col min="11222" max="11222" width="16.5703125" style="1" bestFit="1" customWidth="1"/>
    <col min="11223" max="11223" width="11.42578125" style="1" bestFit="1" customWidth="1"/>
    <col min="11224" max="11225" width="14.140625" style="1" bestFit="1" customWidth="1"/>
    <col min="11226" max="11226" width="11.42578125" style="1" bestFit="1" customWidth="1"/>
    <col min="11227" max="11230" width="12.42578125" style="1" bestFit="1" customWidth="1"/>
    <col min="11231" max="11250" width="13" style="1" bestFit="1" customWidth="1"/>
    <col min="11251" max="11254" width="11" style="1" bestFit="1" customWidth="1"/>
    <col min="11255" max="11257" width="12.28515625" style="1" bestFit="1" customWidth="1"/>
    <col min="11258" max="11267" width="11" style="1" bestFit="1" customWidth="1"/>
    <col min="11268" max="11268" width="13.28515625" style="1" bestFit="1" customWidth="1"/>
    <col min="11269" max="11269" width="10" style="1" bestFit="1" customWidth="1"/>
    <col min="11270" max="11270" width="11" style="1" bestFit="1" customWidth="1"/>
    <col min="11271" max="11476" width="9" style="1"/>
    <col min="11477" max="11477" width="2.85546875" style="1" bestFit="1" customWidth="1"/>
    <col min="11478" max="11478" width="16.5703125" style="1" bestFit="1" customWidth="1"/>
    <col min="11479" max="11479" width="11.42578125" style="1" bestFit="1" customWidth="1"/>
    <col min="11480" max="11481" width="14.140625" style="1" bestFit="1" customWidth="1"/>
    <col min="11482" max="11482" width="11.42578125" style="1" bestFit="1" customWidth="1"/>
    <col min="11483" max="11486" width="12.42578125" style="1" bestFit="1" customWidth="1"/>
    <col min="11487" max="11506" width="13" style="1" bestFit="1" customWidth="1"/>
    <col min="11507" max="11510" width="11" style="1" bestFit="1" customWidth="1"/>
    <col min="11511" max="11513" width="12.28515625" style="1" bestFit="1" customWidth="1"/>
    <col min="11514" max="11523" width="11" style="1" bestFit="1" customWidth="1"/>
    <col min="11524" max="11524" width="13.28515625" style="1" bestFit="1" customWidth="1"/>
    <col min="11525" max="11525" width="10" style="1" bestFit="1" customWidth="1"/>
    <col min="11526" max="11526" width="11" style="1" bestFit="1" customWidth="1"/>
    <col min="11527" max="11732" width="9" style="1"/>
    <col min="11733" max="11733" width="2.85546875" style="1" bestFit="1" customWidth="1"/>
    <col min="11734" max="11734" width="16.5703125" style="1" bestFit="1" customWidth="1"/>
    <col min="11735" max="11735" width="11.42578125" style="1" bestFit="1" customWidth="1"/>
    <col min="11736" max="11737" width="14.140625" style="1" bestFit="1" customWidth="1"/>
    <col min="11738" max="11738" width="11.42578125" style="1" bestFit="1" customWidth="1"/>
    <col min="11739" max="11742" width="12.42578125" style="1" bestFit="1" customWidth="1"/>
    <col min="11743" max="11762" width="13" style="1" bestFit="1" customWidth="1"/>
    <col min="11763" max="11766" width="11" style="1" bestFit="1" customWidth="1"/>
    <col min="11767" max="11769" width="12.28515625" style="1" bestFit="1" customWidth="1"/>
    <col min="11770" max="11779" width="11" style="1" bestFit="1" customWidth="1"/>
    <col min="11780" max="11780" width="13.28515625" style="1" bestFit="1" customWidth="1"/>
    <col min="11781" max="11781" width="10" style="1" bestFit="1" customWidth="1"/>
    <col min="11782" max="11782" width="11" style="1" bestFit="1" customWidth="1"/>
    <col min="11783" max="11988" width="9" style="1"/>
    <col min="11989" max="11989" width="2.85546875" style="1" bestFit="1" customWidth="1"/>
    <col min="11990" max="11990" width="16.5703125" style="1" bestFit="1" customWidth="1"/>
    <col min="11991" max="11991" width="11.42578125" style="1" bestFit="1" customWidth="1"/>
    <col min="11992" max="11993" width="14.140625" style="1" bestFit="1" customWidth="1"/>
    <col min="11994" max="11994" width="11.42578125" style="1" bestFit="1" customWidth="1"/>
    <col min="11995" max="11998" width="12.42578125" style="1" bestFit="1" customWidth="1"/>
    <col min="11999" max="12018" width="13" style="1" bestFit="1" customWidth="1"/>
    <col min="12019" max="12022" width="11" style="1" bestFit="1" customWidth="1"/>
    <col min="12023" max="12025" width="12.28515625" style="1" bestFit="1" customWidth="1"/>
    <col min="12026" max="12035" width="11" style="1" bestFit="1" customWidth="1"/>
    <col min="12036" max="12036" width="13.28515625" style="1" bestFit="1" customWidth="1"/>
    <col min="12037" max="12037" width="10" style="1" bestFit="1" customWidth="1"/>
    <col min="12038" max="12038" width="11" style="1" bestFit="1" customWidth="1"/>
    <col min="12039" max="12244" width="9" style="1"/>
    <col min="12245" max="12245" width="2.85546875" style="1" bestFit="1" customWidth="1"/>
    <col min="12246" max="12246" width="16.5703125" style="1" bestFit="1" customWidth="1"/>
    <col min="12247" max="12247" width="11.42578125" style="1" bestFit="1" customWidth="1"/>
    <col min="12248" max="12249" width="14.140625" style="1" bestFit="1" customWidth="1"/>
    <col min="12250" max="12250" width="11.42578125" style="1" bestFit="1" customWidth="1"/>
    <col min="12251" max="12254" width="12.42578125" style="1" bestFit="1" customWidth="1"/>
    <col min="12255" max="12274" width="13" style="1" bestFit="1" customWidth="1"/>
    <col min="12275" max="12278" width="11" style="1" bestFit="1" customWidth="1"/>
    <col min="12279" max="12281" width="12.28515625" style="1" bestFit="1" customWidth="1"/>
    <col min="12282" max="12291" width="11" style="1" bestFit="1" customWidth="1"/>
    <col min="12292" max="12292" width="13.28515625" style="1" bestFit="1" customWidth="1"/>
    <col min="12293" max="12293" width="10" style="1" bestFit="1" customWidth="1"/>
    <col min="12294" max="12294" width="11" style="1" bestFit="1" customWidth="1"/>
    <col min="12295" max="12500" width="9" style="1"/>
    <col min="12501" max="12501" width="2.85546875" style="1" bestFit="1" customWidth="1"/>
    <col min="12502" max="12502" width="16.5703125" style="1" bestFit="1" customWidth="1"/>
    <col min="12503" max="12503" width="11.42578125" style="1" bestFit="1" customWidth="1"/>
    <col min="12504" max="12505" width="14.140625" style="1" bestFit="1" customWidth="1"/>
    <col min="12506" max="12506" width="11.42578125" style="1" bestFit="1" customWidth="1"/>
    <col min="12507" max="12510" width="12.42578125" style="1" bestFit="1" customWidth="1"/>
    <col min="12511" max="12530" width="13" style="1" bestFit="1" customWidth="1"/>
    <col min="12531" max="12534" width="11" style="1" bestFit="1" customWidth="1"/>
    <col min="12535" max="12537" width="12.28515625" style="1" bestFit="1" customWidth="1"/>
    <col min="12538" max="12547" width="11" style="1" bestFit="1" customWidth="1"/>
    <col min="12548" max="12548" width="13.28515625" style="1" bestFit="1" customWidth="1"/>
    <col min="12549" max="12549" width="10" style="1" bestFit="1" customWidth="1"/>
    <col min="12550" max="12550" width="11" style="1" bestFit="1" customWidth="1"/>
    <col min="12551" max="12756" width="9" style="1"/>
    <col min="12757" max="12757" width="2.85546875" style="1" bestFit="1" customWidth="1"/>
    <col min="12758" max="12758" width="16.5703125" style="1" bestFit="1" customWidth="1"/>
    <col min="12759" max="12759" width="11.42578125" style="1" bestFit="1" customWidth="1"/>
    <col min="12760" max="12761" width="14.140625" style="1" bestFit="1" customWidth="1"/>
    <col min="12762" max="12762" width="11.42578125" style="1" bestFit="1" customWidth="1"/>
    <col min="12763" max="12766" width="12.42578125" style="1" bestFit="1" customWidth="1"/>
    <col min="12767" max="12786" width="13" style="1" bestFit="1" customWidth="1"/>
    <col min="12787" max="12790" width="11" style="1" bestFit="1" customWidth="1"/>
    <col min="12791" max="12793" width="12.28515625" style="1" bestFit="1" customWidth="1"/>
    <col min="12794" max="12803" width="11" style="1" bestFit="1" customWidth="1"/>
    <col min="12804" max="12804" width="13.28515625" style="1" bestFit="1" customWidth="1"/>
    <col min="12805" max="12805" width="10" style="1" bestFit="1" customWidth="1"/>
    <col min="12806" max="12806" width="11" style="1" bestFit="1" customWidth="1"/>
    <col min="12807" max="13012" width="9" style="1"/>
    <col min="13013" max="13013" width="2.85546875" style="1" bestFit="1" customWidth="1"/>
    <col min="13014" max="13014" width="16.5703125" style="1" bestFit="1" customWidth="1"/>
    <col min="13015" max="13015" width="11.42578125" style="1" bestFit="1" customWidth="1"/>
    <col min="13016" max="13017" width="14.140625" style="1" bestFit="1" customWidth="1"/>
    <col min="13018" max="13018" width="11.42578125" style="1" bestFit="1" customWidth="1"/>
    <col min="13019" max="13022" width="12.42578125" style="1" bestFit="1" customWidth="1"/>
    <col min="13023" max="13042" width="13" style="1" bestFit="1" customWidth="1"/>
    <col min="13043" max="13046" width="11" style="1" bestFit="1" customWidth="1"/>
    <col min="13047" max="13049" width="12.28515625" style="1" bestFit="1" customWidth="1"/>
    <col min="13050" max="13059" width="11" style="1" bestFit="1" customWidth="1"/>
    <col min="13060" max="13060" width="13.28515625" style="1" bestFit="1" customWidth="1"/>
    <col min="13061" max="13061" width="10" style="1" bestFit="1" customWidth="1"/>
    <col min="13062" max="13062" width="11" style="1" bestFit="1" customWidth="1"/>
    <col min="13063" max="13268" width="9" style="1"/>
    <col min="13269" max="13269" width="2.85546875" style="1" bestFit="1" customWidth="1"/>
    <col min="13270" max="13270" width="16.5703125" style="1" bestFit="1" customWidth="1"/>
    <col min="13271" max="13271" width="11.42578125" style="1" bestFit="1" customWidth="1"/>
    <col min="13272" max="13273" width="14.140625" style="1" bestFit="1" customWidth="1"/>
    <col min="13274" max="13274" width="11.42578125" style="1" bestFit="1" customWidth="1"/>
    <col min="13275" max="13278" width="12.42578125" style="1" bestFit="1" customWidth="1"/>
    <col min="13279" max="13298" width="13" style="1" bestFit="1" customWidth="1"/>
    <col min="13299" max="13302" width="11" style="1" bestFit="1" customWidth="1"/>
    <col min="13303" max="13305" width="12.28515625" style="1" bestFit="1" customWidth="1"/>
    <col min="13306" max="13315" width="11" style="1" bestFit="1" customWidth="1"/>
    <col min="13316" max="13316" width="13.28515625" style="1" bestFit="1" customWidth="1"/>
    <col min="13317" max="13317" width="10" style="1" bestFit="1" customWidth="1"/>
    <col min="13318" max="13318" width="11" style="1" bestFit="1" customWidth="1"/>
    <col min="13319" max="13524" width="9" style="1"/>
    <col min="13525" max="13525" width="2.85546875" style="1" bestFit="1" customWidth="1"/>
    <col min="13526" max="13526" width="16.5703125" style="1" bestFit="1" customWidth="1"/>
    <col min="13527" max="13527" width="11.42578125" style="1" bestFit="1" customWidth="1"/>
    <col min="13528" max="13529" width="14.140625" style="1" bestFit="1" customWidth="1"/>
    <col min="13530" max="13530" width="11.42578125" style="1" bestFit="1" customWidth="1"/>
    <col min="13531" max="13534" width="12.42578125" style="1" bestFit="1" customWidth="1"/>
    <col min="13535" max="13554" width="13" style="1" bestFit="1" customWidth="1"/>
    <col min="13555" max="13558" width="11" style="1" bestFit="1" customWidth="1"/>
    <col min="13559" max="13561" width="12.28515625" style="1" bestFit="1" customWidth="1"/>
    <col min="13562" max="13571" width="11" style="1" bestFit="1" customWidth="1"/>
    <col min="13572" max="13572" width="13.28515625" style="1" bestFit="1" customWidth="1"/>
    <col min="13573" max="13573" width="10" style="1" bestFit="1" customWidth="1"/>
    <col min="13574" max="13574" width="11" style="1" bestFit="1" customWidth="1"/>
    <col min="13575" max="13780" width="9" style="1"/>
    <col min="13781" max="13781" width="2.85546875" style="1" bestFit="1" customWidth="1"/>
    <col min="13782" max="13782" width="16.5703125" style="1" bestFit="1" customWidth="1"/>
    <col min="13783" max="13783" width="11.42578125" style="1" bestFit="1" customWidth="1"/>
    <col min="13784" max="13785" width="14.140625" style="1" bestFit="1" customWidth="1"/>
    <col min="13786" max="13786" width="11.42578125" style="1" bestFit="1" customWidth="1"/>
    <col min="13787" max="13790" width="12.42578125" style="1" bestFit="1" customWidth="1"/>
    <col min="13791" max="13810" width="13" style="1" bestFit="1" customWidth="1"/>
    <col min="13811" max="13814" width="11" style="1" bestFit="1" customWidth="1"/>
    <col min="13815" max="13817" width="12.28515625" style="1" bestFit="1" customWidth="1"/>
    <col min="13818" max="13827" width="11" style="1" bestFit="1" customWidth="1"/>
    <col min="13828" max="13828" width="13.28515625" style="1" bestFit="1" customWidth="1"/>
    <col min="13829" max="13829" width="10" style="1" bestFit="1" customWidth="1"/>
    <col min="13830" max="13830" width="11" style="1" bestFit="1" customWidth="1"/>
    <col min="13831" max="14036" width="9" style="1"/>
    <col min="14037" max="14037" width="2.85546875" style="1" bestFit="1" customWidth="1"/>
    <col min="14038" max="14038" width="16.5703125" style="1" bestFit="1" customWidth="1"/>
    <col min="14039" max="14039" width="11.42578125" style="1" bestFit="1" customWidth="1"/>
    <col min="14040" max="14041" width="14.140625" style="1" bestFit="1" customWidth="1"/>
    <col min="14042" max="14042" width="11.42578125" style="1" bestFit="1" customWidth="1"/>
    <col min="14043" max="14046" width="12.42578125" style="1" bestFit="1" customWidth="1"/>
    <col min="14047" max="14066" width="13" style="1" bestFit="1" customWidth="1"/>
    <col min="14067" max="14070" width="11" style="1" bestFit="1" customWidth="1"/>
    <col min="14071" max="14073" width="12.28515625" style="1" bestFit="1" customWidth="1"/>
    <col min="14074" max="14083" width="11" style="1" bestFit="1" customWidth="1"/>
    <col min="14084" max="14084" width="13.28515625" style="1" bestFit="1" customWidth="1"/>
    <col min="14085" max="14085" width="10" style="1" bestFit="1" customWidth="1"/>
    <col min="14086" max="14086" width="11" style="1" bestFit="1" customWidth="1"/>
    <col min="14087" max="14292" width="9" style="1"/>
    <col min="14293" max="14293" width="2.85546875" style="1" bestFit="1" customWidth="1"/>
    <col min="14294" max="14294" width="16.5703125" style="1" bestFit="1" customWidth="1"/>
    <col min="14295" max="14295" width="11.42578125" style="1" bestFit="1" customWidth="1"/>
    <col min="14296" max="14297" width="14.140625" style="1" bestFit="1" customWidth="1"/>
    <col min="14298" max="14298" width="11.42578125" style="1" bestFit="1" customWidth="1"/>
    <col min="14299" max="14302" width="12.42578125" style="1" bestFit="1" customWidth="1"/>
    <col min="14303" max="14322" width="13" style="1" bestFit="1" customWidth="1"/>
    <col min="14323" max="14326" width="11" style="1" bestFit="1" customWidth="1"/>
    <col min="14327" max="14329" width="12.28515625" style="1" bestFit="1" customWidth="1"/>
    <col min="14330" max="14339" width="11" style="1" bestFit="1" customWidth="1"/>
    <col min="14340" max="14340" width="13.28515625" style="1" bestFit="1" customWidth="1"/>
    <col min="14341" max="14341" width="10" style="1" bestFit="1" customWidth="1"/>
    <col min="14342" max="14342" width="11" style="1" bestFit="1" customWidth="1"/>
    <col min="14343" max="14548" width="9" style="1"/>
    <col min="14549" max="14549" width="2.85546875" style="1" bestFit="1" customWidth="1"/>
    <col min="14550" max="14550" width="16.5703125" style="1" bestFit="1" customWidth="1"/>
    <col min="14551" max="14551" width="11.42578125" style="1" bestFit="1" customWidth="1"/>
    <col min="14552" max="14553" width="14.140625" style="1" bestFit="1" customWidth="1"/>
    <col min="14554" max="14554" width="11.42578125" style="1" bestFit="1" customWidth="1"/>
    <col min="14555" max="14558" width="12.42578125" style="1" bestFit="1" customWidth="1"/>
    <col min="14559" max="14578" width="13" style="1" bestFit="1" customWidth="1"/>
    <col min="14579" max="14582" width="11" style="1" bestFit="1" customWidth="1"/>
    <col min="14583" max="14585" width="12.28515625" style="1" bestFit="1" customWidth="1"/>
    <col min="14586" max="14595" width="11" style="1" bestFit="1" customWidth="1"/>
    <col min="14596" max="14596" width="13.28515625" style="1" bestFit="1" customWidth="1"/>
    <col min="14597" max="14597" width="10" style="1" bestFit="1" customWidth="1"/>
    <col min="14598" max="14598" width="11" style="1" bestFit="1" customWidth="1"/>
    <col min="14599" max="14804" width="9" style="1"/>
    <col min="14805" max="14805" width="2.85546875" style="1" bestFit="1" customWidth="1"/>
    <col min="14806" max="14806" width="16.5703125" style="1" bestFit="1" customWidth="1"/>
    <col min="14807" max="14807" width="11.42578125" style="1" bestFit="1" customWidth="1"/>
    <col min="14808" max="14809" width="14.140625" style="1" bestFit="1" customWidth="1"/>
    <col min="14810" max="14810" width="11.42578125" style="1" bestFit="1" customWidth="1"/>
    <col min="14811" max="14814" width="12.42578125" style="1" bestFit="1" customWidth="1"/>
    <col min="14815" max="14834" width="13" style="1" bestFit="1" customWidth="1"/>
    <col min="14835" max="14838" width="11" style="1" bestFit="1" customWidth="1"/>
    <col min="14839" max="14841" width="12.28515625" style="1" bestFit="1" customWidth="1"/>
    <col min="14842" max="14851" width="11" style="1" bestFit="1" customWidth="1"/>
    <col min="14852" max="14852" width="13.28515625" style="1" bestFit="1" customWidth="1"/>
    <col min="14853" max="14853" width="10" style="1" bestFit="1" customWidth="1"/>
    <col min="14854" max="14854" width="11" style="1" bestFit="1" customWidth="1"/>
    <col min="14855" max="15060" width="9" style="1"/>
    <col min="15061" max="15061" width="2.85546875" style="1" bestFit="1" customWidth="1"/>
    <col min="15062" max="15062" width="16.5703125" style="1" bestFit="1" customWidth="1"/>
    <col min="15063" max="15063" width="11.42578125" style="1" bestFit="1" customWidth="1"/>
    <col min="15064" max="15065" width="14.140625" style="1" bestFit="1" customWidth="1"/>
    <col min="15066" max="15066" width="11.42578125" style="1" bestFit="1" customWidth="1"/>
    <col min="15067" max="15070" width="12.42578125" style="1" bestFit="1" customWidth="1"/>
    <col min="15071" max="15090" width="13" style="1" bestFit="1" customWidth="1"/>
    <col min="15091" max="15094" width="11" style="1" bestFit="1" customWidth="1"/>
    <col min="15095" max="15097" width="12.28515625" style="1" bestFit="1" customWidth="1"/>
    <col min="15098" max="15107" width="11" style="1" bestFit="1" customWidth="1"/>
    <col min="15108" max="15108" width="13.28515625" style="1" bestFit="1" customWidth="1"/>
    <col min="15109" max="15109" width="10" style="1" bestFit="1" customWidth="1"/>
    <col min="15110" max="15110" width="11" style="1" bestFit="1" customWidth="1"/>
    <col min="15111" max="15316" width="9" style="1"/>
    <col min="15317" max="15317" width="2.85546875" style="1" bestFit="1" customWidth="1"/>
    <col min="15318" max="15318" width="16.5703125" style="1" bestFit="1" customWidth="1"/>
    <col min="15319" max="15319" width="11.42578125" style="1" bestFit="1" customWidth="1"/>
    <col min="15320" max="15321" width="14.140625" style="1" bestFit="1" customWidth="1"/>
    <col min="15322" max="15322" width="11.42578125" style="1" bestFit="1" customWidth="1"/>
    <col min="15323" max="15326" width="12.42578125" style="1" bestFit="1" customWidth="1"/>
    <col min="15327" max="15346" width="13" style="1" bestFit="1" customWidth="1"/>
    <col min="15347" max="15350" width="11" style="1" bestFit="1" customWidth="1"/>
    <col min="15351" max="15353" width="12.28515625" style="1" bestFit="1" customWidth="1"/>
    <col min="15354" max="15363" width="11" style="1" bestFit="1" customWidth="1"/>
    <col min="15364" max="15364" width="13.28515625" style="1" bestFit="1" customWidth="1"/>
    <col min="15365" max="15365" width="10" style="1" bestFit="1" customWidth="1"/>
    <col min="15366" max="15366" width="11" style="1" bestFit="1" customWidth="1"/>
    <col min="15367" max="15572" width="9" style="1"/>
    <col min="15573" max="15573" width="2.85546875" style="1" bestFit="1" customWidth="1"/>
    <col min="15574" max="15574" width="16.5703125" style="1" bestFit="1" customWidth="1"/>
    <col min="15575" max="15575" width="11.42578125" style="1" bestFit="1" customWidth="1"/>
    <col min="15576" max="15577" width="14.140625" style="1" bestFit="1" customWidth="1"/>
    <col min="15578" max="15578" width="11.42578125" style="1" bestFit="1" customWidth="1"/>
    <col min="15579" max="15582" width="12.42578125" style="1" bestFit="1" customWidth="1"/>
    <col min="15583" max="15602" width="13" style="1" bestFit="1" customWidth="1"/>
    <col min="15603" max="15606" width="11" style="1" bestFit="1" customWidth="1"/>
    <col min="15607" max="15609" width="12.28515625" style="1" bestFit="1" customWidth="1"/>
    <col min="15610" max="15619" width="11" style="1" bestFit="1" customWidth="1"/>
    <col min="15620" max="15620" width="13.28515625" style="1" bestFit="1" customWidth="1"/>
    <col min="15621" max="15621" width="10" style="1" bestFit="1" customWidth="1"/>
    <col min="15622" max="15622" width="11" style="1" bestFit="1" customWidth="1"/>
    <col min="15623" max="15828" width="9" style="1"/>
    <col min="15829" max="15829" width="2.85546875" style="1" bestFit="1" customWidth="1"/>
    <col min="15830" max="15830" width="16.5703125" style="1" bestFit="1" customWidth="1"/>
    <col min="15831" max="15831" width="11.42578125" style="1" bestFit="1" customWidth="1"/>
    <col min="15832" max="15833" width="14.140625" style="1" bestFit="1" customWidth="1"/>
    <col min="15834" max="15834" width="11.42578125" style="1" bestFit="1" customWidth="1"/>
    <col min="15835" max="15838" width="12.42578125" style="1" bestFit="1" customWidth="1"/>
    <col min="15839" max="15858" width="13" style="1" bestFit="1" customWidth="1"/>
    <col min="15859" max="15862" width="11" style="1" bestFit="1" customWidth="1"/>
    <col min="15863" max="15865" width="12.28515625" style="1" bestFit="1" customWidth="1"/>
    <col min="15866" max="15875" width="11" style="1" bestFit="1" customWidth="1"/>
    <col min="15876" max="15876" width="13.28515625" style="1" bestFit="1" customWidth="1"/>
    <col min="15877" max="15877" width="10" style="1" bestFit="1" customWidth="1"/>
    <col min="15878" max="15878" width="11" style="1" bestFit="1" customWidth="1"/>
    <col min="15879" max="16084" width="9" style="1"/>
    <col min="16085" max="16085" width="2.85546875" style="1" bestFit="1" customWidth="1"/>
    <col min="16086" max="16086" width="16.5703125" style="1" bestFit="1" customWidth="1"/>
    <col min="16087" max="16087" width="11.42578125" style="1" bestFit="1" customWidth="1"/>
    <col min="16088" max="16089" width="14.140625" style="1" bestFit="1" customWidth="1"/>
    <col min="16090" max="16090" width="11.42578125" style="1" bestFit="1" customWidth="1"/>
    <col min="16091" max="16094" width="12.42578125" style="1" bestFit="1" customWidth="1"/>
    <col min="16095" max="16114" width="13" style="1" bestFit="1" customWidth="1"/>
    <col min="16115" max="16118" width="11" style="1" bestFit="1" customWidth="1"/>
    <col min="16119" max="16121" width="12.28515625" style="1" bestFit="1" customWidth="1"/>
    <col min="16122" max="16131" width="11" style="1" bestFit="1" customWidth="1"/>
    <col min="16132" max="16132" width="13.28515625" style="1" bestFit="1" customWidth="1"/>
    <col min="16133" max="16133" width="10" style="1" bestFit="1" customWidth="1"/>
    <col min="16134" max="16134" width="11" style="1" bestFit="1" customWidth="1"/>
    <col min="16135" max="16384" width="9" style="1"/>
  </cols>
  <sheetData>
    <row r="2" spans="1:6" ht="30.75" customHeight="1"/>
    <row r="3" spans="1:6" ht="17.25">
      <c r="A3" s="53">
        <v>45717</v>
      </c>
      <c r="B3" s="53"/>
      <c r="C3" s="40" t="s">
        <v>228</v>
      </c>
    </row>
    <row r="4" spans="1:6" s="3" customFormat="1">
      <c r="A4" s="46" t="s">
        <v>1</v>
      </c>
      <c r="B4" s="46"/>
      <c r="C4" s="43" t="s">
        <v>229</v>
      </c>
      <c r="D4" s="43" t="s">
        <v>46</v>
      </c>
      <c r="E4" s="43" t="s">
        <v>47</v>
      </c>
      <c r="F4" s="2" t="s">
        <v>48</v>
      </c>
    </row>
    <row r="5" spans="1:6" s="3" customFormat="1" hidden="1">
      <c r="A5" s="50" t="s">
        <v>49</v>
      </c>
      <c r="B5" s="54"/>
      <c r="C5" s="43">
        <v>8</v>
      </c>
      <c r="D5" s="43"/>
      <c r="E5" s="43"/>
      <c r="F5" s="2"/>
    </row>
    <row r="6" spans="1:6" s="3" customFormat="1" hidden="1">
      <c r="A6" s="50" t="s">
        <v>50</v>
      </c>
      <c r="B6" s="54"/>
      <c r="C6" s="43" t="s">
        <v>55</v>
      </c>
      <c r="D6" s="43"/>
      <c r="E6" s="43"/>
      <c r="F6" s="2"/>
    </row>
    <row r="7" spans="1:6" s="3" customFormat="1">
      <c r="A7" s="52" t="s">
        <v>56</v>
      </c>
      <c r="B7" s="52"/>
      <c r="C7" s="44"/>
      <c r="D7" s="44"/>
      <c r="E7" s="44"/>
      <c r="F7" s="4"/>
    </row>
    <row r="8" spans="1:6" s="3" customFormat="1">
      <c r="A8" s="52" t="s">
        <v>89</v>
      </c>
      <c r="B8" s="52"/>
      <c r="C8" s="44" t="s">
        <v>230</v>
      </c>
      <c r="D8" s="44"/>
      <c r="E8" s="44"/>
      <c r="F8" s="4"/>
    </row>
    <row r="9" spans="1:6">
      <c r="A9" s="48" t="s">
        <v>125</v>
      </c>
      <c r="B9" s="49"/>
      <c r="C9" s="6">
        <v>8</v>
      </c>
      <c r="D9" s="6">
        <f>SUM(C9:C9)</f>
        <v>8</v>
      </c>
      <c r="E9" s="6"/>
      <c r="F9" s="7"/>
    </row>
    <row r="10" spans="1:6">
      <c r="A10" s="46" t="s">
        <v>126</v>
      </c>
      <c r="B10" s="46"/>
      <c r="C10" s="9"/>
      <c r="D10" s="9"/>
      <c r="E10" s="9"/>
      <c r="F10" s="10"/>
    </row>
    <row r="11" spans="1:6">
      <c r="A11" s="46" t="s">
        <v>137</v>
      </c>
      <c r="B11" s="46"/>
      <c r="C11" s="12">
        <v>0</v>
      </c>
      <c r="D11" s="13">
        <f>SUM(C11:C11)</f>
        <v>0</v>
      </c>
      <c r="E11" s="13">
        <f t="shared" ref="E11:E42" si="0">AVERAGE(C11:C11)</f>
        <v>0</v>
      </c>
      <c r="F11" s="10"/>
    </row>
    <row r="12" spans="1:6">
      <c r="A12" s="50" t="s">
        <v>138</v>
      </c>
      <c r="B12" s="51"/>
      <c r="C12" s="15">
        <v>0</v>
      </c>
      <c r="D12" s="16">
        <f>SUM(C12:C12)</f>
        <v>0</v>
      </c>
      <c r="E12" s="16">
        <f t="shared" si="0"/>
        <v>0</v>
      </c>
      <c r="F12" s="10"/>
    </row>
    <row r="13" spans="1:6">
      <c r="A13" s="46" t="s">
        <v>139</v>
      </c>
      <c r="B13" s="46"/>
      <c r="C13" s="12">
        <v>0</v>
      </c>
      <c r="D13" s="13">
        <f>SUM(C13:C13)</f>
        <v>0</v>
      </c>
      <c r="E13" s="13">
        <f t="shared" si="0"/>
        <v>0</v>
      </c>
      <c r="F13" s="10" t="e">
        <f>D13/D13</f>
        <v>#DIV/0!</v>
      </c>
    </row>
    <row r="14" spans="1:6">
      <c r="A14" s="50" t="s">
        <v>140</v>
      </c>
      <c r="B14" s="51"/>
      <c r="C14" s="12">
        <v>0</v>
      </c>
      <c r="D14" s="13">
        <f>SUM(C14:C14)</f>
        <v>0</v>
      </c>
      <c r="E14" s="13">
        <f t="shared" si="0"/>
        <v>0</v>
      </c>
      <c r="F14" s="10"/>
    </row>
    <row r="15" spans="1:6">
      <c r="A15" s="46" t="s">
        <v>141</v>
      </c>
      <c r="B15" s="46"/>
      <c r="C15" s="12" t="e">
        <f>SUM(C13/C11)</f>
        <v>#DIV/0!</v>
      </c>
      <c r="D15" s="9" t="e">
        <f>SUM(D13/D11)</f>
        <v>#DIV/0!</v>
      </c>
      <c r="E15" s="13" t="e">
        <f t="shared" si="0"/>
        <v>#DIV/0!</v>
      </c>
      <c r="F15" s="10"/>
    </row>
    <row r="16" spans="1:6">
      <c r="A16" s="50" t="s">
        <v>142</v>
      </c>
      <c r="B16" s="51"/>
      <c r="C16" s="18" t="e">
        <f>C13/(C12*24)</f>
        <v>#DIV/0!</v>
      </c>
      <c r="D16" s="19" t="e">
        <f>D13/(D12*24)</f>
        <v>#DIV/0!</v>
      </c>
      <c r="E16" s="19" t="e">
        <f t="shared" si="0"/>
        <v>#DIV/0!</v>
      </c>
      <c r="F16" s="10"/>
    </row>
    <row r="17" spans="1:6">
      <c r="A17" s="47" t="s">
        <v>143</v>
      </c>
      <c r="B17" s="8" t="s">
        <v>144</v>
      </c>
      <c r="C17" s="12">
        <v>245000</v>
      </c>
      <c r="D17" s="13">
        <f t="shared" ref="D17:D28" si="1">SUM(C17:C17)</f>
        <v>245000</v>
      </c>
      <c r="E17" s="13">
        <f t="shared" si="0"/>
        <v>245000</v>
      </c>
      <c r="F17" s="10" t="e">
        <f>D17/D13</f>
        <v>#DIV/0!</v>
      </c>
    </row>
    <row r="18" spans="1:6">
      <c r="A18" s="47"/>
      <c r="B18" s="8" t="s">
        <v>145</v>
      </c>
      <c r="C18" s="12">
        <v>0</v>
      </c>
      <c r="D18" s="13">
        <f t="shared" si="1"/>
        <v>0</v>
      </c>
      <c r="E18" s="13">
        <f t="shared" si="0"/>
        <v>0</v>
      </c>
      <c r="F18" s="10" t="e">
        <f>D18/D13</f>
        <v>#DIV/0!</v>
      </c>
    </row>
    <row r="19" spans="1:6">
      <c r="A19" s="47"/>
      <c r="B19" s="8" t="s">
        <v>146</v>
      </c>
      <c r="C19" s="12">
        <v>0</v>
      </c>
      <c r="D19" s="13">
        <f t="shared" si="1"/>
        <v>0</v>
      </c>
      <c r="E19" s="13">
        <f t="shared" si="0"/>
        <v>0</v>
      </c>
      <c r="F19" s="10" t="e">
        <f>D19/D13</f>
        <v>#DIV/0!</v>
      </c>
    </row>
    <row r="20" spans="1:6">
      <c r="A20" s="47"/>
      <c r="B20" s="8" t="s">
        <v>147</v>
      </c>
      <c r="C20" s="12">
        <v>4766</v>
      </c>
      <c r="D20" s="13">
        <f t="shared" si="1"/>
        <v>4766</v>
      </c>
      <c r="E20" s="13">
        <f t="shared" si="0"/>
        <v>4766</v>
      </c>
      <c r="F20" s="10" t="e">
        <f>D20/D13</f>
        <v>#DIV/0!</v>
      </c>
    </row>
    <row r="21" spans="1:6">
      <c r="A21" s="47"/>
      <c r="B21" s="8" t="s">
        <v>148</v>
      </c>
      <c r="C21" s="12">
        <v>40944</v>
      </c>
      <c r="D21" s="13">
        <f t="shared" si="1"/>
        <v>40944</v>
      </c>
      <c r="E21" s="13">
        <f t="shared" si="0"/>
        <v>40944</v>
      </c>
      <c r="F21" s="10" t="e">
        <f>D21/D13</f>
        <v>#DIV/0!</v>
      </c>
    </row>
    <row r="22" spans="1:6">
      <c r="A22" s="47"/>
      <c r="B22" s="20" t="s">
        <v>149</v>
      </c>
      <c r="C22" s="22">
        <f>SUM(C17:C21)</f>
        <v>290710</v>
      </c>
      <c r="D22" s="23">
        <f t="shared" si="1"/>
        <v>290710</v>
      </c>
      <c r="E22" s="23">
        <f t="shared" si="0"/>
        <v>290710</v>
      </c>
      <c r="F22" s="24" t="e">
        <f>D22/D13</f>
        <v>#DIV/0!</v>
      </c>
    </row>
    <row r="23" spans="1:6">
      <c r="A23" s="47" t="s">
        <v>150</v>
      </c>
      <c r="B23" s="8" t="s">
        <v>151</v>
      </c>
      <c r="C23" s="12">
        <v>0</v>
      </c>
      <c r="D23" s="13">
        <f t="shared" si="1"/>
        <v>0</v>
      </c>
      <c r="E23" s="13">
        <f t="shared" si="0"/>
        <v>0</v>
      </c>
      <c r="F23" s="10" t="e">
        <f>D23/D13</f>
        <v>#DIV/0!</v>
      </c>
    </row>
    <row r="24" spans="1:6">
      <c r="A24" s="47"/>
      <c r="B24" s="8" t="s">
        <v>152</v>
      </c>
      <c r="C24" s="12">
        <v>0</v>
      </c>
      <c r="D24" s="13">
        <f t="shared" si="1"/>
        <v>0</v>
      </c>
      <c r="E24" s="13">
        <f t="shared" si="0"/>
        <v>0</v>
      </c>
      <c r="F24" s="10" t="e">
        <f>D24/D13</f>
        <v>#DIV/0!</v>
      </c>
    </row>
    <row r="25" spans="1:6">
      <c r="A25" s="47"/>
      <c r="B25" s="8" t="s">
        <v>153</v>
      </c>
      <c r="C25" s="12">
        <f>30000*C9/70000*C11</f>
        <v>0</v>
      </c>
      <c r="D25" s="13">
        <f t="shared" si="1"/>
        <v>0</v>
      </c>
      <c r="E25" s="13">
        <f t="shared" si="0"/>
        <v>0</v>
      </c>
      <c r="F25" s="10" t="e">
        <f>D25/D13</f>
        <v>#DIV/0!</v>
      </c>
    </row>
    <row r="26" spans="1:6">
      <c r="A26" s="47"/>
      <c r="B26" s="8"/>
      <c r="C26" s="12">
        <v>0</v>
      </c>
      <c r="D26" s="13">
        <f t="shared" si="1"/>
        <v>0</v>
      </c>
      <c r="E26" s="13">
        <f t="shared" si="0"/>
        <v>0</v>
      </c>
      <c r="F26" s="10" t="e">
        <f>D26/D13</f>
        <v>#DIV/0!</v>
      </c>
    </row>
    <row r="27" spans="1:6">
      <c r="A27" s="47"/>
      <c r="B27" s="20" t="s">
        <v>154</v>
      </c>
      <c r="C27" s="22">
        <f>SUM(C23:C26)</f>
        <v>0</v>
      </c>
      <c r="D27" s="23">
        <f t="shared" si="1"/>
        <v>0</v>
      </c>
      <c r="E27" s="23">
        <f t="shared" si="0"/>
        <v>0</v>
      </c>
      <c r="F27" s="24" t="e">
        <f>D27/D13</f>
        <v>#DIV/0!</v>
      </c>
    </row>
    <row r="28" spans="1:6">
      <c r="A28" s="47" t="s">
        <v>155</v>
      </c>
      <c r="B28" s="5" t="s">
        <v>156</v>
      </c>
      <c r="C28" s="26">
        <v>0</v>
      </c>
      <c r="D28" s="27">
        <f t="shared" si="1"/>
        <v>0</v>
      </c>
      <c r="E28" s="27">
        <f t="shared" si="0"/>
        <v>0</v>
      </c>
      <c r="F28" s="7" t="e">
        <f>D28/D13</f>
        <v>#DIV/0!</v>
      </c>
    </row>
    <row r="29" spans="1:6">
      <c r="A29" s="47"/>
      <c r="B29" s="28" t="s">
        <v>157</v>
      </c>
      <c r="C29" s="30" t="e">
        <f>SUM(C11/C28)</f>
        <v>#DIV/0!</v>
      </c>
      <c r="D29" s="31" t="e">
        <f>SUM(D11/D28)</f>
        <v>#DIV/0!</v>
      </c>
      <c r="E29" s="31" t="e">
        <f t="shared" si="0"/>
        <v>#DIV/0!</v>
      </c>
      <c r="F29" s="28" t="e">
        <f>D29/D13</f>
        <v>#DIV/0!</v>
      </c>
    </row>
    <row r="30" spans="1:6">
      <c r="A30" s="47"/>
      <c r="B30" s="8" t="s">
        <v>158</v>
      </c>
      <c r="C30" s="12">
        <v>0</v>
      </c>
      <c r="D30" s="13">
        <f t="shared" ref="D30:D60" si="2">SUM(C30:C30)</f>
        <v>0</v>
      </c>
      <c r="E30" s="13">
        <f t="shared" si="0"/>
        <v>0</v>
      </c>
      <c r="F30" s="10" t="e">
        <f>D30/D13</f>
        <v>#DIV/0!</v>
      </c>
    </row>
    <row r="31" spans="1:6">
      <c r="A31" s="47"/>
      <c r="B31" s="8" t="s">
        <v>159</v>
      </c>
      <c r="C31" s="12">
        <v>0</v>
      </c>
      <c r="D31" s="13">
        <f t="shared" si="2"/>
        <v>0</v>
      </c>
      <c r="E31" s="13">
        <f t="shared" si="0"/>
        <v>0</v>
      </c>
      <c r="F31" s="10" t="e">
        <f>D31/D13</f>
        <v>#DIV/0!</v>
      </c>
    </row>
    <row r="32" spans="1:6">
      <c r="A32" s="47"/>
      <c r="B32" s="8" t="s">
        <v>160</v>
      </c>
      <c r="C32" s="12">
        <v>0</v>
      </c>
      <c r="D32" s="13">
        <f t="shared" si="2"/>
        <v>0</v>
      </c>
      <c r="E32" s="13">
        <f t="shared" si="0"/>
        <v>0</v>
      </c>
      <c r="F32" s="10" t="e">
        <f>D32/D13</f>
        <v>#DIV/0!</v>
      </c>
    </row>
    <row r="33" spans="1:6">
      <c r="A33" s="47"/>
      <c r="B33" s="20" t="s">
        <v>161</v>
      </c>
      <c r="C33" s="22">
        <f>SUM(C30:C32)</f>
        <v>0</v>
      </c>
      <c r="D33" s="23">
        <f t="shared" si="2"/>
        <v>0</v>
      </c>
      <c r="E33" s="23">
        <f t="shared" si="0"/>
        <v>0</v>
      </c>
      <c r="F33" s="24" t="e">
        <f>D33/D13</f>
        <v>#DIV/0!</v>
      </c>
    </row>
    <row r="34" spans="1:6">
      <c r="A34" s="47" t="s">
        <v>162</v>
      </c>
      <c r="B34" s="8" t="s">
        <v>163</v>
      </c>
      <c r="C34" s="12">
        <v>2008</v>
      </c>
      <c r="D34" s="13">
        <f t="shared" si="2"/>
        <v>2008</v>
      </c>
      <c r="E34" s="13">
        <f t="shared" si="0"/>
        <v>2008</v>
      </c>
      <c r="F34" s="10" t="e">
        <f>D34/D13</f>
        <v>#DIV/0!</v>
      </c>
    </row>
    <row r="35" spans="1:6">
      <c r="A35" s="47"/>
      <c r="B35" s="8"/>
      <c r="C35" s="12">
        <v>0</v>
      </c>
      <c r="D35" s="13">
        <f t="shared" si="2"/>
        <v>0</v>
      </c>
      <c r="E35" s="13">
        <f t="shared" si="0"/>
        <v>0</v>
      </c>
      <c r="F35" s="10" t="e">
        <f>D35/D13</f>
        <v>#DIV/0!</v>
      </c>
    </row>
    <row r="36" spans="1:6">
      <c r="A36" s="47"/>
      <c r="B36" s="8"/>
      <c r="C36" s="12">
        <v>0</v>
      </c>
      <c r="D36" s="13">
        <f t="shared" si="2"/>
        <v>0</v>
      </c>
      <c r="E36" s="13">
        <f t="shared" si="0"/>
        <v>0</v>
      </c>
      <c r="F36" s="10" t="e">
        <f>D36/D13</f>
        <v>#DIV/0!</v>
      </c>
    </row>
    <row r="37" spans="1:6">
      <c r="A37" s="47"/>
      <c r="B37" s="8"/>
      <c r="C37" s="12">
        <v>0</v>
      </c>
      <c r="D37" s="13">
        <f t="shared" si="2"/>
        <v>0</v>
      </c>
      <c r="E37" s="13">
        <f t="shared" si="0"/>
        <v>0</v>
      </c>
      <c r="F37" s="10" t="e">
        <f>D37/D13</f>
        <v>#DIV/0!</v>
      </c>
    </row>
    <row r="38" spans="1:6">
      <c r="A38" s="47"/>
      <c r="B38" s="8" t="s">
        <v>164</v>
      </c>
      <c r="C38" s="12">
        <v>12255</v>
      </c>
      <c r="D38" s="13">
        <f t="shared" si="2"/>
        <v>12255</v>
      </c>
      <c r="E38" s="13">
        <f t="shared" si="0"/>
        <v>12255</v>
      </c>
      <c r="F38" s="10" t="e">
        <f>D38/D13</f>
        <v>#DIV/0!</v>
      </c>
    </row>
    <row r="39" spans="1:6">
      <c r="A39" s="47"/>
      <c r="B39" s="20" t="s">
        <v>165</v>
      </c>
      <c r="C39" s="22">
        <f>SUM(C34:C38)</f>
        <v>14263</v>
      </c>
      <c r="D39" s="23">
        <f t="shared" si="2"/>
        <v>14263</v>
      </c>
      <c r="E39" s="23">
        <f t="shared" si="0"/>
        <v>14263</v>
      </c>
      <c r="F39" s="24" t="e">
        <f>D39/D13</f>
        <v>#DIV/0!</v>
      </c>
    </row>
    <row r="40" spans="1:6">
      <c r="A40" s="47" t="s">
        <v>166</v>
      </c>
      <c r="B40" s="8" t="s">
        <v>167</v>
      </c>
      <c r="C40" s="12">
        <v>0</v>
      </c>
      <c r="D40" s="13">
        <f t="shared" si="2"/>
        <v>0</v>
      </c>
      <c r="E40" s="13">
        <f t="shared" si="0"/>
        <v>0</v>
      </c>
      <c r="F40" s="10" t="e">
        <f>D40/D13</f>
        <v>#DIV/0!</v>
      </c>
    </row>
    <row r="41" spans="1:6">
      <c r="A41" s="47"/>
      <c r="B41" s="8" t="s">
        <v>168</v>
      </c>
      <c r="C41" s="12">
        <v>0</v>
      </c>
      <c r="D41" s="13">
        <f t="shared" si="2"/>
        <v>0</v>
      </c>
      <c r="E41" s="13">
        <f t="shared" si="0"/>
        <v>0</v>
      </c>
      <c r="F41" s="10" t="e">
        <f>D41/D13</f>
        <v>#DIV/0!</v>
      </c>
    </row>
    <row r="42" spans="1:6">
      <c r="A42" s="47"/>
      <c r="B42" s="8" t="s">
        <v>169</v>
      </c>
      <c r="C42" s="12">
        <v>0</v>
      </c>
      <c r="D42" s="13">
        <f t="shared" si="2"/>
        <v>0</v>
      </c>
      <c r="E42" s="13">
        <f t="shared" si="0"/>
        <v>0</v>
      </c>
      <c r="F42" s="10" t="e">
        <f>D42/D13</f>
        <v>#DIV/0!</v>
      </c>
    </row>
    <row r="43" spans="1:6">
      <c r="A43" s="47"/>
      <c r="B43" s="8" t="s">
        <v>170</v>
      </c>
      <c r="C43" s="12">
        <v>0</v>
      </c>
      <c r="D43" s="13">
        <f t="shared" si="2"/>
        <v>0</v>
      </c>
      <c r="E43" s="13">
        <f>AVERAGE(B43:C43)</f>
        <v>0</v>
      </c>
      <c r="F43" s="10" t="e">
        <f>D43/D13</f>
        <v>#DIV/0!</v>
      </c>
    </row>
    <row r="44" spans="1:6">
      <c r="A44" s="47"/>
      <c r="B44" s="20" t="s">
        <v>171</v>
      </c>
      <c r="C44" s="22">
        <f>SUM(C40:C43)</f>
        <v>0</v>
      </c>
      <c r="D44" s="23">
        <f t="shared" si="2"/>
        <v>0</v>
      </c>
      <c r="E44" s="23">
        <f>AVERAGE(B44:C44)</f>
        <v>0</v>
      </c>
      <c r="F44" s="24" t="e">
        <f>D44/D13</f>
        <v>#DIV/0!</v>
      </c>
    </row>
    <row r="45" spans="1:6">
      <c r="A45" s="47" t="s">
        <v>172</v>
      </c>
      <c r="B45" s="8" t="s">
        <v>173</v>
      </c>
      <c r="C45" s="12">
        <v>0</v>
      </c>
      <c r="D45" s="13">
        <f t="shared" si="2"/>
        <v>0</v>
      </c>
      <c r="E45" s="13">
        <f t="shared" ref="E45:E60" si="3">AVERAGE(C45:C45)</f>
        <v>0</v>
      </c>
      <c r="F45" s="10" t="e">
        <f>D45/D13</f>
        <v>#DIV/0!</v>
      </c>
    </row>
    <row r="46" spans="1:6">
      <c r="A46" s="47"/>
      <c r="B46" s="8" t="s">
        <v>174</v>
      </c>
      <c r="C46" s="12">
        <v>0</v>
      </c>
      <c r="D46" s="13">
        <f t="shared" si="2"/>
        <v>0</v>
      </c>
      <c r="E46" s="13">
        <f t="shared" si="3"/>
        <v>0</v>
      </c>
      <c r="F46" s="10" t="e">
        <f>D46/D13</f>
        <v>#DIV/0!</v>
      </c>
    </row>
    <row r="47" spans="1:6">
      <c r="A47" s="47"/>
      <c r="B47" s="8" t="s">
        <v>175</v>
      </c>
      <c r="C47" s="12">
        <v>0</v>
      </c>
      <c r="D47" s="13">
        <f t="shared" si="2"/>
        <v>0</v>
      </c>
      <c r="E47" s="13">
        <f t="shared" si="3"/>
        <v>0</v>
      </c>
      <c r="F47" s="10" t="e">
        <f>D47/D13</f>
        <v>#DIV/0!</v>
      </c>
    </row>
    <row r="48" spans="1:6">
      <c r="A48" s="47"/>
      <c r="B48" s="8" t="s">
        <v>176</v>
      </c>
      <c r="C48" s="12">
        <v>0</v>
      </c>
      <c r="D48" s="13">
        <f t="shared" si="2"/>
        <v>0</v>
      </c>
      <c r="E48" s="13">
        <f t="shared" si="3"/>
        <v>0</v>
      </c>
      <c r="F48" s="10" t="e">
        <f>D48/D13</f>
        <v>#DIV/0!</v>
      </c>
    </row>
    <row r="49" spans="1:6">
      <c r="A49" s="47"/>
      <c r="B49" s="20" t="s">
        <v>177</v>
      </c>
      <c r="C49" s="22">
        <f>SUM(C45:C48)</f>
        <v>0</v>
      </c>
      <c r="D49" s="23">
        <f t="shared" si="2"/>
        <v>0</v>
      </c>
      <c r="E49" s="23">
        <f t="shared" si="3"/>
        <v>0</v>
      </c>
      <c r="F49" s="24" t="e">
        <f>D49/D13</f>
        <v>#DIV/0!</v>
      </c>
    </row>
    <row r="50" spans="1:6">
      <c r="A50" s="47" t="s">
        <v>178</v>
      </c>
      <c r="B50" s="8" t="s">
        <v>179</v>
      </c>
      <c r="C50" s="12">
        <v>0</v>
      </c>
      <c r="D50" s="13">
        <f t="shared" si="2"/>
        <v>0</v>
      </c>
      <c r="E50" s="13">
        <f t="shared" si="3"/>
        <v>0</v>
      </c>
      <c r="F50" s="10" t="e">
        <f>D50/D13</f>
        <v>#DIV/0!</v>
      </c>
    </row>
    <row r="51" spans="1:6">
      <c r="A51" s="47"/>
      <c r="B51" s="8" t="s">
        <v>180</v>
      </c>
      <c r="C51" s="12">
        <v>0</v>
      </c>
      <c r="D51" s="13">
        <f t="shared" si="2"/>
        <v>0</v>
      </c>
      <c r="E51" s="13">
        <f t="shared" si="3"/>
        <v>0</v>
      </c>
      <c r="F51" s="10" t="e">
        <f>D51/D13</f>
        <v>#DIV/0!</v>
      </c>
    </row>
    <row r="52" spans="1:6">
      <c r="A52" s="47"/>
      <c r="B52" s="8" t="s">
        <v>181</v>
      </c>
      <c r="C52" s="12">
        <v>0</v>
      </c>
      <c r="D52" s="13">
        <f t="shared" si="2"/>
        <v>0</v>
      </c>
      <c r="E52" s="13">
        <f t="shared" si="3"/>
        <v>0</v>
      </c>
      <c r="F52" s="10" t="e">
        <f>D52/D13</f>
        <v>#DIV/0!</v>
      </c>
    </row>
    <row r="53" spans="1:6">
      <c r="A53" s="47"/>
      <c r="B53" s="8" t="s">
        <v>182</v>
      </c>
      <c r="C53" s="12">
        <v>0</v>
      </c>
      <c r="D53" s="13">
        <f t="shared" si="2"/>
        <v>0</v>
      </c>
      <c r="E53" s="13">
        <f t="shared" si="3"/>
        <v>0</v>
      </c>
      <c r="F53" s="10" t="e">
        <f>D53/D13</f>
        <v>#DIV/0!</v>
      </c>
    </row>
    <row r="54" spans="1:6">
      <c r="A54" s="47"/>
      <c r="B54" s="8" t="s">
        <v>183</v>
      </c>
      <c r="C54" s="12">
        <v>0</v>
      </c>
      <c r="D54" s="13">
        <f t="shared" si="2"/>
        <v>0</v>
      </c>
      <c r="E54" s="13">
        <f t="shared" si="3"/>
        <v>0</v>
      </c>
      <c r="F54" s="10" t="e">
        <f>D54/D13</f>
        <v>#DIV/0!</v>
      </c>
    </row>
    <row r="55" spans="1:6">
      <c r="A55" s="47"/>
      <c r="B55" s="20" t="s">
        <v>184</v>
      </c>
      <c r="C55" s="22">
        <f>SUM(C50:C54)</f>
        <v>0</v>
      </c>
      <c r="D55" s="23">
        <f t="shared" si="2"/>
        <v>0</v>
      </c>
      <c r="E55" s="23">
        <f t="shared" si="3"/>
        <v>0</v>
      </c>
      <c r="F55" s="24" t="e">
        <f>D55/D13</f>
        <v>#DIV/0!</v>
      </c>
    </row>
    <row r="56" spans="1:6">
      <c r="A56" s="46" t="s">
        <v>185</v>
      </c>
      <c r="B56" s="46"/>
      <c r="C56" s="12">
        <f>SUM(C49+C22+C27+C33+C39+C44+C55)</f>
        <v>304973</v>
      </c>
      <c r="D56" s="13">
        <f t="shared" si="2"/>
        <v>304973</v>
      </c>
      <c r="E56" s="13">
        <f t="shared" si="3"/>
        <v>304973</v>
      </c>
      <c r="F56" s="10" t="e">
        <f>D56/D13</f>
        <v>#DIV/0!</v>
      </c>
    </row>
    <row r="57" spans="1:6">
      <c r="A57" s="46" t="s">
        <v>186</v>
      </c>
      <c r="B57" s="46"/>
      <c r="C57" s="11">
        <f>SUM(C13+C14-C56)</f>
        <v>-304973</v>
      </c>
      <c r="D57" s="13">
        <f t="shared" si="2"/>
        <v>-304973</v>
      </c>
      <c r="E57" s="13">
        <f t="shared" si="3"/>
        <v>-304973</v>
      </c>
      <c r="F57" s="10" t="e">
        <f>D57/D13</f>
        <v>#DIV/0!</v>
      </c>
    </row>
    <row r="58" spans="1:6">
      <c r="A58" s="46" t="s">
        <v>187</v>
      </c>
      <c r="B58" s="46"/>
      <c r="C58" s="12">
        <v>0</v>
      </c>
      <c r="D58" s="13">
        <f t="shared" si="2"/>
        <v>0</v>
      </c>
      <c r="E58" s="13">
        <f t="shared" si="3"/>
        <v>0</v>
      </c>
      <c r="F58" s="10" t="e">
        <f>D58/D13</f>
        <v>#DIV/0!</v>
      </c>
    </row>
    <row r="59" spans="1:6">
      <c r="A59" s="46" t="s">
        <v>188</v>
      </c>
      <c r="B59" s="46"/>
      <c r="C59" s="12">
        <v>0</v>
      </c>
      <c r="D59" s="13">
        <f t="shared" si="2"/>
        <v>0</v>
      </c>
      <c r="E59" s="13">
        <f t="shared" si="3"/>
        <v>0</v>
      </c>
      <c r="F59" s="10" t="e">
        <f>D59/D13</f>
        <v>#DIV/0!</v>
      </c>
    </row>
    <row r="60" spans="1:6">
      <c r="A60" s="46" t="s">
        <v>189</v>
      </c>
      <c r="B60" s="46"/>
      <c r="C60" s="12">
        <f>SUM(C57-(C58+C59))</f>
        <v>-304973</v>
      </c>
      <c r="D60" s="13">
        <f t="shared" si="2"/>
        <v>-304973</v>
      </c>
      <c r="E60" s="13">
        <f t="shared" si="3"/>
        <v>-304973</v>
      </c>
      <c r="F60" s="10" t="e">
        <f>D60/D13</f>
        <v>#DIV/0!</v>
      </c>
    </row>
    <row r="61" spans="1:6">
      <c r="A61" s="8"/>
      <c r="B61" s="32" t="s">
        <v>51</v>
      </c>
      <c r="C61" s="8"/>
    </row>
    <row r="62" spans="1:6">
      <c r="A62" s="9"/>
      <c r="B62" s="33"/>
      <c r="C62" s="8"/>
    </row>
    <row r="63" spans="1:6">
      <c r="A63" s="9"/>
      <c r="B63" s="35" t="s">
        <v>196</v>
      </c>
      <c r="C63" s="8"/>
    </row>
    <row r="64" spans="1:6">
      <c r="A64" s="9"/>
      <c r="B64" s="36" t="s">
        <v>197</v>
      </c>
      <c r="C64" s="8"/>
    </row>
    <row r="65" spans="1:3">
      <c r="A65" s="9"/>
      <c r="B65" s="36" t="s">
        <v>46</v>
      </c>
      <c r="C65" s="8"/>
    </row>
    <row r="66" spans="1:3">
      <c r="A66" s="8"/>
      <c r="B66" s="37" t="s">
        <v>52</v>
      </c>
      <c r="C66" s="8"/>
    </row>
    <row r="67" spans="1:3">
      <c r="A67" s="8"/>
      <c r="B67" s="33"/>
      <c r="C67" s="8"/>
    </row>
    <row r="68" spans="1:3">
      <c r="A68" s="8"/>
      <c r="B68" s="35" t="s">
        <v>196</v>
      </c>
      <c r="C68" s="8"/>
    </row>
    <row r="69" spans="1:3">
      <c r="A69" s="8"/>
      <c r="B69" s="36" t="s">
        <v>197</v>
      </c>
      <c r="C69" s="8"/>
    </row>
    <row r="70" spans="1:3">
      <c r="A70" s="8"/>
      <c r="B70" s="36" t="s">
        <v>46</v>
      </c>
      <c r="C70" s="8"/>
    </row>
    <row r="71" spans="1:3">
      <c r="A71" s="8"/>
      <c r="B71" s="8" t="s">
        <v>201</v>
      </c>
      <c r="C71" s="8"/>
    </row>
    <row r="72" spans="1:3">
      <c r="A72" s="8"/>
      <c r="B72" s="33"/>
      <c r="C72" s="8"/>
    </row>
    <row r="73" spans="1:3">
      <c r="A73" s="8"/>
      <c r="B73" s="35" t="s">
        <v>196</v>
      </c>
      <c r="C73" s="8"/>
    </row>
    <row r="74" spans="1:3">
      <c r="A74" s="8"/>
      <c r="B74" s="36" t="s">
        <v>197</v>
      </c>
      <c r="C74" s="8"/>
    </row>
    <row r="75" spans="1:3">
      <c r="A75" s="8"/>
      <c r="B75" s="36" t="s">
        <v>46</v>
      </c>
      <c r="C75" s="8"/>
    </row>
    <row r="76" spans="1:3">
      <c r="A76" s="8"/>
      <c r="B76" s="8" t="s">
        <v>205</v>
      </c>
      <c r="C76" s="8"/>
    </row>
    <row r="77" spans="1:3">
      <c r="A77" s="8"/>
      <c r="B77" s="33"/>
      <c r="C77" s="8"/>
    </row>
    <row r="78" spans="1:3">
      <c r="A78" s="8"/>
      <c r="B78" s="35" t="s">
        <v>196</v>
      </c>
      <c r="C78" s="8"/>
    </row>
    <row r="79" spans="1:3">
      <c r="A79" s="8"/>
      <c r="B79" s="36" t="s">
        <v>197</v>
      </c>
      <c r="C79" s="8"/>
    </row>
    <row r="80" spans="1:3">
      <c r="A80" s="8"/>
      <c r="B80" s="36" t="s">
        <v>46</v>
      </c>
      <c r="C80" s="8"/>
    </row>
    <row r="81" spans="1:3">
      <c r="A81" s="8"/>
      <c r="B81" s="8" t="s">
        <v>209</v>
      </c>
      <c r="C81" s="8"/>
    </row>
    <row r="82" spans="1:3">
      <c r="A82" s="8"/>
      <c r="B82" s="33"/>
      <c r="C82" s="8"/>
    </row>
    <row r="83" spans="1:3">
      <c r="A83" s="8"/>
      <c r="B83" s="35" t="s">
        <v>196</v>
      </c>
      <c r="C83" s="8"/>
    </row>
    <row r="84" spans="1:3">
      <c r="A84" s="8"/>
      <c r="B84" s="36" t="s">
        <v>197</v>
      </c>
      <c r="C84" s="8"/>
    </row>
    <row r="85" spans="1:3">
      <c r="A85" s="8"/>
      <c r="B85" s="36" t="s">
        <v>46</v>
      </c>
      <c r="C85" s="8"/>
    </row>
    <row r="86" spans="1:3">
      <c r="A86" s="8"/>
      <c r="B86" s="8"/>
      <c r="C86" s="8"/>
    </row>
    <row r="87" spans="1:3">
      <c r="A87" s="8"/>
      <c r="B87" s="33"/>
      <c r="C87" s="8"/>
    </row>
    <row r="88" spans="1:3">
      <c r="A88" s="8"/>
      <c r="B88" s="35" t="s">
        <v>196</v>
      </c>
      <c r="C88" s="8"/>
    </row>
    <row r="89" spans="1:3">
      <c r="B89" s="36" t="s">
        <v>197</v>
      </c>
    </row>
    <row r="90" spans="1:3">
      <c r="B90" s="36" t="s">
        <v>46</v>
      </c>
    </row>
    <row r="92" spans="1:3">
      <c r="B92" s="33"/>
    </row>
    <row r="93" spans="1:3">
      <c r="B93" s="35" t="s">
        <v>196</v>
      </c>
    </row>
    <row r="94" spans="1:3">
      <c r="B94" s="36" t="s">
        <v>197</v>
      </c>
    </row>
    <row r="95" spans="1:3">
      <c r="B95" s="36" t="s">
        <v>46</v>
      </c>
    </row>
    <row r="97" spans="2:2">
      <c r="B97" s="33"/>
    </row>
    <row r="98" spans="2:2">
      <c r="B98" s="35" t="s">
        <v>196</v>
      </c>
    </row>
    <row r="99" spans="2:2">
      <c r="B99" s="36" t="s">
        <v>197</v>
      </c>
    </row>
    <row r="100" spans="2:2">
      <c r="B100" s="36" t="s">
        <v>46</v>
      </c>
    </row>
    <row r="102" spans="2:2">
      <c r="B102" s="8" t="s">
        <v>222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kinoshita</dc:creator>
  <cp:keywords/>
  <dc:description/>
  <cp:lastModifiedBy>若林孝次郎</cp:lastModifiedBy>
  <cp:revision/>
  <dcterms:created xsi:type="dcterms:W3CDTF">2025-04-23T02:01:50Z</dcterms:created>
  <dcterms:modified xsi:type="dcterms:W3CDTF">2025-08-12T03:26:20Z</dcterms:modified>
  <cp:category/>
  <cp:contentStatus/>
</cp:coreProperties>
</file>