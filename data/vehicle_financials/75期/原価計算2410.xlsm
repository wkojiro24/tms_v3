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6.10月\"/>
    </mc:Choice>
  </mc:AlternateContent>
  <xr:revisionPtr revIDLastSave="0" documentId="13_ncr:1_{3BD4455D-5EEF-458B-A105-10ECE21DE612}" xr6:coauthVersionLast="47" xr6:coauthVersionMax="47" xr10:uidLastSave="{00000000-0000-0000-0000-000000000000}"/>
  <bookViews>
    <workbookView xWindow="-120" yWindow="-120" windowWidth="20730" windowHeight="11160" xr2:uid="{1B13F9BD-7B99-412F-922B-5BBE88E70C04}"/>
  </bookViews>
  <sheets>
    <sheet name="全社" sheetId="1" r:id="rId1"/>
    <sheet name="東京(営)" sheetId="2" r:id="rId2"/>
    <sheet name="東北部門" sheetId="3" r:id="rId3"/>
    <sheet name="小名浜(営)" sheetId="5" r:id="rId4"/>
    <sheet name="仙台(営)" sheetId="6" r:id="rId5"/>
    <sheet name="川崎(営)" sheetId="4" r:id="rId6"/>
    <sheet name="九州(営)" sheetId="7" r:id="rId7"/>
  </sheets>
  <functionGroups builtInGroupCount="19"/>
  <definedNames>
    <definedName name="_xlnm.Print_Area" localSheetId="6">'九州(営)'!$A$1:$K$60</definedName>
    <definedName name="_xlnm.Print_Area" localSheetId="3">'小名浜(営)'!$A$1:$X$60</definedName>
    <definedName name="_xlnm.Print_Area" localSheetId="4">'仙台(営)'!$A$1:$L$60</definedName>
    <definedName name="_xlnm.Print_Area" localSheetId="5">'川崎(営)'!$A$1:$K$60</definedName>
    <definedName name="_xlnm.Print_Area" localSheetId="0">全社!$A$1:$AY$60</definedName>
    <definedName name="_xlnm.Print_Area" localSheetId="1">'東京(営)'!$A$1:$M$60</definedName>
    <definedName name="_xlnm.Print_Area" localSheetId="2">東北部門!$A$1:$AE$60</definedName>
    <definedName name="_xlnm.Print_Titles" localSheetId="6">'九州(営)'!$A:$B</definedName>
    <definedName name="_xlnm.Print_Titles" localSheetId="3">'小名浜(営)'!$A:$B</definedName>
    <definedName name="_xlnm.Print_Titles" localSheetId="4">'仙台(営)'!$A:$B</definedName>
    <definedName name="_xlnm.Print_Titles" localSheetId="5">'川崎(営)'!$A:$B</definedName>
    <definedName name="_xlnm.Print_Titles" localSheetId="0">全社!$A:$B</definedName>
    <definedName name="_xlnm.Print_Titles" localSheetId="1">'東京(営)'!$A:$B</definedName>
    <definedName name="_xlnm.Print_Titles" localSheetId="2">東北部門!$A:$B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9" i="7" l="1"/>
  <c r="I59" i="7"/>
  <c r="K59" i="7" s="1"/>
  <c r="J58" i="7"/>
  <c r="I58" i="7"/>
  <c r="H55" i="7"/>
  <c r="G55" i="7"/>
  <c r="F55" i="7"/>
  <c r="E55" i="7"/>
  <c r="D55" i="7"/>
  <c r="C55" i="7"/>
  <c r="J55" i="7"/>
  <c r="J54" i="7"/>
  <c r="I54" i="7"/>
  <c r="J53" i="7"/>
  <c r="I53" i="7"/>
  <c r="K53" i="7" s="1"/>
  <c r="J52" i="7"/>
  <c r="I52" i="7"/>
  <c r="J51" i="7"/>
  <c r="I51" i="7"/>
  <c r="K51" i="7" s="1"/>
  <c r="J50" i="7"/>
  <c r="I50" i="7"/>
  <c r="K50" i="7" s="1"/>
  <c r="H49" i="7"/>
  <c r="G49" i="7"/>
  <c r="F49" i="7"/>
  <c r="E49" i="7"/>
  <c r="D49" i="7"/>
  <c r="C49" i="7"/>
  <c r="J49" i="7" s="1"/>
  <c r="J48" i="7"/>
  <c r="I48" i="7"/>
  <c r="J47" i="7"/>
  <c r="I47" i="7"/>
  <c r="K47" i="7" s="1"/>
  <c r="J46" i="7"/>
  <c r="I46" i="7"/>
  <c r="K46" i="7" s="1"/>
  <c r="J45" i="7"/>
  <c r="I45" i="7"/>
  <c r="H44" i="7"/>
  <c r="G44" i="7"/>
  <c r="F44" i="7"/>
  <c r="E44" i="7"/>
  <c r="D44" i="7"/>
  <c r="C44" i="7"/>
  <c r="J44" i="7"/>
  <c r="J43" i="7"/>
  <c r="I43" i="7"/>
  <c r="K43" i="7" s="1"/>
  <c r="K42" i="7"/>
  <c r="J42" i="7"/>
  <c r="I42" i="7"/>
  <c r="J41" i="7"/>
  <c r="I41" i="7"/>
  <c r="K41" i="7" s="1"/>
  <c r="J40" i="7"/>
  <c r="I40" i="7"/>
  <c r="H39" i="7"/>
  <c r="G39" i="7"/>
  <c r="F39" i="7"/>
  <c r="E39" i="7"/>
  <c r="D39" i="7"/>
  <c r="C39" i="7"/>
  <c r="J39" i="7" s="1"/>
  <c r="J38" i="7"/>
  <c r="I38" i="7"/>
  <c r="K38" i="7" s="1"/>
  <c r="J37" i="7"/>
  <c r="I37" i="7"/>
  <c r="J36" i="7"/>
  <c r="I36" i="7"/>
  <c r="K36" i="7" s="1"/>
  <c r="J35" i="7"/>
  <c r="I35" i="7"/>
  <c r="K35" i="7" s="1"/>
  <c r="K34" i="7"/>
  <c r="J34" i="7"/>
  <c r="I34" i="7"/>
  <c r="H33" i="7"/>
  <c r="G33" i="7"/>
  <c r="F33" i="7"/>
  <c r="E33" i="7"/>
  <c r="D33" i="7"/>
  <c r="C33" i="7"/>
  <c r="J33" i="7" s="1"/>
  <c r="J32" i="7"/>
  <c r="I32" i="7"/>
  <c r="K31" i="7"/>
  <c r="J31" i="7"/>
  <c r="I31" i="7"/>
  <c r="J30" i="7"/>
  <c r="I30" i="7"/>
  <c r="K30" i="7" s="1"/>
  <c r="H29" i="7"/>
  <c r="G29" i="7"/>
  <c r="F29" i="7"/>
  <c r="E29" i="7"/>
  <c r="D29" i="7"/>
  <c r="C29" i="7"/>
  <c r="J29" i="7" s="1"/>
  <c r="J28" i="7"/>
  <c r="I28" i="7"/>
  <c r="H27" i="7"/>
  <c r="D27" i="7"/>
  <c r="K26" i="7"/>
  <c r="J26" i="7"/>
  <c r="I26" i="7"/>
  <c r="H25" i="7"/>
  <c r="G25" i="7"/>
  <c r="G27" i="7" s="1"/>
  <c r="F25" i="7"/>
  <c r="F27" i="7" s="1"/>
  <c r="E25" i="7"/>
  <c r="E27" i="7" s="1"/>
  <c r="D25" i="7"/>
  <c r="C25" i="7"/>
  <c r="J25" i="7" s="1"/>
  <c r="J24" i="7"/>
  <c r="I24" i="7"/>
  <c r="K23" i="7"/>
  <c r="J23" i="7"/>
  <c r="I23" i="7"/>
  <c r="H22" i="7"/>
  <c r="G22" i="7"/>
  <c r="F22" i="7"/>
  <c r="E22" i="7"/>
  <c r="D22" i="7"/>
  <c r="C22" i="7"/>
  <c r="J22" i="7" s="1"/>
  <c r="J21" i="7"/>
  <c r="I21" i="7"/>
  <c r="K21" i="7" s="1"/>
  <c r="J20" i="7"/>
  <c r="I20" i="7"/>
  <c r="J19" i="7"/>
  <c r="I19" i="7"/>
  <c r="K19" i="7" s="1"/>
  <c r="J18" i="7"/>
  <c r="I18" i="7"/>
  <c r="K18" i="7" s="1"/>
  <c r="J17" i="7"/>
  <c r="I17" i="7"/>
  <c r="H16" i="7"/>
  <c r="G16" i="7"/>
  <c r="F16" i="7"/>
  <c r="E16" i="7"/>
  <c r="D16" i="7"/>
  <c r="C16" i="7"/>
  <c r="J16" i="7" s="1"/>
  <c r="H15" i="7"/>
  <c r="G15" i="7"/>
  <c r="F15" i="7"/>
  <c r="E15" i="7"/>
  <c r="D15" i="7"/>
  <c r="C15" i="7"/>
  <c r="J15" i="7" s="1"/>
  <c r="J14" i="7"/>
  <c r="I14" i="7"/>
  <c r="K13" i="7"/>
  <c r="J13" i="7"/>
  <c r="I13" i="7"/>
  <c r="J12" i="7"/>
  <c r="I12" i="7"/>
  <c r="J11" i="7"/>
  <c r="I11" i="7"/>
  <c r="I29" i="7" s="1"/>
  <c r="K29" i="7" s="1"/>
  <c r="I9" i="7"/>
  <c r="K59" i="6"/>
  <c r="J59" i="6"/>
  <c r="K58" i="6"/>
  <c r="J58" i="6"/>
  <c r="L58" i="6" s="1"/>
  <c r="I55" i="6"/>
  <c r="H55" i="6"/>
  <c r="G55" i="6"/>
  <c r="F55" i="6"/>
  <c r="J55" i="6" s="1"/>
  <c r="L55" i="6" s="1"/>
  <c r="E55" i="6"/>
  <c r="D55" i="6"/>
  <c r="K55" i="6" s="1"/>
  <c r="C55" i="6"/>
  <c r="K54" i="6"/>
  <c r="J54" i="6"/>
  <c r="K53" i="6"/>
  <c r="J53" i="6"/>
  <c r="K52" i="6"/>
  <c r="J52" i="6"/>
  <c r="L51" i="6"/>
  <c r="K51" i="6"/>
  <c r="J51" i="6"/>
  <c r="K50" i="6"/>
  <c r="J50" i="6"/>
  <c r="I49" i="6"/>
  <c r="H49" i="6"/>
  <c r="G49" i="6"/>
  <c r="F49" i="6"/>
  <c r="E49" i="6"/>
  <c r="D49" i="6"/>
  <c r="C49" i="6"/>
  <c r="K48" i="6"/>
  <c r="J48" i="6"/>
  <c r="K47" i="6"/>
  <c r="J47" i="6"/>
  <c r="K46" i="6"/>
  <c r="J46" i="6"/>
  <c r="K45" i="6"/>
  <c r="J45" i="6"/>
  <c r="L45" i="6" s="1"/>
  <c r="I44" i="6"/>
  <c r="H44" i="6"/>
  <c r="G44" i="6"/>
  <c r="F44" i="6"/>
  <c r="E44" i="6"/>
  <c r="D44" i="6"/>
  <c r="C44" i="6"/>
  <c r="K44" i="6"/>
  <c r="K43" i="6"/>
  <c r="J43" i="6"/>
  <c r="K42" i="6"/>
  <c r="J42" i="6"/>
  <c r="K41" i="6"/>
  <c r="J41" i="6"/>
  <c r="K40" i="6"/>
  <c r="J40" i="6"/>
  <c r="J44" i="6" s="1"/>
  <c r="I39" i="6"/>
  <c r="H39" i="6"/>
  <c r="G39" i="6"/>
  <c r="F39" i="6"/>
  <c r="E39" i="6"/>
  <c r="D39" i="6"/>
  <c r="C39" i="6"/>
  <c r="K39" i="6" s="1"/>
  <c r="K38" i="6"/>
  <c r="J38" i="6"/>
  <c r="L37" i="6"/>
  <c r="K37" i="6"/>
  <c r="J37" i="6"/>
  <c r="K36" i="6"/>
  <c r="J36" i="6"/>
  <c r="L36" i="6" s="1"/>
  <c r="K35" i="6"/>
  <c r="J35" i="6"/>
  <c r="L35" i="6" s="1"/>
  <c r="K34" i="6"/>
  <c r="J34" i="6"/>
  <c r="L34" i="6" s="1"/>
  <c r="I33" i="6"/>
  <c r="H33" i="6"/>
  <c r="G33" i="6"/>
  <c r="F33" i="6"/>
  <c r="E33" i="6"/>
  <c r="D33" i="6"/>
  <c r="C33" i="6"/>
  <c r="K33" i="6"/>
  <c r="K32" i="6"/>
  <c r="J32" i="6"/>
  <c r="L32" i="6" s="1"/>
  <c r="K31" i="6"/>
  <c r="J31" i="6"/>
  <c r="L31" i="6" s="1"/>
  <c r="K30" i="6"/>
  <c r="J30" i="6"/>
  <c r="J29" i="6"/>
  <c r="L29" i="6" s="1"/>
  <c r="I29" i="6"/>
  <c r="H29" i="6"/>
  <c r="G29" i="6"/>
  <c r="F29" i="6"/>
  <c r="E29" i="6"/>
  <c r="D29" i="6"/>
  <c r="C29" i="6"/>
  <c r="K29" i="6"/>
  <c r="K28" i="6"/>
  <c r="J28" i="6"/>
  <c r="L28" i="6" s="1"/>
  <c r="K26" i="6"/>
  <c r="J26" i="6"/>
  <c r="L26" i="6" s="1"/>
  <c r="I25" i="6"/>
  <c r="I27" i="6" s="1"/>
  <c r="H25" i="6"/>
  <c r="H27" i="6" s="1"/>
  <c r="G25" i="6"/>
  <c r="G27" i="6" s="1"/>
  <c r="F25" i="6"/>
  <c r="F27" i="6" s="1"/>
  <c r="E25" i="6"/>
  <c r="E27" i="6" s="1"/>
  <c r="D25" i="6"/>
  <c r="D27" i="6" s="1"/>
  <c r="C25" i="6"/>
  <c r="C27" i="6" s="1"/>
  <c r="J25" i="6"/>
  <c r="L25" i="6" s="1"/>
  <c r="K24" i="6"/>
  <c r="J24" i="6"/>
  <c r="L24" i="6" s="1"/>
  <c r="K23" i="6"/>
  <c r="J23" i="6"/>
  <c r="L23" i="6" s="1"/>
  <c r="I22" i="6"/>
  <c r="I56" i="6" s="1"/>
  <c r="I57" i="6" s="1"/>
  <c r="I60" i="6" s="1"/>
  <c r="H22" i="6"/>
  <c r="G22" i="6"/>
  <c r="F22" i="6"/>
  <c r="E22" i="6"/>
  <c r="E56" i="6" s="1"/>
  <c r="E57" i="6" s="1"/>
  <c r="E60" i="6" s="1"/>
  <c r="D22" i="6"/>
  <c r="C22" i="6"/>
  <c r="K22" i="6"/>
  <c r="K21" i="6"/>
  <c r="J21" i="6"/>
  <c r="L21" i="6" s="1"/>
  <c r="K20" i="6"/>
  <c r="J20" i="6"/>
  <c r="L20" i="6" s="1"/>
  <c r="L19" i="6"/>
  <c r="K19" i="6"/>
  <c r="J19" i="6"/>
  <c r="K18" i="6"/>
  <c r="J18" i="6"/>
  <c r="L18" i="6" s="1"/>
  <c r="K17" i="6"/>
  <c r="J17" i="6"/>
  <c r="I16" i="6"/>
  <c r="H16" i="6"/>
  <c r="G16" i="6"/>
  <c r="F16" i="6"/>
  <c r="E16" i="6"/>
  <c r="D16" i="6"/>
  <c r="C16" i="6"/>
  <c r="K16" i="6" s="1"/>
  <c r="I15" i="6"/>
  <c r="H15" i="6"/>
  <c r="G15" i="6"/>
  <c r="F15" i="6"/>
  <c r="E15" i="6"/>
  <c r="D15" i="6"/>
  <c r="C15" i="6"/>
  <c r="K15" i="6" s="1"/>
  <c r="K14" i="6"/>
  <c r="J14" i="6"/>
  <c r="K13" i="6"/>
  <c r="J13" i="6"/>
  <c r="K12" i="6"/>
  <c r="J12" i="6"/>
  <c r="K11" i="6"/>
  <c r="J11" i="6"/>
  <c r="J9" i="6"/>
  <c r="W59" i="5"/>
  <c r="V59" i="5"/>
  <c r="W58" i="5"/>
  <c r="V58" i="5"/>
  <c r="X58" i="5" s="1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X54" i="5"/>
  <c r="W54" i="5"/>
  <c r="V54" i="5"/>
  <c r="W53" i="5"/>
  <c r="V53" i="5"/>
  <c r="X53" i="5" s="1"/>
  <c r="W52" i="5"/>
  <c r="V52" i="5"/>
  <c r="W51" i="5"/>
  <c r="V51" i="5"/>
  <c r="X51" i="5" s="1"/>
  <c r="W50" i="5"/>
  <c r="V50" i="5"/>
  <c r="X50" i="5" s="1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X48" i="5"/>
  <c r="W48" i="5"/>
  <c r="V48" i="5"/>
  <c r="W47" i="5"/>
  <c r="V47" i="5"/>
  <c r="X47" i="5" s="1"/>
  <c r="W46" i="5"/>
  <c r="V46" i="5"/>
  <c r="W45" i="5"/>
  <c r="V45" i="5"/>
  <c r="X45" i="5" s="1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W44" i="5" s="1"/>
  <c r="W43" i="5"/>
  <c r="V43" i="5"/>
  <c r="X43" i="5" s="1"/>
  <c r="W42" i="5"/>
  <c r="V42" i="5"/>
  <c r="X42" i="5" s="1"/>
  <c r="W41" i="5"/>
  <c r="V41" i="5"/>
  <c r="W40" i="5"/>
  <c r="V40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W38" i="5"/>
  <c r="V38" i="5"/>
  <c r="X38" i="5" s="1"/>
  <c r="W37" i="5"/>
  <c r="V37" i="5"/>
  <c r="X37" i="5" s="1"/>
  <c r="X36" i="5"/>
  <c r="W36" i="5"/>
  <c r="V36" i="5"/>
  <c r="W35" i="5"/>
  <c r="V35" i="5"/>
  <c r="X35" i="5" s="1"/>
  <c r="W34" i="5"/>
  <c r="V34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2" i="5"/>
  <c r="V32" i="5"/>
  <c r="X31" i="5"/>
  <c r="W31" i="5"/>
  <c r="V31" i="5"/>
  <c r="W30" i="5"/>
  <c r="V30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W28" i="5"/>
  <c r="V28" i="5"/>
  <c r="X28" i="5" s="1"/>
  <c r="W26" i="5"/>
  <c r="V26" i="5"/>
  <c r="X26" i="5" s="1"/>
  <c r="U25" i="5"/>
  <c r="U27" i="5" s="1"/>
  <c r="T25" i="5"/>
  <c r="T27" i="5" s="1"/>
  <c r="S25" i="5"/>
  <c r="S27" i="5" s="1"/>
  <c r="R25" i="5"/>
  <c r="R27" i="5" s="1"/>
  <c r="Q25" i="5"/>
  <c r="Q27" i="5" s="1"/>
  <c r="P25" i="5"/>
  <c r="P27" i="5" s="1"/>
  <c r="O25" i="5"/>
  <c r="O27" i="5" s="1"/>
  <c r="N25" i="5"/>
  <c r="N27" i="5" s="1"/>
  <c r="M25" i="5"/>
  <c r="M27" i="5" s="1"/>
  <c r="L25" i="5"/>
  <c r="L27" i="5" s="1"/>
  <c r="K25" i="5"/>
  <c r="K27" i="5" s="1"/>
  <c r="J25" i="5"/>
  <c r="J27" i="5" s="1"/>
  <c r="I25" i="5"/>
  <c r="I27" i="5" s="1"/>
  <c r="H25" i="5"/>
  <c r="H27" i="5" s="1"/>
  <c r="G25" i="5"/>
  <c r="G27" i="5" s="1"/>
  <c r="F25" i="5"/>
  <c r="F27" i="5" s="1"/>
  <c r="E25" i="5"/>
  <c r="D25" i="5"/>
  <c r="D27" i="5" s="1"/>
  <c r="C25" i="5"/>
  <c r="C27" i="5" s="1"/>
  <c r="X24" i="5"/>
  <c r="W24" i="5"/>
  <c r="V24" i="5"/>
  <c r="W23" i="5"/>
  <c r="V23" i="5"/>
  <c r="X23" i="5" s="1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W21" i="5"/>
  <c r="V21" i="5"/>
  <c r="W20" i="5"/>
  <c r="V20" i="5"/>
  <c r="X19" i="5"/>
  <c r="W19" i="5"/>
  <c r="V19" i="5"/>
  <c r="W18" i="5"/>
  <c r="V18" i="5"/>
  <c r="W17" i="5"/>
  <c r="V17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W14" i="5"/>
  <c r="V14" i="5"/>
  <c r="W13" i="5"/>
  <c r="V13" i="5"/>
  <c r="X13" i="5" s="1"/>
  <c r="W12" i="5"/>
  <c r="V12" i="5"/>
  <c r="W11" i="5"/>
  <c r="V11" i="5"/>
  <c r="V29" i="5" s="1"/>
  <c r="X29" i="5" s="1"/>
  <c r="V9" i="5"/>
  <c r="J59" i="4"/>
  <c r="I59" i="4"/>
  <c r="J58" i="4"/>
  <c r="I58" i="4"/>
  <c r="H55" i="4"/>
  <c r="G55" i="4"/>
  <c r="F55" i="4"/>
  <c r="E55" i="4"/>
  <c r="D55" i="4"/>
  <c r="C55" i="4"/>
  <c r="I55" i="4" s="1"/>
  <c r="K55" i="4" s="1"/>
  <c r="J54" i="4"/>
  <c r="I54" i="4"/>
  <c r="J53" i="4"/>
  <c r="I53" i="4"/>
  <c r="K53" i="4" s="1"/>
  <c r="J52" i="4"/>
  <c r="I52" i="4"/>
  <c r="J51" i="4"/>
  <c r="I51" i="4"/>
  <c r="J50" i="4"/>
  <c r="I50" i="4"/>
  <c r="H49" i="4"/>
  <c r="G49" i="4"/>
  <c r="F49" i="4"/>
  <c r="E49" i="4"/>
  <c r="D49" i="4"/>
  <c r="C49" i="4"/>
  <c r="J49" i="4"/>
  <c r="J48" i="4"/>
  <c r="I48" i="4"/>
  <c r="K47" i="4"/>
  <c r="J47" i="4"/>
  <c r="I47" i="4"/>
  <c r="J46" i="4"/>
  <c r="I46" i="4"/>
  <c r="K46" i="4" s="1"/>
  <c r="J45" i="4"/>
  <c r="I45" i="4"/>
  <c r="H44" i="4"/>
  <c r="G44" i="4"/>
  <c r="F44" i="4"/>
  <c r="E44" i="4"/>
  <c r="D44" i="4"/>
  <c r="C44" i="4"/>
  <c r="J43" i="4"/>
  <c r="I43" i="4"/>
  <c r="J42" i="4"/>
  <c r="I42" i="4"/>
  <c r="K42" i="4" s="1"/>
  <c r="K41" i="4"/>
  <c r="J41" i="4"/>
  <c r="I41" i="4"/>
  <c r="J40" i="4"/>
  <c r="I40" i="4"/>
  <c r="I44" i="4" s="1"/>
  <c r="K44" i="4" s="1"/>
  <c r="H39" i="4"/>
  <c r="G39" i="4"/>
  <c r="F39" i="4"/>
  <c r="E39" i="4"/>
  <c r="D39" i="4"/>
  <c r="C39" i="4"/>
  <c r="J38" i="4"/>
  <c r="I38" i="4"/>
  <c r="K38" i="4" s="1"/>
  <c r="J37" i="4"/>
  <c r="I37" i="4"/>
  <c r="J36" i="4"/>
  <c r="I36" i="4"/>
  <c r="J35" i="4"/>
  <c r="I35" i="4"/>
  <c r="J34" i="4"/>
  <c r="I34" i="4"/>
  <c r="K34" i="4" s="1"/>
  <c r="H33" i="4"/>
  <c r="G33" i="4"/>
  <c r="F33" i="4"/>
  <c r="E33" i="4"/>
  <c r="D33" i="4"/>
  <c r="C33" i="4"/>
  <c r="J32" i="4"/>
  <c r="I32" i="4"/>
  <c r="K32" i="4" s="1"/>
  <c r="J31" i="4"/>
  <c r="I31" i="4"/>
  <c r="J30" i="4"/>
  <c r="I30" i="4"/>
  <c r="H29" i="4"/>
  <c r="G29" i="4"/>
  <c r="F29" i="4"/>
  <c r="E29" i="4"/>
  <c r="D29" i="4"/>
  <c r="C29" i="4"/>
  <c r="J28" i="4"/>
  <c r="I28" i="4"/>
  <c r="J26" i="4"/>
  <c r="I26" i="4"/>
  <c r="H25" i="4"/>
  <c r="H27" i="4" s="1"/>
  <c r="G25" i="4"/>
  <c r="G27" i="4" s="1"/>
  <c r="F25" i="4"/>
  <c r="F27" i="4" s="1"/>
  <c r="E25" i="4"/>
  <c r="E27" i="4" s="1"/>
  <c r="D25" i="4"/>
  <c r="D27" i="4" s="1"/>
  <c r="C25" i="4"/>
  <c r="C27" i="4" s="1"/>
  <c r="J24" i="4"/>
  <c r="I24" i="4"/>
  <c r="K23" i="4"/>
  <c r="J23" i="4"/>
  <c r="I23" i="4"/>
  <c r="H22" i="4"/>
  <c r="G22" i="4"/>
  <c r="F22" i="4"/>
  <c r="E22" i="4"/>
  <c r="D22" i="4"/>
  <c r="C22" i="4"/>
  <c r="J21" i="4"/>
  <c r="I21" i="4"/>
  <c r="J20" i="4"/>
  <c r="I20" i="4"/>
  <c r="J19" i="4"/>
  <c r="I19" i="4"/>
  <c r="J18" i="4"/>
  <c r="I18" i="4"/>
  <c r="J17" i="4"/>
  <c r="I17" i="4"/>
  <c r="K17" i="4" s="1"/>
  <c r="H16" i="4"/>
  <c r="G16" i="4"/>
  <c r="F16" i="4"/>
  <c r="E16" i="4"/>
  <c r="D16" i="4"/>
  <c r="C16" i="4"/>
  <c r="H15" i="4"/>
  <c r="G15" i="4"/>
  <c r="F15" i="4"/>
  <c r="E15" i="4"/>
  <c r="D15" i="4"/>
  <c r="C15" i="4"/>
  <c r="J15" i="4" s="1"/>
  <c r="J14" i="4"/>
  <c r="I14" i="4"/>
  <c r="K13" i="4"/>
  <c r="J13" i="4"/>
  <c r="I13" i="4"/>
  <c r="I15" i="4" s="1"/>
  <c r="J12" i="4"/>
  <c r="I12" i="4"/>
  <c r="J11" i="4"/>
  <c r="I11" i="4"/>
  <c r="I9" i="4"/>
  <c r="AD59" i="3"/>
  <c r="AC59" i="3"/>
  <c r="AD58" i="3"/>
  <c r="AC58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AD55" i="3" s="1"/>
  <c r="AD54" i="3"/>
  <c r="AC54" i="3"/>
  <c r="AD53" i="3"/>
  <c r="AC53" i="3"/>
  <c r="AD52" i="3"/>
  <c r="AC52" i="3"/>
  <c r="AD51" i="3"/>
  <c r="AC51" i="3"/>
  <c r="AD50" i="3"/>
  <c r="AC50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C49" i="3" s="1"/>
  <c r="AE49" i="3" s="1"/>
  <c r="AD48" i="3"/>
  <c r="AC48" i="3"/>
  <c r="AD47" i="3"/>
  <c r="AC47" i="3"/>
  <c r="AD46" i="3"/>
  <c r="AC46" i="3"/>
  <c r="AD45" i="3"/>
  <c r="AC45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D43" i="3"/>
  <c r="AC43" i="3"/>
  <c r="AD42" i="3"/>
  <c r="AC42" i="3"/>
  <c r="AD41" i="3"/>
  <c r="AC41" i="3"/>
  <c r="AD40" i="3"/>
  <c r="AC40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D39" i="3" s="1"/>
  <c r="AD38" i="3"/>
  <c r="AC38" i="3"/>
  <c r="AD37" i="3"/>
  <c r="AC37" i="3"/>
  <c r="AD36" i="3"/>
  <c r="AC36" i="3"/>
  <c r="AD35" i="3"/>
  <c r="AC35" i="3"/>
  <c r="AD34" i="3"/>
  <c r="AC34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AD32" i="3"/>
  <c r="AC32" i="3"/>
  <c r="AD31" i="3"/>
  <c r="AC31" i="3"/>
  <c r="AD30" i="3"/>
  <c r="AC30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AD29" i="3" s="1"/>
  <c r="C29" i="3"/>
  <c r="AD28" i="3"/>
  <c r="AC28" i="3"/>
  <c r="W27" i="3"/>
  <c r="AD26" i="3"/>
  <c r="AC26" i="3"/>
  <c r="AB25" i="3"/>
  <c r="AB27" i="3" s="1"/>
  <c r="AA25" i="3"/>
  <c r="AA27" i="3" s="1"/>
  <c r="Z25" i="3"/>
  <c r="Z27" i="3" s="1"/>
  <c r="Y25" i="3"/>
  <c r="Y27" i="3" s="1"/>
  <c r="X25" i="3"/>
  <c r="X27" i="3" s="1"/>
  <c r="W25" i="3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L27" i="3" s="1"/>
  <c r="K25" i="3"/>
  <c r="K27" i="3" s="1"/>
  <c r="J25" i="3"/>
  <c r="J27" i="3" s="1"/>
  <c r="I25" i="3"/>
  <c r="I27" i="3" s="1"/>
  <c r="H25" i="3"/>
  <c r="H27" i="3" s="1"/>
  <c r="G25" i="3"/>
  <c r="G27" i="3" s="1"/>
  <c r="F25" i="3"/>
  <c r="F27" i="3" s="1"/>
  <c r="E25" i="3"/>
  <c r="E27" i="3" s="1"/>
  <c r="D25" i="3"/>
  <c r="D27" i="3" s="1"/>
  <c r="C25" i="3"/>
  <c r="C27" i="3" s="1"/>
  <c r="AD24" i="3"/>
  <c r="AC24" i="3"/>
  <c r="AD23" i="3"/>
  <c r="AC23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AD21" i="3"/>
  <c r="AC21" i="3"/>
  <c r="AD20" i="3"/>
  <c r="AC20" i="3"/>
  <c r="AD19" i="3"/>
  <c r="AC19" i="3"/>
  <c r="AD18" i="3"/>
  <c r="AC18" i="3"/>
  <c r="AD17" i="3"/>
  <c r="AC17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D16" i="3" s="1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AD15" i="3" s="1"/>
  <c r="D15" i="3"/>
  <c r="C15" i="3"/>
  <c r="AD14" i="3"/>
  <c r="AC14" i="3"/>
  <c r="AD13" i="3"/>
  <c r="AC13" i="3"/>
  <c r="AD12" i="3"/>
  <c r="AC12" i="3"/>
  <c r="AD11" i="3"/>
  <c r="AC11" i="3"/>
  <c r="AC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L59" i="2"/>
  <c r="K59" i="2"/>
  <c r="M59" i="2" s="1"/>
  <c r="L58" i="2"/>
  <c r="K58" i="2"/>
  <c r="J55" i="2"/>
  <c r="I55" i="2"/>
  <c r="H55" i="2"/>
  <c r="G55" i="2"/>
  <c r="F55" i="2"/>
  <c r="E55" i="2"/>
  <c r="D55" i="2"/>
  <c r="C55" i="2"/>
  <c r="L54" i="2"/>
  <c r="K54" i="2"/>
  <c r="L53" i="2"/>
  <c r="K53" i="2"/>
  <c r="L52" i="2"/>
  <c r="K52" i="2"/>
  <c r="L51" i="2"/>
  <c r="K51" i="2"/>
  <c r="L50" i="2"/>
  <c r="K50" i="2"/>
  <c r="J49" i="2"/>
  <c r="I49" i="2"/>
  <c r="H49" i="2"/>
  <c r="G49" i="2"/>
  <c r="F49" i="2"/>
  <c r="E49" i="2"/>
  <c r="D49" i="2"/>
  <c r="C49" i="2"/>
  <c r="L48" i="2"/>
  <c r="K48" i="2"/>
  <c r="L47" i="2"/>
  <c r="K47" i="2"/>
  <c r="L46" i="2"/>
  <c r="K46" i="2"/>
  <c r="L45" i="2"/>
  <c r="K45" i="2"/>
  <c r="J44" i="2"/>
  <c r="I44" i="2"/>
  <c r="H44" i="2"/>
  <c r="G44" i="2"/>
  <c r="F44" i="2"/>
  <c r="E44" i="2"/>
  <c r="D44" i="2"/>
  <c r="C44" i="2"/>
  <c r="L43" i="2"/>
  <c r="K43" i="2"/>
  <c r="L42" i="2"/>
  <c r="K42" i="2"/>
  <c r="L41" i="2"/>
  <c r="K41" i="2"/>
  <c r="M41" i="2" s="1"/>
  <c r="L40" i="2"/>
  <c r="K40" i="2"/>
  <c r="M40" i="2" s="1"/>
  <c r="J39" i="2"/>
  <c r="I39" i="2"/>
  <c r="H39" i="2"/>
  <c r="G39" i="2"/>
  <c r="F39" i="2"/>
  <c r="E39" i="2"/>
  <c r="D39" i="2"/>
  <c r="C39" i="2"/>
  <c r="L38" i="2"/>
  <c r="K38" i="2"/>
  <c r="L37" i="2"/>
  <c r="K37" i="2"/>
  <c r="L36" i="2"/>
  <c r="K36" i="2"/>
  <c r="L35" i="2"/>
  <c r="K35" i="2"/>
  <c r="L34" i="2"/>
  <c r="K34" i="2"/>
  <c r="J33" i="2"/>
  <c r="I33" i="2"/>
  <c r="H33" i="2"/>
  <c r="G33" i="2"/>
  <c r="F33" i="2"/>
  <c r="E33" i="2"/>
  <c r="D33" i="2"/>
  <c r="C33" i="2"/>
  <c r="L32" i="2"/>
  <c r="K32" i="2"/>
  <c r="L31" i="2"/>
  <c r="K31" i="2"/>
  <c r="L30" i="2"/>
  <c r="K30" i="2"/>
  <c r="J29" i="2"/>
  <c r="I29" i="2"/>
  <c r="H29" i="2"/>
  <c r="G29" i="2"/>
  <c r="F29" i="2"/>
  <c r="E29" i="2"/>
  <c r="D29" i="2"/>
  <c r="L29" i="2" s="1"/>
  <c r="C29" i="2"/>
  <c r="L28" i="2"/>
  <c r="K28" i="2"/>
  <c r="H27" i="2"/>
  <c r="L26" i="2"/>
  <c r="K26" i="2"/>
  <c r="J25" i="2"/>
  <c r="J27" i="2" s="1"/>
  <c r="I25" i="2"/>
  <c r="I27" i="2" s="1"/>
  <c r="H25" i="2"/>
  <c r="G25" i="2"/>
  <c r="G27" i="2" s="1"/>
  <c r="F25" i="2"/>
  <c r="F27" i="2" s="1"/>
  <c r="E25" i="2"/>
  <c r="E27" i="2" s="1"/>
  <c r="D25" i="2"/>
  <c r="D27" i="2" s="1"/>
  <c r="C25" i="2"/>
  <c r="L24" i="2"/>
  <c r="K24" i="2"/>
  <c r="L23" i="2"/>
  <c r="K23" i="2"/>
  <c r="M23" i="2" s="1"/>
  <c r="J22" i="2"/>
  <c r="I22" i="2"/>
  <c r="H22" i="2"/>
  <c r="G22" i="2"/>
  <c r="F22" i="2"/>
  <c r="E22" i="2"/>
  <c r="D22" i="2"/>
  <c r="L22" i="2" s="1"/>
  <c r="C22" i="2"/>
  <c r="L21" i="2"/>
  <c r="K21" i="2"/>
  <c r="L20" i="2"/>
  <c r="K20" i="2"/>
  <c r="L19" i="2"/>
  <c r="K19" i="2"/>
  <c r="L18" i="2"/>
  <c r="K18" i="2"/>
  <c r="L17" i="2"/>
  <c r="K17" i="2"/>
  <c r="M17" i="2" s="1"/>
  <c r="J16" i="2"/>
  <c r="I16" i="2"/>
  <c r="H16" i="2"/>
  <c r="G16" i="2"/>
  <c r="F16" i="2"/>
  <c r="E16" i="2"/>
  <c r="D16" i="2"/>
  <c r="L16" i="2" s="1"/>
  <c r="C16" i="2"/>
  <c r="J15" i="2"/>
  <c r="I15" i="2"/>
  <c r="H15" i="2"/>
  <c r="G15" i="2"/>
  <c r="F15" i="2"/>
  <c r="E15" i="2"/>
  <c r="D15" i="2"/>
  <c r="L15" i="2" s="1"/>
  <c r="C15" i="2"/>
  <c r="L14" i="2"/>
  <c r="K14" i="2"/>
  <c r="L13" i="2"/>
  <c r="K13" i="2"/>
  <c r="M34" i="2" s="1"/>
  <c r="L12" i="2"/>
  <c r="K12" i="2"/>
  <c r="L11" i="2"/>
  <c r="K11" i="2"/>
  <c r="K29" i="2" s="1"/>
  <c r="M29" i="2" s="1"/>
  <c r="K9" i="2"/>
  <c r="K24" i="7" l="1"/>
  <c r="C27" i="7"/>
  <c r="K28" i="7"/>
  <c r="K32" i="7"/>
  <c r="F56" i="7"/>
  <c r="F57" i="7" s="1"/>
  <c r="F60" i="7" s="1"/>
  <c r="I16" i="7"/>
  <c r="I15" i="7"/>
  <c r="K17" i="7"/>
  <c r="K20" i="7"/>
  <c r="I22" i="7"/>
  <c r="K22" i="7" s="1"/>
  <c r="K37" i="7"/>
  <c r="K40" i="7"/>
  <c r="D56" i="7"/>
  <c r="D57" i="7" s="1"/>
  <c r="D60" i="7" s="1"/>
  <c r="H56" i="7"/>
  <c r="H57" i="7" s="1"/>
  <c r="H60" i="7" s="1"/>
  <c r="C56" i="7"/>
  <c r="C57" i="7" s="1"/>
  <c r="C60" i="7" s="1"/>
  <c r="G56" i="7"/>
  <c r="G57" i="7" s="1"/>
  <c r="G60" i="7" s="1"/>
  <c r="K52" i="7"/>
  <c r="K54" i="7"/>
  <c r="K45" i="7"/>
  <c r="K48" i="7"/>
  <c r="K58" i="7"/>
  <c r="J16" i="4"/>
  <c r="J55" i="4"/>
  <c r="K19" i="4"/>
  <c r="K21" i="4"/>
  <c r="J29" i="4"/>
  <c r="K31" i="4"/>
  <c r="I33" i="4"/>
  <c r="K33" i="4" s="1"/>
  <c r="K35" i="4"/>
  <c r="I39" i="4"/>
  <c r="K39" i="4" s="1"/>
  <c r="K54" i="4"/>
  <c r="I25" i="4"/>
  <c r="K25" i="4" s="1"/>
  <c r="J33" i="4"/>
  <c r="K43" i="4"/>
  <c r="J44" i="4"/>
  <c r="K52" i="4"/>
  <c r="K59" i="4"/>
  <c r="E56" i="7"/>
  <c r="E57" i="7" s="1"/>
  <c r="E60" i="7" s="1"/>
  <c r="I33" i="7"/>
  <c r="K33" i="7" s="1"/>
  <c r="I49" i="7"/>
  <c r="K49" i="7" s="1"/>
  <c r="I44" i="7"/>
  <c r="K44" i="7" s="1"/>
  <c r="I39" i="7"/>
  <c r="K39" i="7" s="1"/>
  <c r="I55" i="7"/>
  <c r="K55" i="7" s="1"/>
  <c r="I25" i="7"/>
  <c r="K25" i="7" s="1"/>
  <c r="C56" i="4"/>
  <c r="C57" i="4" s="1"/>
  <c r="C60" i="4" s="1"/>
  <c r="G56" i="4"/>
  <c r="G57" i="4" s="1"/>
  <c r="G60" i="4" s="1"/>
  <c r="J25" i="4"/>
  <c r="I29" i="4"/>
  <c r="K29" i="4" s="1"/>
  <c r="I16" i="4"/>
  <c r="K20" i="4"/>
  <c r="K37" i="4"/>
  <c r="J39" i="4"/>
  <c r="K45" i="4"/>
  <c r="K58" i="4"/>
  <c r="I49" i="4"/>
  <c r="K49" i="4" s="1"/>
  <c r="K51" i="4"/>
  <c r="J16" i="6"/>
  <c r="L17" i="6"/>
  <c r="L30" i="6"/>
  <c r="L38" i="6"/>
  <c r="L41" i="6"/>
  <c r="L47" i="6"/>
  <c r="C56" i="6"/>
  <c r="C57" i="6" s="1"/>
  <c r="C60" i="6" s="1"/>
  <c r="G56" i="6"/>
  <c r="G57" i="6" s="1"/>
  <c r="G60" i="6" s="1"/>
  <c r="L52" i="6"/>
  <c r="L59" i="6"/>
  <c r="L44" i="6"/>
  <c r="L43" i="6"/>
  <c r="L46" i="6"/>
  <c r="L53" i="6"/>
  <c r="V15" i="5"/>
  <c r="X17" i="5"/>
  <c r="X18" i="5"/>
  <c r="X20" i="5"/>
  <c r="W29" i="5"/>
  <c r="X30" i="5"/>
  <c r="X32" i="5"/>
  <c r="V44" i="5"/>
  <c r="X44" i="5" s="1"/>
  <c r="W15" i="5"/>
  <c r="W16" i="5"/>
  <c r="H56" i="5"/>
  <c r="H57" i="5" s="1"/>
  <c r="H60" i="5" s="1"/>
  <c r="X34" i="5"/>
  <c r="X46" i="5"/>
  <c r="X52" i="5"/>
  <c r="X59" i="5"/>
  <c r="V16" i="5"/>
  <c r="X21" i="5"/>
  <c r="W25" i="5"/>
  <c r="X41" i="5"/>
  <c r="W55" i="5"/>
  <c r="D56" i="6"/>
  <c r="D57" i="6" s="1"/>
  <c r="D60" i="6" s="1"/>
  <c r="H56" i="6"/>
  <c r="H57" i="6" s="1"/>
  <c r="H60" i="6" s="1"/>
  <c r="F56" i="6"/>
  <c r="F57" i="6" s="1"/>
  <c r="F60" i="6" s="1"/>
  <c r="J27" i="6"/>
  <c r="L27" i="6" s="1"/>
  <c r="J49" i="6"/>
  <c r="L49" i="6" s="1"/>
  <c r="L13" i="6"/>
  <c r="J22" i="6"/>
  <c r="L22" i="6" s="1"/>
  <c r="K25" i="6"/>
  <c r="L42" i="6"/>
  <c r="L48" i="6"/>
  <c r="K49" i="6"/>
  <c r="L50" i="6"/>
  <c r="L54" i="6"/>
  <c r="J15" i="6"/>
  <c r="J33" i="6"/>
  <c r="L33" i="6" s="1"/>
  <c r="J39" i="6"/>
  <c r="L39" i="6" s="1"/>
  <c r="L40" i="6"/>
  <c r="V22" i="5"/>
  <c r="X22" i="5" s="1"/>
  <c r="W22" i="5"/>
  <c r="L56" i="5"/>
  <c r="L57" i="5" s="1"/>
  <c r="L60" i="5" s="1"/>
  <c r="V25" i="5"/>
  <c r="X25" i="5" s="1"/>
  <c r="W39" i="5"/>
  <c r="V39" i="5"/>
  <c r="X39" i="5" s="1"/>
  <c r="W49" i="5"/>
  <c r="M56" i="5"/>
  <c r="M57" i="5" s="1"/>
  <c r="M60" i="5" s="1"/>
  <c r="V55" i="5"/>
  <c r="X55" i="5" s="1"/>
  <c r="W33" i="5"/>
  <c r="V33" i="5"/>
  <c r="X33" i="5" s="1"/>
  <c r="F56" i="5"/>
  <c r="F57" i="5" s="1"/>
  <c r="F60" i="5" s="1"/>
  <c r="J56" i="5"/>
  <c r="J57" i="5" s="1"/>
  <c r="J60" i="5" s="1"/>
  <c r="N56" i="5"/>
  <c r="N57" i="5" s="1"/>
  <c r="N60" i="5" s="1"/>
  <c r="R56" i="5"/>
  <c r="R57" i="5" s="1"/>
  <c r="R60" i="5" s="1"/>
  <c r="D56" i="5"/>
  <c r="D57" i="5" s="1"/>
  <c r="D60" i="5" s="1"/>
  <c r="P56" i="5"/>
  <c r="P57" i="5" s="1"/>
  <c r="P60" i="5" s="1"/>
  <c r="T56" i="5"/>
  <c r="T57" i="5" s="1"/>
  <c r="T60" i="5" s="1"/>
  <c r="E27" i="5"/>
  <c r="E56" i="5" s="1"/>
  <c r="E57" i="5" s="1"/>
  <c r="E60" i="5" s="1"/>
  <c r="I56" i="5"/>
  <c r="I57" i="5" s="1"/>
  <c r="I60" i="5" s="1"/>
  <c r="Q56" i="5"/>
  <c r="Q57" i="5" s="1"/>
  <c r="Q60" i="5" s="1"/>
  <c r="U56" i="5"/>
  <c r="U57" i="5" s="1"/>
  <c r="U60" i="5" s="1"/>
  <c r="V49" i="5"/>
  <c r="X49" i="5" s="1"/>
  <c r="W27" i="5"/>
  <c r="V27" i="5"/>
  <c r="X27" i="5" s="1"/>
  <c r="C56" i="5"/>
  <c r="G56" i="5"/>
  <c r="G57" i="5" s="1"/>
  <c r="G60" i="5" s="1"/>
  <c r="K56" i="5"/>
  <c r="K57" i="5" s="1"/>
  <c r="K60" i="5" s="1"/>
  <c r="O56" i="5"/>
  <c r="O57" i="5" s="1"/>
  <c r="O60" i="5" s="1"/>
  <c r="S56" i="5"/>
  <c r="S57" i="5" s="1"/>
  <c r="S60" i="5" s="1"/>
  <c r="X40" i="5"/>
  <c r="AC25" i="3"/>
  <c r="AD33" i="3"/>
  <c r="AC39" i="3"/>
  <c r="AE39" i="3" s="1"/>
  <c r="F56" i="3"/>
  <c r="F57" i="3" s="1"/>
  <c r="F60" i="3" s="1"/>
  <c r="J56" i="3"/>
  <c r="J57" i="3" s="1"/>
  <c r="J60" i="3" s="1"/>
  <c r="N56" i="3"/>
  <c r="N57" i="3" s="1"/>
  <c r="N60" i="3" s="1"/>
  <c r="R56" i="3"/>
  <c r="R57" i="3" s="1"/>
  <c r="R60" i="3" s="1"/>
  <c r="V56" i="3"/>
  <c r="V57" i="3" s="1"/>
  <c r="V60" i="3" s="1"/>
  <c r="Z56" i="3"/>
  <c r="Z57" i="3" s="1"/>
  <c r="Z60" i="3" s="1"/>
  <c r="AC29" i="3"/>
  <c r="AE29" i="3" s="1"/>
  <c r="G56" i="3"/>
  <c r="G57" i="3" s="1"/>
  <c r="G60" i="3" s="1"/>
  <c r="O56" i="3"/>
  <c r="O57" i="3" s="1"/>
  <c r="O60" i="3" s="1"/>
  <c r="W56" i="3"/>
  <c r="W57" i="3" s="1"/>
  <c r="W60" i="3" s="1"/>
  <c r="J22" i="4"/>
  <c r="D56" i="4"/>
  <c r="D57" i="4" s="1"/>
  <c r="D60" i="4" s="1"/>
  <c r="H56" i="4"/>
  <c r="H57" i="4" s="1"/>
  <c r="H60" i="4" s="1"/>
  <c r="I22" i="4"/>
  <c r="K22" i="4" s="1"/>
  <c r="E56" i="4"/>
  <c r="E57" i="4" s="1"/>
  <c r="E60" i="4" s="1"/>
  <c r="F56" i="4"/>
  <c r="F57" i="4" s="1"/>
  <c r="F60" i="4" s="1"/>
  <c r="J27" i="4"/>
  <c r="K40" i="4"/>
  <c r="K18" i="4"/>
  <c r="K24" i="4"/>
  <c r="K26" i="4"/>
  <c r="K28" i="4"/>
  <c r="K30" i="4"/>
  <c r="K36" i="4"/>
  <c r="K48" i="4"/>
  <c r="K50" i="4"/>
  <c r="F56" i="2"/>
  <c r="F57" i="2" s="1"/>
  <c r="F60" i="2" s="1"/>
  <c r="K25" i="2"/>
  <c r="M25" i="2" s="1"/>
  <c r="M51" i="2"/>
  <c r="K55" i="2"/>
  <c r="M55" i="2" s="1"/>
  <c r="M31" i="2"/>
  <c r="K16" i="2"/>
  <c r="J56" i="2"/>
  <c r="J57" i="2" s="1"/>
  <c r="J60" i="2" s="1"/>
  <c r="L27" i="2"/>
  <c r="M36" i="2"/>
  <c r="L39" i="2"/>
  <c r="K15" i="2"/>
  <c r="M32" i="2"/>
  <c r="M47" i="2"/>
  <c r="M18" i="2"/>
  <c r="L33" i="2"/>
  <c r="L44" i="2"/>
  <c r="M54" i="2"/>
  <c r="C56" i="3"/>
  <c r="C57" i="3" s="1"/>
  <c r="C60" i="3" s="1"/>
  <c r="K56" i="3"/>
  <c r="K57" i="3" s="1"/>
  <c r="K60" i="3" s="1"/>
  <c r="S56" i="3"/>
  <c r="S57" i="3" s="1"/>
  <c r="S60" i="3" s="1"/>
  <c r="AA56" i="3"/>
  <c r="AA57" i="3" s="1"/>
  <c r="AA60" i="3" s="1"/>
  <c r="AE13" i="3"/>
  <c r="AE58" i="3"/>
  <c r="AE21" i="3"/>
  <c r="AE24" i="3"/>
  <c r="AE25" i="3"/>
  <c r="AD27" i="3"/>
  <c r="AE28" i="3"/>
  <c r="AE37" i="3"/>
  <c r="AE38" i="3"/>
  <c r="AE53" i="3"/>
  <c r="AE19" i="3"/>
  <c r="AE20" i="3"/>
  <c r="AC22" i="3"/>
  <c r="AE22" i="3" s="1"/>
  <c r="AE26" i="3"/>
  <c r="AE30" i="3"/>
  <c r="AE35" i="3"/>
  <c r="AE43" i="3"/>
  <c r="AC44" i="3"/>
  <c r="AE44" i="3" s="1"/>
  <c r="AE47" i="3"/>
  <c r="AD49" i="3"/>
  <c r="D56" i="3"/>
  <c r="D57" i="3" s="1"/>
  <c r="D60" i="3" s="1"/>
  <c r="H56" i="3"/>
  <c r="H57" i="3" s="1"/>
  <c r="H60" i="3" s="1"/>
  <c r="L56" i="3"/>
  <c r="L57" i="3" s="1"/>
  <c r="L60" i="3" s="1"/>
  <c r="P56" i="3"/>
  <c r="P57" i="3" s="1"/>
  <c r="P60" i="3" s="1"/>
  <c r="T56" i="3"/>
  <c r="T57" i="3" s="1"/>
  <c r="T60" i="3" s="1"/>
  <c r="X56" i="3"/>
  <c r="X57" i="3" s="1"/>
  <c r="X60" i="3" s="1"/>
  <c r="AB56" i="3"/>
  <c r="AB57" i="3" s="1"/>
  <c r="AB60" i="3" s="1"/>
  <c r="AE51" i="3"/>
  <c r="AE52" i="3"/>
  <c r="AE54" i="3"/>
  <c r="AE59" i="3"/>
  <c r="AC15" i="3"/>
  <c r="AC16" i="3"/>
  <c r="AE17" i="3"/>
  <c r="AC33" i="3"/>
  <c r="AE33" i="3" s="1"/>
  <c r="AE34" i="3"/>
  <c r="AE36" i="3"/>
  <c r="AE41" i="3"/>
  <c r="AE45" i="3"/>
  <c r="AE46" i="3"/>
  <c r="AE48" i="3"/>
  <c r="E56" i="3"/>
  <c r="E57" i="3" s="1"/>
  <c r="E60" i="3" s="1"/>
  <c r="I56" i="3"/>
  <c r="I57" i="3" s="1"/>
  <c r="I60" i="3" s="1"/>
  <c r="M56" i="3"/>
  <c r="M57" i="3" s="1"/>
  <c r="M60" i="3" s="1"/>
  <c r="Q56" i="3"/>
  <c r="Q57" i="3" s="1"/>
  <c r="Q60" i="3" s="1"/>
  <c r="U56" i="3"/>
  <c r="U57" i="3" s="1"/>
  <c r="U60" i="3" s="1"/>
  <c r="Y56" i="3"/>
  <c r="Y57" i="3" s="1"/>
  <c r="Y60" i="3" s="1"/>
  <c r="AE18" i="3"/>
  <c r="AD22" i="3"/>
  <c r="AE23" i="3"/>
  <c r="AD25" i="3"/>
  <c r="AC27" i="3"/>
  <c r="AE27" i="3" s="1"/>
  <c r="AE31" i="3"/>
  <c r="AE32" i="3"/>
  <c r="AE40" i="3"/>
  <c r="AE42" i="3"/>
  <c r="AD44" i="3"/>
  <c r="AE50" i="3"/>
  <c r="AC55" i="3"/>
  <c r="AE55" i="3" s="1"/>
  <c r="K33" i="2"/>
  <c r="M33" i="2" s="1"/>
  <c r="G56" i="2"/>
  <c r="G57" i="2" s="1"/>
  <c r="G60" i="2" s="1"/>
  <c r="C27" i="2"/>
  <c r="K27" i="2" s="1"/>
  <c r="M27" i="2" s="1"/>
  <c r="K39" i="2"/>
  <c r="M39" i="2" s="1"/>
  <c r="H56" i="2"/>
  <c r="H57" i="2" s="1"/>
  <c r="H60" i="2" s="1"/>
  <c r="M13" i="2"/>
  <c r="M52" i="2"/>
  <c r="M46" i="2"/>
  <c r="M58" i="2"/>
  <c r="M21" i="2"/>
  <c r="M24" i="2"/>
  <c r="M28" i="2"/>
  <c r="M37" i="2"/>
  <c r="M38" i="2"/>
  <c r="M48" i="2"/>
  <c r="E56" i="2"/>
  <c r="E57" i="2" s="1"/>
  <c r="E60" i="2" s="1"/>
  <c r="I56" i="2"/>
  <c r="I57" i="2" s="1"/>
  <c r="I60" i="2" s="1"/>
  <c r="K49" i="2"/>
  <c r="M49" i="2" s="1"/>
  <c r="L25" i="2"/>
  <c r="M42" i="2"/>
  <c r="K44" i="2"/>
  <c r="M44" i="2" s="1"/>
  <c r="L49" i="2"/>
  <c r="M19" i="2"/>
  <c r="M20" i="2"/>
  <c r="K22" i="2"/>
  <c r="M22" i="2" s="1"/>
  <c r="M26" i="2"/>
  <c r="M30" i="2"/>
  <c r="M35" i="2"/>
  <c r="M43" i="2"/>
  <c r="M45" i="2"/>
  <c r="M50" i="2"/>
  <c r="M53" i="2"/>
  <c r="L55" i="2"/>
  <c r="D56" i="2"/>
  <c r="J27" i="7" l="1"/>
  <c r="I27" i="7"/>
  <c r="K27" i="7" s="1"/>
  <c r="K27" i="6"/>
  <c r="K56" i="6"/>
  <c r="J56" i="6"/>
  <c r="L56" i="6" s="1"/>
  <c r="V56" i="5"/>
  <c r="X56" i="5" s="1"/>
  <c r="C57" i="5"/>
  <c r="W56" i="5"/>
  <c r="I27" i="4"/>
  <c r="K27" i="4" s="1"/>
  <c r="J56" i="4"/>
  <c r="AD56" i="3"/>
  <c r="D57" i="2"/>
  <c r="L56" i="2"/>
  <c r="C56" i="2"/>
  <c r="J56" i="7" l="1"/>
  <c r="I56" i="7"/>
  <c r="K56" i="7" s="1"/>
  <c r="K57" i="6"/>
  <c r="J57" i="6"/>
  <c r="L57" i="6" s="1"/>
  <c r="C60" i="5"/>
  <c r="W57" i="5"/>
  <c r="V57" i="5"/>
  <c r="X57" i="5" s="1"/>
  <c r="J60" i="4"/>
  <c r="J57" i="4"/>
  <c r="I56" i="4"/>
  <c r="K56" i="4" s="1"/>
  <c r="AC56" i="3"/>
  <c r="AE56" i="3" s="1"/>
  <c r="AD57" i="3"/>
  <c r="AD60" i="3"/>
  <c r="K56" i="2"/>
  <c r="M56" i="2" s="1"/>
  <c r="C57" i="2"/>
  <c r="L57" i="2"/>
  <c r="D60" i="2"/>
  <c r="L60" i="2" s="1"/>
  <c r="I57" i="7" l="1"/>
  <c r="K57" i="7" s="1"/>
  <c r="J57" i="7"/>
  <c r="K60" i="6"/>
  <c r="J60" i="6"/>
  <c r="L60" i="6" s="1"/>
  <c r="V60" i="5"/>
  <c r="X60" i="5" s="1"/>
  <c r="W60" i="5"/>
  <c r="I57" i="4"/>
  <c r="K57" i="4" s="1"/>
  <c r="I60" i="4"/>
  <c r="K60" i="4" s="1"/>
  <c r="AC60" i="3"/>
  <c r="AE60" i="3" s="1"/>
  <c r="AC57" i="3"/>
  <c r="AE57" i="3" s="1"/>
  <c r="C60" i="2"/>
  <c r="K60" i="2" s="1"/>
  <c r="M60" i="2" s="1"/>
  <c r="K57" i="2"/>
  <c r="M57" i="2" s="1"/>
  <c r="J60" i="7" l="1"/>
  <c r="I60" i="7"/>
  <c r="K60" i="7" s="1"/>
  <c r="AV57" i="1" l="1"/>
  <c r="AU57" i="1"/>
  <c r="AT57" i="1"/>
  <c r="AS57" i="1"/>
  <c r="AR57" i="1"/>
  <c r="AQ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G57" i="1"/>
  <c r="F57" i="1"/>
  <c r="E57" i="1"/>
  <c r="C57" i="1"/>
  <c r="AW43" i="1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X52" i="1"/>
  <c r="AW52" i="1"/>
  <c r="AX51" i="1"/>
  <c r="AW51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X48" i="1"/>
  <c r="AW48" i="1"/>
  <c r="AX47" i="1"/>
  <c r="AW47" i="1"/>
  <c r="AX46" i="1"/>
  <c r="AW46" i="1"/>
  <c r="AX45" i="1"/>
  <c r="AW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X42" i="1"/>
  <c r="AW42" i="1"/>
  <c r="AX41" i="1"/>
  <c r="AW41" i="1"/>
  <c r="AX40" i="1"/>
  <c r="AW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X38" i="1"/>
  <c r="AW38" i="1"/>
  <c r="AX37" i="1"/>
  <c r="AW37" i="1"/>
  <c r="AX36" i="1"/>
  <c r="AW36" i="1"/>
  <c r="AX35" i="1"/>
  <c r="AW35" i="1"/>
  <c r="AX34" i="1"/>
  <c r="AW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X32" i="1"/>
  <c r="AW32" i="1"/>
  <c r="AX31" i="1"/>
  <c r="AW31" i="1"/>
  <c r="AX30" i="1"/>
  <c r="AW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X29" i="1" s="1"/>
  <c r="C29" i="1"/>
  <c r="AX28" i="1"/>
  <c r="AW28" i="1"/>
  <c r="AX26" i="1"/>
  <c r="AW26" i="1"/>
  <c r="AV25" i="1"/>
  <c r="AV27" i="1" s="1"/>
  <c r="AU25" i="1"/>
  <c r="AU27" i="1" s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X24" i="1"/>
  <c r="AW24" i="1"/>
  <c r="AX23" i="1"/>
  <c r="AW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X21" i="1"/>
  <c r="AW21" i="1"/>
  <c r="AX20" i="1"/>
  <c r="AW20" i="1"/>
  <c r="AX19" i="1"/>
  <c r="AW19" i="1"/>
  <c r="AX18" i="1"/>
  <c r="AW18" i="1"/>
  <c r="AX17" i="1"/>
  <c r="AW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X16" i="1" s="1"/>
  <c r="C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X15" i="1" s="1"/>
  <c r="C15" i="1"/>
  <c r="AX14" i="1"/>
  <c r="AW14" i="1"/>
  <c r="AX13" i="1"/>
  <c r="AW13" i="1"/>
  <c r="AX12" i="1"/>
  <c r="AW12" i="1"/>
  <c r="AX11" i="1"/>
  <c r="AW11" i="1"/>
  <c r="AW9" i="1"/>
  <c r="AW58" i="1" l="1"/>
  <c r="AY58" i="1" s="1"/>
  <c r="N55" i="1"/>
  <c r="N56" i="1" s="1"/>
  <c r="N60" i="1" s="1"/>
  <c r="R55" i="1"/>
  <c r="R56" i="1" s="1"/>
  <c r="R60" i="1" s="1"/>
  <c r="K55" i="1"/>
  <c r="K56" i="1" s="1"/>
  <c r="K60" i="1" s="1"/>
  <c r="O55" i="1"/>
  <c r="O56" i="1" s="1"/>
  <c r="O60" i="1" s="1"/>
  <c r="AG55" i="1"/>
  <c r="AG56" i="1" s="1"/>
  <c r="AG60" i="1" s="1"/>
  <c r="AX39" i="1"/>
  <c r="AW29" i="1"/>
  <c r="AY29" i="1" s="1"/>
  <c r="AW22" i="1"/>
  <c r="AX22" i="1"/>
  <c r="AW33" i="1"/>
  <c r="AX33" i="1"/>
  <c r="AW39" i="1"/>
  <c r="AY39" i="1" s="1"/>
  <c r="AT55" i="1"/>
  <c r="AT56" i="1" s="1"/>
  <c r="AT60" i="1" s="1"/>
  <c r="AW16" i="1"/>
  <c r="AW15" i="1"/>
  <c r="AY13" i="1"/>
  <c r="AY17" i="1"/>
  <c r="AY18" i="1"/>
  <c r="AY19" i="1"/>
  <c r="AY20" i="1"/>
  <c r="AY21" i="1"/>
  <c r="AY22" i="1"/>
  <c r="AY23" i="1"/>
  <c r="AY24" i="1"/>
  <c r="C27" i="1"/>
  <c r="AW25" i="1"/>
  <c r="AY25" i="1" s="1"/>
  <c r="D27" i="1"/>
  <c r="AX27" i="1" s="1"/>
  <c r="AX25" i="1"/>
  <c r="AY26" i="1"/>
  <c r="AY28" i="1"/>
  <c r="AY30" i="1"/>
  <c r="AY31" i="1"/>
  <c r="AY32" i="1"/>
  <c r="AY33" i="1"/>
  <c r="AY34" i="1"/>
  <c r="AY35" i="1"/>
  <c r="AY36" i="1"/>
  <c r="AY37" i="1"/>
  <c r="AY38" i="1"/>
  <c r="AY40" i="1"/>
  <c r="AY41" i="1"/>
  <c r="AY42" i="1"/>
  <c r="C44" i="1"/>
  <c r="AX44" i="1" s="1"/>
  <c r="AX43" i="1"/>
  <c r="AY45" i="1"/>
  <c r="AY46" i="1"/>
  <c r="AY47" i="1"/>
  <c r="AY48" i="1"/>
  <c r="AW49" i="1"/>
  <c r="AY49" i="1" s="1"/>
  <c r="AX49" i="1"/>
  <c r="D55" i="1"/>
  <c r="AX50" i="1"/>
  <c r="AY51" i="1"/>
  <c r="AY52" i="1"/>
  <c r="AX59" i="1" l="1"/>
  <c r="AW59" i="1"/>
  <c r="AY59" i="1" s="1"/>
  <c r="AX58" i="1"/>
  <c r="AX54" i="1"/>
  <c r="AW54" i="1"/>
  <c r="AY54" i="1" s="1"/>
  <c r="AE55" i="1"/>
  <c r="AE56" i="1" s="1"/>
  <c r="AE60" i="1" s="1"/>
  <c r="AD55" i="1"/>
  <c r="AD56" i="1" s="1"/>
  <c r="AD60" i="1" s="1"/>
  <c r="AS55" i="1"/>
  <c r="AS56" i="1" s="1"/>
  <c r="AS60" i="1" s="1"/>
  <c r="AO55" i="1"/>
  <c r="AO56" i="1" s="1"/>
  <c r="AO60" i="1" s="1"/>
  <c r="Y55" i="1"/>
  <c r="Y56" i="1" s="1"/>
  <c r="Y60" i="1" s="1"/>
  <c r="I55" i="1"/>
  <c r="I56" i="1" s="1"/>
  <c r="I60" i="1" s="1"/>
  <c r="AM55" i="1"/>
  <c r="AM56" i="1" s="1"/>
  <c r="AM60" i="1" s="1"/>
  <c r="W55" i="1"/>
  <c r="W56" i="1" s="1"/>
  <c r="W60" i="1" s="1"/>
  <c r="G55" i="1"/>
  <c r="G56" i="1" s="1"/>
  <c r="G60" i="1" s="1"/>
  <c r="Z55" i="1"/>
  <c r="Z56" i="1" s="1"/>
  <c r="J55" i="1"/>
  <c r="J56" i="1" s="1"/>
  <c r="J60" i="1" s="1"/>
  <c r="Q55" i="1"/>
  <c r="Q56" i="1" s="1"/>
  <c r="Q60" i="1" s="1"/>
  <c r="AA55" i="1"/>
  <c r="AA56" i="1" s="1"/>
  <c r="AK55" i="1"/>
  <c r="AK56" i="1" s="1"/>
  <c r="AK60" i="1" s="1"/>
  <c r="U55" i="1"/>
  <c r="U56" i="1" s="1"/>
  <c r="U60" i="1" s="1"/>
  <c r="E55" i="1"/>
  <c r="E56" i="1" s="1"/>
  <c r="E60" i="1" s="1"/>
  <c r="AI55" i="1"/>
  <c r="AI56" i="1" s="1"/>
  <c r="AI60" i="1" s="1"/>
  <c r="AL55" i="1"/>
  <c r="AL56" i="1" s="1"/>
  <c r="AL60" i="1" s="1"/>
  <c r="V55" i="1"/>
  <c r="V56" i="1" s="1"/>
  <c r="V60" i="1" s="1"/>
  <c r="F55" i="1"/>
  <c r="F56" i="1" s="1"/>
  <c r="F60" i="1" s="1"/>
  <c r="AW53" i="1"/>
  <c r="AY53" i="1" s="1"/>
  <c r="C55" i="1"/>
  <c r="C56" i="1" s="1"/>
  <c r="AV55" i="1"/>
  <c r="AV56" i="1" s="1"/>
  <c r="AV60" i="1" s="1"/>
  <c r="AF55" i="1"/>
  <c r="AF56" i="1" s="1"/>
  <c r="AF60" i="1" s="1"/>
  <c r="P55" i="1"/>
  <c r="P56" i="1" s="1"/>
  <c r="P60" i="1" s="1"/>
  <c r="AU55" i="1"/>
  <c r="AU56" i="1" s="1"/>
  <c r="AU60" i="1" s="1"/>
  <c r="S55" i="1"/>
  <c r="S56" i="1" s="1"/>
  <c r="S60" i="1" s="1"/>
  <c r="AC55" i="1"/>
  <c r="AC56" i="1" s="1"/>
  <c r="AC60" i="1" s="1"/>
  <c r="M55" i="1"/>
  <c r="M56" i="1" s="1"/>
  <c r="M60" i="1" s="1"/>
  <c r="AR55" i="1"/>
  <c r="AR56" i="1" s="1"/>
  <c r="AR60" i="1" s="1"/>
  <c r="AB55" i="1"/>
  <c r="AB56" i="1" s="1"/>
  <c r="L55" i="1"/>
  <c r="L56" i="1" s="1"/>
  <c r="L60" i="1" s="1"/>
  <c r="AQ55" i="1"/>
  <c r="AQ56" i="1" s="1"/>
  <c r="AQ60" i="1" s="1"/>
  <c r="AP55" i="1"/>
  <c r="AP56" i="1" s="1"/>
  <c r="AX53" i="1"/>
  <c r="X55" i="1"/>
  <c r="X56" i="1" s="1"/>
  <c r="X60" i="1" s="1"/>
  <c r="AJ55" i="1"/>
  <c r="AJ56" i="1" s="1"/>
  <c r="AJ60" i="1" s="1"/>
  <c r="T55" i="1"/>
  <c r="T56" i="1" s="1"/>
  <c r="T60" i="1" s="1"/>
  <c r="AN55" i="1"/>
  <c r="AN56" i="1" s="1"/>
  <c r="AN60" i="1" s="1"/>
  <c r="H55" i="1"/>
  <c r="H56" i="1" s="1"/>
  <c r="H60" i="1" s="1"/>
  <c r="AH55" i="1"/>
  <c r="AH56" i="1" s="1"/>
  <c r="AH60" i="1" s="1"/>
  <c r="AW50" i="1"/>
  <c r="AY50" i="1" s="1"/>
  <c r="D56" i="1"/>
  <c r="D57" i="1" s="1"/>
  <c r="AY43" i="1"/>
  <c r="AW44" i="1"/>
  <c r="AY44" i="1" s="1"/>
  <c r="AW27" i="1"/>
  <c r="AY27" i="1" s="1"/>
  <c r="AP57" i="1" l="1"/>
  <c r="AP60" i="1" s="1"/>
  <c r="AB57" i="1"/>
  <c r="AB60" i="1" s="1"/>
  <c r="AA57" i="1"/>
  <c r="AA60" i="1" s="1"/>
  <c r="Z60" i="1"/>
  <c r="AW55" i="1"/>
  <c r="AY55" i="1" s="1"/>
  <c r="AX55" i="1"/>
  <c r="AW56" i="1"/>
  <c r="AY56" i="1" s="1"/>
  <c r="AX56" i="1"/>
  <c r="D60" i="1" l="1"/>
  <c r="AX60" i="1" s="1"/>
  <c r="AX57" i="1"/>
  <c r="C60" i="1"/>
  <c r="AW57" i="1"/>
  <c r="AY57" i="1" s="1"/>
  <c r="AW60" i="1" l="1"/>
  <c r="AY60" i="1" s="1"/>
</calcChain>
</file>

<file path=xl/sharedStrings.xml><?xml version="1.0" encoding="utf-8"?>
<sst xmlns="http://schemas.openxmlformats.org/spreadsheetml/2006/main" count="1267" uniqueCount="239">
  <si>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</si>
  <si>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</si>
  <si>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</si>
  <si>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</si>
  <si>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</si>
  <si>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</si>
  <si>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</si>
  <si>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</si>
  <si>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</si>
  <si>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1447</t>
  </si>
  <si>
    <t>1170</t>
  </si>
  <si>
    <t>00154</t>
  </si>
  <si>
    <t>01693</t>
  </si>
  <si>
    <t>11360</t>
  </si>
  <si>
    <t>19</t>
  </si>
  <si>
    <t>643</t>
  </si>
  <si>
    <t>A3640</t>
  </si>
  <si>
    <t>A700</t>
  </si>
  <si>
    <t>18</t>
  </si>
  <si>
    <t>A1116</t>
  </si>
  <si>
    <t>A1589</t>
  </si>
  <si>
    <t>A299</t>
  </si>
  <si>
    <t>530</t>
  </si>
  <si>
    <t>885</t>
  </si>
  <si>
    <t>88888</t>
  </si>
  <si>
    <t>99999</t>
  </si>
  <si>
    <t>5486</t>
  </si>
  <si>
    <t>C895</t>
  </si>
  <si>
    <t>6340</t>
  </si>
  <si>
    <t>A1246</t>
  </si>
  <si>
    <t>4055</t>
  </si>
  <si>
    <t>560</t>
  </si>
  <si>
    <t>827</t>
  </si>
  <si>
    <t>2919</t>
  </si>
  <si>
    <t>3148</t>
  </si>
  <si>
    <t>3677</t>
  </si>
  <si>
    <t>77777</t>
  </si>
  <si>
    <t>2602</t>
  </si>
  <si>
    <t>2637</t>
  </si>
  <si>
    <t>2648</t>
  </si>
  <si>
    <t>2763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</si>
  <si>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</si>
  <si>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</si>
  <si>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</si>
  <si>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</si>
  <si>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</si>
  <si>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</si>
  <si>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</si>
  <si>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</si>
  <si>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</si>
  <si>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</si>
  <si>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</si>
  <si>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</si>
  <si>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</si>
  <si>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</si>
  <si>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</si>
  <si>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</si>
  <si>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</si>
  <si>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</si>
  <si>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</si>
  <si>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</si>
  <si>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</si>
  <si>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</si>
  <si>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</si>
  <si>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</si>
  <si>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</si>
  <si>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</si>
  <si>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</si>
  <si>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</si>
  <si>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</si>
  <si>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</si>
  <si>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</si>
  <si>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</si>
  <si>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</si>
  <si>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</si>
  <si>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</si>
  <si>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</si>
  <si>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</si>
  <si>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</si>
  <si>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</si>
  <si>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</si>
  <si>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</si>
  <si>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</si>
  <si>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</si>
  <si>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</si>
  <si>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</si>
  <si>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</si>
  <si>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</si>
  <si>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</si>
  <si>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</si>
  <si>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</si>
  <si>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</si>
  <si>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</si>
  <si>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</si>
  <si>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</si>
  <si>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</si>
  <si>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</si>
  <si>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</si>
  <si>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</si>
  <si>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</si>
  <si>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</si>
  <si>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</si>
  <si>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</si>
  <si>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</si>
  <si>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</si>
  <si>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</si>
  <si>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</si>
  <si>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</si>
  <si>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</si>
  <si>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</si>
  <si>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</si>
  <si>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</si>
  <si>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</si>
  <si>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</si>
  <si>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</si>
  <si>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</si>
  <si>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</si>
  <si>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</si>
  <si>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</si>
  <si>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</si>
  <si>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</si>
  <si>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</si>
  <si>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</si>
  <si>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</si>
  <si>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</si>
  <si>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</si>
  <si>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</si>
  <si>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</si>
  <si>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</si>
  <si>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</si>
  <si>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</si>
  <si>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</si>
  <si>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</si>
  <si>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</si>
  <si>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</si>
  <si>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</si>
  <si>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</si>
  <si>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</si>
  <si>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</si>
  <si>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</si>
  <si>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</si>
  <si>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</si>
  <si>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</si>
  <si>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</si>
  <si>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</si>
  <si>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</si>
  <si>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</si>
  <si>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</si>
  <si>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</si>
  <si>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</si>
  <si>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</si>
  <si>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</si>
  <si>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</si>
  <si>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</si>
  <si>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</si>
  <si>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1">
      <t>ドウ</t>
    </rPh>
    <rPh sb="1" eb="2">
      <t>タニ</t>
    </rPh>
    <phoneticPr fontId="3"/>
  </si>
  <si>
    <t>土谷・鈴木(貴)</t>
    <rPh sb="0" eb="2">
      <t>ツチヤ</t>
    </rPh>
    <rPh sb="3" eb="5">
      <t>スズキ</t>
    </rPh>
    <rPh sb="6" eb="7">
      <t>タカ</t>
    </rPh>
    <phoneticPr fontId="3"/>
  </si>
  <si>
    <t>高橋(英)</t>
    <rPh sb="0" eb="2">
      <t>タカハシ</t>
    </rPh>
    <rPh sb="3" eb="4">
      <t>エイ</t>
    </rPh>
    <phoneticPr fontId="3"/>
  </si>
  <si>
    <t>高橋(徹)他2名</t>
    <rPh sb="0" eb="2">
      <t>タカハシ</t>
    </rPh>
    <rPh sb="3" eb="4">
      <t>テツ</t>
    </rPh>
    <rPh sb="5" eb="6">
      <t>タ</t>
    </rPh>
    <rPh sb="7" eb="8">
      <t>メイ</t>
    </rPh>
    <phoneticPr fontId="3"/>
  </si>
  <si>
    <t>齋藤(健)・雲藤</t>
    <rPh sb="0" eb="2">
      <t>サイトウ</t>
    </rPh>
    <rPh sb="3" eb="4">
      <t>ケン</t>
    </rPh>
    <rPh sb="6" eb="7">
      <t>クモ</t>
    </rPh>
    <rPh sb="7" eb="8">
      <t>フジ</t>
    </rPh>
    <phoneticPr fontId="3"/>
  </si>
  <si>
    <t>雲藤</t>
    <rPh sb="0" eb="1">
      <t>クモ</t>
    </rPh>
    <rPh sb="1" eb="2">
      <t>フジ</t>
    </rPh>
    <phoneticPr fontId="3"/>
  </si>
  <si>
    <t>荒木・菊地</t>
    <rPh sb="0" eb="2">
      <t>アラキ</t>
    </rPh>
    <rPh sb="3" eb="5">
      <t>キクチ</t>
    </rPh>
    <phoneticPr fontId="3"/>
  </si>
  <si>
    <t>味戸他2名</t>
    <rPh sb="0" eb="2">
      <t>アジト</t>
    </rPh>
    <rPh sb="2" eb="3">
      <t>タ</t>
    </rPh>
    <rPh sb="4" eb="5">
      <t>メイ</t>
    </rPh>
    <phoneticPr fontId="3"/>
  </si>
  <si>
    <t>384-4247</t>
    <phoneticPr fontId="3"/>
  </si>
  <si>
    <t>吉田・菊地</t>
    <rPh sb="0" eb="2">
      <t>ヨシダ</t>
    </rPh>
    <rPh sb="3" eb="5">
      <t>キクチ</t>
    </rPh>
    <phoneticPr fontId="3"/>
  </si>
  <si>
    <t>松本</t>
    <rPh sb="0" eb="2">
      <t>マツモト</t>
    </rPh>
    <phoneticPr fontId="3"/>
  </si>
  <si>
    <t>小林他2名</t>
    <rPh sb="0" eb="2">
      <t>コバヤシ</t>
    </rPh>
    <rPh sb="2" eb="3">
      <t>タ</t>
    </rPh>
    <rPh sb="4" eb="5">
      <t>メイ</t>
    </rPh>
    <phoneticPr fontId="3"/>
  </si>
  <si>
    <t>山口</t>
    <rPh sb="0" eb="2">
      <t>ヤマグチ</t>
    </rPh>
    <phoneticPr fontId="3"/>
  </si>
  <si>
    <t>小田島・佐藤(守)</t>
    <rPh sb="0" eb="3">
      <t>オダジマ</t>
    </rPh>
    <rPh sb="4" eb="6">
      <t>サトウ</t>
    </rPh>
    <rPh sb="7" eb="8">
      <t>マモ</t>
    </rPh>
    <phoneticPr fontId="3"/>
  </si>
  <si>
    <t>鈴木(富)・吉田</t>
    <rPh sb="0" eb="2">
      <t>スズキ</t>
    </rPh>
    <rPh sb="3" eb="4">
      <t>トミ</t>
    </rPh>
    <rPh sb="6" eb="8">
      <t>ヨシダ</t>
    </rPh>
    <phoneticPr fontId="3"/>
  </si>
  <si>
    <t>大平他2名</t>
    <rPh sb="0" eb="2">
      <t>オオヒラ</t>
    </rPh>
    <rPh sb="2" eb="3">
      <t>タ</t>
    </rPh>
    <rPh sb="4" eb="5">
      <t>メイ</t>
    </rPh>
    <phoneticPr fontId="3"/>
  </si>
  <si>
    <t>鈴木(浩)他4名</t>
    <rPh sb="0" eb="2">
      <t>スズキ</t>
    </rPh>
    <rPh sb="3" eb="4">
      <t>ヒロシ</t>
    </rPh>
    <rPh sb="5" eb="6">
      <t>タ</t>
    </rPh>
    <rPh sb="7" eb="8">
      <t>メイ</t>
    </rPh>
    <phoneticPr fontId="3"/>
  </si>
  <si>
    <t>渡邉(進)他3名</t>
    <rPh sb="0" eb="2">
      <t>ワタナベ</t>
    </rPh>
    <rPh sb="3" eb="4">
      <t>シン</t>
    </rPh>
    <rPh sb="5" eb="6">
      <t>タ</t>
    </rPh>
    <rPh sb="7" eb="8">
      <t>メイ</t>
    </rPh>
    <phoneticPr fontId="3"/>
  </si>
  <si>
    <t>渡邉(進)他4名</t>
    <rPh sb="0" eb="2">
      <t>ワタナベ</t>
    </rPh>
    <rPh sb="3" eb="4">
      <t>シン</t>
    </rPh>
    <rPh sb="5" eb="6">
      <t>タ</t>
    </rPh>
    <rPh sb="7" eb="8">
      <t>メイ</t>
    </rPh>
    <phoneticPr fontId="3"/>
  </si>
  <si>
    <t>鈴木(浩)他2名</t>
    <rPh sb="0" eb="2">
      <t>スズキ</t>
    </rPh>
    <rPh sb="3" eb="4">
      <t>ヒロシ</t>
    </rPh>
    <rPh sb="5" eb="6">
      <t>タ</t>
    </rPh>
    <rPh sb="7" eb="8">
      <t>メイ</t>
    </rPh>
    <phoneticPr fontId="3"/>
  </si>
  <si>
    <t>菊地他2名</t>
    <rPh sb="0" eb="2">
      <t>キクチ</t>
    </rPh>
    <rPh sb="2" eb="3">
      <t>タ</t>
    </rPh>
    <rPh sb="4" eb="5">
      <t>メイ</t>
    </rPh>
    <phoneticPr fontId="3"/>
  </si>
  <si>
    <t>佐藤(守)他2名</t>
    <rPh sb="0" eb="2">
      <t>サトウ</t>
    </rPh>
    <rPh sb="3" eb="4">
      <t>マモ</t>
    </rPh>
    <rPh sb="5" eb="6">
      <t>タ</t>
    </rPh>
    <rPh sb="7" eb="8">
      <t>メイ</t>
    </rPh>
    <phoneticPr fontId="3"/>
  </si>
  <si>
    <t>鈴木(貴)他4名</t>
    <rPh sb="0" eb="2">
      <t>スズキ</t>
    </rPh>
    <rPh sb="3" eb="4">
      <t>タカ</t>
    </rPh>
    <rPh sb="5" eb="6">
      <t>タ</t>
    </rPh>
    <rPh sb="7" eb="8">
      <t>メイ</t>
    </rPh>
    <phoneticPr fontId="3"/>
  </si>
  <si>
    <t>雲藤・菊地</t>
    <rPh sb="0" eb="2">
      <t>ウンドウ</t>
    </rPh>
    <rPh sb="3" eb="5">
      <t>キクチ</t>
    </rPh>
    <phoneticPr fontId="3"/>
  </si>
  <si>
    <t>佐藤(守)他5名</t>
    <rPh sb="0" eb="2">
      <t>サトウ</t>
    </rPh>
    <rPh sb="3" eb="4">
      <t>マモル</t>
    </rPh>
    <rPh sb="5" eb="6">
      <t>タ</t>
    </rPh>
    <rPh sb="7" eb="8">
      <t>メイ</t>
    </rPh>
    <phoneticPr fontId="3"/>
  </si>
  <si>
    <t>1825-6070</t>
    <phoneticPr fontId="3"/>
  </si>
  <si>
    <t>1862-5846</t>
    <phoneticPr fontId="3"/>
  </si>
  <si>
    <t>吉田・伊藤(正)</t>
    <rPh sb="0" eb="2">
      <t>ヨシダ</t>
    </rPh>
    <rPh sb="3" eb="5">
      <t>イトウ</t>
    </rPh>
    <rPh sb="6" eb="7">
      <t>マサ</t>
    </rPh>
    <phoneticPr fontId="3"/>
  </si>
  <si>
    <t>伊藤(正)他2名</t>
    <rPh sb="0" eb="2">
      <t>イトウ</t>
    </rPh>
    <rPh sb="3" eb="4">
      <t>マサ</t>
    </rPh>
    <rPh sb="5" eb="6">
      <t>タ</t>
    </rPh>
    <rPh sb="7" eb="8">
      <t>メイ</t>
    </rPh>
    <phoneticPr fontId="3"/>
  </si>
  <si>
    <t>伊藤(憲)他3名</t>
    <rPh sb="0" eb="2">
      <t>イトウ</t>
    </rPh>
    <rPh sb="3" eb="4">
      <t>ノリ</t>
    </rPh>
    <rPh sb="5" eb="6">
      <t>タ</t>
    </rPh>
    <rPh sb="7" eb="8">
      <t>メイ</t>
    </rPh>
    <phoneticPr fontId="3"/>
  </si>
  <si>
    <t>菅原他2名</t>
    <rPh sb="0" eb="2">
      <t>スガワラ</t>
    </rPh>
    <rPh sb="2" eb="3">
      <t>タ</t>
    </rPh>
    <rPh sb="4" eb="5">
      <t>メイ</t>
    </rPh>
    <phoneticPr fontId="3"/>
  </si>
  <si>
    <t>282-2223</t>
    <phoneticPr fontId="3"/>
  </si>
  <si>
    <t>4108-845</t>
    <phoneticPr fontId="3"/>
  </si>
  <si>
    <t>櫻木</t>
    <rPh sb="0" eb="2">
      <t>サクラギ</t>
    </rPh>
    <phoneticPr fontId="3"/>
  </si>
  <si>
    <t>河村他2名</t>
    <rPh sb="0" eb="2">
      <t>カワムラ</t>
    </rPh>
    <rPh sb="2" eb="3">
      <t>タ</t>
    </rPh>
    <rPh sb="4" eb="5">
      <t>メイ</t>
    </rPh>
    <phoneticPr fontId="3"/>
  </si>
  <si>
    <t>米澤他3名</t>
    <rPh sb="0" eb="2">
      <t>ヨネザワ</t>
    </rPh>
    <rPh sb="2" eb="3">
      <t>タ</t>
    </rPh>
    <rPh sb="4" eb="5">
      <t>メイ</t>
    </rPh>
    <phoneticPr fontId="3"/>
  </si>
  <si>
    <t>櫻木他3名</t>
    <rPh sb="0" eb="2">
      <t>サクラギ</t>
    </rPh>
    <rPh sb="2" eb="3">
      <t>タ</t>
    </rPh>
    <rPh sb="4" eb="5">
      <t>メイ</t>
    </rPh>
    <phoneticPr fontId="3"/>
  </si>
  <si>
    <t>松井他2名</t>
    <rPh sb="0" eb="2">
      <t>マツイ</t>
    </rPh>
    <rPh sb="2" eb="3">
      <t>タ</t>
    </rPh>
    <rPh sb="4" eb="5">
      <t>メイ</t>
    </rPh>
    <phoneticPr fontId="3"/>
  </si>
  <si>
    <t>米澤他2名</t>
    <rPh sb="0" eb="3">
      <t>ヨネザワタ</t>
    </rPh>
    <rPh sb="4" eb="5">
      <t>メイ</t>
    </rPh>
    <phoneticPr fontId="3"/>
  </si>
  <si>
    <t>1137-7394</t>
    <phoneticPr fontId="3"/>
  </si>
  <si>
    <t>平成24年8月</t>
    <rPh sb="0" eb="2">
      <t>ヘイセイ</t>
    </rPh>
    <rPh sb="4" eb="5">
      <t>ネン</t>
    </rPh>
    <rPh sb="6" eb="7">
      <t>ツキ</t>
    </rPh>
    <phoneticPr fontId="3"/>
  </si>
  <si>
    <t>平成24年11月</t>
    <rPh sb="0" eb="2">
      <t>ヘイセイ</t>
    </rPh>
    <rPh sb="4" eb="5">
      <t>ネン</t>
    </rPh>
    <rPh sb="7" eb="8">
      <t>ツキ</t>
    </rPh>
    <phoneticPr fontId="3"/>
  </si>
  <si>
    <t>令和元年7月</t>
    <rPh sb="0" eb="2">
      <t>レイワ</t>
    </rPh>
    <rPh sb="2" eb="3">
      <t>ゲン</t>
    </rPh>
    <rPh sb="3" eb="4">
      <t>ネン</t>
    </rPh>
    <rPh sb="5" eb="6">
      <t>ツキ</t>
    </rPh>
    <phoneticPr fontId="3"/>
  </si>
  <si>
    <t>平成28年8月</t>
    <rPh sb="0" eb="2">
      <t>ヘイセイ</t>
    </rPh>
    <rPh sb="4" eb="5">
      <t>ネン</t>
    </rPh>
    <rPh sb="6" eb="7">
      <t>ツキ</t>
    </rPh>
    <phoneticPr fontId="3"/>
  </si>
  <si>
    <t>平成25年1月</t>
    <rPh sb="0" eb="2">
      <t>ヘイセイ</t>
    </rPh>
    <rPh sb="4" eb="5">
      <t>ネン</t>
    </rPh>
    <rPh sb="6" eb="7">
      <t>ツキ</t>
    </rPh>
    <phoneticPr fontId="3"/>
  </si>
  <si>
    <t>平成30年8月</t>
    <rPh sb="0" eb="2">
      <t>ヘイセイ</t>
    </rPh>
    <rPh sb="4" eb="5">
      <t>ネン</t>
    </rPh>
    <rPh sb="6" eb="7">
      <t>ツキ</t>
    </rPh>
    <phoneticPr fontId="3"/>
  </si>
  <si>
    <t>令和4年4月</t>
    <rPh sb="0" eb="2">
      <t>レイワ</t>
    </rPh>
    <rPh sb="3" eb="4">
      <t>ネン</t>
    </rPh>
    <rPh sb="5" eb="6">
      <t>ツキ</t>
    </rPh>
    <phoneticPr fontId="3"/>
  </si>
  <si>
    <t>平成18年3月</t>
    <rPh sb="0" eb="2">
      <t>ヘイセイ</t>
    </rPh>
    <rPh sb="4" eb="5">
      <t>ネン</t>
    </rPh>
    <rPh sb="6" eb="7">
      <t>ツキ</t>
    </rPh>
    <phoneticPr fontId="3"/>
  </si>
  <si>
    <t>平成20年2月</t>
    <rPh sb="0" eb="2">
      <t>ヘイセイ</t>
    </rPh>
    <rPh sb="4" eb="5">
      <t>ネン</t>
    </rPh>
    <rPh sb="6" eb="7">
      <t>ツキ</t>
    </rPh>
    <phoneticPr fontId="3"/>
  </si>
  <si>
    <t>平成14年11月</t>
    <rPh sb="0" eb="2">
      <t>ヘイセイ</t>
    </rPh>
    <rPh sb="4" eb="5">
      <t>ネン</t>
    </rPh>
    <rPh sb="7" eb="8">
      <t>ツキ</t>
    </rPh>
    <phoneticPr fontId="3"/>
  </si>
  <si>
    <t>平成22年8月</t>
    <rPh sb="0" eb="2">
      <t>ヘイセイ</t>
    </rPh>
    <rPh sb="4" eb="5">
      <t>ネン</t>
    </rPh>
    <rPh sb="6" eb="7">
      <t>ツキ</t>
    </rPh>
    <phoneticPr fontId="3"/>
  </si>
  <si>
    <t>平成31年10月</t>
    <rPh sb="0" eb="2">
      <t>ヘイセイ</t>
    </rPh>
    <rPh sb="4" eb="5">
      <t>ネン</t>
    </rPh>
    <rPh sb="7" eb="8">
      <t>ツキ</t>
    </rPh>
    <phoneticPr fontId="3"/>
  </si>
  <si>
    <t>平成13年6月</t>
    <rPh sb="0" eb="2">
      <t>ヘイセイ</t>
    </rPh>
    <rPh sb="4" eb="5">
      <t>ネン</t>
    </rPh>
    <rPh sb="6" eb="7">
      <t>ツキ</t>
    </rPh>
    <phoneticPr fontId="3"/>
  </si>
  <si>
    <t>平成20年6月</t>
    <rPh sb="0" eb="2">
      <t>ヘイセイ</t>
    </rPh>
    <rPh sb="4" eb="5">
      <t>ネン</t>
    </rPh>
    <rPh sb="6" eb="7">
      <t>ツキ</t>
    </rPh>
    <phoneticPr fontId="3"/>
  </si>
  <si>
    <t>平成28年9月</t>
    <rPh sb="0" eb="2">
      <t>ヘイセイ</t>
    </rPh>
    <rPh sb="4" eb="5">
      <t>ネン</t>
    </rPh>
    <rPh sb="6" eb="7">
      <t>ツキ</t>
    </rPh>
    <phoneticPr fontId="3"/>
  </si>
  <si>
    <t>平成30年6月</t>
    <rPh sb="0" eb="2">
      <t>ヘイセイ</t>
    </rPh>
    <rPh sb="4" eb="5">
      <t>ネン</t>
    </rPh>
    <rPh sb="6" eb="7">
      <t>ツキ</t>
    </rPh>
    <phoneticPr fontId="3"/>
  </si>
  <si>
    <t>平成25年6月</t>
    <rPh sb="0" eb="2">
      <t>ヘイセイ</t>
    </rPh>
    <rPh sb="4" eb="5">
      <t>ネン</t>
    </rPh>
    <rPh sb="6" eb="7">
      <t>ツキ</t>
    </rPh>
    <phoneticPr fontId="3"/>
  </si>
  <si>
    <t>令和3年6月</t>
    <rPh sb="0" eb="2">
      <t>レイワ</t>
    </rPh>
    <rPh sb="3" eb="4">
      <t>ネン</t>
    </rPh>
    <rPh sb="5" eb="6">
      <t>ツキ</t>
    </rPh>
    <phoneticPr fontId="3"/>
  </si>
  <si>
    <t>平成30年10月</t>
    <rPh sb="0" eb="2">
      <t>ヘイセイ</t>
    </rPh>
    <rPh sb="4" eb="5">
      <t>ネン</t>
    </rPh>
    <rPh sb="7" eb="8">
      <t>ツキ</t>
    </rPh>
    <phoneticPr fontId="3"/>
  </si>
  <si>
    <t>令和元年5月</t>
    <rPh sb="0" eb="2">
      <t>レイワ</t>
    </rPh>
    <rPh sb="2" eb="3">
      <t>ゲン</t>
    </rPh>
    <rPh sb="3" eb="4">
      <t>ネン</t>
    </rPh>
    <rPh sb="5" eb="6">
      <t>ツキ</t>
    </rPh>
    <phoneticPr fontId="3"/>
  </si>
  <si>
    <t>平成31年3月</t>
    <rPh sb="0" eb="2">
      <t>ヘイセイ</t>
    </rPh>
    <rPh sb="4" eb="5">
      <t>ネン</t>
    </rPh>
    <rPh sb="6" eb="7">
      <t>ツキ</t>
    </rPh>
    <phoneticPr fontId="3"/>
  </si>
  <si>
    <t>平成24年7月</t>
    <rPh sb="0" eb="2">
      <t>ヘイセイ</t>
    </rPh>
    <rPh sb="4" eb="5">
      <t>ネン</t>
    </rPh>
    <rPh sb="6" eb="7">
      <t>ツキ</t>
    </rPh>
    <phoneticPr fontId="3"/>
  </si>
  <si>
    <t>平成30年3月</t>
    <rPh sb="0" eb="2">
      <t>ヘイセイ</t>
    </rPh>
    <rPh sb="4" eb="5">
      <t>ネン</t>
    </rPh>
    <rPh sb="6" eb="7">
      <t>ツキ</t>
    </rPh>
    <phoneticPr fontId="3"/>
  </si>
  <si>
    <t>平成29年9月</t>
    <rPh sb="0" eb="2">
      <t>ヘイセイ</t>
    </rPh>
    <rPh sb="4" eb="5">
      <t>ネン</t>
    </rPh>
    <rPh sb="6" eb="7">
      <t>ツキ</t>
    </rPh>
    <phoneticPr fontId="3"/>
  </si>
  <si>
    <t>令和5年8月</t>
    <rPh sb="0" eb="2">
      <t>レイワ</t>
    </rPh>
    <rPh sb="3" eb="4">
      <t>ネン</t>
    </rPh>
    <rPh sb="5" eb="6">
      <t>ツキ</t>
    </rPh>
    <phoneticPr fontId="3"/>
  </si>
  <si>
    <t>平成28年3月</t>
    <rPh sb="0" eb="2">
      <t>ヘイセイ</t>
    </rPh>
    <rPh sb="4" eb="5">
      <t>ネン</t>
    </rPh>
    <rPh sb="6" eb="7">
      <t>ツキ</t>
    </rPh>
    <phoneticPr fontId="3"/>
  </si>
  <si>
    <t>平成27年6月</t>
    <rPh sb="0" eb="2">
      <t>ヘイセイ</t>
    </rPh>
    <rPh sb="4" eb="5">
      <t>ネン</t>
    </rPh>
    <rPh sb="6" eb="7">
      <t>ツキ</t>
    </rPh>
    <phoneticPr fontId="3"/>
  </si>
  <si>
    <t>平成24年2月</t>
    <rPh sb="0" eb="2">
      <t>ヘイセイ</t>
    </rPh>
    <rPh sb="4" eb="5">
      <t>ネン</t>
    </rPh>
    <rPh sb="6" eb="7">
      <t>ツキ</t>
    </rPh>
    <phoneticPr fontId="3"/>
  </si>
  <si>
    <t>平成24年12月</t>
    <rPh sb="0" eb="2">
      <t>ヘイセイ</t>
    </rPh>
    <rPh sb="4" eb="5">
      <t>ネン</t>
    </rPh>
    <rPh sb="7" eb="8">
      <t>ツキ</t>
    </rPh>
    <phoneticPr fontId="3"/>
  </si>
  <si>
    <t>平成17年7月</t>
    <rPh sb="0" eb="2">
      <t>ヘイセイ</t>
    </rPh>
    <rPh sb="4" eb="5">
      <t>ネン</t>
    </rPh>
    <rPh sb="6" eb="7">
      <t>ツキ</t>
    </rPh>
    <phoneticPr fontId="3"/>
  </si>
  <si>
    <t>平成29年11月</t>
    <rPh sb="0" eb="2">
      <t>ヘイセイ</t>
    </rPh>
    <rPh sb="4" eb="5">
      <t>ネン</t>
    </rPh>
    <rPh sb="7" eb="8">
      <t>ツキ</t>
    </rPh>
    <phoneticPr fontId="3"/>
  </si>
  <si>
    <t>平成20年5月</t>
    <rPh sb="0" eb="2">
      <t>ヘイセイ</t>
    </rPh>
    <rPh sb="4" eb="5">
      <t>ネン</t>
    </rPh>
    <rPh sb="6" eb="7">
      <t>ツキ</t>
    </rPh>
    <phoneticPr fontId="3"/>
  </si>
  <si>
    <t>平成26年12月</t>
    <rPh sb="0" eb="2">
      <t>ヘイセイ</t>
    </rPh>
    <rPh sb="4" eb="5">
      <t>ネン</t>
    </rPh>
    <rPh sb="7" eb="8">
      <t>ツキ</t>
    </rPh>
    <phoneticPr fontId="3"/>
  </si>
  <si>
    <t>平成30年9月</t>
    <rPh sb="0" eb="2">
      <t>ヘイセイ</t>
    </rPh>
    <rPh sb="4" eb="5">
      <t>ネン</t>
    </rPh>
    <rPh sb="6" eb="7">
      <t>ツキ</t>
    </rPh>
    <phoneticPr fontId="3"/>
  </si>
  <si>
    <t>令和3年1月</t>
    <rPh sb="0" eb="2">
      <t>レイワ</t>
    </rPh>
    <rPh sb="3" eb="4">
      <t>ネン</t>
    </rPh>
    <rPh sb="5" eb="6">
      <t>ツキ</t>
    </rPh>
    <phoneticPr fontId="3"/>
  </si>
  <si>
    <t>令和3年9月</t>
    <rPh sb="0" eb="2">
      <t>レイワ</t>
    </rPh>
    <rPh sb="3" eb="4">
      <t>ネン</t>
    </rPh>
    <rPh sb="5" eb="6">
      <t>ツキ</t>
    </rPh>
    <phoneticPr fontId="3"/>
  </si>
  <si>
    <t>令和5年2月</t>
    <rPh sb="0" eb="2">
      <t>レイワ</t>
    </rPh>
    <rPh sb="3" eb="4">
      <t>ネン</t>
    </rPh>
    <rPh sb="5" eb="6">
      <t>ツキ</t>
    </rPh>
    <phoneticPr fontId="3"/>
  </si>
  <si>
    <t>平成20年9月</t>
    <rPh sb="0" eb="2">
      <t>ヘイセイ</t>
    </rPh>
    <rPh sb="4" eb="5">
      <t>ネン</t>
    </rPh>
    <rPh sb="6" eb="7">
      <t>ツキ</t>
    </rPh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</si>
  <si>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</si>
  <si>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</si>
  <si>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</si>
  <si>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川崎営業所</t>
    <phoneticPr fontId="3"/>
  </si>
  <si>
    <t>九州営業所</t>
    <phoneticPr fontId="3"/>
  </si>
  <si>
    <t>東京営業所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</si>
</sst>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9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2" fillId="2" borderId="1" xfId="0" applyFont="1" applyFill="1" applyBorder="1" applyAlignment="1">
      <alignment horizontal="center" shrinkToFit="1"/>
    </xf>
    <xf numFmtId="0" fontId="2" fillId="2" borderId="2" xfId="0" applyFont="1" applyFill="1" applyBorder="1" applyAlignment="1">
      <alignment horizontal="center" shrinkToFit="1"/>
    </xf>
    <xf numFmtId="0" fontId="2" fillId="2" borderId="1" xfId="0" applyFont="1" applyFill="1" applyBorder="1" applyAlignment="1">
      <alignment shrinkToFit="1"/>
    </xf>
    <xf numFmtId="0" fontId="2" fillId="2" borderId="2" xfId="0" applyFont="1" applyFill="1" applyBorder="1" applyAlignment="1">
      <alignment shrinkToFit="1"/>
    </xf>
    <xf numFmtId="0" fontId="2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shrinkToFit="1"/>
    </xf>
    <xf numFmtId="0" fontId="2" fillId="0" borderId="2" xfId="0" applyFont="1" applyBorder="1" applyAlignment="1">
      <alignment shrinkToFi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/>
    </xf>
    <xf numFmtId="0" fontId="5" fillId="0" borderId="0" xfId="0" applyFont="1"/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64A1CCF-3C47-4B8C-AAF4-E6265B1F4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1445612-9919-43B3-95BF-5A90834FE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FA0CD2F-BF22-4827-9E0E-119847B12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AEF79B6-EB88-454F-BF2E-3DAF4F3B9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F7F0AA2-6DEE-48FE-A040-95785A9428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589B2D05-B1B3-45F0-BC75-518B3D083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A432-8E35-46E9-8636-BAEAD017C688}">
  <sheetPr codeName="Sheet1"/>
  <dimension ref="A2:AY102"/>
  <sheetViews>
    <sheetView tabSelected="1" workbookViewId="0">
      <selection activeCell="AW13" sqref="AW13:AW1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29" width="13" style="1" bestFit="1" customWidth="1"/>
    <col min="30" max="33" width="11" style="1" bestFit="1" customWidth="1"/>
    <col min="34" max="36" width="12.25" style="1" bestFit="1" customWidth="1"/>
    <col min="37" max="48" width="11" style="1" bestFit="1" customWidth="1"/>
    <col min="49" max="49" width="13.25" style="1" bestFit="1" customWidth="1"/>
    <col min="50" max="50" width="10" style="1" bestFit="1" customWidth="1"/>
    <col min="51" max="51" width="11" style="1" bestFit="1" customWidth="1"/>
    <col min="52" max="254" width="9" style="1"/>
    <col min="255" max="255" width="2.875" style="1" bestFit="1" customWidth="1"/>
    <col min="256" max="256" width="16.625" style="1" bestFit="1" customWidth="1"/>
    <col min="257" max="257" width="11.375" style="1" bestFit="1" customWidth="1"/>
    <col min="258" max="259" width="14.125" style="1" bestFit="1" customWidth="1"/>
    <col min="260" max="260" width="11.375" style="1" bestFit="1" customWidth="1"/>
    <col min="261" max="263" width="12.5" style="1" bestFit="1" customWidth="1"/>
    <col min="264" max="264" width="11" style="1" bestFit="1" customWidth="1"/>
    <col min="265" max="283" width="13" style="1" bestFit="1" customWidth="1"/>
    <col min="284" max="287" width="11" style="1" bestFit="1" customWidth="1"/>
    <col min="288" max="290" width="12.25" style="1" bestFit="1" customWidth="1"/>
    <col min="291" max="304" width="11" style="1" bestFit="1" customWidth="1"/>
    <col min="305" max="305" width="13.25" style="1" bestFit="1" customWidth="1"/>
    <col min="306" max="306" width="10" style="1" bestFit="1" customWidth="1"/>
    <col min="307" max="307" width="11" style="1" bestFit="1" customWidth="1"/>
    <col min="308" max="510" width="9" style="1"/>
    <col min="511" max="511" width="2.875" style="1" bestFit="1" customWidth="1"/>
    <col min="512" max="512" width="16.625" style="1" bestFit="1" customWidth="1"/>
    <col min="513" max="513" width="11.375" style="1" bestFit="1" customWidth="1"/>
    <col min="514" max="515" width="14.125" style="1" bestFit="1" customWidth="1"/>
    <col min="516" max="516" width="11.375" style="1" bestFit="1" customWidth="1"/>
    <col min="517" max="519" width="12.5" style="1" bestFit="1" customWidth="1"/>
    <col min="520" max="520" width="11" style="1" bestFit="1" customWidth="1"/>
    <col min="521" max="539" width="13" style="1" bestFit="1" customWidth="1"/>
    <col min="540" max="543" width="11" style="1" bestFit="1" customWidth="1"/>
    <col min="544" max="546" width="12.25" style="1" bestFit="1" customWidth="1"/>
    <col min="547" max="560" width="11" style="1" bestFit="1" customWidth="1"/>
    <col min="561" max="561" width="13.25" style="1" bestFit="1" customWidth="1"/>
    <col min="562" max="562" width="10" style="1" bestFit="1" customWidth="1"/>
    <col min="563" max="563" width="11" style="1" bestFit="1" customWidth="1"/>
    <col min="564" max="766" width="9" style="1"/>
    <col min="767" max="767" width="2.875" style="1" bestFit="1" customWidth="1"/>
    <col min="768" max="768" width="16.625" style="1" bestFit="1" customWidth="1"/>
    <col min="769" max="769" width="11.375" style="1" bestFit="1" customWidth="1"/>
    <col min="770" max="771" width="14.125" style="1" bestFit="1" customWidth="1"/>
    <col min="772" max="772" width="11.375" style="1" bestFit="1" customWidth="1"/>
    <col min="773" max="775" width="12.5" style="1" bestFit="1" customWidth="1"/>
    <col min="776" max="776" width="11" style="1" bestFit="1" customWidth="1"/>
    <col min="777" max="795" width="13" style="1" bestFit="1" customWidth="1"/>
    <col min="796" max="799" width="11" style="1" bestFit="1" customWidth="1"/>
    <col min="800" max="802" width="12.25" style="1" bestFit="1" customWidth="1"/>
    <col min="803" max="816" width="11" style="1" bestFit="1" customWidth="1"/>
    <col min="817" max="817" width="13.25" style="1" bestFit="1" customWidth="1"/>
    <col min="818" max="818" width="10" style="1" bestFit="1" customWidth="1"/>
    <col min="819" max="819" width="11" style="1" bestFit="1" customWidth="1"/>
    <col min="820" max="1022" width="9" style="1"/>
    <col min="1023" max="1023" width="2.875" style="1" bestFit="1" customWidth="1"/>
    <col min="1024" max="1024" width="16.625" style="1" bestFit="1" customWidth="1"/>
    <col min="1025" max="1025" width="11.375" style="1" bestFit="1" customWidth="1"/>
    <col min="1026" max="1027" width="14.125" style="1" bestFit="1" customWidth="1"/>
    <col min="1028" max="1028" width="11.375" style="1" bestFit="1" customWidth="1"/>
    <col min="1029" max="1031" width="12.5" style="1" bestFit="1" customWidth="1"/>
    <col min="1032" max="1032" width="11" style="1" bestFit="1" customWidth="1"/>
    <col min="1033" max="1051" width="13" style="1" bestFit="1" customWidth="1"/>
    <col min="1052" max="1055" width="11" style="1" bestFit="1" customWidth="1"/>
    <col min="1056" max="1058" width="12.25" style="1" bestFit="1" customWidth="1"/>
    <col min="1059" max="1072" width="11" style="1" bestFit="1" customWidth="1"/>
    <col min="1073" max="1073" width="13.25" style="1" bestFit="1" customWidth="1"/>
    <col min="1074" max="1074" width="10" style="1" bestFit="1" customWidth="1"/>
    <col min="1075" max="1075" width="11" style="1" bestFit="1" customWidth="1"/>
    <col min="1076" max="1278" width="9" style="1"/>
    <col min="1279" max="1279" width="2.875" style="1" bestFit="1" customWidth="1"/>
    <col min="1280" max="1280" width="16.625" style="1" bestFit="1" customWidth="1"/>
    <col min="1281" max="1281" width="11.375" style="1" bestFit="1" customWidth="1"/>
    <col min="1282" max="1283" width="14.125" style="1" bestFit="1" customWidth="1"/>
    <col min="1284" max="1284" width="11.375" style="1" bestFit="1" customWidth="1"/>
    <col min="1285" max="1287" width="12.5" style="1" bestFit="1" customWidth="1"/>
    <col min="1288" max="1288" width="11" style="1" bestFit="1" customWidth="1"/>
    <col min="1289" max="1307" width="13" style="1" bestFit="1" customWidth="1"/>
    <col min="1308" max="1311" width="11" style="1" bestFit="1" customWidth="1"/>
    <col min="1312" max="1314" width="12.25" style="1" bestFit="1" customWidth="1"/>
    <col min="1315" max="1328" width="11" style="1" bestFit="1" customWidth="1"/>
    <col min="1329" max="1329" width="13.25" style="1" bestFit="1" customWidth="1"/>
    <col min="1330" max="1330" width="10" style="1" bestFit="1" customWidth="1"/>
    <col min="1331" max="1331" width="11" style="1" bestFit="1" customWidth="1"/>
    <col min="1332" max="1534" width="9" style="1"/>
    <col min="1535" max="1535" width="2.875" style="1" bestFit="1" customWidth="1"/>
    <col min="1536" max="1536" width="16.625" style="1" bestFit="1" customWidth="1"/>
    <col min="1537" max="1537" width="11.375" style="1" bestFit="1" customWidth="1"/>
    <col min="1538" max="1539" width="14.125" style="1" bestFit="1" customWidth="1"/>
    <col min="1540" max="1540" width="11.375" style="1" bestFit="1" customWidth="1"/>
    <col min="1541" max="1543" width="12.5" style="1" bestFit="1" customWidth="1"/>
    <col min="1544" max="1544" width="11" style="1" bestFit="1" customWidth="1"/>
    <col min="1545" max="1563" width="13" style="1" bestFit="1" customWidth="1"/>
    <col min="1564" max="1567" width="11" style="1" bestFit="1" customWidth="1"/>
    <col min="1568" max="1570" width="12.25" style="1" bestFit="1" customWidth="1"/>
    <col min="1571" max="1584" width="11" style="1" bestFit="1" customWidth="1"/>
    <col min="1585" max="1585" width="13.25" style="1" bestFit="1" customWidth="1"/>
    <col min="1586" max="1586" width="10" style="1" bestFit="1" customWidth="1"/>
    <col min="1587" max="1587" width="11" style="1" bestFit="1" customWidth="1"/>
    <col min="1588" max="1790" width="9" style="1"/>
    <col min="1791" max="1791" width="2.875" style="1" bestFit="1" customWidth="1"/>
    <col min="1792" max="1792" width="16.625" style="1" bestFit="1" customWidth="1"/>
    <col min="1793" max="1793" width="11.375" style="1" bestFit="1" customWidth="1"/>
    <col min="1794" max="1795" width="14.125" style="1" bestFit="1" customWidth="1"/>
    <col min="1796" max="1796" width="11.375" style="1" bestFit="1" customWidth="1"/>
    <col min="1797" max="1799" width="12.5" style="1" bestFit="1" customWidth="1"/>
    <col min="1800" max="1800" width="11" style="1" bestFit="1" customWidth="1"/>
    <col min="1801" max="1819" width="13" style="1" bestFit="1" customWidth="1"/>
    <col min="1820" max="1823" width="11" style="1" bestFit="1" customWidth="1"/>
    <col min="1824" max="1826" width="12.25" style="1" bestFit="1" customWidth="1"/>
    <col min="1827" max="1840" width="11" style="1" bestFit="1" customWidth="1"/>
    <col min="1841" max="1841" width="13.25" style="1" bestFit="1" customWidth="1"/>
    <col min="1842" max="1842" width="10" style="1" bestFit="1" customWidth="1"/>
    <col min="1843" max="1843" width="11" style="1" bestFit="1" customWidth="1"/>
    <col min="1844" max="2046" width="9" style="1"/>
    <col min="2047" max="2047" width="2.875" style="1" bestFit="1" customWidth="1"/>
    <col min="2048" max="2048" width="16.625" style="1" bestFit="1" customWidth="1"/>
    <col min="2049" max="2049" width="11.375" style="1" bestFit="1" customWidth="1"/>
    <col min="2050" max="2051" width="14.125" style="1" bestFit="1" customWidth="1"/>
    <col min="2052" max="2052" width="11.375" style="1" bestFit="1" customWidth="1"/>
    <col min="2053" max="2055" width="12.5" style="1" bestFit="1" customWidth="1"/>
    <col min="2056" max="2056" width="11" style="1" bestFit="1" customWidth="1"/>
    <col min="2057" max="2075" width="13" style="1" bestFit="1" customWidth="1"/>
    <col min="2076" max="2079" width="11" style="1" bestFit="1" customWidth="1"/>
    <col min="2080" max="2082" width="12.25" style="1" bestFit="1" customWidth="1"/>
    <col min="2083" max="2096" width="11" style="1" bestFit="1" customWidth="1"/>
    <col min="2097" max="2097" width="13.25" style="1" bestFit="1" customWidth="1"/>
    <col min="2098" max="2098" width="10" style="1" bestFit="1" customWidth="1"/>
    <col min="2099" max="2099" width="11" style="1" bestFit="1" customWidth="1"/>
    <col min="2100" max="2302" width="9" style="1"/>
    <col min="2303" max="2303" width="2.875" style="1" bestFit="1" customWidth="1"/>
    <col min="2304" max="2304" width="16.625" style="1" bestFit="1" customWidth="1"/>
    <col min="2305" max="2305" width="11.375" style="1" bestFit="1" customWidth="1"/>
    <col min="2306" max="2307" width="14.125" style="1" bestFit="1" customWidth="1"/>
    <col min="2308" max="2308" width="11.375" style="1" bestFit="1" customWidth="1"/>
    <col min="2309" max="2311" width="12.5" style="1" bestFit="1" customWidth="1"/>
    <col min="2312" max="2312" width="11" style="1" bestFit="1" customWidth="1"/>
    <col min="2313" max="2331" width="13" style="1" bestFit="1" customWidth="1"/>
    <col min="2332" max="2335" width="11" style="1" bestFit="1" customWidth="1"/>
    <col min="2336" max="2338" width="12.25" style="1" bestFit="1" customWidth="1"/>
    <col min="2339" max="2352" width="11" style="1" bestFit="1" customWidth="1"/>
    <col min="2353" max="2353" width="13.25" style="1" bestFit="1" customWidth="1"/>
    <col min="2354" max="2354" width="10" style="1" bestFit="1" customWidth="1"/>
    <col min="2355" max="2355" width="11" style="1" bestFit="1" customWidth="1"/>
    <col min="2356" max="2558" width="9" style="1"/>
    <col min="2559" max="2559" width="2.875" style="1" bestFit="1" customWidth="1"/>
    <col min="2560" max="2560" width="16.625" style="1" bestFit="1" customWidth="1"/>
    <col min="2561" max="2561" width="11.375" style="1" bestFit="1" customWidth="1"/>
    <col min="2562" max="2563" width="14.125" style="1" bestFit="1" customWidth="1"/>
    <col min="2564" max="2564" width="11.375" style="1" bestFit="1" customWidth="1"/>
    <col min="2565" max="2567" width="12.5" style="1" bestFit="1" customWidth="1"/>
    <col min="2568" max="2568" width="11" style="1" bestFit="1" customWidth="1"/>
    <col min="2569" max="2587" width="13" style="1" bestFit="1" customWidth="1"/>
    <col min="2588" max="2591" width="11" style="1" bestFit="1" customWidth="1"/>
    <col min="2592" max="2594" width="12.25" style="1" bestFit="1" customWidth="1"/>
    <col min="2595" max="2608" width="11" style="1" bestFit="1" customWidth="1"/>
    <col min="2609" max="2609" width="13.25" style="1" bestFit="1" customWidth="1"/>
    <col min="2610" max="2610" width="10" style="1" bestFit="1" customWidth="1"/>
    <col min="2611" max="2611" width="11" style="1" bestFit="1" customWidth="1"/>
    <col min="2612" max="2814" width="9" style="1"/>
    <col min="2815" max="2815" width="2.875" style="1" bestFit="1" customWidth="1"/>
    <col min="2816" max="2816" width="16.625" style="1" bestFit="1" customWidth="1"/>
    <col min="2817" max="2817" width="11.375" style="1" bestFit="1" customWidth="1"/>
    <col min="2818" max="2819" width="14.125" style="1" bestFit="1" customWidth="1"/>
    <col min="2820" max="2820" width="11.375" style="1" bestFit="1" customWidth="1"/>
    <col min="2821" max="2823" width="12.5" style="1" bestFit="1" customWidth="1"/>
    <col min="2824" max="2824" width="11" style="1" bestFit="1" customWidth="1"/>
    <col min="2825" max="2843" width="13" style="1" bestFit="1" customWidth="1"/>
    <col min="2844" max="2847" width="11" style="1" bestFit="1" customWidth="1"/>
    <col min="2848" max="2850" width="12.25" style="1" bestFit="1" customWidth="1"/>
    <col min="2851" max="2864" width="11" style="1" bestFit="1" customWidth="1"/>
    <col min="2865" max="2865" width="13.25" style="1" bestFit="1" customWidth="1"/>
    <col min="2866" max="2866" width="10" style="1" bestFit="1" customWidth="1"/>
    <col min="2867" max="2867" width="11" style="1" bestFit="1" customWidth="1"/>
    <col min="2868" max="3070" width="9" style="1"/>
    <col min="3071" max="3071" width="2.875" style="1" bestFit="1" customWidth="1"/>
    <col min="3072" max="3072" width="16.625" style="1" bestFit="1" customWidth="1"/>
    <col min="3073" max="3073" width="11.375" style="1" bestFit="1" customWidth="1"/>
    <col min="3074" max="3075" width="14.125" style="1" bestFit="1" customWidth="1"/>
    <col min="3076" max="3076" width="11.375" style="1" bestFit="1" customWidth="1"/>
    <col min="3077" max="3079" width="12.5" style="1" bestFit="1" customWidth="1"/>
    <col min="3080" max="3080" width="11" style="1" bestFit="1" customWidth="1"/>
    <col min="3081" max="3099" width="13" style="1" bestFit="1" customWidth="1"/>
    <col min="3100" max="3103" width="11" style="1" bestFit="1" customWidth="1"/>
    <col min="3104" max="3106" width="12.25" style="1" bestFit="1" customWidth="1"/>
    <col min="3107" max="3120" width="11" style="1" bestFit="1" customWidth="1"/>
    <col min="3121" max="3121" width="13.25" style="1" bestFit="1" customWidth="1"/>
    <col min="3122" max="3122" width="10" style="1" bestFit="1" customWidth="1"/>
    <col min="3123" max="3123" width="11" style="1" bestFit="1" customWidth="1"/>
    <col min="3124" max="3326" width="9" style="1"/>
    <col min="3327" max="3327" width="2.875" style="1" bestFit="1" customWidth="1"/>
    <col min="3328" max="3328" width="16.625" style="1" bestFit="1" customWidth="1"/>
    <col min="3329" max="3329" width="11.375" style="1" bestFit="1" customWidth="1"/>
    <col min="3330" max="3331" width="14.125" style="1" bestFit="1" customWidth="1"/>
    <col min="3332" max="3332" width="11.375" style="1" bestFit="1" customWidth="1"/>
    <col min="3333" max="3335" width="12.5" style="1" bestFit="1" customWidth="1"/>
    <col min="3336" max="3336" width="11" style="1" bestFit="1" customWidth="1"/>
    <col min="3337" max="3355" width="13" style="1" bestFit="1" customWidth="1"/>
    <col min="3356" max="3359" width="11" style="1" bestFit="1" customWidth="1"/>
    <col min="3360" max="3362" width="12.25" style="1" bestFit="1" customWidth="1"/>
    <col min="3363" max="3376" width="11" style="1" bestFit="1" customWidth="1"/>
    <col min="3377" max="3377" width="13.25" style="1" bestFit="1" customWidth="1"/>
    <col min="3378" max="3378" width="10" style="1" bestFit="1" customWidth="1"/>
    <col min="3379" max="3379" width="11" style="1" bestFit="1" customWidth="1"/>
    <col min="3380" max="3582" width="9" style="1"/>
    <col min="3583" max="3583" width="2.875" style="1" bestFit="1" customWidth="1"/>
    <col min="3584" max="3584" width="16.625" style="1" bestFit="1" customWidth="1"/>
    <col min="3585" max="3585" width="11.375" style="1" bestFit="1" customWidth="1"/>
    <col min="3586" max="3587" width="14.125" style="1" bestFit="1" customWidth="1"/>
    <col min="3588" max="3588" width="11.375" style="1" bestFit="1" customWidth="1"/>
    <col min="3589" max="3591" width="12.5" style="1" bestFit="1" customWidth="1"/>
    <col min="3592" max="3592" width="11" style="1" bestFit="1" customWidth="1"/>
    <col min="3593" max="3611" width="13" style="1" bestFit="1" customWidth="1"/>
    <col min="3612" max="3615" width="11" style="1" bestFit="1" customWidth="1"/>
    <col min="3616" max="3618" width="12.25" style="1" bestFit="1" customWidth="1"/>
    <col min="3619" max="3632" width="11" style="1" bestFit="1" customWidth="1"/>
    <col min="3633" max="3633" width="13.25" style="1" bestFit="1" customWidth="1"/>
    <col min="3634" max="3634" width="10" style="1" bestFit="1" customWidth="1"/>
    <col min="3635" max="3635" width="11" style="1" bestFit="1" customWidth="1"/>
    <col min="3636" max="3838" width="9" style="1"/>
    <col min="3839" max="3839" width="2.875" style="1" bestFit="1" customWidth="1"/>
    <col min="3840" max="3840" width="16.625" style="1" bestFit="1" customWidth="1"/>
    <col min="3841" max="3841" width="11.375" style="1" bestFit="1" customWidth="1"/>
    <col min="3842" max="3843" width="14.125" style="1" bestFit="1" customWidth="1"/>
    <col min="3844" max="3844" width="11.375" style="1" bestFit="1" customWidth="1"/>
    <col min="3845" max="3847" width="12.5" style="1" bestFit="1" customWidth="1"/>
    <col min="3848" max="3848" width="11" style="1" bestFit="1" customWidth="1"/>
    <col min="3849" max="3867" width="13" style="1" bestFit="1" customWidth="1"/>
    <col min="3868" max="3871" width="11" style="1" bestFit="1" customWidth="1"/>
    <col min="3872" max="3874" width="12.25" style="1" bestFit="1" customWidth="1"/>
    <col min="3875" max="3888" width="11" style="1" bestFit="1" customWidth="1"/>
    <col min="3889" max="3889" width="13.25" style="1" bestFit="1" customWidth="1"/>
    <col min="3890" max="3890" width="10" style="1" bestFit="1" customWidth="1"/>
    <col min="3891" max="3891" width="11" style="1" bestFit="1" customWidth="1"/>
    <col min="3892" max="4094" width="9" style="1"/>
    <col min="4095" max="4095" width="2.875" style="1" bestFit="1" customWidth="1"/>
    <col min="4096" max="4096" width="16.625" style="1" bestFit="1" customWidth="1"/>
    <col min="4097" max="4097" width="11.375" style="1" bestFit="1" customWidth="1"/>
    <col min="4098" max="4099" width="14.125" style="1" bestFit="1" customWidth="1"/>
    <col min="4100" max="4100" width="11.375" style="1" bestFit="1" customWidth="1"/>
    <col min="4101" max="4103" width="12.5" style="1" bestFit="1" customWidth="1"/>
    <col min="4104" max="4104" width="11" style="1" bestFit="1" customWidth="1"/>
    <col min="4105" max="4123" width="13" style="1" bestFit="1" customWidth="1"/>
    <col min="4124" max="4127" width="11" style="1" bestFit="1" customWidth="1"/>
    <col min="4128" max="4130" width="12.25" style="1" bestFit="1" customWidth="1"/>
    <col min="4131" max="4144" width="11" style="1" bestFit="1" customWidth="1"/>
    <col min="4145" max="4145" width="13.25" style="1" bestFit="1" customWidth="1"/>
    <col min="4146" max="4146" width="10" style="1" bestFit="1" customWidth="1"/>
    <col min="4147" max="4147" width="11" style="1" bestFit="1" customWidth="1"/>
    <col min="4148" max="4350" width="9" style="1"/>
    <col min="4351" max="4351" width="2.875" style="1" bestFit="1" customWidth="1"/>
    <col min="4352" max="4352" width="16.625" style="1" bestFit="1" customWidth="1"/>
    <col min="4353" max="4353" width="11.375" style="1" bestFit="1" customWidth="1"/>
    <col min="4354" max="4355" width="14.125" style="1" bestFit="1" customWidth="1"/>
    <col min="4356" max="4356" width="11.375" style="1" bestFit="1" customWidth="1"/>
    <col min="4357" max="4359" width="12.5" style="1" bestFit="1" customWidth="1"/>
    <col min="4360" max="4360" width="11" style="1" bestFit="1" customWidth="1"/>
    <col min="4361" max="4379" width="13" style="1" bestFit="1" customWidth="1"/>
    <col min="4380" max="4383" width="11" style="1" bestFit="1" customWidth="1"/>
    <col min="4384" max="4386" width="12.25" style="1" bestFit="1" customWidth="1"/>
    <col min="4387" max="4400" width="11" style="1" bestFit="1" customWidth="1"/>
    <col min="4401" max="4401" width="13.25" style="1" bestFit="1" customWidth="1"/>
    <col min="4402" max="4402" width="10" style="1" bestFit="1" customWidth="1"/>
    <col min="4403" max="4403" width="11" style="1" bestFit="1" customWidth="1"/>
    <col min="4404" max="4606" width="9" style="1"/>
    <col min="4607" max="4607" width="2.875" style="1" bestFit="1" customWidth="1"/>
    <col min="4608" max="4608" width="16.625" style="1" bestFit="1" customWidth="1"/>
    <col min="4609" max="4609" width="11.375" style="1" bestFit="1" customWidth="1"/>
    <col min="4610" max="4611" width="14.125" style="1" bestFit="1" customWidth="1"/>
    <col min="4612" max="4612" width="11.375" style="1" bestFit="1" customWidth="1"/>
    <col min="4613" max="4615" width="12.5" style="1" bestFit="1" customWidth="1"/>
    <col min="4616" max="4616" width="11" style="1" bestFit="1" customWidth="1"/>
    <col min="4617" max="4635" width="13" style="1" bestFit="1" customWidth="1"/>
    <col min="4636" max="4639" width="11" style="1" bestFit="1" customWidth="1"/>
    <col min="4640" max="4642" width="12.25" style="1" bestFit="1" customWidth="1"/>
    <col min="4643" max="4656" width="11" style="1" bestFit="1" customWidth="1"/>
    <col min="4657" max="4657" width="13.25" style="1" bestFit="1" customWidth="1"/>
    <col min="4658" max="4658" width="10" style="1" bestFit="1" customWidth="1"/>
    <col min="4659" max="4659" width="11" style="1" bestFit="1" customWidth="1"/>
    <col min="4660" max="4862" width="9" style="1"/>
    <col min="4863" max="4863" width="2.875" style="1" bestFit="1" customWidth="1"/>
    <col min="4864" max="4864" width="16.625" style="1" bestFit="1" customWidth="1"/>
    <col min="4865" max="4865" width="11.375" style="1" bestFit="1" customWidth="1"/>
    <col min="4866" max="4867" width="14.125" style="1" bestFit="1" customWidth="1"/>
    <col min="4868" max="4868" width="11.375" style="1" bestFit="1" customWidth="1"/>
    <col min="4869" max="4871" width="12.5" style="1" bestFit="1" customWidth="1"/>
    <col min="4872" max="4872" width="11" style="1" bestFit="1" customWidth="1"/>
    <col min="4873" max="4891" width="13" style="1" bestFit="1" customWidth="1"/>
    <col min="4892" max="4895" width="11" style="1" bestFit="1" customWidth="1"/>
    <col min="4896" max="4898" width="12.25" style="1" bestFit="1" customWidth="1"/>
    <col min="4899" max="4912" width="11" style="1" bestFit="1" customWidth="1"/>
    <col min="4913" max="4913" width="13.25" style="1" bestFit="1" customWidth="1"/>
    <col min="4914" max="4914" width="10" style="1" bestFit="1" customWidth="1"/>
    <col min="4915" max="4915" width="11" style="1" bestFit="1" customWidth="1"/>
    <col min="4916" max="5118" width="9" style="1"/>
    <col min="5119" max="5119" width="2.875" style="1" bestFit="1" customWidth="1"/>
    <col min="5120" max="5120" width="16.625" style="1" bestFit="1" customWidth="1"/>
    <col min="5121" max="5121" width="11.375" style="1" bestFit="1" customWidth="1"/>
    <col min="5122" max="5123" width="14.125" style="1" bestFit="1" customWidth="1"/>
    <col min="5124" max="5124" width="11.375" style="1" bestFit="1" customWidth="1"/>
    <col min="5125" max="5127" width="12.5" style="1" bestFit="1" customWidth="1"/>
    <col min="5128" max="5128" width="11" style="1" bestFit="1" customWidth="1"/>
    <col min="5129" max="5147" width="13" style="1" bestFit="1" customWidth="1"/>
    <col min="5148" max="5151" width="11" style="1" bestFit="1" customWidth="1"/>
    <col min="5152" max="5154" width="12.25" style="1" bestFit="1" customWidth="1"/>
    <col min="5155" max="5168" width="11" style="1" bestFit="1" customWidth="1"/>
    <col min="5169" max="5169" width="13.25" style="1" bestFit="1" customWidth="1"/>
    <col min="5170" max="5170" width="10" style="1" bestFit="1" customWidth="1"/>
    <col min="5171" max="5171" width="11" style="1" bestFit="1" customWidth="1"/>
    <col min="5172" max="5374" width="9" style="1"/>
    <col min="5375" max="5375" width="2.875" style="1" bestFit="1" customWidth="1"/>
    <col min="5376" max="5376" width="16.625" style="1" bestFit="1" customWidth="1"/>
    <col min="5377" max="5377" width="11.375" style="1" bestFit="1" customWidth="1"/>
    <col min="5378" max="5379" width="14.125" style="1" bestFit="1" customWidth="1"/>
    <col min="5380" max="5380" width="11.375" style="1" bestFit="1" customWidth="1"/>
    <col min="5381" max="5383" width="12.5" style="1" bestFit="1" customWidth="1"/>
    <col min="5384" max="5384" width="11" style="1" bestFit="1" customWidth="1"/>
    <col min="5385" max="5403" width="13" style="1" bestFit="1" customWidth="1"/>
    <col min="5404" max="5407" width="11" style="1" bestFit="1" customWidth="1"/>
    <col min="5408" max="5410" width="12.25" style="1" bestFit="1" customWidth="1"/>
    <col min="5411" max="5424" width="11" style="1" bestFit="1" customWidth="1"/>
    <col min="5425" max="5425" width="13.25" style="1" bestFit="1" customWidth="1"/>
    <col min="5426" max="5426" width="10" style="1" bestFit="1" customWidth="1"/>
    <col min="5427" max="5427" width="11" style="1" bestFit="1" customWidth="1"/>
    <col min="5428" max="5630" width="9" style="1"/>
    <col min="5631" max="5631" width="2.875" style="1" bestFit="1" customWidth="1"/>
    <col min="5632" max="5632" width="16.625" style="1" bestFit="1" customWidth="1"/>
    <col min="5633" max="5633" width="11.375" style="1" bestFit="1" customWidth="1"/>
    <col min="5634" max="5635" width="14.125" style="1" bestFit="1" customWidth="1"/>
    <col min="5636" max="5636" width="11.375" style="1" bestFit="1" customWidth="1"/>
    <col min="5637" max="5639" width="12.5" style="1" bestFit="1" customWidth="1"/>
    <col min="5640" max="5640" width="11" style="1" bestFit="1" customWidth="1"/>
    <col min="5641" max="5659" width="13" style="1" bestFit="1" customWidth="1"/>
    <col min="5660" max="5663" width="11" style="1" bestFit="1" customWidth="1"/>
    <col min="5664" max="5666" width="12.25" style="1" bestFit="1" customWidth="1"/>
    <col min="5667" max="5680" width="11" style="1" bestFit="1" customWidth="1"/>
    <col min="5681" max="5681" width="13.25" style="1" bestFit="1" customWidth="1"/>
    <col min="5682" max="5682" width="10" style="1" bestFit="1" customWidth="1"/>
    <col min="5683" max="5683" width="11" style="1" bestFit="1" customWidth="1"/>
    <col min="5684" max="5886" width="9" style="1"/>
    <col min="5887" max="5887" width="2.875" style="1" bestFit="1" customWidth="1"/>
    <col min="5888" max="5888" width="16.625" style="1" bestFit="1" customWidth="1"/>
    <col min="5889" max="5889" width="11.375" style="1" bestFit="1" customWidth="1"/>
    <col min="5890" max="5891" width="14.125" style="1" bestFit="1" customWidth="1"/>
    <col min="5892" max="5892" width="11.375" style="1" bestFit="1" customWidth="1"/>
    <col min="5893" max="5895" width="12.5" style="1" bestFit="1" customWidth="1"/>
    <col min="5896" max="5896" width="11" style="1" bestFit="1" customWidth="1"/>
    <col min="5897" max="5915" width="13" style="1" bestFit="1" customWidth="1"/>
    <col min="5916" max="5919" width="11" style="1" bestFit="1" customWidth="1"/>
    <col min="5920" max="5922" width="12.25" style="1" bestFit="1" customWidth="1"/>
    <col min="5923" max="5936" width="11" style="1" bestFit="1" customWidth="1"/>
    <col min="5937" max="5937" width="13.25" style="1" bestFit="1" customWidth="1"/>
    <col min="5938" max="5938" width="10" style="1" bestFit="1" customWidth="1"/>
    <col min="5939" max="5939" width="11" style="1" bestFit="1" customWidth="1"/>
    <col min="5940" max="6142" width="9" style="1"/>
    <col min="6143" max="6143" width="2.875" style="1" bestFit="1" customWidth="1"/>
    <col min="6144" max="6144" width="16.625" style="1" bestFit="1" customWidth="1"/>
    <col min="6145" max="6145" width="11.375" style="1" bestFit="1" customWidth="1"/>
    <col min="6146" max="6147" width="14.125" style="1" bestFit="1" customWidth="1"/>
    <col min="6148" max="6148" width="11.375" style="1" bestFit="1" customWidth="1"/>
    <col min="6149" max="6151" width="12.5" style="1" bestFit="1" customWidth="1"/>
    <col min="6152" max="6152" width="11" style="1" bestFit="1" customWidth="1"/>
    <col min="6153" max="6171" width="13" style="1" bestFit="1" customWidth="1"/>
    <col min="6172" max="6175" width="11" style="1" bestFit="1" customWidth="1"/>
    <col min="6176" max="6178" width="12.25" style="1" bestFit="1" customWidth="1"/>
    <col min="6179" max="6192" width="11" style="1" bestFit="1" customWidth="1"/>
    <col min="6193" max="6193" width="13.25" style="1" bestFit="1" customWidth="1"/>
    <col min="6194" max="6194" width="10" style="1" bestFit="1" customWidth="1"/>
    <col min="6195" max="6195" width="11" style="1" bestFit="1" customWidth="1"/>
    <col min="6196" max="6398" width="9" style="1"/>
    <col min="6399" max="6399" width="2.875" style="1" bestFit="1" customWidth="1"/>
    <col min="6400" max="6400" width="16.625" style="1" bestFit="1" customWidth="1"/>
    <col min="6401" max="6401" width="11.375" style="1" bestFit="1" customWidth="1"/>
    <col min="6402" max="6403" width="14.125" style="1" bestFit="1" customWidth="1"/>
    <col min="6404" max="6404" width="11.375" style="1" bestFit="1" customWidth="1"/>
    <col min="6405" max="6407" width="12.5" style="1" bestFit="1" customWidth="1"/>
    <col min="6408" max="6408" width="11" style="1" bestFit="1" customWidth="1"/>
    <col min="6409" max="6427" width="13" style="1" bestFit="1" customWidth="1"/>
    <col min="6428" max="6431" width="11" style="1" bestFit="1" customWidth="1"/>
    <col min="6432" max="6434" width="12.25" style="1" bestFit="1" customWidth="1"/>
    <col min="6435" max="6448" width="11" style="1" bestFit="1" customWidth="1"/>
    <col min="6449" max="6449" width="13.25" style="1" bestFit="1" customWidth="1"/>
    <col min="6450" max="6450" width="10" style="1" bestFit="1" customWidth="1"/>
    <col min="6451" max="6451" width="11" style="1" bestFit="1" customWidth="1"/>
    <col min="6452" max="6654" width="9" style="1"/>
    <col min="6655" max="6655" width="2.875" style="1" bestFit="1" customWidth="1"/>
    <col min="6656" max="6656" width="16.625" style="1" bestFit="1" customWidth="1"/>
    <col min="6657" max="6657" width="11.375" style="1" bestFit="1" customWidth="1"/>
    <col min="6658" max="6659" width="14.125" style="1" bestFit="1" customWidth="1"/>
    <col min="6660" max="6660" width="11.375" style="1" bestFit="1" customWidth="1"/>
    <col min="6661" max="6663" width="12.5" style="1" bestFit="1" customWidth="1"/>
    <col min="6664" max="6664" width="11" style="1" bestFit="1" customWidth="1"/>
    <col min="6665" max="6683" width="13" style="1" bestFit="1" customWidth="1"/>
    <col min="6684" max="6687" width="11" style="1" bestFit="1" customWidth="1"/>
    <col min="6688" max="6690" width="12.25" style="1" bestFit="1" customWidth="1"/>
    <col min="6691" max="6704" width="11" style="1" bestFit="1" customWidth="1"/>
    <col min="6705" max="6705" width="13.25" style="1" bestFit="1" customWidth="1"/>
    <col min="6706" max="6706" width="10" style="1" bestFit="1" customWidth="1"/>
    <col min="6707" max="6707" width="11" style="1" bestFit="1" customWidth="1"/>
    <col min="6708" max="6910" width="9" style="1"/>
    <col min="6911" max="6911" width="2.875" style="1" bestFit="1" customWidth="1"/>
    <col min="6912" max="6912" width="16.625" style="1" bestFit="1" customWidth="1"/>
    <col min="6913" max="6913" width="11.375" style="1" bestFit="1" customWidth="1"/>
    <col min="6914" max="6915" width="14.125" style="1" bestFit="1" customWidth="1"/>
    <col min="6916" max="6916" width="11.375" style="1" bestFit="1" customWidth="1"/>
    <col min="6917" max="6919" width="12.5" style="1" bestFit="1" customWidth="1"/>
    <col min="6920" max="6920" width="11" style="1" bestFit="1" customWidth="1"/>
    <col min="6921" max="6939" width="13" style="1" bestFit="1" customWidth="1"/>
    <col min="6940" max="6943" width="11" style="1" bestFit="1" customWidth="1"/>
    <col min="6944" max="6946" width="12.25" style="1" bestFit="1" customWidth="1"/>
    <col min="6947" max="6960" width="11" style="1" bestFit="1" customWidth="1"/>
    <col min="6961" max="6961" width="13.25" style="1" bestFit="1" customWidth="1"/>
    <col min="6962" max="6962" width="10" style="1" bestFit="1" customWidth="1"/>
    <col min="6963" max="6963" width="11" style="1" bestFit="1" customWidth="1"/>
    <col min="6964" max="7166" width="9" style="1"/>
    <col min="7167" max="7167" width="2.875" style="1" bestFit="1" customWidth="1"/>
    <col min="7168" max="7168" width="16.625" style="1" bestFit="1" customWidth="1"/>
    <col min="7169" max="7169" width="11.375" style="1" bestFit="1" customWidth="1"/>
    <col min="7170" max="7171" width="14.125" style="1" bestFit="1" customWidth="1"/>
    <col min="7172" max="7172" width="11.375" style="1" bestFit="1" customWidth="1"/>
    <col min="7173" max="7175" width="12.5" style="1" bestFit="1" customWidth="1"/>
    <col min="7176" max="7176" width="11" style="1" bestFit="1" customWidth="1"/>
    <col min="7177" max="7195" width="13" style="1" bestFit="1" customWidth="1"/>
    <col min="7196" max="7199" width="11" style="1" bestFit="1" customWidth="1"/>
    <col min="7200" max="7202" width="12.25" style="1" bestFit="1" customWidth="1"/>
    <col min="7203" max="7216" width="11" style="1" bestFit="1" customWidth="1"/>
    <col min="7217" max="7217" width="13.25" style="1" bestFit="1" customWidth="1"/>
    <col min="7218" max="7218" width="10" style="1" bestFit="1" customWidth="1"/>
    <col min="7219" max="7219" width="11" style="1" bestFit="1" customWidth="1"/>
    <col min="7220" max="7422" width="9" style="1"/>
    <col min="7423" max="7423" width="2.875" style="1" bestFit="1" customWidth="1"/>
    <col min="7424" max="7424" width="16.625" style="1" bestFit="1" customWidth="1"/>
    <col min="7425" max="7425" width="11.375" style="1" bestFit="1" customWidth="1"/>
    <col min="7426" max="7427" width="14.125" style="1" bestFit="1" customWidth="1"/>
    <col min="7428" max="7428" width="11.375" style="1" bestFit="1" customWidth="1"/>
    <col min="7429" max="7431" width="12.5" style="1" bestFit="1" customWidth="1"/>
    <col min="7432" max="7432" width="11" style="1" bestFit="1" customWidth="1"/>
    <col min="7433" max="7451" width="13" style="1" bestFit="1" customWidth="1"/>
    <col min="7452" max="7455" width="11" style="1" bestFit="1" customWidth="1"/>
    <col min="7456" max="7458" width="12.25" style="1" bestFit="1" customWidth="1"/>
    <col min="7459" max="7472" width="11" style="1" bestFit="1" customWidth="1"/>
    <col min="7473" max="7473" width="13.25" style="1" bestFit="1" customWidth="1"/>
    <col min="7474" max="7474" width="10" style="1" bestFit="1" customWidth="1"/>
    <col min="7475" max="7475" width="11" style="1" bestFit="1" customWidth="1"/>
    <col min="7476" max="7678" width="9" style="1"/>
    <col min="7679" max="7679" width="2.875" style="1" bestFit="1" customWidth="1"/>
    <col min="7680" max="7680" width="16.625" style="1" bestFit="1" customWidth="1"/>
    <col min="7681" max="7681" width="11.375" style="1" bestFit="1" customWidth="1"/>
    <col min="7682" max="7683" width="14.125" style="1" bestFit="1" customWidth="1"/>
    <col min="7684" max="7684" width="11.375" style="1" bestFit="1" customWidth="1"/>
    <col min="7685" max="7687" width="12.5" style="1" bestFit="1" customWidth="1"/>
    <col min="7688" max="7688" width="11" style="1" bestFit="1" customWidth="1"/>
    <col min="7689" max="7707" width="13" style="1" bestFit="1" customWidth="1"/>
    <col min="7708" max="7711" width="11" style="1" bestFit="1" customWidth="1"/>
    <col min="7712" max="7714" width="12.25" style="1" bestFit="1" customWidth="1"/>
    <col min="7715" max="7728" width="11" style="1" bestFit="1" customWidth="1"/>
    <col min="7729" max="7729" width="13.25" style="1" bestFit="1" customWidth="1"/>
    <col min="7730" max="7730" width="10" style="1" bestFit="1" customWidth="1"/>
    <col min="7731" max="7731" width="11" style="1" bestFit="1" customWidth="1"/>
    <col min="7732" max="7934" width="9" style="1"/>
    <col min="7935" max="7935" width="2.875" style="1" bestFit="1" customWidth="1"/>
    <col min="7936" max="7936" width="16.625" style="1" bestFit="1" customWidth="1"/>
    <col min="7937" max="7937" width="11.375" style="1" bestFit="1" customWidth="1"/>
    <col min="7938" max="7939" width="14.125" style="1" bestFit="1" customWidth="1"/>
    <col min="7940" max="7940" width="11.375" style="1" bestFit="1" customWidth="1"/>
    <col min="7941" max="7943" width="12.5" style="1" bestFit="1" customWidth="1"/>
    <col min="7944" max="7944" width="11" style="1" bestFit="1" customWidth="1"/>
    <col min="7945" max="7963" width="13" style="1" bestFit="1" customWidth="1"/>
    <col min="7964" max="7967" width="11" style="1" bestFit="1" customWidth="1"/>
    <col min="7968" max="7970" width="12.25" style="1" bestFit="1" customWidth="1"/>
    <col min="7971" max="7984" width="11" style="1" bestFit="1" customWidth="1"/>
    <col min="7985" max="7985" width="13.25" style="1" bestFit="1" customWidth="1"/>
    <col min="7986" max="7986" width="10" style="1" bestFit="1" customWidth="1"/>
    <col min="7987" max="7987" width="11" style="1" bestFit="1" customWidth="1"/>
    <col min="7988" max="8190" width="9" style="1"/>
    <col min="8191" max="8191" width="2.875" style="1" bestFit="1" customWidth="1"/>
    <col min="8192" max="8192" width="16.625" style="1" bestFit="1" customWidth="1"/>
    <col min="8193" max="8193" width="11.375" style="1" bestFit="1" customWidth="1"/>
    <col min="8194" max="8195" width="14.125" style="1" bestFit="1" customWidth="1"/>
    <col min="8196" max="8196" width="11.375" style="1" bestFit="1" customWidth="1"/>
    <col min="8197" max="8199" width="12.5" style="1" bestFit="1" customWidth="1"/>
    <col min="8200" max="8200" width="11" style="1" bestFit="1" customWidth="1"/>
    <col min="8201" max="8219" width="13" style="1" bestFit="1" customWidth="1"/>
    <col min="8220" max="8223" width="11" style="1" bestFit="1" customWidth="1"/>
    <col min="8224" max="8226" width="12.25" style="1" bestFit="1" customWidth="1"/>
    <col min="8227" max="8240" width="11" style="1" bestFit="1" customWidth="1"/>
    <col min="8241" max="8241" width="13.25" style="1" bestFit="1" customWidth="1"/>
    <col min="8242" max="8242" width="10" style="1" bestFit="1" customWidth="1"/>
    <col min="8243" max="8243" width="11" style="1" bestFit="1" customWidth="1"/>
    <col min="8244" max="8446" width="9" style="1"/>
    <col min="8447" max="8447" width="2.875" style="1" bestFit="1" customWidth="1"/>
    <col min="8448" max="8448" width="16.625" style="1" bestFit="1" customWidth="1"/>
    <col min="8449" max="8449" width="11.375" style="1" bestFit="1" customWidth="1"/>
    <col min="8450" max="8451" width="14.125" style="1" bestFit="1" customWidth="1"/>
    <col min="8452" max="8452" width="11.375" style="1" bestFit="1" customWidth="1"/>
    <col min="8453" max="8455" width="12.5" style="1" bestFit="1" customWidth="1"/>
    <col min="8456" max="8456" width="11" style="1" bestFit="1" customWidth="1"/>
    <col min="8457" max="8475" width="13" style="1" bestFit="1" customWidth="1"/>
    <col min="8476" max="8479" width="11" style="1" bestFit="1" customWidth="1"/>
    <col min="8480" max="8482" width="12.25" style="1" bestFit="1" customWidth="1"/>
    <col min="8483" max="8496" width="11" style="1" bestFit="1" customWidth="1"/>
    <col min="8497" max="8497" width="13.25" style="1" bestFit="1" customWidth="1"/>
    <col min="8498" max="8498" width="10" style="1" bestFit="1" customWidth="1"/>
    <col min="8499" max="8499" width="11" style="1" bestFit="1" customWidth="1"/>
    <col min="8500" max="8702" width="9" style="1"/>
    <col min="8703" max="8703" width="2.875" style="1" bestFit="1" customWidth="1"/>
    <col min="8704" max="8704" width="16.625" style="1" bestFit="1" customWidth="1"/>
    <col min="8705" max="8705" width="11.375" style="1" bestFit="1" customWidth="1"/>
    <col min="8706" max="8707" width="14.125" style="1" bestFit="1" customWidth="1"/>
    <col min="8708" max="8708" width="11.375" style="1" bestFit="1" customWidth="1"/>
    <col min="8709" max="8711" width="12.5" style="1" bestFit="1" customWidth="1"/>
    <col min="8712" max="8712" width="11" style="1" bestFit="1" customWidth="1"/>
    <col min="8713" max="8731" width="13" style="1" bestFit="1" customWidth="1"/>
    <col min="8732" max="8735" width="11" style="1" bestFit="1" customWidth="1"/>
    <col min="8736" max="8738" width="12.25" style="1" bestFit="1" customWidth="1"/>
    <col min="8739" max="8752" width="11" style="1" bestFit="1" customWidth="1"/>
    <col min="8753" max="8753" width="13.25" style="1" bestFit="1" customWidth="1"/>
    <col min="8754" max="8754" width="10" style="1" bestFit="1" customWidth="1"/>
    <col min="8755" max="8755" width="11" style="1" bestFit="1" customWidth="1"/>
    <col min="8756" max="8958" width="9" style="1"/>
    <col min="8959" max="8959" width="2.875" style="1" bestFit="1" customWidth="1"/>
    <col min="8960" max="8960" width="16.625" style="1" bestFit="1" customWidth="1"/>
    <col min="8961" max="8961" width="11.375" style="1" bestFit="1" customWidth="1"/>
    <col min="8962" max="8963" width="14.125" style="1" bestFit="1" customWidth="1"/>
    <col min="8964" max="8964" width="11.375" style="1" bestFit="1" customWidth="1"/>
    <col min="8965" max="8967" width="12.5" style="1" bestFit="1" customWidth="1"/>
    <col min="8968" max="8968" width="11" style="1" bestFit="1" customWidth="1"/>
    <col min="8969" max="8987" width="13" style="1" bestFit="1" customWidth="1"/>
    <col min="8988" max="8991" width="11" style="1" bestFit="1" customWidth="1"/>
    <col min="8992" max="8994" width="12.25" style="1" bestFit="1" customWidth="1"/>
    <col min="8995" max="9008" width="11" style="1" bestFit="1" customWidth="1"/>
    <col min="9009" max="9009" width="13.25" style="1" bestFit="1" customWidth="1"/>
    <col min="9010" max="9010" width="10" style="1" bestFit="1" customWidth="1"/>
    <col min="9011" max="9011" width="11" style="1" bestFit="1" customWidth="1"/>
    <col min="9012" max="9214" width="9" style="1"/>
    <col min="9215" max="9215" width="2.875" style="1" bestFit="1" customWidth="1"/>
    <col min="9216" max="9216" width="16.625" style="1" bestFit="1" customWidth="1"/>
    <col min="9217" max="9217" width="11.375" style="1" bestFit="1" customWidth="1"/>
    <col min="9218" max="9219" width="14.125" style="1" bestFit="1" customWidth="1"/>
    <col min="9220" max="9220" width="11.375" style="1" bestFit="1" customWidth="1"/>
    <col min="9221" max="9223" width="12.5" style="1" bestFit="1" customWidth="1"/>
    <col min="9224" max="9224" width="11" style="1" bestFit="1" customWidth="1"/>
    <col min="9225" max="9243" width="13" style="1" bestFit="1" customWidth="1"/>
    <col min="9244" max="9247" width="11" style="1" bestFit="1" customWidth="1"/>
    <col min="9248" max="9250" width="12.25" style="1" bestFit="1" customWidth="1"/>
    <col min="9251" max="9264" width="11" style="1" bestFit="1" customWidth="1"/>
    <col min="9265" max="9265" width="13.25" style="1" bestFit="1" customWidth="1"/>
    <col min="9266" max="9266" width="10" style="1" bestFit="1" customWidth="1"/>
    <col min="9267" max="9267" width="11" style="1" bestFit="1" customWidth="1"/>
    <col min="9268" max="9470" width="9" style="1"/>
    <col min="9471" max="9471" width="2.875" style="1" bestFit="1" customWidth="1"/>
    <col min="9472" max="9472" width="16.625" style="1" bestFit="1" customWidth="1"/>
    <col min="9473" max="9473" width="11.375" style="1" bestFit="1" customWidth="1"/>
    <col min="9474" max="9475" width="14.125" style="1" bestFit="1" customWidth="1"/>
    <col min="9476" max="9476" width="11.375" style="1" bestFit="1" customWidth="1"/>
    <col min="9477" max="9479" width="12.5" style="1" bestFit="1" customWidth="1"/>
    <col min="9480" max="9480" width="11" style="1" bestFit="1" customWidth="1"/>
    <col min="9481" max="9499" width="13" style="1" bestFit="1" customWidth="1"/>
    <col min="9500" max="9503" width="11" style="1" bestFit="1" customWidth="1"/>
    <col min="9504" max="9506" width="12.25" style="1" bestFit="1" customWidth="1"/>
    <col min="9507" max="9520" width="11" style="1" bestFit="1" customWidth="1"/>
    <col min="9521" max="9521" width="13.25" style="1" bestFit="1" customWidth="1"/>
    <col min="9522" max="9522" width="10" style="1" bestFit="1" customWidth="1"/>
    <col min="9523" max="9523" width="11" style="1" bestFit="1" customWidth="1"/>
    <col min="9524" max="9726" width="9" style="1"/>
    <col min="9727" max="9727" width="2.875" style="1" bestFit="1" customWidth="1"/>
    <col min="9728" max="9728" width="16.625" style="1" bestFit="1" customWidth="1"/>
    <col min="9729" max="9729" width="11.375" style="1" bestFit="1" customWidth="1"/>
    <col min="9730" max="9731" width="14.125" style="1" bestFit="1" customWidth="1"/>
    <col min="9732" max="9732" width="11.375" style="1" bestFit="1" customWidth="1"/>
    <col min="9733" max="9735" width="12.5" style="1" bestFit="1" customWidth="1"/>
    <col min="9736" max="9736" width="11" style="1" bestFit="1" customWidth="1"/>
    <col min="9737" max="9755" width="13" style="1" bestFit="1" customWidth="1"/>
    <col min="9756" max="9759" width="11" style="1" bestFit="1" customWidth="1"/>
    <col min="9760" max="9762" width="12.25" style="1" bestFit="1" customWidth="1"/>
    <col min="9763" max="9776" width="11" style="1" bestFit="1" customWidth="1"/>
    <col min="9777" max="9777" width="13.25" style="1" bestFit="1" customWidth="1"/>
    <col min="9778" max="9778" width="10" style="1" bestFit="1" customWidth="1"/>
    <col min="9779" max="9779" width="11" style="1" bestFit="1" customWidth="1"/>
    <col min="9780" max="9982" width="9" style="1"/>
    <col min="9983" max="9983" width="2.875" style="1" bestFit="1" customWidth="1"/>
    <col min="9984" max="9984" width="16.625" style="1" bestFit="1" customWidth="1"/>
    <col min="9985" max="9985" width="11.375" style="1" bestFit="1" customWidth="1"/>
    <col min="9986" max="9987" width="14.125" style="1" bestFit="1" customWidth="1"/>
    <col min="9988" max="9988" width="11.375" style="1" bestFit="1" customWidth="1"/>
    <col min="9989" max="9991" width="12.5" style="1" bestFit="1" customWidth="1"/>
    <col min="9992" max="9992" width="11" style="1" bestFit="1" customWidth="1"/>
    <col min="9993" max="10011" width="13" style="1" bestFit="1" customWidth="1"/>
    <col min="10012" max="10015" width="11" style="1" bestFit="1" customWidth="1"/>
    <col min="10016" max="10018" width="12.25" style="1" bestFit="1" customWidth="1"/>
    <col min="10019" max="10032" width="11" style="1" bestFit="1" customWidth="1"/>
    <col min="10033" max="10033" width="13.25" style="1" bestFit="1" customWidth="1"/>
    <col min="10034" max="10034" width="10" style="1" bestFit="1" customWidth="1"/>
    <col min="10035" max="10035" width="11" style="1" bestFit="1" customWidth="1"/>
    <col min="10036" max="10238" width="9" style="1"/>
    <col min="10239" max="10239" width="2.875" style="1" bestFit="1" customWidth="1"/>
    <col min="10240" max="10240" width="16.625" style="1" bestFit="1" customWidth="1"/>
    <col min="10241" max="10241" width="11.375" style="1" bestFit="1" customWidth="1"/>
    <col min="10242" max="10243" width="14.125" style="1" bestFit="1" customWidth="1"/>
    <col min="10244" max="10244" width="11.375" style="1" bestFit="1" customWidth="1"/>
    <col min="10245" max="10247" width="12.5" style="1" bestFit="1" customWidth="1"/>
    <col min="10248" max="10248" width="11" style="1" bestFit="1" customWidth="1"/>
    <col min="10249" max="10267" width="13" style="1" bestFit="1" customWidth="1"/>
    <col min="10268" max="10271" width="11" style="1" bestFit="1" customWidth="1"/>
    <col min="10272" max="10274" width="12.25" style="1" bestFit="1" customWidth="1"/>
    <col min="10275" max="10288" width="11" style="1" bestFit="1" customWidth="1"/>
    <col min="10289" max="10289" width="13.25" style="1" bestFit="1" customWidth="1"/>
    <col min="10290" max="10290" width="10" style="1" bestFit="1" customWidth="1"/>
    <col min="10291" max="10291" width="11" style="1" bestFit="1" customWidth="1"/>
    <col min="10292" max="10494" width="9" style="1"/>
    <col min="10495" max="10495" width="2.875" style="1" bestFit="1" customWidth="1"/>
    <col min="10496" max="10496" width="16.625" style="1" bestFit="1" customWidth="1"/>
    <col min="10497" max="10497" width="11.375" style="1" bestFit="1" customWidth="1"/>
    <col min="10498" max="10499" width="14.125" style="1" bestFit="1" customWidth="1"/>
    <col min="10500" max="10500" width="11.375" style="1" bestFit="1" customWidth="1"/>
    <col min="10501" max="10503" width="12.5" style="1" bestFit="1" customWidth="1"/>
    <col min="10504" max="10504" width="11" style="1" bestFit="1" customWidth="1"/>
    <col min="10505" max="10523" width="13" style="1" bestFit="1" customWidth="1"/>
    <col min="10524" max="10527" width="11" style="1" bestFit="1" customWidth="1"/>
    <col min="10528" max="10530" width="12.25" style="1" bestFit="1" customWidth="1"/>
    <col min="10531" max="10544" width="11" style="1" bestFit="1" customWidth="1"/>
    <col min="10545" max="10545" width="13.25" style="1" bestFit="1" customWidth="1"/>
    <col min="10546" max="10546" width="10" style="1" bestFit="1" customWidth="1"/>
    <col min="10547" max="10547" width="11" style="1" bestFit="1" customWidth="1"/>
    <col min="10548" max="10750" width="9" style="1"/>
    <col min="10751" max="10751" width="2.875" style="1" bestFit="1" customWidth="1"/>
    <col min="10752" max="10752" width="16.625" style="1" bestFit="1" customWidth="1"/>
    <col min="10753" max="10753" width="11.375" style="1" bestFit="1" customWidth="1"/>
    <col min="10754" max="10755" width="14.125" style="1" bestFit="1" customWidth="1"/>
    <col min="10756" max="10756" width="11.375" style="1" bestFit="1" customWidth="1"/>
    <col min="10757" max="10759" width="12.5" style="1" bestFit="1" customWidth="1"/>
    <col min="10760" max="10760" width="11" style="1" bestFit="1" customWidth="1"/>
    <col min="10761" max="10779" width="13" style="1" bestFit="1" customWidth="1"/>
    <col min="10780" max="10783" width="11" style="1" bestFit="1" customWidth="1"/>
    <col min="10784" max="10786" width="12.25" style="1" bestFit="1" customWidth="1"/>
    <col min="10787" max="10800" width="11" style="1" bestFit="1" customWidth="1"/>
    <col min="10801" max="10801" width="13.25" style="1" bestFit="1" customWidth="1"/>
    <col min="10802" max="10802" width="10" style="1" bestFit="1" customWidth="1"/>
    <col min="10803" max="10803" width="11" style="1" bestFit="1" customWidth="1"/>
    <col min="10804" max="11006" width="9" style="1"/>
    <col min="11007" max="11007" width="2.875" style="1" bestFit="1" customWidth="1"/>
    <col min="11008" max="11008" width="16.625" style="1" bestFit="1" customWidth="1"/>
    <col min="11009" max="11009" width="11.375" style="1" bestFit="1" customWidth="1"/>
    <col min="11010" max="11011" width="14.125" style="1" bestFit="1" customWidth="1"/>
    <col min="11012" max="11012" width="11.375" style="1" bestFit="1" customWidth="1"/>
    <col min="11013" max="11015" width="12.5" style="1" bestFit="1" customWidth="1"/>
    <col min="11016" max="11016" width="11" style="1" bestFit="1" customWidth="1"/>
    <col min="11017" max="11035" width="13" style="1" bestFit="1" customWidth="1"/>
    <col min="11036" max="11039" width="11" style="1" bestFit="1" customWidth="1"/>
    <col min="11040" max="11042" width="12.25" style="1" bestFit="1" customWidth="1"/>
    <col min="11043" max="11056" width="11" style="1" bestFit="1" customWidth="1"/>
    <col min="11057" max="11057" width="13.25" style="1" bestFit="1" customWidth="1"/>
    <col min="11058" max="11058" width="10" style="1" bestFit="1" customWidth="1"/>
    <col min="11059" max="11059" width="11" style="1" bestFit="1" customWidth="1"/>
    <col min="11060" max="11262" width="9" style="1"/>
    <col min="11263" max="11263" width="2.875" style="1" bestFit="1" customWidth="1"/>
    <col min="11264" max="11264" width="16.625" style="1" bestFit="1" customWidth="1"/>
    <col min="11265" max="11265" width="11.375" style="1" bestFit="1" customWidth="1"/>
    <col min="11266" max="11267" width="14.125" style="1" bestFit="1" customWidth="1"/>
    <col min="11268" max="11268" width="11.375" style="1" bestFit="1" customWidth="1"/>
    <col min="11269" max="11271" width="12.5" style="1" bestFit="1" customWidth="1"/>
    <col min="11272" max="11272" width="11" style="1" bestFit="1" customWidth="1"/>
    <col min="11273" max="11291" width="13" style="1" bestFit="1" customWidth="1"/>
    <col min="11292" max="11295" width="11" style="1" bestFit="1" customWidth="1"/>
    <col min="11296" max="11298" width="12.25" style="1" bestFit="1" customWidth="1"/>
    <col min="11299" max="11312" width="11" style="1" bestFit="1" customWidth="1"/>
    <col min="11313" max="11313" width="13.25" style="1" bestFit="1" customWidth="1"/>
    <col min="11314" max="11314" width="10" style="1" bestFit="1" customWidth="1"/>
    <col min="11315" max="11315" width="11" style="1" bestFit="1" customWidth="1"/>
    <col min="11316" max="11518" width="9" style="1"/>
    <col min="11519" max="11519" width="2.875" style="1" bestFit="1" customWidth="1"/>
    <col min="11520" max="11520" width="16.625" style="1" bestFit="1" customWidth="1"/>
    <col min="11521" max="11521" width="11.375" style="1" bestFit="1" customWidth="1"/>
    <col min="11522" max="11523" width="14.125" style="1" bestFit="1" customWidth="1"/>
    <col min="11524" max="11524" width="11.375" style="1" bestFit="1" customWidth="1"/>
    <col min="11525" max="11527" width="12.5" style="1" bestFit="1" customWidth="1"/>
    <col min="11528" max="11528" width="11" style="1" bestFit="1" customWidth="1"/>
    <col min="11529" max="11547" width="13" style="1" bestFit="1" customWidth="1"/>
    <col min="11548" max="11551" width="11" style="1" bestFit="1" customWidth="1"/>
    <col min="11552" max="11554" width="12.25" style="1" bestFit="1" customWidth="1"/>
    <col min="11555" max="11568" width="11" style="1" bestFit="1" customWidth="1"/>
    <col min="11569" max="11569" width="13.25" style="1" bestFit="1" customWidth="1"/>
    <col min="11570" max="11570" width="10" style="1" bestFit="1" customWidth="1"/>
    <col min="11571" max="11571" width="11" style="1" bestFit="1" customWidth="1"/>
    <col min="11572" max="11774" width="9" style="1"/>
    <col min="11775" max="11775" width="2.875" style="1" bestFit="1" customWidth="1"/>
    <col min="11776" max="11776" width="16.625" style="1" bestFit="1" customWidth="1"/>
    <col min="11777" max="11777" width="11.375" style="1" bestFit="1" customWidth="1"/>
    <col min="11778" max="11779" width="14.125" style="1" bestFit="1" customWidth="1"/>
    <col min="11780" max="11780" width="11.375" style="1" bestFit="1" customWidth="1"/>
    <col min="11781" max="11783" width="12.5" style="1" bestFit="1" customWidth="1"/>
    <col min="11784" max="11784" width="11" style="1" bestFit="1" customWidth="1"/>
    <col min="11785" max="11803" width="13" style="1" bestFit="1" customWidth="1"/>
    <col min="11804" max="11807" width="11" style="1" bestFit="1" customWidth="1"/>
    <col min="11808" max="11810" width="12.25" style="1" bestFit="1" customWidth="1"/>
    <col min="11811" max="11824" width="11" style="1" bestFit="1" customWidth="1"/>
    <col min="11825" max="11825" width="13.25" style="1" bestFit="1" customWidth="1"/>
    <col min="11826" max="11826" width="10" style="1" bestFit="1" customWidth="1"/>
    <col min="11827" max="11827" width="11" style="1" bestFit="1" customWidth="1"/>
    <col min="11828" max="12030" width="9" style="1"/>
    <col min="12031" max="12031" width="2.875" style="1" bestFit="1" customWidth="1"/>
    <col min="12032" max="12032" width="16.625" style="1" bestFit="1" customWidth="1"/>
    <col min="12033" max="12033" width="11.375" style="1" bestFit="1" customWidth="1"/>
    <col min="12034" max="12035" width="14.125" style="1" bestFit="1" customWidth="1"/>
    <col min="12036" max="12036" width="11.375" style="1" bestFit="1" customWidth="1"/>
    <col min="12037" max="12039" width="12.5" style="1" bestFit="1" customWidth="1"/>
    <col min="12040" max="12040" width="11" style="1" bestFit="1" customWidth="1"/>
    <col min="12041" max="12059" width="13" style="1" bestFit="1" customWidth="1"/>
    <col min="12060" max="12063" width="11" style="1" bestFit="1" customWidth="1"/>
    <col min="12064" max="12066" width="12.25" style="1" bestFit="1" customWidth="1"/>
    <col min="12067" max="12080" width="11" style="1" bestFit="1" customWidth="1"/>
    <col min="12081" max="12081" width="13.25" style="1" bestFit="1" customWidth="1"/>
    <col min="12082" max="12082" width="10" style="1" bestFit="1" customWidth="1"/>
    <col min="12083" max="12083" width="11" style="1" bestFit="1" customWidth="1"/>
    <col min="12084" max="12286" width="9" style="1"/>
    <col min="12287" max="12287" width="2.875" style="1" bestFit="1" customWidth="1"/>
    <col min="12288" max="12288" width="16.625" style="1" bestFit="1" customWidth="1"/>
    <col min="12289" max="12289" width="11.375" style="1" bestFit="1" customWidth="1"/>
    <col min="12290" max="12291" width="14.125" style="1" bestFit="1" customWidth="1"/>
    <col min="12292" max="12292" width="11.375" style="1" bestFit="1" customWidth="1"/>
    <col min="12293" max="12295" width="12.5" style="1" bestFit="1" customWidth="1"/>
    <col min="12296" max="12296" width="11" style="1" bestFit="1" customWidth="1"/>
    <col min="12297" max="12315" width="13" style="1" bestFit="1" customWidth="1"/>
    <col min="12316" max="12319" width="11" style="1" bestFit="1" customWidth="1"/>
    <col min="12320" max="12322" width="12.25" style="1" bestFit="1" customWidth="1"/>
    <col min="12323" max="12336" width="11" style="1" bestFit="1" customWidth="1"/>
    <col min="12337" max="12337" width="13.25" style="1" bestFit="1" customWidth="1"/>
    <col min="12338" max="12338" width="10" style="1" bestFit="1" customWidth="1"/>
    <col min="12339" max="12339" width="11" style="1" bestFit="1" customWidth="1"/>
    <col min="12340" max="12542" width="9" style="1"/>
    <col min="12543" max="12543" width="2.875" style="1" bestFit="1" customWidth="1"/>
    <col min="12544" max="12544" width="16.625" style="1" bestFit="1" customWidth="1"/>
    <col min="12545" max="12545" width="11.375" style="1" bestFit="1" customWidth="1"/>
    <col min="12546" max="12547" width="14.125" style="1" bestFit="1" customWidth="1"/>
    <col min="12548" max="12548" width="11.375" style="1" bestFit="1" customWidth="1"/>
    <col min="12549" max="12551" width="12.5" style="1" bestFit="1" customWidth="1"/>
    <col min="12552" max="12552" width="11" style="1" bestFit="1" customWidth="1"/>
    <col min="12553" max="12571" width="13" style="1" bestFit="1" customWidth="1"/>
    <col min="12572" max="12575" width="11" style="1" bestFit="1" customWidth="1"/>
    <col min="12576" max="12578" width="12.25" style="1" bestFit="1" customWidth="1"/>
    <col min="12579" max="12592" width="11" style="1" bestFit="1" customWidth="1"/>
    <col min="12593" max="12593" width="13.25" style="1" bestFit="1" customWidth="1"/>
    <col min="12594" max="12594" width="10" style="1" bestFit="1" customWidth="1"/>
    <col min="12595" max="12595" width="11" style="1" bestFit="1" customWidth="1"/>
    <col min="12596" max="12798" width="9" style="1"/>
    <col min="12799" max="12799" width="2.875" style="1" bestFit="1" customWidth="1"/>
    <col min="12800" max="12800" width="16.625" style="1" bestFit="1" customWidth="1"/>
    <col min="12801" max="12801" width="11.375" style="1" bestFit="1" customWidth="1"/>
    <col min="12802" max="12803" width="14.125" style="1" bestFit="1" customWidth="1"/>
    <col min="12804" max="12804" width="11.375" style="1" bestFit="1" customWidth="1"/>
    <col min="12805" max="12807" width="12.5" style="1" bestFit="1" customWidth="1"/>
    <col min="12808" max="12808" width="11" style="1" bestFit="1" customWidth="1"/>
    <col min="12809" max="12827" width="13" style="1" bestFit="1" customWidth="1"/>
    <col min="12828" max="12831" width="11" style="1" bestFit="1" customWidth="1"/>
    <col min="12832" max="12834" width="12.25" style="1" bestFit="1" customWidth="1"/>
    <col min="12835" max="12848" width="11" style="1" bestFit="1" customWidth="1"/>
    <col min="12849" max="12849" width="13.25" style="1" bestFit="1" customWidth="1"/>
    <col min="12850" max="12850" width="10" style="1" bestFit="1" customWidth="1"/>
    <col min="12851" max="12851" width="11" style="1" bestFit="1" customWidth="1"/>
    <col min="12852" max="13054" width="9" style="1"/>
    <col min="13055" max="13055" width="2.875" style="1" bestFit="1" customWidth="1"/>
    <col min="13056" max="13056" width="16.625" style="1" bestFit="1" customWidth="1"/>
    <col min="13057" max="13057" width="11.375" style="1" bestFit="1" customWidth="1"/>
    <col min="13058" max="13059" width="14.125" style="1" bestFit="1" customWidth="1"/>
    <col min="13060" max="13060" width="11.375" style="1" bestFit="1" customWidth="1"/>
    <col min="13061" max="13063" width="12.5" style="1" bestFit="1" customWidth="1"/>
    <col min="13064" max="13064" width="11" style="1" bestFit="1" customWidth="1"/>
    <col min="13065" max="13083" width="13" style="1" bestFit="1" customWidth="1"/>
    <col min="13084" max="13087" width="11" style="1" bestFit="1" customWidth="1"/>
    <col min="13088" max="13090" width="12.25" style="1" bestFit="1" customWidth="1"/>
    <col min="13091" max="13104" width="11" style="1" bestFit="1" customWidth="1"/>
    <col min="13105" max="13105" width="13.25" style="1" bestFit="1" customWidth="1"/>
    <col min="13106" max="13106" width="10" style="1" bestFit="1" customWidth="1"/>
    <col min="13107" max="13107" width="11" style="1" bestFit="1" customWidth="1"/>
    <col min="13108" max="13310" width="9" style="1"/>
    <col min="13311" max="13311" width="2.875" style="1" bestFit="1" customWidth="1"/>
    <col min="13312" max="13312" width="16.625" style="1" bestFit="1" customWidth="1"/>
    <col min="13313" max="13313" width="11.375" style="1" bestFit="1" customWidth="1"/>
    <col min="13314" max="13315" width="14.125" style="1" bestFit="1" customWidth="1"/>
    <col min="13316" max="13316" width="11.375" style="1" bestFit="1" customWidth="1"/>
    <col min="13317" max="13319" width="12.5" style="1" bestFit="1" customWidth="1"/>
    <col min="13320" max="13320" width="11" style="1" bestFit="1" customWidth="1"/>
    <col min="13321" max="13339" width="13" style="1" bestFit="1" customWidth="1"/>
    <col min="13340" max="13343" width="11" style="1" bestFit="1" customWidth="1"/>
    <col min="13344" max="13346" width="12.25" style="1" bestFit="1" customWidth="1"/>
    <col min="13347" max="13360" width="11" style="1" bestFit="1" customWidth="1"/>
    <col min="13361" max="13361" width="13.25" style="1" bestFit="1" customWidth="1"/>
    <col min="13362" max="13362" width="10" style="1" bestFit="1" customWidth="1"/>
    <col min="13363" max="13363" width="11" style="1" bestFit="1" customWidth="1"/>
    <col min="13364" max="13566" width="9" style="1"/>
    <col min="13567" max="13567" width="2.875" style="1" bestFit="1" customWidth="1"/>
    <col min="13568" max="13568" width="16.625" style="1" bestFit="1" customWidth="1"/>
    <col min="13569" max="13569" width="11.375" style="1" bestFit="1" customWidth="1"/>
    <col min="13570" max="13571" width="14.125" style="1" bestFit="1" customWidth="1"/>
    <col min="13572" max="13572" width="11.375" style="1" bestFit="1" customWidth="1"/>
    <col min="13573" max="13575" width="12.5" style="1" bestFit="1" customWidth="1"/>
    <col min="13576" max="13576" width="11" style="1" bestFit="1" customWidth="1"/>
    <col min="13577" max="13595" width="13" style="1" bestFit="1" customWidth="1"/>
    <col min="13596" max="13599" width="11" style="1" bestFit="1" customWidth="1"/>
    <col min="13600" max="13602" width="12.25" style="1" bestFit="1" customWidth="1"/>
    <col min="13603" max="13616" width="11" style="1" bestFit="1" customWidth="1"/>
    <col min="13617" max="13617" width="13.25" style="1" bestFit="1" customWidth="1"/>
    <col min="13618" max="13618" width="10" style="1" bestFit="1" customWidth="1"/>
    <col min="13619" max="13619" width="11" style="1" bestFit="1" customWidth="1"/>
    <col min="13620" max="13822" width="9" style="1"/>
    <col min="13823" max="13823" width="2.875" style="1" bestFit="1" customWidth="1"/>
    <col min="13824" max="13824" width="16.625" style="1" bestFit="1" customWidth="1"/>
    <col min="13825" max="13825" width="11.375" style="1" bestFit="1" customWidth="1"/>
    <col min="13826" max="13827" width="14.125" style="1" bestFit="1" customWidth="1"/>
    <col min="13828" max="13828" width="11.375" style="1" bestFit="1" customWidth="1"/>
    <col min="13829" max="13831" width="12.5" style="1" bestFit="1" customWidth="1"/>
    <col min="13832" max="13832" width="11" style="1" bestFit="1" customWidth="1"/>
    <col min="13833" max="13851" width="13" style="1" bestFit="1" customWidth="1"/>
    <col min="13852" max="13855" width="11" style="1" bestFit="1" customWidth="1"/>
    <col min="13856" max="13858" width="12.25" style="1" bestFit="1" customWidth="1"/>
    <col min="13859" max="13872" width="11" style="1" bestFit="1" customWidth="1"/>
    <col min="13873" max="13873" width="13.25" style="1" bestFit="1" customWidth="1"/>
    <col min="13874" max="13874" width="10" style="1" bestFit="1" customWidth="1"/>
    <col min="13875" max="13875" width="11" style="1" bestFit="1" customWidth="1"/>
    <col min="13876" max="14078" width="9" style="1"/>
    <col min="14079" max="14079" width="2.875" style="1" bestFit="1" customWidth="1"/>
    <col min="14080" max="14080" width="16.625" style="1" bestFit="1" customWidth="1"/>
    <col min="14081" max="14081" width="11.375" style="1" bestFit="1" customWidth="1"/>
    <col min="14082" max="14083" width="14.125" style="1" bestFit="1" customWidth="1"/>
    <col min="14084" max="14084" width="11.375" style="1" bestFit="1" customWidth="1"/>
    <col min="14085" max="14087" width="12.5" style="1" bestFit="1" customWidth="1"/>
    <col min="14088" max="14088" width="11" style="1" bestFit="1" customWidth="1"/>
    <col min="14089" max="14107" width="13" style="1" bestFit="1" customWidth="1"/>
    <col min="14108" max="14111" width="11" style="1" bestFit="1" customWidth="1"/>
    <col min="14112" max="14114" width="12.25" style="1" bestFit="1" customWidth="1"/>
    <col min="14115" max="14128" width="11" style="1" bestFit="1" customWidth="1"/>
    <col min="14129" max="14129" width="13.25" style="1" bestFit="1" customWidth="1"/>
    <col min="14130" max="14130" width="10" style="1" bestFit="1" customWidth="1"/>
    <col min="14131" max="14131" width="11" style="1" bestFit="1" customWidth="1"/>
    <col min="14132" max="14334" width="9" style="1"/>
    <col min="14335" max="14335" width="2.875" style="1" bestFit="1" customWidth="1"/>
    <col min="14336" max="14336" width="16.625" style="1" bestFit="1" customWidth="1"/>
    <col min="14337" max="14337" width="11.375" style="1" bestFit="1" customWidth="1"/>
    <col min="14338" max="14339" width="14.125" style="1" bestFit="1" customWidth="1"/>
    <col min="14340" max="14340" width="11.375" style="1" bestFit="1" customWidth="1"/>
    <col min="14341" max="14343" width="12.5" style="1" bestFit="1" customWidth="1"/>
    <col min="14344" max="14344" width="11" style="1" bestFit="1" customWidth="1"/>
    <col min="14345" max="14363" width="13" style="1" bestFit="1" customWidth="1"/>
    <col min="14364" max="14367" width="11" style="1" bestFit="1" customWidth="1"/>
    <col min="14368" max="14370" width="12.25" style="1" bestFit="1" customWidth="1"/>
    <col min="14371" max="14384" width="11" style="1" bestFit="1" customWidth="1"/>
    <col min="14385" max="14385" width="13.25" style="1" bestFit="1" customWidth="1"/>
    <col min="14386" max="14386" width="10" style="1" bestFit="1" customWidth="1"/>
    <col min="14387" max="14387" width="11" style="1" bestFit="1" customWidth="1"/>
    <col min="14388" max="14590" width="9" style="1"/>
    <col min="14591" max="14591" width="2.875" style="1" bestFit="1" customWidth="1"/>
    <col min="14592" max="14592" width="16.625" style="1" bestFit="1" customWidth="1"/>
    <col min="14593" max="14593" width="11.375" style="1" bestFit="1" customWidth="1"/>
    <col min="14594" max="14595" width="14.125" style="1" bestFit="1" customWidth="1"/>
    <col min="14596" max="14596" width="11.375" style="1" bestFit="1" customWidth="1"/>
    <col min="14597" max="14599" width="12.5" style="1" bestFit="1" customWidth="1"/>
    <col min="14600" max="14600" width="11" style="1" bestFit="1" customWidth="1"/>
    <col min="14601" max="14619" width="13" style="1" bestFit="1" customWidth="1"/>
    <col min="14620" max="14623" width="11" style="1" bestFit="1" customWidth="1"/>
    <col min="14624" max="14626" width="12.25" style="1" bestFit="1" customWidth="1"/>
    <col min="14627" max="14640" width="11" style="1" bestFit="1" customWidth="1"/>
    <col min="14641" max="14641" width="13.25" style="1" bestFit="1" customWidth="1"/>
    <col min="14642" max="14642" width="10" style="1" bestFit="1" customWidth="1"/>
    <col min="14643" max="14643" width="11" style="1" bestFit="1" customWidth="1"/>
    <col min="14644" max="14846" width="9" style="1"/>
    <col min="14847" max="14847" width="2.875" style="1" bestFit="1" customWidth="1"/>
    <col min="14848" max="14848" width="16.625" style="1" bestFit="1" customWidth="1"/>
    <col min="14849" max="14849" width="11.375" style="1" bestFit="1" customWidth="1"/>
    <col min="14850" max="14851" width="14.125" style="1" bestFit="1" customWidth="1"/>
    <col min="14852" max="14852" width="11.375" style="1" bestFit="1" customWidth="1"/>
    <col min="14853" max="14855" width="12.5" style="1" bestFit="1" customWidth="1"/>
    <col min="14856" max="14856" width="11" style="1" bestFit="1" customWidth="1"/>
    <col min="14857" max="14875" width="13" style="1" bestFit="1" customWidth="1"/>
    <col min="14876" max="14879" width="11" style="1" bestFit="1" customWidth="1"/>
    <col min="14880" max="14882" width="12.25" style="1" bestFit="1" customWidth="1"/>
    <col min="14883" max="14896" width="11" style="1" bestFit="1" customWidth="1"/>
    <col min="14897" max="14897" width="13.25" style="1" bestFit="1" customWidth="1"/>
    <col min="14898" max="14898" width="10" style="1" bestFit="1" customWidth="1"/>
    <col min="14899" max="14899" width="11" style="1" bestFit="1" customWidth="1"/>
    <col min="14900" max="15102" width="9" style="1"/>
    <col min="15103" max="15103" width="2.875" style="1" bestFit="1" customWidth="1"/>
    <col min="15104" max="15104" width="16.625" style="1" bestFit="1" customWidth="1"/>
    <col min="15105" max="15105" width="11.375" style="1" bestFit="1" customWidth="1"/>
    <col min="15106" max="15107" width="14.125" style="1" bestFit="1" customWidth="1"/>
    <col min="15108" max="15108" width="11.375" style="1" bestFit="1" customWidth="1"/>
    <col min="15109" max="15111" width="12.5" style="1" bestFit="1" customWidth="1"/>
    <col min="15112" max="15112" width="11" style="1" bestFit="1" customWidth="1"/>
    <col min="15113" max="15131" width="13" style="1" bestFit="1" customWidth="1"/>
    <col min="15132" max="15135" width="11" style="1" bestFit="1" customWidth="1"/>
    <col min="15136" max="15138" width="12.25" style="1" bestFit="1" customWidth="1"/>
    <col min="15139" max="15152" width="11" style="1" bestFit="1" customWidth="1"/>
    <col min="15153" max="15153" width="13.25" style="1" bestFit="1" customWidth="1"/>
    <col min="15154" max="15154" width="10" style="1" bestFit="1" customWidth="1"/>
    <col min="15155" max="15155" width="11" style="1" bestFit="1" customWidth="1"/>
    <col min="15156" max="15358" width="9" style="1"/>
    <col min="15359" max="15359" width="2.875" style="1" bestFit="1" customWidth="1"/>
    <col min="15360" max="15360" width="16.625" style="1" bestFit="1" customWidth="1"/>
    <col min="15361" max="15361" width="11.375" style="1" bestFit="1" customWidth="1"/>
    <col min="15362" max="15363" width="14.125" style="1" bestFit="1" customWidth="1"/>
    <col min="15364" max="15364" width="11.375" style="1" bestFit="1" customWidth="1"/>
    <col min="15365" max="15367" width="12.5" style="1" bestFit="1" customWidth="1"/>
    <col min="15368" max="15368" width="11" style="1" bestFit="1" customWidth="1"/>
    <col min="15369" max="15387" width="13" style="1" bestFit="1" customWidth="1"/>
    <col min="15388" max="15391" width="11" style="1" bestFit="1" customWidth="1"/>
    <col min="15392" max="15394" width="12.25" style="1" bestFit="1" customWidth="1"/>
    <col min="15395" max="15408" width="11" style="1" bestFit="1" customWidth="1"/>
    <col min="15409" max="15409" width="13.25" style="1" bestFit="1" customWidth="1"/>
    <col min="15410" max="15410" width="10" style="1" bestFit="1" customWidth="1"/>
    <col min="15411" max="15411" width="11" style="1" bestFit="1" customWidth="1"/>
    <col min="15412" max="15614" width="9" style="1"/>
    <col min="15615" max="15615" width="2.875" style="1" bestFit="1" customWidth="1"/>
    <col min="15616" max="15616" width="16.625" style="1" bestFit="1" customWidth="1"/>
    <col min="15617" max="15617" width="11.375" style="1" bestFit="1" customWidth="1"/>
    <col min="15618" max="15619" width="14.125" style="1" bestFit="1" customWidth="1"/>
    <col min="15620" max="15620" width="11.375" style="1" bestFit="1" customWidth="1"/>
    <col min="15621" max="15623" width="12.5" style="1" bestFit="1" customWidth="1"/>
    <col min="15624" max="15624" width="11" style="1" bestFit="1" customWidth="1"/>
    <col min="15625" max="15643" width="13" style="1" bestFit="1" customWidth="1"/>
    <col min="15644" max="15647" width="11" style="1" bestFit="1" customWidth="1"/>
    <col min="15648" max="15650" width="12.25" style="1" bestFit="1" customWidth="1"/>
    <col min="15651" max="15664" width="11" style="1" bestFit="1" customWidth="1"/>
    <col min="15665" max="15665" width="13.25" style="1" bestFit="1" customWidth="1"/>
    <col min="15666" max="15666" width="10" style="1" bestFit="1" customWidth="1"/>
    <col min="15667" max="15667" width="11" style="1" bestFit="1" customWidth="1"/>
    <col min="15668" max="15870" width="9" style="1"/>
    <col min="15871" max="15871" width="2.875" style="1" bestFit="1" customWidth="1"/>
    <col min="15872" max="15872" width="16.625" style="1" bestFit="1" customWidth="1"/>
    <col min="15873" max="15873" width="11.375" style="1" bestFit="1" customWidth="1"/>
    <col min="15874" max="15875" width="14.125" style="1" bestFit="1" customWidth="1"/>
    <col min="15876" max="15876" width="11.375" style="1" bestFit="1" customWidth="1"/>
    <col min="15877" max="15879" width="12.5" style="1" bestFit="1" customWidth="1"/>
    <col min="15880" max="15880" width="11" style="1" bestFit="1" customWidth="1"/>
    <col min="15881" max="15899" width="13" style="1" bestFit="1" customWidth="1"/>
    <col min="15900" max="15903" width="11" style="1" bestFit="1" customWidth="1"/>
    <col min="15904" max="15906" width="12.25" style="1" bestFit="1" customWidth="1"/>
    <col min="15907" max="15920" width="11" style="1" bestFit="1" customWidth="1"/>
    <col min="15921" max="15921" width="13.25" style="1" bestFit="1" customWidth="1"/>
    <col min="15922" max="15922" width="10" style="1" bestFit="1" customWidth="1"/>
    <col min="15923" max="15923" width="11" style="1" bestFit="1" customWidth="1"/>
    <col min="15924" max="16126" width="9" style="1"/>
    <col min="16127" max="16127" width="2.875" style="1" bestFit="1" customWidth="1"/>
    <col min="16128" max="16128" width="16.625" style="1" bestFit="1" customWidth="1"/>
    <col min="16129" max="16129" width="11.375" style="1" bestFit="1" customWidth="1"/>
    <col min="16130" max="16131" width="14.125" style="1" bestFit="1" customWidth="1"/>
    <col min="16132" max="16132" width="11.375" style="1" bestFit="1" customWidth="1"/>
    <col min="16133" max="16135" width="12.5" style="1" bestFit="1" customWidth="1"/>
    <col min="16136" max="16136" width="11" style="1" bestFit="1" customWidth="1"/>
    <col min="16137" max="16155" width="13" style="1" bestFit="1" customWidth="1"/>
    <col min="16156" max="16159" width="11" style="1" bestFit="1" customWidth="1"/>
    <col min="16160" max="16162" width="12.25" style="1" bestFit="1" customWidth="1"/>
    <col min="16163" max="16176" width="11" style="1" bestFit="1" customWidth="1"/>
    <col min="16177" max="16177" width="13.25" style="1" bestFit="1" customWidth="1"/>
    <col min="16178" max="16178" width="10" style="1" bestFit="1" customWidth="1"/>
    <col min="16179" max="16179" width="11" style="1" bestFit="1" customWidth="1"/>
    <col min="16180" max="16384" width="9" style="1"/>
  </cols>
  <sheetData>
    <row r="2" spans="1:51" ht="30.75" customHeight="1" x14ac:dyDescent="0.15"/>
    <row r="3" spans="1:51" x14ac:dyDescent="0.15">
      <c r="A3" s="56">
        <v>45566</v>
      </c>
      <c r="B3" s="56"/>
    </row>
    <row r="4" spans="1:51" s="5" customFormat="1" x14ac:dyDescent="0.15">
      <c r="A4" s="49" t="s">
        <v>0</v>
      </c>
      <c r="B4" s="49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163</v>
      </c>
      <c r="R4" s="2" t="s">
        <v>15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194</v>
      </c>
      <c r="AD4" s="2" t="s">
        <v>26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180</v>
      </c>
      <c r="AL4" s="2" t="s">
        <v>181</v>
      </c>
      <c r="AM4" s="2" t="s">
        <v>33</v>
      </c>
      <c r="AN4" s="2" t="s">
        <v>34</v>
      </c>
      <c r="AO4" s="2" t="s">
        <v>35</v>
      </c>
      <c r="AP4" s="2" t="s">
        <v>36</v>
      </c>
      <c r="AQ4" s="2" t="s">
        <v>186</v>
      </c>
      <c r="AR4" s="2" t="s">
        <v>187</v>
      </c>
      <c r="AS4" s="2" t="s">
        <v>37</v>
      </c>
      <c r="AT4" s="2" t="s">
        <v>38</v>
      </c>
      <c r="AU4" s="2" t="s">
        <v>39</v>
      </c>
      <c r="AV4" s="3" t="s">
        <v>40</v>
      </c>
      <c r="AW4" s="3" t="s">
        <v>41</v>
      </c>
      <c r="AX4" s="3" t="s">
        <v>42</v>
      </c>
      <c r="AY4" s="4" t="s">
        <v>43</v>
      </c>
    </row>
    <row r="5" spans="1:51" s="5" customFormat="1" hidden="1" x14ac:dyDescent="0.15">
      <c r="A5" s="53" t="s">
        <v>44</v>
      </c>
      <c r="B5" s="57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6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7</v>
      </c>
      <c r="AL5" s="2">
        <v>7</v>
      </c>
      <c r="AM5" s="2">
        <v>7</v>
      </c>
      <c r="AN5" s="2">
        <v>7</v>
      </c>
      <c r="AO5" s="2">
        <v>7</v>
      </c>
      <c r="AP5" s="2">
        <v>7</v>
      </c>
      <c r="AQ5" s="2">
        <v>8</v>
      </c>
      <c r="AR5" s="2">
        <v>8</v>
      </c>
      <c r="AS5" s="2">
        <v>8</v>
      </c>
      <c r="AT5" s="2">
        <v>8</v>
      </c>
      <c r="AU5" s="2">
        <v>8</v>
      </c>
      <c r="AV5" s="3">
        <v>8</v>
      </c>
      <c r="AW5" s="3"/>
      <c r="AX5" s="3"/>
      <c r="AY5" s="4"/>
    </row>
    <row r="6" spans="1:51" s="5" customFormat="1" hidden="1" x14ac:dyDescent="0.15">
      <c r="A6" s="53" t="s">
        <v>45</v>
      </c>
      <c r="B6" s="57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2" t="s">
        <v>47</v>
      </c>
      <c r="X6" s="2" t="s">
        <v>47</v>
      </c>
      <c r="Y6" s="2" t="s">
        <v>47</v>
      </c>
      <c r="Z6" s="2" t="s">
        <v>47</v>
      </c>
      <c r="AA6" s="2" t="s">
        <v>47</v>
      </c>
      <c r="AB6" s="2" t="s">
        <v>47</v>
      </c>
      <c r="AC6" s="2" t="s">
        <v>47</v>
      </c>
      <c r="AD6" s="2" t="s">
        <v>48</v>
      </c>
      <c r="AE6" s="2" t="s">
        <v>48</v>
      </c>
      <c r="AF6" s="2" t="s">
        <v>48</v>
      </c>
      <c r="AG6" s="2" t="s">
        <v>48</v>
      </c>
      <c r="AH6" s="2" t="s">
        <v>48</v>
      </c>
      <c r="AI6" s="2" t="s">
        <v>48</v>
      </c>
      <c r="AJ6" s="2" t="s">
        <v>48</v>
      </c>
      <c r="AK6" s="2" t="s">
        <v>49</v>
      </c>
      <c r="AL6" s="2" t="s">
        <v>49</v>
      </c>
      <c r="AM6" s="2" t="s">
        <v>49</v>
      </c>
      <c r="AN6" s="2" t="s">
        <v>49</v>
      </c>
      <c r="AO6" s="2" t="s">
        <v>49</v>
      </c>
      <c r="AP6" s="2" t="s">
        <v>49</v>
      </c>
      <c r="AQ6" s="2" t="s">
        <v>50</v>
      </c>
      <c r="AR6" s="2" t="s">
        <v>50</v>
      </c>
      <c r="AS6" s="2" t="s">
        <v>50</v>
      </c>
      <c r="AT6" s="2" t="s">
        <v>50</v>
      </c>
      <c r="AU6" s="2" t="s">
        <v>50</v>
      </c>
      <c r="AV6" s="3" t="s">
        <v>50</v>
      </c>
      <c r="AW6" s="3"/>
      <c r="AX6" s="3"/>
      <c r="AY6" s="4"/>
    </row>
    <row r="7" spans="1:51" s="5" customFormat="1" x14ac:dyDescent="0.15">
      <c r="A7" s="55" t="s">
        <v>51</v>
      </c>
      <c r="B7" s="55"/>
      <c r="C7" s="42" t="s">
        <v>151</v>
      </c>
      <c r="D7" s="42"/>
      <c r="E7" s="42" t="s">
        <v>152</v>
      </c>
      <c r="F7" s="42" t="s">
        <v>153</v>
      </c>
      <c r="G7" s="42" t="s">
        <v>154</v>
      </c>
      <c r="H7" s="42" t="s">
        <v>155</v>
      </c>
      <c r="I7" s="42"/>
      <c r="J7" s="42"/>
      <c r="K7" s="42" t="s">
        <v>160</v>
      </c>
      <c r="L7" s="42" t="s">
        <v>159</v>
      </c>
      <c r="M7" s="42" t="s">
        <v>162</v>
      </c>
      <c r="N7" s="42" t="s">
        <v>169</v>
      </c>
      <c r="O7" s="42" t="s">
        <v>167</v>
      </c>
      <c r="P7" s="42" t="s">
        <v>161</v>
      </c>
      <c r="Q7" s="42" t="s">
        <v>164</v>
      </c>
      <c r="R7" s="42" t="s">
        <v>165</v>
      </c>
      <c r="S7" s="42" t="s">
        <v>170</v>
      </c>
      <c r="T7" s="42" t="s">
        <v>166</v>
      </c>
      <c r="U7" s="42" t="s">
        <v>171</v>
      </c>
      <c r="V7" s="42" t="s">
        <v>173</v>
      </c>
      <c r="W7" s="42" t="s">
        <v>174</v>
      </c>
      <c r="X7" s="42" t="s">
        <v>172</v>
      </c>
      <c r="Y7" s="42" t="s">
        <v>175</v>
      </c>
      <c r="Z7" s="42" t="s">
        <v>178</v>
      </c>
      <c r="AA7" s="42"/>
      <c r="AB7" s="42"/>
      <c r="AC7" s="42"/>
      <c r="AD7" s="42" t="s">
        <v>157</v>
      </c>
      <c r="AE7" s="42" t="s">
        <v>158</v>
      </c>
      <c r="AF7" s="42" t="s">
        <v>156</v>
      </c>
      <c r="AG7" s="42" t="s">
        <v>168</v>
      </c>
      <c r="AH7" s="42" t="s">
        <v>179</v>
      </c>
      <c r="AI7" s="42" t="s">
        <v>176</v>
      </c>
      <c r="AJ7" s="42" t="s">
        <v>177</v>
      </c>
      <c r="AK7" s="42" t="s">
        <v>182</v>
      </c>
      <c r="AL7" s="42" t="s">
        <v>183</v>
      </c>
      <c r="AM7" s="42" t="s">
        <v>184</v>
      </c>
      <c r="AN7" s="42" t="s">
        <v>185</v>
      </c>
      <c r="AO7" s="42" t="s">
        <v>183</v>
      </c>
      <c r="AP7" s="42"/>
      <c r="AQ7" s="42" t="s">
        <v>188</v>
      </c>
      <c r="AR7" s="42" t="s">
        <v>189</v>
      </c>
      <c r="AS7" s="42" t="s">
        <v>190</v>
      </c>
      <c r="AT7" s="42" t="s">
        <v>191</v>
      </c>
      <c r="AU7" s="42" t="s">
        <v>192</v>
      </c>
      <c r="AV7" s="43" t="s">
        <v>193</v>
      </c>
      <c r="AW7" s="6"/>
      <c r="AX7" s="6"/>
      <c r="AY7" s="7"/>
    </row>
    <row r="8" spans="1:51" s="5" customFormat="1" x14ac:dyDescent="0.15">
      <c r="A8" s="55" t="s">
        <v>52</v>
      </c>
      <c r="B8" s="55"/>
      <c r="C8" s="42" t="s">
        <v>195</v>
      </c>
      <c r="D8" s="42"/>
      <c r="E8" s="42" t="s">
        <v>196</v>
      </c>
      <c r="F8" s="42" t="s">
        <v>197</v>
      </c>
      <c r="G8" s="42" t="s">
        <v>198</v>
      </c>
      <c r="H8" s="42" t="s">
        <v>199</v>
      </c>
      <c r="I8" s="42" t="s">
        <v>200</v>
      </c>
      <c r="J8" s="42" t="s">
        <v>201</v>
      </c>
      <c r="K8" s="42" t="s">
        <v>202</v>
      </c>
      <c r="L8" s="42" t="s">
        <v>203</v>
      </c>
      <c r="M8" s="42" t="s">
        <v>204</v>
      </c>
      <c r="N8" s="42" t="s">
        <v>205</v>
      </c>
      <c r="O8" s="42" t="s">
        <v>196</v>
      </c>
      <c r="P8" s="42" t="s">
        <v>206</v>
      </c>
      <c r="Q8" s="42" t="s">
        <v>207</v>
      </c>
      <c r="R8" s="42" t="s">
        <v>208</v>
      </c>
      <c r="S8" s="42" t="s">
        <v>209</v>
      </c>
      <c r="T8" s="42" t="s">
        <v>210</v>
      </c>
      <c r="U8" s="42" t="s">
        <v>211</v>
      </c>
      <c r="V8" s="42" t="s">
        <v>212</v>
      </c>
      <c r="W8" s="42" t="s">
        <v>213</v>
      </c>
      <c r="X8" s="42" t="s">
        <v>214</v>
      </c>
      <c r="Y8" s="42" t="s">
        <v>215</v>
      </c>
      <c r="Z8" s="42" t="s">
        <v>216</v>
      </c>
      <c r="AA8" s="42"/>
      <c r="AB8" s="42"/>
      <c r="AC8" s="42" t="s">
        <v>217</v>
      </c>
      <c r="AD8" s="42" t="s">
        <v>218</v>
      </c>
      <c r="AE8" s="42" t="s">
        <v>219</v>
      </c>
      <c r="AF8" s="42" t="s">
        <v>220</v>
      </c>
      <c r="AG8" s="42" t="s">
        <v>221</v>
      </c>
      <c r="AH8" s="42" t="s">
        <v>222</v>
      </c>
      <c r="AI8" s="42" t="s">
        <v>223</v>
      </c>
      <c r="AJ8" s="42" t="s">
        <v>224</v>
      </c>
      <c r="AK8" s="42" t="s">
        <v>225</v>
      </c>
      <c r="AL8" s="42" t="s">
        <v>226</v>
      </c>
      <c r="AM8" s="42" t="s">
        <v>227</v>
      </c>
      <c r="AN8" s="42" t="s">
        <v>198</v>
      </c>
      <c r="AO8" s="42" t="s">
        <v>228</v>
      </c>
      <c r="AP8" s="42"/>
      <c r="AQ8" s="42" t="s">
        <v>232</v>
      </c>
      <c r="AR8" s="42" t="s">
        <v>220</v>
      </c>
      <c r="AS8" s="42" t="s">
        <v>229</v>
      </c>
      <c r="AT8" s="42" t="s">
        <v>212</v>
      </c>
      <c r="AU8" s="42" t="s">
        <v>230</v>
      </c>
      <c r="AV8" s="42" t="s">
        <v>231</v>
      </c>
      <c r="AW8" s="6"/>
      <c r="AX8" s="6"/>
      <c r="AY8" s="7"/>
    </row>
    <row r="9" spans="1:51" x14ac:dyDescent="0.15">
      <c r="A9" s="51" t="s">
        <v>53</v>
      </c>
      <c r="B9" s="52"/>
      <c r="C9" s="44">
        <v>10</v>
      </c>
      <c r="D9" s="44"/>
      <c r="E9" s="44">
        <v>10</v>
      </c>
      <c r="F9" s="44">
        <v>10</v>
      </c>
      <c r="G9" s="44">
        <v>8</v>
      </c>
      <c r="H9" s="44">
        <v>8</v>
      </c>
      <c r="I9" s="44">
        <v>8</v>
      </c>
      <c r="J9" s="44">
        <v>8</v>
      </c>
      <c r="K9" s="44">
        <v>8</v>
      </c>
      <c r="L9" s="44">
        <v>8</v>
      </c>
      <c r="M9" s="44">
        <v>10</v>
      </c>
      <c r="N9" s="44">
        <v>10</v>
      </c>
      <c r="O9" s="44">
        <v>10</v>
      </c>
      <c r="P9" s="44">
        <v>10</v>
      </c>
      <c r="Q9" s="44">
        <v>14</v>
      </c>
      <c r="R9" s="44">
        <v>10</v>
      </c>
      <c r="S9" s="44">
        <v>10</v>
      </c>
      <c r="T9" s="44">
        <v>10</v>
      </c>
      <c r="U9" s="44">
        <v>10</v>
      </c>
      <c r="V9" s="44">
        <v>10</v>
      </c>
      <c r="W9" s="44">
        <v>10</v>
      </c>
      <c r="X9" s="44">
        <v>10</v>
      </c>
      <c r="Y9" s="44">
        <v>10</v>
      </c>
      <c r="Z9" s="44">
        <v>10</v>
      </c>
      <c r="AA9" s="44"/>
      <c r="AB9" s="44"/>
      <c r="AC9" s="44">
        <v>14</v>
      </c>
      <c r="AD9" s="44">
        <v>8</v>
      </c>
      <c r="AE9" s="44">
        <v>8</v>
      </c>
      <c r="AF9" s="44">
        <v>8</v>
      </c>
      <c r="AG9" s="44">
        <v>10</v>
      </c>
      <c r="AH9" s="44">
        <v>10</v>
      </c>
      <c r="AI9" s="44">
        <v>10</v>
      </c>
      <c r="AJ9" s="44">
        <v>10</v>
      </c>
      <c r="AK9" s="44">
        <v>14</v>
      </c>
      <c r="AL9" s="44">
        <v>14</v>
      </c>
      <c r="AM9" s="44">
        <v>8</v>
      </c>
      <c r="AN9" s="44">
        <v>8</v>
      </c>
      <c r="AO9" s="44">
        <v>8</v>
      </c>
      <c r="AP9" s="44"/>
      <c r="AQ9" s="44">
        <v>14</v>
      </c>
      <c r="AR9" s="44">
        <v>18</v>
      </c>
      <c r="AS9" s="44">
        <v>8</v>
      </c>
      <c r="AT9" s="44">
        <v>8</v>
      </c>
      <c r="AU9" s="44">
        <v>8</v>
      </c>
      <c r="AV9" s="45">
        <v>8</v>
      </c>
      <c r="AW9" s="9">
        <f>SUM(C9:AV9)</f>
        <v>416</v>
      </c>
      <c r="AX9" s="9"/>
      <c r="AY9" s="10"/>
    </row>
    <row r="10" spans="1:51" x14ac:dyDescent="0.15">
      <c r="A10" s="49" t="s">
        <v>54</v>
      </c>
      <c r="B10" s="49"/>
      <c r="C10" s="46" t="s">
        <v>55</v>
      </c>
      <c r="D10" s="46" t="s">
        <v>55</v>
      </c>
      <c r="E10" s="46" t="s">
        <v>55</v>
      </c>
      <c r="F10" s="46" t="s">
        <v>55</v>
      </c>
      <c r="G10" s="46" t="s">
        <v>56</v>
      </c>
      <c r="H10" s="46" t="s">
        <v>56</v>
      </c>
      <c r="I10" s="46" t="s">
        <v>56</v>
      </c>
      <c r="J10" s="47"/>
      <c r="K10" s="47" t="s">
        <v>57</v>
      </c>
      <c r="L10" s="47" t="s">
        <v>58</v>
      </c>
      <c r="M10" s="47" t="s">
        <v>59</v>
      </c>
      <c r="N10" s="47" t="s">
        <v>59</v>
      </c>
      <c r="O10" s="47" t="s">
        <v>59</v>
      </c>
      <c r="P10" s="47" t="s">
        <v>59</v>
      </c>
      <c r="Q10" s="47" t="s">
        <v>59</v>
      </c>
      <c r="R10" s="47" t="s">
        <v>59</v>
      </c>
      <c r="S10" s="47" t="s">
        <v>59</v>
      </c>
      <c r="T10" s="47" t="s">
        <v>59</v>
      </c>
      <c r="U10" s="47" t="s">
        <v>60</v>
      </c>
      <c r="V10" s="47" t="s">
        <v>60</v>
      </c>
      <c r="W10" s="47" t="s">
        <v>60</v>
      </c>
      <c r="X10" s="47" t="s">
        <v>60</v>
      </c>
      <c r="Y10" s="47" t="s">
        <v>61</v>
      </c>
      <c r="Z10" s="47" t="s">
        <v>61</v>
      </c>
      <c r="AA10" s="47" t="s">
        <v>62</v>
      </c>
      <c r="AB10" s="47" t="s">
        <v>63</v>
      </c>
      <c r="AC10" s="47"/>
      <c r="AD10" s="47" t="s">
        <v>57</v>
      </c>
      <c r="AE10" s="47" t="s">
        <v>57</v>
      </c>
      <c r="AF10" s="47" t="s">
        <v>58</v>
      </c>
      <c r="AG10" s="47" t="s">
        <v>59</v>
      </c>
      <c r="AH10" s="47" t="s">
        <v>61</v>
      </c>
      <c r="AI10" s="47" t="s">
        <v>61</v>
      </c>
      <c r="AJ10" s="47" t="s">
        <v>61</v>
      </c>
      <c r="AK10" s="47" t="s">
        <v>64</v>
      </c>
      <c r="AL10" s="47" t="s">
        <v>64</v>
      </c>
      <c r="AM10" s="47" t="s">
        <v>62</v>
      </c>
      <c r="AN10" s="47" t="s">
        <v>62</v>
      </c>
      <c r="AO10" s="47" t="s">
        <v>62</v>
      </c>
      <c r="AP10" s="47"/>
      <c r="AQ10" s="47" t="s">
        <v>64</v>
      </c>
      <c r="AR10" s="47" t="s">
        <v>64</v>
      </c>
      <c r="AS10" s="47" t="s">
        <v>62</v>
      </c>
      <c r="AT10" s="47" t="s">
        <v>62</v>
      </c>
      <c r="AU10" s="47" t="s">
        <v>62</v>
      </c>
      <c r="AV10" s="48" t="s">
        <v>62</v>
      </c>
      <c r="AW10" s="12"/>
      <c r="AX10" s="12"/>
      <c r="AY10" s="13"/>
    </row>
    <row r="11" spans="1:51" x14ac:dyDescent="0.15">
      <c r="A11" s="49" t="s">
        <v>65</v>
      </c>
      <c r="B11" s="49"/>
      <c r="C11" s="14">
        <v>6200.0999999999995</v>
      </c>
      <c r="D11" s="14">
        <v>0</v>
      </c>
      <c r="E11" s="14">
        <v>6070.8</v>
      </c>
      <c r="F11" s="14">
        <v>5465.8</v>
      </c>
      <c r="G11" s="14">
        <v>6102.5</v>
      </c>
      <c r="H11" s="14">
        <v>7852.9</v>
      </c>
      <c r="I11" s="14">
        <v>2768.2</v>
      </c>
      <c r="J11" s="14">
        <v>0</v>
      </c>
      <c r="K11" s="14">
        <v>602</v>
      </c>
      <c r="L11" s="14">
        <v>3441</v>
      </c>
      <c r="M11" s="14">
        <v>5669.9000000000005</v>
      </c>
      <c r="N11" s="14">
        <v>5108.5</v>
      </c>
      <c r="O11" s="14">
        <v>5990.7</v>
      </c>
      <c r="P11" s="14">
        <v>5948.7</v>
      </c>
      <c r="Q11" s="14">
        <v>5283.5</v>
      </c>
      <c r="R11" s="14">
        <v>5117.8</v>
      </c>
      <c r="S11" s="14">
        <v>5684</v>
      </c>
      <c r="T11" s="14">
        <v>5186.5</v>
      </c>
      <c r="U11" s="14">
        <v>7608.2</v>
      </c>
      <c r="V11" s="14">
        <v>5700.6</v>
      </c>
      <c r="W11" s="14">
        <v>3159.2</v>
      </c>
      <c r="X11" s="14">
        <v>7363.3</v>
      </c>
      <c r="Y11" s="14">
        <v>5722.5</v>
      </c>
      <c r="Z11" s="14">
        <v>5870.8</v>
      </c>
      <c r="AA11" s="14">
        <v>0</v>
      </c>
      <c r="AB11" s="14">
        <v>0</v>
      </c>
      <c r="AC11" s="14">
        <v>0</v>
      </c>
      <c r="AD11" s="14">
        <v>7832</v>
      </c>
      <c r="AE11" s="14">
        <v>7224</v>
      </c>
      <c r="AF11" s="14">
        <v>7690</v>
      </c>
      <c r="AG11" s="14">
        <v>9492</v>
      </c>
      <c r="AH11" s="14">
        <v>7077</v>
      </c>
      <c r="AI11" s="14">
        <v>4675</v>
      </c>
      <c r="AJ11" s="14">
        <v>4934</v>
      </c>
      <c r="AK11" s="14">
        <v>4609.8</v>
      </c>
      <c r="AL11" s="14">
        <v>2996</v>
      </c>
      <c r="AM11" s="14">
        <v>4061.7</v>
      </c>
      <c r="AN11" s="14">
        <v>6416.9</v>
      </c>
      <c r="AO11" s="14">
        <v>4408.5</v>
      </c>
      <c r="AP11" s="14">
        <v>0</v>
      </c>
      <c r="AQ11" s="14">
        <v>37.200000000000003</v>
      </c>
      <c r="AR11" s="14">
        <v>3433.4</v>
      </c>
      <c r="AS11" s="14">
        <v>3611.9</v>
      </c>
      <c r="AT11" s="14">
        <v>4369.3999999999996</v>
      </c>
      <c r="AU11" s="14">
        <v>3824.7999999999997</v>
      </c>
      <c r="AV11" s="15">
        <v>3148.7000000000003</v>
      </c>
      <c r="AW11" s="16">
        <f>SUM(C11:AV11)</f>
        <v>207759.8</v>
      </c>
      <c r="AX11" s="16">
        <f t="shared" ref="AX11:AX42" si="0">AVERAGE(D11:AV11)</f>
        <v>4479.1044444444442</v>
      </c>
      <c r="AY11" s="13"/>
    </row>
    <row r="12" spans="1:51" x14ac:dyDescent="0.15">
      <c r="A12" s="53" t="s">
        <v>66</v>
      </c>
      <c r="B12" s="54"/>
      <c r="C12" s="18">
        <v>9.4312500000000004</v>
      </c>
      <c r="D12" s="18">
        <v>0</v>
      </c>
      <c r="E12" s="18">
        <v>9.6048611111111111</v>
      </c>
      <c r="F12" s="18">
        <v>8.9312500000000004</v>
      </c>
      <c r="G12" s="18">
        <v>7.958333333333333</v>
      </c>
      <c r="H12" s="18">
        <v>10.270833333333334</v>
      </c>
      <c r="I12" s="18">
        <v>3.5750000000000002</v>
      </c>
      <c r="J12" s="18">
        <v>0</v>
      </c>
      <c r="K12" s="18">
        <v>0.81319444444444444</v>
      </c>
      <c r="L12" s="18">
        <v>7.8465277777777782</v>
      </c>
      <c r="M12" s="18">
        <v>10.520833333333334</v>
      </c>
      <c r="N12" s="18">
        <v>10.552083333333334</v>
      </c>
      <c r="O12" s="18">
        <v>10.316666666666666</v>
      </c>
      <c r="P12" s="18">
        <v>11.0375</v>
      </c>
      <c r="Q12" s="18">
        <v>10.156944444444445</v>
      </c>
      <c r="R12" s="18">
        <v>9.7569444444444446</v>
      </c>
      <c r="S12" s="18">
        <v>10.784722222222221</v>
      </c>
      <c r="T12" s="18">
        <v>10.138888888888889</v>
      </c>
      <c r="U12" s="18">
        <v>11.42986111111111</v>
      </c>
      <c r="V12" s="18">
        <v>7.9152777777777779</v>
      </c>
      <c r="W12" s="18">
        <v>5.0444444444444443</v>
      </c>
      <c r="X12" s="18">
        <v>9.7409722222222221</v>
      </c>
      <c r="Y12" s="18">
        <v>7.3368055555555554</v>
      </c>
      <c r="Z12" s="18">
        <v>8.2854166666666664</v>
      </c>
      <c r="AA12" s="18">
        <v>0</v>
      </c>
      <c r="AB12" s="18">
        <v>0</v>
      </c>
      <c r="AC12" s="18">
        <v>0</v>
      </c>
      <c r="AD12" s="18">
        <v>10.1625</v>
      </c>
      <c r="AE12" s="18">
        <v>8.7951388888888893</v>
      </c>
      <c r="AF12" s="18">
        <v>10.321527777777778</v>
      </c>
      <c r="AG12" s="18">
        <v>12.856944444444444</v>
      </c>
      <c r="AH12" s="18">
        <v>10.466666666666667</v>
      </c>
      <c r="AI12" s="18">
        <v>7.8743055555555559</v>
      </c>
      <c r="AJ12" s="18">
        <v>9.0374999999999996</v>
      </c>
      <c r="AK12" s="18">
        <v>7.3833333333333337</v>
      </c>
      <c r="AL12" s="18">
        <v>4.5541666666666663</v>
      </c>
      <c r="AM12" s="18">
        <v>7.3902777777777775</v>
      </c>
      <c r="AN12" s="18">
        <v>10.248611111111112</v>
      </c>
      <c r="AO12" s="18">
        <v>7.1493055555555554</v>
      </c>
      <c r="AP12" s="18">
        <v>0</v>
      </c>
      <c r="AQ12" s="18">
        <v>6.9444444444444448E-2</v>
      </c>
      <c r="AR12" s="18">
        <v>4.4909722222222221</v>
      </c>
      <c r="AS12" s="18">
        <v>5.458333333333333</v>
      </c>
      <c r="AT12" s="18">
        <v>5.3972222222222221</v>
      </c>
      <c r="AU12" s="18">
        <v>4.4486111111111111</v>
      </c>
      <c r="AV12" s="19">
        <v>8.9569444444444439</v>
      </c>
      <c r="AW12" s="20">
        <f>SUM(C12:AV12)</f>
        <v>326.51041666666674</v>
      </c>
      <c r="AX12" s="20">
        <f t="shared" si="0"/>
        <v>7.0462037037037044</v>
      </c>
      <c r="AY12" s="13"/>
    </row>
    <row r="13" spans="1:51" x14ac:dyDescent="0.15">
      <c r="A13" s="49" t="s">
        <v>67</v>
      </c>
      <c r="B13" s="49"/>
      <c r="C13" s="14">
        <v>1294522</v>
      </c>
      <c r="D13" s="14">
        <v>1283223</v>
      </c>
      <c r="E13" s="14">
        <v>1259060</v>
      </c>
      <c r="F13" s="14">
        <v>1204408</v>
      </c>
      <c r="G13" s="14">
        <v>1195300</v>
      </c>
      <c r="H13" s="14">
        <v>1503795</v>
      </c>
      <c r="I13" s="14">
        <v>532300</v>
      </c>
      <c r="J13" s="14">
        <v>0</v>
      </c>
      <c r="K13" s="14">
        <v>135009</v>
      </c>
      <c r="L13" s="14">
        <v>927442</v>
      </c>
      <c r="M13" s="14">
        <v>1233890</v>
      </c>
      <c r="N13" s="14">
        <v>1218870</v>
      </c>
      <c r="O13" s="14">
        <v>1210140</v>
      </c>
      <c r="P13" s="14">
        <v>1184020</v>
      </c>
      <c r="Q13" s="14">
        <v>1530860</v>
      </c>
      <c r="R13" s="14">
        <v>1157470</v>
      </c>
      <c r="S13" s="14">
        <v>1223590</v>
      </c>
      <c r="T13" s="14">
        <v>1225630</v>
      </c>
      <c r="U13" s="14">
        <v>1292280</v>
      </c>
      <c r="V13" s="14">
        <v>872780</v>
      </c>
      <c r="W13" s="14">
        <v>591580</v>
      </c>
      <c r="X13" s="14">
        <v>1260330</v>
      </c>
      <c r="Y13" s="14">
        <v>1370736</v>
      </c>
      <c r="Z13" s="14">
        <v>1269254</v>
      </c>
      <c r="AA13" s="14">
        <v>11000</v>
      </c>
      <c r="AB13" s="14">
        <v>612966</v>
      </c>
      <c r="AC13" s="14">
        <v>0</v>
      </c>
      <c r="AD13" s="14">
        <v>1818482</v>
      </c>
      <c r="AE13" s="14">
        <v>1785398</v>
      </c>
      <c r="AF13" s="14">
        <v>1249228</v>
      </c>
      <c r="AG13" s="14">
        <v>1237040</v>
      </c>
      <c r="AH13" s="14">
        <v>1595375</v>
      </c>
      <c r="AI13" s="14">
        <v>1162386</v>
      </c>
      <c r="AJ13" s="14">
        <v>1066704</v>
      </c>
      <c r="AK13" s="14">
        <v>1755300</v>
      </c>
      <c r="AL13" s="14">
        <v>872100</v>
      </c>
      <c r="AM13" s="14">
        <v>965700</v>
      </c>
      <c r="AN13" s="14">
        <v>1432321</v>
      </c>
      <c r="AO13" s="14">
        <v>999600</v>
      </c>
      <c r="AP13" s="14">
        <v>405067</v>
      </c>
      <c r="AQ13" s="14">
        <v>0</v>
      </c>
      <c r="AR13" s="14">
        <v>760400</v>
      </c>
      <c r="AS13" s="14">
        <v>703900</v>
      </c>
      <c r="AT13" s="14">
        <v>754000</v>
      </c>
      <c r="AU13" s="14">
        <v>717000</v>
      </c>
      <c r="AV13" s="15">
        <v>1080306</v>
      </c>
      <c r="AW13" s="16">
        <f>SUM(C13:AV13)</f>
        <v>46960762</v>
      </c>
      <c r="AX13" s="16">
        <f t="shared" si="0"/>
        <v>1014805.3333333334</v>
      </c>
      <c r="AY13" s="13">
        <f>AW13/AW13</f>
        <v>1</v>
      </c>
    </row>
    <row r="14" spans="1:51" x14ac:dyDescent="0.15">
      <c r="A14" s="53" t="s">
        <v>68</v>
      </c>
      <c r="B14" s="54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20600</v>
      </c>
      <c r="Q14" s="14">
        <v>0</v>
      </c>
      <c r="R14" s="14">
        <v>56390</v>
      </c>
      <c r="S14" s="14">
        <v>0</v>
      </c>
      <c r="T14" s="14">
        <v>0</v>
      </c>
      <c r="U14" s="14">
        <v>0</v>
      </c>
      <c r="V14" s="14">
        <v>0</v>
      </c>
      <c r="W14" s="14">
        <v>617660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 s="14">
        <v>0</v>
      </c>
      <c r="AG14" s="14">
        <v>4540</v>
      </c>
      <c r="AH14" s="14">
        <v>0</v>
      </c>
      <c r="AI14" s="14">
        <v>0</v>
      </c>
      <c r="AJ14" s="14">
        <v>0</v>
      </c>
      <c r="AK14" s="14">
        <v>0</v>
      </c>
      <c r="AL14" s="14">
        <v>0</v>
      </c>
      <c r="AM14" s="14">
        <v>0</v>
      </c>
      <c r="AN14" s="14">
        <v>0</v>
      </c>
      <c r="AO14" s="14">
        <v>0</v>
      </c>
      <c r="AP14" s="14">
        <v>0</v>
      </c>
      <c r="AQ14" s="14">
        <v>0</v>
      </c>
      <c r="AR14" s="14">
        <v>0</v>
      </c>
      <c r="AS14" s="14">
        <v>0</v>
      </c>
      <c r="AT14" s="14">
        <v>0</v>
      </c>
      <c r="AU14" s="14">
        <v>0</v>
      </c>
      <c r="AV14" s="15">
        <v>0</v>
      </c>
      <c r="AW14" s="16">
        <f>SUM(C14:AV14)</f>
        <v>699190</v>
      </c>
      <c r="AX14" s="16">
        <f t="shared" si="0"/>
        <v>15537.555555555555</v>
      </c>
      <c r="AY14" s="13"/>
    </row>
    <row r="15" spans="1:51" x14ac:dyDescent="0.15">
      <c r="A15" s="49" t="s">
        <v>69</v>
      </c>
      <c r="B15" s="49"/>
      <c r="C15" s="14">
        <f>SUM(C13/C11)</f>
        <v>208.79050337897777</v>
      </c>
      <c r="D15" s="14" t="e">
        <f t="shared" ref="D15:AV15" si="1">SUM(D13/D11)</f>
        <v>#DIV/0!</v>
      </c>
      <c r="E15" s="14">
        <f t="shared" si="1"/>
        <v>207.39605982737035</v>
      </c>
      <c r="F15" s="14">
        <f t="shared" si="1"/>
        <v>220.35347067217972</v>
      </c>
      <c r="G15" s="14">
        <f t="shared" si="1"/>
        <v>195.87054485866449</v>
      </c>
      <c r="H15" s="14">
        <f t="shared" si="1"/>
        <v>191.49549847826918</v>
      </c>
      <c r="I15" s="14">
        <f t="shared" si="1"/>
        <v>192.29101943501195</v>
      </c>
      <c r="J15" s="14" t="e">
        <f t="shared" si="1"/>
        <v>#DIV/0!</v>
      </c>
      <c r="K15" s="14">
        <f t="shared" si="1"/>
        <v>224.26744186046511</v>
      </c>
      <c r="L15" s="14">
        <f t="shared" si="1"/>
        <v>269.52688172043008</v>
      </c>
      <c r="M15" s="14">
        <f t="shared" si="1"/>
        <v>217.62112206564487</v>
      </c>
      <c r="N15" s="14">
        <f t="shared" si="1"/>
        <v>238.59645688558285</v>
      </c>
      <c r="O15" s="14">
        <f t="shared" si="1"/>
        <v>202.00310481245933</v>
      </c>
      <c r="P15" s="14">
        <f t="shared" si="1"/>
        <v>199.03844537461967</v>
      </c>
      <c r="Q15" s="14">
        <f t="shared" si="1"/>
        <v>289.74354121321096</v>
      </c>
      <c r="R15" s="14">
        <f t="shared" si="1"/>
        <v>226.16553988041736</v>
      </c>
      <c r="S15" s="14">
        <f t="shared" si="1"/>
        <v>215.26917663617172</v>
      </c>
      <c r="T15" s="14">
        <f t="shared" si="1"/>
        <v>236.31157813554421</v>
      </c>
      <c r="U15" s="14">
        <f t="shared" si="1"/>
        <v>169.85357903314843</v>
      </c>
      <c r="V15" s="14">
        <f t="shared" si="1"/>
        <v>153.10318212118023</v>
      </c>
      <c r="W15" s="14">
        <f t="shared" si="1"/>
        <v>187.25626740947075</v>
      </c>
      <c r="X15" s="14">
        <f t="shared" si="1"/>
        <v>171.16374451672485</v>
      </c>
      <c r="Y15" s="14">
        <f t="shared" si="1"/>
        <v>239.53446920052426</v>
      </c>
      <c r="Z15" s="14">
        <f t="shared" si="1"/>
        <v>216.19779246440007</v>
      </c>
      <c r="AA15" s="14" t="e">
        <f t="shared" si="1"/>
        <v>#DIV/0!</v>
      </c>
      <c r="AB15" s="14" t="e">
        <f t="shared" si="1"/>
        <v>#DIV/0!</v>
      </c>
      <c r="AC15" s="14" t="e">
        <f t="shared" si="1"/>
        <v>#DIV/0!</v>
      </c>
      <c r="AD15" s="14">
        <f t="shared" si="1"/>
        <v>232.18615934627169</v>
      </c>
      <c r="AE15" s="14">
        <f t="shared" si="1"/>
        <v>247.14811738648947</v>
      </c>
      <c r="AF15" s="14">
        <f t="shared" si="1"/>
        <v>162.44837451235369</v>
      </c>
      <c r="AG15" s="14">
        <f t="shared" si="1"/>
        <v>130.32448377581122</v>
      </c>
      <c r="AH15" s="14">
        <f t="shared" si="1"/>
        <v>225.43097357637416</v>
      </c>
      <c r="AI15" s="14">
        <f t="shared" si="1"/>
        <v>248.63871657754009</v>
      </c>
      <c r="AJ15" s="14">
        <f t="shared" si="1"/>
        <v>216.19456830158086</v>
      </c>
      <c r="AK15" s="14">
        <f t="shared" si="1"/>
        <v>380.77573864375893</v>
      </c>
      <c r="AL15" s="14">
        <f t="shared" si="1"/>
        <v>291.08811748998664</v>
      </c>
      <c r="AM15" s="14">
        <f t="shared" si="1"/>
        <v>237.75758918679372</v>
      </c>
      <c r="AN15" s="14">
        <f t="shared" si="1"/>
        <v>223.21074038866121</v>
      </c>
      <c r="AO15" s="14">
        <f t="shared" si="1"/>
        <v>226.74379040489961</v>
      </c>
      <c r="AP15" s="14" t="e">
        <f t="shared" si="1"/>
        <v>#DIV/0!</v>
      </c>
      <c r="AQ15" s="14">
        <f t="shared" si="1"/>
        <v>0</v>
      </c>
      <c r="AR15" s="14">
        <f t="shared" si="1"/>
        <v>221.4714277392672</v>
      </c>
      <c r="AS15" s="14">
        <f t="shared" si="1"/>
        <v>194.88357927960354</v>
      </c>
      <c r="AT15" s="14">
        <f t="shared" si="1"/>
        <v>172.56373872842954</v>
      </c>
      <c r="AU15" s="14">
        <f t="shared" si="1"/>
        <v>187.46078226312488</v>
      </c>
      <c r="AV15" s="15">
        <f t="shared" si="1"/>
        <v>343.09588083971158</v>
      </c>
      <c r="AW15" s="12">
        <f>SUM(AW13/AW11)</f>
        <v>226.03391994023869</v>
      </c>
      <c r="AX15" s="16" t="e">
        <f t="shared" si="0"/>
        <v>#DIV/0!</v>
      </c>
      <c r="AY15" s="13"/>
    </row>
    <row r="16" spans="1:51" x14ac:dyDescent="0.15">
      <c r="A16" s="53" t="s">
        <v>70</v>
      </c>
      <c r="B16" s="54"/>
      <c r="C16" s="21">
        <f t="shared" ref="C16:AH16" si="2">C13/(C12*24)</f>
        <v>5719.1164126352987</v>
      </c>
      <c r="D16" s="21" t="e">
        <f t="shared" si="2"/>
        <v>#DIV/0!</v>
      </c>
      <c r="E16" s="21">
        <f t="shared" si="2"/>
        <v>5461.9044176126099</v>
      </c>
      <c r="F16" s="21">
        <f t="shared" si="2"/>
        <v>5618.8850011663162</v>
      </c>
      <c r="G16" s="21">
        <f t="shared" si="2"/>
        <v>6258.1151832460737</v>
      </c>
      <c r="H16" s="21">
        <f t="shared" si="2"/>
        <v>6100.588235294118</v>
      </c>
      <c r="I16" s="21">
        <f t="shared" si="2"/>
        <v>6203.962703962703</v>
      </c>
      <c r="J16" s="21" t="e">
        <f t="shared" si="2"/>
        <v>#DIV/0!</v>
      </c>
      <c r="K16" s="21">
        <f t="shared" si="2"/>
        <v>6917.6259607173361</v>
      </c>
      <c r="L16" s="21">
        <f t="shared" si="2"/>
        <v>4924.9066289052125</v>
      </c>
      <c r="M16" s="21">
        <f t="shared" si="2"/>
        <v>4886.6930693069307</v>
      </c>
      <c r="N16" s="21">
        <f t="shared" si="2"/>
        <v>4812.912142152024</v>
      </c>
      <c r="O16" s="21">
        <f t="shared" si="2"/>
        <v>4887.4798061389338</v>
      </c>
      <c r="P16" s="21">
        <f t="shared" si="2"/>
        <v>4469.6866742166858</v>
      </c>
      <c r="Q16" s="21">
        <f t="shared" si="2"/>
        <v>6280.0218788458906</v>
      </c>
      <c r="R16" s="21">
        <f t="shared" si="2"/>
        <v>4942.9323843416369</v>
      </c>
      <c r="S16" s="21">
        <f t="shared" si="2"/>
        <v>4727.327752736639</v>
      </c>
      <c r="T16" s="21">
        <f t="shared" si="2"/>
        <v>5036.8356164383558</v>
      </c>
      <c r="U16" s="21">
        <f t="shared" si="2"/>
        <v>4710.9058873564618</v>
      </c>
      <c r="V16" s="21">
        <f t="shared" si="2"/>
        <v>4594.3849798210213</v>
      </c>
      <c r="W16" s="21">
        <f t="shared" si="2"/>
        <v>4886.398678414097</v>
      </c>
      <c r="X16" s="21">
        <f t="shared" si="2"/>
        <v>5391.0173237328008</v>
      </c>
      <c r="Y16" s="21">
        <f t="shared" si="2"/>
        <v>7784.5868433506866</v>
      </c>
      <c r="Z16" s="21">
        <f t="shared" si="2"/>
        <v>6382.9720895147102</v>
      </c>
      <c r="AA16" s="21" t="e">
        <f t="shared" si="2"/>
        <v>#DIV/0!</v>
      </c>
      <c r="AB16" s="21" t="e">
        <f t="shared" si="2"/>
        <v>#DIV/0!</v>
      </c>
      <c r="AC16" s="21" t="e">
        <f t="shared" si="2"/>
        <v>#DIV/0!</v>
      </c>
      <c r="AD16" s="21">
        <f t="shared" si="2"/>
        <v>7455.8507585075859</v>
      </c>
      <c r="AE16" s="21">
        <f t="shared" si="2"/>
        <v>8458.2613501776541</v>
      </c>
      <c r="AF16" s="21">
        <f t="shared" si="2"/>
        <v>5042.9711363789274</v>
      </c>
      <c r="AG16" s="21">
        <f t="shared" si="2"/>
        <v>4008.9877930214975</v>
      </c>
      <c r="AH16" s="21">
        <f t="shared" si="2"/>
        <v>6351.0151273885349</v>
      </c>
      <c r="AI16" s="21">
        <f t="shared" ref="AI16:AW16" si="3">AI13/(AI12*24)</f>
        <v>6150.7328688596872</v>
      </c>
      <c r="AJ16" s="21">
        <f t="shared" si="3"/>
        <v>4917.9529737206094</v>
      </c>
      <c r="AK16" s="21">
        <f t="shared" si="3"/>
        <v>9905.7562076749418</v>
      </c>
      <c r="AL16" s="21">
        <f t="shared" si="3"/>
        <v>7978.9569990850878</v>
      </c>
      <c r="AM16" s="21">
        <f t="shared" si="3"/>
        <v>5444.6532606652881</v>
      </c>
      <c r="AN16" s="21">
        <f t="shared" si="3"/>
        <v>5823.2321452771375</v>
      </c>
      <c r="AO16" s="21">
        <f t="shared" si="3"/>
        <v>5825.740650801361</v>
      </c>
      <c r="AP16" s="21" t="e">
        <f t="shared" si="3"/>
        <v>#DIV/0!</v>
      </c>
      <c r="AQ16" s="21">
        <f t="shared" si="3"/>
        <v>0</v>
      </c>
      <c r="AR16" s="21">
        <f t="shared" si="3"/>
        <v>7054.8940776248646</v>
      </c>
      <c r="AS16" s="21">
        <f t="shared" si="3"/>
        <v>5373.2824427480919</v>
      </c>
      <c r="AT16" s="21">
        <f t="shared" si="3"/>
        <v>5820.8955223880594</v>
      </c>
      <c r="AU16" s="21">
        <f t="shared" si="3"/>
        <v>6715.5791445519826</v>
      </c>
      <c r="AV16" s="22">
        <f t="shared" si="3"/>
        <v>5025.4582105752834</v>
      </c>
      <c r="AW16" s="23">
        <f t="shared" si="3"/>
        <v>5992.7595469771877</v>
      </c>
      <c r="AX16" s="23" t="e">
        <f t="shared" si="0"/>
        <v>#DIV/0!</v>
      </c>
      <c r="AY16" s="13"/>
    </row>
    <row r="17" spans="1:51" x14ac:dyDescent="0.15">
      <c r="A17" s="50" t="s">
        <v>71</v>
      </c>
      <c r="B17" s="11" t="s">
        <v>72</v>
      </c>
      <c r="C17" s="14">
        <v>0</v>
      </c>
      <c r="D17" s="14">
        <v>0</v>
      </c>
      <c r="E17" s="14">
        <v>0</v>
      </c>
      <c r="F17" s="14">
        <v>56250</v>
      </c>
      <c r="G17" s="14">
        <v>0</v>
      </c>
      <c r="H17" s="14">
        <v>0</v>
      </c>
      <c r="I17" s="14">
        <v>43906</v>
      </c>
      <c r="J17" s="14">
        <v>300174</v>
      </c>
      <c r="K17" s="14">
        <v>44688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58860</v>
      </c>
      <c r="R17" s="14">
        <v>0</v>
      </c>
      <c r="S17" s="14">
        <v>0</v>
      </c>
      <c r="T17" s="14">
        <v>75708</v>
      </c>
      <c r="U17" s="14">
        <v>0</v>
      </c>
      <c r="V17" s="14">
        <v>213500</v>
      </c>
      <c r="W17" s="14">
        <v>51246</v>
      </c>
      <c r="X17" s="14">
        <v>56375</v>
      </c>
      <c r="Y17" s="14">
        <v>56708</v>
      </c>
      <c r="Z17" s="14">
        <v>0</v>
      </c>
      <c r="AA17" s="14">
        <v>0</v>
      </c>
      <c r="AB17" s="14">
        <v>0</v>
      </c>
      <c r="AC17" s="14">
        <v>82900</v>
      </c>
      <c r="AD17" s="14">
        <v>0</v>
      </c>
      <c r="AE17" s="14">
        <v>215200</v>
      </c>
      <c r="AF17" s="14">
        <v>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4">
        <v>48750</v>
      </c>
      <c r="AP17" s="14">
        <v>0</v>
      </c>
      <c r="AQ17" s="14">
        <v>0</v>
      </c>
      <c r="AR17" s="14">
        <v>0</v>
      </c>
      <c r="AS17" s="14">
        <v>271700</v>
      </c>
      <c r="AT17" s="14">
        <v>189600</v>
      </c>
      <c r="AU17" s="14">
        <v>245000</v>
      </c>
      <c r="AV17" s="15">
        <v>349400</v>
      </c>
      <c r="AW17" s="16">
        <f t="shared" ref="AW17:AW28" si="4">SUM(C17:AV17)</f>
        <v>2359965</v>
      </c>
      <c r="AX17" s="16">
        <f t="shared" si="0"/>
        <v>52443.666666666664</v>
      </c>
      <c r="AY17" s="13">
        <f>AW17/AW13</f>
        <v>5.0253975861805647E-2</v>
      </c>
    </row>
    <row r="18" spans="1:51" x14ac:dyDescent="0.15">
      <c r="A18" s="50"/>
      <c r="B18" s="11" t="s">
        <v>73</v>
      </c>
      <c r="C18" s="14">
        <v>4025</v>
      </c>
      <c r="D18" s="14">
        <v>0</v>
      </c>
      <c r="E18" s="14">
        <v>4808</v>
      </c>
      <c r="F18" s="14">
        <v>4025</v>
      </c>
      <c r="G18" s="14">
        <v>4025</v>
      </c>
      <c r="H18" s="14">
        <v>4025</v>
      </c>
      <c r="I18" s="14">
        <v>2575</v>
      </c>
      <c r="J18" s="14">
        <v>4808</v>
      </c>
      <c r="K18" s="14">
        <v>4400</v>
      </c>
      <c r="L18" s="14">
        <v>4825</v>
      </c>
      <c r="M18" s="14">
        <v>4025</v>
      </c>
      <c r="N18" s="14">
        <v>4400</v>
      </c>
      <c r="O18" s="14">
        <v>4025</v>
      </c>
      <c r="P18" s="14">
        <v>5250</v>
      </c>
      <c r="Q18" s="14">
        <v>6950</v>
      </c>
      <c r="R18" s="14">
        <v>4400</v>
      </c>
      <c r="S18" s="14">
        <v>4025</v>
      </c>
      <c r="T18" s="14">
        <v>4825</v>
      </c>
      <c r="U18" s="14">
        <v>4808</v>
      </c>
      <c r="V18" s="14">
        <v>0</v>
      </c>
      <c r="W18" s="14">
        <v>3633</v>
      </c>
      <c r="X18" s="14">
        <v>4825</v>
      </c>
      <c r="Y18" s="14">
        <v>4825</v>
      </c>
      <c r="Z18" s="14">
        <v>4825</v>
      </c>
      <c r="AA18" s="14">
        <v>0</v>
      </c>
      <c r="AB18" s="14">
        <v>0</v>
      </c>
      <c r="AC18" s="14">
        <v>7075</v>
      </c>
      <c r="AD18" s="14">
        <v>3241</v>
      </c>
      <c r="AE18" s="14">
        <v>0</v>
      </c>
      <c r="AF18" s="14">
        <v>4417</v>
      </c>
      <c r="AG18" s="14">
        <v>4025</v>
      </c>
      <c r="AH18" s="14">
        <v>4417</v>
      </c>
      <c r="AI18" s="14">
        <v>4417</v>
      </c>
      <c r="AJ18" s="14">
        <v>4825</v>
      </c>
      <c r="AK18" s="14">
        <v>6950</v>
      </c>
      <c r="AL18" s="14">
        <v>7075</v>
      </c>
      <c r="AM18" s="14">
        <v>4025</v>
      </c>
      <c r="AN18" s="14">
        <v>4825</v>
      </c>
      <c r="AO18" s="14">
        <v>2410</v>
      </c>
      <c r="AP18" s="14">
        <v>0</v>
      </c>
      <c r="AQ18" s="14">
        <v>6000</v>
      </c>
      <c r="AR18" s="14">
        <v>6950</v>
      </c>
      <c r="AS18" s="14">
        <v>0</v>
      </c>
      <c r="AT18" s="14">
        <v>0</v>
      </c>
      <c r="AU18" s="14">
        <v>0</v>
      </c>
      <c r="AV18" s="15">
        <v>0</v>
      </c>
      <c r="AW18" s="16">
        <f t="shared" si="4"/>
        <v>168984</v>
      </c>
      <c r="AX18" s="16">
        <f t="shared" si="0"/>
        <v>3665.7555555555555</v>
      </c>
      <c r="AY18" s="13">
        <f>AW18/AW13</f>
        <v>3.5984083903919618E-3</v>
      </c>
    </row>
    <row r="19" spans="1:51" x14ac:dyDescent="0.15">
      <c r="A19" s="50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 s="14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14">
        <v>0</v>
      </c>
      <c r="AM19" s="14">
        <v>0</v>
      </c>
      <c r="AN19" s="14">
        <v>0</v>
      </c>
      <c r="AO19" s="14">
        <v>0</v>
      </c>
      <c r="AP19" s="14">
        <v>0</v>
      </c>
      <c r="AQ19" s="14">
        <v>0</v>
      </c>
      <c r="AR19" s="14">
        <v>0</v>
      </c>
      <c r="AS19" s="14">
        <v>0</v>
      </c>
      <c r="AT19" s="14">
        <v>0</v>
      </c>
      <c r="AU19" s="14">
        <v>0</v>
      </c>
      <c r="AV19" s="15">
        <v>0</v>
      </c>
      <c r="AW19" s="16">
        <f t="shared" si="4"/>
        <v>0</v>
      </c>
      <c r="AX19" s="16">
        <f t="shared" si="0"/>
        <v>0</v>
      </c>
      <c r="AY19" s="13">
        <f>AW19/AW13</f>
        <v>0</v>
      </c>
    </row>
    <row r="20" spans="1:51" x14ac:dyDescent="0.15">
      <c r="A20" s="50"/>
      <c r="B20" s="11" t="s">
        <v>75</v>
      </c>
      <c r="C20" s="14">
        <v>4950</v>
      </c>
      <c r="D20" s="14">
        <v>0</v>
      </c>
      <c r="E20" s="14">
        <v>4766</v>
      </c>
      <c r="F20" s="14">
        <v>4583</v>
      </c>
      <c r="G20" s="14">
        <v>4583</v>
      </c>
      <c r="H20" s="14">
        <v>4766</v>
      </c>
      <c r="I20" s="14">
        <v>4766</v>
      </c>
      <c r="J20" s="14">
        <v>4583</v>
      </c>
      <c r="K20" s="14">
        <v>4950</v>
      </c>
      <c r="L20" s="14">
        <v>4950</v>
      </c>
      <c r="M20" s="14">
        <v>4766</v>
      </c>
      <c r="N20" s="14">
        <v>4950</v>
      </c>
      <c r="O20" s="14">
        <v>4774</v>
      </c>
      <c r="P20" s="14">
        <v>4950</v>
      </c>
      <c r="Q20" s="14">
        <v>8333</v>
      </c>
      <c r="R20" s="14">
        <v>4950</v>
      </c>
      <c r="S20" s="14">
        <v>4583</v>
      </c>
      <c r="T20" s="14">
        <v>4583</v>
      </c>
      <c r="U20" s="14">
        <v>4766</v>
      </c>
      <c r="V20" s="14">
        <v>5208</v>
      </c>
      <c r="W20" s="14">
        <v>4774</v>
      </c>
      <c r="X20" s="14">
        <v>5208</v>
      </c>
      <c r="Y20" s="14">
        <v>5208</v>
      </c>
      <c r="Z20" s="14">
        <v>4767</v>
      </c>
      <c r="AA20" s="14">
        <v>0</v>
      </c>
      <c r="AB20" s="14">
        <v>0</v>
      </c>
      <c r="AC20" s="14">
        <v>0</v>
      </c>
      <c r="AD20" s="14">
        <v>4550</v>
      </c>
      <c r="AE20" s="14">
        <v>4583</v>
      </c>
      <c r="AF20" s="14">
        <v>4766</v>
      </c>
      <c r="AG20" s="14">
        <v>4583</v>
      </c>
      <c r="AH20" s="14">
        <v>4766</v>
      </c>
      <c r="AI20" s="14">
        <v>4766</v>
      </c>
      <c r="AJ20" s="14">
        <v>4950</v>
      </c>
      <c r="AK20" s="14">
        <v>8333</v>
      </c>
      <c r="AL20" s="14">
        <v>9337</v>
      </c>
      <c r="AM20" s="14">
        <v>4583</v>
      </c>
      <c r="AN20" s="14">
        <v>4950</v>
      </c>
      <c r="AO20" s="14">
        <v>4766</v>
      </c>
      <c r="AP20" s="14">
        <v>0</v>
      </c>
      <c r="AQ20" s="14">
        <v>8666</v>
      </c>
      <c r="AR20" s="14">
        <v>8333</v>
      </c>
      <c r="AS20" s="14">
        <v>4583</v>
      </c>
      <c r="AT20" s="14">
        <v>4583</v>
      </c>
      <c r="AU20" s="14">
        <v>4774</v>
      </c>
      <c r="AV20" s="15">
        <v>0</v>
      </c>
      <c r="AW20" s="16">
        <f t="shared" si="4"/>
        <v>210589</v>
      </c>
      <c r="AX20" s="16">
        <f t="shared" si="0"/>
        <v>4569.7555555555555</v>
      </c>
      <c r="AY20" s="13">
        <f>AW20/AW13</f>
        <v>4.4843607946566111E-3</v>
      </c>
    </row>
    <row r="21" spans="1:51" x14ac:dyDescent="0.15">
      <c r="A21" s="50"/>
      <c r="B21" s="11" t="s">
        <v>76</v>
      </c>
      <c r="C21" s="14">
        <v>43755</v>
      </c>
      <c r="D21" s="14">
        <v>0</v>
      </c>
      <c r="E21" s="14">
        <v>39015</v>
      </c>
      <c r="F21" s="14">
        <v>12575</v>
      </c>
      <c r="G21" s="14">
        <v>24305</v>
      </c>
      <c r="H21" s="14">
        <v>21879</v>
      </c>
      <c r="I21" s="14">
        <v>34940</v>
      </c>
      <c r="J21" s="14">
        <v>19729</v>
      </c>
      <c r="K21" s="14">
        <v>36587</v>
      </c>
      <c r="L21" s="14">
        <v>42195</v>
      </c>
      <c r="M21" s="14">
        <v>39512</v>
      </c>
      <c r="N21" s="14">
        <v>37617</v>
      </c>
      <c r="O21" s="14">
        <v>22768</v>
      </c>
      <c r="P21" s="14">
        <v>33485</v>
      </c>
      <c r="Q21" s="14">
        <v>46653</v>
      </c>
      <c r="R21" s="14">
        <v>48980</v>
      </c>
      <c r="S21" s="14">
        <v>35664</v>
      </c>
      <c r="T21" s="14">
        <v>23249</v>
      </c>
      <c r="U21" s="14">
        <v>24820</v>
      </c>
      <c r="V21" s="14">
        <v>19417</v>
      </c>
      <c r="W21" s="14">
        <v>28937</v>
      </c>
      <c r="X21" s="14">
        <v>22121</v>
      </c>
      <c r="Y21" s="14">
        <v>47267</v>
      </c>
      <c r="Z21" s="14">
        <v>46352</v>
      </c>
      <c r="AA21" s="14">
        <v>0</v>
      </c>
      <c r="AB21" s="14">
        <v>0</v>
      </c>
      <c r="AC21" s="14">
        <v>0</v>
      </c>
      <c r="AD21" s="14">
        <v>49238</v>
      </c>
      <c r="AE21" s="14">
        <v>31013</v>
      </c>
      <c r="AF21" s="14">
        <v>49888</v>
      </c>
      <c r="AG21" s="14">
        <v>27811</v>
      </c>
      <c r="AH21" s="14">
        <v>36771</v>
      </c>
      <c r="AI21" s="14">
        <v>31715</v>
      </c>
      <c r="AJ21" s="14">
        <v>49900</v>
      </c>
      <c r="AK21" s="14">
        <v>45533</v>
      </c>
      <c r="AL21" s="14">
        <v>37506</v>
      </c>
      <c r="AM21" s="14">
        <v>27100</v>
      </c>
      <c r="AN21" s="14">
        <v>35758</v>
      </c>
      <c r="AO21" s="14">
        <v>34656</v>
      </c>
      <c r="AP21" s="14">
        <v>0</v>
      </c>
      <c r="AQ21" s="14">
        <v>15032</v>
      </c>
      <c r="AR21" s="14">
        <v>35621</v>
      </c>
      <c r="AS21" s="14">
        <v>26746</v>
      </c>
      <c r="AT21" s="14">
        <v>31475</v>
      </c>
      <c r="AU21" s="14">
        <v>40944</v>
      </c>
      <c r="AV21" s="15">
        <v>4394</v>
      </c>
      <c r="AW21" s="16">
        <f t="shared" si="4"/>
        <v>1362923</v>
      </c>
      <c r="AX21" s="16">
        <f t="shared" si="0"/>
        <v>29314.844444444443</v>
      </c>
      <c r="AY21" s="13">
        <f>AW21/AW13</f>
        <v>2.9022591243302226E-2</v>
      </c>
    </row>
    <row r="22" spans="1:51" x14ac:dyDescent="0.15">
      <c r="A22" s="50"/>
      <c r="B22" s="24" t="s">
        <v>77</v>
      </c>
      <c r="C22" s="25">
        <f t="shared" ref="C22:AV22" si="5">SUM(C17:C21)</f>
        <v>52730</v>
      </c>
      <c r="D22" s="25">
        <f t="shared" si="5"/>
        <v>0</v>
      </c>
      <c r="E22" s="25">
        <f t="shared" si="5"/>
        <v>48589</v>
      </c>
      <c r="F22" s="25">
        <f t="shared" si="5"/>
        <v>77433</v>
      </c>
      <c r="G22" s="25">
        <f t="shared" si="5"/>
        <v>32913</v>
      </c>
      <c r="H22" s="25">
        <f t="shared" si="5"/>
        <v>30670</v>
      </c>
      <c r="I22" s="25">
        <f t="shared" si="5"/>
        <v>86187</v>
      </c>
      <c r="J22" s="25">
        <f t="shared" si="5"/>
        <v>329294</v>
      </c>
      <c r="K22" s="25">
        <f t="shared" si="5"/>
        <v>90625</v>
      </c>
      <c r="L22" s="25">
        <f t="shared" si="5"/>
        <v>51970</v>
      </c>
      <c r="M22" s="25">
        <f t="shared" si="5"/>
        <v>48303</v>
      </c>
      <c r="N22" s="25">
        <f t="shared" si="5"/>
        <v>46967</v>
      </c>
      <c r="O22" s="25">
        <f t="shared" si="5"/>
        <v>31567</v>
      </c>
      <c r="P22" s="25">
        <f t="shared" si="5"/>
        <v>43685</v>
      </c>
      <c r="Q22" s="25">
        <f t="shared" si="5"/>
        <v>120796</v>
      </c>
      <c r="R22" s="25">
        <f t="shared" si="5"/>
        <v>58330</v>
      </c>
      <c r="S22" s="25">
        <f t="shared" si="5"/>
        <v>44272</v>
      </c>
      <c r="T22" s="25">
        <f t="shared" si="5"/>
        <v>108365</v>
      </c>
      <c r="U22" s="25">
        <f t="shared" si="5"/>
        <v>34394</v>
      </c>
      <c r="V22" s="25">
        <f t="shared" si="5"/>
        <v>238125</v>
      </c>
      <c r="W22" s="25">
        <f t="shared" si="5"/>
        <v>88590</v>
      </c>
      <c r="X22" s="25">
        <f t="shared" si="5"/>
        <v>88529</v>
      </c>
      <c r="Y22" s="25">
        <f t="shared" si="5"/>
        <v>114008</v>
      </c>
      <c r="Z22" s="25">
        <f t="shared" si="5"/>
        <v>55944</v>
      </c>
      <c r="AA22" s="25">
        <f t="shared" si="5"/>
        <v>0</v>
      </c>
      <c r="AB22" s="25">
        <f t="shared" si="5"/>
        <v>0</v>
      </c>
      <c r="AC22" s="25">
        <f t="shared" si="5"/>
        <v>89975</v>
      </c>
      <c r="AD22" s="25">
        <f t="shared" si="5"/>
        <v>57029</v>
      </c>
      <c r="AE22" s="25">
        <f t="shared" si="5"/>
        <v>250796</v>
      </c>
      <c r="AF22" s="25">
        <f t="shared" si="5"/>
        <v>59071</v>
      </c>
      <c r="AG22" s="25">
        <f t="shared" si="5"/>
        <v>36419</v>
      </c>
      <c r="AH22" s="25">
        <f t="shared" si="5"/>
        <v>45954</v>
      </c>
      <c r="AI22" s="25">
        <f t="shared" si="5"/>
        <v>40898</v>
      </c>
      <c r="AJ22" s="25">
        <f t="shared" si="5"/>
        <v>59675</v>
      </c>
      <c r="AK22" s="25">
        <f t="shared" si="5"/>
        <v>60816</v>
      </c>
      <c r="AL22" s="25">
        <f t="shared" si="5"/>
        <v>53918</v>
      </c>
      <c r="AM22" s="25">
        <f t="shared" si="5"/>
        <v>35708</v>
      </c>
      <c r="AN22" s="25">
        <f t="shared" si="5"/>
        <v>45533</v>
      </c>
      <c r="AO22" s="25">
        <f t="shared" si="5"/>
        <v>90582</v>
      </c>
      <c r="AP22" s="25">
        <f t="shared" si="5"/>
        <v>0</v>
      </c>
      <c r="AQ22" s="25">
        <f t="shared" si="5"/>
        <v>29698</v>
      </c>
      <c r="AR22" s="25">
        <f t="shared" si="5"/>
        <v>50904</v>
      </c>
      <c r="AS22" s="25">
        <f t="shared" si="5"/>
        <v>303029</v>
      </c>
      <c r="AT22" s="25">
        <f t="shared" si="5"/>
        <v>225658</v>
      </c>
      <c r="AU22" s="25">
        <f t="shared" si="5"/>
        <v>290718</v>
      </c>
      <c r="AV22" s="26">
        <f t="shared" si="5"/>
        <v>353794</v>
      </c>
      <c r="AW22" s="27">
        <f t="shared" si="4"/>
        <v>4102461</v>
      </c>
      <c r="AX22" s="27">
        <f t="shared" si="0"/>
        <v>89994.022222222222</v>
      </c>
      <c r="AY22" s="28">
        <f>AW22/AW13</f>
        <v>8.735933629015645E-2</v>
      </c>
    </row>
    <row r="23" spans="1:51" x14ac:dyDescent="0.15">
      <c r="A23" s="50" t="s">
        <v>78</v>
      </c>
      <c r="B23" s="11" t="s">
        <v>79</v>
      </c>
      <c r="C23" s="14">
        <v>0</v>
      </c>
      <c r="D23" s="14">
        <v>0</v>
      </c>
      <c r="E23" s="14">
        <v>0</v>
      </c>
      <c r="F23" s="14">
        <v>93452</v>
      </c>
      <c r="G23" s="14">
        <v>0</v>
      </c>
      <c r="H23" s="14">
        <v>33740</v>
      </c>
      <c r="I23" s="14">
        <v>0</v>
      </c>
      <c r="J23" s="14">
        <v>0</v>
      </c>
      <c r="K23" s="14">
        <v>5796</v>
      </c>
      <c r="L23" s="14">
        <v>36400</v>
      </c>
      <c r="M23" s="14">
        <v>32400</v>
      </c>
      <c r="N23" s="14">
        <v>183244</v>
      </c>
      <c r="O23" s="14">
        <v>0</v>
      </c>
      <c r="P23" s="14">
        <v>50595</v>
      </c>
      <c r="Q23" s="14">
        <v>0</v>
      </c>
      <c r="R23" s="14">
        <v>379019</v>
      </c>
      <c r="S23" s="14">
        <v>0</v>
      </c>
      <c r="T23" s="14">
        <v>59567</v>
      </c>
      <c r="U23" s="14">
        <v>0</v>
      </c>
      <c r="V23" s="14">
        <v>34470</v>
      </c>
      <c r="W23" s="14">
        <v>0</v>
      </c>
      <c r="X23" s="14">
        <v>37853</v>
      </c>
      <c r="Y23" s="14">
        <v>24000</v>
      </c>
      <c r="Z23" s="14">
        <v>2392</v>
      </c>
      <c r="AA23" s="14">
        <v>0</v>
      </c>
      <c r="AB23" s="14">
        <v>0</v>
      </c>
      <c r="AC23" s="14">
        <v>0</v>
      </c>
      <c r="AD23" s="14">
        <v>39190</v>
      </c>
      <c r="AE23" s="14">
        <v>15000</v>
      </c>
      <c r="AF23" s="14">
        <v>227701</v>
      </c>
      <c r="AG23" s="14">
        <v>0</v>
      </c>
      <c r="AH23" s="14">
        <v>0</v>
      </c>
      <c r="AI23" s="14">
        <v>281170</v>
      </c>
      <c r="AJ23" s="14">
        <v>0</v>
      </c>
      <c r="AK23" s="14">
        <v>33668</v>
      </c>
      <c r="AL23" s="14">
        <v>0</v>
      </c>
      <c r="AM23" s="14">
        <v>0</v>
      </c>
      <c r="AN23" s="14">
        <v>17820</v>
      </c>
      <c r="AO23" s="14">
        <v>0</v>
      </c>
      <c r="AP23" s="14">
        <v>0</v>
      </c>
      <c r="AQ23" s="14">
        <v>225711</v>
      </c>
      <c r="AR23" s="14">
        <v>3000</v>
      </c>
      <c r="AS23" s="14">
        <v>173381</v>
      </c>
      <c r="AT23" s="14">
        <v>22800</v>
      </c>
      <c r="AU23" s="14">
        <v>3000</v>
      </c>
      <c r="AV23" s="15">
        <v>1000</v>
      </c>
      <c r="AW23" s="16">
        <f t="shared" si="4"/>
        <v>2016369</v>
      </c>
      <c r="AX23" s="16">
        <f t="shared" si="0"/>
        <v>44808.2</v>
      </c>
      <c r="AY23" s="13">
        <f>AW23/AW13</f>
        <v>4.2937314347667524E-2</v>
      </c>
    </row>
    <row r="24" spans="1:51" x14ac:dyDescent="0.15">
      <c r="A24" s="50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 s="14">
        <v>0</v>
      </c>
      <c r="AG24" s="14">
        <v>0</v>
      </c>
      <c r="AH24" s="14">
        <v>0</v>
      </c>
      <c r="AI24" s="14">
        <v>0</v>
      </c>
      <c r="AJ24" s="14">
        <v>0</v>
      </c>
      <c r="AK24" s="14">
        <v>0</v>
      </c>
      <c r="AL24" s="14">
        <v>0</v>
      </c>
      <c r="AM24" s="14">
        <v>0</v>
      </c>
      <c r="AN24" s="14">
        <v>0</v>
      </c>
      <c r="AO24" s="14">
        <v>0</v>
      </c>
      <c r="AP24" s="14">
        <v>0</v>
      </c>
      <c r="AQ24" s="14">
        <v>0</v>
      </c>
      <c r="AR24" s="14">
        <v>0</v>
      </c>
      <c r="AS24" s="14">
        <v>0</v>
      </c>
      <c r="AT24" s="14">
        <v>0</v>
      </c>
      <c r="AU24" s="14">
        <v>0</v>
      </c>
      <c r="AV24" s="15">
        <v>0</v>
      </c>
      <c r="AW24" s="16">
        <f t="shared" si="4"/>
        <v>0</v>
      </c>
      <c r="AX24" s="16">
        <f t="shared" si="0"/>
        <v>0</v>
      </c>
      <c r="AY24" s="13">
        <f>AW24/AW13</f>
        <v>0</v>
      </c>
    </row>
    <row r="25" spans="1:51" x14ac:dyDescent="0.15">
      <c r="A25" s="50"/>
      <c r="B25" s="11" t="s">
        <v>81</v>
      </c>
      <c r="C25" s="14">
        <f t="shared" ref="C25:AV25" si="6">30000*C9/70000*C11</f>
        <v>26571.857142857141</v>
      </c>
      <c r="D25" s="14">
        <f t="shared" si="6"/>
        <v>0</v>
      </c>
      <c r="E25" s="14">
        <f t="shared" si="6"/>
        <v>26017.714285714286</v>
      </c>
      <c r="F25" s="14">
        <f t="shared" si="6"/>
        <v>23424.857142857141</v>
      </c>
      <c r="G25" s="14">
        <f t="shared" si="6"/>
        <v>20922.857142857141</v>
      </c>
      <c r="H25" s="14">
        <f t="shared" si="6"/>
        <v>26924.228571428568</v>
      </c>
      <c r="I25" s="14">
        <f t="shared" si="6"/>
        <v>9490.9714285714272</v>
      </c>
      <c r="J25" s="14">
        <f t="shared" si="6"/>
        <v>0</v>
      </c>
      <c r="K25" s="14">
        <f t="shared" si="6"/>
        <v>2064</v>
      </c>
      <c r="L25" s="14">
        <f t="shared" si="6"/>
        <v>11797.714285714284</v>
      </c>
      <c r="M25" s="14">
        <f t="shared" si="6"/>
        <v>24299.571428571431</v>
      </c>
      <c r="N25" s="14">
        <f t="shared" si="6"/>
        <v>21893.571428571428</v>
      </c>
      <c r="O25" s="14">
        <f t="shared" si="6"/>
        <v>25674.428571428569</v>
      </c>
      <c r="P25" s="14">
        <f t="shared" si="6"/>
        <v>25494.428571428569</v>
      </c>
      <c r="Q25" s="14">
        <f t="shared" si="6"/>
        <v>31701</v>
      </c>
      <c r="R25" s="14">
        <f t="shared" si="6"/>
        <v>21933.428571428572</v>
      </c>
      <c r="S25" s="14">
        <f t="shared" si="6"/>
        <v>24360</v>
      </c>
      <c r="T25" s="14">
        <f t="shared" si="6"/>
        <v>22227.857142857141</v>
      </c>
      <c r="U25" s="14">
        <f t="shared" si="6"/>
        <v>32606.571428571428</v>
      </c>
      <c r="V25" s="14">
        <f t="shared" si="6"/>
        <v>24431.142857142859</v>
      </c>
      <c r="W25" s="14">
        <f t="shared" si="6"/>
        <v>13539.428571428571</v>
      </c>
      <c r="X25" s="14">
        <f t="shared" si="6"/>
        <v>31557</v>
      </c>
      <c r="Y25" s="14">
        <f t="shared" si="6"/>
        <v>24525</v>
      </c>
      <c r="Z25" s="14">
        <f t="shared" si="6"/>
        <v>25160.571428571428</v>
      </c>
      <c r="AA25" s="14">
        <f t="shared" si="6"/>
        <v>0</v>
      </c>
      <c r="AB25" s="14">
        <f t="shared" si="6"/>
        <v>0</v>
      </c>
      <c r="AC25" s="14">
        <f t="shared" si="6"/>
        <v>0</v>
      </c>
      <c r="AD25" s="14">
        <f t="shared" si="6"/>
        <v>26852.571428571428</v>
      </c>
      <c r="AE25" s="14">
        <f t="shared" si="6"/>
        <v>24768</v>
      </c>
      <c r="AF25" s="14">
        <f t="shared" si="6"/>
        <v>26365.714285714283</v>
      </c>
      <c r="AG25" s="14">
        <f t="shared" si="6"/>
        <v>40680</v>
      </c>
      <c r="AH25" s="14">
        <f t="shared" si="6"/>
        <v>30330</v>
      </c>
      <c r="AI25" s="14">
        <f t="shared" si="6"/>
        <v>20035.714285714286</v>
      </c>
      <c r="AJ25" s="14">
        <f t="shared" si="6"/>
        <v>21145.714285714286</v>
      </c>
      <c r="AK25" s="14">
        <f t="shared" si="6"/>
        <v>27658.800000000003</v>
      </c>
      <c r="AL25" s="14">
        <f t="shared" si="6"/>
        <v>17976</v>
      </c>
      <c r="AM25" s="14">
        <f t="shared" si="6"/>
        <v>13925.82857142857</v>
      </c>
      <c r="AN25" s="14">
        <f t="shared" si="6"/>
        <v>22000.799999999999</v>
      </c>
      <c r="AO25" s="14">
        <f t="shared" si="6"/>
        <v>15114.857142857141</v>
      </c>
      <c r="AP25" s="14">
        <f t="shared" si="6"/>
        <v>0</v>
      </c>
      <c r="AQ25" s="14">
        <f t="shared" si="6"/>
        <v>223.20000000000002</v>
      </c>
      <c r="AR25" s="14">
        <f t="shared" si="6"/>
        <v>26486.228571428572</v>
      </c>
      <c r="AS25" s="14">
        <f t="shared" si="6"/>
        <v>12383.657142857142</v>
      </c>
      <c r="AT25" s="14">
        <f t="shared" si="6"/>
        <v>14980.799999999997</v>
      </c>
      <c r="AU25" s="14">
        <f t="shared" si="6"/>
        <v>13113.599999999999</v>
      </c>
      <c r="AV25" s="15">
        <f t="shared" si="6"/>
        <v>10795.542857142858</v>
      </c>
      <c r="AW25" s="16">
        <f t="shared" si="4"/>
        <v>861455.22857142857</v>
      </c>
      <c r="AX25" s="16">
        <f t="shared" si="0"/>
        <v>18552.963809523812</v>
      </c>
      <c r="AY25" s="13">
        <f>AW25/AW13</f>
        <v>1.8344149282999891E-2</v>
      </c>
    </row>
    <row r="26" spans="1:51" x14ac:dyDescent="0.15">
      <c r="A26" s="50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 s="14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0</v>
      </c>
      <c r="AP26" s="14">
        <v>0</v>
      </c>
      <c r="AQ26" s="14">
        <v>0</v>
      </c>
      <c r="AR26" s="14">
        <v>0</v>
      </c>
      <c r="AS26" s="14">
        <v>0</v>
      </c>
      <c r="AT26" s="14">
        <v>0</v>
      </c>
      <c r="AU26" s="14">
        <v>0</v>
      </c>
      <c r="AV26" s="15">
        <v>0</v>
      </c>
      <c r="AW26" s="16">
        <f t="shared" si="4"/>
        <v>0</v>
      </c>
      <c r="AX26" s="16">
        <f t="shared" si="0"/>
        <v>0</v>
      </c>
      <c r="AY26" s="13">
        <f>AW26/AW13</f>
        <v>0</v>
      </c>
    </row>
    <row r="27" spans="1:51" x14ac:dyDescent="0.15">
      <c r="A27" s="50"/>
      <c r="B27" s="24" t="s">
        <v>82</v>
      </c>
      <c r="C27" s="25">
        <f t="shared" ref="C27:AV27" si="7">SUM(C23:C26)</f>
        <v>26571.857142857141</v>
      </c>
      <c r="D27" s="25">
        <f t="shared" si="7"/>
        <v>0</v>
      </c>
      <c r="E27" s="25">
        <f t="shared" si="7"/>
        <v>26017.714285714286</v>
      </c>
      <c r="F27" s="25">
        <f t="shared" si="7"/>
        <v>116876.85714285714</v>
      </c>
      <c r="G27" s="25">
        <f t="shared" si="7"/>
        <v>20922.857142857141</v>
      </c>
      <c r="H27" s="25">
        <f t="shared" si="7"/>
        <v>60664.228571428568</v>
      </c>
      <c r="I27" s="25">
        <f t="shared" si="7"/>
        <v>9490.9714285714272</v>
      </c>
      <c r="J27" s="25">
        <f t="shared" si="7"/>
        <v>0</v>
      </c>
      <c r="K27" s="25">
        <f t="shared" si="7"/>
        <v>7860</v>
      </c>
      <c r="L27" s="25">
        <f t="shared" si="7"/>
        <v>48197.714285714283</v>
      </c>
      <c r="M27" s="25">
        <f t="shared" si="7"/>
        <v>56699.571428571435</v>
      </c>
      <c r="N27" s="25">
        <f t="shared" si="7"/>
        <v>205137.57142857142</v>
      </c>
      <c r="O27" s="25">
        <f t="shared" si="7"/>
        <v>25674.428571428569</v>
      </c>
      <c r="P27" s="25">
        <f t="shared" si="7"/>
        <v>76089.428571428565</v>
      </c>
      <c r="Q27" s="25">
        <f t="shared" si="7"/>
        <v>31701</v>
      </c>
      <c r="R27" s="25">
        <f t="shared" si="7"/>
        <v>400952.42857142858</v>
      </c>
      <c r="S27" s="25">
        <f t="shared" si="7"/>
        <v>24360</v>
      </c>
      <c r="T27" s="25">
        <f t="shared" si="7"/>
        <v>81794.857142857145</v>
      </c>
      <c r="U27" s="25">
        <f t="shared" si="7"/>
        <v>32606.571428571428</v>
      </c>
      <c r="V27" s="25">
        <f t="shared" si="7"/>
        <v>58901.142857142855</v>
      </c>
      <c r="W27" s="25">
        <f t="shared" si="7"/>
        <v>13539.428571428571</v>
      </c>
      <c r="X27" s="25">
        <f t="shared" si="7"/>
        <v>69410</v>
      </c>
      <c r="Y27" s="25">
        <f t="shared" si="7"/>
        <v>48525</v>
      </c>
      <c r="Z27" s="25">
        <f t="shared" si="7"/>
        <v>27552.571428571428</v>
      </c>
      <c r="AA27" s="25">
        <f t="shared" si="7"/>
        <v>0</v>
      </c>
      <c r="AB27" s="25">
        <f t="shared" si="7"/>
        <v>0</v>
      </c>
      <c r="AC27" s="25">
        <f t="shared" si="7"/>
        <v>0</v>
      </c>
      <c r="AD27" s="25">
        <f t="shared" si="7"/>
        <v>66042.57142857142</v>
      </c>
      <c r="AE27" s="25">
        <f t="shared" si="7"/>
        <v>39768</v>
      </c>
      <c r="AF27" s="25">
        <f t="shared" si="7"/>
        <v>254066.71428571429</v>
      </c>
      <c r="AG27" s="25">
        <f t="shared" si="7"/>
        <v>40680</v>
      </c>
      <c r="AH27" s="25">
        <f t="shared" si="7"/>
        <v>30330</v>
      </c>
      <c r="AI27" s="25">
        <f t="shared" si="7"/>
        <v>301205.71428571426</v>
      </c>
      <c r="AJ27" s="25">
        <f t="shared" si="7"/>
        <v>21145.714285714286</v>
      </c>
      <c r="AK27" s="25">
        <f t="shared" si="7"/>
        <v>61326.8</v>
      </c>
      <c r="AL27" s="25">
        <f t="shared" si="7"/>
        <v>17976</v>
      </c>
      <c r="AM27" s="25">
        <f t="shared" si="7"/>
        <v>13925.82857142857</v>
      </c>
      <c r="AN27" s="25">
        <f t="shared" si="7"/>
        <v>39820.800000000003</v>
      </c>
      <c r="AO27" s="25">
        <f t="shared" si="7"/>
        <v>15114.857142857141</v>
      </c>
      <c r="AP27" s="25">
        <f t="shared" si="7"/>
        <v>0</v>
      </c>
      <c r="AQ27" s="25">
        <f t="shared" si="7"/>
        <v>225934.2</v>
      </c>
      <c r="AR27" s="25">
        <f t="shared" si="7"/>
        <v>29486.228571428572</v>
      </c>
      <c r="AS27" s="25">
        <f t="shared" si="7"/>
        <v>185764.65714285715</v>
      </c>
      <c r="AT27" s="25">
        <f t="shared" si="7"/>
        <v>37780.799999999996</v>
      </c>
      <c r="AU27" s="25">
        <f t="shared" si="7"/>
        <v>16113.599999999999</v>
      </c>
      <c r="AV27" s="26">
        <f t="shared" si="7"/>
        <v>11795.542857142858</v>
      </c>
      <c r="AW27" s="27">
        <f t="shared" si="4"/>
        <v>2877824.2285714275</v>
      </c>
      <c r="AX27" s="27">
        <f t="shared" si="0"/>
        <v>63361.163809523787</v>
      </c>
      <c r="AY27" s="28">
        <f>AW27/AW13</f>
        <v>6.1281463630667395E-2</v>
      </c>
    </row>
    <row r="28" spans="1:51" x14ac:dyDescent="0.15">
      <c r="A28" s="50" t="s">
        <v>83</v>
      </c>
      <c r="B28" s="8" t="s">
        <v>84</v>
      </c>
      <c r="C28" s="29">
        <v>1479</v>
      </c>
      <c r="D28" s="29">
        <v>0</v>
      </c>
      <c r="E28" s="29">
        <v>1505</v>
      </c>
      <c r="F28" s="29">
        <v>1547</v>
      </c>
      <c r="G28" s="29">
        <v>1435</v>
      </c>
      <c r="H28" s="29">
        <v>1753</v>
      </c>
      <c r="I28" s="29">
        <v>579</v>
      </c>
      <c r="J28" s="29">
        <v>0</v>
      </c>
      <c r="K28" s="29">
        <v>140</v>
      </c>
      <c r="L28" s="29">
        <v>1001</v>
      </c>
      <c r="M28" s="29">
        <v>1516</v>
      </c>
      <c r="N28" s="29">
        <v>1256</v>
      </c>
      <c r="O28" s="29">
        <v>1400</v>
      </c>
      <c r="P28" s="29">
        <v>1485</v>
      </c>
      <c r="Q28" s="29">
        <v>2003</v>
      </c>
      <c r="R28" s="29">
        <v>1300</v>
      </c>
      <c r="S28" s="29">
        <v>1573</v>
      </c>
      <c r="T28" s="29">
        <v>1319</v>
      </c>
      <c r="U28" s="29">
        <v>1706</v>
      </c>
      <c r="V28" s="29">
        <v>1426</v>
      </c>
      <c r="W28" s="29">
        <v>840</v>
      </c>
      <c r="X28" s="29">
        <v>1885</v>
      </c>
      <c r="Y28" s="29">
        <v>1393</v>
      </c>
      <c r="Z28" s="29">
        <v>1392</v>
      </c>
      <c r="AA28" s="29">
        <v>0</v>
      </c>
      <c r="AB28" s="29">
        <v>0</v>
      </c>
      <c r="AC28" s="29">
        <v>0</v>
      </c>
      <c r="AD28" s="29">
        <v>1850</v>
      </c>
      <c r="AE28" s="29">
        <v>1584</v>
      </c>
      <c r="AF28" s="29">
        <v>1830</v>
      </c>
      <c r="AG28" s="29">
        <v>2255</v>
      </c>
      <c r="AH28" s="29">
        <v>1663</v>
      </c>
      <c r="AI28" s="29">
        <v>1200</v>
      </c>
      <c r="AJ28" s="29">
        <v>1039</v>
      </c>
      <c r="AK28" s="29">
        <v>1602</v>
      </c>
      <c r="AL28" s="29">
        <v>1182</v>
      </c>
      <c r="AM28" s="29">
        <v>989</v>
      </c>
      <c r="AN28" s="29">
        <v>1552</v>
      </c>
      <c r="AO28" s="29">
        <v>945</v>
      </c>
      <c r="AP28" s="29">
        <v>0</v>
      </c>
      <c r="AQ28" s="29">
        <v>0</v>
      </c>
      <c r="AR28" s="29">
        <v>1248</v>
      </c>
      <c r="AS28" s="29">
        <v>870</v>
      </c>
      <c r="AT28" s="29">
        <v>1122</v>
      </c>
      <c r="AU28" s="29">
        <v>1030</v>
      </c>
      <c r="AV28" s="30">
        <v>1021</v>
      </c>
      <c r="AW28" s="31">
        <f t="shared" si="4"/>
        <v>52915</v>
      </c>
      <c r="AX28" s="31">
        <f t="shared" si="0"/>
        <v>1143.0222222222221</v>
      </c>
      <c r="AY28" s="10">
        <f>AW28/AW13</f>
        <v>1.1267917671352948E-3</v>
      </c>
    </row>
    <row r="29" spans="1:51" x14ac:dyDescent="0.15">
      <c r="A29" s="50"/>
      <c r="B29" s="32" t="s">
        <v>85</v>
      </c>
      <c r="C29" s="33">
        <f t="shared" ref="C29:AH29" si="8">SUM(C11/C28)</f>
        <v>4.1920892494929003</v>
      </c>
      <c r="D29" s="33" t="e">
        <f t="shared" si="8"/>
        <v>#DIV/0!</v>
      </c>
      <c r="E29" s="33">
        <f t="shared" si="8"/>
        <v>4.0337541528239207</v>
      </c>
      <c r="F29" s="33">
        <f t="shared" si="8"/>
        <v>3.5331609566903688</v>
      </c>
      <c r="G29" s="33">
        <f t="shared" si="8"/>
        <v>4.2526132404181185</v>
      </c>
      <c r="H29" s="33">
        <f t="shared" si="8"/>
        <v>4.47969195664575</v>
      </c>
      <c r="I29" s="33">
        <f t="shared" si="8"/>
        <v>4.7810017271157168</v>
      </c>
      <c r="J29" s="33" t="e">
        <f t="shared" si="8"/>
        <v>#DIV/0!</v>
      </c>
      <c r="K29" s="33">
        <f t="shared" si="8"/>
        <v>4.3</v>
      </c>
      <c r="L29" s="33">
        <f t="shared" si="8"/>
        <v>3.4375624375624376</v>
      </c>
      <c r="M29" s="33">
        <f t="shared" si="8"/>
        <v>3.7400395778364119</v>
      </c>
      <c r="N29" s="33">
        <f t="shared" si="8"/>
        <v>4.0672770700636942</v>
      </c>
      <c r="O29" s="33">
        <f t="shared" si="8"/>
        <v>4.2790714285714282</v>
      </c>
      <c r="P29" s="33">
        <f t="shared" si="8"/>
        <v>4.0058585858585856</v>
      </c>
      <c r="Q29" s="33">
        <f t="shared" si="8"/>
        <v>2.6377933100349478</v>
      </c>
      <c r="R29" s="33">
        <f t="shared" si="8"/>
        <v>3.9367692307692308</v>
      </c>
      <c r="S29" s="33">
        <f t="shared" si="8"/>
        <v>3.6134774316592497</v>
      </c>
      <c r="T29" s="33">
        <f t="shared" si="8"/>
        <v>3.9321455648218349</v>
      </c>
      <c r="U29" s="33">
        <f t="shared" si="8"/>
        <v>4.4596717467760847</v>
      </c>
      <c r="V29" s="33">
        <f t="shared" si="8"/>
        <v>3.9976157082748949</v>
      </c>
      <c r="W29" s="33">
        <f t="shared" si="8"/>
        <v>3.7609523809523808</v>
      </c>
      <c r="X29" s="33">
        <f t="shared" si="8"/>
        <v>3.9062599469496022</v>
      </c>
      <c r="Y29" s="33">
        <f t="shared" si="8"/>
        <v>4.108040201005025</v>
      </c>
      <c r="Z29" s="33">
        <f t="shared" si="8"/>
        <v>4.2175287356321842</v>
      </c>
      <c r="AA29" s="33" t="e">
        <f t="shared" si="8"/>
        <v>#DIV/0!</v>
      </c>
      <c r="AB29" s="33" t="e">
        <f t="shared" si="8"/>
        <v>#DIV/0!</v>
      </c>
      <c r="AC29" s="33" t="e">
        <f t="shared" si="8"/>
        <v>#DIV/0!</v>
      </c>
      <c r="AD29" s="33">
        <f t="shared" si="8"/>
        <v>4.2335135135135138</v>
      </c>
      <c r="AE29" s="33">
        <f t="shared" si="8"/>
        <v>4.5606060606060606</v>
      </c>
      <c r="AF29" s="33">
        <f t="shared" si="8"/>
        <v>4.2021857923497263</v>
      </c>
      <c r="AG29" s="33">
        <f t="shared" si="8"/>
        <v>4.209312638580931</v>
      </c>
      <c r="AH29" s="33">
        <f t="shared" si="8"/>
        <v>4.2555622369212269</v>
      </c>
      <c r="AI29" s="33">
        <f t="shared" ref="AI29:AW29" si="9">SUM(AI11/AI28)</f>
        <v>3.8958333333333335</v>
      </c>
      <c r="AJ29" s="33">
        <f t="shared" si="9"/>
        <v>4.7487969201154954</v>
      </c>
      <c r="AK29" s="33">
        <f t="shared" si="9"/>
        <v>2.8775280898876407</v>
      </c>
      <c r="AL29" s="33">
        <f t="shared" si="9"/>
        <v>2.5346869712351947</v>
      </c>
      <c r="AM29" s="33">
        <f t="shared" si="9"/>
        <v>4.1068756319514659</v>
      </c>
      <c r="AN29" s="33">
        <f t="shared" si="9"/>
        <v>4.1346005154639176</v>
      </c>
      <c r="AO29" s="33">
        <f t="shared" si="9"/>
        <v>4.6650793650793654</v>
      </c>
      <c r="AP29" s="33" t="e">
        <f t="shared" si="9"/>
        <v>#DIV/0!</v>
      </c>
      <c r="AQ29" s="33" t="e">
        <f t="shared" si="9"/>
        <v>#DIV/0!</v>
      </c>
      <c r="AR29" s="33">
        <f t="shared" si="9"/>
        <v>2.751121794871795</v>
      </c>
      <c r="AS29" s="33">
        <f t="shared" si="9"/>
        <v>4.1516091954022993</v>
      </c>
      <c r="AT29" s="33">
        <f t="shared" si="9"/>
        <v>3.8942959001782529</v>
      </c>
      <c r="AU29" s="33">
        <f t="shared" si="9"/>
        <v>3.7133980582524271</v>
      </c>
      <c r="AV29" s="34">
        <f t="shared" si="9"/>
        <v>3.0839373163565136</v>
      </c>
      <c r="AW29" s="35">
        <f t="shared" si="9"/>
        <v>3.9262931115940658</v>
      </c>
      <c r="AX29" s="35" t="e">
        <f t="shared" si="0"/>
        <v>#DIV/0!</v>
      </c>
      <c r="AY29" s="32">
        <f>AW29/AW13</f>
        <v>8.3607951497764574E-8</v>
      </c>
    </row>
    <row r="30" spans="1:51" x14ac:dyDescent="0.15">
      <c r="A30" s="50"/>
      <c r="B30" s="11" t="s">
        <v>86</v>
      </c>
      <c r="C30" s="14">
        <v>177924</v>
      </c>
      <c r="D30" s="14">
        <v>0</v>
      </c>
      <c r="E30" s="14">
        <v>181052</v>
      </c>
      <c r="F30" s="14">
        <v>186104</v>
      </c>
      <c r="G30" s="14">
        <v>172631</v>
      </c>
      <c r="H30" s="14">
        <v>210886</v>
      </c>
      <c r="I30" s="14">
        <v>69654</v>
      </c>
      <c r="J30" s="14">
        <v>0</v>
      </c>
      <c r="K30" s="14">
        <v>15998</v>
      </c>
      <c r="L30" s="14">
        <v>114384</v>
      </c>
      <c r="M30" s="14">
        <v>173233</v>
      </c>
      <c r="N30" s="14">
        <v>143523</v>
      </c>
      <c r="O30" s="14">
        <v>159978</v>
      </c>
      <c r="P30" s="14">
        <v>169691</v>
      </c>
      <c r="Q30" s="14">
        <v>228883</v>
      </c>
      <c r="R30" s="14">
        <v>148551</v>
      </c>
      <c r="S30" s="14">
        <v>179747</v>
      </c>
      <c r="T30" s="14">
        <v>150722</v>
      </c>
      <c r="U30" s="14">
        <v>194945</v>
      </c>
      <c r="V30" s="14">
        <v>162949</v>
      </c>
      <c r="W30" s="14">
        <v>95987</v>
      </c>
      <c r="X30" s="14">
        <v>215399</v>
      </c>
      <c r="Y30" s="14">
        <v>159178</v>
      </c>
      <c r="Z30" s="14">
        <v>159064</v>
      </c>
      <c r="AA30" s="14">
        <v>0</v>
      </c>
      <c r="AB30" s="14">
        <v>0</v>
      </c>
      <c r="AC30" s="14">
        <v>0</v>
      </c>
      <c r="AD30" s="14">
        <v>211400</v>
      </c>
      <c r="AE30" s="14">
        <v>181004</v>
      </c>
      <c r="AF30" s="14">
        <v>209114</v>
      </c>
      <c r="AG30" s="14">
        <v>257679</v>
      </c>
      <c r="AH30" s="14">
        <v>190031</v>
      </c>
      <c r="AI30" s="14">
        <v>137124</v>
      </c>
      <c r="AJ30" s="14">
        <v>118727</v>
      </c>
      <c r="AK30" s="14">
        <v>192718</v>
      </c>
      <c r="AL30" s="14">
        <v>142194</v>
      </c>
      <c r="AM30" s="14">
        <v>118976</v>
      </c>
      <c r="AN30" s="14">
        <v>187122</v>
      </c>
      <c r="AO30" s="14">
        <v>113682</v>
      </c>
      <c r="AP30" s="14">
        <v>0</v>
      </c>
      <c r="AQ30" s="14">
        <v>0</v>
      </c>
      <c r="AR30" s="14">
        <v>150083</v>
      </c>
      <c r="AS30" s="14">
        <v>104594</v>
      </c>
      <c r="AT30" s="14">
        <v>134924</v>
      </c>
      <c r="AU30" s="14">
        <v>123812</v>
      </c>
      <c r="AV30" s="15">
        <v>122955</v>
      </c>
      <c r="AW30" s="16">
        <f t="shared" ref="AW30:AW43" si="10">SUM(C30:AV30)</f>
        <v>6166622</v>
      </c>
      <c r="AX30" s="16">
        <f t="shared" si="0"/>
        <v>133082.17777777778</v>
      </c>
      <c r="AY30" s="13">
        <f>AW30/AW13</f>
        <v>0.13131435133015942</v>
      </c>
    </row>
    <row r="31" spans="1:51" x14ac:dyDescent="0.15">
      <c r="A31" s="50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 s="14">
        <v>0</v>
      </c>
      <c r="AG31" s="14">
        <v>0</v>
      </c>
      <c r="AH31" s="14">
        <v>0</v>
      </c>
      <c r="AI31" s="14">
        <v>9585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4">
        <v>0</v>
      </c>
      <c r="AR31" s="14">
        <v>0</v>
      </c>
      <c r="AS31" s="14">
        <v>0</v>
      </c>
      <c r="AT31" s="14">
        <v>0</v>
      </c>
      <c r="AU31" s="14">
        <v>0</v>
      </c>
      <c r="AV31" s="15">
        <v>0</v>
      </c>
      <c r="AW31" s="16">
        <f t="shared" si="10"/>
        <v>9585</v>
      </c>
      <c r="AX31" s="16">
        <f t="shared" si="0"/>
        <v>213</v>
      </c>
      <c r="AY31" s="13">
        <f>AW31/AW13</f>
        <v>2.0410656879886233E-4</v>
      </c>
    </row>
    <row r="32" spans="1:51" x14ac:dyDescent="0.15">
      <c r="A32" s="50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 s="14">
        <v>0</v>
      </c>
      <c r="AG32" s="14">
        <v>0</v>
      </c>
      <c r="AH32" s="14">
        <v>0</v>
      </c>
      <c r="AI32" s="14">
        <v>0</v>
      </c>
      <c r="AJ32" s="14">
        <v>0</v>
      </c>
      <c r="AK32" s="14">
        <v>4608</v>
      </c>
      <c r="AL32" s="14">
        <v>6873</v>
      </c>
      <c r="AM32" s="14">
        <v>2888</v>
      </c>
      <c r="AN32" s="14">
        <v>6185</v>
      </c>
      <c r="AO32" s="14">
        <v>4068</v>
      </c>
      <c r="AP32" s="14">
        <v>0</v>
      </c>
      <c r="AQ32" s="14">
        <v>0</v>
      </c>
      <c r="AR32" s="14">
        <v>0</v>
      </c>
      <c r="AS32" s="14">
        <v>0</v>
      </c>
      <c r="AT32" s="14">
        <v>0</v>
      </c>
      <c r="AU32" s="14">
        <v>0</v>
      </c>
      <c r="AV32" s="15">
        <v>0</v>
      </c>
      <c r="AW32" s="16">
        <f t="shared" si="10"/>
        <v>24622</v>
      </c>
      <c r="AX32" s="16">
        <f t="shared" si="0"/>
        <v>547.15555555555557</v>
      </c>
      <c r="AY32" s="13">
        <f>AW32/AW13</f>
        <v>5.2431006123793307E-4</v>
      </c>
    </row>
    <row r="33" spans="1:51" x14ac:dyDescent="0.15">
      <c r="A33" s="50"/>
      <c r="B33" s="24" t="s">
        <v>89</v>
      </c>
      <c r="C33" s="25">
        <f>SUM(C30:C32)</f>
        <v>177924</v>
      </c>
      <c r="D33" s="25">
        <f t="shared" ref="D33:AV33" si="11">SUM(D30:D32)</f>
        <v>0</v>
      </c>
      <c r="E33" s="25">
        <f t="shared" si="11"/>
        <v>181052</v>
      </c>
      <c r="F33" s="25">
        <f t="shared" si="11"/>
        <v>186104</v>
      </c>
      <c r="G33" s="25">
        <f t="shared" si="11"/>
        <v>172631</v>
      </c>
      <c r="H33" s="25">
        <f t="shared" si="11"/>
        <v>210886</v>
      </c>
      <c r="I33" s="25">
        <f t="shared" si="11"/>
        <v>69654</v>
      </c>
      <c r="J33" s="25">
        <f t="shared" si="11"/>
        <v>0</v>
      </c>
      <c r="K33" s="25">
        <f t="shared" si="11"/>
        <v>15998</v>
      </c>
      <c r="L33" s="25">
        <f t="shared" si="11"/>
        <v>114384</v>
      </c>
      <c r="M33" s="25">
        <f t="shared" si="11"/>
        <v>173233</v>
      </c>
      <c r="N33" s="25">
        <f t="shared" si="11"/>
        <v>143523</v>
      </c>
      <c r="O33" s="25">
        <f t="shared" si="11"/>
        <v>159978</v>
      </c>
      <c r="P33" s="25">
        <f t="shared" si="11"/>
        <v>169691</v>
      </c>
      <c r="Q33" s="25">
        <f t="shared" si="11"/>
        <v>228883</v>
      </c>
      <c r="R33" s="25">
        <f t="shared" si="11"/>
        <v>148551</v>
      </c>
      <c r="S33" s="25">
        <f t="shared" si="11"/>
        <v>179747</v>
      </c>
      <c r="T33" s="25">
        <f t="shared" si="11"/>
        <v>150722</v>
      </c>
      <c r="U33" s="25">
        <f t="shared" si="11"/>
        <v>194945</v>
      </c>
      <c r="V33" s="25">
        <f t="shared" si="11"/>
        <v>162949</v>
      </c>
      <c r="W33" s="25">
        <f t="shared" si="11"/>
        <v>95987</v>
      </c>
      <c r="X33" s="25">
        <f t="shared" si="11"/>
        <v>215399</v>
      </c>
      <c r="Y33" s="25">
        <f t="shared" si="11"/>
        <v>159178</v>
      </c>
      <c r="Z33" s="25">
        <f t="shared" si="11"/>
        <v>159064</v>
      </c>
      <c r="AA33" s="25">
        <f t="shared" si="11"/>
        <v>0</v>
      </c>
      <c r="AB33" s="25">
        <f t="shared" si="11"/>
        <v>0</v>
      </c>
      <c r="AC33" s="25">
        <f t="shared" si="11"/>
        <v>0</v>
      </c>
      <c r="AD33" s="25">
        <f t="shared" si="11"/>
        <v>211400</v>
      </c>
      <c r="AE33" s="25">
        <f t="shared" si="11"/>
        <v>181004</v>
      </c>
      <c r="AF33" s="25">
        <f t="shared" si="11"/>
        <v>209114</v>
      </c>
      <c r="AG33" s="25">
        <f t="shared" si="11"/>
        <v>257679</v>
      </c>
      <c r="AH33" s="25">
        <f t="shared" si="11"/>
        <v>190031</v>
      </c>
      <c r="AI33" s="25">
        <f t="shared" si="11"/>
        <v>146709</v>
      </c>
      <c r="AJ33" s="25">
        <f t="shared" si="11"/>
        <v>118727</v>
      </c>
      <c r="AK33" s="25">
        <f t="shared" si="11"/>
        <v>197326</v>
      </c>
      <c r="AL33" s="25">
        <f t="shared" si="11"/>
        <v>149067</v>
      </c>
      <c r="AM33" s="25">
        <f t="shared" si="11"/>
        <v>121864</v>
      </c>
      <c r="AN33" s="25">
        <f t="shared" si="11"/>
        <v>193307</v>
      </c>
      <c r="AO33" s="25">
        <f t="shared" si="11"/>
        <v>117750</v>
      </c>
      <c r="AP33" s="25">
        <f t="shared" si="11"/>
        <v>0</v>
      </c>
      <c r="AQ33" s="25">
        <f t="shared" si="11"/>
        <v>0</v>
      </c>
      <c r="AR33" s="25">
        <f t="shared" si="11"/>
        <v>150083</v>
      </c>
      <c r="AS33" s="25">
        <f t="shared" si="11"/>
        <v>104594</v>
      </c>
      <c r="AT33" s="25">
        <f t="shared" si="11"/>
        <v>134924</v>
      </c>
      <c r="AU33" s="25">
        <f t="shared" si="11"/>
        <v>123812</v>
      </c>
      <c r="AV33" s="26">
        <f t="shared" si="11"/>
        <v>122955</v>
      </c>
      <c r="AW33" s="27">
        <f t="shared" si="10"/>
        <v>6200829</v>
      </c>
      <c r="AX33" s="27">
        <f t="shared" si="0"/>
        <v>133842.33333333334</v>
      </c>
      <c r="AY33" s="28">
        <f>AW33/AW13</f>
        <v>0.13204276796019621</v>
      </c>
    </row>
    <row r="34" spans="1:51" x14ac:dyDescent="0.15">
      <c r="A34" s="50" t="s">
        <v>90</v>
      </c>
      <c r="B34" s="11" t="s">
        <v>91</v>
      </c>
      <c r="C34" s="14">
        <v>2008</v>
      </c>
      <c r="D34" s="14">
        <v>0</v>
      </c>
      <c r="E34" s="14">
        <v>2012</v>
      </c>
      <c r="F34" s="14">
        <v>2008</v>
      </c>
      <c r="G34" s="14">
        <v>2365</v>
      </c>
      <c r="H34" s="14">
        <v>2365</v>
      </c>
      <c r="I34" s="14">
        <v>2008</v>
      </c>
      <c r="J34" s="14">
        <v>2008</v>
      </c>
      <c r="K34" s="14">
        <v>2837</v>
      </c>
      <c r="L34" s="14">
        <v>2365</v>
      </c>
      <c r="M34" s="14">
        <v>2365</v>
      </c>
      <c r="N34" s="14">
        <v>2008</v>
      </c>
      <c r="O34" s="14">
        <v>2012</v>
      </c>
      <c r="P34" s="14">
        <v>2008</v>
      </c>
      <c r="Q34" s="14">
        <v>2451</v>
      </c>
      <c r="R34" s="14">
        <v>2008</v>
      </c>
      <c r="S34" s="14">
        <v>2008</v>
      </c>
      <c r="T34" s="14">
        <v>2008</v>
      </c>
      <c r="U34" s="14">
        <v>2008</v>
      </c>
      <c r="V34" s="14">
        <v>2008</v>
      </c>
      <c r="W34" s="14">
        <v>2012</v>
      </c>
      <c r="X34" s="14">
        <v>2008</v>
      </c>
      <c r="Y34" s="14">
        <v>2008</v>
      </c>
      <c r="Z34" s="14">
        <v>2008</v>
      </c>
      <c r="AA34" s="14">
        <v>0</v>
      </c>
      <c r="AB34" s="14">
        <v>0</v>
      </c>
      <c r="AC34" s="14">
        <v>0</v>
      </c>
      <c r="AD34" s="14">
        <v>2008</v>
      </c>
      <c r="AE34" s="14">
        <v>2008</v>
      </c>
      <c r="AF34" s="14">
        <v>2008</v>
      </c>
      <c r="AG34" s="14">
        <v>2008</v>
      </c>
      <c r="AH34" s="14">
        <v>2365</v>
      </c>
      <c r="AI34" s="14">
        <v>2365</v>
      </c>
      <c r="AJ34" s="14">
        <v>2625</v>
      </c>
      <c r="AK34" s="14">
        <v>2451</v>
      </c>
      <c r="AL34" s="14">
        <v>2451</v>
      </c>
      <c r="AM34" s="14">
        <v>2365</v>
      </c>
      <c r="AN34" s="14">
        <v>2008</v>
      </c>
      <c r="AO34" s="14">
        <v>2008</v>
      </c>
      <c r="AP34" s="14">
        <v>0</v>
      </c>
      <c r="AQ34" s="14">
        <v>2451</v>
      </c>
      <c r="AR34" s="14">
        <v>2451</v>
      </c>
      <c r="AS34" s="14">
        <v>2365</v>
      </c>
      <c r="AT34" s="14">
        <v>2008</v>
      </c>
      <c r="AU34" s="14">
        <v>2008</v>
      </c>
      <c r="AV34" s="15">
        <v>0</v>
      </c>
      <c r="AW34" s="16">
        <f t="shared" si="10"/>
        <v>86849</v>
      </c>
      <c r="AX34" s="16">
        <f t="shared" si="0"/>
        <v>1885.3555555555556</v>
      </c>
      <c r="AY34" s="13">
        <f>AW34/AW13</f>
        <v>1.8493950332407298E-3</v>
      </c>
    </row>
    <row r="35" spans="1:51" x14ac:dyDescent="0.15">
      <c r="A35" s="50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 s="14">
        <v>0</v>
      </c>
      <c r="AG35" s="14">
        <v>0</v>
      </c>
      <c r="AH35" s="14">
        <v>0</v>
      </c>
      <c r="AI35" s="14">
        <v>0</v>
      </c>
      <c r="AJ35" s="14">
        <v>0</v>
      </c>
      <c r="AK35" s="14">
        <v>0</v>
      </c>
      <c r="AL35" s="14">
        <v>0</v>
      </c>
      <c r="AM35" s="14">
        <v>0</v>
      </c>
      <c r="AN35" s="14">
        <v>0</v>
      </c>
      <c r="AO35" s="14">
        <v>0</v>
      </c>
      <c r="AP35" s="14">
        <v>0</v>
      </c>
      <c r="AQ35" s="14">
        <v>0</v>
      </c>
      <c r="AR35" s="14">
        <v>0</v>
      </c>
      <c r="AS35" s="14">
        <v>0</v>
      </c>
      <c r="AT35" s="14">
        <v>0</v>
      </c>
      <c r="AU35" s="14">
        <v>0</v>
      </c>
      <c r="AV35" s="15">
        <v>0</v>
      </c>
      <c r="AW35" s="16">
        <f t="shared" si="10"/>
        <v>0</v>
      </c>
      <c r="AX35" s="16">
        <f t="shared" si="0"/>
        <v>0</v>
      </c>
      <c r="AY35" s="13">
        <f>AW35/AW13</f>
        <v>0</v>
      </c>
    </row>
    <row r="36" spans="1:51" x14ac:dyDescent="0.15">
      <c r="A36" s="50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 s="14">
        <v>0</v>
      </c>
      <c r="AG36" s="14">
        <v>0</v>
      </c>
      <c r="AH36" s="14">
        <v>0</v>
      </c>
      <c r="AI36" s="14">
        <v>0</v>
      </c>
      <c r="AJ36" s="14">
        <v>0</v>
      </c>
      <c r="AK36" s="14">
        <v>0</v>
      </c>
      <c r="AL36" s="14">
        <v>0</v>
      </c>
      <c r="AM36" s="14">
        <v>0</v>
      </c>
      <c r="AN36" s="14">
        <v>0</v>
      </c>
      <c r="AO36" s="14">
        <v>0</v>
      </c>
      <c r="AP36" s="14">
        <v>0</v>
      </c>
      <c r="AQ36" s="14">
        <v>0</v>
      </c>
      <c r="AR36" s="14">
        <v>0</v>
      </c>
      <c r="AS36" s="14">
        <v>0</v>
      </c>
      <c r="AT36" s="14">
        <v>0</v>
      </c>
      <c r="AU36" s="14">
        <v>0</v>
      </c>
      <c r="AV36" s="15">
        <v>0</v>
      </c>
      <c r="AW36" s="16">
        <f t="shared" si="10"/>
        <v>0</v>
      </c>
      <c r="AX36" s="16">
        <f t="shared" si="0"/>
        <v>0</v>
      </c>
      <c r="AY36" s="13">
        <f>AW36/AW13</f>
        <v>0</v>
      </c>
    </row>
    <row r="37" spans="1:51" x14ac:dyDescent="0.15">
      <c r="A37" s="50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 s="14">
        <v>0</v>
      </c>
      <c r="AG37" s="14">
        <v>0</v>
      </c>
      <c r="AH37" s="14">
        <v>0</v>
      </c>
      <c r="AI37" s="14">
        <v>0</v>
      </c>
      <c r="AJ37" s="14">
        <v>0</v>
      </c>
      <c r="AK37" s="14">
        <v>0</v>
      </c>
      <c r="AL37" s="14">
        <v>0</v>
      </c>
      <c r="AM37" s="14">
        <v>0</v>
      </c>
      <c r="AN37" s="14">
        <v>0</v>
      </c>
      <c r="AO37" s="14">
        <v>0</v>
      </c>
      <c r="AP37" s="14">
        <v>0</v>
      </c>
      <c r="AQ37" s="14">
        <v>0</v>
      </c>
      <c r="AR37" s="14">
        <v>0</v>
      </c>
      <c r="AS37" s="14">
        <v>0</v>
      </c>
      <c r="AT37" s="14">
        <v>0</v>
      </c>
      <c r="AU37" s="14">
        <v>0</v>
      </c>
      <c r="AV37" s="15">
        <v>0</v>
      </c>
      <c r="AW37" s="16">
        <f t="shared" si="10"/>
        <v>0</v>
      </c>
      <c r="AX37" s="16">
        <f t="shared" si="0"/>
        <v>0</v>
      </c>
      <c r="AY37" s="13">
        <f>AW37/AW13</f>
        <v>0</v>
      </c>
    </row>
    <row r="38" spans="1:51" x14ac:dyDescent="0.15">
      <c r="A38" s="50"/>
      <c r="B38" s="11" t="s">
        <v>92</v>
      </c>
      <c r="C38" s="14">
        <v>4621</v>
      </c>
      <c r="D38" s="14">
        <v>0</v>
      </c>
      <c r="E38" s="14">
        <v>4621</v>
      </c>
      <c r="F38" s="14">
        <v>7034</v>
      </c>
      <c r="G38" s="14">
        <v>5366</v>
      </c>
      <c r="H38" s="14">
        <v>5366</v>
      </c>
      <c r="I38" s="14">
        <v>5366</v>
      </c>
      <c r="J38" s="14">
        <v>9033</v>
      </c>
      <c r="K38" s="14">
        <v>5366</v>
      </c>
      <c r="L38" s="14">
        <v>5366</v>
      </c>
      <c r="M38" s="14">
        <v>5366</v>
      </c>
      <c r="N38" s="14">
        <v>5366</v>
      </c>
      <c r="O38" s="14">
        <v>5366</v>
      </c>
      <c r="P38" s="14">
        <v>5366</v>
      </c>
      <c r="Q38" s="14">
        <v>10690</v>
      </c>
      <c r="R38" s="14">
        <v>5366</v>
      </c>
      <c r="S38" s="14">
        <v>5366</v>
      </c>
      <c r="T38" s="14">
        <v>7671</v>
      </c>
      <c r="U38" s="14">
        <v>5366</v>
      </c>
      <c r="V38" s="14">
        <v>8639</v>
      </c>
      <c r="W38" s="14">
        <v>5366</v>
      </c>
      <c r="X38" s="14">
        <v>7624</v>
      </c>
      <c r="Y38" s="14">
        <v>6832</v>
      </c>
      <c r="Z38" s="14">
        <v>4621</v>
      </c>
      <c r="AA38" s="14">
        <v>0</v>
      </c>
      <c r="AB38" s="14">
        <v>0</v>
      </c>
      <c r="AC38" s="14">
        <v>0</v>
      </c>
      <c r="AD38" s="14">
        <v>5366</v>
      </c>
      <c r="AE38" s="14">
        <v>10370</v>
      </c>
      <c r="AF38" s="14">
        <v>5366</v>
      </c>
      <c r="AG38" s="14">
        <v>5366</v>
      </c>
      <c r="AH38" s="14">
        <v>4621</v>
      </c>
      <c r="AI38" s="14">
        <v>4621</v>
      </c>
      <c r="AJ38" s="14">
        <v>4621</v>
      </c>
      <c r="AK38" s="14">
        <v>10690</v>
      </c>
      <c r="AL38" s="14">
        <v>10690</v>
      </c>
      <c r="AM38" s="14">
        <v>5366</v>
      </c>
      <c r="AN38" s="14">
        <v>5366</v>
      </c>
      <c r="AO38" s="14">
        <v>7978</v>
      </c>
      <c r="AP38" s="14">
        <v>0</v>
      </c>
      <c r="AQ38" s="14">
        <v>10690</v>
      </c>
      <c r="AR38" s="14">
        <v>10690</v>
      </c>
      <c r="AS38" s="14">
        <v>9667</v>
      </c>
      <c r="AT38" s="14">
        <v>8428</v>
      </c>
      <c r="AU38" s="14">
        <v>12255</v>
      </c>
      <c r="AV38" s="15">
        <v>11103</v>
      </c>
      <c r="AW38" s="16">
        <f t="shared" si="10"/>
        <v>284398</v>
      </c>
      <c r="AX38" s="16">
        <f t="shared" si="0"/>
        <v>6217.2666666666664</v>
      </c>
      <c r="AY38" s="13">
        <f>AW38/AW13</f>
        <v>6.0560771990880386E-3</v>
      </c>
    </row>
    <row r="39" spans="1:51" x14ac:dyDescent="0.15">
      <c r="A39" s="50"/>
      <c r="B39" s="24" t="s">
        <v>93</v>
      </c>
      <c r="C39" s="25">
        <f t="shared" ref="C39:AV39" si="12">SUM(C34:C38)</f>
        <v>6629</v>
      </c>
      <c r="D39" s="25">
        <f t="shared" si="12"/>
        <v>0</v>
      </c>
      <c r="E39" s="25">
        <f t="shared" si="12"/>
        <v>6633</v>
      </c>
      <c r="F39" s="25">
        <f t="shared" si="12"/>
        <v>9042</v>
      </c>
      <c r="G39" s="25">
        <f t="shared" si="12"/>
        <v>7731</v>
      </c>
      <c r="H39" s="25">
        <f t="shared" si="12"/>
        <v>7731</v>
      </c>
      <c r="I39" s="25">
        <f t="shared" si="12"/>
        <v>7374</v>
      </c>
      <c r="J39" s="25">
        <f t="shared" si="12"/>
        <v>11041</v>
      </c>
      <c r="K39" s="25">
        <f t="shared" si="12"/>
        <v>8203</v>
      </c>
      <c r="L39" s="25">
        <f t="shared" si="12"/>
        <v>7731</v>
      </c>
      <c r="M39" s="25">
        <f t="shared" si="12"/>
        <v>7731</v>
      </c>
      <c r="N39" s="25">
        <f t="shared" si="12"/>
        <v>7374</v>
      </c>
      <c r="O39" s="25">
        <f t="shared" si="12"/>
        <v>7378</v>
      </c>
      <c r="P39" s="25">
        <f t="shared" si="12"/>
        <v>7374</v>
      </c>
      <c r="Q39" s="25">
        <f t="shared" si="12"/>
        <v>13141</v>
      </c>
      <c r="R39" s="25">
        <f t="shared" si="12"/>
        <v>7374</v>
      </c>
      <c r="S39" s="25">
        <f t="shared" si="12"/>
        <v>7374</v>
      </c>
      <c r="T39" s="25">
        <f t="shared" si="12"/>
        <v>9679</v>
      </c>
      <c r="U39" s="25">
        <f t="shared" si="12"/>
        <v>7374</v>
      </c>
      <c r="V39" s="25">
        <f t="shared" si="12"/>
        <v>10647</v>
      </c>
      <c r="W39" s="25">
        <f t="shared" si="12"/>
        <v>7378</v>
      </c>
      <c r="X39" s="25">
        <f t="shared" si="12"/>
        <v>9632</v>
      </c>
      <c r="Y39" s="25">
        <f t="shared" si="12"/>
        <v>8840</v>
      </c>
      <c r="Z39" s="25">
        <f t="shared" si="12"/>
        <v>6629</v>
      </c>
      <c r="AA39" s="25">
        <f t="shared" si="12"/>
        <v>0</v>
      </c>
      <c r="AB39" s="25">
        <f t="shared" si="12"/>
        <v>0</v>
      </c>
      <c r="AC39" s="25">
        <f t="shared" si="12"/>
        <v>0</v>
      </c>
      <c r="AD39" s="25">
        <f t="shared" si="12"/>
        <v>7374</v>
      </c>
      <c r="AE39" s="25">
        <f t="shared" si="12"/>
        <v>12378</v>
      </c>
      <c r="AF39" s="25">
        <f t="shared" si="12"/>
        <v>7374</v>
      </c>
      <c r="AG39" s="25">
        <f t="shared" si="12"/>
        <v>7374</v>
      </c>
      <c r="AH39" s="25">
        <f t="shared" si="12"/>
        <v>6986</v>
      </c>
      <c r="AI39" s="25">
        <f t="shared" si="12"/>
        <v>6986</v>
      </c>
      <c r="AJ39" s="25">
        <f t="shared" si="12"/>
        <v>7246</v>
      </c>
      <c r="AK39" s="25">
        <f t="shared" si="12"/>
        <v>13141</v>
      </c>
      <c r="AL39" s="25">
        <f t="shared" si="12"/>
        <v>13141</v>
      </c>
      <c r="AM39" s="25">
        <f t="shared" si="12"/>
        <v>7731</v>
      </c>
      <c r="AN39" s="25">
        <f t="shared" si="12"/>
        <v>7374</v>
      </c>
      <c r="AO39" s="25">
        <f t="shared" si="12"/>
        <v>9986</v>
      </c>
      <c r="AP39" s="25">
        <f t="shared" si="12"/>
        <v>0</v>
      </c>
      <c r="AQ39" s="25">
        <f t="shared" si="12"/>
        <v>13141</v>
      </c>
      <c r="AR39" s="25">
        <f t="shared" si="12"/>
        <v>13141</v>
      </c>
      <c r="AS39" s="25">
        <f t="shared" si="12"/>
        <v>12032</v>
      </c>
      <c r="AT39" s="25">
        <f t="shared" si="12"/>
        <v>10436</v>
      </c>
      <c r="AU39" s="25">
        <f t="shared" si="12"/>
        <v>14263</v>
      </c>
      <c r="AV39" s="26">
        <f t="shared" si="12"/>
        <v>11103</v>
      </c>
      <c r="AW39" s="27">
        <f t="shared" si="10"/>
        <v>371247</v>
      </c>
      <c r="AX39" s="27">
        <f t="shared" si="0"/>
        <v>8102.6222222222223</v>
      </c>
      <c r="AY39" s="28">
        <f>AW39/AW13</f>
        <v>7.9054722323287693E-3</v>
      </c>
    </row>
    <row r="40" spans="1:51" x14ac:dyDescent="0.15">
      <c r="A40" s="50" t="s">
        <v>94</v>
      </c>
      <c r="B40" s="11" t="s">
        <v>95</v>
      </c>
      <c r="C40" s="14">
        <v>187110</v>
      </c>
      <c r="D40" s="14">
        <v>0</v>
      </c>
      <c r="E40" s="14">
        <v>159920</v>
      </c>
      <c r="F40" s="14">
        <v>158490</v>
      </c>
      <c r="G40" s="14">
        <v>219190</v>
      </c>
      <c r="H40" s="14">
        <v>313300</v>
      </c>
      <c r="I40" s="14">
        <v>111610</v>
      </c>
      <c r="J40" s="14">
        <v>0</v>
      </c>
      <c r="K40" s="14">
        <v>11060</v>
      </c>
      <c r="L40" s="14">
        <v>0</v>
      </c>
      <c r="M40" s="14">
        <v>91180</v>
      </c>
      <c r="N40" s="14">
        <v>66780</v>
      </c>
      <c r="O40" s="14">
        <v>99250</v>
      </c>
      <c r="P40" s="14">
        <v>103650</v>
      </c>
      <c r="Q40" s="14">
        <v>157960</v>
      </c>
      <c r="R40" s="14">
        <v>65390</v>
      </c>
      <c r="S40" s="14">
        <v>55740</v>
      </c>
      <c r="T40" s="14">
        <v>79990</v>
      </c>
      <c r="U40" s="14">
        <v>150320</v>
      </c>
      <c r="V40" s="14">
        <v>141150</v>
      </c>
      <c r="W40" s="14">
        <v>76030</v>
      </c>
      <c r="X40" s="14">
        <v>180840</v>
      </c>
      <c r="Y40" s="14">
        <v>144640</v>
      </c>
      <c r="Z40" s="14">
        <v>115870</v>
      </c>
      <c r="AA40" s="14">
        <v>0</v>
      </c>
      <c r="AB40" s="14">
        <v>0</v>
      </c>
      <c r="AC40" s="14">
        <v>0</v>
      </c>
      <c r="AD40" s="14">
        <v>140900</v>
      </c>
      <c r="AE40" s="14">
        <v>131810</v>
      </c>
      <c r="AF40" s="14">
        <v>240470</v>
      </c>
      <c r="AG40" s="14">
        <v>197470</v>
      </c>
      <c r="AH40" s="14">
        <v>115450</v>
      </c>
      <c r="AI40" s="14">
        <v>81550</v>
      </c>
      <c r="AJ40" s="14">
        <v>27310</v>
      </c>
      <c r="AK40" s="14">
        <v>158940</v>
      </c>
      <c r="AL40" s="14">
        <v>151380</v>
      </c>
      <c r="AM40" s="14">
        <v>153090</v>
      </c>
      <c r="AN40" s="14">
        <v>243960</v>
      </c>
      <c r="AO40" s="14">
        <v>176210</v>
      </c>
      <c r="AP40" s="14">
        <v>0</v>
      </c>
      <c r="AQ40" s="14">
        <v>0</v>
      </c>
      <c r="AR40" s="14">
        <v>51790</v>
      </c>
      <c r="AS40" s="14">
        <v>44870</v>
      </c>
      <c r="AT40" s="14">
        <v>81080</v>
      </c>
      <c r="AU40" s="14">
        <v>79650</v>
      </c>
      <c r="AV40" s="15">
        <v>35720</v>
      </c>
      <c r="AW40" s="16">
        <f t="shared" si="10"/>
        <v>4801120</v>
      </c>
      <c r="AX40" s="16">
        <f t="shared" si="0"/>
        <v>102533.55555555556</v>
      </c>
      <c r="AY40" s="13">
        <f>AW40/AW13</f>
        <v>0.1022368418979232</v>
      </c>
    </row>
    <row r="41" spans="1:51" x14ac:dyDescent="0.15">
      <c r="A41" s="50"/>
      <c r="B41" s="11" t="s">
        <v>96</v>
      </c>
      <c r="C41" s="14">
        <v>-161146</v>
      </c>
      <c r="D41" s="14">
        <v>0</v>
      </c>
      <c r="E41" s="14">
        <v>-144447</v>
      </c>
      <c r="F41" s="14">
        <v>-145408</v>
      </c>
      <c r="G41" s="14">
        <v>-90699</v>
      </c>
      <c r="H41" s="14">
        <v>-146309</v>
      </c>
      <c r="I41" s="14">
        <v>-43110</v>
      </c>
      <c r="J41" s="14">
        <v>0</v>
      </c>
      <c r="K41" s="14">
        <v>-11060</v>
      </c>
      <c r="L41" s="14">
        <v>-3020</v>
      </c>
      <c r="M41" s="14">
        <v>-38139</v>
      </c>
      <c r="N41" s="14">
        <v>-28344</v>
      </c>
      <c r="O41" s="14">
        <v>-47734</v>
      </c>
      <c r="P41" s="14">
        <v>-53733</v>
      </c>
      <c r="Q41" s="14">
        <v>-78372</v>
      </c>
      <c r="R41" s="14">
        <v>-31043</v>
      </c>
      <c r="S41" s="14">
        <v>-18473</v>
      </c>
      <c r="T41" s="14">
        <v>-37453</v>
      </c>
      <c r="U41" s="14">
        <v>-63995</v>
      </c>
      <c r="V41" s="14">
        <v>-46536</v>
      </c>
      <c r="W41" s="14">
        <v>-27786</v>
      </c>
      <c r="X41" s="14">
        <v>-61890</v>
      </c>
      <c r="Y41" s="14">
        <v>-116000</v>
      </c>
      <c r="Z41" s="14">
        <v>-116000</v>
      </c>
      <c r="AA41" s="14">
        <v>0</v>
      </c>
      <c r="AB41" s="14">
        <v>0</v>
      </c>
      <c r="AC41" s="14">
        <v>0</v>
      </c>
      <c r="AD41" s="14">
        <v>-138870</v>
      </c>
      <c r="AE41" s="14">
        <v>-131810</v>
      </c>
      <c r="AF41" s="14">
        <v>-131704</v>
      </c>
      <c r="AG41" s="14">
        <v>-37832</v>
      </c>
      <c r="AH41" s="14">
        <v>0</v>
      </c>
      <c r="AI41" s="14">
        <v>0</v>
      </c>
      <c r="AJ41" s="14">
        <v>0</v>
      </c>
      <c r="AK41" s="14">
        <v>-123667</v>
      </c>
      <c r="AL41" s="14">
        <v>-98216</v>
      </c>
      <c r="AM41" s="14">
        <v>-88845</v>
      </c>
      <c r="AN41" s="14">
        <v>-136396</v>
      </c>
      <c r="AO41" s="14">
        <v>-98583</v>
      </c>
      <c r="AP41" s="14">
        <v>0</v>
      </c>
      <c r="AQ41" s="14">
        <v>0</v>
      </c>
      <c r="AR41" s="14">
        <v>-4708</v>
      </c>
      <c r="AS41" s="14">
        <v>-4079</v>
      </c>
      <c r="AT41" s="14">
        <v>-7371</v>
      </c>
      <c r="AU41" s="14">
        <v>-7241</v>
      </c>
      <c r="AV41" s="15">
        <v>-9020</v>
      </c>
      <c r="AW41" s="16">
        <f t="shared" si="10"/>
        <v>-2529039</v>
      </c>
      <c r="AX41" s="16">
        <f t="shared" si="0"/>
        <v>-52619.844444444447</v>
      </c>
      <c r="AY41" s="13">
        <f>AW41/AW13</f>
        <v>-5.3854300745801359E-2</v>
      </c>
    </row>
    <row r="42" spans="1:51" x14ac:dyDescent="0.15">
      <c r="A42" s="50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 s="14">
        <v>0</v>
      </c>
      <c r="AG42" s="14">
        <v>0</v>
      </c>
      <c r="AH42" s="14">
        <v>0</v>
      </c>
      <c r="AI42" s="14">
        <v>0</v>
      </c>
      <c r="AJ42" s="14">
        <v>0</v>
      </c>
      <c r="AK42" s="14">
        <v>0</v>
      </c>
      <c r="AL42" s="14">
        <v>0</v>
      </c>
      <c r="AM42" s="14">
        <v>0</v>
      </c>
      <c r="AN42" s="14">
        <v>0</v>
      </c>
      <c r="AO42" s="14">
        <v>0</v>
      </c>
      <c r="AP42" s="14">
        <v>0</v>
      </c>
      <c r="AQ42" s="14">
        <v>0</v>
      </c>
      <c r="AR42" s="14">
        <v>0</v>
      </c>
      <c r="AS42" s="14">
        <v>0</v>
      </c>
      <c r="AT42" s="14">
        <v>0</v>
      </c>
      <c r="AU42" s="14">
        <v>0</v>
      </c>
      <c r="AV42" s="15">
        <v>0</v>
      </c>
      <c r="AW42" s="16">
        <f t="shared" si="10"/>
        <v>0</v>
      </c>
      <c r="AX42" s="16">
        <f t="shared" si="0"/>
        <v>0</v>
      </c>
      <c r="AY42" s="13">
        <f>AW42/AW13</f>
        <v>0</v>
      </c>
    </row>
    <row r="43" spans="1:51" x14ac:dyDescent="0.15">
      <c r="A43" s="50"/>
      <c r="B43" s="11" t="s">
        <v>98</v>
      </c>
      <c r="C43" s="14">
        <v>-61746.3</v>
      </c>
      <c r="D43" s="14">
        <v>0</v>
      </c>
      <c r="E43" s="14">
        <v>-52773.599999999999</v>
      </c>
      <c r="F43" s="14">
        <v>-52301.7</v>
      </c>
      <c r="G43" s="14">
        <v>-72332.7</v>
      </c>
      <c r="H43" s="14">
        <v>-103389</v>
      </c>
      <c r="I43" s="14">
        <v>-36831.300000000003</v>
      </c>
      <c r="J43" s="14">
        <v>0</v>
      </c>
      <c r="K43" s="14">
        <v>-3649.8</v>
      </c>
      <c r="L43" s="14">
        <v>0</v>
      </c>
      <c r="M43" s="14">
        <v>-30089.4</v>
      </c>
      <c r="N43" s="14">
        <v>-22037.4</v>
      </c>
      <c r="O43" s="14">
        <v>-32752.5</v>
      </c>
      <c r="P43" s="14">
        <v>-34204.5</v>
      </c>
      <c r="Q43" s="14">
        <v>-52126.8</v>
      </c>
      <c r="R43" s="14">
        <v>-21578.7</v>
      </c>
      <c r="S43" s="14">
        <v>-18394.2</v>
      </c>
      <c r="T43" s="14">
        <v>-26396.7</v>
      </c>
      <c r="U43" s="14">
        <v>-49605.599999999999</v>
      </c>
      <c r="V43" s="14">
        <v>-46579.5</v>
      </c>
      <c r="W43" s="14">
        <v>-25089.9</v>
      </c>
      <c r="X43" s="14">
        <v>-59677.2</v>
      </c>
      <c r="Y43" s="14">
        <v>-47731.199999999997</v>
      </c>
      <c r="Z43" s="14">
        <v>-38237.1</v>
      </c>
      <c r="AA43" s="14">
        <v>0</v>
      </c>
      <c r="AB43" s="14">
        <v>0</v>
      </c>
      <c r="AC43" s="14">
        <v>0</v>
      </c>
      <c r="AD43" s="14">
        <v>-46497</v>
      </c>
      <c r="AE43" s="14">
        <v>-43497.3</v>
      </c>
      <c r="AF43" s="14">
        <v>-79355.100000000006</v>
      </c>
      <c r="AG43" s="14">
        <v>-65165.1</v>
      </c>
      <c r="AH43" s="14">
        <v>-38098.5</v>
      </c>
      <c r="AI43" s="14">
        <v>-26911.5</v>
      </c>
      <c r="AJ43" s="14">
        <v>-9012.2999999999993</v>
      </c>
      <c r="AK43" s="14">
        <v>-52450.2</v>
      </c>
      <c r="AL43" s="14">
        <v>-49955.4</v>
      </c>
      <c r="AM43" s="14">
        <v>-50519.7</v>
      </c>
      <c r="AN43" s="14">
        <v>-80506.8</v>
      </c>
      <c r="AO43" s="14">
        <v>-58149.3</v>
      </c>
      <c r="AP43" s="14">
        <v>0</v>
      </c>
      <c r="AQ43" s="14">
        <v>0</v>
      </c>
      <c r="AR43" s="14">
        <v>-17090.7</v>
      </c>
      <c r="AS43" s="14">
        <v>-14807.1</v>
      </c>
      <c r="AT43" s="14">
        <v>-26756.400000000001</v>
      </c>
      <c r="AU43" s="14">
        <v>-26284.5</v>
      </c>
      <c r="AV43" s="15">
        <v>-11787.6</v>
      </c>
      <c r="AW43" s="16">
        <f t="shared" si="10"/>
        <v>-1584369.5999999999</v>
      </c>
      <c r="AX43" s="16">
        <f>AVERAGE(B43:AV43)</f>
        <v>-34442.817391304343</v>
      </c>
      <c r="AY43" s="13">
        <f>AW43/AW13</f>
        <v>-3.3738157826314653E-2</v>
      </c>
    </row>
    <row r="44" spans="1:51" x14ac:dyDescent="0.15">
      <c r="A44" s="50"/>
      <c r="B44" s="24" t="s">
        <v>99</v>
      </c>
      <c r="C44" s="25">
        <f t="shared" ref="C44:AH44" si="13">SUM(C40:C43)</f>
        <v>-35782.300000000003</v>
      </c>
      <c r="D44" s="25">
        <f t="shared" si="13"/>
        <v>0</v>
      </c>
      <c r="E44" s="25">
        <f t="shared" si="13"/>
        <v>-37300.6</v>
      </c>
      <c r="F44" s="25">
        <f t="shared" si="13"/>
        <v>-39219.699999999997</v>
      </c>
      <c r="G44" s="25">
        <f t="shared" si="13"/>
        <v>56158.3</v>
      </c>
      <c r="H44" s="25">
        <f t="shared" si="13"/>
        <v>63602</v>
      </c>
      <c r="I44" s="25">
        <f t="shared" si="13"/>
        <v>31668.699999999997</v>
      </c>
      <c r="J44" s="25">
        <f t="shared" si="13"/>
        <v>0</v>
      </c>
      <c r="K44" s="25">
        <f t="shared" si="13"/>
        <v>-3649.8</v>
      </c>
      <c r="L44" s="25">
        <f t="shared" si="13"/>
        <v>-3020</v>
      </c>
      <c r="M44" s="25">
        <f t="shared" si="13"/>
        <v>22951.599999999999</v>
      </c>
      <c r="N44" s="25">
        <f t="shared" si="13"/>
        <v>16398.599999999999</v>
      </c>
      <c r="O44" s="25">
        <f t="shared" si="13"/>
        <v>18763.5</v>
      </c>
      <c r="P44" s="25">
        <f t="shared" si="13"/>
        <v>15712.5</v>
      </c>
      <c r="Q44" s="25">
        <f t="shared" si="13"/>
        <v>27461.199999999997</v>
      </c>
      <c r="R44" s="25">
        <f t="shared" si="13"/>
        <v>12768.3</v>
      </c>
      <c r="S44" s="25">
        <f t="shared" si="13"/>
        <v>18872.8</v>
      </c>
      <c r="T44" s="25">
        <f t="shared" si="13"/>
        <v>16140.3</v>
      </c>
      <c r="U44" s="25">
        <f t="shared" si="13"/>
        <v>36719.4</v>
      </c>
      <c r="V44" s="25">
        <f t="shared" si="13"/>
        <v>48034.5</v>
      </c>
      <c r="W44" s="25">
        <f t="shared" si="13"/>
        <v>23154.1</v>
      </c>
      <c r="X44" s="25">
        <f t="shared" si="13"/>
        <v>59272.800000000003</v>
      </c>
      <c r="Y44" s="25">
        <f t="shared" si="13"/>
        <v>-19091.199999999997</v>
      </c>
      <c r="Z44" s="25">
        <f t="shared" si="13"/>
        <v>-38367.1</v>
      </c>
      <c r="AA44" s="25">
        <f t="shared" si="13"/>
        <v>0</v>
      </c>
      <c r="AB44" s="25">
        <f t="shared" si="13"/>
        <v>0</v>
      </c>
      <c r="AC44" s="25">
        <f t="shared" si="13"/>
        <v>0</v>
      </c>
      <c r="AD44" s="25">
        <f t="shared" si="13"/>
        <v>-44467</v>
      </c>
      <c r="AE44" s="25">
        <f t="shared" si="13"/>
        <v>-43497.3</v>
      </c>
      <c r="AF44" s="25">
        <f t="shared" si="13"/>
        <v>29410.899999999994</v>
      </c>
      <c r="AG44" s="25">
        <f t="shared" si="13"/>
        <v>94472.9</v>
      </c>
      <c r="AH44" s="25">
        <f t="shared" si="13"/>
        <v>77351.5</v>
      </c>
      <c r="AI44" s="25">
        <f t="shared" ref="AI44:AW44" si="14">SUM(AI40:AI43)</f>
        <v>54638.5</v>
      </c>
      <c r="AJ44" s="25">
        <f t="shared" si="14"/>
        <v>18297.7</v>
      </c>
      <c r="AK44" s="25">
        <f t="shared" si="14"/>
        <v>-17177.199999999997</v>
      </c>
      <c r="AL44" s="25">
        <f t="shared" si="14"/>
        <v>3208.5999999999985</v>
      </c>
      <c r="AM44" s="25">
        <f t="shared" si="14"/>
        <v>13725.300000000003</v>
      </c>
      <c r="AN44" s="25">
        <f t="shared" si="14"/>
        <v>27057.199999999997</v>
      </c>
      <c r="AO44" s="25">
        <f t="shared" si="14"/>
        <v>19477.699999999997</v>
      </c>
      <c r="AP44" s="25">
        <f t="shared" si="14"/>
        <v>0</v>
      </c>
      <c r="AQ44" s="25">
        <f t="shared" si="14"/>
        <v>0</v>
      </c>
      <c r="AR44" s="25">
        <f t="shared" si="14"/>
        <v>29991.3</v>
      </c>
      <c r="AS44" s="25">
        <f t="shared" si="14"/>
        <v>25983.9</v>
      </c>
      <c r="AT44" s="25">
        <f t="shared" si="14"/>
        <v>46952.6</v>
      </c>
      <c r="AU44" s="25">
        <f t="shared" si="14"/>
        <v>46124.5</v>
      </c>
      <c r="AV44" s="26">
        <f t="shared" si="14"/>
        <v>14912.4</v>
      </c>
      <c r="AW44" s="27">
        <f t="shared" si="14"/>
        <v>687711.40000000014</v>
      </c>
      <c r="AX44" s="27">
        <f>AVERAGE(B44:AV44)</f>
        <v>14950.247826086954</v>
      </c>
      <c r="AY44" s="28">
        <f>AW44/AW13</f>
        <v>1.4644383325807194E-2</v>
      </c>
    </row>
    <row r="45" spans="1:51" x14ac:dyDescent="0.15">
      <c r="A45" s="50" t="s">
        <v>100</v>
      </c>
      <c r="B45" s="11" t="s">
        <v>101</v>
      </c>
      <c r="C45" s="14">
        <v>398116</v>
      </c>
      <c r="D45" s="14">
        <v>0</v>
      </c>
      <c r="E45" s="14">
        <v>361786</v>
      </c>
      <c r="F45" s="14">
        <v>359871</v>
      </c>
      <c r="G45" s="14">
        <v>399470</v>
      </c>
      <c r="H45" s="14">
        <v>411367</v>
      </c>
      <c r="I45" s="14">
        <v>0</v>
      </c>
      <c r="J45" s="14">
        <v>0</v>
      </c>
      <c r="K45" s="14">
        <v>28345</v>
      </c>
      <c r="L45" s="14">
        <v>453526</v>
      </c>
      <c r="M45" s="14">
        <v>581081</v>
      </c>
      <c r="N45" s="14">
        <v>368490</v>
      </c>
      <c r="O45" s="14">
        <v>354317</v>
      </c>
      <c r="P45" s="14">
        <v>354317</v>
      </c>
      <c r="Q45" s="14">
        <v>396835</v>
      </c>
      <c r="R45" s="14">
        <v>340145</v>
      </c>
      <c r="S45" s="14">
        <v>396836</v>
      </c>
      <c r="T45" s="14">
        <v>382663</v>
      </c>
      <c r="U45" s="14">
        <v>396835</v>
      </c>
      <c r="V45" s="14">
        <v>255108</v>
      </c>
      <c r="W45" s="14">
        <v>184245</v>
      </c>
      <c r="X45" s="14">
        <v>297627</v>
      </c>
      <c r="Y45" s="14">
        <v>226763</v>
      </c>
      <c r="Z45" s="14">
        <v>226763</v>
      </c>
      <c r="AA45" s="14">
        <v>0</v>
      </c>
      <c r="AB45" s="14">
        <v>0</v>
      </c>
      <c r="AC45" s="14">
        <v>0</v>
      </c>
      <c r="AD45" s="14">
        <v>340145</v>
      </c>
      <c r="AE45" s="14">
        <v>340145</v>
      </c>
      <c r="AF45" s="14">
        <v>325972</v>
      </c>
      <c r="AG45" s="14">
        <v>368490</v>
      </c>
      <c r="AH45" s="14">
        <v>354319</v>
      </c>
      <c r="AI45" s="14">
        <v>255109</v>
      </c>
      <c r="AJ45" s="14">
        <v>340144</v>
      </c>
      <c r="AK45" s="14">
        <v>334896</v>
      </c>
      <c r="AL45" s="14">
        <v>204659</v>
      </c>
      <c r="AM45" s="14">
        <v>334896</v>
      </c>
      <c r="AN45" s="14">
        <v>502343</v>
      </c>
      <c r="AO45" s="14">
        <v>334896</v>
      </c>
      <c r="AP45" s="14">
        <v>0</v>
      </c>
      <c r="AQ45" s="14">
        <v>35170</v>
      </c>
      <c r="AR45" s="14">
        <v>158267</v>
      </c>
      <c r="AS45" s="14">
        <v>263777</v>
      </c>
      <c r="AT45" s="14">
        <v>263778</v>
      </c>
      <c r="AU45" s="14">
        <v>193437</v>
      </c>
      <c r="AV45" s="15">
        <v>439632</v>
      </c>
      <c r="AW45" s="16">
        <f t="shared" ref="AW45:AW60" si="15">SUM(C45:AV45)</f>
        <v>12564581</v>
      </c>
      <c r="AX45" s="16">
        <f t="shared" ref="AX45:AX60" si="16">AVERAGE(D45:AV45)</f>
        <v>270365.88888888888</v>
      </c>
      <c r="AY45" s="13">
        <f>AW45/AW13</f>
        <v>0.26755487911375886</v>
      </c>
    </row>
    <row r="46" spans="1:51" x14ac:dyDescent="0.15">
      <c r="A46" s="50"/>
      <c r="B46" s="11" t="s">
        <v>102</v>
      </c>
      <c r="C46" s="14">
        <v>14000</v>
      </c>
      <c r="D46" s="14">
        <v>0</v>
      </c>
      <c r="E46" s="14">
        <v>11333</v>
      </c>
      <c r="F46" s="14">
        <v>12333</v>
      </c>
      <c r="G46" s="14">
        <v>18833</v>
      </c>
      <c r="H46" s="14">
        <v>12333</v>
      </c>
      <c r="I46" s="14">
        <v>0</v>
      </c>
      <c r="J46" s="14">
        <v>0</v>
      </c>
      <c r="K46" s="14">
        <v>1669</v>
      </c>
      <c r="L46" s="14">
        <v>26699</v>
      </c>
      <c r="M46" s="14">
        <v>34208</v>
      </c>
      <c r="N46" s="14">
        <v>21692</v>
      </c>
      <c r="O46" s="14">
        <v>20858</v>
      </c>
      <c r="P46" s="14">
        <v>20859</v>
      </c>
      <c r="Q46" s="14">
        <v>23361</v>
      </c>
      <c r="R46" s="14">
        <v>20024</v>
      </c>
      <c r="S46" s="14">
        <v>23361</v>
      </c>
      <c r="T46" s="14">
        <v>22526</v>
      </c>
      <c r="U46" s="14">
        <v>23361</v>
      </c>
      <c r="V46" s="14">
        <v>15018</v>
      </c>
      <c r="W46" s="14">
        <v>10847</v>
      </c>
      <c r="X46" s="14">
        <v>17520</v>
      </c>
      <c r="Y46" s="14">
        <v>13349</v>
      </c>
      <c r="Z46" s="14">
        <v>13349</v>
      </c>
      <c r="AA46" s="14">
        <v>0</v>
      </c>
      <c r="AB46" s="14">
        <v>0</v>
      </c>
      <c r="AC46" s="14">
        <v>0</v>
      </c>
      <c r="AD46" s="14">
        <v>20024</v>
      </c>
      <c r="AE46" s="14">
        <v>20023</v>
      </c>
      <c r="AF46" s="14">
        <v>19189</v>
      </c>
      <c r="AG46" s="14">
        <v>21692</v>
      </c>
      <c r="AH46" s="14">
        <v>20864</v>
      </c>
      <c r="AI46" s="14">
        <v>15018</v>
      </c>
      <c r="AJ46" s="14">
        <v>20024</v>
      </c>
      <c r="AK46" s="14">
        <v>17290</v>
      </c>
      <c r="AL46" s="14">
        <v>10567</v>
      </c>
      <c r="AM46" s="14">
        <v>17291</v>
      </c>
      <c r="AN46" s="14">
        <v>25934</v>
      </c>
      <c r="AO46" s="14">
        <v>17290</v>
      </c>
      <c r="AP46" s="14">
        <v>0</v>
      </c>
      <c r="AQ46" s="14">
        <v>2190</v>
      </c>
      <c r="AR46" s="14">
        <v>9853</v>
      </c>
      <c r="AS46" s="14">
        <v>16423</v>
      </c>
      <c r="AT46" s="14">
        <v>16423</v>
      </c>
      <c r="AU46" s="14">
        <v>12043</v>
      </c>
      <c r="AV46" s="15">
        <v>27371</v>
      </c>
      <c r="AW46" s="16">
        <f t="shared" si="15"/>
        <v>687042</v>
      </c>
      <c r="AX46" s="16">
        <f t="shared" si="16"/>
        <v>14956.488888888889</v>
      </c>
      <c r="AY46" s="13">
        <f>AW46/AW13</f>
        <v>1.4630128872270002E-2</v>
      </c>
    </row>
    <row r="47" spans="1:51" x14ac:dyDescent="0.15">
      <c r="A47" s="50"/>
      <c r="B47" s="11" t="s">
        <v>103</v>
      </c>
      <c r="C47" s="14">
        <v>64441</v>
      </c>
      <c r="D47" s="14">
        <v>0</v>
      </c>
      <c r="E47" s="14">
        <v>64037</v>
      </c>
      <c r="F47" s="14">
        <v>64188</v>
      </c>
      <c r="G47" s="14">
        <v>62143</v>
      </c>
      <c r="H47" s="14">
        <v>58128</v>
      </c>
      <c r="I47" s="14">
        <v>0</v>
      </c>
      <c r="J47" s="14">
        <v>0</v>
      </c>
      <c r="K47" s="14">
        <v>4727</v>
      </c>
      <c r="L47" s="14">
        <v>75626</v>
      </c>
      <c r="M47" s="14">
        <v>96896</v>
      </c>
      <c r="N47" s="14">
        <v>61446</v>
      </c>
      <c r="O47" s="14">
        <v>59083</v>
      </c>
      <c r="P47" s="14">
        <v>59083</v>
      </c>
      <c r="Q47" s="14">
        <v>66173</v>
      </c>
      <c r="R47" s="14">
        <v>56720</v>
      </c>
      <c r="S47" s="14">
        <v>66172</v>
      </c>
      <c r="T47" s="14">
        <v>63809</v>
      </c>
      <c r="U47" s="14">
        <v>66173</v>
      </c>
      <c r="V47" s="14">
        <v>42540</v>
      </c>
      <c r="W47" s="14">
        <v>30724</v>
      </c>
      <c r="X47" s="14">
        <v>49629</v>
      </c>
      <c r="Y47" s="14">
        <v>37813</v>
      </c>
      <c r="Z47" s="14">
        <v>37813</v>
      </c>
      <c r="AA47" s="14">
        <v>0</v>
      </c>
      <c r="AB47" s="14">
        <v>0</v>
      </c>
      <c r="AC47" s="14">
        <v>0</v>
      </c>
      <c r="AD47" s="14">
        <v>56720</v>
      </c>
      <c r="AE47" s="14">
        <v>56719</v>
      </c>
      <c r="AF47" s="14">
        <v>54356</v>
      </c>
      <c r="AG47" s="14">
        <v>61446</v>
      </c>
      <c r="AH47" s="14">
        <v>59084</v>
      </c>
      <c r="AI47" s="14">
        <v>42540</v>
      </c>
      <c r="AJ47" s="14">
        <v>56720</v>
      </c>
      <c r="AK47" s="14">
        <v>53693</v>
      </c>
      <c r="AL47" s="14">
        <v>32813</v>
      </c>
      <c r="AM47" s="14">
        <v>53694</v>
      </c>
      <c r="AN47" s="14">
        <v>80540</v>
      </c>
      <c r="AO47" s="14">
        <v>53694</v>
      </c>
      <c r="AP47" s="14">
        <v>0</v>
      </c>
      <c r="AQ47" s="14">
        <v>6073</v>
      </c>
      <c r="AR47" s="14">
        <v>27326</v>
      </c>
      <c r="AS47" s="14">
        <v>45545</v>
      </c>
      <c r="AT47" s="14">
        <v>45545</v>
      </c>
      <c r="AU47" s="14">
        <v>33399</v>
      </c>
      <c r="AV47" s="15">
        <v>75905</v>
      </c>
      <c r="AW47" s="16">
        <f t="shared" si="15"/>
        <v>2083176</v>
      </c>
      <c r="AX47" s="16">
        <f t="shared" si="16"/>
        <v>44860.777777777781</v>
      </c>
      <c r="AY47" s="13">
        <f>AW47/AW13</f>
        <v>4.4359927549727576E-2</v>
      </c>
    </row>
    <row r="48" spans="1:51" x14ac:dyDescent="0.15">
      <c r="A48" s="50"/>
      <c r="B48" s="11" t="s">
        <v>104</v>
      </c>
      <c r="C48" s="14">
        <v>6000</v>
      </c>
      <c r="D48" s="14">
        <v>0</v>
      </c>
      <c r="E48" s="14">
        <v>6000</v>
      </c>
      <c r="F48" s="14">
        <v>6000</v>
      </c>
      <c r="G48" s="14">
        <v>6000</v>
      </c>
      <c r="H48" s="14">
        <v>6000</v>
      </c>
      <c r="I48" s="14">
        <v>0</v>
      </c>
      <c r="J48" s="14">
        <v>0</v>
      </c>
      <c r="K48" s="14">
        <v>287</v>
      </c>
      <c r="L48" s="14">
        <v>4587</v>
      </c>
      <c r="M48" s="14">
        <v>5877</v>
      </c>
      <c r="N48" s="14">
        <v>3727</v>
      </c>
      <c r="O48" s="14">
        <v>3584</v>
      </c>
      <c r="P48" s="14">
        <v>3584</v>
      </c>
      <c r="Q48" s="14">
        <v>4014</v>
      </c>
      <c r="R48" s="14">
        <v>3440</v>
      </c>
      <c r="S48" s="14">
        <v>4013</v>
      </c>
      <c r="T48" s="14">
        <v>3870</v>
      </c>
      <c r="U48" s="14">
        <v>4013</v>
      </c>
      <c r="V48" s="14">
        <v>2580</v>
      </c>
      <c r="W48" s="14">
        <v>1864</v>
      </c>
      <c r="X48" s="14">
        <v>3009</v>
      </c>
      <c r="Y48" s="14">
        <v>2293</v>
      </c>
      <c r="Z48" s="14">
        <v>2293</v>
      </c>
      <c r="AA48" s="14">
        <v>0</v>
      </c>
      <c r="AB48" s="14">
        <v>0</v>
      </c>
      <c r="AC48" s="14">
        <v>0</v>
      </c>
      <c r="AD48" s="14">
        <v>3440</v>
      </c>
      <c r="AE48" s="14">
        <v>3440</v>
      </c>
      <c r="AF48" s="14">
        <v>3297</v>
      </c>
      <c r="AG48" s="14">
        <v>3727</v>
      </c>
      <c r="AH48" s="14">
        <v>3585</v>
      </c>
      <c r="AI48" s="14">
        <v>2580</v>
      </c>
      <c r="AJ48" s="14">
        <v>3440</v>
      </c>
      <c r="AK48" s="14">
        <v>2057</v>
      </c>
      <c r="AL48" s="14">
        <v>1257</v>
      </c>
      <c r="AM48" s="14">
        <v>2058</v>
      </c>
      <c r="AN48" s="14">
        <v>3086</v>
      </c>
      <c r="AO48" s="14">
        <v>2057</v>
      </c>
      <c r="AP48" s="14">
        <v>0</v>
      </c>
      <c r="AQ48" s="14">
        <v>485</v>
      </c>
      <c r="AR48" s="14">
        <v>2182</v>
      </c>
      <c r="AS48" s="14">
        <v>3637</v>
      </c>
      <c r="AT48" s="14">
        <v>3637</v>
      </c>
      <c r="AU48" s="14">
        <v>2667</v>
      </c>
      <c r="AV48" s="15">
        <v>6059</v>
      </c>
      <c r="AW48" s="16">
        <f t="shared" si="15"/>
        <v>135726</v>
      </c>
      <c r="AX48" s="16">
        <f t="shared" si="16"/>
        <v>2882.8</v>
      </c>
      <c r="AY48" s="13">
        <f>AW48/AW13</f>
        <v>2.8902001206879907E-3</v>
      </c>
    </row>
    <row r="49" spans="1:51" x14ac:dyDescent="0.15">
      <c r="A49" s="50"/>
      <c r="B49" s="24" t="s">
        <v>105</v>
      </c>
      <c r="C49" s="25">
        <f t="shared" ref="C49:AV49" si="17">SUM(C45:C48)</f>
        <v>482557</v>
      </c>
      <c r="D49" s="25">
        <f t="shared" si="17"/>
        <v>0</v>
      </c>
      <c r="E49" s="25">
        <f t="shared" si="17"/>
        <v>443156</v>
      </c>
      <c r="F49" s="25">
        <f t="shared" si="17"/>
        <v>442392</v>
      </c>
      <c r="G49" s="25">
        <f t="shared" si="17"/>
        <v>486446</v>
      </c>
      <c r="H49" s="25">
        <f t="shared" si="17"/>
        <v>487828</v>
      </c>
      <c r="I49" s="25">
        <f t="shared" si="17"/>
        <v>0</v>
      </c>
      <c r="J49" s="25">
        <f t="shared" si="17"/>
        <v>0</v>
      </c>
      <c r="K49" s="25">
        <f t="shared" si="17"/>
        <v>35028</v>
      </c>
      <c r="L49" s="25">
        <f t="shared" si="17"/>
        <v>560438</v>
      </c>
      <c r="M49" s="25">
        <f t="shared" si="17"/>
        <v>718062</v>
      </c>
      <c r="N49" s="25">
        <f t="shared" si="17"/>
        <v>455355</v>
      </c>
      <c r="O49" s="25">
        <f t="shared" si="17"/>
        <v>437842</v>
      </c>
      <c r="P49" s="25">
        <f t="shared" si="17"/>
        <v>437843</v>
      </c>
      <c r="Q49" s="25">
        <f t="shared" si="17"/>
        <v>490383</v>
      </c>
      <c r="R49" s="25">
        <f t="shared" si="17"/>
        <v>420329</v>
      </c>
      <c r="S49" s="25">
        <f t="shared" si="17"/>
        <v>490382</v>
      </c>
      <c r="T49" s="25">
        <f t="shared" si="17"/>
        <v>472868</v>
      </c>
      <c r="U49" s="25">
        <f t="shared" si="17"/>
        <v>490382</v>
      </c>
      <c r="V49" s="25">
        <f t="shared" si="17"/>
        <v>315246</v>
      </c>
      <c r="W49" s="25">
        <f t="shared" si="17"/>
        <v>227680</v>
      </c>
      <c r="X49" s="25">
        <f t="shared" si="17"/>
        <v>367785</v>
      </c>
      <c r="Y49" s="25">
        <f t="shared" si="17"/>
        <v>280218</v>
      </c>
      <c r="Z49" s="25">
        <f t="shared" si="17"/>
        <v>280218</v>
      </c>
      <c r="AA49" s="25">
        <f t="shared" si="17"/>
        <v>0</v>
      </c>
      <c r="AB49" s="25">
        <f t="shared" si="17"/>
        <v>0</v>
      </c>
      <c r="AC49" s="25">
        <f t="shared" si="17"/>
        <v>0</v>
      </c>
      <c r="AD49" s="25">
        <f t="shared" si="17"/>
        <v>420329</v>
      </c>
      <c r="AE49" s="25">
        <f t="shared" si="17"/>
        <v>420327</v>
      </c>
      <c r="AF49" s="25">
        <f t="shared" si="17"/>
        <v>402814</v>
      </c>
      <c r="AG49" s="25">
        <f t="shared" si="17"/>
        <v>455355</v>
      </c>
      <c r="AH49" s="25">
        <f t="shared" si="17"/>
        <v>437852</v>
      </c>
      <c r="AI49" s="25">
        <f t="shared" si="17"/>
        <v>315247</v>
      </c>
      <c r="AJ49" s="25">
        <f t="shared" si="17"/>
        <v>420328</v>
      </c>
      <c r="AK49" s="25">
        <f t="shared" si="17"/>
        <v>407936</v>
      </c>
      <c r="AL49" s="25">
        <f t="shared" si="17"/>
        <v>249296</v>
      </c>
      <c r="AM49" s="25">
        <f t="shared" si="17"/>
        <v>407939</v>
      </c>
      <c r="AN49" s="25">
        <f t="shared" si="17"/>
        <v>611903</v>
      </c>
      <c r="AO49" s="25">
        <f t="shared" si="17"/>
        <v>407937</v>
      </c>
      <c r="AP49" s="25">
        <f t="shared" si="17"/>
        <v>0</v>
      </c>
      <c r="AQ49" s="25">
        <f t="shared" si="17"/>
        <v>43918</v>
      </c>
      <c r="AR49" s="25">
        <f t="shared" si="17"/>
        <v>197628</v>
      </c>
      <c r="AS49" s="25">
        <f t="shared" si="17"/>
        <v>329382</v>
      </c>
      <c r="AT49" s="25">
        <f t="shared" si="17"/>
        <v>329383</v>
      </c>
      <c r="AU49" s="25">
        <f t="shared" si="17"/>
        <v>241546</v>
      </c>
      <c r="AV49" s="26">
        <f t="shared" si="17"/>
        <v>548967</v>
      </c>
      <c r="AW49" s="27">
        <f t="shared" si="15"/>
        <v>15470525</v>
      </c>
      <c r="AX49" s="27">
        <f t="shared" si="16"/>
        <v>333065.95555555553</v>
      </c>
      <c r="AY49" s="28">
        <f>AW49/AW13</f>
        <v>0.32943513565644439</v>
      </c>
    </row>
    <row r="50" spans="1:51" x14ac:dyDescent="0.15">
      <c r="A50" s="50" t="s">
        <v>106</v>
      </c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6882.3529411764703</v>
      </c>
      <c r="L50" s="14">
        <v>6882.3529411764703</v>
      </c>
      <c r="M50" s="14">
        <v>6882.3529411764703</v>
      </c>
      <c r="N50" s="14">
        <v>6882.3529411764703</v>
      </c>
      <c r="O50" s="14">
        <v>6882.3529411764703</v>
      </c>
      <c r="P50" s="14">
        <v>6882.3529411764703</v>
      </c>
      <c r="Q50" s="14">
        <v>6882.3529411764703</v>
      </c>
      <c r="R50" s="14">
        <v>6882.3529411764703</v>
      </c>
      <c r="S50" s="14">
        <v>6882.3529411764703</v>
      </c>
      <c r="T50" s="14">
        <v>6882.3529411764703</v>
      </c>
      <c r="U50" s="14">
        <v>6882.3529411764703</v>
      </c>
      <c r="V50" s="14">
        <v>6882.3529411764703</v>
      </c>
      <c r="W50" s="14">
        <v>6882.3529411764703</v>
      </c>
      <c r="X50" s="14">
        <v>6882.3529411764703</v>
      </c>
      <c r="Y50" s="14">
        <v>6882.3529411764703</v>
      </c>
      <c r="Z50" s="14">
        <v>6882.3529411764703</v>
      </c>
      <c r="AA50" s="14">
        <v>0</v>
      </c>
      <c r="AB50" s="14">
        <v>0</v>
      </c>
      <c r="AC50" s="14">
        <v>6882.3529411764703</v>
      </c>
      <c r="AD50" s="14">
        <v>21428.571428571428</v>
      </c>
      <c r="AE50" s="14">
        <v>21428.571428571428</v>
      </c>
      <c r="AF50" s="14">
        <v>21428.571428571428</v>
      </c>
      <c r="AG50" s="14">
        <v>21428.571428571428</v>
      </c>
      <c r="AH50" s="14">
        <v>21428.571428571428</v>
      </c>
      <c r="AI50" s="14">
        <v>21428.571428571428</v>
      </c>
      <c r="AJ50" s="14">
        <v>21428.571428571428</v>
      </c>
      <c r="AK50" s="14">
        <v>59400</v>
      </c>
      <c r="AL50" s="14">
        <v>59400</v>
      </c>
      <c r="AM50" s="14">
        <v>59400</v>
      </c>
      <c r="AN50" s="14">
        <v>59400</v>
      </c>
      <c r="AO50" s="14">
        <v>59400</v>
      </c>
      <c r="AP50" s="14">
        <v>0</v>
      </c>
      <c r="AQ50" s="14">
        <v>28333.333333333332</v>
      </c>
      <c r="AR50" s="14">
        <v>28333.333333333332</v>
      </c>
      <c r="AS50" s="14">
        <v>28333.333333333332</v>
      </c>
      <c r="AT50" s="14">
        <v>28333.333333333332</v>
      </c>
      <c r="AU50" s="14">
        <v>28333.333333333332</v>
      </c>
      <c r="AV50" s="15">
        <v>28333.333333333332</v>
      </c>
      <c r="AW50" s="16">
        <f t="shared" si="15"/>
        <v>734000.00000000023</v>
      </c>
      <c r="AX50" s="16">
        <f t="shared" si="16"/>
        <v>16311.111111111117</v>
      </c>
      <c r="AY50" s="13">
        <f>AW50/AW13</f>
        <v>1.5630070057210746E-2</v>
      </c>
    </row>
    <row r="51" spans="1:51" x14ac:dyDescent="0.15">
      <c r="A51" s="50"/>
      <c r="B51" s="11" t="s">
        <v>108</v>
      </c>
      <c r="C51" s="14">
        <v>0</v>
      </c>
      <c r="D51" s="14">
        <v>1213940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 s="14">
        <v>0</v>
      </c>
      <c r="AG51" s="14">
        <v>0</v>
      </c>
      <c r="AH51" s="14">
        <v>0</v>
      </c>
      <c r="AI51" s="14">
        <v>0</v>
      </c>
      <c r="AJ51" s="14">
        <v>0</v>
      </c>
      <c r="AK51" s="14">
        <v>0</v>
      </c>
      <c r="AL51" s="14">
        <v>0</v>
      </c>
      <c r="AM51" s="14">
        <v>0</v>
      </c>
      <c r="AN51" s="14">
        <v>0</v>
      </c>
      <c r="AO51" s="14">
        <v>0</v>
      </c>
      <c r="AP51" s="14">
        <v>0</v>
      </c>
      <c r="AQ51" s="14">
        <v>0</v>
      </c>
      <c r="AR51" s="14">
        <v>0</v>
      </c>
      <c r="AS51" s="14">
        <v>0</v>
      </c>
      <c r="AT51" s="14">
        <v>0</v>
      </c>
      <c r="AU51" s="14">
        <v>0</v>
      </c>
      <c r="AV51" s="15">
        <v>0</v>
      </c>
      <c r="AW51" s="16">
        <f t="shared" si="15"/>
        <v>1213940</v>
      </c>
      <c r="AX51" s="16">
        <f t="shared" si="16"/>
        <v>26976.444444444445</v>
      </c>
      <c r="AY51" s="13">
        <f>AW51/AW13</f>
        <v>2.5850091614782571E-2</v>
      </c>
    </row>
    <row r="52" spans="1:51" x14ac:dyDescent="0.15">
      <c r="A52" s="50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 s="14">
        <v>0</v>
      </c>
      <c r="AG52" s="14">
        <v>0</v>
      </c>
      <c r="AH52" s="14">
        <v>0</v>
      </c>
      <c r="AI52" s="14">
        <v>0</v>
      </c>
      <c r="AJ52" s="14">
        <v>0</v>
      </c>
      <c r="AK52" s="14">
        <v>0</v>
      </c>
      <c r="AL52" s="14">
        <v>0</v>
      </c>
      <c r="AM52" s="14">
        <v>0</v>
      </c>
      <c r="AN52" s="14">
        <v>0</v>
      </c>
      <c r="AO52" s="14">
        <v>0</v>
      </c>
      <c r="AP52" s="14">
        <v>0</v>
      </c>
      <c r="AQ52" s="14">
        <v>0</v>
      </c>
      <c r="AR52" s="14">
        <v>0</v>
      </c>
      <c r="AS52" s="14">
        <v>0</v>
      </c>
      <c r="AT52" s="14">
        <v>0</v>
      </c>
      <c r="AU52" s="14">
        <v>0</v>
      </c>
      <c r="AV52" s="15">
        <v>0</v>
      </c>
      <c r="AW52" s="16">
        <f t="shared" si="15"/>
        <v>0</v>
      </c>
      <c r="AX52" s="16">
        <f t="shared" si="16"/>
        <v>0</v>
      </c>
      <c r="AY52" s="13">
        <f>AW52/AW13</f>
        <v>0</v>
      </c>
    </row>
    <row r="53" spans="1:51" x14ac:dyDescent="0.15">
      <c r="A53" s="50"/>
      <c r="B53" s="11" t="s">
        <v>110</v>
      </c>
      <c r="C53" s="14">
        <v>98824.28571428571</v>
      </c>
      <c r="D53" s="14">
        <v>0</v>
      </c>
      <c r="E53" s="14">
        <v>98824.28571428571</v>
      </c>
      <c r="F53" s="14">
        <v>98824.28571428571</v>
      </c>
      <c r="G53" s="14">
        <v>98824.28571428571</v>
      </c>
      <c r="H53" s="14">
        <v>98824.28571428571</v>
      </c>
      <c r="I53" s="14">
        <v>98824.28571428571</v>
      </c>
      <c r="J53" s="14">
        <v>98824.28571428571</v>
      </c>
      <c r="K53" s="14">
        <v>96534.823529411762</v>
      </c>
      <c r="L53" s="14">
        <v>96534.823529411762</v>
      </c>
      <c r="M53" s="14">
        <v>96534.823529411762</v>
      </c>
      <c r="N53" s="14">
        <v>96534.823529411762</v>
      </c>
      <c r="O53" s="14">
        <v>96534.823529411762</v>
      </c>
      <c r="P53" s="14">
        <v>96534.823529411762</v>
      </c>
      <c r="Q53" s="14">
        <v>96534.823529411762</v>
      </c>
      <c r="R53" s="14">
        <v>96534.823529411762</v>
      </c>
      <c r="S53" s="14">
        <v>96534.823529411762</v>
      </c>
      <c r="T53" s="14">
        <v>96534.823529411762</v>
      </c>
      <c r="U53" s="14">
        <v>96534.823529411762</v>
      </c>
      <c r="V53" s="14">
        <v>96534.823529411762</v>
      </c>
      <c r="W53" s="14">
        <v>96534.823529411762</v>
      </c>
      <c r="X53" s="14">
        <v>96534.823529411762</v>
      </c>
      <c r="Y53" s="14">
        <v>96534.823529411762</v>
      </c>
      <c r="Z53" s="14">
        <v>96534.823529411762</v>
      </c>
      <c r="AA53" s="14">
        <v>0</v>
      </c>
      <c r="AB53" s="14">
        <v>0</v>
      </c>
      <c r="AC53" s="14">
        <v>96534.823529411762</v>
      </c>
      <c r="AD53" s="14">
        <v>63673</v>
      </c>
      <c r="AE53" s="14">
        <v>63673</v>
      </c>
      <c r="AF53" s="14">
        <v>63673</v>
      </c>
      <c r="AG53" s="14">
        <v>63673</v>
      </c>
      <c r="AH53" s="14">
        <v>63673</v>
      </c>
      <c r="AI53" s="14">
        <v>63673</v>
      </c>
      <c r="AJ53" s="14">
        <v>63673</v>
      </c>
      <c r="AK53" s="14">
        <v>60241</v>
      </c>
      <c r="AL53" s="14">
        <v>60241</v>
      </c>
      <c r="AM53" s="14">
        <v>60241</v>
      </c>
      <c r="AN53" s="14">
        <v>60241</v>
      </c>
      <c r="AO53" s="14">
        <v>60241</v>
      </c>
      <c r="AP53" s="14">
        <v>0</v>
      </c>
      <c r="AQ53" s="14">
        <v>96475.166666666672</v>
      </c>
      <c r="AR53" s="14">
        <v>96475.166666666672</v>
      </c>
      <c r="AS53" s="14">
        <v>96475.166666666672</v>
      </c>
      <c r="AT53" s="14">
        <v>96475.166666666672</v>
      </c>
      <c r="AU53" s="14">
        <v>96475.166666666672</v>
      </c>
      <c r="AV53" s="15">
        <v>96475.166666666672</v>
      </c>
      <c r="AW53" s="16">
        <f t="shared" si="15"/>
        <v>3658628.9999999991</v>
      </c>
      <c r="AX53" s="16">
        <f t="shared" si="16"/>
        <v>79106.771428571417</v>
      </c>
      <c r="AY53" s="13">
        <f>AW53/AW13</f>
        <v>7.7908211966407168E-2</v>
      </c>
    </row>
    <row r="54" spans="1:51" x14ac:dyDescent="0.15">
      <c r="A54" s="50"/>
      <c r="B54" s="11" t="s">
        <v>111</v>
      </c>
      <c r="C54" s="14">
        <v>97105.28571428571</v>
      </c>
      <c r="D54" s="14">
        <v>0</v>
      </c>
      <c r="E54" s="14">
        <v>97105.28571428571</v>
      </c>
      <c r="F54" s="14">
        <v>97105.28571428571</v>
      </c>
      <c r="G54" s="14">
        <v>97105.28571428571</v>
      </c>
      <c r="H54" s="14">
        <v>97105.28571428571</v>
      </c>
      <c r="I54" s="14">
        <v>97105.28571428571</v>
      </c>
      <c r="J54" s="14">
        <v>97105.28571428571</v>
      </c>
      <c r="K54" s="14">
        <v>54692.647058823532</v>
      </c>
      <c r="L54" s="14">
        <v>54692.647058823532</v>
      </c>
      <c r="M54" s="14">
        <v>54692.647058823532</v>
      </c>
      <c r="N54" s="14">
        <v>54692.647058823532</v>
      </c>
      <c r="O54" s="14">
        <v>54692.647058823532</v>
      </c>
      <c r="P54" s="14">
        <v>54692.647058823532</v>
      </c>
      <c r="Q54" s="14">
        <v>54692.647058823532</v>
      </c>
      <c r="R54" s="14">
        <v>54692.647058823532</v>
      </c>
      <c r="S54" s="14">
        <v>54692.647058823532</v>
      </c>
      <c r="T54" s="14">
        <v>54692.647058823532</v>
      </c>
      <c r="U54" s="14">
        <v>54692.647058823532</v>
      </c>
      <c r="V54" s="14">
        <v>54692.647058823532</v>
      </c>
      <c r="W54" s="14">
        <v>54692.647058823532</v>
      </c>
      <c r="X54" s="14">
        <v>54692.647058823532</v>
      </c>
      <c r="Y54" s="14">
        <v>54692.647058823532</v>
      </c>
      <c r="Z54" s="14">
        <v>54692.647058823532</v>
      </c>
      <c r="AA54" s="14">
        <v>0</v>
      </c>
      <c r="AB54" s="14">
        <v>0</v>
      </c>
      <c r="AC54" s="14">
        <v>54692.647058823532</v>
      </c>
      <c r="AD54" s="14">
        <v>54692.714285714283</v>
      </c>
      <c r="AE54" s="14">
        <v>54692.714285714283</v>
      </c>
      <c r="AF54" s="14">
        <v>54692.714285714283</v>
      </c>
      <c r="AG54" s="14">
        <v>54692.714285714283</v>
      </c>
      <c r="AH54" s="14">
        <v>54692.714285714283</v>
      </c>
      <c r="AI54" s="14">
        <v>54692.714285714283</v>
      </c>
      <c r="AJ54" s="14">
        <v>54692.714285714283</v>
      </c>
      <c r="AK54" s="14">
        <v>35122.800000000003</v>
      </c>
      <c r="AL54" s="14">
        <v>35122.800000000003</v>
      </c>
      <c r="AM54" s="14">
        <v>35122.800000000003</v>
      </c>
      <c r="AN54" s="14">
        <v>35122.800000000003</v>
      </c>
      <c r="AO54" s="14">
        <v>35122.800000000003</v>
      </c>
      <c r="AP54" s="14">
        <v>0</v>
      </c>
      <c r="AQ54" s="14">
        <v>31028.166666666668</v>
      </c>
      <c r="AR54" s="14">
        <v>31028.166666666668</v>
      </c>
      <c r="AS54" s="14">
        <v>31028.166666666668</v>
      </c>
      <c r="AT54" s="14">
        <v>31028.166666666668</v>
      </c>
      <c r="AU54" s="14">
        <v>31028.166666666668</v>
      </c>
      <c r="AV54" s="15">
        <v>31028.166666666668</v>
      </c>
      <c r="AW54" s="16">
        <f t="shared" si="15"/>
        <v>2354143.9999999995</v>
      </c>
      <c r="AX54" s="16">
        <f t="shared" si="16"/>
        <v>50156.415873015867</v>
      </c>
      <c r="AY54" s="13">
        <f>AW54/AW13</f>
        <v>5.0130021314390073E-2</v>
      </c>
    </row>
    <row r="55" spans="1:51" x14ac:dyDescent="0.15">
      <c r="A55" s="50"/>
      <c r="B55" s="24" t="s">
        <v>112</v>
      </c>
      <c r="C55" s="25">
        <f t="shared" ref="C55:AV55" si="18">SUM(C50:C54)</f>
        <v>195929.57142857142</v>
      </c>
      <c r="D55" s="25">
        <f t="shared" si="18"/>
        <v>1213940</v>
      </c>
      <c r="E55" s="25">
        <f t="shared" si="18"/>
        <v>195929.57142857142</v>
      </c>
      <c r="F55" s="25">
        <f t="shared" si="18"/>
        <v>195929.57142857142</v>
      </c>
      <c r="G55" s="25">
        <f t="shared" si="18"/>
        <v>195929.57142857142</v>
      </c>
      <c r="H55" s="25">
        <f t="shared" si="18"/>
        <v>195929.57142857142</v>
      </c>
      <c r="I55" s="25">
        <f t="shared" si="18"/>
        <v>195929.57142857142</v>
      </c>
      <c r="J55" s="25">
        <f t="shared" si="18"/>
        <v>195929.57142857142</v>
      </c>
      <c r="K55" s="25">
        <f t="shared" si="18"/>
        <v>158109.82352941178</v>
      </c>
      <c r="L55" s="25">
        <f t="shared" si="18"/>
        <v>158109.82352941178</v>
      </c>
      <c r="M55" s="25">
        <f t="shared" si="18"/>
        <v>158109.82352941178</v>
      </c>
      <c r="N55" s="25">
        <f t="shared" si="18"/>
        <v>158109.82352941178</v>
      </c>
      <c r="O55" s="25">
        <f t="shared" si="18"/>
        <v>158109.82352941178</v>
      </c>
      <c r="P55" s="25">
        <f t="shared" si="18"/>
        <v>158109.82352941178</v>
      </c>
      <c r="Q55" s="25">
        <f t="shared" si="18"/>
        <v>158109.82352941178</v>
      </c>
      <c r="R55" s="25">
        <f t="shared" si="18"/>
        <v>158109.82352941178</v>
      </c>
      <c r="S55" s="25">
        <f t="shared" si="18"/>
        <v>158109.82352941178</v>
      </c>
      <c r="T55" s="25">
        <f t="shared" si="18"/>
        <v>158109.82352941178</v>
      </c>
      <c r="U55" s="25">
        <f t="shared" si="18"/>
        <v>158109.82352941178</v>
      </c>
      <c r="V55" s="25">
        <f t="shared" si="18"/>
        <v>158109.82352941178</v>
      </c>
      <c r="W55" s="25">
        <f t="shared" si="18"/>
        <v>158109.82352941178</v>
      </c>
      <c r="X55" s="25">
        <f t="shared" si="18"/>
        <v>158109.82352941178</v>
      </c>
      <c r="Y55" s="25">
        <f t="shared" si="18"/>
        <v>158109.82352941178</v>
      </c>
      <c r="Z55" s="25">
        <f t="shared" si="18"/>
        <v>158109.82352941178</v>
      </c>
      <c r="AA55" s="25">
        <f t="shared" si="18"/>
        <v>0</v>
      </c>
      <c r="AB55" s="25">
        <f t="shared" si="18"/>
        <v>0</v>
      </c>
      <c r="AC55" s="25">
        <f t="shared" si="18"/>
        <v>158109.82352941178</v>
      </c>
      <c r="AD55" s="25">
        <f t="shared" si="18"/>
        <v>139794.28571428571</v>
      </c>
      <c r="AE55" s="25">
        <f t="shared" si="18"/>
        <v>139794.28571428571</v>
      </c>
      <c r="AF55" s="25">
        <f t="shared" si="18"/>
        <v>139794.28571428571</v>
      </c>
      <c r="AG55" s="25">
        <f t="shared" si="18"/>
        <v>139794.28571428571</v>
      </c>
      <c r="AH55" s="25">
        <f t="shared" si="18"/>
        <v>139794.28571428571</v>
      </c>
      <c r="AI55" s="25">
        <f t="shared" si="18"/>
        <v>139794.28571428571</v>
      </c>
      <c r="AJ55" s="25">
        <f t="shared" si="18"/>
        <v>139794.28571428571</v>
      </c>
      <c r="AK55" s="25">
        <f t="shared" si="18"/>
        <v>154763.79999999999</v>
      </c>
      <c r="AL55" s="25">
        <f t="shared" si="18"/>
        <v>154763.79999999999</v>
      </c>
      <c r="AM55" s="25">
        <f t="shared" si="18"/>
        <v>154763.79999999999</v>
      </c>
      <c r="AN55" s="25">
        <f t="shared" si="18"/>
        <v>154763.79999999999</v>
      </c>
      <c r="AO55" s="25">
        <f t="shared" si="18"/>
        <v>154763.79999999999</v>
      </c>
      <c r="AP55" s="25">
        <f t="shared" si="18"/>
        <v>0</v>
      </c>
      <c r="AQ55" s="25">
        <f t="shared" si="18"/>
        <v>155836.66666666666</v>
      </c>
      <c r="AR55" s="25">
        <f t="shared" si="18"/>
        <v>155836.66666666666</v>
      </c>
      <c r="AS55" s="25">
        <f t="shared" si="18"/>
        <v>155836.66666666666</v>
      </c>
      <c r="AT55" s="25">
        <f t="shared" si="18"/>
        <v>155836.66666666666</v>
      </c>
      <c r="AU55" s="25">
        <f t="shared" si="18"/>
        <v>155836.66666666666</v>
      </c>
      <c r="AV55" s="26">
        <f t="shared" si="18"/>
        <v>155836.66666666666</v>
      </c>
      <c r="AW55" s="27">
        <f t="shared" si="15"/>
        <v>7960712.9999999981</v>
      </c>
      <c r="AX55" s="27">
        <f t="shared" si="16"/>
        <v>172550.74285714282</v>
      </c>
      <c r="AY55" s="28">
        <f>AW55/AW13</f>
        <v>0.16951839495279056</v>
      </c>
    </row>
    <row r="56" spans="1:51" x14ac:dyDescent="0.15">
      <c r="A56" s="49" t="s">
        <v>113</v>
      </c>
      <c r="B56" s="49"/>
      <c r="C56" s="14">
        <f t="shared" ref="C56:AV56" si="19">SUM(C49+C22+C27+C33+C39+C44+C55)</f>
        <v>906559.12857142859</v>
      </c>
      <c r="D56" s="14">
        <f t="shared" si="19"/>
        <v>1213940</v>
      </c>
      <c r="E56" s="14">
        <f t="shared" si="19"/>
        <v>864076.68571428582</v>
      </c>
      <c r="F56" s="14">
        <f t="shared" si="19"/>
        <v>988557.72857142868</v>
      </c>
      <c r="G56" s="14">
        <f t="shared" si="19"/>
        <v>972731.72857142868</v>
      </c>
      <c r="H56" s="14">
        <f t="shared" si="19"/>
        <v>1057310.8</v>
      </c>
      <c r="I56" s="14">
        <f t="shared" si="19"/>
        <v>400304.24285714288</v>
      </c>
      <c r="J56" s="14">
        <f t="shared" si="19"/>
        <v>536264.57142857136</v>
      </c>
      <c r="K56" s="14">
        <f t="shared" si="19"/>
        <v>312174.02352941176</v>
      </c>
      <c r="L56" s="14">
        <f t="shared" si="19"/>
        <v>937810.53781512612</v>
      </c>
      <c r="M56" s="14">
        <f t="shared" si="19"/>
        <v>1185089.9949579833</v>
      </c>
      <c r="N56" s="14">
        <f t="shared" si="19"/>
        <v>1032864.9949579831</v>
      </c>
      <c r="O56" s="14">
        <f t="shared" si="19"/>
        <v>839312.75210084044</v>
      </c>
      <c r="P56" s="14">
        <f t="shared" si="19"/>
        <v>908504.75210084033</v>
      </c>
      <c r="Q56" s="14">
        <f t="shared" si="19"/>
        <v>1070475.0235294118</v>
      </c>
      <c r="R56" s="14">
        <f t="shared" si="19"/>
        <v>1206414.5521008405</v>
      </c>
      <c r="S56" s="14">
        <f t="shared" si="19"/>
        <v>923117.62352941185</v>
      </c>
      <c r="T56" s="14">
        <f t="shared" si="19"/>
        <v>997678.98067226901</v>
      </c>
      <c r="U56" s="14">
        <f t="shared" si="19"/>
        <v>954530.79495798331</v>
      </c>
      <c r="V56" s="14">
        <f t="shared" si="19"/>
        <v>992012.46638655465</v>
      </c>
      <c r="W56" s="14">
        <f t="shared" si="19"/>
        <v>614438.3521008403</v>
      </c>
      <c r="X56" s="14">
        <f t="shared" si="19"/>
        <v>968137.62352941185</v>
      </c>
      <c r="Y56" s="14">
        <f t="shared" si="19"/>
        <v>749787.62352941185</v>
      </c>
      <c r="Z56" s="14">
        <f t="shared" si="19"/>
        <v>649150.29495798319</v>
      </c>
      <c r="AA56" s="14">
        <f t="shared" si="19"/>
        <v>0</v>
      </c>
      <c r="AB56" s="14">
        <f t="shared" si="19"/>
        <v>0</v>
      </c>
      <c r="AC56" s="14">
        <f t="shared" si="19"/>
        <v>248084.82352941178</v>
      </c>
      <c r="AD56" s="14">
        <f t="shared" si="19"/>
        <v>857501.85714285704</v>
      </c>
      <c r="AE56" s="14">
        <f t="shared" si="19"/>
        <v>1000569.9857142856</v>
      </c>
      <c r="AF56" s="14">
        <f t="shared" si="19"/>
        <v>1101644.9000000001</v>
      </c>
      <c r="AG56" s="14">
        <f t="shared" si="19"/>
        <v>1031774.1857142857</v>
      </c>
      <c r="AH56" s="14">
        <f t="shared" si="19"/>
        <v>928298.78571428568</v>
      </c>
      <c r="AI56" s="14">
        <f t="shared" si="19"/>
        <v>1005478.5</v>
      </c>
      <c r="AJ56" s="14">
        <f t="shared" si="19"/>
        <v>785213.7</v>
      </c>
      <c r="AK56" s="14">
        <f t="shared" si="19"/>
        <v>878132.40000000014</v>
      </c>
      <c r="AL56" s="14">
        <f t="shared" si="19"/>
        <v>641370.39999999991</v>
      </c>
      <c r="AM56" s="14">
        <f t="shared" si="19"/>
        <v>755656.92857142864</v>
      </c>
      <c r="AN56" s="14">
        <f t="shared" si="19"/>
        <v>1079758.8</v>
      </c>
      <c r="AO56" s="14">
        <f t="shared" si="19"/>
        <v>815611.35714285704</v>
      </c>
      <c r="AP56" s="14">
        <f t="shared" si="19"/>
        <v>0</v>
      </c>
      <c r="AQ56" s="14">
        <f t="shared" si="19"/>
        <v>468527.8666666667</v>
      </c>
      <c r="AR56" s="14">
        <f t="shared" si="19"/>
        <v>627070.19523809524</v>
      </c>
      <c r="AS56" s="14">
        <f t="shared" si="19"/>
        <v>1116622.2238095237</v>
      </c>
      <c r="AT56" s="14">
        <f t="shared" si="19"/>
        <v>940971.06666666665</v>
      </c>
      <c r="AU56" s="14">
        <f t="shared" si="19"/>
        <v>888413.7666666666</v>
      </c>
      <c r="AV56" s="15">
        <f t="shared" si="19"/>
        <v>1219363.6095238095</v>
      </c>
      <c r="AW56" s="16">
        <f t="shared" si="15"/>
        <v>37671310.628571436</v>
      </c>
      <c r="AX56" s="16">
        <f t="shared" si="16"/>
        <v>816994.47777777794</v>
      </c>
      <c r="AY56" s="13">
        <f>AW56/AW13</f>
        <v>0.80218695404839124</v>
      </c>
    </row>
    <row r="57" spans="1:51" x14ac:dyDescent="0.15">
      <c r="A57" s="49" t="s">
        <v>114</v>
      </c>
      <c r="B57" s="49"/>
      <c r="C57" s="14">
        <f>SUM(C13+C14-C56)</f>
        <v>387962.87142857141</v>
      </c>
      <c r="D57" s="14">
        <f t="shared" ref="D57:AV57" si="20">SUM(D13+D14-D56)</f>
        <v>69283</v>
      </c>
      <c r="E57" s="14">
        <f t="shared" si="20"/>
        <v>394983.31428571418</v>
      </c>
      <c r="F57" s="14">
        <f t="shared" si="20"/>
        <v>215850.27142857132</v>
      </c>
      <c r="G57" s="14">
        <f t="shared" si="20"/>
        <v>222568.27142857132</v>
      </c>
      <c r="H57" s="14">
        <f t="shared" si="20"/>
        <v>446484.19999999995</v>
      </c>
      <c r="I57" s="14">
        <f t="shared" si="20"/>
        <v>131995.75714285712</v>
      </c>
      <c r="J57" s="14">
        <f t="shared" si="20"/>
        <v>-536264.57142857136</v>
      </c>
      <c r="K57" s="14">
        <f t="shared" si="20"/>
        <v>-177165.02352941176</v>
      </c>
      <c r="L57" s="14">
        <f t="shared" si="20"/>
        <v>-10368.537815126125</v>
      </c>
      <c r="M57" s="14">
        <f t="shared" si="20"/>
        <v>48800.005042016739</v>
      </c>
      <c r="N57" s="14">
        <f t="shared" si="20"/>
        <v>186005.00504201686</v>
      </c>
      <c r="O57" s="14">
        <f t="shared" si="20"/>
        <v>370827.24789915956</v>
      </c>
      <c r="P57" s="14">
        <f t="shared" si="20"/>
        <v>296115.24789915967</v>
      </c>
      <c r="Q57" s="14">
        <f t="shared" si="20"/>
        <v>460384.97647058824</v>
      </c>
      <c r="R57" s="14">
        <f t="shared" si="20"/>
        <v>7445.4478991595097</v>
      </c>
      <c r="S57" s="14">
        <f t="shared" si="20"/>
        <v>300472.37647058815</v>
      </c>
      <c r="T57" s="14">
        <f t="shared" si="20"/>
        <v>227951.01932773099</v>
      </c>
      <c r="U57" s="14">
        <f t="shared" si="20"/>
        <v>337749.20504201669</v>
      </c>
      <c r="V57" s="14">
        <f t="shared" si="20"/>
        <v>-119232.46638655465</v>
      </c>
      <c r="W57" s="14">
        <f t="shared" si="20"/>
        <v>594801.6478991597</v>
      </c>
      <c r="X57" s="14">
        <f t="shared" si="20"/>
        <v>292192.37647058815</v>
      </c>
      <c r="Y57" s="14">
        <f t="shared" si="20"/>
        <v>620948.37647058815</v>
      </c>
      <c r="Z57" s="14">
        <f t="shared" si="20"/>
        <v>620103.70504201681</v>
      </c>
      <c r="AA57" s="14">
        <f t="shared" si="20"/>
        <v>11000</v>
      </c>
      <c r="AB57" s="14">
        <f t="shared" si="20"/>
        <v>612966</v>
      </c>
      <c r="AC57" s="14">
        <f t="shared" si="20"/>
        <v>-248084.82352941178</v>
      </c>
      <c r="AD57" s="14">
        <f t="shared" si="20"/>
        <v>960980.14285714296</v>
      </c>
      <c r="AE57" s="14">
        <f t="shared" si="20"/>
        <v>784828.01428571437</v>
      </c>
      <c r="AF57" s="14">
        <f t="shared" si="20"/>
        <v>147583.09999999986</v>
      </c>
      <c r="AG57" s="14">
        <f t="shared" si="20"/>
        <v>209805.8142857143</v>
      </c>
      <c r="AH57" s="14">
        <f t="shared" si="20"/>
        <v>667076.21428571432</v>
      </c>
      <c r="AI57" s="14">
        <f t="shared" si="20"/>
        <v>156907.5</v>
      </c>
      <c r="AJ57" s="14">
        <f t="shared" si="20"/>
        <v>281490.30000000005</v>
      </c>
      <c r="AK57" s="14">
        <f t="shared" si="20"/>
        <v>877167.59999999986</v>
      </c>
      <c r="AL57" s="14">
        <f t="shared" si="20"/>
        <v>230729.60000000009</v>
      </c>
      <c r="AM57" s="14">
        <f t="shared" si="20"/>
        <v>210043.07142857136</v>
      </c>
      <c r="AN57" s="14">
        <f t="shared" si="20"/>
        <v>352562.19999999995</v>
      </c>
      <c r="AO57" s="14">
        <f t="shared" si="20"/>
        <v>183988.64285714296</v>
      </c>
      <c r="AP57" s="14">
        <f t="shared" si="20"/>
        <v>405067</v>
      </c>
      <c r="AQ57" s="14">
        <f t="shared" si="20"/>
        <v>-468527.8666666667</v>
      </c>
      <c r="AR57" s="14">
        <f t="shared" si="20"/>
        <v>133329.80476190476</v>
      </c>
      <c r="AS57" s="14">
        <f t="shared" si="20"/>
        <v>-412722.22380952374</v>
      </c>
      <c r="AT57" s="14">
        <f t="shared" si="20"/>
        <v>-186971.06666666665</v>
      </c>
      <c r="AU57" s="14">
        <f t="shared" si="20"/>
        <v>-171413.7666666666</v>
      </c>
      <c r="AV57" s="15">
        <f t="shared" si="20"/>
        <v>-139057.60952380951</v>
      </c>
      <c r="AW57" s="16">
        <f t="shared" si="15"/>
        <v>9988641.3714285679</v>
      </c>
      <c r="AX57" s="16">
        <f t="shared" si="16"/>
        <v>213348.41111111103</v>
      </c>
      <c r="AY57" s="13">
        <f>AW57/AW13</f>
        <v>0.21270185887163773</v>
      </c>
    </row>
    <row r="58" spans="1:51" x14ac:dyDescent="0.15">
      <c r="A58" s="49" t="s">
        <v>115</v>
      </c>
      <c r="B58" s="49"/>
      <c r="C58" s="14">
        <v>107211.78571428571</v>
      </c>
      <c r="D58" s="14">
        <v>0</v>
      </c>
      <c r="E58" s="14">
        <v>107211.78571428571</v>
      </c>
      <c r="F58" s="14">
        <v>107211.78571428571</v>
      </c>
      <c r="G58" s="14">
        <v>107211.78571428571</v>
      </c>
      <c r="H58" s="14">
        <v>107211.78571428571</v>
      </c>
      <c r="I58" s="14">
        <v>107211.78571428571</v>
      </c>
      <c r="J58" s="14">
        <v>107211.78571428571</v>
      </c>
      <c r="K58" s="14">
        <v>107211.78571428571</v>
      </c>
      <c r="L58" s="14">
        <v>107211.78571428571</v>
      </c>
      <c r="M58" s="14">
        <v>107211.78571428571</v>
      </c>
      <c r="N58" s="14">
        <v>107211.78571428571</v>
      </c>
      <c r="O58" s="14">
        <v>107211.78571428571</v>
      </c>
      <c r="P58" s="14">
        <v>107211.78571428571</v>
      </c>
      <c r="Q58" s="14">
        <v>107211.78571428571</v>
      </c>
      <c r="R58" s="14">
        <v>107211.78571428571</v>
      </c>
      <c r="S58" s="14">
        <v>107211.78571428571</v>
      </c>
      <c r="T58" s="14">
        <v>107211.78571428571</v>
      </c>
      <c r="U58" s="14">
        <v>107211.78571428571</v>
      </c>
      <c r="V58" s="14">
        <v>107211.78571428571</v>
      </c>
      <c r="W58" s="14">
        <v>107211.78571428571</v>
      </c>
      <c r="X58" s="14">
        <v>107211.78571428571</v>
      </c>
      <c r="Y58" s="14">
        <v>107211.78571428571</v>
      </c>
      <c r="Z58" s="14">
        <v>107211.78571428571</v>
      </c>
      <c r="AA58" s="14">
        <v>0</v>
      </c>
      <c r="AB58" s="14">
        <v>0</v>
      </c>
      <c r="AC58" s="14">
        <v>107211.78571428571</v>
      </c>
      <c r="AD58" s="14">
        <v>107211.78571428571</v>
      </c>
      <c r="AE58" s="14">
        <v>107211.78571428571</v>
      </c>
      <c r="AF58" s="14">
        <v>107211.78571428571</v>
      </c>
      <c r="AG58" s="14">
        <v>107211.78571428571</v>
      </c>
      <c r="AH58" s="14">
        <v>107211.78571428571</v>
      </c>
      <c r="AI58" s="14">
        <v>107211.78571428571</v>
      </c>
      <c r="AJ58" s="14">
        <v>107211.78571428571</v>
      </c>
      <c r="AK58" s="14">
        <v>107211.78571428571</v>
      </c>
      <c r="AL58" s="14">
        <v>107211.78571428571</v>
      </c>
      <c r="AM58" s="14">
        <v>107211.78571428571</v>
      </c>
      <c r="AN58" s="14">
        <v>107211.78571428571</v>
      </c>
      <c r="AO58" s="14">
        <v>107211.78571428571</v>
      </c>
      <c r="AP58" s="14">
        <v>0</v>
      </c>
      <c r="AQ58" s="14">
        <v>107211.78571428571</v>
      </c>
      <c r="AR58" s="14">
        <v>107211.78571428571</v>
      </c>
      <c r="AS58" s="14">
        <v>107211.78571428571</v>
      </c>
      <c r="AT58" s="14">
        <v>107211.78571428571</v>
      </c>
      <c r="AU58" s="14">
        <v>107211.78571428571</v>
      </c>
      <c r="AV58" s="15">
        <v>107211.78571428571</v>
      </c>
      <c r="AW58" s="16">
        <f t="shared" si="15"/>
        <v>4502895.0000000028</v>
      </c>
      <c r="AX58" s="16">
        <f t="shared" si="16"/>
        <v>97681.849206349274</v>
      </c>
      <c r="AY58" s="13">
        <f>AW58/AW13</f>
        <v>9.5886327398179844E-2</v>
      </c>
    </row>
    <row r="59" spans="1:51" x14ac:dyDescent="0.15">
      <c r="A59" s="49" t="s">
        <v>116</v>
      </c>
      <c r="B59" s="49"/>
      <c r="C59" s="14">
        <v>28207.523809523809</v>
      </c>
      <c r="D59" s="14">
        <v>0</v>
      </c>
      <c r="E59" s="14">
        <v>28207.523809523809</v>
      </c>
      <c r="F59" s="14">
        <v>28207.523809523809</v>
      </c>
      <c r="G59" s="14">
        <v>28207.523809523809</v>
      </c>
      <c r="H59" s="14">
        <v>28207.523809523809</v>
      </c>
      <c r="I59" s="14">
        <v>28207.523809523809</v>
      </c>
      <c r="J59" s="14">
        <v>28207.523809523809</v>
      </c>
      <c r="K59" s="14">
        <v>28207.523809523809</v>
      </c>
      <c r="L59" s="14">
        <v>28207.523809523809</v>
      </c>
      <c r="M59" s="14">
        <v>28207.523809523809</v>
      </c>
      <c r="N59" s="14">
        <v>28207.523809523809</v>
      </c>
      <c r="O59" s="14">
        <v>28207.523809523809</v>
      </c>
      <c r="P59" s="14">
        <v>28207.523809523809</v>
      </c>
      <c r="Q59" s="14">
        <v>28207.523809523809</v>
      </c>
      <c r="R59" s="14">
        <v>28207.523809523809</v>
      </c>
      <c r="S59" s="14">
        <v>28207.523809523809</v>
      </c>
      <c r="T59" s="14">
        <v>28207.523809523809</v>
      </c>
      <c r="U59" s="14">
        <v>28207.523809523809</v>
      </c>
      <c r="V59" s="14">
        <v>28207.523809523809</v>
      </c>
      <c r="W59" s="14">
        <v>28207.523809523809</v>
      </c>
      <c r="X59" s="14">
        <v>28207.523809523809</v>
      </c>
      <c r="Y59" s="14">
        <v>28207.523809523809</v>
      </c>
      <c r="Z59" s="14">
        <v>28207.523809523809</v>
      </c>
      <c r="AA59" s="14">
        <v>0</v>
      </c>
      <c r="AB59" s="14">
        <v>0</v>
      </c>
      <c r="AC59" s="14">
        <v>28207.523809523809</v>
      </c>
      <c r="AD59" s="14">
        <v>28207.523809523809</v>
      </c>
      <c r="AE59" s="14">
        <v>28207.523809523809</v>
      </c>
      <c r="AF59" s="14">
        <v>28207.523809523809</v>
      </c>
      <c r="AG59" s="14">
        <v>28207.523809523809</v>
      </c>
      <c r="AH59" s="14">
        <v>28207.523809523809</v>
      </c>
      <c r="AI59" s="14">
        <v>28207.523809523809</v>
      </c>
      <c r="AJ59" s="14">
        <v>28207.523809523809</v>
      </c>
      <c r="AK59" s="14">
        <v>28207.523809523809</v>
      </c>
      <c r="AL59" s="14">
        <v>28207.523809523809</v>
      </c>
      <c r="AM59" s="14">
        <v>28207.523809523809</v>
      </c>
      <c r="AN59" s="14">
        <v>28207.523809523809</v>
      </c>
      <c r="AO59" s="14">
        <v>28207.523809523809</v>
      </c>
      <c r="AP59" s="14">
        <v>0</v>
      </c>
      <c r="AQ59" s="14">
        <v>28207.523809523809</v>
      </c>
      <c r="AR59" s="14">
        <v>28207.523809523809</v>
      </c>
      <c r="AS59" s="14">
        <v>28207.523809523809</v>
      </c>
      <c r="AT59" s="14">
        <v>28207.523809523809</v>
      </c>
      <c r="AU59" s="14">
        <v>28207.523809523809</v>
      </c>
      <c r="AV59" s="15">
        <v>28207.523809523809</v>
      </c>
      <c r="AW59" s="16">
        <f t="shared" si="15"/>
        <v>1184715.9999999993</v>
      </c>
      <c r="AX59" s="16">
        <f t="shared" si="16"/>
        <v>25700.188359788346</v>
      </c>
      <c r="AY59" s="13">
        <f>AW59/AW13</f>
        <v>2.5227784847273119E-2</v>
      </c>
    </row>
    <row r="60" spans="1:51" x14ac:dyDescent="0.15">
      <c r="A60" s="49" t="s">
        <v>117</v>
      </c>
      <c r="B60" s="49"/>
      <c r="C60" s="14">
        <f>SUM(C57-(C58+C59))</f>
        <v>252543.56190476188</v>
      </c>
      <c r="D60" s="14">
        <f t="shared" ref="D60:AV60" si="21">SUM(D57-(D58+D59))</f>
        <v>69283</v>
      </c>
      <c r="E60" s="14">
        <f t="shared" si="21"/>
        <v>259564.00476190465</v>
      </c>
      <c r="F60" s="14">
        <f t="shared" si="21"/>
        <v>80430.961904761789</v>
      </c>
      <c r="G60" s="14">
        <f t="shared" si="21"/>
        <v>87148.961904761789</v>
      </c>
      <c r="H60" s="14">
        <f t="shared" si="21"/>
        <v>311064.89047619043</v>
      </c>
      <c r="I60" s="14">
        <f t="shared" si="21"/>
        <v>-3423.552380952402</v>
      </c>
      <c r="J60" s="14">
        <f t="shared" si="21"/>
        <v>-671683.88095238083</v>
      </c>
      <c r="K60" s="14">
        <f t="shared" si="21"/>
        <v>-312584.33305322129</v>
      </c>
      <c r="L60" s="14">
        <f t="shared" si="21"/>
        <v>-145787.84733893565</v>
      </c>
      <c r="M60" s="14">
        <f t="shared" si="21"/>
        <v>-86619.304481792788</v>
      </c>
      <c r="N60" s="14">
        <f t="shared" si="21"/>
        <v>50585.695518207329</v>
      </c>
      <c r="O60" s="14">
        <f t="shared" si="21"/>
        <v>235407.93837535003</v>
      </c>
      <c r="P60" s="14">
        <f t="shared" si="21"/>
        <v>160695.93837535015</v>
      </c>
      <c r="Q60" s="14">
        <f t="shared" si="21"/>
        <v>324965.66694677871</v>
      </c>
      <c r="R60" s="14">
        <f t="shared" si="21"/>
        <v>-127973.86162465002</v>
      </c>
      <c r="S60" s="14">
        <f t="shared" si="21"/>
        <v>165053.06694677862</v>
      </c>
      <c r="T60" s="14">
        <f t="shared" si="21"/>
        <v>92531.709803921462</v>
      </c>
      <c r="U60" s="14">
        <f t="shared" si="21"/>
        <v>202329.89551820717</v>
      </c>
      <c r="V60" s="14">
        <f t="shared" si="21"/>
        <v>-254651.77591036417</v>
      </c>
      <c r="W60" s="14">
        <f t="shared" si="21"/>
        <v>459382.33837535017</v>
      </c>
      <c r="X60" s="14">
        <f t="shared" si="21"/>
        <v>156773.06694677862</v>
      </c>
      <c r="Y60" s="14">
        <f t="shared" si="21"/>
        <v>485529.06694677862</v>
      </c>
      <c r="Z60" s="14">
        <f t="shared" si="21"/>
        <v>484684.39551820728</v>
      </c>
      <c r="AA60" s="14">
        <f t="shared" si="21"/>
        <v>11000</v>
      </c>
      <c r="AB60" s="14">
        <f t="shared" si="21"/>
        <v>612966</v>
      </c>
      <c r="AC60" s="14">
        <f t="shared" si="21"/>
        <v>-383504.13305322127</v>
      </c>
      <c r="AD60" s="14">
        <f t="shared" si="21"/>
        <v>825560.83333333349</v>
      </c>
      <c r="AE60" s="14">
        <f t="shared" si="21"/>
        <v>649408.7047619049</v>
      </c>
      <c r="AF60" s="14">
        <f t="shared" si="21"/>
        <v>12163.790476190334</v>
      </c>
      <c r="AG60" s="14">
        <f t="shared" si="21"/>
        <v>74386.504761904769</v>
      </c>
      <c r="AH60" s="14">
        <f t="shared" si="21"/>
        <v>531656.90476190485</v>
      </c>
      <c r="AI60" s="14">
        <f t="shared" si="21"/>
        <v>21488.190476190473</v>
      </c>
      <c r="AJ60" s="14">
        <f t="shared" si="21"/>
        <v>146070.99047619052</v>
      </c>
      <c r="AK60" s="14">
        <f t="shared" si="21"/>
        <v>741748.29047619039</v>
      </c>
      <c r="AL60" s="14">
        <f t="shared" si="21"/>
        <v>95310.290476190567</v>
      </c>
      <c r="AM60" s="14">
        <f t="shared" si="21"/>
        <v>74623.761904761835</v>
      </c>
      <c r="AN60" s="14">
        <f t="shared" si="21"/>
        <v>217142.89047619043</v>
      </c>
      <c r="AO60" s="14">
        <f t="shared" si="21"/>
        <v>48569.33333333343</v>
      </c>
      <c r="AP60" s="14">
        <f t="shared" si="21"/>
        <v>405067</v>
      </c>
      <c r="AQ60" s="14">
        <f t="shared" si="21"/>
        <v>-603947.17619047617</v>
      </c>
      <c r="AR60" s="14">
        <f t="shared" si="21"/>
        <v>-2089.5047619047691</v>
      </c>
      <c r="AS60" s="14">
        <f t="shared" si="21"/>
        <v>-548141.53333333321</v>
      </c>
      <c r="AT60" s="14">
        <f t="shared" si="21"/>
        <v>-322390.37619047618</v>
      </c>
      <c r="AU60" s="14">
        <f t="shared" si="21"/>
        <v>-306833.07619047613</v>
      </c>
      <c r="AV60" s="15">
        <f t="shared" si="21"/>
        <v>-274476.91904761904</v>
      </c>
      <c r="AW60" s="16">
        <f t="shared" si="15"/>
        <v>4301030.3714285707</v>
      </c>
      <c r="AX60" s="16">
        <f t="shared" si="16"/>
        <v>89966.373544973525</v>
      </c>
      <c r="AY60" s="13">
        <f>AW60/AW13</f>
        <v>9.1587746626184866E-2</v>
      </c>
    </row>
    <row r="61" spans="1:51" x14ac:dyDescent="0.15">
      <c r="A61" s="11"/>
      <c r="B61" s="36" t="s">
        <v>46</v>
      </c>
      <c r="C61" s="36"/>
      <c r="D61" s="36"/>
      <c r="E61" s="36"/>
      <c r="F61" s="36" t="s">
        <v>118</v>
      </c>
      <c r="G61" s="3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</row>
    <row r="62" spans="1:51" x14ac:dyDescent="0.15">
      <c r="A62" s="12"/>
      <c r="B62" s="37"/>
      <c r="C62" s="17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8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</row>
    <row r="63" spans="1:51" x14ac:dyDescent="0.15">
      <c r="A63" s="12"/>
      <c r="B63" s="39" t="s">
        <v>124</v>
      </c>
      <c r="C63" s="29">
        <v>0</v>
      </c>
      <c r="D63" s="29">
        <v>691770</v>
      </c>
      <c r="E63" s="29">
        <v>679737</v>
      </c>
      <c r="F63" s="29">
        <v>4502895</v>
      </c>
      <c r="G63" s="29">
        <v>1184716</v>
      </c>
      <c r="H63" s="38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</row>
    <row r="64" spans="1:51" x14ac:dyDescent="0.15">
      <c r="A64" s="12"/>
      <c r="B64" s="40" t="s">
        <v>125</v>
      </c>
      <c r="C64" s="29">
        <v>7</v>
      </c>
      <c r="D64" s="29">
        <v>7</v>
      </c>
      <c r="E64" s="29">
        <v>7</v>
      </c>
      <c r="F64" s="29">
        <v>42</v>
      </c>
      <c r="G64" s="29">
        <v>42</v>
      </c>
      <c r="H64" s="38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</row>
    <row r="65" spans="1:48" x14ac:dyDescent="0.15">
      <c r="A65" s="12"/>
      <c r="B65" s="40" t="s">
        <v>41</v>
      </c>
      <c r="C65" s="14">
        <f>SUM(C63/C64)</f>
        <v>0</v>
      </c>
      <c r="D65" s="14">
        <f t="shared" ref="D65:G65" si="22">SUM(D63/D64)</f>
        <v>98824.28571428571</v>
      </c>
      <c r="E65" s="14">
        <f t="shared" si="22"/>
        <v>97105.28571428571</v>
      </c>
      <c r="F65" s="14">
        <f t="shared" si="22"/>
        <v>107211.78571428571</v>
      </c>
      <c r="G65" s="14">
        <f t="shared" si="22"/>
        <v>28207.523809523809</v>
      </c>
      <c r="H65" s="38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</row>
    <row r="66" spans="1:48" x14ac:dyDescent="0.15">
      <c r="A66" s="11"/>
      <c r="B66" s="41" t="s">
        <v>47</v>
      </c>
      <c r="C66" s="41"/>
      <c r="D66" s="41"/>
      <c r="E66" s="41"/>
      <c r="F66" s="41"/>
      <c r="G66" s="4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</row>
    <row r="67" spans="1:48" x14ac:dyDescent="0.15">
      <c r="A67" s="11"/>
      <c r="B67" s="37"/>
      <c r="C67" s="17" t="s">
        <v>126</v>
      </c>
      <c r="D67" s="2" t="s">
        <v>127</v>
      </c>
      <c r="E67" s="2" t="s">
        <v>128</v>
      </c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</row>
    <row r="68" spans="1:48" x14ac:dyDescent="0.15">
      <c r="A68" s="11"/>
      <c r="B68" s="39" t="s">
        <v>124</v>
      </c>
      <c r="C68" s="29">
        <v>117000</v>
      </c>
      <c r="D68" s="29">
        <v>1641092</v>
      </c>
      <c r="E68" s="29">
        <v>929775</v>
      </c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</row>
    <row r="69" spans="1:48" x14ac:dyDescent="0.15">
      <c r="A69" s="11"/>
      <c r="B69" s="40" t="s">
        <v>125</v>
      </c>
      <c r="C69" s="29">
        <v>17</v>
      </c>
      <c r="D69" s="29">
        <v>17</v>
      </c>
      <c r="E69" s="29">
        <v>17</v>
      </c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</row>
    <row r="70" spans="1:48" x14ac:dyDescent="0.15">
      <c r="A70" s="11"/>
      <c r="B70" s="40" t="s">
        <v>41</v>
      </c>
      <c r="C70" s="14">
        <f>SUM(C68/C69)</f>
        <v>6882.3529411764703</v>
      </c>
      <c r="D70" s="14">
        <f t="shared" ref="D70:E70" si="23">SUM(D68/D69)</f>
        <v>96534.823529411762</v>
      </c>
      <c r="E70" s="14">
        <f t="shared" si="23"/>
        <v>54692.647058823532</v>
      </c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</row>
    <row r="71" spans="1:48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</row>
    <row r="72" spans="1:48" x14ac:dyDescent="0.15">
      <c r="A72" s="11"/>
      <c r="B72" s="37"/>
      <c r="C72" s="17" t="s">
        <v>130</v>
      </c>
      <c r="D72" s="2" t="s">
        <v>131</v>
      </c>
      <c r="E72" s="2" t="s">
        <v>132</v>
      </c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</row>
    <row r="73" spans="1:48" x14ac:dyDescent="0.15">
      <c r="A73" s="11"/>
      <c r="B73" s="39" t="s">
        <v>124</v>
      </c>
      <c r="C73" s="29"/>
      <c r="D73" s="29"/>
      <c r="E73" s="29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</row>
    <row r="74" spans="1:48" x14ac:dyDescent="0.15">
      <c r="A74" s="11"/>
      <c r="B74" s="40" t="s">
        <v>125</v>
      </c>
      <c r="C74" s="29"/>
      <c r="D74" s="29"/>
      <c r="E74" s="29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</row>
    <row r="75" spans="1:48" x14ac:dyDescent="0.15">
      <c r="A75" s="11"/>
      <c r="B75" s="40" t="s">
        <v>41</v>
      </c>
      <c r="C75" s="14" t="e">
        <f>SUM(C73/C74)</f>
        <v>#DIV/0!</v>
      </c>
      <c r="D75" s="14" t="e">
        <f t="shared" ref="D75:E75" si="24">SUM(D73/D74)</f>
        <v>#DIV/0!</v>
      </c>
      <c r="E75" s="14" t="e">
        <f t="shared" si="24"/>
        <v>#DIV/0!</v>
      </c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</row>
    <row r="76" spans="1:48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</row>
    <row r="77" spans="1:48" x14ac:dyDescent="0.15">
      <c r="A77" s="11"/>
      <c r="B77" s="37"/>
      <c r="C77" s="17" t="s">
        <v>134</v>
      </c>
      <c r="D77" s="2" t="s">
        <v>135</v>
      </c>
      <c r="E77" s="2" t="s">
        <v>136</v>
      </c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</row>
    <row r="78" spans="1:48" x14ac:dyDescent="0.15">
      <c r="A78" s="11"/>
      <c r="B78" s="39" t="s">
        <v>124</v>
      </c>
      <c r="C78" s="29"/>
      <c r="D78" s="29"/>
      <c r="E78" s="29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</row>
    <row r="79" spans="1:48" x14ac:dyDescent="0.15">
      <c r="A79" s="11"/>
      <c r="B79" s="40" t="s">
        <v>125</v>
      </c>
      <c r="C79" s="29"/>
      <c r="D79" s="29"/>
      <c r="E79" s="29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</row>
    <row r="80" spans="1:48" x14ac:dyDescent="0.15">
      <c r="A80" s="11"/>
      <c r="B80" s="40" t="s">
        <v>41</v>
      </c>
      <c r="C80" s="14" t="e">
        <f>SUM(C78/C79)</f>
        <v>#DIV/0!</v>
      </c>
      <c r="D80" s="14" t="e">
        <f t="shared" ref="D80:E80" si="25">SUM(D78/D79)</f>
        <v>#DIV/0!</v>
      </c>
      <c r="E80" s="14" t="e">
        <f t="shared" si="25"/>
        <v>#DIV/0!</v>
      </c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</row>
    <row r="81" spans="1:48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</row>
    <row r="82" spans="1:48" x14ac:dyDescent="0.15">
      <c r="A82" s="11"/>
      <c r="B82" s="37"/>
      <c r="C82" s="17" t="s">
        <v>138</v>
      </c>
      <c r="D82" s="2" t="s">
        <v>139</v>
      </c>
      <c r="E82" s="2" t="s">
        <v>140</v>
      </c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</row>
    <row r="83" spans="1:48" x14ac:dyDescent="0.15">
      <c r="A83" s="11"/>
      <c r="B83" s="39" t="s">
        <v>124</v>
      </c>
      <c r="C83" s="29"/>
      <c r="D83" s="29"/>
      <c r="E83" s="29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</row>
    <row r="84" spans="1:48" x14ac:dyDescent="0.15">
      <c r="A84" s="11"/>
      <c r="B84" s="40" t="s">
        <v>125</v>
      </c>
      <c r="C84" s="29"/>
      <c r="D84" s="29"/>
      <c r="E84" s="29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</row>
    <row r="85" spans="1:48" x14ac:dyDescent="0.15">
      <c r="A85" s="11"/>
      <c r="B85" s="40" t="s">
        <v>41</v>
      </c>
      <c r="C85" s="14" t="e">
        <f>SUM(C83/C84)</f>
        <v>#DIV/0!</v>
      </c>
      <c r="D85" s="14" t="e">
        <f t="shared" ref="D85:E85" si="26">SUM(D83/D84)</f>
        <v>#DIV/0!</v>
      </c>
      <c r="E85" s="14" t="e">
        <f t="shared" si="26"/>
        <v>#DIV/0!</v>
      </c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</row>
    <row r="86" spans="1:48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</row>
    <row r="87" spans="1:48" x14ac:dyDescent="0.15">
      <c r="A87" s="11"/>
      <c r="B87" s="37"/>
      <c r="C87" s="17" t="s">
        <v>141</v>
      </c>
      <c r="D87" s="2" t="s">
        <v>142</v>
      </c>
      <c r="E87" s="2" t="s">
        <v>143</v>
      </c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</row>
    <row r="88" spans="1:48" x14ac:dyDescent="0.15">
      <c r="A88" s="11"/>
      <c r="B88" s="39" t="s">
        <v>124</v>
      </c>
      <c r="C88" s="29">
        <v>150000</v>
      </c>
      <c r="D88" s="29">
        <v>445711</v>
      </c>
      <c r="E88" s="29">
        <v>382849</v>
      </c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</row>
    <row r="89" spans="1:48" x14ac:dyDescent="0.15">
      <c r="B89" s="40" t="s">
        <v>125</v>
      </c>
      <c r="C89" s="29">
        <v>7</v>
      </c>
      <c r="D89" s="29">
        <v>7</v>
      </c>
      <c r="E89" s="29">
        <v>7</v>
      </c>
    </row>
    <row r="90" spans="1:48" x14ac:dyDescent="0.15">
      <c r="B90" s="40" t="s">
        <v>41</v>
      </c>
      <c r="C90" s="14">
        <f>SUM(C88/C89)</f>
        <v>21428.571428571428</v>
      </c>
      <c r="D90" s="14">
        <f t="shared" ref="D90:E90" si="27">SUM(D88/D89)</f>
        <v>63673</v>
      </c>
      <c r="E90" s="14">
        <f t="shared" si="27"/>
        <v>54692.714285714283</v>
      </c>
    </row>
    <row r="92" spans="1:48" x14ac:dyDescent="0.15">
      <c r="B92" s="37"/>
      <c r="C92" s="17" t="s">
        <v>144</v>
      </c>
      <c r="D92" s="2" t="s">
        <v>145</v>
      </c>
      <c r="E92" s="2" t="s">
        <v>146</v>
      </c>
    </row>
    <row r="93" spans="1:48" x14ac:dyDescent="0.15">
      <c r="B93" s="39" t="s">
        <v>124</v>
      </c>
      <c r="C93" s="29">
        <v>297000</v>
      </c>
      <c r="D93" s="29">
        <v>301205</v>
      </c>
      <c r="E93" s="29">
        <v>175614</v>
      </c>
    </row>
    <row r="94" spans="1:48" x14ac:dyDescent="0.15">
      <c r="B94" s="40" t="s">
        <v>125</v>
      </c>
      <c r="C94" s="29">
        <v>5</v>
      </c>
      <c r="D94" s="29">
        <v>5</v>
      </c>
      <c r="E94" s="29">
        <v>5</v>
      </c>
    </row>
    <row r="95" spans="1:48" x14ac:dyDescent="0.15">
      <c r="B95" s="40" t="s">
        <v>41</v>
      </c>
      <c r="C95" s="14">
        <f>SUM(C93/C94)</f>
        <v>59400</v>
      </c>
      <c r="D95" s="14">
        <f t="shared" ref="D95:E95" si="28">SUM(D93/D94)</f>
        <v>60241</v>
      </c>
      <c r="E95" s="14">
        <f t="shared" si="28"/>
        <v>35122.800000000003</v>
      </c>
    </row>
    <row r="97" spans="2:5" x14ac:dyDescent="0.15">
      <c r="B97" s="37"/>
      <c r="C97" s="17" t="s">
        <v>147</v>
      </c>
      <c r="D97" s="2" t="s">
        <v>148</v>
      </c>
      <c r="E97" s="2" t="s">
        <v>149</v>
      </c>
    </row>
    <row r="98" spans="2:5" x14ac:dyDescent="0.15">
      <c r="B98" s="39" t="s">
        <v>124</v>
      </c>
      <c r="C98" s="29">
        <v>170000</v>
      </c>
      <c r="D98" s="29">
        <v>578851</v>
      </c>
      <c r="E98" s="29">
        <v>186169</v>
      </c>
    </row>
    <row r="99" spans="2:5" x14ac:dyDescent="0.15">
      <c r="B99" s="40" t="s">
        <v>125</v>
      </c>
      <c r="C99" s="29">
        <v>6</v>
      </c>
      <c r="D99" s="29">
        <v>6</v>
      </c>
      <c r="E99" s="29">
        <v>6</v>
      </c>
    </row>
    <row r="100" spans="2:5" x14ac:dyDescent="0.15">
      <c r="B100" s="40" t="s">
        <v>41</v>
      </c>
      <c r="C100" s="14">
        <f>SUM(C98/C99)</f>
        <v>28333.333333333332</v>
      </c>
      <c r="D100" s="14">
        <f t="shared" ref="D100:E100" si="29">SUM(D98/D99)</f>
        <v>96475.166666666672</v>
      </c>
      <c r="E100" s="14">
        <f t="shared" si="29"/>
        <v>31028.166666666668</v>
      </c>
    </row>
    <row r="102" spans="2:5" x14ac:dyDescent="0.15">
      <c r="B102" s="11" t="s">
        <v>150</v>
      </c>
      <c r="C102" s="8">
        <v>33</v>
      </c>
    </row>
  </sheetData>
  <mergeCells count="26">
    <mergeCell ref="A8:B8"/>
    <mergeCell ref="A3:B3"/>
    <mergeCell ref="A4:B4"/>
    <mergeCell ref="A5:B5"/>
    <mergeCell ref="A6:B6"/>
    <mergeCell ref="A7:B7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59:B59"/>
    <mergeCell ref="A60:B60"/>
    <mergeCell ref="A40:A44"/>
    <mergeCell ref="A45:A49"/>
    <mergeCell ref="A50:A55"/>
    <mergeCell ref="A56:B56"/>
    <mergeCell ref="A57:B57"/>
    <mergeCell ref="A58:B5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4F2EE-3585-4E75-8186-ADDEDA93009B}">
  <sheetPr codeName="Sheet2"/>
  <dimension ref="A2:M102"/>
  <sheetViews>
    <sheetView workbookViewId="0">
      <selection activeCell="K53" sqref="K53:K5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5" width="12.5" style="1" bestFit="1" customWidth="1"/>
    <col min="226" max="226" width="11" style="1" bestFit="1" customWidth="1"/>
    <col min="227" max="245" width="13" style="1" bestFit="1" customWidth="1"/>
    <col min="246" max="249" width="11" style="1" bestFit="1" customWidth="1"/>
    <col min="250" max="252" width="12.25" style="1" bestFit="1" customWidth="1"/>
    <col min="253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1" width="12.5" style="1" bestFit="1" customWidth="1"/>
    <col min="482" max="482" width="11" style="1" bestFit="1" customWidth="1"/>
    <col min="483" max="501" width="13" style="1" bestFit="1" customWidth="1"/>
    <col min="502" max="505" width="11" style="1" bestFit="1" customWidth="1"/>
    <col min="506" max="508" width="12.25" style="1" bestFit="1" customWidth="1"/>
    <col min="509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7" width="12.5" style="1" bestFit="1" customWidth="1"/>
    <col min="738" max="738" width="11" style="1" bestFit="1" customWidth="1"/>
    <col min="739" max="757" width="13" style="1" bestFit="1" customWidth="1"/>
    <col min="758" max="761" width="11" style="1" bestFit="1" customWidth="1"/>
    <col min="762" max="764" width="12.25" style="1" bestFit="1" customWidth="1"/>
    <col min="765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3" width="12.5" style="1" bestFit="1" customWidth="1"/>
    <col min="994" max="994" width="11" style="1" bestFit="1" customWidth="1"/>
    <col min="995" max="1013" width="13" style="1" bestFit="1" customWidth="1"/>
    <col min="1014" max="1017" width="11" style="1" bestFit="1" customWidth="1"/>
    <col min="1018" max="1020" width="12.25" style="1" bestFit="1" customWidth="1"/>
    <col min="1021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49" width="12.5" style="1" bestFit="1" customWidth="1"/>
    <col min="1250" max="1250" width="11" style="1" bestFit="1" customWidth="1"/>
    <col min="1251" max="1269" width="13" style="1" bestFit="1" customWidth="1"/>
    <col min="1270" max="1273" width="11" style="1" bestFit="1" customWidth="1"/>
    <col min="1274" max="1276" width="12.25" style="1" bestFit="1" customWidth="1"/>
    <col min="1277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5" width="12.5" style="1" bestFit="1" customWidth="1"/>
    <col min="1506" max="1506" width="11" style="1" bestFit="1" customWidth="1"/>
    <col min="1507" max="1525" width="13" style="1" bestFit="1" customWidth="1"/>
    <col min="1526" max="1529" width="11" style="1" bestFit="1" customWidth="1"/>
    <col min="1530" max="1532" width="12.25" style="1" bestFit="1" customWidth="1"/>
    <col min="1533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1" width="12.5" style="1" bestFit="1" customWidth="1"/>
    <col min="1762" max="1762" width="11" style="1" bestFit="1" customWidth="1"/>
    <col min="1763" max="1781" width="13" style="1" bestFit="1" customWidth="1"/>
    <col min="1782" max="1785" width="11" style="1" bestFit="1" customWidth="1"/>
    <col min="1786" max="1788" width="12.25" style="1" bestFit="1" customWidth="1"/>
    <col min="1789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7" width="12.5" style="1" bestFit="1" customWidth="1"/>
    <col min="2018" max="2018" width="11" style="1" bestFit="1" customWidth="1"/>
    <col min="2019" max="2037" width="13" style="1" bestFit="1" customWidth="1"/>
    <col min="2038" max="2041" width="11" style="1" bestFit="1" customWidth="1"/>
    <col min="2042" max="2044" width="12.25" style="1" bestFit="1" customWidth="1"/>
    <col min="2045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3" width="12.5" style="1" bestFit="1" customWidth="1"/>
    <col min="2274" max="2274" width="11" style="1" bestFit="1" customWidth="1"/>
    <col min="2275" max="2293" width="13" style="1" bestFit="1" customWidth="1"/>
    <col min="2294" max="2297" width="11" style="1" bestFit="1" customWidth="1"/>
    <col min="2298" max="2300" width="12.25" style="1" bestFit="1" customWidth="1"/>
    <col min="2301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29" width="12.5" style="1" bestFit="1" customWidth="1"/>
    <col min="2530" max="2530" width="11" style="1" bestFit="1" customWidth="1"/>
    <col min="2531" max="2549" width="13" style="1" bestFit="1" customWidth="1"/>
    <col min="2550" max="2553" width="11" style="1" bestFit="1" customWidth="1"/>
    <col min="2554" max="2556" width="12.25" style="1" bestFit="1" customWidth="1"/>
    <col min="2557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5" width="12.5" style="1" bestFit="1" customWidth="1"/>
    <col min="2786" max="2786" width="11" style="1" bestFit="1" customWidth="1"/>
    <col min="2787" max="2805" width="13" style="1" bestFit="1" customWidth="1"/>
    <col min="2806" max="2809" width="11" style="1" bestFit="1" customWidth="1"/>
    <col min="2810" max="2812" width="12.25" style="1" bestFit="1" customWidth="1"/>
    <col min="2813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1" width="12.5" style="1" bestFit="1" customWidth="1"/>
    <col min="3042" max="3042" width="11" style="1" bestFit="1" customWidth="1"/>
    <col min="3043" max="3061" width="13" style="1" bestFit="1" customWidth="1"/>
    <col min="3062" max="3065" width="11" style="1" bestFit="1" customWidth="1"/>
    <col min="3066" max="3068" width="12.25" style="1" bestFit="1" customWidth="1"/>
    <col min="3069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7" width="12.5" style="1" bestFit="1" customWidth="1"/>
    <col min="3298" max="3298" width="11" style="1" bestFit="1" customWidth="1"/>
    <col min="3299" max="3317" width="13" style="1" bestFit="1" customWidth="1"/>
    <col min="3318" max="3321" width="11" style="1" bestFit="1" customWidth="1"/>
    <col min="3322" max="3324" width="12.25" style="1" bestFit="1" customWidth="1"/>
    <col min="3325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3" width="12.5" style="1" bestFit="1" customWidth="1"/>
    <col min="3554" max="3554" width="11" style="1" bestFit="1" customWidth="1"/>
    <col min="3555" max="3573" width="13" style="1" bestFit="1" customWidth="1"/>
    <col min="3574" max="3577" width="11" style="1" bestFit="1" customWidth="1"/>
    <col min="3578" max="3580" width="12.25" style="1" bestFit="1" customWidth="1"/>
    <col min="3581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09" width="12.5" style="1" bestFit="1" customWidth="1"/>
    <col min="3810" max="3810" width="11" style="1" bestFit="1" customWidth="1"/>
    <col min="3811" max="3829" width="13" style="1" bestFit="1" customWidth="1"/>
    <col min="3830" max="3833" width="11" style="1" bestFit="1" customWidth="1"/>
    <col min="3834" max="3836" width="12.25" style="1" bestFit="1" customWidth="1"/>
    <col min="3837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5" width="12.5" style="1" bestFit="1" customWidth="1"/>
    <col min="4066" max="4066" width="11" style="1" bestFit="1" customWidth="1"/>
    <col min="4067" max="4085" width="13" style="1" bestFit="1" customWidth="1"/>
    <col min="4086" max="4089" width="11" style="1" bestFit="1" customWidth="1"/>
    <col min="4090" max="4092" width="12.25" style="1" bestFit="1" customWidth="1"/>
    <col min="4093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1" width="12.5" style="1" bestFit="1" customWidth="1"/>
    <col min="4322" max="4322" width="11" style="1" bestFit="1" customWidth="1"/>
    <col min="4323" max="4341" width="13" style="1" bestFit="1" customWidth="1"/>
    <col min="4342" max="4345" width="11" style="1" bestFit="1" customWidth="1"/>
    <col min="4346" max="4348" width="12.25" style="1" bestFit="1" customWidth="1"/>
    <col min="4349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7" width="12.5" style="1" bestFit="1" customWidth="1"/>
    <col min="4578" max="4578" width="11" style="1" bestFit="1" customWidth="1"/>
    <col min="4579" max="4597" width="13" style="1" bestFit="1" customWidth="1"/>
    <col min="4598" max="4601" width="11" style="1" bestFit="1" customWidth="1"/>
    <col min="4602" max="4604" width="12.25" style="1" bestFit="1" customWidth="1"/>
    <col min="4605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3" width="12.5" style="1" bestFit="1" customWidth="1"/>
    <col min="4834" max="4834" width="11" style="1" bestFit="1" customWidth="1"/>
    <col min="4835" max="4853" width="13" style="1" bestFit="1" customWidth="1"/>
    <col min="4854" max="4857" width="11" style="1" bestFit="1" customWidth="1"/>
    <col min="4858" max="4860" width="12.25" style="1" bestFit="1" customWidth="1"/>
    <col min="4861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89" width="12.5" style="1" bestFit="1" customWidth="1"/>
    <col min="5090" max="5090" width="11" style="1" bestFit="1" customWidth="1"/>
    <col min="5091" max="5109" width="13" style="1" bestFit="1" customWidth="1"/>
    <col min="5110" max="5113" width="11" style="1" bestFit="1" customWidth="1"/>
    <col min="5114" max="5116" width="12.25" style="1" bestFit="1" customWidth="1"/>
    <col min="5117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5" width="12.5" style="1" bestFit="1" customWidth="1"/>
    <col min="5346" max="5346" width="11" style="1" bestFit="1" customWidth="1"/>
    <col min="5347" max="5365" width="13" style="1" bestFit="1" customWidth="1"/>
    <col min="5366" max="5369" width="11" style="1" bestFit="1" customWidth="1"/>
    <col min="5370" max="5372" width="12.25" style="1" bestFit="1" customWidth="1"/>
    <col min="5373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1" width="12.5" style="1" bestFit="1" customWidth="1"/>
    <col min="5602" max="5602" width="11" style="1" bestFit="1" customWidth="1"/>
    <col min="5603" max="5621" width="13" style="1" bestFit="1" customWidth="1"/>
    <col min="5622" max="5625" width="11" style="1" bestFit="1" customWidth="1"/>
    <col min="5626" max="5628" width="12.25" style="1" bestFit="1" customWidth="1"/>
    <col min="5629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7" width="12.5" style="1" bestFit="1" customWidth="1"/>
    <col min="5858" max="5858" width="11" style="1" bestFit="1" customWidth="1"/>
    <col min="5859" max="5877" width="13" style="1" bestFit="1" customWidth="1"/>
    <col min="5878" max="5881" width="11" style="1" bestFit="1" customWidth="1"/>
    <col min="5882" max="5884" width="12.25" style="1" bestFit="1" customWidth="1"/>
    <col min="5885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3" width="12.5" style="1" bestFit="1" customWidth="1"/>
    <col min="6114" max="6114" width="11" style="1" bestFit="1" customWidth="1"/>
    <col min="6115" max="6133" width="13" style="1" bestFit="1" customWidth="1"/>
    <col min="6134" max="6137" width="11" style="1" bestFit="1" customWidth="1"/>
    <col min="6138" max="6140" width="12.25" style="1" bestFit="1" customWidth="1"/>
    <col min="6141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69" width="12.5" style="1" bestFit="1" customWidth="1"/>
    <col min="6370" max="6370" width="11" style="1" bestFit="1" customWidth="1"/>
    <col min="6371" max="6389" width="13" style="1" bestFit="1" customWidth="1"/>
    <col min="6390" max="6393" width="11" style="1" bestFit="1" customWidth="1"/>
    <col min="6394" max="6396" width="12.25" style="1" bestFit="1" customWidth="1"/>
    <col min="6397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5" width="12.5" style="1" bestFit="1" customWidth="1"/>
    <col min="6626" max="6626" width="11" style="1" bestFit="1" customWidth="1"/>
    <col min="6627" max="6645" width="13" style="1" bestFit="1" customWidth="1"/>
    <col min="6646" max="6649" width="11" style="1" bestFit="1" customWidth="1"/>
    <col min="6650" max="6652" width="12.25" style="1" bestFit="1" customWidth="1"/>
    <col min="6653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1" width="12.5" style="1" bestFit="1" customWidth="1"/>
    <col min="6882" max="6882" width="11" style="1" bestFit="1" customWidth="1"/>
    <col min="6883" max="6901" width="13" style="1" bestFit="1" customWidth="1"/>
    <col min="6902" max="6905" width="11" style="1" bestFit="1" customWidth="1"/>
    <col min="6906" max="6908" width="12.25" style="1" bestFit="1" customWidth="1"/>
    <col min="6909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7" width="12.5" style="1" bestFit="1" customWidth="1"/>
    <col min="7138" max="7138" width="11" style="1" bestFit="1" customWidth="1"/>
    <col min="7139" max="7157" width="13" style="1" bestFit="1" customWidth="1"/>
    <col min="7158" max="7161" width="11" style="1" bestFit="1" customWidth="1"/>
    <col min="7162" max="7164" width="12.25" style="1" bestFit="1" customWidth="1"/>
    <col min="7165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3" width="12.5" style="1" bestFit="1" customWidth="1"/>
    <col min="7394" max="7394" width="11" style="1" bestFit="1" customWidth="1"/>
    <col min="7395" max="7413" width="13" style="1" bestFit="1" customWidth="1"/>
    <col min="7414" max="7417" width="11" style="1" bestFit="1" customWidth="1"/>
    <col min="7418" max="7420" width="12.25" style="1" bestFit="1" customWidth="1"/>
    <col min="7421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49" width="12.5" style="1" bestFit="1" customWidth="1"/>
    <col min="7650" max="7650" width="11" style="1" bestFit="1" customWidth="1"/>
    <col min="7651" max="7669" width="13" style="1" bestFit="1" customWidth="1"/>
    <col min="7670" max="7673" width="11" style="1" bestFit="1" customWidth="1"/>
    <col min="7674" max="7676" width="12.25" style="1" bestFit="1" customWidth="1"/>
    <col min="7677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5" width="12.5" style="1" bestFit="1" customWidth="1"/>
    <col min="7906" max="7906" width="11" style="1" bestFit="1" customWidth="1"/>
    <col min="7907" max="7925" width="13" style="1" bestFit="1" customWidth="1"/>
    <col min="7926" max="7929" width="11" style="1" bestFit="1" customWidth="1"/>
    <col min="7930" max="7932" width="12.25" style="1" bestFit="1" customWidth="1"/>
    <col min="7933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1" width="12.5" style="1" bestFit="1" customWidth="1"/>
    <col min="8162" max="8162" width="11" style="1" bestFit="1" customWidth="1"/>
    <col min="8163" max="8181" width="13" style="1" bestFit="1" customWidth="1"/>
    <col min="8182" max="8185" width="11" style="1" bestFit="1" customWidth="1"/>
    <col min="8186" max="8188" width="12.25" style="1" bestFit="1" customWidth="1"/>
    <col min="8189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7" width="12.5" style="1" bestFit="1" customWidth="1"/>
    <col min="8418" max="8418" width="11" style="1" bestFit="1" customWidth="1"/>
    <col min="8419" max="8437" width="13" style="1" bestFit="1" customWidth="1"/>
    <col min="8438" max="8441" width="11" style="1" bestFit="1" customWidth="1"/>
    <col min="8442" max="8444" width="12.25" style="1" bestFit="1" customWidth="1"/>
    <col min="8445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3" width="12.5" style="1" bestFit="1" customWidth="1"/>
    <col min="8674" max="8674" width="11" style="1" bestFit="1" customWidth="1"/>
    <col min="8675" max="8693" width="13" style="1" bestFit="1" customWidth="1"/>
    <col min="8694" max="8697" width="11" style="1" bestFit="1" customWidth="1"/>
    <col min="8698" max="8700" width="12.25" style="1" bestFit="1" customWidth="1"/>
    <col min="8701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29" width="12.5" style="1" bestFit="1" customWidth="1"/>
    <col min="8930" max="8930" width="11" style="1" bestFit="1" customWidth="1"/>
    <col min="8931" max="8949" width="13" style="1" bestFit="1" customWidth="1"/>
    <col min="8950" max="8953" width="11" style="1" bestFit="1" customWidth="1"/>
    <col min="8954" max="8956" width="12.25" style="1" bestFit="1" customWidth="1"/>
    <col min="8957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5" width="12.5" style="1" bestFit="1" customWidth="1"/>
    <col min="9186" max="9186" width="11" style="1" bestFit="1" customWidth="1"/>
    <col min="9187" max="9205" width="13" style="1" bestFit="1" customWidth="1"/>
    <col min="9206" max="9209" width="11" style="1" bestFit="1" customWidth="1"/>
    <col min="9210" max="9212" width="12.25" style="1" bestFit="1" customWidth="1"/>
    <col min="9213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1" width="12.5" style="1" bestFit="1" customWidth="1"/>
    <col min="9442" max="9442" width="11" style="1" bestFit="1" customWidth="1"/>
    <col min="9443" max="9461" width="13" style="1" bestFit="1" customWidth="1"/>
    <col min="9462" max="9465" width="11" style="1" bestFit="1" customWidth="1"/>
    <col min="9466" max="9468" width="12.25" style="1" bestFit="1" customWidth="1"/>
    <col min="9469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7" width="12.5" style="1" bestFit="1" customWidth="1"/>
    <col min="9698" max="9698" width="11" style="1" bestFit="1" customWidth="1"/>
    <col min="9699" max="9717" width="13" style="1" bestFit="1" customWidth="1"/>
    <col min="9718" max="9721" width="11" style="1" bestFit="1" customWidth="1"/>
    <col min="9722" max="9724" width="12.25" style="1" bestFit="1" customWidth="1"/>
    <col min="9725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3" width="12.5" style="1" bestFit="1" customWidth="1"/>
    <col min="9954" max="9954" width="11" style="1" bestFit="1" customWidth="1"/>
    <col min="9955" max="9973" width="13" style="1" bestFit="1" customWidth="1"/>
    <col min="9974" max="9977" width="11" style="1" bestFit="1" customWidth="1"/>
    <col min="9978" max="9980" width="12.25" style="1" bestFit="1" customWidth="1"/>
    <col min="9981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09" width="12.5" style="1" bestFit="1" customWidth="1"/>
    <col min="10210" max="10210" width="11" style="1" bestFit="1" customWidth="1"/>
    <col min="10211" max="10229" width="13" style="1" bestFit="1" customWidth="1"/>
    <col min="10230" max="10233" width="11" style="1" bestFit="1" customWidth="1"/>
    <col min="10234" max="10236" width="12.25" style="1" bestFit="1" customWidth="1"/>
    <col min="10237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5" width="12.5" style="1" bestFit="1" customWidth="1"/>
    <col min="10466" max="10466" width="11" style="1" bestFit="1" customWidth="1"/>
    <col min="10467" max="10485" width="13" style="1" bestFit="1" customWidth="1"/>
    <col min="10486" max="10489" width="11" style="1" bestFit="1" customWidth="1"/>
    <col min="10490" max="10492" width="12.25" style="1" bestFit="1" customWidth="1"/>
    <col min="10493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1" width="12.5" style="1" bestFit="1" customWidth="1"/>
    <col min="10722" max="10722" width="11" style="1" bestFit="1" customWidth="1"/>
    <col min="10723" max="10741" width="13" style="1" bestFit="1" customWidth="1"/>
    <col min="10742" max="10745" width="11" style="1" bestFit="1" customWidth="1"/>
    <col min="10746" max="10748" width="12.25" style="1" bestFit="1" customWidth="1"/>
    <col min="10749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7" width="12.5" style="1" bestFit="1" customWidth="1"/>
    <col min="10978" max="10978" width="11" style="1" bestFit="1" customWidth="1"/>
    <col min="10979" max="10997" width="13" style="1" bestFit="1" customWidth="1"/>
    <col min="10998" max="11001" width="11" style="1" bestFit="1" customWidth="1"/>
    <col min="11002" max="11004" width="12.25" style="1" bestFit="1" customWidth="1"/>
    <col min="11005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3" width="12.5" style="1" bestFit="1" customWidth="1"/>
    <col min="11234" max="11234" width="11" style="1" bestFit="1" customWidth="1"/>
    <col min="11235" max="11253" width="13" style="1" bestFit="1" customWidth="1"/>
    <col min="11254" max="11257" width="11" style="1" bestFit="1" customWidth="1"/>
    <col min="11258" max="11260" width="12.25" style="1" bestFit="1" customWidth="1"/>
    <col min="11261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89" width="12.5" style="1" bestFit="1" customWidth="1"/>
    <col min="11490" max="11490" width="11" style="1" bestFit="1" customWidth="1"/>
    <col min="11491" max="11509" width="13" style="1" bestFit="1" customWidth="1"/>
    <col min="11510" max="11513" width="11" style="1" bestFit="1" customWidth="1"/>
    <col min="11514" max="11516" width="12.25" style="1" bestFit="1" customWidth="1"/>
    <col min="11517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5" width="12.5" style="1" bestFit="1" customWidth="1"/>
    <col min="11746" max="11746" width="11" style="1" bestFit="1" customWidth="1"/>
    <col min="11747" max="11765" width="13" style="1" bestFit="1" customWidth="1"/>
    <col min="11766" max="11769" width="11" style="1" bestFit="1" customWidth="1"/>
    <col min="11770" max="11772" width="12.25" style="1" bestFit="1" customWidth="1"/>
    <col min="11773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1" width="12.5" style="1" bestFit="1" customWidth="1"/>
    <col min="12002" max="12002" width="11" style="1" bestFit="1" customWidth="1"/>
    <col min="12003" max="12021" width="13" style="1" bestFit="1" customWidth="1"/>
    <col min="12022" max="12025" width="11" style="1" bestFit="1" customWidth="1"/>
    <col min="12026" max="12028" width="12.25" style="1" bestFit="1" customWidth="1"/>
    <col min="12029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7" width="12.5" style="1" bestFit="1" customWidth="1"/>
    <col min="12258" max="12258" width="11" style="1" bestFit="1" customWidth="1"/>
    <col min="12259" max="12277" width="13" style="1" bestFit="1" customWidth="1"/>
    <col min="12278" max="12281" width="11" style="1" bestFit="1" customWidth="1"/>
    <col min="12282" max="12284" width="12.25" style="1" bestFit="1" customWidth="1"/>
    <col min="12285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3" width="12.5" style="1" bestFit="1" customWidth="1"/>
    <col min="12514" max="12514" width="11" style="1" bestFit="1" customWidth="1"/>
    <col min="12515" max="12533" width="13" style="1" bestFit="1" customWidth="1"/>
    <col min="12534" max="12537" width="11" style="1" bestFit="1" customWidth="1"/>
    <col min="12538" max="12540" width="12.25" style="1" bestFit="1" customWidth="1"/>
    <col min="12541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69" width="12.5" style="1" bestFit="1" customWidth="1"/>
    <col min="12770" max="12770" width="11" style="1" bestFit="1" customWidth="1"/>
    <col min="12771" max="12789" width="13" style="1" bestFit="1" customWidth="1"/>
    <col min="12790" max="12793" width="11" style="1" bestFit="1" customWidth="1"/>
    <col min="12794" max="12796" width="12.25" style="1" bestFit="1" customWidth="1"/>
    <col min="12797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5" width="12.5" style="1" bestFit="1" customWidth="1"/>
    <col min="13026" max="13026" width="11" style="1" bestFit="1" customWidth="1"/>
    <col min="13027" max="13045" width="13" style="1" bestFit="1" customWidth="1"/>
    <col min="13046" max="13049" width="11" style="1" bestFit="1" customWidth="1"/>
    <col min="13050" max="13052" width="12.25" style="1" bestFit="1" customWidth="1"/>
    <col min="13053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1" width="12.5" style="1" bestFit="1" customWidth="1"/>
    <col min="13282" max="13282" width="11" style="1" bestFit="1" customWidth="1"/>
    <col min="13283" max="13301" width="13" style="1" bestFit="1" customWidth="1"/>
    <col min="13302" max="13305" width="11" style="1" bestFit="1" customWidth="1"/>
    <col min="13306" max="13308" width="12.25" style="1" bestFit="1" customWidth="1"/>
    <col min="13309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7" width="12.5" style="1" bestFit="1" customWidth="1"/>
    <col min="13538" max="13538" width="11" style="1" bestFit="1" customWidth="1"/>
    <col min="13539" max="13557" width="13" style="1" bestFit="1" customWidth="1"/>
    <col min="13558" max="13561" width="11" style="1" bestFit="1" customWidth="1"/>
    <col min="13562" max="13564" width="12.25" style="1" bestFit="1" customWidth="1"/>
    <col min="13565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3" width="12.5" style="1" bestFit="1" customWidth="1"/>
    <col min="13794" max="13794" width="11" style="1" bestFit="1" customWidth="1"/>
    <col min="13795" max="13813" width="13" style="1" bestFit="1" customWidth="1"/>
    <col min="13814" max="13817" width="11" style="1" bestFit="1" customWidth="1"/>
    <col min="13818" max="13820" width="12.25" style="1" bestFit="1" customWidth="1"/>
    <col min="13821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49" width="12.5" style="1" bestFit="1" customWidth="1"/>
    <col min="14050" max="14050" width="11" style="1" bestFit="1" customWidth="1"/>
    <col min="14051" max="14069" width="13" style="1" bestFit="1" customWidth="1"/>
    <col min="14070" max="14073" width="11" style="1" bestFit="1" customWidth="1"/>
    <col min="14074" max="14076" width="12.25" style="1" bestFit="1" customWidth="1"/>
    <col min="14077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5" width="12.5" style="1" bestFit="1" customWidth="1"/>
    <col min="14306" max="14306" width="11" style="1" bestFit="1" customWidth="1"/>
    <col min="14307" max="14325" width="13" style="1" bestFit="1" customWidth="1"/>
    <col min="14326" max="14329" width="11" style="1" bestFit="1" customWidth="1"/>
    <col min="14330" max="14332" width="12.25" style="1" bestFit="1" customWidth="1"/>
    <col min="14333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1" width="12.5" style="1" bestFit="1" customWidth="1"/>
    <col min="14562" max="14562" width="11" style="1" bestFit="1" customWidth="1"/>
    <col min="14563" max="14581" width="13" style="1" bestFit="1" customWidth="1"/>
    <col min="14582" max="14585" width="11" style="1" bestFit="1" customWidth="1"/>
    <col min="14586" max="14588" width="12.25" style="1" bestFit="1" customWidth="1"/>
    <col min="14589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7" width="12.5" style="1" bestFit="1" customWidth="1"/>
    <col min="14818" max="14818" width="11" style="1" bestFit="1" customWidth="1"/>
    <col min="14819" max="14837" width="13" style="1" bestFit="1" customWidth="1"/>
    <col min="14838" max="14841" width="11" style="1" bestFit="1" customWidth="1"/>
    <col min="14842" max="14844" width="12.25" style="1" bestFit="1" customWidth="1"/>
    <col min="14845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3" width="12.5" style="1" bestFit="1" customWidth="1"/>
    <col min="15074" max="15074" width="11" style="1" bestFit="1" customWidth="1"/>
    <col min="15075" max="15093" width="13" style="1" bestFit="1" customWidth="1"/>
    <col min="15094" max="15097" width="11" style="1" bestFit="1" customWidth="1"/>
    <col min="15098" max="15100" width="12.25" style="1" bestFit="1" customWidth="1"/>
    <col min="15101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29" width="12.5" style="1" bestFit="1" customWidth="1"/>
    <col min="15330" max="15330" width="11" style="1" bestFit="1" customWidth="1"/>
    <col min="15331" max="15349" width="13" style="1" bestFit="1" customWidth="1"/>
    <col min="15350" max="15353" width="11" style="1" bestFit="1" customWidth="1"/>
    <col min="15354" max="15356" width="12.25" style="1" bestFit="1" customWidth="1"/>
    <col min="15357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5" width="12.5" style="1" bestFit="1" customWidth="1"/>
    <col min="15586" max="15586" width="11" style="1" bestFit="1" customWidth="1"/>
    <col min="15587" max="15605" width="13" style="1" bestFit="1" customWidth="1"/>
    <col min="15606" max="15609" width="11" style="1" bestFit="1" customWidth="1"/>
    <col min="15610" max="15612" width="12.25" style="1" bestFit="1" customWidth="1"/>
    <col min="15613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1" width="12.5" style="1" bestFit="1" customWidth="1"/>
    <col min="15842" max="15842" width="11" style="1" bestFit="1" customWidth="1"/>
    <col min="15843" max="15861" width="13" style="1" bestFit="1" customWidth="1"/>
    <col min="15862" max="15865" width="11" style="1" bestFit="1" customWidth="1"/>
    <col min="15866" max="15868" width="12.25" style="1" bestFit="1" customWidth="1"/>
    <col min="15869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7" width="12.5" style="1" bestFit="1" customWidth="1"/>
    <col min="16098" max="16098" width="11" style="1" bestFit="1" customWidth="1"/>
    <col min="16099" max="16117" width="13" style="1" bestFit="1" customWidth="1"/>
    <col min="16118" max="16121" width="11" style="1" bestFit="1" customWidth="1"/>
    <col min="16122" max="16124" width="12.25" style="1" bestFit="1" customWidth="1"/>
    <col min="16125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56">
        <v>45566</v>
      </c>
      <c r="B3" s="56"/>
      <c r="C3" s="58" t="s">
        <v>238</v>
      </c>
    </row>
    <row r="4" spans="1:13" s="5" customFormat="1" x14ac:dyDescent="0.15">
      <c r="A4" s="49" t="s">
        <v>0</v>
      </c>
      <c r="B4" s="49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3" t="s">
        <v>41</v>
      </c>
      <c r="L4" s="3" t="s">
        <v>42</v>
      </c>
      <c r="M4" s="4" t="s">
        <v>43</v>
      </c>
    </row>
    <row r="5" spans="1:13" s="5" customFormat="1" hidden="1" x14ac:dyDescent="0.15">
      <c r="A5" s="53" t="s">
        <v>44</v>
      </c>
      <c r="B5" s="57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3"/>
      <c r="L5" s="3"/>
      <c r="M5" s="4"/>
    </row>
    <row r="6" spans="1:13" s="5" customFormat="1" hidden="1" x14ac:dyDescent="0.15">
      <c r="A6" s="53" t="s">
        <v>45</v>
      </c>
      <c r="B6" s="57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3"/>
      <c r="L6" s="3"/>
      <c r="M6" s="4"/>
    </row>
    <row r="7" spans="1:13" s="5" customFormat="1" x14ac:dyDescent="0.15">
      <c r="A7" s="55" t="s">
        <v>51</v>
      </c>
      <c r="B7" s="55"/>
      <c r="C7" s="42" t="s">
        <v>151</v>
      </c>
      <c r="D7" s="42"/>
      <c r="E7" s="42" t="s">
        <v>152</v>
      </c>
      <c r="F7" s="42" t="s">
        <v>153</v>
      </c>
      <c r="G7" s="42" t="s">
        <v>154</v>
      </c>
      <c r="H7" s="42" t="s">
        <v>155</v>
      </c>
      <c r="I7" s="42"/>
      <c r="J7" s="42"/>
      <c r="K7" s="6"/>
      <c r="L7" s="6"/>
      <c r="M7" s="7"/>
    </row>
    <row r="8" spans="1:13" s="5" customFormat="1" x14ac:dyDescent="0.15">
      <c r="A8" s="55" t="s">
        <v>52</v>
      </c>
      <c r="B8" s="55"/>
      <c r="C8" s="42" t="s">
        <v>195</v>
      </c>
      <c r="D8" s="42"/>
      <c r="E8" s="42" t="s">
        <v>196</v>
      </c>
      <c r="F8" s="42" t="s">
        <v>197</v>
      </c>
      <c r="G8" s="42" t="s">
        <v>198</v>
      </c>
      <c r="H8" s="42" t="s">
        <v>199</v>
      </c>
      <c r="I8" s="42" t="s">
        <v>200</v>
      </c>
      <c r="J8" s="42" t="s">
        <v>201</v>
      </c>
      <c r="K8" s="6"/>
      <c r="L8" s="6"/>
      <c r="M8" s="7"/>
    </row>
    <row r="9" spans="1:13" x14ac:dyDescent="0.15">
      <c r="A9" s="51" t="s">
        <v>53</v>
      </c>
      <c r="B9" s="52"/>
      <c r="C9" s="44">
        <v>10</v>
      </c>
      <c r="D9" s="44"/>
      <c r="E9" s="44">
        <v>10</v>
      </c>
      <c r="F9" s="44">
        <v>10</v>
      </c>
      <c r="G9" s="44">
        <v>8</v>
      </c>
      <c r="H9" s="44">
        <v>8</v>
      </c>
      <c r="I9" s="44">
        <v>8</v>
      </c>
      <c r="J9" s="44">
        <v>8</v>
      </c>
      <c r="K9" s="9">
        <f>SUM(C9:J9)</f>
        <v>62</v>
      </c>
      <c r="L9" s="9"/>
      <c r="M9" s="10"/>
    </row>
    <row r="10" spans="1:13" x14ac:dyDescent="0.15">
      <c r="A10" s="49" t="s">
        <v>54</v>
      </c>
      <c r="B10" s="49"/>
      <c r="C10" s="46" t="s">
        <v>55</v>
      </c>
      <c r="D10" s="46" t="s">
        <v>55</v>
      </c>
      <c r="E10" s="46" t="s">
        <v>55</v>
      </c>
      <c r="F10" s="46" t="s">
        <v>55</v>
      </c>
      <c r="G10" s="46" t="s">
        <v>56</v>
      </c>
      <c r="H10" s="46" t="s">
        <v>56</v>
      </c>
      <c r="I10" s="46" t="s">
        <v>56</v>
      </c>
      <c r="J10" s="47"/>
      <c r="K10" s="12"/>
      <c r="L10" s="12"/>
      <c r="M10" s="13"/>
    </row>
    <row r="11" spans="1:13" x14ac:dyDescent="0.15">
      <c r="A11" s="49" t="s">
        <v>65</v>
      </c>
      <c r="B11" s="49"/>
      <c r="C11" s="14">
        <v>6200.0999999999995</v>
      </c>
      <c r="D11" s="14">
        <v>0</v>
      </c>
      <c r="E11" s="14">
        <v>6070.8</v>
      </c>
      <c r="F11" s="14">
        <v>5465.8</v>
      </c>
      <c r="G11" s="14">
        <v>6102.5</v>
      </c>
      <c r="H11" s="14">
        <v>7852.9</v>
      </c>
      <c r="I11" s="14">
        <v>2768.2</v>
      </c>
      <c r="J11" s="14">
        <v>0</v>
      </c>
      <c r="K11" s="16">
        <f>SUM(C11:J11)</f>
        <v>34460.299999999996</v>
      </c>
      <c r="L11" s="16">
        <f>AVERAGE(D11:J11)</f>
        <v>4037.1714285714288</v>
      </c>
      <c r="M11" s="13"/>
    </row>
    <row r="12" spans="1:13" x14ac:dyDescent="0.15">
      <c r="A12" s="53" t="s">
        <v>66</v>
      </c>
      <c r="B12" s="54"/>
      <c r="C12" s="18">
        <v>9.4312500000000004</v>
      </c>
      <c r="D12" s="18">
        <v>0</v>
      </c>
      <c r="E12" s="18">
        <v>9.6048611111111111</v>
      </c>
      <c r="F12" s="18">
        <v>8.9312500000000004</v>
      </c>
      <c r="G12" s="18">
        <v>7.958333333333333</v>
      </c>
      <c r="H12" s="18">
        <v>10.270833333333334</v>
      </c>
      <c r="I12" s="18">
        <v>3.5750000000000002</v>
      </c>
      <c r="J12" s="18">
        <v>0</v>
      </c>
      <c r="K12" s="20">
        <f>SUM(C12:J12)</f>
        <v>49.771527777777784</v>
      </c>
      <c r="L12" s="20">
        <f>AVERAGE(D12:J12)</f>
        <v>5.7628968253968251</v>
      </c>
      <c r="M12" s="13"/>
    </row>
    <row r="13" spans="1:13" x14ac:dyDescent="0.15">
      <c r="A13" s="49" t="s">
        <v>67</v>
      </c>
      <c r="B13" s="49"/>
      <c r="C13" s="14">
        <v>1294522</v>
      </c>
      <c r="D13" s="14">
        <v>1283223</v>
      </c>
      <c r="E13" s="14">
        <v>1259060</v>
      </c>
      <c r="F13" s="14">
        <v>1204408</v>
      </c>
      <c r="G13" s="14">
        <v>1195300</v>
      </c>
      <c r="H13" s="14">
        <v>1503795</v>
      </c>
      <c r="I13" s="14">
        <v>532300</v>
      </c>
      <c r="J13" s="14">
        <v>0</v>
      </c>
      <c r="K13" s="16">
        <f>SUM(C13:J13)</f>
        <v>8272608</v>
      </c>
      <c r="L13" s="16">
        <f>AVERAGE(D13:J13)</f>
        <v>996869.42857142852</v>
      </c>
      <c r="M13" s="13">
        <f>K13/K13</f>
        <v>1</v>
      </c>
    </row>
    <row r="14" spans="1:13" x14ac:dyDescent="0.15">
      <c r="A14" s="53" t="s">
        <v>68</v>
      </c>
      <c r="B14" s="54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6">
        <f>SUM(C14:J14)</f>
        <v>0</v>
      </c>
      <c r="L14" s="16">
        <f>AVERAGE(D14:J14)</f>
        <v>0</v>
      </c>
      <c r="M14" s="13"/>
    </row>
    <row r="15" spans="1:13" x14ac:dyDescent="0.15">
      <c r="A15" s="49" t="s">
        <v>69</v>
      </c>
      <c r="B15" s="49"/>
      <c r="C15" s="14">
        <f>SUM(C13/C11)</f>
        <v>208.79050337897777</v>
      </c>
      <c r="D15" s="14" t="e">
        <f t="shared" ref="D15:J15" si="0">SUM(D13/D11)</f>
        <v>#DIV/0!</v>
      </c>
      <c r="E15" s="14">
        <f t="shared" si="0"/>
        <v>207.39605982737035</v>
      </c>
      <c r="F15" s="14">
        <f t="shared" si="0"/>
        <v>220.35347067217972</v>
      </c>
      <c r="G15" s="14">
        <f t="shared" si="0"/>
        <v>195.87054485866449</v>
      </c>
      <c r="H15" s="14">
        <f t="shared" si="0"/>
        <v>191.49549847826918</v>
      </c>
      <c r="I15" s="14">
        <f t="shared" si="0"/>
        <v>192.29101943501195</v>
      </c>
      <c r="J15" s="14" t="e">
        <f t="shared" si="0"/>
        <v>#DIV/0!</v>
      </c>
      <c r="K15" s="12">
        <f>SUM(K13/K11)</f>
        <v>240.06198437042048</v>
      </c>
      <c r="L15" s="16" t="e">
        <f>AVERAGE(D15:J15)</f>
        <v>#DIV/0!</v>
      </c>
      <c r="M15" s="13"/>
    </row>
    <row r="16" spans="1:13" x14ac:dyDescent="0.15">
      <c r="A16" s="53" t="s">
        <v>70</v>
      </c>
      <c r="B16" s="54"/>
      <c r="C16" s="21">
        <f t="shared" ref="C16:K16" si="1">C13/(C12*24)</f>
        <v>5719.1164126352987</v>
      </c>
      <c r="D16" s="21" t="e">
        <f t="shared" si="1"/>
        <v>#DIV/0!</v>
      </c>
      <c r="E16" s="21">
        <f t="shared" si="1"/>
        <v>5461.9044176126099</v>
      </c>
      <c r="F16" s="21">
        <f t="shared" si="1"/>
        <v>5618.8850011663162</v>
      </c>
      <c r="G16" s="21">
        <f t="shared" si="1"/>
        <v>6258.1151832460737</v>
      </c>
      <c r="H16" s="21">
        <f t="shared" si="1"/>
        <v>6100.588235294118</v>
      </c>
      <c r="I16" s="21">
        <f t="shared" si="1"/>
        <v>6203.962703962703</v>
      </c>
      <c r="J16" s="21" t="e">
        <f t="shared" si="1"/>
        <v>#DIV/0!</v>
      </c>
      <c r="K16" s="23">
        <f t="shared" si="1"/>
        <v>6925.4856217996112</v>
      </c>
      <c r="L16" s="23" t="e">
        <f>AVERAGE(D16:J16)</f>
        <v>#DIV/0!</v>
      </c>
      <c r="M16" s="13"/>
    </row>
    <row r="17" spans="1:13" x14ac:dyDescent="0.15">
      <c r="A17" s="50" t="s">
        <v>71</v>
      </c>
      <c r="B17" s="11" t="s">
        <v>72</v>
      </c>
      <c r="C17" s="14">
        <v>0</v>
      </c>
      <c r="D17" s="14">
        <v>0</v>
      </c>
      <c r="E17" s="14">
        <v>0</v>
      </c>
      <c r="F17" s="14">
        <v>56250</v>
      </c>
      <c r="G17" s="14">
        <v>0</v>
      </c>
      <c r="H17" s="14">
        <v>0</v>
      </c>
      <c r="I17" s="14">
        <v>43906</v>
      </c>
      <c r="J17" s="14">
        <v>300174</v>
      </c>
      <c r="K17" s="16">
        <f>SUM(C17:J17)</f>
        <v>400330</v>
      </c>
      <c r="L17" s="16">
        <f>AVERAGE(D17:J17)</f>
        <v>57190</v>
      </c>
      <c r="M17" s="13">
        <f>K17/K13</f>
        <v>4.8392236160591677E-2</v>
      </c>
    </row>
    <row r="18" spans="1:13" x14ac:dyDescent="0.15">
      <c r="A18" s="50"/>
      <c r="B18" s="11" t="s">
        <v>73</v>
      </c>
      <c r="C18" s="14">
        <v>4025</v>
      </c>
      <c r="D18" s="14">
        <v>0</v>
      </c>
      <c r="E18" s="14">
        <v>4808</v>
      </c>
      <c r="F18" s="14">
        <v>4025</v>
      </c>
      <c r="G18" s="14">
        <v>4025</v>
      </c>
      <c r="H18" s="14">
        <v>4025</v>
      </c>
      <c r="I18" s="14">
        <v>2575</v>
      </c>
      <c r="J18" s="14">
        <v>4808</v>
      </c>
      <c r="K18" s="16">
        <f>SUM(C18:J18)</f>
        <v>28291</v>
      </c>
      <c r="L18" s="16">
        <f>AVERAGE(D18:J18)</f>
        <v>3466.5714285714284</v>
      </c>
      <c r="M18" s="13">
        <f>K18/K13</f>
        <v>3.4198405146236835E-3</v>
      </c>
    </row>
    <row r="19" spans="1:13" x14ac:dyDescent="0.15">
      <c r="A19" s="50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6">
        <f>SUM(C19:J19)</f>
        <v>0</v>
      </c>
      <c r="L19" s="16">
        <f>AVERAGE(D19:J19)</f>
        <v>0</v>
      </c>
      <c r="M19" s="13">
        <f>K19/K13</f>
        <v>0</v>
      </c>
    </row>
    <row r="20" spans="1:13" x14ac:dyDescent="0.15">
      <c r="A20" s="50"/>
      <c r="B20" s="11" t="s">
        <v>75</v>
      </c>
      <c r="C20" s="14">
        <v>4950</v>
      </c>
      <c r="D20" s="14">
        <v>0</v>
      </c>
      <c r="E20" s="14">
        <v>4766</v>
      </c>
      <c r="F20" s="14">
        <v>4583</v>
      </c>
      <c r="G20" s="14">
        <v>4583</v>
      </c>
      <c r="H20" s="14">
        <v>4766</v>
      </c>
      <c r="I20" s="14">
        <v>4766</v>
      </c>
      <c r="J20" s="14">
        <v>4583</v>
      </c>
      <c r="K20" s="16">
        <f>SUM(C20:J20)</f>
        <v>32997</v>
      </c>
      <c r="L20" s="16">
        <f>AVERAGE(D20:J20)</f>
        <v>4006.7142857142858</v>
      </c>
      <c r="M20" s="13">
        <f>K20/K13</f>
        <v>3.9887058591438155E-3</v>
      </c>
    </row>
    <row r="21" spans="1:13" x14ac:dyDescent="0.15">
      <c r="A21" s="50"/>
      <c r="B21" s="11" t="s">
        <v>76</v>
      </c>
      <c r="C21" s="14">
        <v>43755</v>
      </c>
      <c r="D21" s="14">
        <v>0</v>
      </c>
      <c r="E21" s="14">
        <v>39015</v>
      </c>
      <c r="F21" s="14">
        <v>12575</v>
      </c>
      <c r="G21" s="14">
        <v>24305</v>
      </c>
      <c r="H21" s="14">
        <v>21879</v>
      </c>
      <c r="I21" s="14">
        <v>34940</v>
      </c>
      <c r="J21" s="14">
        <v>19729</v>
      </c>
      <c r="K21" s="16">
        <f>SUM(C21:J21)</f>
        <v>196198</v>
      </c>
      <c r="L21" s="16">
        <f>AVERAGE(D21:J21)</f>
        <v>21777.571428571428</v>
      </c>
      <c r="M21" s="13">
        <f>K21/K13</f>
        <v>2.371658369404183E-2</v>
      </c>
    </row>
    <row r="22" spans="1:13" x14ac:dyDescent="0.15">
      <c r="A22" s="50"/>
      <c r="B22" s="24" t="s">
        <v>77</v>
      </c>
      <c r="C22" s="25">
        <f t="shared" ref="C22:J22" si="2">SUM(C17:C21)</f>
        <v>52730</v>
      </c>
      <c r="D22" s="25">
        <f t="shared" si="2"/>
        <v>0</v>
      </c>
      <c r="E22" s="25">
        <f t="shared" si="2"/>
        <v>48589</v>
      </c>
      <c r="F22" s="25">
        <f t="shared" si="2"/>
        <v>77433</v>
      </c>
      <c r="G22" s="25">
        <f t="shared" si="2"/>
        <v>32913</v>
      </c>
      <c r="H22" s="25">
        <f t="shared" si="2"/>
        <v>30670</v>
      </c>
      <c r="I22" s="25">
        <f t="shared" si="2"/>
        <v>86187</v>
      </c>
      <c r="J22" s="25">
        <f t="shared" si="2"/>
        <v>329294</v>
      </c>
      <c r="K22" s="27">
        <f>SUM(C22:J22)</f>
        <v>657816</v>
      </c>
      <c r="L22" s="27">
        <f>AVERAGE(D22:J22)</f>
        <v>86440.857142857145</v>
      </c>
      <c r="M22" s="28">
        <f>K22/K13</f>
        <v>7.9517366228401012E-2</v>
      </c>
    </row>
    <row r="23" spans="1:13" x14ac:dyDescent="0.15">
      <c r="A23" s="50" t="s">
        <v>78</v>
      </c>
      <c r="B23" s="11" t="s">
        <v>79</v>
      </c>
      <c r="C23" s="14">
        <v>0</v>
      </c>
      <c r="D23" s="14">
        <v>0</v>
      </c>
      <c r="E23" s="14">
        <v>0</v>
      </c>
      <c r="F23" s="14">
        <v>93452</v>
      </c>
      <c r="G23" s="14">
        <v>0</v>
      </c>
      <c r="H23" s="14">
        <v>33740</v>
      </c>
      <c r="I23" s="14">
        <v>0</v>
      </c>
      <c r="J23" s="14">
        <v>0</v>
      </c>
      <c r="K23" s="16">
        <f>SUM(C23:J23)</f>
        <v>127192</v>
      </c>
      <c r="L23" s="16">
        <f>AVERAGE(D23:J23)</f>
        <v>18170.285714285714</v>
      </c>
      <c r="M23" s="13">
        <f>K23/K13</f>
        <v>1.5375078814323125E-2</v>
      </c>
    </row>
    <row r="24" spans="1:13" x14ac:dyDescent="0.15">
      <c r="A24" s="50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6">
        <f>SUM(C24:J24)</f>
        <v>0</v>
      </c>
      <c r="L24" s="16">
        <f>AVERAGE(D24:J24)</f>
        <v>0</v>
      </c>
      <c r="M24" s="13">
        <f>K24/K13</f>
        <v>0</v>
      </c>
    </row>
    <row r="25" spans="1:13" x14ac:dyDescent="0.15">
      <c r="A25" s="50"/>
      <c r="B25" s="11" t="s">
        <v>81</v>
      </c>
      <c r="C25" s="14">
        <f t="shared" ref="C25:J25" si="3">30000*C9/70000*C11</f>
        <v>26571.857142857141</v>
      </c>
      <c r="D25" s="14">
        <f t="shared" si="3"/>
        <v>0</v>
      </c>
      <c r="E25" s="14">
        <f t="shared" si="3"/>
        <v>26017.714285714286</v>
      </c>
      <c r="F25" s="14">
        <f t="shared" si="3"/>
        <v>23424.857142857141</v>
      </c>
      <c r="G25" s="14">
        <f t="shared" si="3"/>
        <v>20922.857142857141</v>
      </c>
      <c r="H25" s="14">
        <f t="shared" si="3"/>
        <v>26924.228571428568</v>
      </c>
      <c r="I25" s="14">
        <f t="shared" si="3"/>
        <v>9490.9714285714272</v>
      </c>
      <c r="J25" s="14">
        <f t="shared" si="3"/>
        <v>0</v>
      </c>
      <c r="K25" s="16">
        <f>SUM(C25:J25)</f>
        <v>133352.48571428569</v>
      </c>
      <c r="L25" s="16">
        <f>AVERAGE(D25:J25)</f>
        <v>15254.37551020408</v>
      </c>
      <c r="M25" s="13">
        <f>K25/K13</f>
        <v>1.6119763648209329E-2</v>
      </c>
    </row>
    <row r="26" spans="1:13" x14ac:dyDescent="0.15">
      <c r="A26" s="50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6">
        <f>SUM(C26:J26)</f>
        <v>0</v>
      </c>
      <c r="L26" s="16">
        <f>AVERAGE(D26:J26)</f>
        <v>0</v>
      </c>
      <c r="M26" s="13">
        <f>K26/K13</f>
        <v>0</v>
      </c>
    </row>
    <row r="27" spans="1:13" x14ac:dyDescent="0.15">
      <c r="A27" s="50"/>
      <c r="B27" s="24" t="s">
        <v>82</v>
      </c>
      <c r="C27" s="25">
        <f t="shared" ref="C27:J27" si="4">SUM(C23:C26)</f>
        <v>26571.857142857141</v>
      </c>
      <c r="D27" s="25">
        <f t="shared" si="4"/>
        <v>0</v>
      </c>
      <c r="E27" s="25">
        <f t="shared" si="4"/>
        <v>26017.714285714286</v>
      </c>
      <c r="F27" s="25">
        <f t="shared" si="4"/>
        <v>116876.85714285714</v>
      </c>
      <c r="G27" s="25">
        <f t="shared" si="4"/>
        <v>20922.857142857141</v>
      </c>
      <c r="H27" s="25">
        <f t="shared" si="4"/>
        <v>60664.228571428568</v>
      </c>
      <c r="I27" s="25">
        <f t="shared" si="4"/>
        <v>9490.9714285714272</v>
      </c>
      <c r="J27" s="25">
        <f t="shared" si="4"/>
        <v>0</v>
      </c>
      <c r="K27" s="27">
        <f>SUM(C27:J27)</f>
        <v>260544.48571428569</v>
      </c>
      <c r="L27" s="27">
        <f>AVERAGE(D27:J27)</f>
        <v>33424.661224489791</v>
      </c>
      <c r="M27" s="28">
        <f>K27/K13</f>
        <v>3.1494842462532459E-2</v>
      </c>
    </row>
    <row r="28" spans="1:13" x14ac:dyDescent="0.15">
      <c r="A28" s="50" t="s">
        <v>83</v>
      </c>
      <c r="B28" s="8" t="s">
        <v>84</v>
      </c>
      <c r="C28" s="29">
        <v>1479</v>
      </c>
      <c r="D28" s="29">
        <v>0</v>
      </c>
      <c r="E28" s="29">
        <v>1505</v>
      </c>
      <c r="F28" s="29">
        <v>1547</v>
      </c>
      <c r="G28" s="29">
        <v>1435</v>
      </c>
      <c r="H28" s="29">
        <v>1753</v>
      </c>
      <c r="I28" s="29">
        <v>579</v>
      </c>
      <c r="J28" s="29">
        <v>0</v>
      </c>
      <c r="K28" s="31">
        <f>SUM(C28:J28)</f>
        <v>8298</v>
      </c>
      <c r="L28" s="31">
        <f>AVERAGE(D28:J28)</f>
        <v>974.14285714285711</v>
      </c>
      <c r="M28" s="10">
        <f>K28/K13</f>
        <v>1.0030694068907894E-3</v>
      </c>
    </row>
    <row r="29" spans="1:13" x14ac:dyDescent="0.15">
      <c r="A29" s="50"/>
      <c r="B29" s="32" t="s">
        <v>85</v>
      </c>
      <c r="C29" s="33">
        <f t="shared" ref="C29:J29" si="5">SUM(C11/C28)</f>
        <v>4.1920892494929003</v>
      </c>
      <c r="D29" s="33" t="e">
        <f t="shared" si="5"/>
        <v>#DIV/0!</v>
      </c>
      <c r="E29" s="33">
        <f t="shared" si="5"/>
        <v>4.0337541528239207</v>
      </c>
      <c r="F29" s="33">
        <f t="shared" si="5"/>
        <v>3.5331609566903688</v>
      </c>
      <c r="G29" s="33">
        <f t="shared" si="5"/>
        <v>4.2526132404181185</v>
      </c>
      <c r="H29" s="33">
        <f t="shared" si="5"/>
        <v>4.47969195664575</v>
      </c>
      <c r="I29" s="33">
        <f t="shared" si="5"/>
        <v>4.7810017271157168</v>
      </c>
      <c r="J29" s="33" t="e">
        <f t="shared" si="5"/>
        <v>#DIV/0!</v>
      </c>
      <c r="K29" s="35">
        <f t="shared" ref="K29" si="6">SUM(K11/K28)</f>
        <v>4.1528440588093511</v>
      </c>
      <c r="L29" s="35" t="e">
        <f>AVERAGE(D29:J29)</f>
        <v>#DIV/0!</v>
      </c>
      <c r="M29" s="32">
        <f>K29/K13</f>
        <v>5.0199937659434013E-7</v>
      </c>
    </row>
    <row r="30" spans="1:13" x14ac:dyDescent="0.15">
      <c r="A30" s="50"/>
      <c r="B30" s="11" t="s">
        <v>86</v>
      </c>
      <c r="C30" s="14">
        <v>177924</v>
      </c>
      <c r="D30" s="14">
        <v>0</v>
      </c>
      <c r="E30" s="14">
        <v>181052</v>
      </c>
      <c r="F30" s="14">
        <v>186104</v>
      </c>
      <c r="G30" s="14">
        <v>172631</v>
      </c>
      <c r="H30" s="14">
        <v>210886</v>
      </c>
      <c r="I30" s="14">
        <v>69654</v>
      </c>
      <c r="J30" s="14">
        <v>0</v>
      </c>
      <c r="K30" s="16">
        <f>SUM(C30:J30)</f>
        <v>998251</v>
      </c>
      <c r="L30" s="16">
        <f>AVERAGE(D30:J30)</f>
        <v>117189.57142857143</v>
      </c>
      <c r="M30" s="13">
        <f>K30/K13</f>
        <v>0.12066944305834387</v>
      </c>
    </row>
    <row r="31" spans="1:13" x14ac:dyDescent="0.15">
      <c r="A31" s="50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6">
        <f>SUM(C31:J31)</f>
        <v>0</v>
      </c>
      <c r="L31" s="16">
        <f>AVERAGE(D31:J31)</f>
        <v>0</v>
      </c>
      <c r="M31" s="13">
        <f>K31/K13</f>
        <v>0</v>
      </c>
    </row>
    <row r="32" spans="1:13" x14ac:dyDescent="0.15">
      <c r="A32" s="50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6">
        <f>SUM(C32:J32)</f>
        <v>0</v>
      </c>
      <c r="L32" s="16">
        <f>AVERAGE(D32:J32)</f>
        <v>0</v>
      </c>
      <c r="M32" s="13">
        <f>K32/K13</f>
        <v>0</v>
      </c>
    </row>
    <row r="33" spans="1:13" x14ac:dyDescent="0.15">
      <c r="A33" s="50"/>
      <c r="B33" s="24" t="s">
        <v>89</v>
      </c>
      <c r="C33" s="25">
        <f>SUM(C30:C32)</f>
        <v>177924</v>
      </c>
      <c r="D33" s="25">
        <f t="shared" ref="D33:J33" si="7">SUM(D30:D32)</f>
        <v>0</v>
      </c>
      <c r="E33" s="25">
        <f t="shared" si="7"/>
        <v>181052</v>
      </c>
      <c r="F33" s="25">
        <f t="shared" si="7"/>
        <v>186104</v>
      </c>
      <c r="G33" s="25">
        <f t="shared" si="7"/>
        <v>172631</v>
      </c>
      <c r="H33" s="25">
        <f t="shared" si="7"/>
        <v>210886</v>
      </c>
      <c r="I33" s="25">
        <f t="shared" si="7"/>
        <v>69654</v>
      </c>
      <c r="J33" s="25">
        <f t="shared" si="7"/>
        <v>0</v>
      </c>
      <c r="K33" s="27">
        <f>SUM(C33:J33)</f>
        <v>998251</v>
      </c>
      <c r="L33" s="27">
        <f>AVERAGE(D33:J33)</f>
        <v>117189.57142857143</v>
      </c>
      <c r="M33" s="28">
        <f>K33/K13</f>
        <v>0.12066944305834387</v>
      </c>
    </row>
    <row r="34" spans="1:13" x14ac:dyDescent="0.15">
      <c r="A34" s="50" t="s">
        <v>90</v>
      </c>
      <c r="B34" s="11" t="s">
        <v>91</v>
      </c>
      <c r="C34" s="14">
        <v>2008</v>
      </c>
      <c r="D34" s="14">
        <v>0</v>
      </c>
      <c r="E34" s="14">
        <v>2012</v>
      </c>
      <c r="F34" s="14">
        <v>2008</v>
      </c>
      <c r="G34" s="14">
        <v>2365</v>
      </c>
      <c r="H34" s="14">
        <v>2365</v>
      </c>
      <c r="I34" s="14">
        <v>2008</v>
      </c>
      <c r="J34" s="14">
        <v>2008</v>
      </c>
      <c r="K34" s="16">
        <f>SUM(C34:J34)</f>
        <v>14774</v>
      </c>
      <c r="L34" s="16">
        <f>AVERAGE(D34:J34)</f>
        <v>1823.7142857142858</v>
      </c>
      <c r="M34" s="13">
        <f>K34/K13</f>
        <v>1.7858938801403378E-3</v>
      </c>
    </row>
    <row r="35" spans="1:13" x14ac:dyDescent="0.15">
      <c r="A35" s="50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6">
        <f>SUM(C35:J35)</f>
        <v>0</v>
      </c>
      <c r="L35" s="16">
        <f>AVERAGE(D35:J35)</f>
        <v>0</v>
      </c>
      <c r="M35" s="13">
        <f>K35/K13</f>
        <v>0</v>
      </c>
    </row>
    <row r="36" spans="1:13" x14ac:dyDescent="0.15">
      <c r="A36" s="50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6">
        <f>SUM(C36:J36)</f>
        <v>0</v>
      </c>
      <c r="L36" s="16">
        <f>AVERAGE(D36:J36)</f>
        <v>0</v>
      </c>
      <c r="M36" s="13">
        <f>K36/K13</f>
        <v>0</v>
      </c>
    </row>
    <row r="37" spans="1:13" x14ac:dyDescent="0.15">
      <c r="A37" s="50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6">
        <f>SUM(C37:J37)</f>
        <v>0</v>
      </c>
      <c r="L37" s="16">
        <f>AVERAGE(D37:J37)</f>
        <v>0</v>
      </c>
      <c r="M37" s="13">
        <f>K37/K13</f>
        <v>0</v>
      </c>
    </row>
    <row r="38" spans="1:13" x14ac:dyDescent="0.15">
      <c r="A38" s="50"/>
      <c r="B38" s="11" t="s">
        <v>92</v>
      </c>
      <c r="C38" s="14">
        <v>4621</v>
      </c>
      <c r="D38" s="14">
        <v>0</v>
      </c>
      <c r="E38" s="14">
        <v>4621</v>
      </c>
      <c r="F38" s="14">
        <v>7034</v>
      </c>
      <c r="G38" s="14">
        <v>5366</v>
      </c>
      <c r="H38" s="14">
        <v>5366</v>
      </c>
      <c r="I38" s="14">
        <v>5366</v>
      </c>
      <c r="J38" s="14">
        <v>9033</v>
      </c>
      <c r="K38" s="16">
        <f>SUM(C38:J38)</f>
        <v>41407</v>
      </c>
      <c r="L38" s="16">
        <f>AVERAGE(D38:J38)</f>
        <v>5255.1428571428569</v>
      </c>
      <c r="M38" s="13">
        <f>K38/K13</f>
        <v>5.0053139227677658E-3</v>
      </c>
    </row>
    <row r="39" spans="1:13" x14ac:dyDescent="0.15">
      <c r="A39" s="50"/>
      <c r="B39" s="24" t="s">
        <v>93</v>
      </c>
      <c r="C39" s="25">
        <f t="shared" ref="C39:J39" si="8">SUM(C34:C38)</f>
        <v>6629</v>
      </c>
      <c r="D39" s="25">
        <f t="shared" si="8"/>
        <v>0</v>
      </c>
      <c r="E39" s="25">
        <f t="shared" si="8"/>
        <v>6633</v>
      </c>
      <c r="F39" s="25">
        <f t="shared" si="8"/>
        <v>9042</v>
      </c>
      <c r="G39" s="25">
        <f t="shared" si="8"/>
        <v>7731</v>
      </c>
      <c r="H39" s="25">
        <f t="shared" si="8"/>
        <v>7731</v>
      </c>
      <c r="I39" s="25">
        <f t="shared" si="8"/>
        <v>7374</v>
      </c>
      <c r="J39" s="25">
        <f t="shared" si="8"/>
        <v>11041</v>
      </c>
      <c r="K39" s="27">
        <f>SUM(C39:J39)</f>
        <v>56181</v>
      </c>
      <c r="L39" s="27">
        <f>AVERAGE(D39:J39)</f>
        <v>7078.8571428571431</v>
      </c>
      <c r="M39" s="28">
        <f>K39/K13</f>
        <v>6.7912078029081033E-3</v>
      </c>
    </row>
    <row r="40" spans="1:13" x14ac:dyDescent="0.15">
      <c r="A40" s="50" t="s">
        <v>94</v>
      </c>
      <c r="B40" s="11" t="s">
        <v>95</v>
      </c>
      <c r="C40" s="14">
        <v>187110</v>
      </c>
      <c r="D40" s="14">
        <v>0</v>
      </c>
      <c r="E40" s="14">
        <v>159920</v>
      </c>
      <c r="F40" s="14">
        <v>158490</v>
      </c>
      <c r="G40" s="14">
        <v>219190</v>
      </c>
      <c r="H40" s="14">
        <v>313300</v>
      </c>
      <c r="I40" s="14">
        <v>111610</v>
      </c>
      <c r="J40" s="14">
        <v>0</v>
      </c>
      <c r="K40" s="16">
        <f>SUM(C40:J40)</f>
        <v>1149620</v>
      </c>
      <c r="L40" s="16">
        <f>AVERAGE(D40:J40)</f>
        <v>137501.42857142858</v>
      </c>
      <c r="M40" s="13">
        <f>K40/K13</f>
        <v>0.1389670585140744</v>
      </c>
    </row>
    <row r="41" spans="1:13" x14ac:dyDescent="0.15">
      <c r="A41" s="50"/>
      <c r="B41" s="11" t="s">
        <v>96</v>
      </c>
      <c r="C41" s="14">
        <v>-161146</v>
      </c>
      <c r="D41" s="14">
        <v>0</v>
      </c>
      <c r="E41" s="14">
        <v>-144447</v>
      </c>
      <c r="F41" s="14">
        <v>-145408</v>
      </c>
      <c r="G41" s="14">
        <v>-90699</v>
      </c>
      <c r="H41" s="14">
        <v>-146309</v>
      </c>
      <c r="I41" s="14">
        <v>-43110</v>
      </c>
      <c r="J41" s="14">
        <v>0</v>
      </c>
      <c r="K41" s="16">
        <f>SUM(C41:J41)</f>
        <v>-731119</v>
      </c>
      <c r="L41" s="16">
        <f>AVERAGE(D41:J41)</f>
        <v>-81424.71428571429</v>
      </c>
      <c r="M41" s="13">
        <f>K41/K13</f>
        <v>-8.8378296179391067E-2</v>
      </c>
    </row>
    <row r="42" spans="1:13" x14ac:dyDescent="0.15">
      <c r="A42" s="50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6">
        <f>SUM(C42:J42)</f>
        <v>0</v>
      </c>
      <c r="L42" s="16">
        <f>AVERAGE(D42:J42)</f>
        <v>0</v>
      </c>
      <c r="M42" s="13">
        <f>K42/K13</f>
        <v>0</v>
      </c>
    </row>
    <row r="43" spans="1:13" x14ac:dyDescent="0.15">
      <c r="A43" s="50"/>
      <c r="B43" s="11" t="s">
        <v>98</v>
      </c>
      <c r="C43" s="14">
        <v>-61746.3</v>
      </c>
      <c r="D43" s="14">
        <v>0</v>
      </c>
      <c r="E43" s="14">
        <v>-52773.599999999999</v>
      </c>
      <c r="F43" s="14">
        <v>-52301.7</v>
      </c>
      <c r="G43" s="14">
        <v>-72332.7</v>
      </c>
      <c r="H43" s="14">
        <v>-103389</v>
      </c>
      <c r="I43" s="14">
        <v>-36831.300000000003</v>
      </c>
      <c r="J43" s="14">
        <v>0</v>
      </c>
      <c r="K43" s="16">
        <f>SUM(C43:J43)</f>
        <v>-379374.6</v>
      </c>
      <c r="L43" s="16">
        <f>AVERAGE(B43:J43)</f>
        <v>-47421.824999999997</v>
      </c>
      <c r="M43" s="13">
        <f>K43/K13</f>
        <v>-4.5859129309644552E-2</v>
      </c>
    </row>
    <row r="44" spans="1:13" x14ac:dyDescent="0.15">
      <c r="A44" s="50"/>
      <c r="B44" s="24" t="s">
        <v>99</v>
      </c>
      <c r="C44" s="25">
        <f t="shared" ref="C44:K44" si="9">SUM(C40:C43)</f>
        <v>-35782.300000000003</v>
      </c>
      <c r="D44" s="25">
        <f t="shared" si="9"/>
        <v>0</v>
      </c>
      <c r="E44" s="25">
        <f t="shared" si="9"/>
        <v>-37300.6</v>
      </c>
      <c r="F44" s="25">
        <f t="shared" si="9"/>
        <v>-39219.699999999997</v>
      </c>
      <c r="G44" s="25">
        <f t="shared" si="9"/>
        <v>56158.3</v>
      </c>
      <c r="H44" s="25">
        <f t="shared" si="9"/>
        <v>63602</v>
      </c>
      <c r="I44" s="25">
        <f t="shared" si="9"/>
        <v>31668.699999999997</v>
      </c>
      <c r="J44" s="25">
        <f t="shared" si="9"/>
        <v>0</v>
      </c>
      <c r="K44" s="27">
        <f t="shared" si="9"/>
        <v>39126.400000000023</v>
      </c>
      <c r="L44" s="27">
        <f>AVERAGE(B44:J44)</f>
        <v>4890.8000000000011</v>
      </c>
      <c r="M44" s="28">
        <f>K44/K13</f>
        <v>4.7296330250387814E-3</v>
      </c>
    </row>
    <row r="45" spans="1:13" x14ac:dyDescent="0.15">
      <c r="A45" s="50" t="s">
        <v>100</v>
      </c>
      <c r="B45" s="11" t="s">
        <v>101</v>
      </c>
      <c r="C45" s="14">
        <v>398116</v>
      </c>
      <c r="D45" s="14">
        <v>0</v>
      </c>
      <c r="E45" s="14">
        <v>361786</v>
      </c>
      <c r="F45" s="14">
        <v>359871</v>
      </c>
      <c r="G45" s="14">
        <v>399470</v>
      </c>
      <c r="H45" s="14">
        <v>411367</v>
      </c>
      <c r="I45" s="14">
        <v>0</v>
      </c>
      <c r="J45" s="14">
        <v>0</v>
      </c>
      <c r="K45" s="16">
        <f>SUM(C45:J45)</f>
        <v>1930610</v>
      </c>
      <c r="L45" s="16">
        <f>AVERAGE(D45:J45)</f>
        <v>218927.71428571429</v>
      </c>
      <c r="M45" s="13">
        <f>K45/K13</f>
        <v>0.2333738042464964</v>
      </c>
    </row>
    <row r="46" spans="1:13" x14ac:dyDescent="0.15">
      <c r="A46" s="50"/>
      <c r="B46" s="11" t="s">
        <v>102</v>
      </c>
      <c r="C46" s="14">
        <v>14000</v>
      </c>
      <c r="D46" s="14">
        <v>0</v>
      </c>
      <c r="E46" s="14">
        <v>11333</v>
      </c>
      <c r="F46" s="14">
        <v>12333</v>
      </c>
      <c r="G46" s="14">
        <v>18833</v>
      </c>
      <c r="H46" s="14">
        <v>12333</v>
      </c>
      <c r="I46" s="14">
        <v>0</v>
      </c>
      <c r="J46" s="14">
        <v>0</v>
      </c>
      <c r="K46" s="16">
        <f>SUM(C46:J46)</f>
        <v>68832</v>
      </c>
      <c r="L46" s="16">
        <f>AVERAGE(D46:J46)</f>
        <v>7833.1428571428569</v>
      </c>
      <c r="M46" s="13">
        <f>K46/K13</f>
        <v>8.3204716094368303E-3</v>
      </c>
    </row>
    <row r="47" spans="1:13" x14ac:dyDescent="0.15">
      <c r="A47" s="50"/>
      <c r="B47" s="11" t="s">
        <v>103</v>
      </c>
      <c r="C47" s="14">
        <v>64441</v>
      </c>
      <c r="D47" s="14">
        <v>0</v>
      </c>
      <c r="E47" s="14">
        <v>64037</v>
      </c>
      <c r="F47" s="14">
        <v>64188</v>
      </c>
      <c r="G47" s="14">
        <v>62143</v>
      </c>
      <c r="H47" s="14">
        <v>58128</v>
      </c>
      <c r="I47" s="14">
        <v>0</v>
      </c>
      <c r="J47" s="14">
        <v>0</v>
      </c>
      <c r="K47" s="16">
        <f>SUM(C47:J47)</f>
        <v>312937</v>
      </c>
      <c r="L47" s="16">
        <f>AVERAGE(D47:J47)</f>
        <v>35499.428571428572</v>
      </c>
      <c r="M47" s="13">
        <f>K47/K13</f>
        <v>3.7828094840224508E-2</v>
      </c>
    </row>
    <row r="48" spans="1:13" x14ac:dyDescent="0.15">
      <c r="A48" s="50"/>
      <c r="B48" s="11" t="s">
        <v>104</v>
      </c>
      <c r="C48" s="14">
        <v>6000</v>
      </c>
      <c r="D48" s="14">
        <v>0</v>
      </c>
      <c r="E48" s="14">
        <v>6000</v>
      </c>
      <c r="F48" s="14">
        <v>6000</v>
      </c>
      <c r="G48" s="14">
        <v>6000</v>
      </c>
      <c r="H48" s="14">
        <v>6000</v>
      </c>
      <c r="I48" s="14">
        <v>0</v>
      </c>
      <c r="J48" s="14">
        <v>0</v>
      </c>
      <c r="K48" s="16">
        <f>SUM(C48:J48)</f>
        <v>30000</v>
      </c>
      <c r="L48" s="16">
        <f>AVERAGE(D48:J48)</f>
        <v>3428.5714285714284</v>
      </c>
      <c r="M48" s="13">
        <f>K48/K13</f>
        <v>3.6264259106680748E-3</v>
      </c>
    </row>
    <row r="49" spans="1:13" x14ac:dyDescent="0.15">
      <c r="A49" s="50"/>
      <c r="B49" s="24" t="s">
        <v>105</v>
      </c>
      <c r="C49" s="25">
        <f t="shared" ref="C49:J49" si="10">SUM(C45:C48)</f>
        <v>482557</v>
      </c>
      <c r="D49" s="25">
        <f t="shared" si="10"/>
        <v>0</v>
      </c>
      <c r="E49" s="25">
        <f t="shared" si="10"/>
        <v>443156</v>
      </c>
      <c r="F49" s="25">
        <f t="shared" si="10"/>
        <v>442392</v>
      </c>
      <c r="G49" s="25">
        <f t="shared" si="10"/>
        <v>486446</v>
      </c>
      <c r="H49" s="25">
        <f t="shared" si="10"/>
        <v>487828</v>
      </c>
      <c r="I49" s="25">
        <f t="shared" si="10"/>
        <v>0</v>
      </c>
      <c r="J49" s="25">
        <f t="shared" si="10"/>
        <v>0</v>
      </c>
      <c r="K49" s="27">
        <f>SUM(C49:J49)</f>
        <v>2342379</v>
      </c>
      <c r="L49" s="27">
        <f>AVERAGE(D49:J49)</f>
        <v>265688.85714285716</v>
      </c>
      <c r="M49" s="28">
        <f>K49/K13</f>
        <v>0.28314879660682579</v>
      </c>
    </row>
    <row r="50" spans="1:13" x14ac:dyDescent="0.15">
      <c r="A50" s="50" t="s">
        <v>106</v>
      </c>
      <c r="B50" s="11" t="s">
        <v>107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6">
        <f>SUM(C50:J50)</f>
        <v>0</v>
      </c>
      <c r="L50" s="16">
        <f>AVERAGE(D50:J50)</f>
        <v>0</v>
      </c>
      <c r="M50" s="13">
        <f>K50/K13</f>
        <v>0</v>
      </c>
    </row>
    <row r="51" spans="1:13" x14ac:dyDescent="0.15">
      <c r="A51" s="50"/>
      <c r="B51" s="11" t="s">
        <v>108</v>
      </c>
      <c r="C51" s="14">
        <v>0</v>
      </c>
      <c r="D51" s="14">
        <v>1213940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6">
        <f>SUM(C51:J51)</f>
        <v>1213940</v>
      </c>
      <c r="L51" s="16">
        <f>AVERAGE(D51:J51)</f>
        <v>173420</v>
      </c>
      <c r="M51" s="13">
        <f>K51/K13</f>
        <v>0.14674211566654674</v>
      </c>
    </row>
    <row r="52" spans="1:13" x14ac:dyDescent="0.15">
      <c r="A52" s="50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6">
        <f>SUM(C52:J52)</f>
        <v>0</v>
      </c>
      <c r="L52" s="16">
        <f>AVERAGE(D52:J52)</f>
        <v>0</v>
      </c>
      <c r="M52" s="13">
        <f>K52/K13</f>
        <v>0</v>
      </c>
    </row>
    <row r="53" spans="1:13" x14ac:dyDescent="0.15">
      <c r="A53" s="50"/>
      <c r="B53" s="11" t="s">
        <v>110</v>
      </c>
      <c r="C53" s="14">
        <v>98824.28571428571</v>
      </c>
      <c r="D53" s="14">
        <v>0</v>
      </c>
      <c r="E53" s="14">
        <v>98824.28571428571</v>
      </c>
      <c r="F53" s="14">
        <v>98824.28571428571</v>
      </c>
      <c r="G53" s="14">
        <v>98824.28571428571</v>
      </c>
      <c r="H53" s="14">
        <v>98824.28571428571</v>
      </c>
      <c r="I53" s="14">
        <v>98824.28571428571</v>
      </c>
      <c r="J53" s="14">
        <v>98824.28571428571</v>
      </c>
      <c r="K53" s="16">
        <f>SUM(C53:J53)</f>
        <v>691769.99999999988</v>
      </c>
      <c r="L53" s="16">
        <f>AVERAGE(D53:J53)</f>
        <v>84706.530612244882</v>
      </c>
      <c r="M53" s="13">
        <f>K53/K13</f>
        <v>8.3621755074095125E-2</v>
      </c>
    </row>
    <row r="54" spans="1:13" x14ac:dyDescent="0.15">
      <c r="A54" s="50"/>
      <c r="B54" s="11" t="s">
        <v>111</v>
      </c>
      <c r="C54" s="14">
        <v>97105.28571428571</v>
      </c>
      <c r="D54" s="14">
        <v>0</v>
      </c>
      <c r="E54" s="14">
        <v>97105.28571428571</v>
      </c>
      <c r="F54" s="14">
        <v>97105.28571428571</v>
      </c>
      <c r="G54" s="14">
        <v>97105.28571428571</v>
      </c>
      <c r="H54" s="14">
        <v>97105.28571428571</v>
      </c>
      <c r="I54" s="14">
        <v>97105.28571428571</v>
      </c>
      <c r="J54" s="14">
        <v>97105.28571428571</v>
      </c>
      <c r="K54" s="16">
        <f>SUM(C54:J54)</f>
        <v>679736.99999999988</v>
      </c>
      <c r="L54" s="16">
        <f>AVERAGE(D54:J54)</f>
        <v>83233.102040816317</v>
      </c>
      <c r="M54" s="13">
        <f>K54/K13</f>
        <v>8.2167195641326157E-2</v>
      </c>
    </row>
    <row r="55" spans="1:13" x14ac:dyDescent="0.15">
      <c r="A55" s="50"/>
      <c r="B55" s="24" t="s">
        <v>112</v>
      </c>
      <c r="C55" s="25">
        <f t="shared" ref="C55:J55" si="11">SUM(C50:C54)</f>
        <v>195929.57142857142</v>
      </c>
      <c r="D55" s="25">
        <f t="shared" si="11"/>
        <v>1213940</v>
      </c>
      <c r="E55" s="25">
        <f t="shared" si="11"/>
        <v>195929.57142857142</v>
      </c>
      <c r="F55" s="25">
        <f t="shared" si="11"/>
        <v>195929.57142857142</v>
      </c>
      <c r="G55" s="25">
        <f t="shared" si="11"/>
        <v>195929.57142857142</v>
      </c>
      <c r="H55" s="25">
        <f t="shared" si="11"/>
        <v>195929.57142857142</v>
      </c>
      <c r="I55" s="25">
        <f t="shared" si="11"/>
        <v>195929.57142857142</v>
      </c>
      <c r="J55" s="25">
        <f t="shared" si="11"/>
        <v>195929.57142857142</v>
      </c>
      <c r="K55" s="27">
        <f>SUM(C55:J55)</f>
        <v>2585446.9999999995</v>
      </c>
      <c r="L55" s="27">
        <f>AVERAGE(D55:J55)</f>
        <v>341359.63265306118</v>
      </c>
      <c r="M55" s="28">
        <f>K55/K13</f>
        <v>0.31253106638196798</v>
      </c>
    </row>
    <row r="56" spans="1:13" x14ac:dyDescent="0.15">
      <c r="A56" s="49" t="s">
        <v>113</v>
      </c>
      <c r="B56" s="49"/>
      <c r="C56" s="14">
        <f t="shared" ref="C56:J56" si="12">SUM(C49+C22+C27+C33+C39+C44+C55)</f>
        <v>906559.12857142859</v>
      </c>
      <c r="D56" s="14">
        <f t="shared" si="12"/>
        <v>1213940</v>
      </c>
      <c r="E56" s="14">
        <f t="shared" si="12"/>
        <v>864076.68571428582</v>
      </c>
      <c r="F56" s="14">
        <f t="shared" si="12"/>
        <v>988557.72857142868</v>
      </c>
      <c r="G56" s="14">
        <f t="shared" si="12"/>
        <v>972731.72857142868</v>
      </c>
      <c r="H56" s="14">
        <f t="shared" si="12"/>
        <v>1057310.8</v>
      </c>
      <c r="I56" s="14">
        <f t="shared" si="12"/>
        <v>400304.24285714288</v>
      </c>
      <c r="J56" s="14">
        <f t="shared" si="12"/>
        <v>536264.57142857136</v>
      </c>
      <c r="K56" s="16">
        <f>SUM(C56:J56)</f>
        <v>6939744.8857142869</v>
      </c>
      <c r="L56" s="16">
        <f>AVERAGE(D56:J56)</f>
        <v>861883.67959183699</v>
      </c>
      <c r="M56" s="13">
        <f>K56/K13</f>
        <v>0.8388823555660182</v>
      </c>
    </row>
    <row r="57" spans="1:13" x14ac:dyDescent="0.15">
      <c r="A57" s="49" t="s">
        <v>114</v>
      </c>
      <c r="B57" s="49"/>
      <c r="C57" s="14">
        <f>SUM(C13+C14-C56)</f>
        <v>387962.87142857141</v>
      </c>
      <c r="D57" s="14">
        <f t="shared" ref="D57:J57" si="13">SUM(D13+D14-D56)</f>
        <v>69283</v>
      </c>
      <c r="E57" s="14">
        <f t="shared" si="13"/>
        <v>394983.31428571418</v>
      </c>
      <c r="F57" s="14">
        <f t="shared" si="13"/>
        <v>215850.27142857132</v>
      </c>
      <c r="G57" s="14">
        <f t="shared" si="13"/>
        <v>222568.27142857132</v>
      </c>
      <c r="H57" s="14">
        <f t="shared" si="13"/>
        <v>446484.19999999995</v>
      </c>
      <c r="I57" s="14">
        <f t="shared" si="13"/>
        <v>131995.75714285712</v>
      </c>
      <c r="J57" s="14">
        <f t="shared" si="13"/>
        <v>-536264.57142857136</v>
      </c>
      <c r="K57" s="16">
        <f>SUM(C57:J57)</f>
        <v>1332863.114285714</v>
      </c>
      <c r="L57" s="16">
        <f>AVERAGE(D57:J57)</f>
        <v>134985.74897959179</v>
      </c>
      <c r="M57" s="13">
        <f>K57/K13</f>
        <v>0.16111764443398188</v>
      </c>
    </row>
    <row r="58" spans="1:13" x14ac:dyDescent="0.15">
      <c r="A58" s="49" t="s">
        <v>115</v>
      </c>
      <c r="B58" s="49"/>
      <c r="C58" s="14">
        <v>107211.78571428571</v>
      </c>
      <c r="D58" s="14">
        <v>0</v>
      </c>
      <c r="E58" s="14">
        <v>107211.78571428571</v>
      </c>
      <c r="F58" s="14">
        <v>107211.78571428571</v>
      </c>
      <c r="G58" s="14">
        <v>107211.78571428571</v>
      </c>
      <c r="H58" s="14">
        <v>107211.78571428571</v>
      </c>
      <c r="I58" s="14">
        <v>107211.78571428571</v>
      </c>
      <c r="J58" s="14">
        <v>107211.78571428571</v>
      </c>
      <c r="K58" s="16">
        <f>SUM(C58:J58)</f>
        <v>750482.49999999988</v>
      </c>
      <c r="L58" s="16">
        <f>AVERAGE(D58:J58)</f>
        <v>91895.816326530607</v>
      </c>
      <c r="M58" s="13">
        <f>K58/K13</f>
        <v>9.0718972783431759E-2</v>
      </c>
    </row>
    <row r="59" spans="1:13" x14ac:dyDescent="0.15">
      <c r="A59" s="49" t="s">
        <v>116</v>
      </c>
      <c r="B59" s="49"/>
      <c r="C59" s="14">
        <v>28207.523809523809</v>
      </c>
      <c r="D59" s="14">
        <v>0</v>
      </c>
      <c r="E59" s="14">
        <v>28207.523809523809</v>
      </c>
      <c r="F59" s="14">
        <v>28207.523809523809</v>
      </c>
      <c r="G59" s="14">
        <v>28207.523809523809</v>
      </c>
      <c r="H59" s="14">
        <v>28207.523809523809</v>
      </c>
      <c r="I59" s="14">
        <v>28207.523809523809</v>
      </c>
      <c r="J59" s="14">
        <v>28207.523809523809</v>
      </c>
      <c r="K59" s="16">
        <f>SUM(C59:J59)</f>
        <v>197452.66666666669</v>
      </c>
      <c r="L59" s="16">
        <f>AVERAGE(D59:J59)</f>
        <v>24177.87755102041</v>
      </c>
      <c r="M59" s="13">
        <f>K59/K13</f>
        <v>2.3868248884350216E-2</v>
      </c>
    </row>
    <row r="60" spans="1:13" x14ac:dyDescent="0.15">
      <c r="A60" s="49" t="s">
        <v>117</v>
      </c>
      <c r="B60" s="49"/>
      <c r="C60" s="14">
        <f>SUM(C57-(C58+C59))</f>
        <v>252543.56190476188</v>
      </c>
      <c r="D60" s="14">
        <f t="shared" ref="D60:J60" si="14">SUM(D57-(D58+D59))</f>
        <v>69283</v>
      </c>
      <c r="E60" s="14">
        <f t="shared" si="14"/>
        <v>259564.00476190465</v>
      </c>
      <c r="F60" s="14">
        <f t="shared" si="14"/>
        <v>80430.961904761789</v>
      </c>
      <c r="G60" s="14">
        <f t="shared" si="14"/>
        <v>87148.961904761789</v>
      </c>
      <c r="H60" s="14">
        <f t="shared" si="14"/>
        <v>311064.89047619043</v>
      </c>
      <c r="I60" s="14">
        <f t="shared" si="14"/>
        <v>-3423.552380952402</v>
      </c>
      <c r="J60" s="14">
        <f t="shared" si="14"/>
        <v>-671683.88095238083</v>
      </c>
      <c r="K60" s="16">
        <f>SUM(C60:J60)</f>
        <v>384927.94761904725</v>
      </c>
      <c r="L60" s="16">
        <f>AVERAGE(D60:J60)</f>
        <v>18912.055102040777</v>
      </c>
      <c r="M60" s="13">
        <f>K60/K13</f>
        <v>4.6530422766199876E-2</v>
      </c>
    </row>
    <row r="61" spans="1:13" x14ac:dyDescent="0.15">
      <c r="A61" s="11"/>
      <c r="B61" s="36" t="s">
        <v>46</v>
      </c>
      <c r="C61" s="36"/>
      <c r="D61" s="36"/>
      <c r="E61" s="36"/>
      <c r="F61" s="36" t="s">
        <v>118</v>
      </c>
      <c r="G61" s="36"/>
      <c r="H61" s="11"/>
      <c r="I61" s="11"/>
      <c r="J61" s="11"/>
    </row>
    <row r="62" spans="1:13" x14ac:dyDescent="0.15">
      <c r="A62" s="12"/>
      <c r="B62" s="37"/>
      <c r="C62" s="17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8"/>
      <c r="I62" s="11"/>
      <c r="J62" s="11"/>
    </row>
    <row r="63" spans="1:13" x14ac:dyDescent="0.15">
      <c r="A63" s="12"/>
      <c r="B63" s="39" t="s">
        <v>124</v>
      </c>
      <c r="C63" s="29">
        <v>0</v>
      </c>
      <c r="D63" s="29">
        <v>691770</v>
      </c>
      <c r="E63" s="29">
        <v>679737</v>
      </c>
      <c r="F63" s="29">
        <v>4502895</v>
      </c>
      <c r="G63" s="29">
        <v>1184716</v>
      </c>
      <c r="H63" s="38"/>
      <c r="I63" s="11"/>
      <c r="J63" s="11"/>
    </row>
    <row r="64" spans="1:13" x14ac:dyDescent="0.15">
      <c r="A64" s="12"/>
      <c r="B64" s="40" t="s">
        <v>125</v>
      </c>
      <c r="C64" s="29">
        <v>7</v>
      </c>
      <c r="D64" s="29">
        <v>7</v>
      </c>
      <c r="E64" s="29">
        <v>7</v>
      </c>
      <c r="F64" s="29">
        <v>42</v>
      </c>
      <c r="G64" s="29">
        <v>42</v>
      </c>
      <c r="H64" s="38"/>
      <c r="I64" s="11"/>
      <c r="J64" s="11"/>
    </row>
    <row r="65" spans="1:10" x14ac:dyDescent="0.15">
      <c r="A65" s="12"/>
      <c r="B65" s="40" t="s">
        <v>41</v>
      </c>
      <c r="C65" s="14">
        <f>SUM(C63/C64)</f>
        <v>0</v>
      </c>
      <c r="D65" s="14">
        <f t="shared" ref="D65:G65" si="15">SUM(D63/D64)</f>
        <v>98824.28571428571</v>
      </c>
      <c r="E65" s="14">
        <f t="shared" si="15"/>
        <v>97105.28571428571</v>
      </c>
      <c r="F65" s="14">
        <f t="shared" si="15"/>
        <v>107211.78571428571</v>
      </c>
      <c r="G65" s="14">
        <f t="shared" si="15"/>
        <v>28207.523809523809</v>
      </c>
      <c r="H65" s="38"/>
      <c r="I65" s="11"/>
      <c r="J65" s="11"/>
    </row>
    <row r="66" spans="1:10" x14ac:dyDescent="0.15">
      <c r="A66" s="11"/>
      <c r="B66" s="41" t="s">
        <v>47</v>
      </c>
      <c r="C66" s="41"/>
      <c r="D66" s="41"/>
      <c r="E66" s="41"/>
      <c r="F66" s="41"/>
      <c r="G66" s="41"/>
      <c r="H66" s="11"/>
      <c r="I66" s="11"/>
      <c r="J66" s="11"/>
    </row>
    <row r="67" spans="1:10" x14ac:dyDescent="0.15">
      <c r="A67" s="11"/>
      <c r="B67" s="37"/>
      <c r="C67" s="17" t="s">
        <v>126</v>
      </c>
      <c r="D67" s="2" t="s">
        <v>127</v>
      </c>
      <c r="E67" s="2" t="s">
        <v>128</v>
      </c>
      <c r="F67" s="11"/>
      <c r="G67" s="11"/>
      <c r="H67" s="11"/>
      <c r="I67" s="11"/>
      <c r="J67" s="11"/>
    </row>
    <row r="68" spans="1:10" x14ac:dyDescent="0.15">
      <c r="A68" s="11"/>
      <c r="B68" s="39" t="s">
        <v>124</v>
      </c>
      <c r="C68" s="29">
        <v>117000</v>
      </c>
      <c r="D68" s="29">
        <v>1641092</v>
      </c>
      <c r="E68" s="29">
        <v>929775</v>
      </c>
      <c r="F68" s="11"/>
      <c r="G68" s="11"/>
      <c r="H68" s="11"/>
      <c r="I68" s="11"/>
      <c r="J68" s="11"/>
    </row>
    <row r="69" spans="1:10" x14ac:dyDescent="0.15">
      <c r="A69" s="11"/>
      <c r="B69" s="40" t="s">
        <v>125</v>
      </c>
      <c r="C69" s="29">
        <v>17</v>
      </c>
      <c r="D69" s="29">
        <v>17</v>
      </c>
      <c r="E69" s="29">
        <v>17</v>
      </c>
      <c r="F69" s="11"/>
      <c r="G69" s="11"/>
      <c r="H69" s="11"/>
      <c r="I69" s="11"/>
      <c r="J69" s="11"/>
    </row>
    <row r="70" spans="1:10" x14ac:dyDescent="0.15">
      <c r="A70" s="11"/>
      <c r="B70" s="40" t="s">
        <v>41</v>
      </c>
      <c r="C70" s="14">
        <f>SUM(C68/C69)</f>
        <v>6882.3529411764703</v>
      </c>
      <c r="D70" s="14">
        <f t="shared" ref="D70:E70" si="16">SUM(D68/D69)</f>
        <v>96534.823529411762</v>
      </c>
      <c r="E70" s="14">
        <f t="shared" si="16"/>
        <v>54692.647058823532</v>
      </c>
      <c r="F70" s="11"/>
      <c r="G70" s="11"/>
      <c r="H70" s="11"/>
      <c r="I70" s="11"/>
      <c r="J70" s="11"/>
    </row>
    <row r="71" spans="1:10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  <c r="J71" s="11"/>
    </row>
    <row r="72" spans="1:10" x14ac:dyDescent="0.15">
      <c r="A72" s="11"/>
      <c r="B72" s="37"/>
      <c r="C72" s="17" t="s">
        <v>130</v>
      </c>
      <c r="D72" s="2" t="s">
        <v>131</v>
      </c>
      <c r="E72" s="2" t="s">
        <v>132</v>
      </c>
      <c r="F72" s="11"/>
      <c r="G72" s="11"/>
      <c r="H72" s="11"/>
      <c r="I72" s="11"/>
      <c r="J72" s="11"/>
    </row>
    <row r="73" spans="1:10" x14ac:dyDescent="0.15">
      <c r="A73" s="11"/>
      <c r="B73" s="39" t="s">
        <v>124</v>
      </c>
      <c r="C73" s="29"/>
      <c r="D73" s="29"/>
      <c r="E73" s="29"/>
      <c r="F73" s="11"/>
      <c r="G73" s="11"/>
      <c r="H73" s="11"/>
      <c r="I73" s="11"/>
      <c r="J73" s="11"/>
    </row>
    <row r="74" spans="1:10" x14ac:dyDescent="0.15">
      <c r="A74" s="11"/>
      <c r="B74" s="40" t="s">
        <v>125</v>
      </c>
      <c r="C74" s="29"/>
      <c r="D74" s="29"/>
      <c r="E74" s="29"/>
      <c r="F74" s="11"/>
      <c r="G74" s="11"/>
      <c r="H74" s="11"/>
      <c r="I74" s="11"/>
      <c r="J74" s="11"/>
    </row>
    <row r="75" spans="1:10" x14ac:dyDescent="0.15">
      <c r="A75" s="11"/>
      <c r="B75" s="40" t="s">
        <v>41</v>
      </c>
      <c r="C75" s="14" t="e">
        <f>SUM(C73/C74)</f>
        <v>#DIV/0!</v>
      </c>
      <c r="D75" s="14" t="e">
        <f t="shared" ref="D75:E75" si="17">SUM(D73/D74)</f>
        <v>#DIV/0!</v>
      </c>
      <c r="E75" s="14" t="e">
        <f t="shared" si="17"/>
        <v>#DIV/0!</v>
      </c>
      <c r="F75" s="11"/>
      <c r="G75" s="11"/>
      <c r="H75" s="11"/>
      <c r="I75" s="11"/>
      <c r="J75" s="11"/>
    </row>
    <row r="76" spans="1:10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  <c r="J76" s="11"/>
    </row>
    <row r="77" spans="1:10" x14ac:dyDescent="0.15">
      <c r="A77" s="11"/>
      <c r="B77" s="37"/>
      <c r="C77" s="17" t="s">
        <v>134</v>
      </c>
      <c r="D77" s="2" t="s">
        <v>135</v>
      </c>
      <c r="E77" s="2" t="s">
        <v>136</v>
      </c>
      <c r="F77" s="11"/>
      <c r="G77" s="11"/>
      <c r="H77" s="11"/>
      <c r="I77" s="11"/>
      <c r="J77" s="11"/>
    </row>
    <row r="78" spans="1:10" x14ac:dyDescent="0.15">
      <c r="A78" s="11"/>
      <c r="B78" s="39" t="s">
        <v>124</v>
      </c>
      <c r="C78" s="29"/>
      <c r="D78" s="29"/>
      <c r="E78" s="29"/>
      <c r="F78" s="11"/>
      <c r="G78" s="11"/>
      <c r="H78" s="11"/>
      <c r="I78" s="11"/>
      <c r="J78" s="11"/>
    </row>
    <row r="79" spans="1:10" x14ac:dyDescent="0.15">
      <c r="A79" s="11"/>
      <c r="B79" s="40" t="s">
        <v>125</v>
      </c>
      <c r="C79" s="29"/>
      <c r="D79" s="29"/>
      <c r="E79" s="29"/>
      <c r="F79" s="11"/>
      <c r="G79" s="11"/>
      <c r="H79" s="11"/>
      <c r="I79" s="11"/>
      <c r="J79" s="11"/>
    </row>
    <row r="80" spans="1:10" x14ac:dyDescent="0.15">
      <c r="A80" s="11"/>
      <c r="B80" s="40" t="s">
        <v>41</v>
      </c>
      <c r="C80" s="14" t="e">
        <f>SUM(C78/C79)</f>
        <v>#DIV/0!</v>
      </c>
      <c r="D80" s="14" t="e">
        <f t="shared" ref="D80:E80" si="18">SUM(D78/D79)</f>
        <v>#DIV/0!</v>
      </c>
      <c r="E80" s="14" t="e">
        <f t="shared" si="18"/>
        <v>#DIV/0!</v>
      </c>
      <c r="F80" s="11"/>
      <c r="G80" s="11"/>
      <c r="H80" s="11"/>
      <c r="I80" s="11"/>
      <c r="J80" s="11"/>
    </row>
    <row r="81" spans="1:10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  <c r="J81" s="11"/>
    </row>
    <row r="82" spans="1:10" x14ac:dyDescent="0.15">
      <c r="A82" s="11"/>
      <c r="B82" s="37"/>
      <c r="C82" s="17" t="s">
        <v>138</v>
      </c>
      <c r="D82" s="2" t="s">
        <v>139</v>
      </c>
      <c r="E82" s="2" t="s">
        <v>140</v>
      </c>
      <c r="F82" s="11"/>
      <c r="G82" s="11"/>
      <c r="H82" s="11"/>
      <c r="I82" s="11"/>
      <c r="J82" s="11"/>
    </row>
    <row r="83" spans="1:10" x14ac:dyDescent="0.15">
      <c r="A83" s="11"/>
      <c r="B83" s="39" t="s">
        <v>124</v>
      </c>
      <c r="C83" s="29"/>
      <c r="D83" s="29"/>
      <c r="E83" s="29"/>
      <c r="F83" s="11"/>
      <c r="G83" s="11"/>
      <c r="H83" s="11"/>
      <c r="I83" s="11"/>
      <c r="J83" s="11"/>
    </row>
    <row r="84" spans="1:10" x14ac:dyDescent="0.15">
      <c r="A84" s="11"/>
      <c r="B84" s="40" t="s">
        <v>125</v>
      </c>
      <c r="C84" s="29"/>
      <c r="D84" s="29"/>
      <c r="E84" s="29"/>
      <c r="F84" s="11"/>
      <c r="G84" s="11"/>
      <c r="H84" s="11"/>
      <c r="I84" s="11"/>
      <c r="J84" s="11"/>
    </row>
    <row r="85" spans="1:10" x14ac:dyDescent="0.15">
      <c r="A85" s="11"/>
      <c r="B85" s="40" t="s">
        <v>41</v>
      </c>
      <c r="C85" s="14" t="e">
        <f>SUM(C83/C84)</f>
        <v>#DIV/0!</v>
      </c>
      <c r="D85" s="14" t="e">
        <f t="shared" ref="D85:E85" si="19">SUM(D83/D84)</f>
        <v>#DIV/0!</v>
      </c>
      <c r="E85" s="14" t="e">
        <f t="shared" si="19"/>
        <v>#DIV/0!</v>
      </c>
      <c r="F85" s="11"/>
      <c r="G85" s="11"/>
      <c r="H85" s="11"/>
      <c r="I85" s="11"/>
      <c r="J85" s="11"/>
    </row>
    <row r="86" spans="1:10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</row>
    <row r="87" spans="1:10" x14ac:dyDescent="0.15">
      <c r="A87" s="11"/>
      <c r="B87" s="37"/>
      <c r="C87" s="17" t="s">
        <v>141</v>
      </c>
      <c r="D87" s="2" t="s">
        <v>142</v>
      </c>
      <c r="E87" s="2" t="s">
        <v>143</v>
      </c>
      <c r="F87" s="11"/>
      <c r="G87" s="11"/>
      <c r="H87" s="11"/>
      <c r="I87" s="11"/>
      <c r="J87" s="11"/>
    </row>
    <row r="88" spans="1:10" x14ac:dyDescent="0.15">
      <c r="A88" s="11"/>
      <c r="B88" s="39" t="s">
        <v>124</v>
      </c>
      <c r="C88" s="29">
        <v>150000</v>
      </c>
      <c r="D88" s="29">
        <v>445711</v>
      </c>
      <c r="E88" s="29">
        <v>382849</v>
      </c>
      <c r="F88" s="11"/>
      <c r="G88" s="11"/>
      <c r="H88" s="11"/>
      <c r="I88" s="11"/>
      <c r="J88" s="11"/>
    </row>
    <row r="89" spans="1:10" x14ac:dyDescent="0.15">
      <c r="B89" s="40" t="s">
        <v>125</v>
      </c>
      <c r="C89" s="29">
        <v>7</v>
      </c>
      <c r="D89" s="29">
        <v>7</v>
      </c>
      <c r="E89" s="29">
        <v>7</v>
      </c>
    </row>
    <row r="90" spans="1:10" x14ac:dyDescent="0.15">
      <c r="B90" s="40" t="s">
        <v>41</v>
      </c>
      <c r="C90" s="14">
        <f>SUM(C88/C89)</f>
        <v>21428.571428571428</v>
      </c>
      <c r="D90" s="14">
        <f t="shared" ref="D90:E90" si="20">SUM(D88/D89)</f>
        <v>63673</v>
      </c>
      <c r="E90" s="14">
        <f t="shared" si="20"/>
        <v>54692.714285714283</v>
      </c>
    </row>
    <row r="92" spans="1:10" x14ac:dyDescent="0.15">
      <c r="B92" s="37"/>
      <c r="C92" s="17" t="s">
        <v>144</v>
      </c>
      <c r="D92" s="2" t="s">
        <v>145</v>
      </c>
      <c r="E92" s="2" t="s">
        <v>146</v>
      </c>
    </row>
    <row r="93" spans="1:10" x14ac:dyDescent="0.15">
      <c r="B93" s="39" t="s">
        <v>124</v>
      </c>
      <c r="C93" s="29">
        <v>297000</v>
      </c>
      <c r="D93" s="29">
        <v>301205</v>
      </c>
      <c r="E93" s="29">
        <v>175614</v>
      </c>
    </row>
    <row r="94" spans="1:10" x14ac:dyDescent="0.15">
      <c r="B94" s="40" t="s">
        <v>125</v>
      </c>
      <c r="C94" s="29">
        <v>5</v>
      </c>
      <c r="D94" s="29">
        <v>5</v>
      </c>
      <c r="E94" s="29">
        <v>5</v>
      </c>
    </row>
    <row r="95" spans="1:10" x14ac:dyDescent="0.15">
      <c r="B95" s="40" t="s">
        <v>41</v>
      </c>
      <c r="C95" s="14">
        <f>SUM(C93/C94)</f>
        <v>59400</v>
      </c>
      <c r="D95" s="14">
        <f t="shared" ref="D95:E95" si="21">SUM(D93/D94)</f>
        <v>60241</v>
      </c>
      <c r="E95" s="14">
        <f t="shared" si="21"/>
        <v>35122.800000000003</v>
      </c>
    </row>
    <row r="97" spans="2:5" x14ac:dyDescent="0.15">
      <c r="B97" s="37"/>
      <c r="C97" s="17" t="s">
        <v>147</v>
      </c>
      <c r="D97" s="2" t="s">
        <v>148</v>
      </c>
      <c r="E97" s="2" t="s">
        <v>149</v>
      </c>
    </row>
    <row r="98" spans="2:5" x14ac:dyDescent="0.15">
      <c r="B98" s="39" t="s">
        <v>124</v>
      </c>
      <c r="C98" s="29">
        <v>170000</v>
      </c>
      <c r="D98" s="29">
        <v>578851</v>
      </c>
      <c r="E98" s="29">
        <v>186169</v>
      </c>
    </row>
    <row r="99" spans="2:5" x14ac:dyDescent="0.15">
      <c r="B99" s="40" t="s">
        <v>125</v>
      </c>
      <c r="C99" s="29">
        <v>6</v>
      </c>
      <c r="D99" s="29">
        <v>6</v>
      </c>
      <c r="E99" s="29">
        <v>6</v>
      </c>
    </row>
    <row r="100" spans="2:5" x14ac:dyDescent="0.15">
      <c r="B100" s="40" t="s">
        <v>41</v>
      </c>
      <c r="C100" s="14">
        <f>SUM(C98/C99)</f>
        <v>28333.333333333332</v>
      </c>
      <c r="D100" s="14">
        <f t="shared" ref="D100:E100" si="22">SUM(D98/D99)</f>
        <v>96475.166666666672</v>
      </c>
      <c r="E100" s="14">
        <f t="shared" si="22"/>
        <v>31028.166666666668</v>
      </c>
    </row>
    <row r="102" spans="2:5" x14ac:dyDescent="0.15">
      <c r="B102" s="11" t="s">
        <v>150</v>
      </c>
      <c r="C102" s="8">
        <v>33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15:B15"/>
    <mergeCell ref="A16:B16"/>
    <mergeCell ref="A17:A22"/>
    <mergeCell ref="A23:A27"/>
    <mergeCell ref="A28:A33"/>
    <mergeCell ref="A34:A39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4CC76-CBC0-4CA1-BAE0-CAAB5F654197}">
  <sheetPr codeName="Sheet3"/>
  <dimension ref="A2:AE102"/>
  <sheetViews>
    <sheetView workbookViewId="0">
      <selection activeCell="C4" sqref="C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5" width="11" style="1" bestFit="1" customWidth="1"/>
    <col min="26" max="28" width="12.25" style="1" bestFit="1" customWidth="1"/>
    <col min="29" max="29" width="13.25" style="1" bestFit="1" customWidth="1"/>
    <col min="30" max="30" width="10" style="1" bestFit="1" customWidth="1"/>
    <col min="31" max="31" width="11" style="1" bestFit="1" customWidth="1"/>
    <col min="32" max="234" width="9" style="1"/>
    <col min="235" max="235" width="2.875" style="1" bestFit="1" customWidth="1"/>
    <col min="236" max="236" width="16.625" style="1" bestFit="1" customWidth="1"/>
    <col min="237" max="237" width="11.375" style="1" bestFit="1" customWidth="1"/>
    <col min="238" max="239" width="14.125" style="1" bestFit="1" customWidth="1"/>
    <col min="240" max="240" width="11.375" style="1" bestFit="1" customWidth="1"/>
    <col min="241" max="243" width="12.5" style="1" bestFit="1" customWidth="1"/>
    <col min="244" max="244" width="11" style="1" bestFit="1" customWidth="1"/>
    <col min="245" max="263" width="13" style="1" bestFit="1" customWidth="1"/>
    <col min="264" max="267" width="11" style="1" bestFit="1" customWidth="1"/>
    <col min="268" max="270" width="12.25" style="1" bestFit="1" customWidth="1"/>
    <col min="271" max="284" width="11" style="1" bestFit="1" customWidth="1"/>
    <col min="285" max="285" width="13.25" style="1" bestFit="1" customWidth="1"/>
    <col min="286" max="286" width="10" style="1" bestFit="1" customWidth="1"/>
    <col min="287" max="287" width="11" style="1" bestFit="1" customWidth="1"/>
    <col min="288" max="490" width="9" style="1"/>
    <col min="491" max="491" width="2.875" style="1" bestFit="1" customWidth="1"/>
    <col min="492" max="492" width="16.625" style="1" bestFit="1" customWidth="1"/>
    <col min="493" max="493" width="11.375" style="1" bestFit="1" customWidth="1"/>
    <col min="494" max="495" width="14.125" style="1" bestFit="1" customWidth="1"/>
    <col min="496" max="496" width="11.375" style="1" bestFit="1" customWidth="1"/>
    <col min="497" max="499" width="12.5" style="1" bestFit="1" customWidth="1"/>
    <col min="500" max="500" width="11" style="1" bestFit="1" customWidth="1"/>
    <col min="501" max="519" width="13" style="1" bestFit="1" customWidth="1"/>
    <col min="520" max="523" width="11" style="1" bestFit="1" customWidth="1"/>
    <col min="524" max="526" width="12.25" style="1" bestFit="1" customWidth="1"/>
    <col min="527" max="540" width="11" style="1" bestFit="1" customWidth="1"/>
    <col min="541" max="541" width="13.25" style="1" bestFit="1" customWidth="1"/>
    <col min="542" max="542" width="10" style="1" bestFit="1" customWidth="1"/>
    <col min="543" max="543" width="11" style="1" bestFit="1" customWidth="1"/>
    <col min="544" max="746" width="9" style="1"/>
    <col min="747" max="747" width="2.875" style="1" bestFit="1" customWidth="1"/>
    <col min="748" max="748" width="16.625" style="1" bestFit="1" customWidth="1"/>
    <col min="749" max="749" width="11.375" style="1" bestFit="1" customWidth="1"/>
    <col min="750" max="751" width="14.125" style="1" bestFit="1" customWidth="1"/>
    <col min="752" max="752" width="11.375" style="1" bestFit="1" customWidth="1"/>
    <col min="753" max="755" width="12.5" style="1" bestFit="1" customWidth="1"/>
    <col min="756" max="756" width="11" style="1" bestFit="1" customWidth="1"/>
    <col min="757" max="775" width="13" style="1" bestFit="1" customWidth="1"/>
    <col min="776" max="779" width="11" style="1" bestFit="1" customWidth="1"/>
    <col min="780" max="782" width="12.25" style="1" bestFit="1" customWidth="1"/>
    <col min="783" max="796" width="11" style="1" bestFit="1" customWidth="1"/>
    <col min="797" max="797" width="13.25" style="1" bestFit="1" customWidth="1"/>
    <col min="798" max="798" width="10" style="1" bestFit="1" customWidth="1"/>
    <col min="799" max="799" width="11" style="1" bestFit="1" customWidth="1"/>
    <col min="800" max="1002" width="9" style="1"/>
    <col min="1003" max="1003" width="2.875" style="1" bestFit="1" customWidth="1"/>
    <col min="1004" max="1004" width="16.625" style="1" bestFit="1" customWidth="1"/>
    <col min="1005" max="1005" width="11.375" style="1" bestFit="1" customWidth="1"/>
    <col min="1006" max="1007" width="14.125" style="1" bestFit="1" customWidth="1"/>
    <col min="1008" max="1008" width="11.375" style="1" bestFit="1" customWidth="1"/>
    <col min="1009" max="1011" width="12.5" style="1" bestFit="1" customWidth="1"/>
    <col min="1012" max="1012" width="11" style="1" bestFit="1" customWidth="1"/>
    <col min="1013" max="1031" width="13" style="1" bestFit="1" customWidth="1"/>
    <col min="1032" max="1035" width="11" style="1" bestFit="1" customWidth="1"/>
    <col min="1036" max="1038" width="12.25" style="1" bestFit="1" customWidth="1"/>
    <col min="1039" max="1052" width="11" style="1" bestFit="1" customWidth="1"/>
    <col min="1053" max="1053" width="13.25" style="1" bestFit="1" customWidth="1"/>
    <col min="1054" max="1054" width="10" style="1" bestFit="1" customWidth="1"/>
    <col min="1055" max="1055" width="11" style="1" bestFit="1" customWidth="1"/>
    <col min="1056" max="1258" width="9" style="1"/>
    <col min="1259" max="1259" width="2.875" style="1" bestFit="1" customWidth="1"/>
    <col min="1260" max="1260" width="16.625" style="1" bestFit="1" customWidth="1"/>
    <col min="1261" max="1261" width="11.375" style="1" bestFit="1" customWidth="1"/>
    <col min="1262" max="1263" width="14.125" style="1" bestFit="1" customWidth="1"/>
    <col min="1264" max="1264" width="11.375" style="1" bestFit="1" customWidth="1"/>
    <col min="1265" max="1267" width="12.5" style="1" bestFit="1" customWidth="1"/>
    <col min="1268" max="1268" width="11" style="1" bestFit="1" customWidth="1"/>
    <col min="1269" max="1287" width="13" style="1" bestFit="1" customWidth="1"/>
    <col min="1288" max="1291" width="11" style="1" bestFit="1" customWidth="1"/>
    <col min="1292" max="1294" width="12.25" style="1" bestFit="1" customWidth="1"/>
    <col min="1295" max="1308" width="11" style="1" bestFit="1" customWidth="1"/>
    <col min="1309" max="1309" width="13.25" style="1" bestFit="1" customWidth="1"/>
    <col min="1310" max="1310" width="10" style="1" bestFit="1" customWidth="1"/>
    <col min="1311" max="1311" width="11" style="1" bestFit="1" customWidth="1"/>
    <col min="1312" max="1514" width="9" style="1"/>
    <col min="1515" max="1515" width="2.875" style="1" bestFit="1" customWidth="1"/>
    <col min="1516" max="1516" width="16.625" style="1" bestFit="1" customWidth="1"/>
    <col min="1517" max="1517" width="11.375" style="1" bestFit="1" customWidth="1"/>
    <col min="1518" max="1519" width="14.125" style="1" bestFit="1" customWidth="1"/>
    <col min="1520" max="1520" width="11.375" style="1" bestFit="1" customWidth="1"/>
    <col min="1521" max="1523" width="12.5" style="1" bestFit="1" customWidth="1"/>
    <col min="1524" max="1524" width="11" style="1" bestFit="1" customWidth="1"/>
    <col min="1525" max="1543" width="13" style="1" bestFit="1" customWidth="1"/>
    <col min="1544" max="1547" width="11" style="1" bestFit="1" customWidth="1"/>
    <col min="1548" max="1550" width="12.25" style="1" bestFit="1" customWidth="1"/>
    <col min="1551" max="1564" width="11" style="1" bestFit="1" customWidth="1"/>
    <col min="1565" max="1565" width="13.25" style="1" bestFit="1" customWidth="1"/>
    <col min="1566" max="1566" width="10" style="1" bestFit="1" customWidth="1"/>
    <col min="1567" max="1567" width="11" style="1" bestFit="1" customWidth="1"/>
    <col min="1568" max="1770" width="9" style="1"/>
    <col min="1771" max="1771" width="2.875" style="1" bestFit="1" customWidth="1"/>
    <col min="1772" max="1772" width="16.625" style="1" bestFit="1" customWidth="1"/>
    <col min="1773" max="1773" width="11.375" style="1" bestFit="1" customWidth="1"/>
    <col min="1774" max="1775" width="14.125" style="1" bestFit="1" customWidth="1"/>
    <col min="1776" max="1776" width="11.375" style="1" bestFit="1" customWidth="1"/>
    <col min="1777" max="1779" width="12.5" style="1" bestFit="1" customWidth="1"/>
    <col min="1780" max="1780" width="11" style="1" bestFit="1" customWidth="1"/>
    <col min="1781" max="1799" width="13" style="1" bestFit="1" customWidth="1"/>
    <col min="1800" max="1803" width="11" style="1" bestFit="1" customWidth="1"/>
    <col min="1804" max="1806" width="12.25" style="1" bestFit="1" customWidth="1"/>
    <col min="1807" max="1820" width="11" style="1" bestFit="1" customWidth="1"/>
    <col min="1821" max="1821" width="13.25" style="1" bestFit="1" customWidth="1"/>
    <col min="1822" max="1822" width="10" style="1" bestFit="1" customWidth="1"/>
    <col min="1823" max="1823" width="11" style="1" bestFit="1" customWidth="1"/>
    <col min="1824" max="2026" width="9" style="1"/>
    <col min="2027" max="2027" width="2.875" style="1" bestFit="1" customWidth="1"/>
    <col min="2028" max="2028" width="16.625" style="1" bestFit="1" customWidth="1"/>
    <col min="2029" max="2029" width="11.375" style="1" bestFit="1" customWidth="1"/>
    <col min="2030" max="2031" width="14.125" style="1" bestFit="1" customWidth="1"/>
    <col min="2032" max="2032" width="11.375" style="1" bestFit="1" customWidth="1"/>
    <col min="2033" max="2035" width="12.5" style="1" bestFit="1" customWidth="1"/>
    <col min="2036" max="2036" width="11" style="1" bestFit="1" customWidth="1"/>
    <col min="2037" max="2055" width="13" style="1" bestFit="1" customWidth="1"/>
    <col min="2056" max="2059" width="11" style="1" bestFit="1" customWidth="1"/>
    <col min="2060" max="2062" width="12.25" style="1" bestFit="1" customWidth="1"/>
    <col min="2063" max="2076" width="11" style="1" bestFit="1" customWidth="1"/>
    <col min="2077" max="2077" width="13.25" style="1" bestFit="1" customWidth="1"/>
    <col min="2078" max="2078" width="10" style="1" bestFit="1" customWidth="1"/>
    <col min="2079" max="2079" width="11" style="1" bestFit="1" customWidth="1"/>
    <col min="2080" max="2282" width="9" style="1"/>
    <col min="2283" max="2283" width="2.875" style="1" bestFit="1" customWidth="1"/>
    <col min="2284" max="2284" width="16.625" style="1" bestFit="1" customWidth="1"/>
    <col min="2285" max="2285" width="11.375" style="1" bestFit="1" customWidth="1"/>
    <col min="2286" max="2287" width="14.125" style="1" bestFit="1" customWidth="1"/>
    <col min="2288" max="2288" width="11.375" style="1" bestFit="1" customWidth="1"/>
    <col min="2289" max="2291" width="12.5" style="1" bestFit="1" customWidth="1"/>
    <col min="2292" max="2292" width="11" style="1" bestFit="1" customWidth="1"/>
    <col min="2293" max="2311" width="13" style="1" bestFit="1" customWidth="1"/>
    <col min="2312" max="2315" width="11" style="1" bestFit="1" customWidth="1"/>
    <col min="2316" max="2318" width="12.25" style="1" bestFit="1" customWidth="1"/>
    <col min="2319" max="2332" width="11" style="1" bestFit="1" customWidth="1"/>
    <col min="2333" max="2333" width="13.25" style="1" bestFit="1" customWidth="1"/>
    <col min="2334" max="2334" width="10" style="1" bestFit="1" customWidth="1"/>
    <col min="2335" max="2335" width="11" style="1" bestFit="1" customWidth="1"/>
    <col min="2336" max="2538" width="9" style="1"/>
    <col min="2539" max="2539" width="2.875" style="1" bestFit="1" customWidth="1"/>
    <col min="2540" max="2540" width="16.625" style="1" bestFit="1" customWidth="1"/>
    <col min="2541" max="2541" width="11.375" style="1" bestFit="1" customWidth="1"/>
    <col min="2542" max="2543" width="14.125" style="1" bestFit="1" customWidth="1"/>
    <col min="2544" max="2544" width="11.375" style="1" bestFit="1" customWidth="1"/>
    <col min="2545" max="2547" width="12.5" style="1" bestFit="1" customWidth="1"/>
    <col min="2548" max="2548" width="11" style="1" bestFit="1" customWidth="1"/>
    <col min="2549" max="2567" width="13" style="1" bestFit="1" customWidth="1"/>
    <col min="2568" max="2571" width="11" style="1" bestFit="1" customWidth="1"/>
    <col min="2572" max="2574" width="12.25" style="1" bestFit="1" customWidth="1"/>
    <col min="2575" max="2588" width="11" style="1" bestFit="1" customWidth="1"/>
    <col min="2589" max="2589" width="13.25" style="1" bestFit="1" customWidth="1"/>
    <col min="2590" max="2590" width="10" style="1" bestFit="1" customWidth="1"/>
    <col min="2591" max="2591" width="11" style="1" bestFit="1" customWidth="1"/>
    <col min="2592" max="2794" width="9" style="1"/>
    <col min="2795" max="2795" width="2.875" style="1" bestFit="1" customWidth="1"/>
    <col min="2796" max="2796" width="16.625" style="1" bestFit="1" customWidth="1"/>
    <col min="2797" max="2797" width="11.375" style="1" bestFit="1" customWidth="1"/>
    <col min="2798" max="2799" width="14.125" style="1" bestFit="1" customWidth="1"/>
    <col min="2800" max="2800" width="11.375" style="1" bestFit="1" customWidth="1"/>
    <col min="2801" max="2803" width="12.5" style="1" bestFit="1" customWidth="1"/>
    <col min="2804" max="2804" width="11" style="1" bestFit="1" customWidth="1"/>
    <col min="2805" max="2823" width="13" style="1" bestFit="1" customWidth="1"/>
    <col min="2824" max="2827" width="11" style="1" bestFit="1" customWidth="1"/>
    <col min="2828" max="2830" width="12.25" style="1" bestFit="1" customWidth="1"/>
    <col min="2831" max="2844" width="11" style="1" bestFit="1" customWidth="1"/>
    <col min="2845" max="2845" width="13.25" style="1" bestFit="1" customWidth="1"/>
    <col min="2846" max="2846" width="10" style="1" bestFit="1" customWidth="1"/>
    <col min="2847" max="2847" width="11" style="1" bestFit="1" customWidth="1"/>
    <col min="2848" max="3050" width="9" style="1"/>
    <col min="3051" max="3051" width="2.875" style="1" bestFit="1" customWidth="1"/>
    <col min="3052" max="3052" width="16.625" style="1" bestFit="1" customWidth="1"/>
    <col min="3053" max="3053" width="11.375" style="1" bestFit="1" customWidth="1"/>
    <col min="3054" max="3055" width="14.125" style="1" bestFit="1" customWidth="1"/>
    <col min="3056" max="3056" width="11.375" style="1" bestFit="1" customWidth="1"/>
    <col min="3057" max="3059" width="12.5" style="1" bestFit="1" customWidth="1"/>
    <col min="3060" max="3060" width="11" style="1" bestFit="1" customWidth="1"/>
    <col min="3061" max="3079" width="13" style="1" bestFit="1" customWidth="1"/>
    <col min="3080" max="3083" width="11" style="1" bestFit="1" customWidth="1"/>
    <col min="3084" max="3086" width="12.25" style="1" bestFit="1" customWidth="1"/>
    <col min="3087" max="3100" width="11" style="1" bestFit="1" customWidth="1"/>
    <col min="3101" max="3101" width="13.25" style="1" bestFit="1" customWidth="1"/>
    <col min="3102" max="3102" width="10" style="1" bestFit="1" customWidth="1"/>
    <col min="3103" max="3103" width="11" style="1" bestFit="1" customWidth="1"/>
    <col min="3104" max="3306" width="9" style="1"/>
    <col min="3307" max="3307" width="2.875" style="1" bestFit="1" customWidth="1"/>
    <col min="3308" max="3308" width="16.625" style="1" bestFit="1" customWidth="1"/>
    <col min="3309" max="3309" width="11.375" style="1" bestFit="1" customWidth="1"/>
    <col min="3310" max="3311" width="14.125" style="1" bestFit="1" customWidth="1"/>
    <col min="3312" max="3312" width="11.375" style="1" bestFit="1" customWidth="1"/>
    <col min="3313" max="3315" width="12.5" style="1" bestFit="1" customWidth="1"/>
    <col min="3316" max="3316" width="11" style="1" bestFit="1" customWidth="1"/>
    <col min="3317" max="3335" width="13" style="1" bestFit="1" customWidth="1"/>
    <col min="3336" max="3339" width="11" style="1" bestFit="1" customWidth="1"/>
    <col min="3340" max="3342" width="12.25" style="1" bestFit="1" customWidth="1"/>
    <col min="3343" max="3356" width="11" style="1" bestFit="1" customWidth="1"/>
    <col min="3357" max="3357" width="13.25" style="1" bestFit="1" customWidth="1"/>
    <col min="3358" max="3358" width="10" style="1" bestFit="1" customWidth="1"/>
    <col min="3359" max="3359" width="11" style="1" bestFit="1" customWidth="1"/>
    <col min="3360" max="3562" width="9" style="1"/>
    <col min="3563" max="3563" width="2.875" style="1" bestFit="1" customWidth="1"/>
    <col min="3564" max="3564" width="16.625" style="1" bestFit="1" customWidth="1"/>
    <col min="3565" max="3565" width="11.375" style="1" bestFit="1" customWidth="1"/>
    <col min="3566" max="3567" width="14.125" style="1" bestFit="1" customWidth="1"/>
    <col min="3568" max="3568" width="11.375" style="1" bestFit="1" customWidth="1"/>
    <col min="3569" max="3571" width="12.5" style="1" bestFit="1" customWidth="1"/>
    <col min="3572" max="3572" width="11" style="1" bestFit="1" customWidth="1"/>
    <col min="3573" max="3591" width="13" style="1" bestFit="1" customWidth="1"/>
    <col min="3592" max="3595" width="11" style="1" bestFit="1" customWidth="1"/>
    <col min="3596" max="3598" width="12.25" style="1" bestFit="1" customWidth="1"/>
    <col min="3599" max="3612" width="11" style="1" bestFit="1" customWidth="1"/>
    <col min="3613" max="3613" width="13.25" style="1" bestFit="1" customWidth="1"/>
    <col min="3614" max="3614" width="10" style="1" bestFit="1" customWidth="1"/>
    <col min="3615" max="3615" width="11" style="1" bestFit="1" customWidth="1"/>
    <col min="3616" max="3818" width="9" style="1"/>
    <col min="3819" max="3819" width="2.875" style="1" bestFit="1" customWidth="1"/>
    <col min="3820" max="3820" width="16.625" style="1" bestFit="1" customWidth="1"/>
    <col min="3821" max="3821" width="11.375" style="1" bestFit="1" customWidth="1"/>
    <col min="3822" max="3823" width="14.125" style="1" bestFit="1" customWidth="1"/>
    <col min="3824" max="3824" width="11.375" style="1" bestFit="1" customWidth="1"/>
    <col min="3825" max="3827" width="12.5" style="1" bestFit="1" customWidth="1"/>
    <col min="3828" max="3828" width="11" style="1" bestFit="1" customWidth="1"/>
    <col min="3829" max="3847" width="13" style="1" bestFit="1" customWidth="1"/>
    <col min="3848" max="3851" width="11" style="1" bestFit="1" customWidth="1"/>
    <col min="3852" max="3854" width="12.25" style="1" bestFit="1" customWidth="1"/>
    <col min="3855" max="3868" width="11" style="1" bestFit="1" customWidth="1"/>
    <col min="3869" max="3869" width="13.25" style="1" bestFit="1" customWidth="1"/>
    <col min="3870" max="3870" width="10" style="1" bestFit="1" customWidth="1"/>
    <col min="3871" max="3871" width="11" style="1" bestFit="1" customWidth="1"/>
    <col min="3872" max="4074" width="9" style="1"/>
    <col min="4075" max="4075" width="2.875" style="1" bestFit="1" customWidth="1"/>
    <col min="4076" max="4076" width="16.625" style="1" bestFit="1" customWidth="1"/>
    <col min="4077" max="4077" width="11.375" style="1" bestFit="1" customWidth="1"/>
    <col min="4078" max="4079" width="14.125" style="1" bestFit="1" customWidth="1"/>
    <col min="4080" max="4080" width="11.375" style="1" bestFit="1" customWidth="1"/>
    <col min="4081" max="4083" width="12.5" style="1" bestFit="1" customWidth="1"/>
    <col min="4084" max="4084" width="11" style="1" bestFit="1" customWidth="1"/>
    <col min="4085" max="4103" width="13" style="1" bestFit="1" customWidth="1"/>
    <col min="4104" max="4107" width="11" style="1" bestFit="1" customWidth="1"/>
    <col min="4108" max="4110" width="12.25" style="1" bestFit="1" customWidth="1"/>
    <col min="4111" max="4124" width="11" style="1" bestFit="1" customWidth="1"/>
    <col min="4125" max="4125" width="13.25" style="1" bestFit="1" customWidth="1"/>
    <col min="4126" max="4126" width="10" style="1" bestFit="1" customWidth="1"/>
    <col min="4127" max="4127" width="11" style="1" bestFit="1" customWidth="1"/>
    <col min="4128" max="4330" width="9" style="1"/>
    <col min="4331" max="4331" width="2.875" style="1" bestFit="1" customWidth="1"/>
    <col min="4332" max="4332" width="16.625" style="1" bestFit="1" customWidth="1"/>
    <col min="4333" max="4333" width="11.375" style="1" bestFit="1" customWidth="1"/>
    <col min="4334" max="4335" width="14.125" style="1" bestFit="1" customWidth="1"/>
    <col min="4336" max="4336" width="11.375" style="1" bestFit="1" customWidth="1"/>
    <col min="4337" max="4339" width="12.5" style="1" bestFit="1" customWidth="1"/>
    <col min="4340" max="4340" width="11" style="1" bestFit="1" customWidth="1"/>
    <col min="4341" max="4359" width="13" style="1" bestFit="1" customWidth="1"/>
    <col min="4360" max="4363" width="11" style="1" bestFit="1" customWidth="1"/>
    <col min="4364" max="4366" width="12.25" style="1" bestFit="1" customWidth="1"/>
    <col min="4367" max="4380" width="11" style="1" bestFit="1" customWidth="1"/>
    <col min="4381" max="4381" width="13.25" style="1" bestFit="1" customWidth="1"/>
    <col min="4382" max="4382" width="10" style="1" bestFit="1" customWidth="1"/>
    <col min="4383" max="4383" width="11" style="1" bestFit="1" customWidth="1"/>
    <col min="4384" max="4586" width="9" style="1"/>
    <col min="4587" max="4587" width="2.875" style="1" bestFit="1" customWidth="1"/>
    <col min="4588" max="4588" width="16.625" style="1" bestFit="1" customWidth="1"/>
    <col min="4589" max="4589" width="11.375" style="1" bestFit="1" customWidth="1"/>
    <col min="4590" max="4591" width="14.125" style="1" bestFit="1" customWidth="1"/>
    <col min="4592" max="4592" width="11.375" style="1" bestFit="1" customWidth="1"/>
    <col min="4593" max="4595" width="12.5" style="1" bestFit="1" customWidth="1"/>
    <col min="4596" max="4596" width="11" style="1" bestFit="1" customWidth="1"/>
    <col min="4597" max="4615" width="13" style="1" bestFit="1" customWidth="1"/>
    <col min="4616" max="4619" width="11" style="1" bestFit="1" customWidth="1"/>
    <col min="4620" max="4622" width="12.25" style="1" bestFit="1" customWidth="1"/>
    <col min="4623" max="4636" width="11" style="1" bestFit="1" customWidth="1"/>
    <col min="4637" max="4637" width="13.25" style="1" bestFit="1" customWidth="1"/>
    <col min="4638" max="4638" width="10" style="1" bestFit="1" customWidth="1"/>
    <col min="4639" max="4639" width="11" style="1" bestFit="1" customWidth="1"/>
    <col min="4640" max="4842" width="9" style="1"/>
    <col min="4843" max="4843" width="2.875" style="1" bestFit="1" customWidth="1"/>
    <col min="4844" max="4844" width="16.625" style="1" bestFit="1" customWidth="1"/>
    <col min="4845" max="4845" width="11.375" style="1" bestFit="1" customWidth="1"/>
    <col min="4846" max="4847" width="14.125" style="1" bestFit="1" customWidth="1"/>
    <col min="4848" max="4848" width="11.375" style="1" bestFit="1" customWidth="1"/>
    <col min="4849" max="4851" width="12.5" style="1" bestFit="1" customWidth="1"/>
    <col min="4852" max="4852" width="11" style="1" bestFit="1" customWidth="1"/>
    <col min="4853" max="4871" width="13" style="1" bestFit="1" customWidth="1"/>
    <col min="4872" max="4875" width="11" style="1" bestFit="1" customWidth="1"/>
    <col min="4876" max="4878" width="12.25" style="1" bestFit="1" customWidth="1"/>
    <col min="4879" max="4892" width="11" style="1" bestFit="1" customWidth="1"/>
    <col min="4893" max="4893" width="13.25" style="1" bestFit="1" customWidth="1"/>
    <col min="4894" max="4894" width="10" style="1" bestFit="1" customWidth="1"/>
    <col min="4895" max="4895" width="11" style="1" bestFit="1" customWidth="1"/>
    <col min="4896" max="5098" width="9" style="1"/>
    <col min="5099" max="5099" width="2.875" style="1" bestFit="1" customWidth="1"/>
    <col min="5100" max="5100" width="16.625" style="1" bestFit="1" customWidth="1"/>
    <col min="5101" max="5101" width="11.375" style="1" bestFit="1" customWidth="1"/>
    <col min="5102" max="5103" width="14.125" style="1" bestFit="1" customWidth="1"/>
    <col min="5104" max="5104" width="11.375" style="1" bestFit="1" customWidth="1"/>
    <col min="5105" max="5107" width="12.5" style="1" bestFit="1" customWidth="1"/>
    <col min="5108" max="5108" width="11" style="1" bestFit="1" customWidth="1"/>
    <col min="5109" max="5127" width="13" style="1" bestFit="1" customWidth="1"/>
    <col min="5128" max="5131" width="11" style="1" bestFit="1" customWidth="1"/>
    <col min="5132" max="5134" width="12.25" style="1" bestFit="1" customWidth="1"/>
    <col min="5135" max="5148" width="11" style="1" bestFit="1" customWidth="1"/>
    <col min="5149" max="5149" width="13.25" style="1" bestFit="1" customWidth="1"/>
    <col min="5150" max="5150" width="10" style="1" bestFit="1" customWidth="1"/>
    <col min="5151" max="5151" width="11" style="1" bestFit="1" customWidth="1"/>
    <col min="5152" max="5354" width="9" style="1"/>
    <col min="5355" max="5355" width="2.875" style="1" bestFit="1" customWidth="1"/>
    <col min="5356" max="5356" width="16.625" style="1" bestFit="1" customWidth="1"/>
    <col min="5357" max="5357" width="11.375" style="1" bestFit="1" customWidth="1"/>
    <col min="5358" max="5359" width="14.125" style="1" bestFit="1" customWidth="1"/>
    <col min="5360" max="5360" width="11.375" style="1" bestFit="1" customWidth="1"/>
    <col min="5361" max="5363" width="12.5" style="1" bestFit="1" customWidth="1"/>
    <col min="5364" max="5364" width="11" style="1" bestFit="1" customWidth="1"/>
    <col min="5365" max="5383" width="13" style="1" bestFit="1" customWidth="1"/>
    <col min="5384" max="5387" width="11" style="1" bestFit="1" customWidth="1"/>
    <col min="5388" max="5390" width="12.25" style="1" bestFit="1" customWidth="1"/>
    <col min="5391" max="5404" width="11" style="1" bestFit="1" customWidth="1"/>
    <col min="5405" max="5405" width="13.25" style="1" bestFit="1" customWidth="1"/>
    <col min="5406" max="5406" width="10" style="1" bestFit="1" customWidth="1"/>
    <col min="5407" max="5407" width="11" style="1" bestFit="1" customWidth="1"/>
    <col min="5408" max="5610" width="9" style="1"/>
    <col min="5611" max="5611" width="2.875" style="1" bestFit="1" customWidth="1"/>
    <col min="5612" max="5612" width="16.625" style="1" bestFit="1" customWidth="1"/>
    <col min="5613" max="5613" width="11.375" style="1" bestFit="1" customWidth="1"/>
    <col min="5614" max="5615" width="14.125" style="1" bestFit="1" customWidth="1"/>
    <col min="5616" max="5616" width="11.375" style="1" bestFit="1" customWidth="1"/>
    <col min="5617" max="5619" width="12.5" style="1" bestFit="1" customWidth="1"/>
    <col min="5620" max="5620" width="11" style="1" bestFit="1" customWidth="1"/>
    <col min="5621" max="5639" width="13" style="1" bestFit="1" customWidth="1"/>
    <col min="5640" max="5643" width="11" style="1" bestFit="1" customWidth="1"/>
    <col min="5644" max="5646" width="12.25" style="1" bestFit="1" customWidth="1"/>
    <col min="5647" max="5660" width="11" style="1" bestFit="1" customWidth="1"/>
    <col min="5661" max="5661" width="13.25" style="1" bestFit="1" customWidth="1"/>
    <col min="5662" max="5662" width="10" style="1" bestFit="1" customWidth="1"/>
    <col min="5663" max="5663" width="11" style="1" bestFit="1" customWidth="1"/>
    <col min="5664" max="5866" width="9" style="1"/>
    <col min="5867" max="5867" width="2.875" style="1" bestFit="1" customWidth="1"/>
    <col min="5868" max="5868" width="16.625" style="1" bestFit="1" customWidth="1"/>
    <col min="5869" max="5869" width="11.375" style="1" bestFit="1" customWidth="1"/>
    <col min="5870" max="5871" width="14.125" style="1" bestFit="1" customWidth="1"/>
    <col min="5872" max="5872" width="11.375" style="1" bestFit="1" customWidth="1"/>
    <col min="5873" max="5875" width="12.5" style="1" bestFit="1" customWidth="1"/>
    <col min="5876" max="5876" width="11" style="1" bestFit="1" customWidth="1"/>
    <col min="5877" max="5895" width="13" style="1" bestFit="1" customWidth="1"/>
    <col min="5896" max="5899" width="11" style="1" bestFit="1" customWidth="1"/>
    <col min="5900" max="5902" width="12.25" style="1" bestFit="1" customWidth="1"/>
    <col min="5903" max="5916" width="11" style="1" bestFit="1" customWidth="1"/>
    <col min="5917" max="5917" width="13.25" style="1" bestFit="1" customWidth="1"/>
    <col min="5918" max="5918" width="10" style="1" bestFit="1" customWidth="1"/>
    <col min="5919" max="5919" width="11" style="1" bestFit="1" customWidth="1"/>
    <col min="5920" max="6122" width="9" style="1"/>
    <col min="6123" max="6123" width="2.875" style="1" bestFit="1" customWidth="1"/>
    <col min="6124" max="6124" width="16.625" style="1" bestFit="1" customWidth="1"/>
    <col min="6125" max="6125" width="11.375" style="1" bestFit="1" customWidth="1"/>
    <col min="6126" max="6127" width="14.125" style="1" bestFit="1" customWidth="1"/>
    <col min="6128" max="6128" width="11.375" style="1" bestFit="1" customWidth="1"/>
    <col min="6129" max="6131" width="12.5" style="1" bestFit="1" customWidth="1"/>
    <col min="6132" max="6132" width="11" style="1" bestFit="1" customWidth="1"/>
    <col min="6133" max="6151" width="13" style="1" bestFit="1" customWidth="1"/>
    <col min="6152" max="6155" width="11" style="1" bestFit="1" customWidth="1"/>
    <col min="6156" max="6158" width="12.25" style="1" bestFit="1" customWidth="1"/>
    <col min="6159" max="6172" width="11" style="1" bestFit="1" customWidth="1"/>
    <col min="6173" max="6173" width="13.25" style="1" bestFit="1" customWidth="1"/>
    <col min="6174" max="6174" width="10" style="1" bestFit="1" customWidth="1"/>
    <col min="6175" max="6175" width="11" style="1" bestFit="1" customWidth="1"/>
    <col min="6176" max="6378" width="9" style="1"/>
    <col min="6379" max="6379" width="2.875" style="1" bestFit="1" customWidth="1"/>
    <col min="6380" max="6380" width="16.625" style="1" bestFit="1" customWidth="1"/>
    <col min="6381" max="6381" width="11.375" style="1" bestFit="1" customWidth="1"/>
    <col min="6382" max="6383" width="14.125" style="1" bestFit="1" customWidth="1"/>
    <col min="6384" max="6384" width="11.375" style="1" bestFit="1" customWidth="1"/>
    <col min="6385" max="6387" width="12.5" style="1" bestFit="1" customWidth="1"/>
    <col min="6388" max="6388" width="11" style="1" bestFit="1" customWidth="1"/>
    <col min="6389" max="6407" width="13" style="1" bestFit="1" customWidth="1"/>
    <col min="6408" max="6411" width="11" style="1" bestFit="1" customWidth="1"/>
    <col min="6412" max="6414" width="12.25" style="1" bestFit="1" customWidth="1"/>
    <col min="6415" max="6428" width="11" style="1" bestFit="1" customWidth="1"/>
    <col min="6429" max="6429" width="13.25" style="1" bestFit="1" customWidth="1"/>
    <col min="6430" max="6430" width="10" style="1" bestFit="1" customWidth="1"/>
    <col min="6431" max="6431" width="11" style="1" bestFit="1" customWidth="1"/>
    <col min="6432" max="6634" width="9" style="1"/>
    <col min="6635" max="6635" width="2.875" style="1" bestFit="1" customWidth="1"/>
    <col min="6636" max="6636" width="16.625" style="1" bestFit="1" customWidth="1"/>
    <col min="6637" max="6637" width="11.375" style="1" bestFit="1" customWidth="1"/>
    <col min="6638" max="6639" width="14.125" style="1" bestFit="1" customWidth="1"/>
    <col min="6640" max="6640" width="11.375" style="1" bestFit="1" customWidth="1"/>
    <col min="6641" max="6643" width="12.5" style="1" bestFit="1" customWidth="1"/>
    <col min="6644" max="6644" width="11" style="1" bestFit="1" customWidth="1"/>
    <col min="6645" max="6663" width="13" style="1" bestFit="1" customWidth="1"/>
    <col min="6664" max="6667" width="11" style="1" bestFit="1" customWidth="1"/>
    <col min="6668" max="6670" width="12.25" style="1" bestFit="1" customWidth="1"/>
    <col min="6671" max="6684" width="11" style="1" bestFit="1" customWidth="1"/>
    <col min="6685" max="6685" width="13.25" style="1" bestFit="1" customWidth="1"/>
    <col min="6686" max="6686" width="10" style="1" bestFit="1" customWidth="1"/>
    <col min="6687" max="6687" width="11" style="1" bestFit="1" customWidth="1"/>
    <col min="6688" max="6890" width="9" style="1"/>
    <col min="6891" max="6891" width="2.875" style="1" bestFit="1" customWidth="1"/>
    <col min="6892" max="6892" width="16.625" style="1" bestFit="1" customWidth="1"/>
    <col min="6893" max="6893" width="11.375" style="1" bestFit="1" customWidth="1"/>
    <col min="6894" max="6895" width="14.125" style="1" bestFit="1" customWidth="1"/>
    <col min="6896" max="6896" width="11.375" style="1" bestFit="1" customWidth="1"/>
    <col min="6897" max="6899" width="12.5" style="1" bestFit="1" customWidth="1"/>
    <col min="6900" max="6900" width="11" style="1" bestFit="1" customWidth="1"/>
    <col min="6901" max="6919" width="13" style="1" bestFit="1" customWidth="1"/>
    <col min="6920" max="6923" width="11" style="1" bestFit="1" customWidth="1"/>
    <col min="6924" max="6926" width="12.25" style="1" bestFit="1" customWidth="1"/>
    <col min="6927" max="6940" width="11" style="1" bestFit="1" customWidth="1"/>
    <col min="6941" max="6941" width="13.25" style="1" bestFit="1" customWidth="1"/>
    <col min="6942" max="6942" width="10" style="1" bestFit="1" customWidth="1"/>
    <col min="6943" max="6943" width="11" style="1" bestFit="1" customWidth="1"/>
    <col min="6944" max="7146" width="9" style="1"/>
    <col min="7147" max="7147" width="2.875" style="1" bestFit="1" customWidth="1"/>
    <col min="7148" max="7148" width="16.625" style="1" bestFit="1" customWidth="1"/>
    <col min="7149" max="7149" width="11.375" style="1" bestFit="1" customWidth="1"/>
    <col min="7150" max="7151" width="14.125" style="1" bestFit="1" customWidth="1"/>
    <col min="7152" max="7152" width="11.375" style="1" bestFit="1" customWidth="1"/>
    <col min="7153" max="7155" width="12.5" style="1" bestFit="1" customWidth="1"/>
    <col min="7156" max="7156" width="11" style="1" bestFit="1" customWidth="1"/>
    <col min="7157" max="7175" width="13" style="1" bestFit="1" customWidth="1"/>
    <col min="7176" max="7179" width="11" style="1" bestFit="1" customWidth="1"/>
    <col min="7180" max="7182" width="12.25" style="1" bestFit="1" customWidth="1"/>
    <col min="7183" max="7196" width="11" style="1" bestFit="1" customWidth="1"/>
    <col min="7197" max="7197" width="13.25" style="1" bestFit="1" customWidth="1"/>
    <col min="7198" max="7198" width="10" style="1" bestFit="1" customWidth="1"/>
    <col min="7199" max="7199" width="11" style="1" bestFit="1" customWidth="1"/>
    <col min="7200" max="7402" width="9" style="1"/>
    <col min="7403" max="7403" width="2.875" style="1" bestFit="1" customWidth="1"/>
    <col min="7404" max="7404" width="16.625" style="1" bestFit="1" customWidth="1"/>
    <col min="7405" max="7405" width="11.375" style="1" bestFit="1" customWidth="1"/>
    <col min="7406" max="7407" width="14.125" style="1" bestFit="1" customWidth="1"/>
    <col min="7408" max="7408" width="11.375" style="1" bestFit="1" customWidth="1"/>
    <col min="7409" max="7411" width="12.5" style="1" bestFit="1" customWidth="1"/>
    <col min="7412" max="7412" width="11" style="1" bestFit="1" customWidth="1"/>
    <col min="7413" max="7431" width="13" style="1" bestFit="1" customWidth="1"/>
    <col min="7432" max="7435" width="11" style="1" bestFit="1" customWidth="1"/>
    <col min="7436" max="7438" width="12.25" style="1" bestFit="1" customWidth="1"/>
    <col min="7439" max="7452" width="11" style="1" bestFit="1" customWidth="1"/>
    <col min="7453" max="7453" width="13.25" style="1" bestFit="1" customWidth="1"/>
    <col min="7454" max="7454" width="10" style="1" bestFit="1" customWidth="1"/>
    <col min="7455" max="7455" width="11" style="1" bestFit="1" customWidth="1"/>
    <col min="7456" max="7658" width="9" style="1"/>
    <col min="7659" max="7659" width="2.875" style="1" bestFit="1" customWidth="1"/>
    <col min="7660" max="7660" width="16.625" style="1" bestFit="1" customWidth="1"/>
    <col min="7661" max="7661" width="11.375" style="1" bestFit="1" customWidth="1"/>
    <col min="7662" max="7663" width="14.125" style="1" bestFit="1" customWidth="1"/>
    <col min="7664" max="7664" width="11.375" style="1" bestFit="1" customWidth="1"/>
    <col min="7665" max="7667" width="12.5" style="1" bestFit="1" customWidth="1"/>
    <col min="7668" max="7668" width="11" style="1" bestFit="1" customWidth="1"/>
    <col min="7669" max="7687" width="13" style="1" bestFit="1" customWidth="1"/>
    <col min="7688" max="7691" width="11" style="1" bestFit="1" customWidth="1"/>
    <col min="7692" max="7694" width="12.25" style="1" bestFit="1" customWidth="1"/>
    <col min="7695" max="7708" width="11" style="1" bestFit="1" customWidth="1"/>
    <col min="7709" max="7709" width="13.25" style="1" bestFit="1" customWidth="1"/>
    <col min="7710" max="7710" width="10" style="1" bestFit="1" customWidth="1"/>
    <col min="7711" max="7711" width="11" style="1" bestFit="1" customWidth="1"/>
    <col min="7712" max="7914" width="9" style="1"/>
    <col min="7915" max="7915" width="2.875" style="1" bestFit="1" customWidth="1"/>
    <col min="7916" max="7916" width="16.625" style="1" bestFit="1" customWidth="1"/>
    <col min="7917" max="7917" width="11.375" style="1" bestFit="1" customWidth="1"/>
    <col min="7918" max="7919" width="14.125" style="1" bestFit="1" customWidth="1"/>
    <col min="7920" max="7920" width="11.375" style="1" bestFit="1" customWidth="1"/>
    <col min="7921" max="7923" width="12.5" style="1" bestFit="1" customWidth="1"/>
    <col min="7924" max="7924" width="11" style="1" bestFit="1" customWidth="1"/>
    <col min="7925" max="7943" width="13" style="1" bestFit="1" customWidth="1"/>
    <col min="7944" max="7947" width="11" style="1" bestFit="1" customWidth="1"/>
    <col min="7948" max="7950" width="12.25" style="1" bestFit="1" customWidth="1"/>
    <col min="7951" max="7964" width="11" style="1" bestFit="1" customWidth="1"/>
    <col min="7965" max="7965" width="13.25" style="1" bestFit="1" customWidth="1"/>
    <col min="7966" max="7966" width="10" style="1" bestFit="1" customWidth="1"/>
    <col min="7967" max="7967" width="11" style="1" bestFit="1" customWidth="1"/>
    <col min="7968" max="8170" width="9" style="1"/>
    <col min="8171" max="8171" width="2.875" style="1" bestFit="1" customWidth="1"/>
    <col min="8172" max="8172" width="16.625" style="1" bestFit="1" customWidth="1"/>
    <col min="8173" max="8173" width="11.375" style="1" bestFit="1" customWidth="1"/>
    <col min="8174" max="8175" width="14.125" style="1" bestFit="1" customWidth="1"/>
    <col min="8176" max="8176" width="11.375" style="1" bestFit="1" customWidth="1"/>
    <col min="8177" max="8179" width="12.5" style="1" bestFit="1" customWidth="1"/>
    <col min="8180" max="8180" width="11" style="1" bestFit="1" customWidth="1"/>
    <col min="8181" max="8199" width="13" style="1" bestFit="1" customWidth="1"/>
    <col min="8200" max="8203" width="11" style="1" bestFit="1" customWidth="1"/>
    <col min="8204" max="8206" width="12.25" style="1" bestFit="1" customWidth="1"/>
    <col min="8207" max="8220" width="11" style="1" bestFit="1" customWidth="1"/>
    <col min="8221" max="8221" width="13.25" style="1" bestFit="1" customWidth="1"/>
    <col min="8222" max="8222" width="10" style="1" bestFit="1" customWidth="1"/>
    <col min="8223" max="8223" width="11" style="1" bestFit="1" customWidth="1"/>
    <col min="8224" max="8426" width="9" style="1"/>
    <col min="8427" max="8427" width="2.875" style="1" bestFit="1" customWidth="1"/>
    <col min="8428" max="8428" width="16.625" style="1" bestFit="1" customWidth="1"/>
    <col min="8429" max="8429" width="11.375" style="1" bestFit="1" customWidth="1"/>
    <col min="8430" max="8431" width="14.125" style="1" bestFit="1" customWidth="1"/>
    <col min="8432" max="8432" width="11.375" style="1" bestFit="1" customWidth="1"/>
    <col min="8433" max="8435" width="12.5" style="1" bestFit="1" customWidth="1"/>
    <col min="8436" max="8436" width="11" style="1" bestFit="1" customWidth="1"/>
    <col min="8437" max="8455" width="13" style="1" bestFit="1" customWidth="1"/>
    <col min="8456" max="8459" width="11" style="1" bestFit="1" customWidth="1"/>
    <col min="8460" max="8462" width="12.25" style="1" bestFit="1" customWidth="1"/>
    <col min="8463" max="8476" width="11" style="1" bestFit="1" customWidth="1"/>
    <col min="8477" max="8477" width="13.25" style="1" bestFit="1" customWidth="1"/>
    <col min="8478" max="8478" width="10" style="1" bestFit="1" customWidth="1"/>
    <col min="8479" max="8479" width="11" style="1" bestFit="1" customWidth="1"/>
    <col min="8480" max="8682" width="9" style="1"/>
    <col min="8683" max="8683" width="2.875" style="1" bestFit="1" customWidth="1"/>
    <col min="8684" max="8684" width="16.625" style="1" bestFit="1" customWidth="1"/>
    <col min="8685" max="8685" width="11.375" style="1" bestFit="1" customWidth="1"/>
    <col min="8686" max="8687" width="14.125" style="1" bestFit="1" customWidth="1"/>
    <col min="8688" max="8688" width="11.375" style="1" bestFit="1" customWidth="1"/>
    <col min="8689" max="8691" width="12.5" style="1" bestFit="1" customWidth="1"/>
    <col min="8692" max="8692" width="11" style="1" bestFit="1" customWidth="1"/>
    <col min="8693" max="8711" width="13" style="1" bestFit="1" customWidth="1"/>
    <col min="8712" max="8715" width="11" style="1" bestFit="1" customWidth="1"/>
    <col min="8716" max="8718" width="12.25" style="1" bestFit="1" customWidth="1"/>
    <col min="8719" max="8732" width="11" style="1" bestFit="1" customWidth="1"/>
    <col min="8733" max="8733" width="13.25" style="1" bestFit="1" customWidth="1"/>
    <col min="8734" max="8734" width="10" style="1" bestFit="1" customWidth="1"/>
    <col min="8735" max="8735" width="11" style="1" bestFit="1" customWidth="1"/>
    <col min="8736" max="8938" width="9" style="1"/>
    <col min="8939" max="8939" width="2.875" style="1" bestFit="1" customWidth="1"/>
    <col min="8940" max="8940" width="16.625" style="1" bestFit="1" customWidth="1"/>
    <col min="8941" max="8941" width="11.375" style="1" bestFit="1" customWidth="1"/>
    <col min="8942" max="8943" width="14.125" style="1" bestFit="1" customWidth="1"/>
    <col min="8944" max="8944" width="11.375" style="1" bestFit="1" customWidth="1"/>
    <col min="8945" max="8947" width="12.5" style="1" bestFit="1" customWidth="1"/>
    <col min="8948" max="8948" width="11" style="1" bestFit="1" customWidth="1"/>
    <col min="8949" max="8967" width="13" style="1" bestFit="1" customWidth="1"/>
    <col min="8968" max="8971" width="11" style="1" bestFit="1" customWidth="1"/>
    <col min="8972" max="8974" width="12.25" style="1" bestFit="1" customWidth="1"/>
    <col min="8975" max="8988" width="11" style="1" bestFit="1" customWidth="1"/>
    <col min="8989" max="8989" width="13.25" style="1" bestFit="1" customWidth="1"/>
    <col min="8990" max="8990" width="10" style="1" bestFit="1" customWidth="1"/>
    <col min="8991" max="8991" width="11" style="1" bestFit="1" customWidth="1"/>
    <col min="8992" max="9194" width="9" style="1"/>
    <col min="9195" max="9195" width="2.875" style="1" bestFit="1" customWidth="1"/>
    <col min="9196" max="9196" width="16.625" style="1" bestFit="1" customWidth="1"/>
    <col min="9197" max="9197" width="11.375" style="1" bestFit="1" customWidth="1"/>
    <col min="9198" max="9199" width="14.125" style="1" bestFit="1" customWidth="1"/>
    <col min="9200" max="9200" width="11.375" style="1" bestFit="1" customWidth="1"/>
    <col min="9201" max="9203" width="12.5" style="1" bestFit="1" customWidth="1"/>
    <col min="9204" max="9204" width="11" style="1" bestFit="1" customWidth="1"/>
    <col min="9205" max="9223" width="13" style="1" bestFit="1" customWidth="1"/>
    <col min="9224" max="9227" width="11" style="1" bestFit="1" customWidth="1"/>
    <col min="9228" max="9230" width="12.25" style="1" bestFit="1" customWidth="1"/>
    <col min="9231" max="9244" width="11" style="1" bestFit="1" customWidth="1"/>
    <col min="9245" max="9245" width="13.25" style="1" bestFit="1" customWidth="1"/>
    <col min="9246" max="9246" width="10" style="1" bestFit="1" customWidth="1"/>
    <col min="9247" max="9247" width="11" style="1" bestFit="1" customWidth="1"/>
    <col min="9248" max="9450" width="9" style="1"/>
    <col min="9451" max="9451" width="2.875" style="1" bestFit="1" customWidth="1"/>
    <col min="9452" max="9452" width="16.625" style="1" bestFit="1" customWidth="1"/>
    <col min="9453" max="9453" width="11.375" style="1" bestFit="1" customWidth="1"/>
    <col min="9454" max="9455" width="14.125" style="1" bestFit="1" customWidth="1"/>
    <col min="9456" max="9456" width="11.375" style="1" bestFit="1" customWidth="1"/>
    <col min="9457" max="9459" width="12.5" style="1" bestFit="1" customWidth="1"/>
    <col min="9460" max="9460" width="11" style="1" bestFit="1" customWidth="1"/>
    <col min="9461" max="9479" width="13" style="1" bestFit="1" customWidth="1"/>
    <col min="9480" max="9483" width="11" style="1" bestFit="1" customWidth="1"/>
    <col min="9484" max="9486" width="12.25" style="1" bestFit="1" customWidth="1"/>
    <col min="9487" max="9500" width="11" style="1" bestFit="1" customWidth="1"/>
    <col min="9501" max="9501" width="13.25" style="1" bestFit="1" customWidth="1"/>
    <col min="9502" max="9502" width="10" style="1" bestFit="1" customWidth="1"/>
    <col min="9503" max="9503" width="11" style="1" bestFit="1" customWidth="1"/>
    <col min="9504" max="9706" width="9" style="1"/>
    <col min="9707" max="9707" width="2.875" style="1" bestFit="1" customWidth="1"/>
    <col min="9708" max="9708" width="16.625" style="1" bestFit="1" customWidth="1"/>
    <col min="9709" max="9709" width="11.375" style="1" bestFit="1" customWidth="1"/>
    <col min="9710" max="9711" width="14.125" style="1" bestFit="1" customWidth="1"/>
    <col min="9712" max="9712" width="11.375" style="1" bestFit="1" customWidth="1"/>
    <col min="9713" max="9715" width="12.5" style="1" bestFit="1" customWidth="1"/>
    <col min="9716" max="9716" width="11" style="1" bestFit="1" customWidth="1"/>
    <col min="9717" max="9735" width="13" style="1" bestFit="1" customWidth="1"/>
    <col min="9736" max="9739" width="11" style="1" bestFit="1" customWidth="1"/>
    <col min="9740" max="9742" width="12.25" style="1" bestFit="1" customWidth="1"/>
    <col min="9743" max="9756" width="11" style="1" bestFit="1" customWidth="1"/>
    <col min="9757" max="9757" width="13.25" style="1" bestFit="1" customWidth="1"/>
    <col min="9758" max="9758" width="10" style="1" bestFit="1" customWidth="1"/>
    <col min="9759" max="9759" width="11" style="1" bestFit="1" customWidth="1"/>
    <col min="9760" max="9962" width="9" style="1"/>
    <col min="9963" max="9963" width="2.875" style="1" bestFit="1" customWidth="1"/>
    <col min="9964" max="9964" width="16.625" style="1" bestFit="1" customWidth="1"/>
    <col min="9965" max="9965" width="11.375" style="1" bestFit="1" customWidth="1"/>
    <col min="9966" max="9967" width="14.125" style="1" bestFit="1" customWidth="1"/>
    <col min="9968" max="9968" width="11.375" style="1" bestFit="1" customWidth="1"/>
    <col min="9969" max="9971" width="12.5" style="1" bestFit="1" customWidth="1"/>
    <col min="9972" max="9972" width="11" style="1" bestFit="1" customWidth="1"/>
    <col min="9973" max="9991" width="13" style="1" bestFit="1" customWidth="1"/>
    <col min="9992" max="9995" width="11" style="1" bestFit="1" customWidth="1"/>
    <col min="9996" max="9998" width="12.25" style="1" bestFit="1" customWidth="1"/>
    <col min="9999" max="10012" width="11" style="1" bestFit="1" customWidth="1"/>
    <col min="10013" max="10013" width="13.25" style="1" bestFit="1" customWidth="1"/>
    <col min="10014" max="10014" width="10" style="1" bestFit="1" customWidth="1"/>
    <col min="10015" max="10015" width="11" style="1" bestFit="1" customWidth="1"/>
    <col min="10016" max="10218" width="9" style="1"/>
    <col min="10219" max="10219" width="2.875" style="1" bestFit="1" customWidth="1"/>
    <col min="10220" max="10220" width="16.625" style="1" bestFit="1" customWidth="1"/>
    <col min="10221" max="10221" width="11.375" style="1" bestFit="1" customWidth="1"/>
    <col min="10222" max="10223" width="14.125" style="1" bestFit="1" customWidth="1"/>
    <col min="10224" max="10224" width="11.375" style="1" bestFit="1" customWidth="1"/>
    <col min="10225" max="10227" width="12.5" style="1" bestFit="1" customWidth="1"/>
    <col min="10228" max="10228" width="11" style="1" bestFit="1" customWidth="1"/>
    <col min="10229" max="10247" width="13" style="1" bestFit="1" customWidth="1"/>
    <col min="10248" max="10251" width="11" style="1" bestFit="1" customWidth="1"/>
    <col min="10252" max="10254" width="12.25" style="1" bestFit="1" customWidth="1"/>
    <col min="10255" max="10268" width="11" style="1" bestFit="1" customWidth="1"/>
    <col min="10269" max="10269" width="13.25" style="1" bestFit="1" customWidth="1"/>
    <col min="10270" max="10270" width="10" style="1" bestFit="1" customWidth="1"/>
    <col min="10271" max="10271" width="11" style="1" bestFit="1" customWidth="1"/>
    <col min="10272" max="10474" width="9" style="1"/>
    <col min="10475" max="10475" width="2.875" style="1" bestFit="1" customWidth="1"/>
    <col min="10476" max="10476" width="16.625" style="1" bestFit="1" customWidth="1"/>
    <col min="10477" max="10477" width="11.375" style="1" bestFit="1" customWidth="1"/>
    <col min="10478" max="10479" width="14.125" style="1" bestFit="1" customWidth="1"/>
    <col min="10480" max="10480" width="11.375" style="1" bestFit="1" customWidth="1"/>
    <col min="10481" max="10483" width="12.5" style="1" bestFit="1" customWidth="1"/>
    <col min="10484" max="10484" width="11" style="1" bestFit="1" customWidth="1"/>
    <col min="10485" max="10503" width="13" style="1" bestFit="1" customWidth="1"/>
    <col min="10504" max="10507" width="11" style="1" bestFit="1" customWidth="1"/>
    <col min="10508" max="10510" width="12.25" style="1" bestFit="1" customWidth="1"/>
    <col min="10511" max="10524" width="11" style="1" bestFit="1" customWidth="1"/>
    <col min="10525" max="10525" width="13.25" style="1" bestFit="1" customWidth="1"/>
    <col min="10526" max="10526" width="10" style="1" bestFit="1" customWidth="1"/>
    <col min="10527" max="10527" width="11" style="1" bestFit="1" customWidth="1"/>
    <col min="10528" max="10730" width="9" style="1"/>
    <col min="10731" max="10731" width="2.875" style="1" bestFit="1" customWidth="1"/>
    <col min="10732" max="10732" width="16.625" style="1" bestFit="1" customWidth="1"/>
    <col min="10733" max="10733" width="11.375" style="1" bestFit="1" customWidth="1"/>
    <col min="10734" max="10735" width="14.125" style="1" bestFit="1" customWidth="1"/>
    <col min="10736" max="10736" width="11.375" style="1" bestFit="1" customWidth="1"/>
    <col min="10737" max="10739" width="12.5" style="1" bestFit="1" customWidth="1"/>
    <col min="10740" max="10740" width="11" style="1" bestFit="1" customWidth="1"/>
    <col min="10741" max="10759" width="13" style="1" bestFit="1" customWidth="1"/>
    <col min="10760" max="10763" width="11" style="1" bestFit="1" customWidth="1"/>
    <col min="10764" max="10766" width="12.25" style="1" bestFit="1" customWidth="1"/>
    <col min="10767" max="10780" width="11" style="1" bestFit="1" customWidth="1"/>
    <col min="10781" max="10781" width="13.25" style="1" bestFit="1" customWidth="1"/>
    <col min="10782" max="10782" width="10" style="1" bestFit="1" customWidth="1"/>
    <col min="10783" max="10783" width="11" style="1" bestFit="1" customWidth="1"/>
    <col min="10784" max="10986" width="9" style="1"/>
    <col min="10987" max="10987" width="2.875" style="1" bestFit="1" customWidth="1"/>
    <col min="10988" max="10988" width="16.625" style="1" bestFit="1" customWidth="1"/>
    <col min="10989" max="10989" width="11.375" style="1" bestFit="1" customWidth="1"/>
    <col min="10990" max="10991" width="14.125" style="1" bestFit="1" customWidth="1"/>
    <col min="10992" max="10992" width="11.375" style="1" bestFit="1" customWidth="1"/>
    <col min="10993" max="10995" width="12.5" style="1" bestFit="1" customWidth="1"/>
    <col min="10996" max="10996" width="11" style="1" bestFit="1" customWidth="1"/>
    <col min="10997" max="11015" width="13" style="1" bestFit="1" customWidth="1"/>
    <col min="11016" max="11019" width="11" style="1" bestFit="1" customWidth="1"/>
    <col min="11020" max="11022" width="12.25" style="1" bestFit="1" customWidth="1"/>
    <col min="11023" max="11036" width="11" style="1" bestFit="1" customWidth="1"/>
    <col min="11037" max="11037" width="13.25" style="1" bestFit="1" customWidth="1"/>
    <col min="11038" max="11038" width="10" style="1" bestFit="1" customWidth="1"/>
    <col min="11039" max="11039" width="11" style="1" bestFit="1" customWidth="1"/>
    <col min="11040" max="11242" width="9" style="1"/>
    <col min="11243" max="11243" width="2.875" style="1" bestFit="1" customWidth="1"/>
    <col min="11244" max="11244" width="16.625" style="1" bestFit="1" customWidth="1"/>
    <col min="11245" max="11245" width="11.375" style="1" bestFit="1" customWidth="1"/>
    <col min="11246" max="11247" width="14.125" style="1" bestFit="1" customWidth="1"/>
    <col min="11248" max="11248" width="11.375" style="1" bestFit="1" customWidth="1"/>
    <col min="11249" max="11251" width="12.5" style="1" bestFit="1" customWidth="1"/>
    <col min="11252" max="11252" width="11" style="1" bestFit="1" customWidth="1"/>
    <col min="11253" max="11271" width="13" style="1" bestFit="1" customWidth="1"/>
    <col min="11272" max="11275" width="11" style="1" bestFit="1" customWidth="1"/>
    <col min="11276" max="11278" width="12.25" style="1" bestFit="1" customWidth="1"/>
    <col min="11279" max="11292" width="11" style="1" bestFit="1" customWidth="1"/>
    <col min="11293" max="11293" width="13.25" style="1" bestFit="1" customWidth="1"/>
    <col min="11294" max="11294" width="10" style="1" bestFit="1" customWidth="1"/>
    <col min="11295" max="11295" width="11" style="1" bestFit="1" customWidth="1"/>
    <col min="11296" max="11498" width="9" style="1"/>
    <col min="11499" max="11499" width="2.875" style="1" bestFit="1" customWidth="1"/>
    <col min="11500" max="11500" width="16.625" style="1" bestFit="1" customWidth="1"/>
    <col min="11501" max="11501" width="11.375" style="1" bestFit="1" customWidth="1"/>
    <col min="11502" max="11503" width="14.125" style="1" bestFit="1" customWidth="1"/>
    <col min="11504" max="11504" width="11.375" style="1" bestFit="1" customWidth="1"/>
    <col min="11505" max="11507" width="12.5" style="1" bestFit="1" customWidth="1"/>
    <col min="11508" max="11508" width="11" style="1" bestFit="1" customWidth="1"/>
    <col min="11509" max="11527" width="13" style="1" bestFit="1" customWidth="1"/>
    <col min="11528" max="11531" width="11" style="1" bestFit="1" customWidth="1"/>
    <col min="11532" max="11534" width="12.25" style="1" bestFit="1" customWidth="1"/>
    <col min="11535" max="11548" width="11" style="1" bestFit="1" customWidth="1"/>
    <col min="11549" max="11549" width="13.25" style="1" bestFit="1" customWidth="1"/>
    <col min="11550" max="11550" width="10" style="1" bestFit="1" customWidth="1"/>
    <col min="11551" max="11551" width="11" style="1" bestFit="1" customWidth="1"/>
    <col min="11552" max="11754" width="9" style="1"/>
    <col min="11755" max="11755" width="2.875" style="1" bestFit="1" customWidth="1"/>
    <col min="11756" max="11756" width="16.625" style="1" bestFit="1" customWidth="1"/>
    <col min="11757" max="11757" width="11.375" style="1" bestFit="1" customWidth="1"/>
    <col min="11758" max="11759" width="14.125" style="1" bestFit="1" customWidth="1"/>
    <col min="11760" max="11760" width="11.375" style="1" bestFit="1" customWidth="1"/>
    <col min="11761" max="11763" width="12.5" style="1" bestFit="1" customWidth="1"/>
    <col min="11764" max="11764" width="11" style="1" bestFit="1" customWidth="1"/>
    <col min="11765" max="11783" width="13" style="1" bestFit="1" customWidth="1"/>
    <col min="11784" max="11787" width="11" style="1" bestFit="1" customWidth="1"/>
    <col min="11788" max="11790" width="12.25" style="1" bestFit="1" customWidth="1"/>
    <col min="11791" max="11804" width="11" style="1" bestFit="1" customWidth="1"/>
    <col min="11805" max="11805" width="13.25" style="1" bestFit="1" customWidth="1"/>
    <col min="11806" max="11806" width="10" style="1" bestFit="1" customWidth="1"/>
    <col min="11807" max="11807" width="11" style="1" bestFit="1" customWidth="1"/>
    <col min="11808" max="12010" width="9" style="1"/>
    <col min="12011" max="12011" width="2.875" style="1" bestFit="1" customWidth="1"/>
    <col min="12012" max="12012" width="16.625" style="1" bestFit="1" customWidth="1"/>
    <col min="12013" max="12013" width="11.375" style="1" bestFit="1" customWidth="1"/>
    <col min="12014" max="12015" width="14.125" style="1" bestFit="1" customWidth="1"/>
    <col min="12016" max="12016" width="11.375" style="1" bestFit="1" customWidth="1"/>
    <col min="12017" max="12019" width="12.5" style="1" bestFit="1" customWidth="1"/>
    <col min="12020" max="12020" width="11" style="1" bestFit="1" customWidth="1"/>
    <col min="12021" max="12039" width="13" style="1" bestFit="1" customWidth="1"/>
    <col min="12040" max="12043" width="11" style="1" bestFit="1" customWidth="1"/>
    <col min="12044" max="12046" width="12.25" style="1" bestFit="1" customWidth="1"/>
    <col min="12047" max="12060" width="11" style="1" bestFit="1" customWidth="1"/>
    <col min="12061" max="12061" width="13.25" style="1" bestFit="1" customWidth="1"/>
    <col min="12062" max="12062" width="10" style="1" bestFit="1" customWidth="1"/>
    <col min="12063" max="12063" width="11" style="1" bestFit="1" customWidth="1"/>
    <col min="12064" max="12266" width="9" style="1"/>
    <col min="12267" max="12267" width="2.875" style="1" bestFit="1" customWidth="1"/>
    <col min="12268" max="12268" width="16.625" style="1" bestFit="1" customWidth="1"/>
    <col min="12269" max="12269" width="11.375" style="1" bestFit="1" customWidth="1"/>
    <col min="12270" max="12271" width="14.125" style="1" bestFit="1" customWidth="1"/>
    <col min="12272" max="12272" width="11.375" style="1" bestFit="1" customWidth="1"/>
    <col min="12273" max="12275" width="12.5" style="1" bestFit="1" customWidth="1"/>
    <col min="12276" max="12276" width="11" style="1" bestFit="1" customWidth="1"/>
    <col min="12277" max="12295" width="13" style="1" bestFit="1" customWidth="1"/>
    <col min="12296" max="12299" width="11" style="1" bestFit="1" customWidth="1"/>
    <col min="12300" max="12302" width="12.25" style="1" bestFit="1" customWidth="1"/>
    <col min="12303" max="12316" width="11" style="1" bestFit="1" customWidth="1"/>
    <col min="12317" max="12317" width="13.25" style="1" bestFit="1" customWidth="1"/>
    <col min="12318" max="12318" width="10" style="1" bestFit="1" customWidth="1"/>
    <col min="12319" max="12319" width="11" style="1" bestFit="1" customWidth="1"/>
    <col min="12320" max="12522" width="9" style="1"/>
    <col min="12523" max="12523" width="2.875" style="1" bestFit="1" customWidth="1"/>
    <col min="12524" max="12524" width="16.625" style="1" bestFit="1" customWidth="1"/>
    <col min="12525" max="12525" width="11.375" style="1" bestFit="1" customWidth="1"/>
    <col min="12526" max="12527" width="14.125" style="1" bestFit="1" customWidth="1"/>
    <col min="12528" max="12528" width="11.375" style="1" bestFit="1" customWidth="1"/>
    <col min="12529" max="12531" width="12.5" style="1" bestFit="1" customWidth="1"/>
    <col min="12532" max="12532" width="11" style="1" bestFit="1" customWidth="1"/>
    <col min="12533" max="12551" width="13" style="1" bestFit="1" customWidth="1"/>
    <col min="12552" max="12555" width="11" style="1" bestFit="1" customWidth="1"/>
    <col min="12556" max="12558" width="12.25" style="1" bestFit="1" customWidth="1"/>
    <col min="12559" max="12572" width="11" style="1" bestFit="1" customWidth="1"/>
    <col min="12573" max="12573" width="13.25" style="1" bestFit="1" customWidth="1"/>
    <col min="12574" max="12574" width="10" style="1" bestFit="1" customWidth="1"/>
    <col min="12575" max="12575" width="11" style="1" bestFit="1" customWidth="1"/>
    <col min="12576" max="12778" width="9" style="1"/>
    <col min="12779" max="12779" width="2.875" style="1" bestFit="1" customWidth="1"/>
    <col min="12780" max="12780" width="16.625" style="1" bestFit="1" customWidth="1"/>
    <col min="12781" max="12781" width="11.375" style="1" bestFit="1" customWidth="1"/>
    <col min="12782" max="12783" width="14.125" style="1" bestFit="1" customWidth="1"/>
    <col min="12784" max="12784" width="11.375" style="1" bestFit="1" customWidth="1"/>
    <col min="12785" max="12787" width="12.5" style="1" bestFit="1" customWidth="1"/>
    <col min="12788" max="12788" width="11" style="1" bestFit="1" customWidth="1"/>
    <col min="12789" max="12807" width="13" style="1" bestFit="1" customWidth="1"/>
    <col min="12808" max="12811" width="11" style="1" bestFit="1" customWidth="1"/>
    <col min="12812" max="12814" width="12.25" style="1" bestFit="1" customWidth="1"/>
    <col min="12815" max="12828" width="11" style="1" bestFit="1" customWidth="1"/>
    <col min="12829" max="12829" width="13.25" style="1" bestFit="1" customWidth="1"/>
    <col min="12830" max="12830" width="10" style="1" bestFit="1" customWidth="1"/>
    <col min="12831" max="12831" width="11" style="1" bestFit="1" customWidth="1"/>
    <col min="12832" max="13034" width="9" style="1"/>
    <col min="13035" max="13035" width="2.875" style="1" bestFit="1" customWidth="1"/>
    <col min="13036" max="13036" width="16.625" style="1" bestFit="1" customWidth="1"/>
    <col min="13037" max="13037" width="11.375" style="1" bestFit="1" customWidth="1"/>
    <col min="13038" max="13039" width="14.125" style="1" bestFit="1" customWidth="1"/>
    <col min="13040" max="13040" width="11.375" style="1" bestFit="1" customWidth="1"/>
    <col min="13041" max="13043" width="12.5" style="1" bestFit="1" customWidth="1"/>
    <col min="13044" max="13044" width="11" style="1" bestFit="1" customWidth="1"/>
    <col min="13045" max="13063" width="13" style="1" bestFit="1" customWidth="1"/>
    <col min="13064" max="13067" width="11" style="1" bestFit="1" customWidth="1"/>
    <col min="13068" max="13070" width="12.25" style="1" bestFit="1" customWidth="1"/>
    <col min="13071" max="13084" width="11" style="1" bestFit="1" customWidth="1"/>
    <col min="13085" max="13085" width="13.25" style="1" bestFit="1" customWidth="1"/>
    <col min="13086" max="13086" width="10" style="1" bestFit="1" customWidth="1"/>
    <col min="13087" max="13087" width="11" style="1" bestFit="1" customWidth="1"/>
    <col min="13088" max="13290" width="9" style="1"/>
    <col min="13291" max="13291" width="2.875" style="1" bestFit="1" customWidth="1"/>
    <col min="13292" max="13292" width="16.625" style="1" bestFit="1" customWidth="1"/>
    <col min="13293" max="13293" width="11.375" style="1" bestFit="1" customWidth="1"/>
    <col min="13294" max="13295" width="14.125" style="1" bestFit="1" customWidth="1"/>
    <col min="13296" max="13296" width="11.375" style="1" bestFit="1" customWidth="1"/>
    <col min="13297" max="13299" width="12.5" style="1" bestFit="1" customWidth="1"/>
    <col min="13300" max="13300" width="11" style="1" bestFit="1" customWidth="1"/>
    <col min="13301" max="13319" width="13" style="1" bestFit="1" customWidth="1"/>
    <col min="13320" max="13323" width="11" style="1" bestFit="1" customWidth="1"/>
    <col min="13324" max="13326" width="12.25" style="1" bestFit="1" customWidth="1"/>
    <col min="13327" max="13340" width="11" style="1" bestFit="1" customWidth="1"/>
    <col min="13341" max="13341" width="13.25" style="1" bestFit="1" customWidth="1"/>
    <col min="13342" max="13342" width="10" style="1" bestFit="1" customWidth="1"/>
    <col min="13343" max="13343" width="11" style="1" bestFit="1" customWidth="1"/>
    <col min="13344" max="13546" width="9" style="1"/>
    <col min="13547" max="13547" width="2.875" style="1" bestFit="1" customWidth="1"/>
    <col min="13548" max="13548" width="16.625" style="1" bestFit="1" customWidth="1"/>
    <col min="13549" max="13549" width="11.375" style="1" bestFit="1" customWidth="1"/>
    <col min="13550" max="13551" width="14.125" style="1" bestFit="1" customWidth="1"/>
    <col min="13552" max="13552" width="11.375" style="1" bestFit="1" customWidth="1"/>
    <col min="13553" max="13555" width="12.5" style="1" bestFit="1" customWidth="1"/>
    <col min="13556" max="13556" width="11" style="1" bestFit="1" customWidth="1"/>
    <col min="13557" max="13575" width="13" style="1" bestFit="1" customWidth="1"/>
    <col min="13576" max="13579" width="11" style="1" bestFit="1" customWidth="1"/>
    <col min="13580" max="13582" width="12.25" style="1" bestFit="1" customWidth="1"/>
    <col min="13583" max="13596" width="11" style="1" bestFit="1" customWidth="1"/>
    <col min="13597" max="13597" width="13.25" style="1" bestFit="1" customWidth="1"/>
    <col min="13598" max="13598" width="10" style="1" bestFit="1" customWidth="1"/>
    <col min="13599" max="13599" width="11" style="1" bestFit="1" customWidth="1"/>
    <col min="13600" max="13802" width="9" style="1"/>
    <col min="13803" max="13803" width="2.875" style="1" bestFit="1" customWidth="1"/>
    <col min="13804" max="13804" width="16.625" style="1" bestFit="1" customWidth="1"/>
    <col min="13805" max="13805" width="11.375" style="1" bestFit="1" customWidth="1"/>
    <col min="13806" max="13807" width="14.125" style="1" bestFit="1" customWidth="1"/>
    <col min="13808" max="13808" width="11.375" style="1" bestFit="1" customWidth="1"/>
    <col min="13809" max="13811" width="12.5" style="1" bestFit="1" customWidth="1"/>
    <col min="13812" max="13812" width="11" style="1" bestFit="1" customWidth="1"/>
    <col min="13813" max="13831" width="13" style="1" bestFit="1" customWidth="1"/>
    <col min="13832" max="13835" width="11" style="1" bestFit="1" customWidth="1"/>
    <col min="13836" max="13838" width="12.25" style="1" bestFit="1" customWidth="1"/>
    <col min="13839" max="13852" width="11" style="1" bestFit="1" customWidth="1"/>
    <col min="13853" max="13853" width="13.25" style="1" bestFit="1" customWidth="1"/>
    <col min="13854" max="13854" width="10" style="1" bestFit="1" customWidth="1"/>
    <col min="13855" max="13855" width="11" style="1" bestFit="1" customWidth="1"/>
    <col min="13856" max="14058" width="9" style="1"/>
    <col min="14059" max="14059" width="2.875" style="1" bestFit="1" customWidth="1"/>
    <col min="14060" max="14060" width="16.625" style="1" bestFit="1" customWidth="1"/>
    <col min="14061" max="14061" width="11.375" style="1" bestFit="1" customWidth="1"/>
    <col min="14062" max="14063" width="14.125" style="1" bestFit="1" customWidth="1"/>
    <col min="14064" max="14064" width="11.375" style="1" bestFit="1" customWidth="1"/>
    <col min="14065" max="14067" width="12.5" style="1" bestFit="1" customWidth="1"/>
    <col min="14068" max="14068" width="11" style="1" bestFit="1" customWidth="1"/>
    <col min="14069" max="14087" width="13" style="1" bestFit="1" customWidth="1"/>
    <col min="14088" max="14091" width="11" style="1" bestFit="1" customWidth="1"/>
    <col min="14092" max="14094" width="12.25" style="1" bestFit="1" customWidth="1"/>
    <col min="14095" max="14108" width="11" style="1" bestFit="1" customWidth="1"/>
    <col min="14109" max="14109" width="13.25" style="1" bestFit="1" customWidth="1"/>
    <col min="14110" max="14110" width="10" style="1" bestFit="1" customWidth="1"/>
    <col min="14111" max="14111" width="11" style="1" bestFit="1" customWidth="1"/>
    <col min="14112" max="14314" width="9" style="1"/>
    <col min="14315" max="14315" width="2.875" style="1" bestFit="1" customWidth="1"/>
    <col min="14316" max="14316" width="16.625" style="1" bestFit="1" customWidth="1"/>
    <col min="14317" max="14317" width="11.375" style="1" bestFit="1" customWidth="1"/>
    <col min="14318" max="14319" width="14.125" style="1" bestFit="1" customWidth="1"/>
    <col min="14320" max="14320" width="11.375" style="1" bestFit="1" customWidth="1"/>
    <col min="14321" max="14323" width="12.5" style="1" bestFit="1" customWidth="1"/>
    <col min="14324" max="14324" width="11" style="1" bestFit="1" customWidth="1"/>
    <col min="14325" max="14343" width="13" style="1" bestFit="1" customWidth="1"/>
    <col min="14344" max="14347" width="11" style="1" bestFit="1" customWidth="1"/>
    <col min="14348" max="14350" width="12.25" style="1" bestFit="1" customWidth="1"/>
    <col min="14351" max="14364" width="11" style="1" bestFit="1" customWidth="1"/>
    <col min="14365" max="14365" width="13.25" style="1" bestFit="1" customWidth="1"/>
    <col min="14366" max="14366" width="10" style="1" bestFit="1" customWidth="1"/>
    <col min="14367" max="14367" width="11" style="1" bestFit="1" customWidth="1"/>
    <col min="14368" max="14570" width="9" style="1"/>
    <col min="14571" max="14571" width="2.875" style="1" bestFit="1" customWidth="1"/>
    <col min="14572" max="14572" width="16.625" style="1" bestFit="1" customWidth="1"/>
    <col min="14573" max="14573" width="11.375" style="1" bestFit="1" customWidth="1"/>
    <col min="14574" max="14575" width="14.125" style="1" bestFit="1" customWidth="1"/>
    <col min="14576" max="14576" width="11.375" style="1" bestFit="1" customWidth="1"/>
    <col min="14577" max="14579" width="12.5" style="1" bestFit="1" customWidth="1"/>
    <col min="14580" max="14580" width="11" style="1" bestFit="1" customWidth="1"/>
    <col min="14581" max="14599" width="13" style="1" bestFit="1" customWidth="1"/>
    <col min="14600" max="14603" width="11" style="1" bestFit="1" customWidth="1"/>
    <col min="14604" max="14606" width="12.25" style="1" bestFit="1" customWidth="1"/>
    <col min="14607" max="14620" width="11" style="1" bestFit="1" customWidth="1"/>
    <col min="14621" max="14621" width="13.25" style="1" bestFit="1" customWidth="1"/>
    <col min="14622" max="14622" width="10" style="1" bestFit="1" customWidth="1"/>
    <col min="14623" max="14623" width="11" style="1" bestFit="1" customWidth="1"/>
    <col min="14624" max="14826" width="9" style="1"/>
    <col min="14827" max="14827" width="2.875" style="1" bestFit="1" customWidth="1"/>
    <col min="14828" max="14828" width="16.625" style="1" bestFit="1" customWidth="1"/>
    <col min="14829" max="14829" width="11.375" style="1" bestFit="1" customWidth="1"/>
    <col min="14830" max="14831" width="14.125" style="1" bestFit="1" customWidth="1"/>
    <col min="14832" max="14832" width="11.375" style="1" bestFit="1" customWidth="1"/>
    <col min="14833" max="14835" width="12.5" style="1" bestFit="1" customWidth="1"/>
    <col min="14836" max="14836" width="11" style="1" bestFit="1" customWidth="1"/>
    <col min="14837" max="14855" width="13" style="1" bestFit="1" customWidth="1"/>
    <col min="14856" max="14859" width="11" style="1" bestFit="1" customWidth="1"/>
    <col min="14860" max="14862" width="12.25" style="1" bestFit="1" customWidth="1"/>
    <col min="14863" max="14876" width="11" style="1" bestFit="1" customWidth="1"/>
    <col min="14877" max="14877" width="13.25" style="1" bestFit="1" customWidth="1"/>
    <col min="14878" max="14878" width="10" style="1" bestFit="1" customWidth="1"/>
    <col min="14879" max="14879" width="11" style="1" bestFit="1" customWidth="1"/>
    <col min="14880" max="15082" width="9" style="1"/>
    <col min="15083" max="15083" width="2.875" style="1" bestFit="1" customWidth="1"/>
    <col min="15084" max="15084" width="16.625" style="1" bestFit="1" customWidth="1"/>
    <col min="15085" max="15085" width="11.375" style="1" bestFit="1" customWidth="1"/>
    <col min="15086" max="15087" width="14.125" style="1" bestFit="1" customWidth="1"/>
    <col min="15088" max="15088" width="11.375" style="1" bestFit="1" customWidth="1"/>
    <col min="15089" max="15091" width="12.5" style="1" bestFit="1" customWidth="1"/>
    <col min="15092" max="15092" width="11" style="1" bestFit="1" customWidth="1"/>
    <col min="15093" max="15111" width="13" style="1" bestFit="1" customWidth="1"/>
    <col min="15112" max="15115" width="11" style="1" bestFit="1" customWidth="1"/>
    <col min="15116" max="15118" width="12.25" style="1" bestFit="1" customWidth="1"/>
    <col min="15119" max="15132" width="11" style="1" bestFit="1" customWidth="1"/>
    <col min="15133" max="15133" width="13.25" style="1" bestFit="1" customWidth="1"/>
    <col min="15134" max="15134" width="10" style="1" bestFit="1" customWidth="1"/>
    <col min="15135" max="15135" width="11" style="1" bestFit="1" customWidth="1"/>
    <col min="15136" max="15338" width="9" style="1"/>
    <col min="15339" max="15339" width="2.875" style="1" bestFit="1" customWidth="1"/>
    <col min="15340" max="15340" width="16.625" style="1" bestFit="1" customWidth="1"/>
    <col min="15341" max="15341" width="11.375" style="1" bestFit="1" customWidth="1"/>
    <col min="15342" max="15343" width="14.125" style="1" bestFit="1" customWidth="1"/>
    <col min="15344" max="15344" width="11.375" style="1" bestFit="1" customWidth="1"/>
    <col min="15345" max="15347" width="12.5" style="1" bestFit="1" customWidth="1"/>
    <col min="15348" max="15348" width="11" style="1" bestFit="1" customWidth="1"/>
    <col min="15349" max="15367" width="13" style="1" bestFit="1" customWidth="1"/>
    <col min="15368" max="15371" width="11" style="1" bestFit="1" customWidth="1"/>
    <col min="15372" max="15374" width="12.25" style="1" bestFit="1" customWidth="1"/>
    <col min="15375" max="15388" width="11" style="1" bestFit="1" customWidth="1"/>
    <col min="15389" max="15389" width="13.25" style="1" bestFit="1" customWidth="1"/>
    <col min="15390" max="15390" width="10" style="1" bestFit="1" customWidth="1"/>
    <col min="15391" max="15391" width="11" style="1" bestFit="1" customWidth="1"/>
    <col min="15392" max="15594" width="9" style="1"/>
    <col min="15595" max="15595" width="2.875" style="1" bestFit="1" customWidth="1"/>
    <col min="15596" max="15596" width="16.625" style="1" bestFit="1" customWidth="1"/>
    <col min="15597" max="15597" width="11.375" style="1" bestFit="1" customWidth="1"/>
    <col min="15598" max="15599" width="14.125" style="1" bestFit="1" customWidth="1"/>
    <col min="15600" max="15600" width="11.375" style="1" bestFit="1" customWidth="1"/>
    <col min="15601" max="15603" width="12.5" style="1" bestFit="1" customWidth="1"/>
    <col min="15604" max="15604" width="11" style="1" bestFit="1" customWidth="1"/>
    <col min="15605" max="15623" width="13" style="1" bestFit="1" customWidth="1"/>
    <col min="15624" max="15627" width="11" style="1" bestFit="1" customWidth="1"/>
    <col min="15628" max="15630" width="12.25" style="1" bestFit="1" customWidth="1"/>
    <col min="15631" max="15644" width="11" style="1" bestFit="1" customWidth="1"/>
    <col min="15645" max="15645" width="13.25" style="1" bestFit="1" customWidth="1"/>
    <col min="15646" max="15646" width="10" style="1" bestFit="1" customWidth="1"/>
    <col min="15647" max="15647" width="11" style="1" bestFit="1" customWidth="1"/>
    <col min="15648" max="15850" width="9" style="1"/>
    <col min="15851" max="15851" width="2.875" style="1" bestFit="1" customWidth="1"/>
    <col min="15852" max="15852" width="16.625" style="1" bestFit="1" customWidth="1"/>
    <col min="15853" max="15853" width="11.375" style="1" bestFit="1" customWidth="1"/>
    <col min="15854" max="15855" width="14.125" style="1" bestFit="1" customWidth="1"/>
    <col min="15856" max="15856" width="11.375" style="1" bestFit="1" customWidth="1"/>
    <col min="15857" max="15859" width="12.5" style="1" bestFit="1" customWidth="1"/>
    <col min="15860" max="15860" width="11" style="1" bestFit="1" customWidth="1"/>
    <col min="15861" max="15879" width="13" style="1" bestFit="1" customWidth="1"/>
    <col min="15880" max="15883" width="11" style="1" bestFit="1" customWidth="1"/>
    <col min="15884" max="15886" width="12.25" style="1" bestFit="1" customWidth="1"/>
    <col min="15887" max="15900" width="11" style="1" bestFit="1" customWidth="1"/>
    <col min="15901" max="15901" width="13.25" style="1" bestFit="1" customWidth="1"/>
    <col min="15902" max="15902" width="10" style="1" bestFit="1" customWidth="1"/>
    <col min="15903" max="15903" width="11" style="1" bestFit="1" customWidth="1"/>
    <col min="15904" max="16106" width="9" style="1"/>
    <col min="16107" max="16107" width="2.875" style="1" bestFit="1" customWidth="1"/>
    <col min="16108" max="16108" width="16.625" style="1" bestFit="1" customWidth="1"/>
    <col min="16109" max="16109" width="11.375" style="1" bestFit="1" customWidth="1"/>
    <col min="16110" max="16111" width="14.125" style="1" bestFit="1" customWidth="1"/>
    <col min="16112" max="16112" width="11.375" style="1" bestFit="1" customWidth="1"/>
    <col min="16113" max="16115" width="12.5" style="1" bestFit="1" customWidth="1"/>
    <col min="16116" max="16116" width="11" style="1" bestFit="1" customWidth="1"/>
    <col min="16117" max="16135" width="13" style="1" bestFit="1" customWidth="1"/>
    <col min="16136" max="16139" width="11" style="1" bestFit="1" customWidth="1"/>
    <col min="16140" max="16142" width="12.25" style="1" bestFit="1" customWidth="1"/>
    <col min="16143" max="16156" width="11" style="1" bestFit="1" customWidth="1"/>
    <col min="16157" max="16157" width="13.25" style="1" bestFit="1" customWidth="1"/>
    <col min="16158" max="16158" width="10" style="1" bestFit="1" customWidth="1"/>
    <col min="16159" max="16159" width="11" style="1" bestFit="1" customWidth="1"/>
    <col min="16160" max="16384" width="9" style="1"/>
  </cols>
  <sheetData>
    <row r="2" spans="1:31" ht="30.75" customHeight="1" x14ac:dyDescent="0.15"/>
    <row r="3" spans="1:31" ht="17.25" x14ac:dyDescent="0.2">
      <c r="A3" s="56">
        <v>45566</v>
      </c>
      <c r="B3" s="56"/>
      <c r="C3" s="58" t="s">
        <v>233</v>
      </c>
    </row>
    <row r="4" spans="1:31" s="5" customFormat="1" x14ac:dyDescent="0.15">
      <c r="A4" s="49" t="s">
        <v>0</v>
      </c>
      <c r="B4" s="49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163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194</v>
      </c>
      <c r="V4" s="2" t="s">
        <v>26</v>
      </c>
      <c r="W4" s="2" t="s">
        <v>27</v>
      </c>
      <c r="X4" s="2" t="s">
        <v>28</v>
      </c>
      <c r="Y4" s="2" t="s">
        <v>29</v>
      </c>
      <c r="Z4" s="2" t="s">
        <v>30</v>
      </c>
      <c r="AA4" s="2" t="s">
        <v>31</v>
      </c>
      <c r="AB4" s="2" t="s">
        <v>32</v>
      </c>
      <c r="AC4" s="3" t="s">
        <v>41</v>
      </c>
      <c r="AD4" s="3" t="s">
        <v>42</v>
      </c>
      <c r="AE4" s="4" t="s">
        <v>43</v>
      </c>
    </row>
    <row r="5" spans="1:31" s="5" customFormat="1" hidden="1" x14ac:dyDescent="0.15">
      <c r="A5" s="53" t="s">
        <v>44</v>
      </c>
      <c r="B5" s="57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6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3"/>
      <c r="AD5" s="3"/>
      <c r="AE5" s="4"/>
    </row>
    <row r="6" spans="1:31" s="5" customFormat="1" hidden="1" x14ac:dyDescent="0.15">
      <c r="A6" s="53" t="s">
        <v>45</v>
      </c>
      <c r="B6" s="57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48</v>
      </c>
      <c r="W6" s="2" t="s">
        <v>48</v>
      </c>
      <c r="X6" s="2" t="s">
        <v>48</v>
      </c>
      <c r="Y6" s="2" t="s">
        <v>48</v>
      </c>
      <c r="Z6" s="2" t="s">
        <v>48</v>
      </c>
      <c r="AA6" s="2" t="s">
        <v>48</v>
      </c>
      <c r="AB6" s="2" t="s">
        <v>48</v>
      </c>
      <c r="AC6" s="3"/>
      <c r="AD6" s="3"/>
      <c r="AE6" s="4"/>
    </row>
    <row r="7" spans="1:31" s="5" customFormat="1" x14ac:dyDescent="0.15">
      <c r="A7" s="55" t="s">
        <v>51</v>
      </c>
      <c r="B7" s="55"/>
      <c r="C7" s="42" t="s">
        <v>160</v>
      </c>
      <c r="D7" s="42" t="s">
        <v>159</v>
      </c>
      <c r="E7" s="42" t="s">
        <v>162</v>
      </c>
      <c r="F7" s="42" t="s">
        <v>169</v>
      </c>
      <c r="G7" s="42" t="s">
        <v>167</v>
      </c>
      <c r="H7" s="42" t="s">
        <v>161</v>
      </c>
      <c r="I7" s="42" t="s">
        <v>164</v>
      </c>
      <c r="J7" s="42" t="s">
        <v>165</v>
      </c>
      <c r="K7" s="42" t="s">
        <v>170</v>
      </c>
      <c r="L7" s="42" t="s">
        <v>166</v>
      </c>
      <c r="M7" s="42" t="s">
        <v>171</v>
      </c>
      <c r="N7" s="42" t="s">
        <v>173</v>
      </c>
      <c r="O7" s="42" t="s">
        <v>174</v>
      </c>
      <c r="P7" s="42" t="s">
        <v>172</v>
      </c>
      <c r="Q7" s="42" t="s">
        <v>175</v>
      </c>
      <c r="R7" s="42" t="s">
        <v>178</v>
      </c>
      <c r="S7" s="42"/>
      <c r="T7" s="42"/>
      <c r="U7" s="42"/>
      <c r="V7" s="42" t="s">
        <v>157</v>
      </c>
      <c r="W7" s="42" t="s">
        <v>158</v>
      </c>
      <c r="X7" s="42" t="s">
        <v>156</v>
      </c>
      <c r="Y7" s="42" t="s">
        <v>168</v>
      </c>
      <c r="Z7" s="42" t="s">
        <v>179</v>
      </c>
      <c r="AA7" s="42" t="s">
        <v>176</v>
      </c>
      <c r="AB7" s="42" t="s">
        <v>177</v>
      </c>
      <c r="AC7" s="6"/>
      <c r="AD7" s="6"/>
      <c r="AE7" s="7"/>
    </row>
    <row r="8" spans="1:31" s="5" customFormat="1" x14ac:dyDescent="0.15">
      <c r="A8" s="55" t="s">
        <v>52</v>
      </c>
      <c r="B8" s="55"/>
      <c r="C8" s="42" t="s">
        <v>202</v>
      </c>
      <c r="D8" s="42" t="s">
        <v>203</v>
      </c>
      <c r="E8" s="42" t="s">
        <v>204</v>
      </c>
      <c r="F8" s="42" t="s">
        <v>205</v>
      </c>
      <c r="G8" s="42" t="s">
        <v>196</v>
      </c>
      <c r="H8" s="42" t="s">
        <v>206</v>
      </c>
      <c r="I8" s="42" t="s">
        <v>207</v>
      </c>
      <c r="J8" s="42" t="s">
        <v>208</v>
      </c>
      <c r="K8" s="42" t="s">
        <v>209</v>
      </c>
      <c r="L8" s="42" t="s">
        <v>210</v>
      </c>
      <c r="M8" s="42" t="s">
        <v>211</v>
      </c>
      <c r="N8" s="42" t="s">
        <v>212</v>
      </c>
      <c r="O8" s="42" t="s">
        <v>213</v>
      </c>
      <c r="P8" s="42" t="s">
        <v>214</v>
      </c>
      <c r="Q8" s="42" t="s">
        <v>215</v>
      </c>
      <c r="R8" s="42" t="s">
        <v>216</v>
      </c>
      <c r="S8" s="42"/>
      <c r="T8" s="42"/>
      <c r="U8" s="42" t="s">
        <v>217</v>
      </c>
      <c r="V8" s="42" t="s">
        <v>218</v>
      </c>
      <c r="W8" s="42" t="s">
        <v>219</v>
      </c>
      <c r="X8" s="42" t="s">
        <v>220</v>
      </c>
      <c r="Y8" s="42" t="s">
        <v>221</v>
      </c>
      <c r="Z8" s="42" t="s">
        <v>222</v>
      </c>
      <c r="AA8" s="42" t="s">
        <v>223</v>
      </c>
      <c r="AB8" s="42" t="s">
        <v>224</v>
      </c>
      <c r="AC8" s="6"/>
      <c r="AD8" s="6"/>
      <c r="AE8" s="7"/>
    </row>
    <row r="9" spans="1:31" x14ac:dyDescent="0.15">
      <c r="A9" s="51" t="s">
        <v>53</v>
      </c>
      <c r="B9" s="52"/>
      <c r="C9" s="44">
        <v>8</v>
      </c>
      <c r="D9" s="44">
        <v>8</v>
      </c>
      <c r="E9" s="44">
        <v>10</v>
      </c>
      <c r="F9" s="44">
        <v>10</v>
      </c>
      <c r="G9" s="44">
        <v>10</v>
      </c>
      <c r="H9" s="44">
        <v>10</v>
      </c>
      <c r="I9" s="44">
        <v>14</v>
      </c>
      <c r="J9" s="44">
        <v>10</v>
      </c>
      <c r="K9" s="44">
        <v>10</v>
      </c>
      <c r="L9" s="44">
        <v>10</v>
      </c>
      <c r="M9" s="44">
        <v>10</v>
      </c>
      <c r="N9" s="44">
        <v>10</v>
      </c>
      <c r="O9" s="44">
        <v>10</v>
      </c>
      <c r="P9" s="44">
        <v>10</v>
      </c>
      <c r="Q9" s="44">
        <v>10</v>
      </c>
      <c r="R9" s="44">
        <v>10</v>
      </c>
      <c r="S9" s="44"/>
      <c r="T9" s="44"/>
      <c r="U9" s="44">
        <v>14</v>
      </c>
      <c r="V9" s="44">
        <v>8</v>
      </c>
      <c r="W9" s="44">
        <v>8</v>
      </c>
      <c r="X9" s="44">
        <v>8</v>
      </c>
      <c r="Y9" s="44">
        <v>10</v>
      </c>
      <c r="Z9" s="44">
        <v>10</v>
      </c>
      <c r="AA9" s="44">
        <v>10</v>
      </c>
      <c r="AB9" s="44">
        <v>10</v>
      </c>
      <c r="AC9" s="9">
        <f>SUM(C9:AB9)</f>
        <v>238</v>
      </c>
      <c r="AD9" s="9"/>
      <c r="AE9" s="10"/>
    </row>
    <row r="10" spans="1:31" x14ac:dyDescent="0.15">
      <c r="A10" s="49" t="s">
        <v>54</v>
      </c>
      <c r="B10" s="49"/>
      <c r="C10" s="47" t="s">
        <v>57</v>
      </c>
      <c r="D10" s="47" t="s">
        <v>58</v>
      </c>
      <c r="E10" s="47" t="s">
        <v>59</v>
      </c>
      <c r="F10" s="47" t="s">
        <v>59</v>
      </c>
      <c r="G10" s="47" t="s">
        <v>59</v>
      </c>
      <c r="H10" s="47" t="s">
        <v>59</v>
      </c>
      <c r="I10" s="47" t="s">
        <v>59</v>
      </c>
      <c r="J10" s="47" t="s">
        <v>59</v>
      </c>
      <c r="K10" s="47" t="s">
        <v>59</v>
      </c>
      <c r="L10" s="47" t="s">
        <v>59</v>
      </c>
      <c r="M10" s="47" t="s">
        <v>60</v>
      </c>
      <c r="N10" s="47" t="s">
        <v>60</v>
      </c>
      <c r="O10" s="47" t="s">
        <v>60</v>
      </c>
      <c r="P10" s="47" t="s">
        <v>60</v>
      </c>
      <c r="Q10" s="47" t="s">
        <v>61</v>
      </c>
      <c r="R10" s="47" t="s">
        <v>61</v>
      </c>
      <c r="S10" s="47" t="s">
        <v>62</v>
      </c>
      <c r="T10" s="47" t="s">
        <v>63</v>
      </c>
      <c r="U10" s="47"/>
      <c r="V10" s="47" t="s">
        <v>57</v>
      </c>
      <c r="W10" s="47" t="s">
        <v>57</v>
      </c>
      <c r="X10" s="47" t="s">
        <v>58</v>
      </c>
      <c r="Y10" s="47" t="s">
        <v>59</v>
      </c>
      <c r="Z10" s="47" t="s">
        <v>61</v>
      </c>
      <c r="AA10" s="47" t="s">
        <v>61</v>
      </c>
      <c r="AB10" s="47" t="s">
        <v>61</v>
      </c>
      <c r="AC10" s="12"/>
      <c r="AD10" s="12"/>
      <c r="AE10" s="13"/>
    </row>
    <row r="11" spans="1:31" x14ac:dyDescent="0.15">
      <c r="A11" s="49" t="s">
        <v>65</v>
      </c>
      <c r="B11" s="49"/>
      <c r="C11" s="14">
        <v>602</v>
      </c>
      <c r="D11" s="14">
        <v>3441</v>
      </c>
      <c r="E11" s="14">
        <v>5669.9000000000005</v>
      </c>
      <c r="F11" s="14">
        <v>5108.5</v>
      </c>
      <c r="G11" s="14">
        <v>5990.7</v>
      </c>
      <c r="H11" s="14">
        <v>5948.7</v>
      </c>
      <c r="I11" s="14">
        <v>5283.5</v>
      </c>
      <c r="J11" s="14">
        <v>5117.8</v>
      </c>
      <c r="K11" s="14">
        <v>5684</v>
      </c>
      <c r="L11" s="14">
        <v>5186.5</v>
      </c>
      <c r="M11" s="14">
        <v>7608.2</v>
      </c>
      <c r="N11" s="14">
        <v>5700.6</v>
      </c>
      <c r="O11" s="14">
        <v>3159.2</v>
      </c>
      <c r="P11" s="14">
        <v>7363.3</v>
      </c>
      <c r="Q11" s="14">
        <v>5722.5</v>
      </c>
      <c r="R11" s="14">
        <v>5870.8</v>
      </c>
      <c r="S11" s="14">
        <v>0</v>
      </c>
      <c r="T11" s="14">
        <v>0</v>
      </c>
      <c r="U11" s="14">
        <v>0</v>
      </c>
      <c r="V11" s="14">
        <v>7832</v>
      </c>
      <c r="W11" s="14">
        <v>7224</v>
      </c>
      <c r="X11" s="14">
        <v>7690</v>
      </c>
      <c r="Y11" s="14">
        <v>9492</v>
      </c>
      <c r="Z11" s="14">
        <v>7077</v>
      </c>
      <c r="AA11" s="14">
        <v>4675</v>
      </c>
      <c r="AB11" s="14">
        <v>4934</v>
      </c>
      <c r="AC11" s="16">
        <f>SUM(C11:AB11)</f>
        <v>132381.20000000001</v>
      </c>
      <c r="AD11" s="16">
        <f>AVERAGE(C11:AB11)</f>
        <v>5091.584615384616</v>
      </c>
      <c r="AE11" s="13"/>
    </row>
    <row r="12" spans="1:31" x14ac:dyDescent="0.15">
      <c r="A12" s="53" t="s">
        <v>66</v>
      </c>
      <c r="B12" s="54"/>
      <c r="C12" s="18">
        <v>0.81319444444444444</v>
      </c>
      <c r="D12" s="18">
        <v>7.8465277777777782</v>
      </c>
      <c r="E12" s="18">
        <v>10.520833333333334</v>
      </c>
      <c r="F12" s="18">
        <v>10.552083333333334</v>
      </c>
      <c r="G12" s="18">
        <v>10.316666666666666</v>
      </c>
      <c r="H12" s="18">
        <v>11.0375</v>
      </c>
      <c r="I12" s="18">
        <v>10.156944444444445</v>
      </c>
      <c r="J12" s="18">
        <v>9.7569444444444446</v>
      </c>
      <c r="K12" s="18">
        <v>10.784722222222221</v>
      </c>
      <c r="L12" s="18">
        <v>10.138888888888889</v>
      </c>
      <c r="M12" s="18">
        <v>11.42986111111111</v>
      </c>
      <c r="N12" s="18">
        <v>7.9152777777777779</v>
      </c>
      <c r="O12" s="18">
        <v>5.0444444444444443</v>
      </c>
      <c r="P12" s="18">
        <v>9.7409722222222221</v>
      </c>
      <c r="Q12" s="18">
        <v>7.3368055555555554</v>
      </c>
      <c r="R12" s="18">
        <v>8.2854166666666664</v>
      </c>
      <c r="S12" s="18">
        <v>0</v>
      </c>
      <c r="T12" s="18">
        <v>0</v>
      </c>
      <c r="U12" s="18">
        <v>0</v>
      </c>
      <c r="V12" s="18">
        <v>10.1625</v>
      </c>
      <c r="W12" s="18">
        <v>8.7951388888888893</v>
      </c>
      <c r="X12" s="18">
        <v>10.321527777777778</v>
      </c>
      <c r="Y12" s="18">
        <v>12.856944444444444</v>
      </c>
      <c r="Z12" s="18">
        <v>10.466666666666667</v>
      </c>
      <c r="AA12" s="18">
        <v>7.8743055555555559</v>
      </c>
      <c r="AB12" s="18">
        <v>9.0374999999999996</v>
      </c>
      <c r="AC12" s="20">
        <f>SUM(C12:AB12)</f>
        <v>211.19166666666666</v>
      </c>
      <c r="AD12" s="20">
        <f>AVERAGE(C12:AB12)</f>
        <v>8.1227564102564109</v>
      </c>
      <c r="AE12" s="13"/>
    </row>
    <row r="13" spans="1:31" x14ac:dyDescent="0.15">
      <c r="A13" s="49" t="s">
        <v>67</v>
      </c>
      <c r="B13" s="49"/>
      <c r="C13" s="14">
        <v>135009</v>
      </c>
      <c r="D13" s="14">
        <v>927442</v>
      </c>
      <c r="E13" s="14">
        <v>1233890</v>
      </c>
      <c r="F13" s="14">
        <v>1218870</v>
      </c>
      <c r="G13" s="14">
        <v>1210140</v>
      </c>
      <c r="H13" s="14">
        <v>1184020</v>
      </c>
      <c r="I13" s="14">
        <v>1530860</v>
      </c>
      <c r="J13" s="14">
        <v>1157470</v>
      </c>
      <c r="K13" s="14">
        <v>1223590</v>
      </c>
      <c r="L13" s="14">
        <v>1225630</v>
      </c>
      <c r="M13" s="14">
        <v>1292280</v>
      </c>
      <c r="N13" s="14">
        <v>872780</v>
      </c>
      <c r="O13" s="14">
        <v>591580</v>
      </c>
      <c r="P13" s="14">
        <v>1260330</v>
      </c>
      <c r="Q13" s="14">
        <v>1370736</v>
      </c>
      <c r="R13" s="14">
        <v>1269254</v>
      </c>
      <c r="S13" s="14">
        <v>11000</v>
      </c>
      <c r="T13" s="14">
        <v>612966</v>
      </c>
      <c r="U13" s="14">
        <v>0</v>
      </c>
      <c r="V13" s="14">
        <v>1818482</v>
      </c>
      <c r="W13" s="14">
        <v>1785398</v>
      </c>
      <c r="X13" s="14">
        <v>1249228</v>
      </c>
      <c r="Y13" s="14">
        <v>1237040</v>
      </c>
      <c r="Z13" s="14">
        <v>1595375</v>
      </c>
      <c r="AA13" s="14">
        <v>1162386</v>
      </c>
      <c r="AB13" s="14">
        <v>1066704</v>
      </c>
      <c r="AC13" s="16">
        <f>SUM(C13:AB13)</f>
        <v>28242460</v>
      </c>
      <c r="AD13" s="16">
        <f>AVERAGE(C13:AB13)</f>
        <v>1086248.4615384615</v>
      </c>
      <c r="AE13" s="13">
        <f>AC13/AC13</f>
        <v>1</v>
      </c>
    </row>
    <row r="14" spans="1:31" x14ac:dyDescent="0.15">
      <c r="A14" s="53" t="s">
        <v>68</v>
      </c>
      <c r="B14" s="54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20600</v>
      </c>
      <c r="I14" s="14">
        <v>0</v>
      </c>
      <c r="J14" s="14">
        <v>56390</v>
      </c>
      <c r="K14" s="14">
        <v>0</v>
      </c>
      <c r="L14" s="14">
        <v>0</v>
      </c>
      <c r="M14" s="14">
        <v>0</v>
      </c>
      <c r="N14" s="14">
        <v>0</v>
      </c>
      <c r="O14" s="14">
        <v>617660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4540</v>
      </c>
      <c r="Z14" s="14">
        <v>0</v>
      </c>
      <c r="AA14" s="14">
        <v>0</v>
      </c>
      <c r="AB14" s="14">
        <v>0</v>
      </c>
      <c r="AC14" s="16">
        <f>SUM(C14:AB14)</f>
        <v>699190</v>
      </c>
      <c r="AD14" s="16">
        <f>AVERAGE(C14:AB14)</f>
        <v>26891.923076923078</v>
      </c>
      <c r="AE14" s="13"/>
    </row>
    <row r="15" spans="1:31" x14ac:dyDescent="0.15">
      <c r="A15" s="49" t="s">
        <v>69</v>
      </c>
      <c r="B15" s="49"/>
      <c r="C15" s="14">
        <f t="shared" ref="C15:AB15" si="0">SUM(C13/C11)</f>
        <v>224.26744186046511</v>
      </c>
      <c r="D15" s="14">
        <f t="shared" si="0"/>
        <v>269.52688172043008</v>
      </c>
      <c r="E15" s="14">
        <f t="shared" si="0"/>
        <v>217.62112206564487</v>
      </c>
      <c r="F15" s="14">
        <f t="shared" si="0"/>
        <v>238.59645688558285</v>
      </c>
      <c r="G15" s="14">
        <f t="shared" si="0"/>
        <v>202.00310481245933</v>
      </c>
      <c r="H15" s="14">
        <f t="shared" si="0"/>
        <v>199.03844537461967</v>
      </c>
      <c r="I15" s="14">
        <f t="shared" si="0"/>
        <v>289.74354121321096</v>
      </c>
      <c r="J15" s="14">
        <f t="shared" si="0"/>
        <v>226.16553988041736</v>
      </c>
      <c r="K15" s="14">
        <f t="shared" si="0"/>
        <v>215.26917663617172</v>
      </c>
      <c r="L15" s="14">
        <f t="shared" si="0"/>
        <v>236.31157813554421</v>
      </c>
      <c r="M15" s="14">
        <f t="shared" si="0"/>
        <v>169.85357903314843</v>
      </c>
      <c r="N15" s="14">
        <f t="shared" si="0"/>
        <v>153.10318212118023</v>
      </c>
      <c r="O15" s="14">
        <f t="shared" si="0"/>
        <v>187.25626740947075</v>
      </c>
      <c r="P15" s="14">
        <f t="shared" si="0"/>
        <v>171.16374451672485</v>
      </c>
      <c r="Q15" s="14">
        <f t="shared" si="0"/>
        <v>239.53446920052426</v>
      </c>
      <c r="R15" s="14">
        <f t="shared" si="0"/>
        <v>216.19779246440007</v>
      </c>
      <c r="S15" s="14" t="e">
        <f t="shared" si="0"/>
        <v>#DIV/0!</v>
      </c>
      <c r="T15" s="14" t="e">
        <f t="shared" si="0"/>
        <v>#DIV/0!</v>
      </c>
      <c r="U15" s="14" t="e">
        <f t="shared" si="0"/>
        <v>#DIV/0!</v>
      </c>
      <c r="V15" s="14">
        <f t="shared" si="0"/>
        <v>232.18615934627169</v>
      </c>
      <c r="W15" s="14">
        <f t="shared" si="0"/>
        <v>247.14811738648947</v>
      </c>
      <c r="X15" s="14">
        <f t="shared" si="0"/>
        <v>162.44837451235369</v>
      </c>
      <c r="Y15" s="14">
        <f t="shared" si="0"/>
        <v>130.32448377581122</v>
      </c>
      <c r="Z15" s="14">
        <f t="shared" si="0"/>
        <v>225.43097357637416</v>
      </c>
      <c r="AA15" s="14">
        <f t="shared" si="0"/>
        <v>248.63871657754009</v>
      </c>
      <c r="AB15" s="14">
        <f t="shared" si="0"/>
        <v>216.19456830158086</v>
      </c>
      <c r="AC15" s="12">
        <f>SUM(AC13/AC11)</f>
        <v>213.34192468416964</v>
      </c>
      <c r="AD15" s="16" t="e">
        <f>AVERAGE(C15:AB15)</f>
        <v>#DIV/0!</v>
      </c>
      <c r="AE15" s="13"/>
    </row>
    <row r="16" spans="1:31" x14ac:dyDescent="0.15">
      <c r="A16" s="53" t="s">
        <v>70</v>
      </c>
      <c r="B16" s="54"/>
      <c r="C16" s="21">
        <f t="shared" ref="C16:AC16" si="1">C13/(C12*24)</f>
        <v>6917.6259607173361</v>
      </c>
      <c r="D16" s="21">
        <f t="shared" si="1"/>
        <v>4924.9066289052125</v>
      </c>
      <c r="E16" s="21">
        <f t="shared" si="1"/>
        <v>4886.6930693069307</v>
      </c>
      <c r="F16" s="21">
        <f t="shared" si="1"/>
        <v>4812.912142152024</v>
      </c>
      <c r="G16" s="21">
        <f t="shared" si="1"/>
        <v>4887.4798061389338</v>
      </c>
      <c r="H16" s="21">
        <f t="shared" si="1"/>
        <v>4469.6866742166858</v>
      </c>
      <c r="I16" s="21">
        <f t="shared" si="1"/>
        <v>6280.0218788458906</v>
      </c>
      <c r="J16" s="21">
        <f t="shared" si="1"/>
        <v>4942.9323843416369</v>
      </c>
      <c r="K16" s="21">
        <f t="shared" si="1"/>
        <v>4727.327752736639</v>
      </c>
      <c r="L16" s="21">
        <f t="shared" si="1"/>
        <v>5036.8356164383558</v>
      </c>
      <c r="M16" s="21">
        <f t="shared" si="1"/>
        <v>4710.9058873564618</v>
      </c>
      <c r="N16" s="21">
        <f t="shared" si="1"/>
        <v>4594.3849798210213</v>
      </c>
      <c r="O16" s="21">
        <f t="shared" si="1"/>
        <v>4886.398678414097</v>
      </c>
      <c r="P16" s="21">
        <f t="shared" si="1"/>
        <v>5391.0173237328008</v>
      </c>
      <c r="Q16" s="21">
        <f t="shared" si="1"/>
        <v>7784.5868433506866</v>
      </c>
      <c r="R16" s="21">
        <f t="shared" si="1"/>
        <v>6382.9720895147102</v>
      </c>
      <c r="S16" s="21" t="e">
        <f t="shared" si="1"/>
        <v>#DIV/0!</v>
      </c>
      <c r="T16" s="21" t="e">
        <f t="shared" si="1"/>
        <v>#DIV/0!</v>
      </c>
      <c r="U16" s="21" t="e">
        <f t="shared" si="1"/>
        <v>#DIV/0!</v>
      </c>
      <c r="V16" s="21">
        <f t="shared" si="1"/>
        <v>7455.8507585075859</v>
      </c>
      <c r="W16" s="21">
        <f t="shared" si="1"/>
        <v>8458.2613501776541</v>
      </c>
      <c r="X16" s="21">
        <f t="shared" si="1"/>
        <v>5042.9711363789274</v>
      </c>
      <c r="Y16" s="21">
        <f t="shared" si="1"/>
        <v>4008.9877930214975</v>
      </c>
      <c r="Z16" s="21">
        <f t="shared" si="1"/>
        <v>6351.0151273885349</v>
      </c>
      <c r="AA16" s="21">
        <f t="shared" si="1"/>
        <v>6150.7328688596872</v>
      </c>
      <c r="AB16" s="21">
        <f t="shared" si="1"/>
        <v>4917.9529737206094</v>
      </c>
      <c r="AC16" s="23">
        <f t="shared" si="1"/>
        <v>5572.0435623249023</v>
      </c>
      <c r="AD16" s="23" t="e">
        <f>AVERAGE(C16:AB16)</f>
        <v>#DIV/0!</v>
      </c>
      <c r="AE16" s="13"/>
    </row>
    <row r="17" spans="1:31" x14ac:dyDescent="0.15">
      <c r="A17" s="50" t="s">
        <v>71</v>
      </c>
      <c r="B17" s="11" t="s">
        <v>72</v>
      </c>
      <c r="C17" s="14">
        <v>44688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58860</v>
      </c>
      <c r="J17" s="14">
        <v>0</v>
      </c>
      <c r="K17" s="14">
        <v>0</v>
      </c>
      <c r="L17" s="14">
        <v>75708</v>
      </c>
      <c r="M17" s="14">
        <v>0</v>
      </c>
      <c r="N17" s="14">
        <v>213500</v>
      </c>
      <c r="O17" s="14">
        <v>51246</v>
      </c>
      <c r="P17" s="14">
        <v>56375</v>
      </c>
      <c r="Q17" s="14">
        <v>56708</v>
      </c>
      <c r="R17" s="14">
        <v>0</v>
      </c>
      <c r="S17" s="14">
        <v>0</v>
      </c>
      <c r="T17" s="14">
        <v>0</v>
      </c>
      <c r="U17" s="14">
        <v>82900</v>
      </c>
      <c r="V17" s="14">
        <v>0</v>
      </c>
      <c r="W17" s="14">
        <v>215200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6">
        <f>SUM(C17:AB17)</f>
        <v>855185</v>
      </c>
      <c r="AD17" s="16">
        <f>AVERAGE(C17:AB17)</f>
        <v>32891.730769230766</v>
      </c>
      <c r="AE17" s="13">
        <f>AC17/AC13</f>
        <v>3.0280117241911646E-2</v>
      </c>
    </row>
    <row r="18" spans="1:31" x14ac:dyDescent="0.15">
      <c r="A18" s="50"/>
      <c r="B18" s="11" t="s">
        <v>73</v>
      </c>
      <c r="C18" s="14">
        <v>4400</v>
      </c>
      <c r="D18" s="14">
        <v>4825</v>
      </c>
      <c r="E18" s="14">
        <v>4025</v>
      </c>
      <c r="F18" s="14">
        <v>4400</v>
      </c>
      <c r="G18" s="14">
        <v>4025</v>
      </c>
      <c r="H18" s="14">
        <v>5250</v>
      </c>
      <c r="I18" s="14">
        <v>6950</v>
      </c>
      <c r="J18" s="14">
        <v>4400</v>
      </c>
      <c r="K18" s="14">
        <v>4025</v>
      </c>
      <c r="L18" s="14">
        <v>4825</v>
      </c>
      <c r="M18" s="14">
        <v>4808</v>
      </c>
      <c r="N18" s="14">
        <v>0</v>
      </c>
      <c r="O18" s="14">
        <v>3633</v>
      </c>
      <c r="P18" s="14">
        <v>4825</v>
      </c>
      <c r="Q18" s="14">
        <v>4825</v>
      </c>
      <c r="R18" s="14">
        <v>4825</v>
      </c>
      <c r="S18" s="14">
        <v>0</v>
      </c>
      <c r="T18" s="14">
        <v>0</v>
      </c>
      <c r="U18" s="14">
        <v>7075</v>
      </c>
      <c r="V18" s="14">
        <v>3241</v>
      </c>
      <c r="W18" s="14">
        <v>0</v>
      </c>
      <c r="X18" s="14">
        <v>4417</v>
      </c>
      <c r="Y18" s="14">
        <v>4025</v>
      </c>
      <c r="Z18" s="14">
        <v>4417</v>
      </c>
      <c r="AA18" s="14">
        <v>4417</v>
      </c>
      <c r="AB18" s="14">
        <v>4825</v>
      </c>
      <c r="AC18" s="16">
        <f>SUM(C18:AB18)</f>
        <v>102458</v>
      </c>
      <c r="AD18" s="16">
        <f>AVERAGE(C18:AB18)</f>
        <v>3940.6923076923076</v>
      </c>
      <c r="AE18" s="13">
        <f>AC18/AC13</f>
        <v>3.6278001278925421E-3</v>
      </c>
    </row>
    <row r="19" spans="1:31" x14ac:dyDescent="0.15">
      <c r="A19" s="50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6">
        <f>SUM(C19:AB19)</f>
        <v>0</v>
      </c>
      <c r="AD19" s="16">
        <f>AVERAGE(C19:AB19)</f>
        <v>0</v>
      </c>
      <c r="AE19" s="13">
        <f>AC19/AC13</f>
        <v>0</v>
      </c>
    </row>
    <row r="20" spans="1:31" x14ac:dyDescent="0.15">
      <c r="A20" s="50"/>
      <c r="B20" s="11" t="s">
        <v>75</v>
      </c>
      <c r="C20" s="14">
        <v>4950</v>
      </c>
      <c r="D20" s="14">
        <v>4950</v>
      </c>
      <c r="E20" s="14">
        <v>4766</v>
      </c>
      <c r="F20" s="14">
        <v>4950</v>
      </c>
      <c r="G20" s="14">
        <v>4774</v>
      </c>
      <c r="H20" s="14">
        <v>4950</v>
      </c>
      <c r="I20" s="14">
        <v>8333</v>
      </c>
      <c r="J20" s="14">
        <v>4950</v>
      </c>
      <c r="K20" s="14">
        <v>4583</v>
      </c>
      <c r="L20" s="14">
        <v>4583</v>
      </c>
      <c r="M20" s="14">
        <v>4766</v>
      </c>
      <c r="N20" s="14">
        <v>5208</v>
      </c>
      <c r="O20" s="14">
        <v>4774</v>
      </c>
      <c r="P20" s="14">
        <v>5208</v>
      </c>
      <c r="Q20" s="14">
        <v>5208</v>
      </c>
      <c r="R20" s="14">
        <v>4767</v>
      </c>
      <c r="S20" s="14">
        <v>0</v>
      </c>
      <c r="T20" s="14">
        <v>0</v>
      </c>
      <c r="U20" s="14">
        <v>0</v>
      </c>
      <c r="V20" s="14">
        <v>4550</v>
      </c>
      <c r="W20" s="14">
        <v>4583</v>
      </c>
      <c r="X20" s="14">
        <v>4766</v>
      </c>
      <c r="Y20" s="14">
        <v>4583</v>
      </c>
      <c r="Z20" s="14">
        <v>4766</v>
      </c>
      <c r="AA20" s="14">
        <v>4766</v>
      </c>
      <c r="AB20" s="14">
        <v>4950</v>
      </c>
      <c r="AC20" s="16">
        <f>SUM(C20:AB20)</f>
        <v>114684</v>
      </c>
      <c r="AD20" s="16">
        <f>AVERAGE(C20:AB20)</f>
        <v>4410.9230769230771</v>
      </c>
      <c r="AE20" s="13">
        <f>AC20/AC13</f>
        <v>4.0606944295928891E-3</v>
      </c>
    </row>
    <row r="21" spans="1:31" x14ac:dyDescent="0.15">
      <c r="A21" s="50"/>
      <c r="B21" s="11" t="s">
        <v>76</v>
      </c>
      <c r="C21" s="14">
        <v>36587</v>
      </c>
      <c r="D21" s="14">
        <v>42195</v>
      </c>
      <c r="E21" s="14">
        <v>39512</v>
      </c>
      <c r="F21" s="14">
        <v>37617</v>
      </c>
      <c r="G21" s="14">
        <v>22768</v>
      </c>
      <c r="H21" s="14">
        <v>33485</v>
      </c>
      <c r="I21" s="14">
        <v>46653</v>
      </c>
      <c r="J21" s="14">
        <v>48980</v>
      </c>
      <c r="K21" s="14">
        <v>35664</v>
      </c>
      <c r="L21" s="14">
        <v>23249</v>
      </c>
      <c r="M21" s="14">
        <v>24820</v>
      </c>
      <c r="N21" s="14">
        <v>19417</v>
      </c>
      <c r="O21" s="14">
        <v>28937</v>
      </c>
      <c r="P21" s="14">
        <v>22121</v>
      </c>
      <c r="Q21" s="14">
        <v>47267</v>
      </c>
      <c r="R21" s="14">
        <v>46352</v>
      </c>
      <c r="S21" s="14">
        <v>0</v>
      </c>
      <c r="T21" s="14">
        <v>0</v>
      </c>
      <c r="U21" s="14">
        <v>0</v>
      </c>
      <c r="V21" s="14">
        <v>49238</v>
      </c>
      <c r="W21" s="14">
        <v>31013</v>
      </c>
      <c r="X21" s="14">
        <v>49888</v>
      </c>
      <c r="Y21" s="14">
        <v>27811</v>
      </c>
      <c r="Z21" s="14">
        <v>36771</v>
      </c>
      <c r="AA21" s="14">
        <v>31715</v>
      </c>
      <c r="AB21" s="14">
        <v>49900</v>
      </c>
      <c r="AC21" s="16">
        <f>SUM(C21:AB21)</f>
        <v>831960</v>
      </c>
      <c r="AD21" s="16">
        <f>AVERAGE(C21:AB21)</f>
        <v>31998.461538461539</v>
      </c>
      <c r="AE21" s="13">
        <f>AC21/AC13</f>
        <v>2.9457773862475153E-2</v>
      </c>
    </row>
    <row r="22" spans="1:31" x14ac:dyDescent="0.15">
      <c r="A22" s="50"/>
      <c r="B22" s="24" t="s">
        <v>77</v>
      </c>
      <c r="C22" s="25">
        <f t="shared" ref="C22:AB22" si="2">SUM(C17:C21)</f>
        <v>90625</v>
      </c>
      <c r="D22" s="25">
        <f t="shared" si="2"/>
        <v>51970</v>
      </c>
      <c r="E22" s="25">
        <f t="shared" si="2"/>
        <v>48303</v>
      </c>
      <c r="F22" s="25">
        <f t="shared" si="2"/>
        <v>46967</v>
      </c>
      <c r="G22" s="25">
        <f t="shared" si="2"/>
        <v>31567</v>
      </c>
      <c r="H22" s="25">
        <f t="shared" si="2"/>
        <v>43685</v>
      </c>
      <c r="I22" s="25">
        <f t="shared" si="2"/>
        <v>120796</v>
      </c>
      <c r="J22" s="25">
        <f t="shared" si="2"/>
        <v>58330</v>
      </c>
      <c r="K22" s="25">
        <f t="shared" si="2"/>
        <v>44272</v>
      </c>
      <c r="L22" s="25">
        <f t="shared" si="2"/>
        <v>108365</v>
      </c>
      <c r="M22" s="25">
        <f t="shared" si="2"/>
        <v>34394</v>
      </c>
      <c r="N22" s="25">
        <f t="shared" si="2"/>
        <v>238125</v>
      </c>
      <c r="O22" s="25">
        <f t="shared" si="2"/>
        <v>88590</v>
      </c>
      <c r="P22" s="25">
        <f t="shared" si="2"/>
        <v>88529</v>
      </c>
      <c r="Q22" s="25">
        <f t="shared" si="2"/>
        <v>114008</v>
      </c>
      <c r="R22" s="25">
        <f t="shared" si="2"/>
        <v>55944</v>
      </c>
      <c r="S22" s="25">
        <f t="shared" si="2"/>
        <v>0</v>
      </c>
      <c r="T22" s="25">
        <f t="shared" si="2"/>
        <v>0</v>
      </c>
      <c r="U22" s="25">
        <f t="shared" si="2"/>
        <v>89975</v>
      </c>
      <c r="V22" s="25">
        <f t="shared" si="2"/>
        <v>57029</v>
      </c>
      <c r="W22" s="25">
        <f t="shared" si="2"/>
        <v>250796</v>
      </c>
      <c r="X22" s="25">
        <f t="shared" si="2"/>
        <v>59071</v>
      </c>
      <c r="Y22" s="25">
        <f t="shared" si="2"/>
        <v>36419</v>
      </c>
      <c r="Z22" s="25">
        <f t="shared" si="2"/>
        <v>45954</v>
      </c>
      <c r="AA22" s="25">
        <f t="shared" si="2"/>
        <v>40898</v>
      </c>
      <c r="AB22" s="25">
        <f t="shared" si="2"/>
        <v>59675</v>
      </c>
      <c r="AC22" s="27">
        <f>SUM(C22:AB22)</f>
        <v>1904287</v>
      </c>
      <c r="AD22" s="27">
        <f>AVERAGE(C22:AB22)</f>
        <v>73241.807692307688</v>
      </c>
      <c r="AE22" s="28">
        <f>AC22/AC13</f>
        <v>6.7426385661872229E-2</v>
      </c>
    </row>
    <row r="23" spans="1:31" x14ac:dyDescent="0.15">
      <c r="A23" s="50" t="s">
        <v>78</v>
      </c>
      <c r="B23" s="11" t="s">
        <v>79</v>
      </c>
      <c r="C23" s="14">
        <v>5796</v>
      </c>
      <c r="D23" s="14">
        <v>36400</v>
      </c>
      <c r="E23" s="14">
        <v>32400</v>
      </c>
      <c r="F23" s="14">
        <v>183244</v>
      </c>
      <c r="G23" s="14">
        <v>0</v>
      </c>
      <c r="H23" s="14">
        <v>50595</v>
      </c>
      <c r="I23" s="14">
        <v>0</v>
      </c>
      <c r="J23" s="14">
        <v>379019</v>
      </c>
      <c r="K23" s="14">
        <v>0</v>
      </c>
      <c r="L23" s="14">
        <v>59567</v>
      </c>
      <c r="M23" s="14">
        <v>0</v>
      </c>
      <c r="N23" s="14">
        <v>34470</v>
      </c>
      <c r="O23" s="14">
        <v>0</v>
      </c>
      <c r="P23" s="14">
        <v>37853</v>
      </c>
      <c r="Q23" s="14">
        <v>24000</v>
      </c>
      <c r="R23" s="14">
        <v>2392</v>
      </c>
      <c r="S23" s="14">
        <v>0</v>
      </c>
      <c r="T23" s="14">
        <v>0</v>
      </c>
      <c r="U23" s="14">
        <v>0</v>
      </c>
      <c r="V23" s="14">
        <v>39190</v>
      </c>
      <c r="W23" s="14">
        <v>15000</v>
      </c>
      <c r="X23" s="14">
        <v>227701</v>
      </c>
      <c r="Y23" s="14">
        <v>0</v>
      </c>
      <c r="Z23" s="14">
        <v>0</v>
      </c>
      <c r="AA23" s="14">
        <v>281170</v>
      </c>
      <c r="AB23" s="14">
        <v>0</v>
      </c>
      <c r="AC23" s="16">
        <f>SUM(C23:AB23)</f>
        <v>1408797</v>
      </c>
      <c r="AD23" s="16">
        <f>AVERAGE(C23:AB23)</f>
        <v>54184.5</v>
      </c>
      <c r="AE23" s="13">
        <f>AC23/AC13</f>
        <v>4.9882234054682208E-2</v>
      </c>
    </row>
    <row r="24" spans="1:31" x14ac:dyDescent="0.15">
      <c r="A24" s="50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6">
        <f>SUM(C24:AB24)</f>
        <v>0</v>
      </c>
      <c r="AD24" s="16">
        <f>AVERAGE(C24:AB24)</f>
        <v>0</v>
      </c>
      <c r="AE24" s="13">
        <f>AC24/AC13</f>
        <v>0</v>
      </c>
    </row>
    <row r="25" spans="1:31" x14ac:dyDescent="0.15">
      <c r="A25" s="50"/>
      <c r="B25" s="11" t="s">
        <v>81</v>
      </c>
      <c r="C25" s="14">
        <f t="shared" ref="C25:AB25" si="3">30000*C9/70000*C11</f>
        <v>2064</v>
      </c>
      <c r="D25" s="14">
        <f t="shared" si="3"/>
        <v>11797.714285714284</v>
      </c>
      <c r="E25" s="14">
        <f t="shared" si="3"/>
        <v>24299.571428571431</v>
      </c>
      <c r="F25" s="14">
        <f t="shared" si="3"/>
        <v>21893.571428571428</v>
      </c>
      <c r="G25" s="14">
        <f t="shared" si="3"/>
        <v>25674.428571428569</v>
      </c>
      <c r="H25" s="14">
        <f t="shared" si="3"/>
        <v>25494.428571428569</v>
      </c>
      <c r="I25" s="14">
        <f t="shared" si="3"/>
        <v>31701</v>
      </c>
      <c r="J25" s="14">
        <f t="shared" si="3"/>
        <v>21933.428571428572</v>
      </c>
      <c r="K25" s="14">
        <f t="shared" si="3"/>
        <v>24360</v>
      </c>
      <c r="L25" s="14">
        <f t="shared" si="3"/>
        <v>22227.857142857141</v>
      </c>
      <c r="M25" s="14">
        <f t="shared" si="3"/>
        <v>32606.571428571428</v>
      </c>
      <c r="N25" s="14">
        <f t="shared" si="3"/>
        <v>24431.142857142859</v>
      </c>
      <c r="O25" s="14">
        <f t="shared" si="3"/>
        <v>13539.428571428571</v>
      </c>
      <c r="P25" s="14">
        <f t="shared" si="3"/>
        <v>31557</v>
      </c>
      <c r="Q25" s="14">
        <f t="shared" si="3"/>
        <v>24525</v>
      </c>
      <c r="R25" s="14">
        <f t="shared" si="3"/>
        <v>25160.571428571428</v>
      </c>
      <c r="S25" s="14">
        <f t="shared" si="3"/>
        <v>0</v>
      </c>
      <c r="T25" s="14">
        <f t="shared" si="3"/>
        <v>0</v>
      </c>
      <c r="U25" s="14">
        <f t="shared" si="3"/>
        <v>0</v>
      </c>
      <c r="V25" s="14">
        <f t="shared" si="3"/>
        <v>26852.571428571428</v>
      </c>
      <c r="W25" s="14">
        <f t="shared" si="3"/>
        <v>24768</v>
      </c>
      <c r="X25" s="14">
        <f t="shared" si="3"/>
        <v>26365.714285714283</v>
      </c>
      <c r="Y25" s="14">
        <f t="shared" si="3"/>
        <v>40680</v>
      </c>
      <c r="Z25" s="14">
        <f t="shared" si="3"/>
        <v>30330</v>
      </c>
      <c r="AA25" s="14">
        <f t="shared" si="3"/>
        <v>20035.714285714286</v>
      </c>
      <c r="AB25" s="14">
        <f t="shared" si="3"/>
        <v>21145.714285714286</v>
      </c>
      <c r="AC25" s="16">
        <f>SUM(C25:AB25)</f>
        <v>553443.42857142852</v>
      </c>
      <c r="AD25" s="16">
        <f>AVERAGE(C25:AB25)</f>
        <v>21286.285714285714</v>
      </c>
      <c r="AE25" s="13">
        <f>AC25/AC13</f>
        <v>1.959614808948755E-2</v>
      </c>
    </row>
    <row r="26" spans="1:31" x14ac:dyDescent="0.15">
      <c r="A26" s="50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6">
        <f>SUM(C26:AB26)</f>
        <v>0</v>
      </c>
      <c r="AD26" s="16">
        <f>AVERAGE(C26:AB26)</f>
        <v>0</v>
      </c>
      <c r="AE26" s="13">
        <f>AC26/AC13</f>
        <v>0</v>
      </c>
    </row>
    <row r="27" spans="1:31" x14ac:dyDescent="0.15">
      <c r="A27" s="50"/>
      <c r="B27" s="24" t="s">
        <v>82</v>
      </c>
      <c r="C27" s="25">
        <f t="shared" ref="C27:AB27" si="4">SUM(C23:C26)</f>
        <v>7860</v>
      </c>
      <c r="D27" s="25">
        <f t="shared" si="4"/>
        <v>48197.714285714283</v>
      </c>
      <c r="E27" s="25">
        <f t="shared" si="4"/>
        <v>56699.571428571435</v>
      </c>
      <c r="F27" s="25">
        <f t="shared" si="4"/>
        <v>205137.57142857142</v>
      </c>
      <c r="G27" s="25">
        <f t="shared" si="4"/>
        <v>25674.428571428569</v>
      </c>
      <c r="H27" s="25">
        <f t="shared" si="4"/>
        <v>76089.428571428565</v>
      </c>
      <c r="I27" s="25">
        <f t="shared" si="4"/>
        <v>31701</v>
      </c>
      <c r="J27" s="25">
        <f t="shared" si="4"/>
        <v>400952.42857142858</v>
      </c>
      <c r="K27" s="25">
        <f t="shared" si="4"/>
        <v>24360</v>
      </c>
      <c r="L27" s="25">
        <f t="shared" si="4"/>
        <v>81794.857142857145</v>
      </c>
      <c r="M27" s="25">
        <f t="shared" si="4"/>
        <v>32606.571428571428</v>
      </c>
      <c r="N27" s="25">
        <f t="shared" si="4"/>
        <v>58901.142857142855</v>
      </c>
      <c r="O27" s="25">
        <f t="shared" si="4"/>
        <v>13539.428571428571</v>
      </c>
      <c r="P27" s="25">
        <f t="shared" si="4"/>
        <v>69410</v>
      </c>
      <c r="Q27" s="25">
        <f t="shared" si="4"/>
        <v>48525</v>
      </c>
      <c r="R27" s="25">
        <f t="shared" si="4"/>
        <v>27552.571428571428</v>
      </c>
      <c r="S27" s="25">
        <f t="shared" si="4"/>
        <v>0</v>
      </c>
      <c r="T27" s="25">
        <f t="shared" si="4"/>
        <v>0</v>
      </c>
      <c r="U27" s="25">
        <f t="shared" si="4"/>
        <v>0</v>
      </c>
      <c r="V27" s="25">
        <f t="shared" si="4"/>
        <v>66042.57142857142</v>
      </c>
      <c r="W27" s="25">
        <f t="shared" si="4"/>
        <v>39768</v>
      </c>
      <c r="X27" s="25">
        <f t="shared" si="4"/>
        <v>254066.71428571429</v>
      </c>
      <c r="Y27" s="25">
        <f t="shared" si="4"/>
        <v>40680</v>
      </c>
      <c r="Z27" s="25">
        <f t="shared" si="4"/>
        <v>30330</v>
      </c>
      <c r="AA27" s="25">
        <f t="shared" si="4"/>
        <v>301205.71428571426</v>
      </c>
      <c r="AB27" s="25">
        <f t="shared" si="4"/>
        <v>21145.714285714286</v>
      </c>
      <c r="AC27" s="27">
        <f>SUM(C27:AB27)</f>
        <v>1962240.4285714289</v>
      </c>
      <c r="AD27" s="27">
        <f>AVERAGE(C27:AB27)</f>
        <v>75470.785714285725</v>
      </c>
      <c r="AE27" s="28">
        <f>AC27/AC13</f>
        <v>6.9478382144169765E-2</v>
      </c>
    </row>
    <row r="28" spans="1:31" x14ac:dyDescent="0.15">
      <c r="A28" s="50" t="s">
        <v>83</v>
      </c>
      <c r="B28" s="8" t="s">
        <v>84</v>
      </c>
      <c r="C28" s="29">
        <v>140</v>
      </c>
      <c r="D28" s="29">
        <v>1001</v>
      </c>
      <c r="E28" s="29">
        <v>1516</v>
      </c>
      <c r="F28" s="29">
        <v>1256</v>
      </c>
      <c r="G28" s="29">
        <v>1400</v>
      </c>
      <c r="H28" s="29">
        <v>1485</v>
      </c>
      <c r="I28" s="29">
        <v>2003</v>
      </c>
      <c r="J28" s="29">
        <v>1300</v>
      </c>
      <c r="K28" s="29">
        <v>1573</v>
      </c>
      <c r="L28" s="29">
        <v>1319</v>
      </c>
      <c r="M28" s="29">
        <v>1706</v>
      </c>
      <c r="N28" s="29">
        <v>1426</v>
      </c>
      <c r="O28" s="29">
        <v>840</v>
      </c>
      <c r="P28" s="29">
        <v>1885</v>
      </c>
      <c r="Q28" s="29">
        <v>1393</v>
      </c>
      <c r="R28" s="29">
        <v>1392</v>
      </c>
      <c r="S28" s="29">
        <v>0</v>
      </c>
      <c r="T28" s="29">
        <v>0</v>
      </c>
      <c r="U28" s="29">
        <v>0</v>
      </c>
      <c r="V28" s="29">
        <v>1850</v>
      </c>
      <c r="W28" s="29">
        <v>1584</v>
      </c>
      <c r="X28" s="29">
        <v>1830</v>
      </c>
      <c r="Y28" s="29">
        <v>2255</v>
      </c>
      <c r="Z28" s="29">
        <v>1663</v>
      </c>
      <c r="AA28" s="29">
        <v>1200</v>
      </c>
      <c r="AB28" s="29">
        <v>1039</v>
      </c>
      <c r="AC28" s="31">
        <f>SUM(C28:AB28)</f>
        <v>33056</v>
      </c>
      <c r="AD28" s="31">
        <f>AVERAGE(C28:AB28)</f>
        <v>1271.3846153846155</v>
      </c>
      <c r="AE28" s="10">
        <f>AC28/AC13</f>
        <v>1.1704362863574915E-3</v>
      </c>
    </row>
    <row r="29" spans="1:31" x14ac:dyDescent="0.15">
      <c r="A29" s="50"/>
      <c r="B29" s="32" t="s">
        <v>85</v>
      </c>
      <c r="C29" s="33">
        <f t="shared" ref="C29:Z29" si="5">SUM(C11/C28)</f>
        <v>4.3</v>
      </c>
      <c r="D29" s="33">
        <f t="shared" si="5"/>
        <v>3.4375624375624376</v>
      </c>
      <c r="E29" s="33">
        <f t="shared" si="5"/>
        <v>3.7400395778364119</v>
      </c>
      <c r="F29" s="33">
        <f t="shared" si="5"/>
        <v>4.0672770700636942</v>
      </c>
      <c r="G29" s="33">
        <f t="shared" si="5"/>
        <v>4.2790714285714282</v>
      </c>
      <c r="H29" s="33">
        <f t="shared" si="5"/>
        <v>4.0058585858585856</v>
      </c>
      <c r="I29" s="33">
        <f t="shared" si="5"/>
        <v>2.6377933100349478</v>
      </c>
      <c r="J29" s="33">
        <f t="shared" si="5"/>
        <v>3.9367692307692308</v>
      </c>
      <c r="K29" s="33">
        <f t="shared" si="5"/>
        <v>3.6134774316592497</v>
      </c>
      <c r="L29" s="33">
        <f t="shared" si="5"/>
        <v>3.9321455648218349</v>
      </c>
      <c r="M29" s="33">
        <f t="shared" si="5"/>
        <v>4.4596717467760847</v>
      </c>
      <c r="N29" s="33">
        <f t="shared" si="5"/>
        <v>3.9976157082748949</v>
      </c>
      <c r="O29" s="33">
        <f t="shared" si="5"/>
        <v>3.7609523809523808</v>
      </c>
      <c r="P29" s="33">
        <f t="shared" si="5"/>
        <v>3.9062599469496022</v>
      </c>
      <c r="Q29" s="33">
        <f t="shared" si="5"/>
        <v>4.108040201005025</v>
      </c>
      <c r="R29" s="33">
        <f t="shared" si="5"/>
        <v>4.2175287356321842</v>
      </c>
      <c r="S29" s="33" t="e">
        <f t="shared" si="5"/>
        <v>#DIV/0!</v>
      </c>
      <c r="T29" s="33" t="e">
        <f t="shared" si="5"/>
        <v>#DIV/0!</v>
      </c>
      <c r="U29" s="33" t="e">
        <f t="shared" si="5"/>
        <v>#DIV/0!</v>
      </c>
      <c r="V29" s="33">
        <f t="shared" si="5"/>
        <v>4.2335135135135138</v>
      </c>
      <c r="W29" s="33">
        <f t="shared" si="5"/>
        <v>4.5606060606060606</v>
      </c>
      <c r="X29" s="33">
        <f t="shared" si="5"/>
        <v>4.2021857923497263</v>
      </c>
      <c r="Y29" s="33">
        <f t="shared" si="5"/>
        <v>4.209312638580931</v>
      </c>
      <c r="Z29" s="33">
        <f t="shared" si="5"/>
        <v>4.2555622369212269</v>
      </c>
      <c r="AA29" s="33">
        <f t="shared" ref="AA29:AC29" si="6">SUM(AA11/AA28)</f>
        <v>3.8958333333333335</v>
      </c>
      <c r="AB29" s="33">
        <f t="shared" si="6"/>
        <v>4.7487969201154954</v>
      </c>
      <c r="AC29" s="35">
        <f t="shared" si="6"/>
        <v>4.0047555663117134</v>
      </c>
      <c r="AD29" s="35" t="e">
        <f>AVERAGE(C29:AB29)</f>
        <v>#DIV/0!</v>
      </c>
      <c r="AE29" s="32">
        <f>AC29/AC13</f>
        <v>1.4179910554221244E-7</v>
      </c>
    </row>
    <row r="30" spans="1:31" x14ac:dyDescent="0.15">
      <c r="A30" s="50"/>
      <c r="B30" s="11" t="s">
        <v>86</v>
      </c>
      <c r="C30" s="14">
        <v>15998</v>
      </c>
      <c r="D30" s="14">
        <v>114384</v>
      </c>
      <c r="E30" s="14">
        <v>173233</v>
      </c>
      <c r="F30" s="14">
        <v>143523</v>
      </c>
      <c r="G30" s="14">
        <v>159978</v>
      </c>
      <c r="H30" s="14">
        <v>169691</v>
      </c>
      <c r="I30" s="14">
        <v>228883</v>
      </c>
      <c r="J30" s="14">
        <v>148551</v>
      </c>
      <c r="K30" s="14">
        <v>179747</v>
      </c>
      <c r="L30" s="14">
        <v>150722</v>
      </c>
      <c r="M30" s="14">
        <v>194945</v>
      </c>
      <c r="N30" s="14">
        <v>162949</v>
      </c>
      <c r="O30" s="14">
        <v>95987</v>
      </c>
      <c r="P30" s="14">
        <v>215399</v>
      </c>
      <c r="Q30" s="14">
        <v>159178</v>
      </c>
      <c r="R30" s="14">
        <v>159064</v>
      </c>
      <c r="S30" s="14">
        <v>0</v>
      </c>
      <c r="T30" s="14">
        <v>0</v>
      </c>
      <c r="U30" s="14">
        <v>0</v>
      </c>
      <c r="V30" s="14">
        <v>211400</v>
      </c>
      <c r="W30" s="14">
        <v>181004</v>
      </c>
      <c r="X30" s="14">
        <v>209114</v>
      </c>
      <c r="Y30" s="14">
        <v>257679</v>
      </c>
      <c r="Z30" s="14">
        <v>190031</v>
      </c>
      <c r="AA30" s="14">
        <v>137124</v>
      </c>
      <c r="AB30" s="14">
        <v>118727</v>
      </c>
      <c r="AC30" s="16">
        <f>SUM(C30:AB30)</f>
        <v>3777311</v>
      </c>
      <c r="AD30" s="16">
        <f>AVERAGE(C30:AB30)</f>
        <v>145281.19230769231</v>
      </c>
      <c r="AE30" s="13">
        <f>AC30/AC13</f>
        <v>0.13374582100850987</v>
      </c>
    </row>
    <row r="31" spans="1:31" x14ac:dyDescent="0.15">
      <c r="A31" s="50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9585</v>
      </c>
      <c r="AB31" s="14">
        <v>0</v>
      </c>
      <c r="AC31" s="16">
        <f>SUM(C31:AB31)</f>
        <v>9585</v>
      </c>
      <c r="AD31" s="16">
        <f>AVERAGE(C31:AB31)</f>
        <v>368.65384615384613</v>
      </c>
      <c r="AE31" s="13">
        <f>AC31/AC13</f>
        <v>3.3938261751986196E-4</v>
      </c>
    </row>
    <row r="32" spans="1:31" x14ac:dyDescent="0.15">
      <c r="A32" s="50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6">
        <f>SUM(C32:AB32)</f>
        <v>0</v>
      </c>
      <c r="AD32" s="16">
        <f>AVERAGE(C32:AB32)</f>
        <v>0</v>
      </c>
      <c r="AE32" s="13">
        <f>AC32/AC13</f>
        <v>0</v>
      </c>
    </row>
    <row r="33" spans="1:31" x14ac:dyDescent="0.15">
      <c r="A33" s="50"/>
      <c r="B33" s="24" t="s">
        <v>89</v>
      </c>
      <c r="C33" s="25">
        <f t="shared" ref="C33:AB33" si="7">SUM(C30:C32)</f>
        <v>15998</v>
      </c>
      <c r="D33" s="25">
        <f t="shared" si="7"/>
        <v>114384</v>
      </c>
      <c r="E33" s="25">
        <f t="shared" si="7"/>
        <v>173233</v>
      </c>
      <c r="F33" s="25">
        <f t="shared" si="7"/>
        <v>143523</v>
      </c>
      <c r="G33" s="25">
        <f t="shared" si="7"/>
        <v>159978</v>
      </c>
      <c r="H33" s="25">
        <f t="shared" si="7"/>
        <v>169691</v>
      </c>
      <c r="I33" s="25">
        <f t="shared" si="7"/>
        <v>228883</v>
      </c>
      <c r="J33" s="25">
        <f t="shared" si="7"/>
        <v>148551</v>
      </c>
      <c r="K33" s="25">
        <f t="shared" si="7"/>
        <v>179747</v>
      </c>
      <c r="L33" s="25">
        <f t="shared" si="7"/>
        <v>150722</v>
      </c>
      <c r="M33" s="25">
        <f t="shared" si="7"/>
        <v>194945</v>
      </c>
      <c r="N33" s="25">
        <f t="shared" si="7"/>
        <v>162949</v>
      </c>
      <c r="O33" s="25">
        <f t="shared" si="7"/>
        <v>95987</v>
      </c>
      <c r="P33" s="25">
        <f t="shared" si="7"/>
        <v>215399</v>
      </c>
      <c r="Q33" s="25">
        <f t="shared" si="7"/>
        <v>159178</v>
      </c>
      <c r="R33" s="25">
        <f t="shared" si="7"/>
        <v>159064</v>
      </c>
      <c r="S33" s="25">
        <f t="shared" si="7"/>
        <v>0</v>
      </c>
      <c r="T33" s="25">
        <f t="shared" si="7"/>
        <v>0</v>
      </c>
      <c r="U33" s="25">
        <f t="shared" si="7"/>
        <v>0</v>
      </c>
      <c r="V33" s="25">
        <f t="shared" si="7"/>
        <v>211400</v>
      </c>
      <c r="W33" s="25">
        <f t="shared" si="7"/>
        <v>181004</v>
      </c>
      <c r="X33" s="25">
        <f t="shared" si="7"/>
        <v>209114</v>
      </c>
      <c r="Y33" s="25">
        <f t="shared" si="7"/>
        <v>257679</v>
      </c>
      <c r="Z33" s="25">
        <f t="shared" si="7"/>
        <v>190031</v>
      </c>
      <c r="AA33" s="25">
        <f t="shared" si="7"/>
        <v>146709</v>
      </c>
      <c r="AB33" s="25">
        <f t="shared" si="7"/>
        <v>118727</v>
      </c>
      <c r="AC33" s="27">
        <f>SUM(C33:AB33)</f>
        <v>3786896</v>
      </c>
      <c r="AD33" s="27">
        <f>AVERAGE(C33:AB33)</f>
        <v>145649.84615384616</v>
      </c>
      <c r="AE33" s="28">
        <f>AC33/AC13</f>
        <v>0.13408520362602974</v>
      </c>
    </row>
    <row r="34" spans="1:31" x14ac:dyDescent="0.15">
      <c r="A34" s="50" t="s">
        <v>90</v>
      </c>
      <c r="B34" s="11" t="s">
        <v>91</v>
      </c>
      <c r="C34" s="14">
        <v>2837</v>
      </c>
      <c r="D34" s="14">
        <v>2365</v>
      </c>
      <c r="E34" s="14">
        <v>2365</v>
      </c>
      <c r="F34" s="14">
        <v>2008</v>
      </c>
      <c r="G34" s="14">
        <v>2012</v>
      </c>
      <c r="H34" s="14">
        <v>2008</v>
      </c>
      <c r="I34" s="14">
        <v>2451</v>
      </c>
      <c r="J34" s="14">
        <v>2008</v>
      </c>
      <c r="K34" s="14">
        <v>2008</v>
      </c>
      <c r="L34" s="14">
        <v>2008</v>
      </c>
      <c r="M34" s="14">
        <v>2008</v>
      </c>
      <c r="N34" s="14">
        <v>2008</v>
      </c>
      <c r="O34" s="14">
        <v>2012</v>
      </c>
      <c r="P34" s="14">
        <v>2008</v>
      </c>
      <c r="Q34" s="14">
        <v>2008</v>
      </c>
      <c r="R34" s="14">
        <v>2008</v>
      </c>
      <c r="S34" s="14">
        <v>0</v>
      </c>
      <c r="T34" s="14">
        <v>0</v>
      </c>
      <c r="U34" s="14">
        <v>0</v>
      </c>
      <c r="V34" s="14">
        <v>2008</v>
      </c>
      <c r="W34" s="14">
        <v>2008</v>
      </c>
      <c r="X34" s="14">
        <v>2008</v>
      </c>
      <c r="Y34" s="14">
        <v>2008</v>
      </c>
      <c r="Z34" s="14">
        <v>2365</v>
      </c>
      <c r="AA34" s="14">
        <v>2365</v>
      </c>
      <c r="AB34" s="14">
        <v>2625</v>
      </c>
      <c r="AC34" s="16">
        <f>SUM(C34:AB34)</f>
        <v>49509</v>
      </c>
      <c r="AD34" s="16">
        <f>AVERAGE(C34:AB34)</f>
        <v>1904.1923076923076</v>
      </c>
      <c r="AE34" s="13">
        <f>AC34/AC13</f>
        <v>1.7529988534993057E-3</v>
      </c>
    </row>
    <row r="35" spans="1:31" x14ac:dyDescent="0.15">
      <c r="A35" s="50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6">
        <f>SUM(C35:AB35)</f>
        <v>0</v>
      </c>
      <c r="AD35" s="16">
        <f>AVERAGE(C35:AB35)</f>
        <v>0</v>
      </c>
      <c r="AE35" s="13">
        <f>AC35/AC13</f>
        <v>0</v>
      </c>
    </row>
    <row r="36" spans="1:31" x14ac:dyDescent="0.15">
      <c r="A36" s="50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6">
        <f>SUM(C36:AB36)</f>
        <v>0</v>
      </c>
      <c r="AD36" s="16">
        <f>AVERAGE(C36:AB36)</f>
        <v>0</v>
      </c>
      <c r="AE36" s="13">
        <f>AC36/AC13</f>
        <v>0</v>
      </c>
    </row>
    <row r="37" spans="1:31" x14ac:dyDescent="0.15">
      <c r="A37" s="50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6">
        <f>SUM(C37:AB37)</f>
        <v>0</v>
      </c>
      <c r="AD37" s="16">
        <f>AVERAGE(C37:AB37)</f>
        <v>0</v>
      </c>
      <c r="AE37" s="13">
        <f>AC37/AC13</f>
        <v>0</v>
      </c>
    </row>
    <row r="38" spans="1:31" x14ac:dyDescent="0.15">
      <c r="A38" s="50"/>
      <c r="B38" s="11" t="s">
        <v>92</v>
      </c>
      <c r="C38" s="14">
        <v>5366</v>
      </c>
      <c r="D38" s="14">
        <v>5366</v>
      </c>
      <c r="E38" s="14">
        <v>5366</v>
      </c>
      <c r="F38" s="14">
        <v>5366</v>
      </c>
      <c r="G38" s="14">
        <v>5366</v>
      </c>
      <c r="H38" s="14">
        <v>5366</v>
      </c>
      <c r="I38" s="14">
        <v>10690</v>
      </c>
      <c r="J38" s="14">
        <v>5366</v>
      </c>
      <c r="K38" s="14">
        <v>5366</v>
      </c>
      <c r="L38" s="14">
        <v>7671</v>
      </c>
      <c r="M38" s="14">
        <v>5366</v>
      </c>
      <c r="N38" s="14">
        <v>8639</v>
      </c>
      <c r="O38" s="14">
        <v>5366</v>
      </c>
      <c r="P38" s="14">
        <v>7624</v>
      </c>
      <c r="Q38" s="14">
        <v>6832</v>
      </c>
      <c r="R38" s="14">
        <v>4621</v>
      </c>
      <c r="S38" s="14">
        <v>0</v>
      </c>
      <c r="T38" s="14">
        <v>0</v>
      </c>
      <c r="U38" s="14">
        <v>0</v>
      </c>
      <c r="V38" s="14">
        <v>5366</v>
      </c>
      <c r="W38" s="14">
        <v>10370</v>
      </c>
      <c r="X38" s="14">
        <v>5366</v>
      </c>
      <c r="Y38" s="14">
        <v>5366</v>
      </c>
      <c r="Z38" s="14">
        <v>4621</v>
      </c>
      <c r="AA38" s="14">
        <v>4621</v>
      </c>
      <c r="AB38" s="14">
        <v>4621</v>
      </c>
      <c r="AC38" s="16">
        <f>SUM(C38:AB38)</f>
        <v>140068</v>
      </c>
      <c r="AD38" s="16">
        <f>AVERAGE(C38:AB38)</f>
        <v>5387.2307692307695</v>
      </c>
      <c r="AE38" s="13">
        <f>AC38/AC13</f>
        <v>4.9594829912125221E-3</v>
      </c>
    </row>
    <row r="39" spans="1:31" x14ac:dyDescent="0.15">
      <c r="A39" s="50"/>
      <c r="B39" s="24" t="s">
        <v>93</v>
      </c>
      <c r="C39" s="25">
        <f t="shared" ref="C39:AB39" si="8">SUM(C34:C38)</f>
        <v>8203</v>
      </c>
      <c r="D39" s="25">
        <f t="shared" si="8"/>
        <v>7731</v>
      </c>
      <c r="E39" s="25">
        <f t="shared" si="8"/>
        <v>7731</v>
      </c>
      <c r="F39" s="25">
        <f t="shared" si="8"/>
        <v>7374</v>
      </c>
      <c r="G39" s="25">
        <f t="shared" si="8"/>
        <v>7378</v>
      </c>
      <c r="H39" s="25">
        <f t="shared" si="8"/>
        <v>7374</v>
      </c>
      <c r="I39" s="25">
        <f t="shared" si="8"/>
        <v>13141</v>
      </c>
      <c r="J39" s="25">
        <f t="shared" si="8"/>
        <v>7374</v>
      </c>
      <c r="K39" s="25">
        <f t="shared" si="8"/>
        <v>7374</v>
      </c>
      <c r="L39" s="25">
        <f t="shared" si="8"/>
        <v>9679</v>
      </c>
      <c r="M39" s="25">
        <f t="shared" si="8"/>
        <v>7374</v>
      </c>
      <c r="N39" s="25">
        <f t="shared" si="8"/>
        <v>10647</v>
      </c>
      <c r="O39" s="25">
        <f t="shared" si="8"/>
        <v>7378</v>
      </c>
      <c r="P39" s="25">
        <f t="shared" si="8"/>
        <v>9632</v>
      </c>
      <c r="Q39" s="25">
        <f t="shared" si="8"/>
        <v>8840</v>
      </c>
      <c r="R39" s="25">
        <f t="shared" si="8"/>
        <v>6629</v>
      </c>
      <c r="S39" s="25">
        <f t="shared" si="8"/>
        <v>0</v>
      </c>
      <c r="T39" s="25">
        <f t="shared" si="8"/>
        <v>0</v>
      </c>
      <c r="U39" s="25">
        <f t="shared" si="8"/>
        <v>0</v>
      </c>
      <c r="V39" s="25">
        <f t="shared" si="8"/>
        <v>7374</v>
      </c>
      <c r="W39" s="25">
        <f t="shared" si="8"/>
        <v>12378</v>
      </c>
      <c r="X39" s="25">
        <f t="shared" si="8"/>
        <v>7374</v>
      </c>
      <c r="Y39" s="25">
        <f t="shared" si="8"/>
        <v>7374</v>
      </c>
      <c r="Z39" s="25">
        <f t="shared" si="8"/>
        <v>6986</v>
      </c>
      <c r="AA39" s="25">
        <f t="shared" si="8"/>
        <v>6986</v>
      </c>
      <c r="AB39" s="25">
        <f t="shared" si="8"/>
        <v>7246</v>
      </c>
      <c r="AC39" s="27">
        <f>SUM(C39:AB39)</f>
        <v>189577</v>
      </c>
      <c r="AD39" s="27">
        <f>AVERAGE(C39:AB39)</f>
        <v>7291.4230769230771</v>
      </c>
      <c r="AE39" s="28">
        <f>AC39/AC13</f>
        <v>6.7124818447118276E-3</v>
      </c>
    </row>
    <row r="40" spans="1:31" x14ac:dyDescent="0.15">
      <c r="A40" s="50" t="s">
        <v>94</v>
      </c>
      <c r="B40" s="11" t="s">
        <v>95</v>
      </c>
      <c r="C40" s="14">
        <v>11060</v>
      </c>
      <c r="D40" s="14">
        <v>0</v>
      </c>
      <c r="E40" s="14">
        <v>91180</v>
      </c>
      <c r="F40" s="14">
        <v>66780</v>
      </c>
      <c r="G40" s="14">
        <v>99250</v>
      </c>
      <c r="H40" s="14">
        <v>103650</v>
      </c>
      <c r="I40" s="14">
        <v>157960</v>
      </c>
      <c r="J40" s="14">
        <v>65390</v>
      </c>
      <c r="K40" s="14">
        <v>55740</v>
      </c>
      <c r="L40" s="14">
        <v>79990</v>
      </c>
      <c r="M40" s="14">
        <v>150320</v>
      </c>
      <c r="N40" s="14">
        <v>141150</v>
      </c>
      <c r="O40" s="14">
        <v>76030</v>
      </c>
      <c r="P40" s="14">
        <v>180840</v>
      </c>
      <c r="Q40" s="14">
        <v>144640</v>
      </c>
      <c r="R40" s="14">
        <v>115870</v>
      </c>
      <c r="S40" s="14">
        <v>0</v>
      </c>
      <c r="T40" s="14">
        <v>0</v>
      </c>
      <c r="U40" s="14">
        <v>0</v>
      </c>
      <c r="V40" s="14">
        <v>140900</v>
      </c>
      <c r="W40" s="14">
        <v>131810</v>
      </c>
      <c r="X40" s="14">
        <v>240470</v>
      </c>
      <c r="Y40" s="14">
        <v>197470</v>
      </c>
      <c r="Z40" s="14">
        <v>115450</v>
      </c>
      <c r="AA40" s="14">
        <v>81550</v>
      </c>
      <c r="AB40" s="14">
        <v>27310</v>
      </c>
      <c r="AC40" s="16">
        <f>SUM(C40:AB40)</f>
        <v>2474810</v>
      </c>
      <c r="AD40" s="16">
        <f>AVERAGE(C40:AB40)</f>
        <v>95185</v>
      </c>
      <c r="AE40" s="13">
        <f>AC40/AC13</f>
        <v>8.7627281759450129E-2</v>
      </c>
    </row>
    <row r="41" spans="1:31" x14ac:dyDescent="0.15">
      <c r="A41" s="50"/>
      <c r="B41" s="11" t="s">
        <v>96</v>
      </c>
      <c r="C41" s="14">
        <v>-11060</v>
      </c>
      <c r="D41" s="14">
        <v>-3020</v>
      </c>
      <c r="E41" s="14">
        <v>-38139</v>
      </c>
      <c r="F41" s="14">
        <v>-28344</v>
      </c>
      <c r="G41" s="14">
        <v>-47734</v>
      </c>
      <c r="H41" s="14">
        <v>-53733</v>
      </c>
      <c r="I41" s="14">
        <v>-78372</v>
      </c>
      <c r="J41" s="14">
        <v>-31043</v>
      </c>
      <c r="K41" s="14">
        <v>-18473</v>
      </c>
      <c r="L41" s="14">
        <v>-37453</v>
      </c>
      <c r="M41" s="14">
        <v>-63995</v>
      </c>
      <c r="N41" s="14">
        <v>-46536</v>
      </c>
      <c r="O41" s="14">
        <v>-27786</v>
      </c>
      <c r="P41" s="14">
        <v>-61890</v>
      </c>
      <c r="Q41" s="14">
        <v>-116000</v>
      </c>
      <c r="R41" s="14">
        <v>-116000</v>
      </c>
      <c r="S41" s="14">
        <v>0</v>
      </c>
      <c r="T41" s="14">
        <v>0</v>
      </c>
      <c r="U41" s="14">
        <v>0</v>
      </c>
      <c r="V41" s="14">
        <v>-138870</v>
      </c>
      <c r="W41" s="14">
        <v>-131810</v>
      </c>
      <c r="X41" s="14">
        <v>-131704</v>
      </c>
      <c r="Y41" s="14">
        <v>-37832</v>
      </c>
      <c r="Z41" s="14">
        <v>0</v>
      </c>
      <c r="AA41" s="14">
        <v>0</v>
      </c>
      <c r="AB41" s="14">
        <v>0</v>
      </c>
      <c r="AC41" s="16">
        <f>SUM(C41:AB41)</f>
        <v>-1219794</v>
      </c>
      <c r="AD41" s="16">
        <f>AVERAGE(C41:AB41)</f>
        <v>-46915.153846153844</v>
      </c>
      <c r="AE41" s="13">
        <f>AC41/AC13</f>
        <v>-4.3190076218573029E-2</v>
      </c>
    </row>
    <row r="42" spans="1:31" x14ac:dyDescent="0.15">
      <c r="A42" s="50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6">
        <f>SUM(C42:AB42)</f>
        <v>0</v>
      </c>
      <c r="AD42" s="16">
        <f>AVERAGE(C42:AB42)</f>
        <v>0</v>
      </c>
      <c r="AE42" s="13">
        <f>AC42/AC13</f>
        <v>0</v>
      </c>
    </row>
    <row r="43" spans="1:31" x14ac:dyDescent="0.15">
      <c r="A43" s="50"/>
      <c r="B43" s="11" t="s">
        <v>98</v>
      </c>
      <c r="C43" s="14">
        <v>-3649.8</v>
      </c>
      <c r="D43" s="14">
        <v>0</v>
      </c>
      <c r="E43" s="14">
        <v>-30089.4</v>
      </c>
      <c r="F43" s="14">
        <v>-22037.4</v>
      </c>
      <c r="G43" s="14">
        <v>-32752.5</v>
      </c>
      <c r="H43" s="14">
        <v>-34204.5</v>
      </c>
      <c r="I43" s="14">
        <v>-52126.8</v>
      </c>
      <c r="J43" s="14">
        <v>-21578.7</v>
      </c>
      <c r="K43" s="14">
        <v>-18394.2</v>
      </c>
      <c r="L43" s="14">
        <v>-26396.7</v>
      </c>
      <c r="M43" s="14">
        <v>-49605.599999999999</v>
      </c>
      <c r="N43" s="14">
        <v>-46579.5</v>
      </c>
      <c r="O43" s="14">
        <v>-25089.9</v>
      </c>
      <c r="P43" s="14">
        <v>-59677.2</v>
      </c>
      <c r="Q43" s="14">
        <v>-47731.199999999997</v>
      </c>
      <c r="R43" s="14">
        <v>-38237.1</v>
      </c>
      <c r="S43" s="14">
        <v>0</v>
      </c>
      <c r="T43" s="14">
        <v>0</v>
      </c>
      <c r="U43" s="14">
        <v>0</v>
      </c>
      <c r="V43" s="14">
        <v>-46497</v>
      </c>
      <c r="W43" s="14">
        <v>-43497.3</v>
      </c>
      <c r="X43" s="14">
        <v>-79355.100000000006</v>
      </c>
      <c r="Y43" s="14">
        <v>-65165.1</v>
      </c>
      <c r="Z43" s="14">
        <v>-38098.5</v>
      </c>
      <c r="AA43" s="14">
        <v>-26911.5</v>
      </c>
      <c r="AB43" s="14">
        <v>-9012.2999999999993</v>
      </c>
      <c r="AC43" s="16">
        <f>SUM(C43:AB43)</f>
        <v>-816687.3</v>
      </c>
      <c r="AD43" s="16">
        <f>AVERAGE(B43:AB43)</f>
        <v>-31411.050000000003</v>
      </c>
      <c r="AE43" s="13">
        <f>AC43/AC13</f>
        <v>-2.8917002980618545E-2</v>
      </c>
    </row>
    <row r="44" spans="1:31" x14ac:dyDescent="0.15">
      <c r="A44" s="50"/>
      <c r="B44" s="24" t="s">
        <v>99</v>
      </c>
      <c r="C44" s="25">
        <f t="shared" ref="C44:AC44" si="9">SUM(C40:C43)</f>
        <v>-3649.8</v>
      </c>
      <c r="D44" s="25">
        <f t="shared" si="9"/>
        <v>-3020</v>
      </c>
      <c r="E44" s="25">
        <f t="shared" si="9"/>
        <v>22951.599999999999</v>
      </c>
      <c r="F44" s="25">
        <f t="shared" si="9"/>
        <v>16398.599999999999</v>
      </c>
      <c r="G44" s="25">
        <f t="shared" si="9"/>
        <v>18763.5</v>
      </c>
      <c r="H44" s="25">
        <f t="shared" si="9"/>
        <v>15712.5</v>
      </c>
      <c r="I44" s="25">
        <f t="shared" si="9"/>
        <v>27461.199999999997</v>
      </c>
      <c r="J44" s="25">
        <f t="shared" si="9"/>
        <v>12768.3</v>
      </c>
      <c r="K44" s="25">
        <f t="shared" si="9"/>
        <v>18872.8</v>
      </c>
      <c r="L44" s="25">
        <f t="shared" si="9"/>
        <v>16140.3</v>
      </c>
      <c r="M44" s="25">
        <f t="shared" si="9"/>
        <v>36719.4</v>
      </c>
      <c r="N44" s="25">
        <f t="shared" si="9"/>
        <v>48034.5</v>
      </c>
      <c r="O44" s="25">
        <f t="shared" si="9"/>
        <v>23154.1</v>
      </c>
      <c r="P44" s="25">
        <f t="shared" si="9"/>
        <v>59272.800000000003</v>
      </c>
      <c r="Q44" s="25">
        <f t="shared" si="9"/>
        <v>-19091.199999999997</v>
      </c>
      <c r="R44" s="25">
        <f t="shared" si="9"/>
        <v>-38367.1</v>
      </c>
      <c r="S44" s="25">
        <f t="shared" si="9"/>
        <v>0</v>
      </c>
      <c r="T44" s="25">
        <f t="shared" si="9"/>
        <v>0</v>
      </c>
      <c r="U44" s="25">
        <f t="shared" si="9"/>
        <v>0</v>
      </c>
      <c r="V44" s="25">
        <f t="shared" si="9"/>
        <v>-44467</v>
      </c>
      <c r="W44" s="25">
        <f t="shared" si="9"/>
        <v>-43497.3</v>
      </c>
      <c r="X44" s="25">
        <f t="shared" si="9"/>
        <v>29410.899999999994</v>
      </c>
      <c r="Y44" s="25">
        <f t="shared" si="9"/>
        <v>94472.9</v>
      </c>
      <c r="Z44" s="25">
        <f t="shared" si="9"/>
        <v>77351.5</v>
      </c>
      <c r="AA44" s="25">
        <f t="shared" si="9"/>
        <v>54638.5</v>
      </c>
      <c r="AB44" s="25">
        <f t="shared" si="9"/>
        <v>18297.7</v>
      </c>
      <c r="AC44" s="27">
        <f t="shared" si="9"/>
        <v>438328.69999999995</v>
      </c>
      <c r="AD44" s="27">
        <f>AVERAGE(B44:AB44)</f>
        <v>16858.796153846153</v>
      </c>
      <c r="AE44" s="28">
        <f>AC44/AC13</f>
        <v>1.5520202560258559E-2</v>
      </c>
    </row>
    <row r="45" spans="1:31" x14ac:dyDescent="0.15">
      <c r="A45" s="50" t="s">
        <v>100</v>
      </c>
      <c r="B45" s="11" t="s">
        <v>101</v>
      </c>
      <c r="C45" s="14">
        <v>28345</v>
      </c>
      <c r="D45" s="14">
        <v>453526</v>
      </c>
      <c r="E45" s="14">
        <v>581081</v>
      </c>
      <c r="F45" s="14">
        <v>368490</v>
      </c>
      <c r="G45" s="14">
        <v>354317</v>
      </c>
      <c r="H45" s="14">
        <v>354317</v>
      </c>
      <c r="I45" s="14">
        <v>396835</v>
      </c>
      <c r="J45" s="14">
        <v>340145</v>
      </c>
      <c r="K45" s="14">
        <v>396836</v>
      </c>
      <c r="L45" s="14">
        <v>382663</v>
      </c>
      <c r="M45" s="14">
        <v>396835</v>
      </c>
      <c r="N45" s="14">
        <v>255108</v>
      </c>
      <c r="O45" s="14">
        <v>184245</v>
      </c>
      <c r="P45" s="14">
        <v>297627</v>
      </c>
      <c r="Q45" s="14">
        <v>226763</v>
      </c>
      <c r="R45" s="14">
        <v>226763</v>
      </c>
      <c r="S45" s="14">
        <v>0</v>
      </c>
      <c r="T45" s="14">
        <v>0</v>
      </c>
      <c r="U45" s="14">
        <v>0</v>
      </c>
      <c r="V45" s="14">
        <v>340145</v>
      </c>
      <c r="W45" s="14">
        <v>340145</v>
      </c>
      <c r="X45" s="14">
        <v>325972</v>
      </c>
      <c r="Y45" s="14">
        <v>368490</v>
      </c>
      <c r="Z45" s="14">
        <v>354319</v>
      </c>
      <c r="AA45" s="14">
        <v>255109</v>
      </c>
      <c r="AB45" s="14">
        <v>340144</v>
      </c>
      <c r="AC45" s="16">
        <f>SUM(C45:AB45)</f>
        <v>7568220</v>
      </c>
      <c r="AD45" s="16">
        <f>AVERAGE(C45:AB45)</f>
        <v>291085.38461538462</v>
      </c>
      <c r="AE45" s="13">
        <f>AC45/AC13</f>
        <v>0.26797311565635573</v>
      </c>
    </row>
    <row r="46" spans="1:31" x14ac:dyDescent="0.15">
      <c r="A46" s="50"/>
      <c r="B46" s="11" t="s">
        <v>102</v>
      </c>
      <c r="C46" s="14">
        <v>1669</v>
      </c>
      <c r="D46" s="14">
        <v>26699</v>
      </c>
      <c r="E46" s="14">
        <v>34208</v>
      </c>
      <c r="F46" s="14">
        <v>21692</v>
      </c>
      <c r="G46" s="14">
        <v>20858</v>
      </c>
      <c r="H46" s="14">
        <v>20859</v>
      </c>
      <c r="I46" s="14">
        <v>23361</v>
      </c>
      <c r="J46" s="14">
        <v>20024</v>
      </c>
      <c r="K46" s="14">
        <v>23361</v>
      </c>
      <c r="L46" s="14">
        <v>22526</v>
      </c>
      <c r="M46" s="14">
        <v>23361</v>
      </c>
      <c r="N46" s="14">
        <v>15018</v>
      </c>
      <c r="O46" s="14">
        <v>10847</v>
      </c>
      <c r="P46" s="14">
        <v>17520</v>
      </c>
      <c r="Q46" s="14">
        <v>13349</v>
      </c>
      <c r="R46" s="14">
        <v>13349</v>
      </c>
      <c r="S46" s="14">
        <v>0</v>
      </c>
      <c r="T46" s="14">
        <v>0</v>
      </c>
      <c r="U46" s="14">
        <v>0</v>
      </c>
      <c r="V46" s="14">
        <v>20024</v>
      </c>
      <c r="W46" s="14">
        <v>20023</v>
      </c>
      <c r="X46" s="14">
        <v>19189</v>
      </c>
      <c r="Y46" s="14">
        <v>21692</v>
      </c>
      <c r="Z46" s="14">
        <v>20864</v>
      </c>
      <c r="AA46" s="14">
        <v>15018</v>
      </c>
      <c r="AB46" s="14">
        <v>20024</v>
      </c>
      <c r="AC46" s="16">
        <f>SUM(C46:AB46)</f>
        <v>445535</v>
      </c>
      <c r="AD46" s="16">
        <f>AVERAGE(C46:AB46)</f>
        <v>17135.961538461539</v>
      </c>
      <c r="AE46" s="13">
        <f>AC46/AC13</f>
        <v>1.5775360928191099E-2</v>
      </c>
    </row>
    <row r="47" spans="1:31" x14ac:dyDescent="0.15">
      <c r="A47" s="50"/>
      <c r="B47" s="11" t="s">
        <v>103</v>
      </c>
      <c r="C47" s="14">
        <v>4727</v>
      </c>
      <c r="D47" s="14">
        <v>75626</v>
      </c>
      <c r="E47" s="14">
        <v>96896</v>
      </c>
      <c r="F47" s="14">
        <v>61446</v>
      </c>
      <c r="G47" s="14">
        <v>59083</v>
      </c>
      <c r="H47" s="14">
        <v>59083</v>
      </c>
      <c r="I47" s="14">
        <v>66173</v>
      </c>
      <c r="J47" s="14">
        <v>56720</v>
      </c>
      <c r="K47" s="14">
        <v>66172</v>
      </c>
      <c r="L47" s="14">
        <v>63809</v>
      </c>
      <c r="M47" s="14">
        <v>66173</v>
      </c>
      <c r="N47" s="14">
        <v>42540</v>
      </c>
      <c r="O47" s="14">
        <v>30724</v>
      </c>
      <c r="P47" s="14">
        <v>49629</v>
      </c>
      <c r="Q47" s="14">
        <v>37813</v>
      </c>
      <c r="R47" s="14">
        <v>37813</v>
      </c>
      <c r="S47" s="14">
        <v>0</v>
      </c>
      <c r="T47" s="14">
        <v>0</v>
      </c>
      <c r="U47" s="14">
        <v>0</v>
      </c>
      <c r="V47" s="14">
        <v>56720</v>
      </c>
      <c r="W47" s="14">
        <v>56719</v>
      </c>
      <c r="X47" s="14">
        <v>54356</v>
      </c>
      <c r="Y47" s="14">
        <v>61446</v>
      </c>
      <c r="Z47" s="14">
        <v>59084</v>
      </c>
      <c r="AA47" s="14">
        <v>42540</v>
      </c>
      <c r="AB47" s="14">
        <v>56720</v>
      </c>
      <c r="AC47" s="16">
        <f>SUM(C47:AB47)</f>
        <v>1262012</v>
      </c>
      <c r="AD47" s="16">
        <f>AVERAGE(C47:AB47)</f>
        <v>48538.923076923078</v>
      </c>
      <c r="AE47" s="13">
        <f>AC47/AC13</f>
        <v>4.4684917673602088E-2</v>
      </c>
    </row>
    <row r="48" spans="1:31" x14ac:dyDescent="0.15">
      <c r="A48" s="50"/>
      <c r="B48" s="11" t="s">
        <v>104</v>
      </c>
      <c r="C48" s="14">
        <v>287</v>
      </c>
      <c r="D48" s="14">
        <v>4587</v>
      </c>
      <c r="E48" s="14">
        <v>5877</v>
      </c>
      <c r="F48" s="14">
        <v>3727</v>
      </c>
      <c r="G48" s="14">
        <v>3584</v>
      </c>
      <c r="H48" s="14">
        <v>3584</v>
      </c>
      <c r="I48" s="14">
        <v>4014</v>
      </c>
      <c r="J48" s="14">
        <v>3440</v>
      </c>
      <c r="K48" s="14">
        <v>4013</v>
      </c>
      <c r="L48" s="14">
        <v>3870</v>
      </c>
      <c r="M48" s="14">
        <v>4013</v>
      </c>
      <c r="N48" s="14">
        <v>2580</v>
      </c>
      <c r="O48" s="14">
        <v>1864</v>
      </c>
      <c r="P48" s="14">
        <v>3009</v>
      </c>
      <c r="Q48" s="14">
        <v>2293</v>
      </c>
      <c r="R48" s="14">
        <v>2293</v>
      </c>
      <c r="S48" s="14">
        <v>0</v>
      </c>
      <c r="T48" s="14">
        <v>0</v>
      </c>
      <c r="U48" s="14">
        <v>0</v>
      </c>
      <c r="V48" s="14">
        <v>3440</v>
      </c>
      <c r="W48" s="14">
        <v>3440</v>
      </c>
      <c r="X48" s="14">
        <v>3297</v>
      </c>
      <c r="Y48" s="14">
        <v>3727</v>
      </c>
      <c r="Z48" s="14">
        <v>3585</v>
      </c>
      <c r="AA48" s="14">
        <v>2580</v>
      </c>
      <c r="AB48" s="14">
        <v>3440</v>
      </c>
      <c r="AC48" s="16">
        <f>SUM(C48:AB48)</f>
        <v>76544</v>
      </c>
      <c r="AD48" s="16">
        <f>AVERAGE(C48:AB48)</f>
        <v>2944</v>
      </c>
      <c r="AE48" s="13">
        <f>AC48/AC13</f>
        <v>2.7102454956119261E-3</v>
      </c>
    </row>
    <row r="49" spans="1:31" x14ac:dyDescent="0.15">
      <c r="A49" s="50"/>
      <c r="B49" s="24" t="s">
        <v>105</v>
      </c>
      <c r="C49" s="25">
        <f t="shared" ref="C49:AB49" si="10">SUM(C45:C48)</f>
        <v>35028</v>
      </c>
      <c r="D49" s="25">
        <f t="shared" si="10"/>
        <v>560438</v>
      </c>
      <c r="E49" s="25">
        <f t="shared" si="10"/>
        <v>718062</v>
      </c>
      <c r="F49" s="25">
        <f t="shared" si="10"/>
        <v>455355</v>
      </c>
      <c r="G49" s="25">
        <f t="shared" si="10"/>
        <v>437842</v>
      </c>
      <c r="H49" s="25">
        <f t="shared" si="10"/>
        <v>437843</v>
      </c>
      <c r="I49" s="25">
        <f t="shared" si="10"/>
        <v>490383</v>
      </c>
      <c r="J49" s="25">
        <f t="shared" si="10"/>
        <v>420329</v>
      </c>
      <c r="K49" s="25">
        <f t="shared" si="10"/>
        <v>490382</v>
      </c>
      <c r="L49" s="25">
        <f t="shared" si="10"/>
        <v>472868</v>
      </c>
      <c r="M49" s="25">
        <f t="shared" si="10"/>
        <v>490382</v>
      </c>
      <c r="N49" s="25">
        <f t="shared" si="10"/>
        <v>315246</v>
      </c>
      <c r="O49" s="25">
        <f t="shared" si="10"/>
        <v>227680</v>
      </c>
      <c r="P49" s="25">
        <f t="shared" si="10"/>
        <v>367785</v>
      </c>
      <c r="Q49" s="25">
        <f t="shared" si="10"/>
        <v>280218</v>
      </c>
      <c r="R49" s="25">
        <f t="shared" si="10"/>
        <v>280218</v>
      </c>
      <c r="S49" s="25">
        <f t="shared" si="10"/>
        <v>0</v>
      </c>
      <c r="T49" s="25">
        <f t="shared" si="10"/>
        <v>0</v>
      </c>
      <c r="U49" s="25">
        <f t="shared" si="10"/>
        <v>0</v>
      </c>
      <c r="V49" s="25">
        <f t="shared" si="10"/>
        <v>420329</v>
      </c>
      <c r="W49" s="25">
        <f t="shared" si="10"/>
        <v>420327</v>
      </c>
      <c r="X49" s="25">
        <f t="shared" si="10"/>
        <v>402814</v>
      </c>
      <c r="Y49" s="25">
        <f t="shared" si="10"/>
        <v>455355</v>
      </c>
      <c r="Z49" s="25">
        <f t="shared" si="10"/>
        <v>437852</v>
      </c>
      <c r="AA49" s="25">
        <f t="shared" si="10"/>
        <v>315247</v>
      </c>
      <c r="AB49" s="25">
        <f t="shared" si="10"/>
        <v>420328</v>
      </c>
      <c r="AC49" s="27">
        <f>SUM(C49:AB49)</f>
        <v>9352311</v>
      </c>
      <c r="AD49" s="27">
        <f>AVERAGE(C49:AB49)</f>
        <v>359704.26923076925</v>
      </c>
      <c r="AE49" s="28">
        <f>AC49/AC13</f>
        <v>0.33114363975376082</v>
      </c>
    </row>
    <row r="50" spans="1:31" x14ac:dyDescent="0.15">
      <c r="A50" s="50" t="s">
        <v>106</v>
      </c>
      <c r="B50" s="11" t="s">
        <v>107</v>
      </c>
      <c r="C50" s="14">
        <v>6882.3529411764703</v>
      </c>
      <c r="D50" s="14">
        <v>6882.3529411764703</v>
      </c>
      <c r="E50" s="14">
        <v>6882.3529411764703</v>
      </c>
      <c r="F50" s="14">
        <v>6882.3529411764703</v>
      </c>
      <c r="G50" s="14">
        <v>6882.3529411764703</v>
      </c>
      <c r="H50" s="14">
        <v>6882.3529411764703</v>
      </c>
      <c r="I50" s="14">
        <v>6882.3529411764703</v>
      </c>
      <c r="J50" s="14">
        <v>6882.3529411764703</v>
      </c>
      <c r="K50" s="14">
        <v>6882.3529411764703</v>
      </c>
      <c r="L50" s="14">
        <v>6882.3529411764703</v>
      </c>
      <c r="M50" s="14">
        <v>6882.3529411764703</v>
      </c>
      <c r="N50" s="14">
        <v>6882.3529411764703</v>
      </c>
      <c r="O50" s="14">
        <v>6882.3529411764703</v>
      </c>
      <c r="P50" s="14">
        <v>6882.3529411764703</v>
      </c>
      <c r="Q50" s="14">
        <v>6882.3529411764703</v>
      </c>
      <c r="R50" s="14">
        <v>6882.3529411764703</v>
      </c>
      <c r="S50" s="14">
        <v>0</v>
      </c>
      <c r="T50" s="14">
        <v>0</v>
      </c>
      <c r="U50" s="14">
        <v>6882.3529411764703</v>
      </c>
      <c r="V50" s="14">
        <v>21428.571428571428</v>
      </c>
      <c r="W50" s="14">
        <v>21428.571428571428</v>
      </c>
      <c r="X50" s="14">
        <v>21428.571428571428</v>
      </c>
      <c r="Y50" s="14">
        <v>21428.571428571428</v>
      </c>
      <c r="Z50" s="14">
        <v>21428.571428571428</v>
      </c>
      <c r="AA50" s="14">
        <v>21428.571428571428</v>
      </c>
      <c r="AB50" s="14">
        <v>21428.571428571428</v>
      </c>
      <c r="AC50" s="16">
        <f>SUM(C50:AB50)</f>
        <v>267000</v>
      </c>
      <c r="AD50" s="16">
        <f>AVERAGE(C50:AB50)</f>
        <v>10269.23076923077</v>
      </c>
      <c r="AE50" s="13">
        <f>AC50/AC13</f>
        <v>9.4538506914765928E-3</v>
      </c>
    </row>
    <row r="51" spans="1:31" x14ac:dyDescent="0.15">
      <c r="A51" s="50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6">
        <f>SUM(C51:AB51)</f>
        <v>0</v>
      </c>
      <c r="AD51" s="16">
        <f>AVERAGE(C51:AB51)</f>
        <v>0</v>
      </c>
      <c r="AE51" s="13">
        <f>AC51/AC13</f>
        <v>0</v>
      </c>
    </row>
    <row r="52" spans="1:31" x14ac:dyDescent="0.15">
      <c r="A52" s="50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6">
        <f>SUM(C52:AB52)</f>
        <v>0</v>
      </c>
      <c r="AD52" s="16">
        <f>AVERAGE(C52:AB52)</f>
        <v>0</v>
      </c>
      <c r="AE52" s="13">
        <f>AC52/AC13</f>
        <v>0</v>
      </c>
    </row>
    <row r="53" spans="1:31" x14ac:dyDescent="0.15">
      <c r="A53" s="50"/>
      <c r="B53" s="11" t="s">
        <v>110</v>
      </c>
      <c r="C53" s="14">
        <v>96534.823529411762</v>
      </c>
      <c r="D53" s="14">
        <v>96534.823529411762</v>
      </c>
      <c r="E53" s="14">
        <v>96534.823529411762</v>
      </c>
      <c r="F53" s="14">
        <v>96534.823529411762</v>
      </c>
      <c r="G53" s="14">
        <v>96534.823529411762</v>
      </c>
      <c r="H53" s="14">
        <v>96534.823529411762</v>
      </c>
      <c r="I53" s="14">
        <v>96534.823529411762</v>
      </c>
      <c r="J53" s="14">
        <v>96534.823529411762</v>
      </c>
      <c r="K53" s="14">
        <v>96534.823529411762</v>
      </c>
      <c r="L53" s="14">
        <v>96534.823529411762</v>
      </c>
      <c r="M53" s="14">
        <v>96534.823529411762</v>
      </c>
      <c r="N53" s="14">
        <v>96534.823529411762</v>
      </c>
      <c r="O53" s="14">
        <v>96534.823529411762</v>
      </c>
      <c r="P53" s="14">
        <v>96534.823529411762</v>
      </c>
      <c r="Q53" s="14">
        <v>96534.823529411762</v>
      </c>
      <c r="R53" s="14">
        <v>96534.823529411762</v>
      </c>
      <c r="S53" s="14">
        <v>0</v>
      </c>
      <c r="T53" s="14">
        <v>0</v>
      </c>
      <c r="U53" s="14">
        <v>96534.823529411762</v>
      </c>
      <c r="V53" s="14">
        <v>63673</v>
      </c>
      <c r="W53" s="14">
        <v>63673</v>
      </c>
      <c r="X53" s="14">
        <v>63673</v>
      </c>
      <c r="Y53" s="14">
        <v>63673</v>
      </c>
      <c r="Z53" s="14">
        <v>63673</v>
      </c>
      <c r="AA53" s="14">
        <v>63673</v>
      </c>
      <c r="AB53" s="14">
        <v>63673</v>
      </c>
      <c r="AC53" s="16">
        <f>SUM(C53:AB53)</f>
        <v>2086803.0000000005</v>
      </c>
      <c r="AD53" s="16">
        <f>AVERAGE(C53:AB53)</f>
        <v>80261.653846153858</v>
      </c>
      <c r="AE53" s="13">
        <f>AC53/AC13</f>
        <v>7.3888853874627083E-2</v>
      </c>
    </row>
    <row r="54" spans="1:31" x14ac:dyDescent="0.15">
      <c r="A54" s="50"/>
      <c r="B54" s="11" t="s">
        <v>111</v>
      </c>
      <c r="C54" s="14">
        <v>54692.647058823532</v>
      </c>
      <c r="D54" s="14">
        <v>54692.647058823532</v>
      </c>
      <c r="E54" s="14">
        <v>54692.647058823532</v>
      </c>
      <c r="F54" s="14">
        <v>54692.647058823532</v>
      </c>
      <c r="G54" s="14">
        <v>54692.647058823532</v>
      </c>
      <c r="H54" s="14">
        <v>54692.647058823532</v>
      </c>
      <c r="I54" s="14">
        <v>54692.647058823532</v>
      </c>
      <c r="J54" s="14">
        <v>54692.647058823532</v>
      </c>
      <c r="K54" s="14">
        <v>54692.647058823532</v>
      </c>
      <c r="L54" s="14">
        <v>54692.647058823532</v>
      </c>
      <c r="M54" s="14">
        <v>54692.647058823532</v>
      </c>
      <c r="N54" s="14">
        <v>54692.647058823532</v>
      </c>
      <c r="O54" s="14">
        <v>54692.647058823532</v>
      </c>
      <c r="P54" s="14">
        <v>54692.647058823532</v>
      </c>
      <c r="Q54" s="14">
        <v>54692.647058823532</v>
      </c>
      <c r="R54" s="14">
        <v>54692.647058823532</v>
      </c>
      <c r="S54" s="14">
        <v>0</v>
      </c>
      <c r="T54" s="14">
        <v>0</v>
      </c>
      <c r="U54" s="14">
        <v>54692.647058823532</v>
      </c>
      <c r="V54" s="14">
        <v>54692.714285714283</v>
      </c>
      <c r="W54" s="14">
        <v>54692.714285714283</v>
      </c>
      <c r="X54" s="14">
        <v>54692.714285714283</v>
      </c>
      <c r="Y54" s="14">
        <v>54692.714285714283</v>
      </c>
      <c r="Z54" s="14">
        <v>54692.714285714283</v>
      </c>
      <c r="AA54" s="14">
        <v>54692.714285714283</v>
      </c>
      <c r="AB54" s="14">
        <v>54692.714285714283</v>
      </c>
      <c r="AC54" s="16">
        <f>SUM(C54:AB54)</f>
        <v>1312624</v>
      </c>
      <c r="AD54" s="16">
        <f>AVERAGE(C54:AB54)</f>
        <v>50485.538461538461</v>
      </c>
      <c r="AE54" s="13">
        <f>AC54/AC13</f>
        <v>4.6476971198684533E-2</v>
      </c>
    </row>
    <row r="55" spans="1:31" x14ac:dyDescent="0.15">
      <c r="A55" s="50"/>
      <c r="B55" s="24" t="s">
        <v>112</v>
      </c>
      <c r="C55" s="25">
        <f t="shared" ref="C55:AB55" si="11">SUM(C50:C54)</f>
        <v>158109.82352941178</v>
      </c>
      <c r="D55" s="25">
        <f t="shared" si="11"/>
        <v>158109.82352941178</v>
      </c>
      <c r="E55" s="25">
        <f t="shared" si="11"/>
        <v>158109.82352941178</v>
      </c>
      <c r="F55" s="25">
        <f t="shared" si="11"/>
        <v>158109.82352941178</v>
      </c>
      <c r="G55" s="25">
        <f t="shared" si="11"/>
        <v>158109.82352941178</v>
      </c>
      <c r="H55" s="25">
        <f t="shared" si="11"/>
        <v>158109.82352941178</v>
      </c>
      <c r="I55" s="25">
        <f t="shared" si="11"/>
        <v>158109.82352941178</v>
      </c>
      <c r="J55" s="25">
        <f t="shared" si="11"/>
        <v>158109.82352941178</v>
      </c>
      <c r="K55" s="25">
        <f t="shared" si="11"/>
        <v>158109.82352941178</v>
      </c>
      <c r="L55" s="25">
        <f t="shared" si="11"/>
        <v>158109.82352941178</v>
      </c>
      <c r="M55" s="25">
        <f t="shared" si="11"/>
        <v>158109.82352941178</v>
      </c>
      <c r="N55" s="25">
        <f t="shared" si="11"/>
        <v>158109.82352941178</v>
      </c>
      <c r="O55" s="25">
        <f t="shared" si="11"/>
        <v>158109.82352941178</v>
      </c>
      <c r="P55" s="25">
        <f t="shared" si="11"/>
        <v>158109.82352941178</v>
      </c>
      <c r="Q55" s="25">
        <f t="shared" si="11"/>
        <v>158109.82352941178</v>
      </c>
      <c r="R55" s="25">
        <f t="shared" si="11"/>
        <v>158109.82352941178</v>
      </c>
      <c r="S55" s="25">
        <f t="shared" si="11"/>
        <v>0</v>
      </c>
      <c r="T55" s="25">
        <f t="shared" si="11"/>
        <v>0</v>
      </c>
      <c r="U55" s="25">
        <f t="shared" si="11"/>
        <v>158109.82352941178</v>
      </c>
      <c r="V55" s="25">
        <f t="shared" si="11"/>
        <v>139794.28571428571</v>
      </c>
      <c r="W55" s="25">
        <f t="shared" si="11"/>
        <v>139794.28571428571</v>
      </c>
      <c r="X55" s="25">
        <f t="shared" si="11"/>
        <v>139794.28571428571</v>
      </c>
      <c r="Y55" s="25">
        <f t="shared" si="11"/>
        <v>139794.28571428571</v>
      </c>
      <c r="Z55" s="25">
        <f t="shared" si="11"/>
        <v>139794.28571428571</v>
      </c>
      <c r="AA55" s="25">
        <f t="shared" si="11"/>
        <v>139794.28571428571</v>
      </c>
      <c r="AB55" s="25">
        <f t="shared" si="11"/>
        <v>139794.28571428571</v>
      </c>
      <c r="AC55" s="27">
        <f>SUM(C55:AB55)</f>
        <v>3666427.0000000009</v>
      </c>
      <c r="AD55" s="27">
        <f>AVERAGE(C55:AB55)</f>
        <v>141016.42307692312</v>
      </c>
      <c r="AE55" s="28">
        <f>AC55/AC13</f>
        <v>0.12981967576478823</v>
      </c>
    </row>
    <row r="56" spans="1:31" x14ac:dyDescent="0.15">
      <c r="A56" s="49" t="s">
        <v>113</v>
      </c>
      <c r="B56" s="49"/>
      <c r="C56" s="14">
        <f t="shared" ref="C56:AB56" si="12">SUM(C49+C22+C27+C33+C39+C44+C55)</f>
        <v>312174.02352941176</v>
      </c>
      <c r="D56" s="14">
        <f t="shared" si="12"/>
        <v>937810.53781512612</v>
      </c>
      <c r="E56" s="14">
        <f t="shared" si="12"/>
        <v>1185089.9949579833</v>
      </c>
      <c r="F56" s="14">
        <f t="shared" si="12"/>
        <v>1032864.9949579831</v>
      </c>
      <c r="G56" s="14">
        <f t="shared" si="12"/>
        <v>839312.75210084044</v>
      </c>
      <c r="H56" s="14">
        <f t="shared" si="12"/>
        <v>908504.75210084033</v>
      </c>
      <c r="I56" s="14">
        <f t="shared" si="12"/>
        <v>1070475.0235294118</v>
      </c>
      <c r="J56" s="14">
        <f t="shared" si="12"/>
        <v>1206414.5521008405</v>
      </c>
      <c r="K56" s="14">
        <f t="shared" si="12"/>
        <v>923117.62352941185</v>
      </c>
      <c r="L56" s="14">
        <f t="shared" si="12"/>
        <v>997678.98067226901</v>
      </c>
      <c r="M56" s="14">
        <f t="shared" si="12"/>
        <v>954530.79495798331</v>
      </c>
      <c r="N56" s="14">
        <f t="shared" si="12"/>
        <v>992012.46638655465</v>
      </c>
      <c r="O56" s="14">
        <f t="shared" si="12"/>
        <v>614438.3521008403</v>
      </c>
      <c r="P56" s="14">
        <f t="shared" si="12"/>
        <v>968137.62352941185</v>
      </c>
      <c r="Q56" s="14">
        <f t="shared" si="12"/>
        <v>749787.62352941185</v>
      </c>
      <c r="R56" s="14">
        <f t="shared" si="12"/>
        <v>649150.29495798319</v>
      </c>
      <c r="S56" s="14">
        <f t="shared" si="12"/>
        <v>0</v>
      </c>
      <c r="T56" s="14">
        <f t="shared" si="12"/>
        <v>0</v>
      </c>
      <c r="U56" s="14">
        <f t="shared" si="12"/>
        <v>248084.82352941178</v>
      </c>
      <c r="V56" s="14">
        <f t="shared" si="12"/>
        <v>857501.85714285704</v>
      </c>
      <c r="W56" s="14">
        <f t="shared" si="12"/>
        <v>1000569.9857142856</v>
      </c>
      <c r="X56" s="14">
        <f t="shared" si="12"/>
        <v>1101644.9000000001</v>
      </c>
      <c r="Y56" s="14">
        <f t="shared" si="12"/>
        <v>1031774.1857142857</v>
      </c>
      <c r="Z56" s="14">
        <f t="shared" si="12"/>
        <v>928298.78571428568</v>
      </c>
      <c r="AA56" s="14">
        <f t="shared" si="12"/>
        <v>1005478.5</v>
      </c>
      <c r="AB56" s="14">
        <f t="shared" si="12"/>
        <v>785213.7</v>
      </c>
      <c r="AC56" s="16">
        <f>SUM(C56:AB56)</f>
        <v>21300067.128571428</v>
      </c>
      <c r="AD56" s="16">
        <f>AVERAGE(C56:AB56)</f>
        <v>819233.35109890113</v>
      </c>
      <c r="AE56" s="13">
        <f>AC56/AC13</f>
        <v>0.75418597135559118</v>
      </c>
    </row>
    <row r="57" spans="1:31" x14ac:dyDescent="0.15">
      <c r="A57" s="49" t="s">
        <v>114</v>
      </c>
      <c r="B57" s="49"/>
      <c r="C57" s="14">
        <f t="shared" ref="C57:AB57" si="13">SUM(C13+C14-C56)</f>
        <v>-177165.02352941176</v>
      </c>
      <c r="D57" s="14">
        <f t="shared" si="13"/>
        <v>-10368.537815126125</v>
      </c>
      <c r="E57" s="14">
        <f t="shared" si="13"/>
        <v>48800.005042016739</v>
      </c>
      <c r="F57" s="14">
        <f t="shared" si="13"/>
        <v>186005.00504201686</v>
      </c>
      <c r="G57" s="14">
        <f t="shared" si="13"/>
        <v>370827.24789915956</v>
      </c>
      <c r="H57" s="14">
        <f t="shared" si="13"/>
        <v>296115.24789915967</v>
      </c>
      <c r="I57" s="14">
        <f t="shared" si="13"/>
        <v>460384.97647058824</v>
      </c>
      <c r="J57" s="14">
        <f t="shared" si="13"/>
        <v>7445.4478991595097</v>
      </c>
      <c r="K57" s="14">
        <f t="shared" si="13"/>
        <v>300472.37647058815</v>
      </c>
      <c r="L57" s="14">
        <f t="shared" si="13"/>
        <v>227951.01932773099</v>
      </c>
      <c r="M57" s="14">
        <f t="shared" si="13"/>
        <v>337749.20504201669</v>
      </c>
      <c r="N57" s="14">
        <f t="shared" si="13"/>
        <v>-119232.46638655465</v>
      </c>
      <c r="O57" s="14">
        <f t="shared" si="13"/>
        <v>594801.6478991597</v>
      </c>
      <c r="P57" s="14">
        <f t="shared" si="13"/>
        <v>292192.37647058815</v>
      </c>
      <c r="Q57" s="14">
        <f t="shared" si="13"/>
        <v>620948.37647058815</v>
      </c>
      <c r="R57" s="14">
        <f t="shared" si="13"/>
        <v>620103.70504201681</v>
      </c>
      <c r="S57" s="14">
        <f t="shared" si="13"/>
        <v>11000</v>
      </c>
      <c r="T57" s="14">
        <f t="shared" si="13"/>
        <v>612966</v>
      </c>
      <c r="U57" s="14">
        <f t="shared" si="13"/>
        <v>-248084.82352941178</v>
      </c>
      <c r="V57" s="14">
        <f t="shared" si="13"/>
        <v>960980.14285714296</v>
      </c>
      <c r="W57" s="14">
        <f t="shared" si="13"/>
        <v>784828.01428571437</v>
      </c>
      <c r="X57" s="14">
        <f t="shared" si="13"/>
        <v>147583.09999999986</v>
      </c>
      <c r="Y57" s="14">
        <f t="shared" si="13"/>
        <v>209805.8142857143</v>
      </c>
      <c r="Z57" s="14">
        <f t="shared" si="13"/>
        <v>667076.21428571432</v>
      </c>
      <c r="AA57" s="14">
        <f t="shared" si="13"/>
        <v>156907.5</v>
      </c>
      <c r="AB57" s="14">
        <f t="shared" si="13"/>
        <v>281490.30000000005</v>
      </c>
      <c r="AC57" s="16">
        <f>SUM(C57:AB57)</f>
        <v>7641582.8714285698</v>
      </c>
      <c r="AD57" s="16">
        <f>AVERAGE(C57:AB57)</f>
        <v>293907.03351648344</v>
      </c>
      <c r="AE57" s="13">
        <f>AC57/AC13</f>
        <v>0.27057072476790511</v>
      </c>
    </row>
    <row r="58" spans="1:31" x14ac:dyDescent="0.15">
      <c r="A58" s="49" t="s">
        <v>115</v>
      </c>
      <c r="B58" s="49"/>
      <c r="C58" s="14">
        <v>107211.78571428571</v>
      </c>
      <c r="D58" s="14">
        <v>107211.78571428571</v>
      </c>
      <c r="E58" s="14">
        <v>107211.78571428571</v>
      </c>
      <c r="F58" s="14">
        <v>107211.78571428571</v>
      </c>
      <c r="G58" s="14">
        <v>107211.78571428571</v>
      </c>
      <c r="H58" s="14">
        <v>107211.78571428571</v>
      </c>
      <c r="I58" s="14">
        <v>107211.78571428571</v>
      </c>
      <c r="J58" s="14">
        <v>107211.78571428571</v>
      </c>
      <c r="K58" s="14">
        <v>107211.78571428571</v>
      </c>
      <c r="L58" s="14">
        <v>107211.78571428571</v>
      </c>
      <c r="M58" s="14">
        <v>107211.78571428571</v>
      </c>
      <c r="N58" s="14">
        <v>107211.78571428571</v>
      </c>
      <c r="O58" s="14">
        <v>107211.78571428571</v>
      </c>
      <c r="P58" s="14">
        <v>107211.78571428571</v>
      </c>
      <c r="Q58" s="14">
        <v>107211.78571428571</v>
      </c>
      <c r="R58" s="14">
        <v>107211.78571428571</v>
      </c>
      <c r="S58" s="14">
        <v>0</v>
      </c>
      <c r="T58" s="14">
        <v>0</v>
      </c>
      <c r="U58" s="14">
        <v>107211.78571428571</v>
      </c>
      <c r="V58" s="14">
        <v>107211.78571428571</v>
      </c>
      <c r="W58" s="14">
        <v>107211.78571428571</v>
      </c>
      <c r="X58" s="14">
        <v>107211.78571428571</v>
      </c>
      <c r="Y58" s="14">
        <v>107211.78571428571</v>
      </c>
      <c r="Z58" s="14">
        <v>107211.78571428571</v>
      </c>
      <c r="AA58" s="14">
        <v>107211.78571428571</v>
      </c>
      <c r="AB58" s="14">
        <v>107211.78571428571</v>
      </c>
      <c r="AC58" s="16">
        <f>SUM(C58:AB58)</f>
        <v>2573082.8571428577</v>
      </c>
      <c r="AD58" s="16">
        <f>AVERAGE(C58:AB58)</f>
        <v>98964.725274725293</v>
      </c>
      <c r="AE58" s="13">
        <f>AC58/AC13</f>
        <v>9.1106895686241834E-2</v>
      </c>
    </row>
    <row r="59" spans="1:31" x14ac:dyDescent="0.15">
      <c r="A59" s="49" t="s">
        <v>116</v>
      </c>
      <c r="B59" s="49"/>
      <c r="C59" s="14">
        <v>28207.523809523809</v>
      </c>
      <c r="D59" s="14">
        <v>28207.523809523809</v>
      </c>
      <c r="E59" s="14">
        <v>28207.523809523809</v>
      </c>
      <c r="F59" s="14">
        <v>28207.523809523809</v>
      </c>
      <c r="G59" s="14">
        <v>28207.523809523809</v>
      </c>
      <c r="H59" s="14">
        <v>28207.523809523809</v>
      </c>
      <c r="I59" s="14">
        <v>28207.523809523809</v>
      </c>
      <c r="J59" s="14">
        <v>28207.523809523809</v>
      </c>
      <c r="K59" s="14">
        <v>28207.523809523809</v>
      </c>
      <c r="L59" s="14">
        <v>28207.523809523809</v>
      </c>
      <c r="M59" s="14">
        <v>28207.523809523809</v>
      </c>
      <c r="N59" s="14">
        <v>28207.523809523809</v>
      </c>
      <c r="O59" s="14">
        <v>28207.523809523809</v>
      </c>
      <c r="P59" s="14">
        <v>28207.523809523809</v>
      </c>
      <c r="Q59" s="14">
        <v>28207.523809523809</v>
      </c>
      <c r="R59" s="14">
        <v>28207.523809523809</v>
      </c>
      <c r="S59" s="14">
        <v>0</v>
      </c>
      <c r="T59" s="14">
        <v>0</v>
      </c>
      <c r="U59" s="14">
        <v>28207.523809523809</v>
      </c>
      <c r="V59" s="14">
        <v>28207.523809523809</v>
      </c>
      <c r="W59" s="14">
        <v>28207.523809523809</v>
      </c>
      <c r="X59" s="14">
        <v>28207.523809523809</v>
      </c>
      <c r="Y59" s="14">
        <v>28207.523809523809</v>
      </c>
      <c r="Z59" s="14">
        <v>28207.523809523809</v>
      </c>
      <c r="AA59" s="14">
        <v>28207.523809523809</v>
      </c>
      <c r="AB59" s="14">
        <v>28207.523809523809</v>
      </c>
      <c r="AC59" s="16">
        <f>SUM(C59:AB59)</f>
        <v>676980.57142857113</v>
      </c>
      <c r="AD59" s="16">
        <f>AVERAGE(C59:AB59)</f>
        <v>26037.714285714275</v>
      </c>
      <c r="AE59" s="13">
        <f>AC59/AC13</f>
        <v>2.397031177271991E-2</v>
      </c>
    </row>
    <row r="60" spans="1:31" x14ac:dyDescent="0.15">
      <c r="A60" s="49" t="s">
        <v>117</v>
      </c>
      <c r="B60" s="49"/>
      <c r="C60" s="14">
        <f t="shared" ref="C60:AB60" si="14">SUM(C57-(C58+C59))</f>
        <v>-312584.33305322129</v>
      </c>
      <c r="D60" s="14">
        <f t="shared" si="14"/>
        <v>-145787.84733893565</v>
      </c>
      <c r="E60" s="14">
        <f t="shared" si="14"/>
        <v>-86619.304481792788</v>
      </c>
      <c r="F60" s="14">
        <f t="shared" si="14"/>
        <v>50585.695518207329</v>
      </c>
      <c r="G60" s="14">
        <f t="shared" si="14"/>
        <v>235407.93837535003</v>
      </c>
      <c r="H60" s="14">
        <f t="shared" si="14"/>
        <v>160695.93837535015</v>
      </c>
      <c r="I60" s="14">
        <f t="shared" si="14"/>
        <v>324965.66694677871</v>
      </c>
      <c r="J60" s="14">
        <f t="shared" si="14"/>
        <v>-127973.86162465002</v>
      </c>
      <c r="K60" s="14">
        <f t="shared" si="14"/>
        <v>165053.06694677862</v>
      </c>
      <c r="L60" s="14">
        <f t="shared" si="14"/>
        <v>92531.709803921462</v>
      </c>
      <c r="M60" s="14">
        <f t="shared" si="14"/>
        <v>202329.89551820717</v>
      </c>
      <c r="N60" s="14">
        <f t="shared" si="14"/>
        <v>-254651.77591036417</v>
      </c>
      <c r="O60" s="14">
        <f t="shared" si="14"/>
        <v>459382.33837535017</v>
      </c>
      <c r="P60" s="14">
        <f t="shared" si="14"/>
        <v>156773.06694677862</v>
      </c>
      <c r="Q60" s="14">
        <f t="shared" si="14"/>
        <v>485529.06694677862</v>
      </c>
      <c r="R60" s="14">
        <f t="shared" si="14"/>
        <v>484684.39551820728</v>
      </c>
      <c r="S60" s="14">
        <f t="shared" si="14"/>
        <v>11000</v>
      </c>
      <c r="T60" s="14">
        <f t="shared" si="14"/>
        <v>612966</v>
      </c>
      <c r="U60" s="14">
        <f t="shared" si="14"/>
        <v>-383504.13305322127</v>
      </c>
      <c r="V60" s="14">
        <f t="shared" si="14"/>
        <v>825560.83333333349</v>
      </c>
      <c r="W60" s="14">
        <f t="shared" si="14"/>
        <v>649408.7047619049</v>
      </c>
      <c r="X60" s="14">
        <f t="shared" si="14"/>
        <v>12163.790476190334</v>
      </c>
      <c r="Y60" s="14">
        <f t="shared" si="14"/>
        <v>74386.504761904769</v>
      </c>
      <c r="Z60" s="14">
        <f t="shared" si="14"/>
        <v>531656.90476190485</v>
      </c>
      <c r="AA60" s="14">
        <f t="shared" si="14"/>
        <v>21488.190476190473</v>
      </c>
      <c r="AB60" s="14">
        <f t="shared" si="14"/>
        <v>146070.99047619052</v>
      </c>
      <c r="AC60" s="16">
        <f>SUM(C60:AB60)</f>
        <v>4391519.4428571416</v>
      </c>
      <c r="AD60" s="16">
        <f>AVERAGE(C60:AB60)</f>
        <v>168904.59395604391</v>
      </c>
      <c r="AE60" s="13">
        <f>AC60/AC13</f>
        <v>0.1554935173089434</v>
      </c>
    </row>
    <row r="61" spans="1:31" x14ac:dyDescent="0.15">
      <c r="A61" s="11"/>
      <c r="B61" s="36" t="s">
        <v>46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</row>
    <row r="62" spans="1:31" x14ac:dyDescent="0.15">
      <c r="A62" s="12"/>
      <c r="B62" s="37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</row>
    <row r="63" spans="1:31" x14ac:dyDescent="0.15">
      <c r="A63" s="12"/>
      <c r="B63" s="39" t="s">
        <v>124</v>
      </c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</row>
    <row r="64" spans="1:31" x14ac:dyDescent="0.15">
      <c r="A64" s="12"/>
      <c r="B64" s="40" t="s">
        <v>125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</row>
    <row r="65" spans="1:28" x14ac:dyDescent="0.15">
      <c r="A65" s="12"/>
      <c r="B65" s="40" t="s">
        <v>41</v>
      </c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</row>
    <row r="66" spans="1:28" x14ac:dyDescent="0.15">
      <c r="A66" s="11"/>
      <c r="B66" s="41" t="s">
        <v>47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</row>
    <row r="67" spans="1:28" x14ac:dyDescent="0.15">
      <c r="A67" s="11"/>
      <c r="B67" s="37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</row>
    <row r="68" spans="1:28" x14ac:dyDescent="0.15">
      <c r="A68" s="11"/>
      <c r="B68" s="39" t="s">
        <v>124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</row>
    <row r="69" spans="1:28" x14ac:dyDescent="0.15">
      <c r="A69" s="11"/>
      <c r="B69" s="40" t="s">
        <v>125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</row>
    <row r="70" spans="1:28" x14ac:dyDescent="0.15">
      <c r="A70" s="11"/>
      <c r="B70" s="40" t="s">
        <v>41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</row>
    <row r="71" spans="1:28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</row>
    <row r="72" spans="1:28" x14ac:dyDescent="0.15">
      <c r="A72" s="11"/>
      <c r="B72" s="37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</row>
    <row r="73" spans="1:28" x14ac:dyDescent="0.15">
      <c r="A73" s="11"/>
      <c r="B73" s="39" t="s">
        <v>124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</row>
    <row r="74" spans="1:28" x14ac:dyDescent="0.15">
      <c r="A74" s="11"/>
      <c r="B74" s="40" t="s">
        <v>125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</row>
    <row r="75" spans="1:28" x14ac:dyDescent="0.15">
      <c r="A75" s="11"/>
      <c r="B75" s="40" t="s">
        <v>41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</row>
    <row r="76" spans="1:28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</row>
    <row r="77" spans="1:28" x14ac:dyDescent="0.15">
      <c r="A77" s="11"/>
      <c r="B77" s="37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</row>
    <row r="78" spans="1:28" x14ac:dyDescent="0.15">
      <c r="A78" s="11"/>
      <c r="B78" s="39" t="s">
        <v>124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</row>
    <row r="79" spans="1:28" x14ac:dyDescent="0.15">
      <c r="A79" s="11"/>
      <c r="B79" s="40" t="s">
        <v>125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</row>
    <row r="80" spans="1:28" x14ac:dyDescent="0.15">
      <c r="A80" s="11"/>
      <c r="B80" s="40" t="s">
        <v>41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</row>
    <row r="81" spans="1:28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</row>
    <row r="82" spans="1:28" x14ac:dyDescent="0.15">
      <c r="A82" s="11"/>
      <c r="B82" s="37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</row>
    <row r="83" spans="1:28" x14ac:dyDescent="0.15">
      <c r="A83" s="11"/>
      <c r="B83" s="39" t="s">
        <v>124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</row>
    <row r="84" spans="1:28" x14ac:dyDescent="0.15">
      <c r="A84" s="11"/>
      <c r="B84" s="40" t="s">
        <v>125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</row>
    <row r="85" spans="1:28" x14ac:dyDescent="0.15">
      <c r="A85" s="11"/>
      <c r="B85" s="40" t="s">
        <v>41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</row>
    <row r="86" spans="1:28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</row>
    <row r="87" spans="1:28" x14ac:dyDescent="0.15">
      <c r="A87" s="11"/>
      <c r="B87" s="37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</row>
    <row r="88" spans="1:28" x14ac:dyDescent="0.15">
      <c r="A88" s="11"/>
      <c r="B88" s="39" t="s">
        <v>124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</row>
    <row r="89" spans="1:28" x14ac:dyDescent="0.15">
      <c r="B89" s="40" t="s">
        <v>125</v>
      </c>
    </row>
    <row r="90" spans="1:28" x14ac:dyDescent="0.15">
      <c r="B90" s="40" t="s">
        <v>41</v>
      </c>
    </row>
    <row r="92" spans="1:28" x14ac:dyDescent="0.15">
      <c r="B92" s="37"/>
    </row>
    <row r="93" spans="1:28" x14ac:dyDescent="0.15">
      <c r="B93" s="39" t="s">
        <v>124</v>
      </c>
    </row>
    <row r="94" spans="1:28" x14ac:dyDescent="0.15">
      <c r="B94" s="40" t="s">
        <v>125</v>
      </c>
    </row>
    <row r="95" spans="1:28" x14ac:dyDescent="0.15">
      <c r="B95" s="40" t="s">
        <v>41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41</v>
      </c>
    </row>
    <row r="102" spans="2:2" x14ac:dyDescent="0.15">
      <c r="B102" s="11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15:B15"/>
    <mergeCell ref="A16:B16"/>
    <mergeCell ref="A17:A22"/>
    <mergeCell ref="A23:A27"/>
    <mergeCell ref="A28:A33"/>
    <mergeCell ref="A34:A39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23620-D4A2-4082-BF42-23CCDCFC0C70}">
  <sheetPr codeName="Sheet5"/>
  <dimension ref="A2:X102"/>
  <sheetViews>
    <sheetView workbookViewId="0">
      <selection activeCell="V50" sqref="V50:V5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1" width="13" style="1" bestFit="1" customWidth="1"/>
    <col min="22" max="22" width="13.25" style="1" bestFit="1" customWidth="1"/>
    <col min="23" max="23" width="10" style="1" bestFit="1" customWidth="1"/>
    <col min="24" max="24" width="11" style="1" bestFit="1" customWidth="1"/>
    <col min="25" max="227" width="9" style="1"/>
    <col min="228" max="228" width="2.875" style="1" bestFit="1" customWidth="1"/>
    <col min="229" max="229" width="16.625" style="1" bestFit="1" customWidth="1"/>
    <col min="230" max="230" width="11.375" style="1" bestFit="1" customWidth="1"/>
    <col min="231" max="232" width="14.125" style="1" bestFit="1" customWidth="1"/>
    <col min="233" max="233" width="11.375" style="1" bestFit="1" customWidth="1"/>
    <col min="234" max="236" width="12.5" style="1" bestFit="1" customWidth="1"/>
    <col min="237" max="237" width="11" style="1" bestFit="1" customWidth="1"/>
    <col min="238" max="256" width="13" style="1" bestFit="1" customWidth="1"/>
    <col min="257" max="260" width="11" style="1" bestFit="1" customWidth="1"/>
    <col min="261" max="263" width="12.25" style="1" bestFit="1" customWidth="1"/>
    <col min="264" max="277" width="11" style="1" bestFit="1" customWidth="1"/>
    <col min="278" max="278" width="13.25" style="1" bestFit="1" customWidth="1"/>
    <col min="279" max="279" width="10" style="1" bestFit="1" customWidth="1"/>
    <col min="280" max="280" width="11" style="1" bestFit="1" customWidth="1"/>
    <col min="281" max="483" width="9" style="1"/>
    <col min="484" max="484" width="2.875" style="1" bestFit="1" customWidth="1"/>
    <col min="485" max="485" width="16.625" style="1" bestFit="1" customWidth="1"/>
    <col min="486" max="486" width="11.375" style="1" bestFit="1" customWidth="1"/>
    <col min="487" max="488" width="14.125" style="1" bestFit="1" customWidth="1"/>
    <col min="489" max="489" width="11.375" style="1" bestFit="1" customWidth="1"/>
    <col min="490" max="492" width="12.5" style="1" bestFit="1" customWidth="1"/>
    <col min="493" max="493" width="11" style="1" bestFit="1" customWidth="1"/>
    <col min="494" max="512" width="13" style="1" bestFit="1" customWidth="1"/>
    <col min="513" max="516" width="11" style="1" bestFit="1" customWidth="1"/>
    <col min="517" max="519" width="12.25" style="1" bestFit="1" customWidth="1"/>
    <col min="520" max="533" width="11" style="1" bestFit="1" customWidth="1"/>
    <col min="534" max="534" width="13.25" style="1" bestFit="1" customWidth="1"/>
    <col min="535" max="535" width="10" style="1" bestFit="1" customWidth="1"/>
    <col min="536" max="536" width="11" style="1" bestFit="1" customWidth="1"/>
    <col min="537" max="739" width="9" style="1"/>
    <col min="740" max="740" width="2.875" style="1" bestFit="1" customWidth="1"/>
    <col min="741" max="741" width="16.625" style="1" bestFit="1" customWidth="1"/>
    <col min="742" max="742" width="11.375" style="1" bestFit="1" customWidth="1"/>
    <col min="743" max="744" width="14.125" style="1" bestFit="1" customWidth="1"/>
    <col min="745" max="745" width="11.375" style="1" bestFit="1" customWidth="1"/>
    <col min="746" max="748" width="12.5" style="1" bestFit="1" customWidth="1"/>
    <col min="749" max="749" width="11" style="1" bestFit="1" customWidth="1"/>
    <col min="750" max="768" width="13" style="1" bestFit="1" customWidth="1"/>
    <col min="769" max="772" width="11" style="1" bestFit="1" customWidth="1"/>
    <col min="773" max="775" width="12.25" style="1" bestFit="1" customWidth="1"/>
    <col min="776" max="789" width="11" style="1" bestFit="1" customWidth="1"/>
    <col min="790" max="790" width="13.25" style="1" bestFit="1" customWidth="1"/>
    <col min="791" max="791" width="10" style="1" bestFit="1" customWidth="1"/>
    <col min="792" max="792" width="11" style="1" bestFit="1" customWidth="1"/>
    <col min="793" max="995" width="9" style="1"/>
    <col min="996" max="996" width="2.875" style="1" bestFit="1" customWidth="1"/>
    <col min="997" max="997" width="16.625" style="1" bestFit="1" customWidth="1"/>
    <col min="998" max="998" width="11.375" style="1" bestFit="1" customWidth="1"/>
    <col min="999" max="1000" width="14.125" style="1" bestFit="1" customWidth="1"/>
    <col min="1001" max="1001" width="11.375" style="1" bestFit="1" customWidth="1"/>
    <col min="1002" max="1004" width="12.5" style="1" bestFit="1" customWidth="1"/>
    <col min="1005" max="1005" width="11" style="1" bestFit="1" customWidth="1"/>
    <col min="1006" max="1024" width="13" style="1" bestFit="1" customWidth="1"/>
    <col min="1025" max="1028" width="11" style="1" bestFit="1" customWidth="1"/>
    <col min="1029" max="1031" width="12.25" style="1" bestFit="1" customWidth="1"/>
    <col min="1032" max="1045" width="11" style="1" bestFit="1" customWidth="1"/>
    <col min="1046" max="1046" width="13.25" style="1" bestFit="1" customWidth="1"/>
    <col min="1047" max="1047" width="10" style="1" bestFit="1" customWidth="1"/>
    <col min="1048" max="1048" width="11" style="1" bestFit="1" customWidth="1"/>
    <col min="1049" max="1251" width="9" style="1"/>
    <col min="1252" max="1252" width="2.875" style="1" bestFit="1" customWidth="1"/>
    <col min="1253" max="1253" width="16.625" style="1" bestFit="1" customWidth="1"/>
    <col min="1254" max="1254" width="11.375" style="1" bestFit="1" customWidth="1"/>
    <col min="1255" max="1256" width="14.125" style="1" bestFit="1" customWidth="1"/>
    <col min="1257" max="1257" width="11.375" style="1" bestFit="1" customWidth="1"/>
    <col min="1258" max="1260" width="12.5" style="1" bestFit="1" customWidth="1"/>
    <col min="1261" max="1261" width="11" style="1" bestFit="1" customWidth="1"/>
    <col min="1262" max="1280" width="13" style="1" bestFit="1" customWidth="1"/>
    <col min="1281" max="1284" width="11" style="1" bestFit="1" customWidth="1"/>
    <col min="1285" max="1287" width="12.25" style="1" bestFit="1" customWidth="1"/>
    <col min="1288" max="1301" width="11" style="1" bestFit="1" customWidth="1"/>
    <col min="1302" max="1302" width="13.25" style="1" bestFit="1" customWidth="1"/>
    <col min="1303" max="1303" width="10" style="1" bestFit="1" customWidth="1"/>
    <col min="1304" max="1304" width="11" style="1" bestFit="1" customWidth="1"/>
    <col min="1305" max="1507" width="9" style="1"/>
    <col min="1508" max="1508" width="2.875" style="1" bestFit="1" customWidth="1"/>
    <col min="1509" max="1509" width="16.625" style="1" bestFit="1" customWidth="1"/>
    <col min="1510" max="1510" width="11.375" style="1" bestFit="1" customWidth="1"/>
    <col min="1511" max="1512" width="14.125" style="1" bestFit="1" customWidth="1"/>
    <col min="1513" max="1513" width="11.375" style="1" bestFit="1" customWidth="1"/>
    <col min="1514" max="1516" width="12.5" style="1" bestFit="1" customWidth="1"/>
    <col min="1517" max="1517" width="11" style="1" bestFit="1" customWidth="1"/>
    <col min="1518" max="1536" width="13" style="1" bestFit="1" customWidth="1"/>
    <col min="1537" max="1540" width="11" style="1" bestFit="1" customWidth="1"/>
    <col min="1541" max="1543" width="12.25" style="1" bestFit="1" customWidth="1"/>
    <col min="1544" max="1557" width="11" style="1" bestFit="1" customWidth="1"/>
    <col min="1558" max="1558" width="13.25" style="1" bestFit="1" customWidth="1"/>
    <col min="1559" max="1559" width="10" style="1" bestFit="1" customWidth="1"/>
    <col min="1560" max="1560" width="11" style="1" bestFit="1" customWidth="1"/>
    <col min="1561" max="1763" width="9" style="1"/>
    <col min="1764" max="1764" width="2.875" style="1" bestFit="1" customWidth="1"/>
    <col min="1765" max="1765" width="16.625" style="1" bestFit="1" customWidth="1"/>
    <col min="1766" max="1766" width="11.375" style="1" bestFit="1" customWidth="1"/>
    <col min="1767" max="1768" width="14.125" style="1" bestFit="1" customWidth="1"/>
    <col min="1769" max="1769" width="11.375" style="1" bestFit="1" customWidth="1"/>
    <col min="1770" max="1772" width="12.5" style="1" bestFit="1" customWidth="1"/>
    <col min="1773" max="1773" width="11" style="1" bestFit="1" customWidth="1"/>
    <col min="1774" max="1792" width="13" style="1" bestFit="1" customWidth="1"/>
    <col min="1793" max="1796" width="11" style="1" bestFit="1" customWidth="1"/>
    <col min="1797" max="1799" width="12.25" style="1" bestFit="1" customWidth="1"/>
    <col min="1800" max="1813" width="11" style="1" bestFit="1" customWidth="1"/>
    <col min="1814" max="1814" width="13.25" style="1" bestFit="1" customWidth="1"/>
    <col min="1815" max="1815" width="10" style="1" bestFit="1" customWidth="1"/>
    <col min="1816" max="1816" width="11" style="1" bestFit="1" customWidth="1"/>
    <col min="1817" max="2019" width="9" style="1"/>
    <col min="2020" max="2020" width="2.875" style="1" bestFit="1" customWidth="1"/>
    <col min="2021" max="2021" width="16.625" style="1" bestFit="1" customWidth="1"/>
    <col min="2022" max="2022" width="11.375" style="1" bestFit="1" customWidth="1"/>
    <col min="2023" max="2024" width="14.125" style="1" bestFit="1" customWidth="1"/>
    <col min="2025" max="2025" width="11.375" style="1" bestFit="1" customWidth="1"/>
    <col min="2026" max="2028" width="12.5" style="1" bestFit="1" customWidth="1"/>
    <col min="2029" max="2029" width="11" style="1" bestFit="1" customWidth="1"/>
    <col min="2030" max="2048" width="13" style="1" bestFit="1" customWidth="1"/>
    <col min="2049" max="2052" width="11" style="1" bestFit="1" customWidth="1"/>
    <col min="2053" max="2055" width="12.25" style="1" bestFit="1" customWidth="1"/>
    <col min="2056" max="2069" width="11" style="1" bestFit="1" customWidth="1"/>
    <col min="2070" max="2070" width="13.25" style="1" bestFit="1" customWidth="1"/>
    <col min="2071" max="2071" width="10" style="1" bestFit="1" customWidth="1"/>
    <col min="2072" max="2072" width="11" style="1" bestFit="1" customWidth="1"/>
    <col min="2073" max="2275" width="9" style="1"/>
    <col min="2276" max="2276" width="2.875" style="1" bestFit="1" customWidth="1"/>
    <col min="2277" max="2277" width="16.625" style="1" bestFit="1" customWidth="1"/>
    <col min="2278" max="2278" width="11.375" style="1" bestFit="1" customWidth="1"/>
    <col min="2279" max="2280" width="14.125" style="1" bestFit="1" customWidth="1"/>
    <col min="2281" max="2281" width="11.375" style="1" bestFit="1" customWidth="1"/>
    <col min="2282" max="2284" width="12.5" style="1" bestFit="1" customWidth="1"/>
    <col min="2285" max="2285" width="11" style="1" bestFit="1" customWidth="1"/>
    <col min="2286" max="2304" width="13" style="1" bestFit="1" customWidth="1"/>
    <col min="2305" max="2308" width="11" style="1" bestFit="1" customWidth="1"/>
    <col min="2309" max="2311" width="12.25" style="1" bestFit="1" customWidth="1"/>
    <col min="2312" max="2325" width="11" style="1" bestFit="1" customWidth="1"/>
    <col min="2326" max="2326" width="13.25" style="1" bestFit="1" customWidth="1"/>
    <col min="2327" max="2327" width="10" style="1" bestFit="1" customWidth="1"/>
    <col min="2328" max="2328" width="11" style="1" bestFit="1" customWidth="1"/>
    <col min="2329" max="2531" width="9" style="1"/>
    <col min="2532" max="2532" width="2.875" style="1" bestFit="1" customWidth="1"/>
    <col min="2533" max="2533" width="16.625" style="1" bestFit="1" customWidth="1"/>
    <col min="2534" max="2534" width="11.375" style="1" bestFit="1" customWidth="1"/>
    <col min="2535" max="2536" width="14.125" style="1" bestFit="1" customWidth="1"/>
    <col min="2537" max="2537" width="11.375" style="1" bestFit="1" customWidth="1"/>
    <col min="2538" max="2540" width="12.5" style="1" bestFit="1" customWidth="1"/>
    <col min="2541" max="2541" width="11" style="1" bestFit="1" customWidth="1"/>
    <col min="2542" max="2560" width="13" style="1" bestFit="1" customWidth="1"/>
    <col min="2561" max="2564" width="11" style="1" bestFit="1" customWidth="1"/>
    <col min="2565" max="2567" width="12.25" style="1" bestFit="1" customWidth="1"/>
    <col min="2568" max="2581" width="11" style="1" bestFit="1" customWidth="1"/>
    <col min="2582" max="2582" width="13.25" style="1" bestFit="1" customWidth="1"/>
    <col min="2583" max="2583" width="10" style="1" bestFit="1" customWidth="1"/>
    <col min="2584" max="2584" width="11" style="1" bestFit="1" customWidth="1"/>
    <col min="2585" max="2787" width="9" style="1"/>
    <col min="2788" max="2788" width="2.875" style="1" bestFit="1" customWidth="1"/>
    <col min="2789" max="2789" width="16.625" style="1" bestFit="1" customWidth="1"/>
    <col min="2790" max="2790" width="11.375" style="1" bestFit="1" customWidth="1"/>
    <col min="2791" max="2792" width="14.125" style="1" bestFit="1" customWidth="1"/>
    <col min="2793" max="2793" width="11.375" style="1" bestFit="1" customWidth="1"/>
    <col min="2794" max="2796" width="12.5" style="1" bestFit="1" customWidth="1"/>
    <col min="2797" max="2797" width="11" style="1" bestFit="1" customWidth="1"/>
    <col min="2798" max="2816" width="13" style="1" bestFit="1" customWidth="1"/>
    <col min="2817" max="2820" width="11" style="1" bestFit="1" customWidth="1"/>
    <col min="2821" max="2823" width="12.25" style="1" bestFit="1" customWidth="1"/>
    <col min="2824" max="2837" width="11" style="1" bestFit="1" customWidth="1"/>
    <col min="2838" max="2838" width="13.25" style="1" bestFit="1" customWidth="1"/>
    <col min="2839" max="2839" width="10" style="1" bestFit="1" customWidth="1"/>
    <col min="2840" max="2840" width="11" style="1" bestFit="1" customWidth="1"/>
    <col min="2841" max="3043" width="9" style="1"/>
    <col min="3044" max="3044" width="2.875" style="1" bestFit="1" customWidth="1"/>
    <col min="3045" max="3045" width="16.625" style="1" bestFit="1" customWidth="1"/>
    <col min="3046" max="3046" width="11.375" style="1" bestFit="1" customWidth="1"/>
    <col min="3047" max="3048" width="14.125" style="1" bestFit="1" customWidth="1"/>
    <col min="3049" max="3049" width="11.375" style="1" bestFit="1" customWidth="1"/>
    <col min="3050" max="3052" width="12.5" style="1" bestFit="1" customWidth="1"/>
    <col min="3053" max="3053" width="11" style="1" bestFit="1" customWidth="1"/>
    <col min="3054" max="3072" width="13" style="1" bestFit="1" customWidth="1"/>
    <col min="3073" max="3076" width="11" style="1" bestFit="1" customWidth="1"/>
    <col min="3077" max="3079" width="12.25" style="1" bestFit="1" customWidth="1"/>
    <col min="3080" max="3093" width="11" style="1" bestFit="1" customWidth="1"/>
    <col min="3094" max="3094" width="13.25" style="1" bestFit="1" customWidth="1"/>
    <col min="3095" max="3095" width="10" style="1" bestFit="1" customWidth="1"/>
    <col min="3096" max="3096" width="11" style="1" bestFit="1" customWidth="1"/>
    <col min="3097" max="3299" width="9" style="1"/>
    <col min="3300" max="3300" width="2.875" style="1" bestFit="1" customWidth="1"/>
    <col min="3301" max="3301" width="16.625" style="1" bestFit="1" customWidth="1"/>
    <col min="3302" max="3302" width="11.375" style="1" bestFit="1" customWidth="1"/>
    <col min="3303" max="3304" width="14.125" style="1" bestFit="1" customWidth="1"/>
    <col min="3305" max="3305" width="11.375" style="1" bestFit="1" customWidth="1"/>
    <col min="3306" max="3308" width="12.5" style="1" bestFit="1" customWidth="1"/>
    <col min="3309" max="3309" width="11" style="1" bestFit="1" customWidth="1"/>
    <col min="3310" max="3328" width="13" style="1" bestFit="1" customWidth="1"/>
    <col min="3329" max="3332" width="11" style="1" bestFit="1" customWidth="1"/>
    <col min="3333" max="3335" width="12.25" style="1" bestFit="1" customWidth="1"/>
    <col min="3336" max="3349" width="11" style="1" bestFit="1" customWidth="1"/>
    <col min="3350" max="3350" width="13.25" style="1" bestFit="1" customWidth="1"/>
    <col min="3351" max="3351" width="10" style="1" bestFit="1" customWidth="1"/>
    <col min="3352" max="3352" width="11" style="1" bestFit="1" customWidth="1"/>
    <col min="3353" max="3555" width="9" style="1"/>
    <col min="3556" max="3556" width="2.875" style="1" bestFit="1" customWidth="1"/>
    <col min="3557" max="3557" width="16.625" style="1" bestFit="1" customWidth="1"/>
    <col min="3558" max="3558" width="11.375" style="1" bestFit="1" customWidth="1"/>
    <col min="3559" max="3560" width="14.125" style="1" bestFit="1" customWidth="1"/>
    <col min="3561" max="3561" width="11.375" style="1" bestFit="1" customWidth="1"/>
    <col min="3562" max="3564" width="12.5" style="1" bestFit="1" customWidth="1"/>
    <col min="3565" max="3565" width="11" style="1" bestFit="1" customWidth="1"/>
    <col min="3566" max="3584" width="13" style="1" bestFit="1" customWidth="1"/>
    <col min="3585" max="3588" width="11" style="1" bestFit="1" customWidth="1"/>
    <col min="3589" max="3591" width="12.25" style="1" bestFit="1" customWidth="1"/>
    <col min="3592" max="3605" width="11" style="1" bestFit="1" customWidth="1"/>
    <col min="3606" max="3606" width="13.25" style="1" bestFit="1" customWidth="1"/>
    <col min="3607" max="3607" width="10" style="1" bestFit="1" customWidth="1"/>
    <col min="3608" max="3608" width="11" style="1" bestFit="1" customWidth="1"/>
    <col min="3609" max="3811" width="9" style="1"/>
    <col min="3812" max="3812" width="2.875" style="1" bestFit="1" customWidth="1"/>
    <col min="3813" max="3813" width="16.625" style="1" bestFit="1" customWidth="1"/>
    <col min="3814" max="3814" width="11.375" style="1" bestFit="1" customWidth="1"/>
    <col min="3815" max="3816" width="14.125" style="1" bestFit="1" customWidth="1"/>
    <col min="3817" max="3817" width="11.375" style="1" bestFit="1" customWidth="1"/>
    <col min="3818" max="3820" width="12.5" style="1" bestFit="1" customWidth="1"/>
    <col min="3821" max="3821" width="11" style="1" bestFit="1" customWidth="1"/>
    <col min="3822" max="3840" width="13" style="1" bestFit="1" customWidth="1"/>
    <col min="3841" max="3844" width="11" style="1" bestFit="1" customWidth="1"/>
    <col min="3845" max="3847" width="12.25" style="1" bestFit="1" customWidth="1"/>
    <col min="3848" max="3861" width="11" style="1" bestFit="1" customWidth="1"/>
    <col min="3862" max="3862" width="13.25" style="1" bestFit="1" customWidth="1"/>
    <col min="3863" max="3863" width="10" style="1" bestFit="1" customWidth="1"/>
    <col min="3864" max="3864" width="11" style="1" bestFit="1" customWidth="1"/>
    <col min="3865" max="4067" width="9" style="1"/>
    <col min="4068" max="4068" width="2.875" style="1" bestFit="1" customWidth="1"/>
    <col min="4069" max="4069" width="16.625" style="1" bestFit="1" customWidth="1"/>
    <col min="4070" max="4070" width="11.375" style="1" bestFit="1" customWidth="1"/>
    <col min="4071" max="4072" width="14.125" style="1" bestFit="1" customWidth="1"/>
    <col min="4073" max="4073" width="11.375" style="1" bestFit="1" customWidth="1"/>
    <col min="4074" max="4076" width="12.5" style="1" bestFit="1" customWidth="1"/>
    <col min="4077" max="4077" width="11" style="1" bestFit="1" customWidth="1"/>
    <col min="4078" max="4096" width="13" style="1" bestFit="1" customWidth="1"/>
    <col min="4097" max="4100" width="11" style="1" bestFit="1" customWidth="1"/>
    <col min="4101" max="4103" width="12.25" style="1" bestFit="1" customWidth="1"/>
    <col min="4104" max="4117" width="11" style="1" bestFit="1" customWidth="1"/>
    <col min="4118" max="4118" width="13.25" style="1" bestFit="1" customWidth="1"/>
    <col min="4119" max="4119" width="10" style="1" bestFit="1" customWidth="1"/>
    <col min="4120" max="4120" width="11" style="1" bestFit="1" customWidth="1"/>
    <col min="4121" max="4323" width="9" style="1"/>
    <col min="4324" max="4324" width="2.875" style="1" bestFit="1" customWidth="1"/>
    <col min="4325" max="4325" width="16.625" style="1" bestFit="1" customWidth="1"/>
    <col min="4326" max="4326" width="11.375" style="1" bestFit="1" customWidth="1"/>
    <col min="4327" max="4328" width="14.125" style="1" bestFit="1" customWidth="1"/>
    <col min="4329" max="4329" width="11.375" style="1" bestFit="1" customWidth="1"/>
    <col min="4330" max="4332" width="12.5" style="1" bestFit="1" customWidth="1"/>
    <col min="4333" max="4333" width="11" style="1" bestFit="1" customWidth="1"/>
    <col min="4334" max="4352" width="13" style="1" bestFit="1" customWidth="1"/>
    <col min="4353" max="4356" width="11" style="1" bestFit="1" customWidth="1"/>
    <col min="4357" max="4359" width="12.25" style="1" bestFit="1" customWidth="1"/>
    <col min="4360" max="4373" width="11" style="1" bestFit="1" customWidth="1"/>
    <col min="4374" max="4374" width="13.25" style="1" bestFit="1" customWidth="1"/>
    <col min="4375" max="4375" width="10" style="1" bestFit="1" customWidth="1"/>
    <col min="4376" max="4376" width="11" style="1" bestFit="1" customWidth="1"/>
    <col min="4377" max="4579" width="9" style="1"/>
    <col min="4580" max="4580" width="2.875" style="1" bestFit="1" customWidth="1"/>
    <col min="4581" max="4581" width="16.625" style="1" bestFit="1" customWidth="1"/>
    <col min="4582" max="4582" width="11.375" style="1" bestFit="1" customWidth="1"/>
    <col min="4583" max="4584" width="14.125" style="1" bestFit="1" customWidth="1"/>
    <col min="4585" max="4585" width="11.375" style="1" bestFit="1" customWidth="1"/>
    <col min="4586" max="4588" width="12.5" style="1" bestFit="1" customWidth="1"/>
    <col min="4589" max="4589" width="11" style="1" bestFit="1" customWidth="1"/>
    <col min="4590" max="4608" width="13" style="1" bestFit="1" customWidth="1"/>
    <col min="4609" max="4612" width="11" style="1" bestFit="1" customWidth="1"/>
    <col min="4613" max="4615" width="12.25" style="1" bestFit="1" customWidth="1"/>
    <col min="4616" max="4629" width="11" style="1" bestFit="1" customWidth="1"/>
    <col min="4630" max="4630" width="13.25" style="1" bestFit="1" customWidth="1"/>
    <col min="4631" max="4631" width="10" style="1" bestFit="1" customWidth="1"/>
    <col min="4632" max="4632" width="11" style="1" bestFit="1" customWidth="1"/>
    <col min="4633" max="4835" width="9" style="1"/>
    <col min="4836" max="4836" width="2.875" style="1" bestFit="1" customWidth="1"/>
    <col min="4837" max="4837" width="16.625" style="1" bestFit="1" customWidth="1"/>
    <col min="4838" max="4838" width="11.375" style="1" bestFit="1" customWidth="1"/>
    <col min="4839" max="4840" width="14.125" style="1" bestFit="1" customWidth="1"/>
    <col min="4841" max="4841" width="11.375" style="1" bestFit="1" customWidth="1"/>
    <col min="4842" max="4844" width="12.5" style="1" bestFit="1" customWidth="1"/>
    <col min="4845" max="4845" width="11" style="1" bestFit="1" customWidth="1"/>
    <col min="4846" max="4864" width="13" style="1" bestFit="1" customWidth="1"/>
    <col min="4865" max="4868" width="11" style="1" bestFit="1" customWidth="1"/>
    <col min="4869" max="4871" width="12.25" style="1" bestFit="1" customWidth="1"/>
    <col min="4872" max="4885" width="11" style="1" bestFit="1" customWidth="1"/>
    <col min="4886" max="4886" width="13.25" style="1" bestFit="1" customWidth="1"/>
    <col min="4887" max="4887" width="10" style="1" bestFit="1" customWidth="1"/>
    <col min="4888" max="4888" width="11" style="1" bestFit="1" customWidth="1"/>
    <col min="4889" max="5091" width="9" style="1"/>
    <col min="5092" max="5092" width="2.875" style="1" bestFit="1" customWidth="1"/>
    <col min="5093" max="5093" width="16.625" style="1" bestFit="1" customWidth="1"/>
    <col min="5094" max="5094" width="11.375" style="1" bestFit="1" customWidth="1"/>
    <col min="5095" max="5096" width="14.125" style="1" bestFit="1" customWidth="1"/>
    <col min="5097" max="5097" width="11.375" style="1" bestFit="1" customWidth="1"/>
    <col min="5098" max="5100" width="12.5" style="1" bestFit="1" customWidth="1"/>
    <col min="5101" max="5101" width="11" style="1" bestFit="1" customWidth="1"/>
    <col min="5102" max="5120" width="13" style="1" bestFit="1" customWidth="1"/>
    <col min="5121" max="5124" width="11" style="1" bestFit="1" customWidth="1"/>
    <col min="5125" max="5127" width="12.25" style="1" bestFit="1" customWidth="1"/>
    <col min="5128" max="5141" width="11" style="1" bestFit="1" customWidth="1"/>
    <col min="5142" max="5142" width="13.25" style="1" bestFit="1" customWidth="1"/>
    <col min="5143" max="5143" width="10" style="1" bestFit="1" customWidth="1"/>
    <col min="5144" max="5144" width="11" style="1" bestFit="1" customWidth="1"/>
    <col min="5145" max="5347" width="9" style="1"/>
    <col min="5348" max="5348" width="2.875" style="1" bestFit="1" customWidth="1"/>
    <col min="5349" max="5349" width="16.625" style="1" bestFit="1" customWidth="1"/>
    <col min="5350" max="5350" width="11.375" style="1" bestFit="1" customWidth="1"/>
    <col min="5351" max="5352" width="14.125" style="1" bestFit="1" customWidth="1"/>
    <col min="5353" max="5353" width="11.375" style="1" bestFit="1" customWidth="1"/>
    <col min="5354" max="5356" width="12.5" style="1" bestFit="1" customWidth="1"/>
    <col min="5357" max="5357" width="11" style="1" bestFit="1" customWidth="1"/>
    <col min="5358" max="5376" width="13" style="1" bestFit="1" customWidth="1"/>
    <col min="5377" max="5380" width="11" style="1" bestFit="1" customWidth="1"/>
    <col min="5381" max="5383" width="12.25" style="1" bestFit="1" customWidth="1"/>
    <col min="5384" max="5397" width="11" style="1" bestFit="1" customWidth="1"/>
    <col min="5398" max="5398" width="13.25" style="1" bestFit="1" customWidth="1"/>
    <col min="5399" max="5399" width="10" style="1" bestFit="1" customWidth="1"/>
    <col min="5400" max="5400" width="11" style="1" bestFit="1" customWidth="1"/>
    <col min="5401" max="5603" width="9" style="1"/>
    <col min="5604" max="5604" width="2.875" style="1" bestFit="1" customWidth="1"/>
    <col min="5605" max="5605" width="16.625" style="1" bestFit="1" customWidth="1"/>
    <col min="5606" max="5606" width="11.375" style="1" bestFit="1" customWidth="1"/>
    <col min="5607" max="5608" width="14.125" style="1" bestFit="1" customWidth="1"/>
    <col min="5609" max="5609" width="11.375" style="1" bestFit="1" customWidth="1"/>
    <col min="5610" max="5612" width="12.5" style="1" bestFit="1" customWidth="1"/>
    <col min="5613" max="5613" width="11" style="1" bestFit="1" customWidth="1"/>
    <col min="5614" max="5632" width="13" style="1" bestFit="1" customWidth="1"/>
    <col min="5633" max="5636" width="11" style="1" bestFit="1" customWidth="1"/>
    <col min="5637" max="5639" width="12.25" style="1" bestFit="1" customWidth="1"/>
    <col min="5640" max="5653" width="11" style="1" bestFit="1" customWidth="1"/>
    <col min="5654" max="5654" width="13.25" style="1" bestFit="1" customWidth="1"/>
    <col min="5655" max="5655" width="10" style="1" bestFit="1" customWidth="1"/>
    <col min="5656" max="5656" width="11" style="1" bestFit="1" customWidth="1"/>
    <col min="5657" max="5859" width="9" style="1"/>
    <col min="5860" max="5860" width="2.875" style="1" bestFit="1" customWidth="1"/>
    <col min="5861" max="5861" width="16.625" style="1" bestFit="1" customWidth="1"/>
    <col min="5862" max="5862" width="11.375" style="1" bestFit="1" customWidth="1"/>
    <col min="5863" max="5864" width="14.125" style="1" bestFit="1" customWidth="1"/>
    <col min="5865" max="5865" width="11.375" style="1" bestFit="1" customWidth="1"/>
    <col min="5866" max="5868" width="12.5" style="1" bestFit="1" customWidth="1"/>
    <col min="5869" max="5869" width="11" style="1" bestFit="1" customWidth="1"/>
    <col min="5870" max="5888" width="13" style="1" bestFit="1" customWidth="1"/>
    <col min="5889" max="5892" width="11" style="1" bestFit="1" customWidth="1"/>
    <col min="5893" max="5895" width="12.25" style="1" bestFit="1" customWidth="1"/>
    <col min="5896" max="5909" width="11" style="1" bestFit="1" customWidth="1"/>
    <col min="5910" max="5910" width="13.25" style="1" bestFit="1" customWidth="1"/>
    <col min="5911" max="5911" width="10" style="1" bestFit="1" customWidth="1"/>
    <col min="5912" max="5912" width="11" style="1" bestFit="1" customWidth="1"/>
    <col min="5913" max="6115" width="9" style="1"/>
    <col min="6116" max="6116" width="2.875" style="1" bestFit="1" customWidth="1"/>
    <col min="6117" max="6117" width="16.625" style="1" bestFit="1" customWidth="1"/>
    <col min="6118" max="6118" width="11.375" style="1" bestFit="1" customWidth="1"/>
    <col min="6119" max="6120" width="14.125" style="1" bestFit="1" customWidth="1"/>
    <col min="6121" max="6121" width="11.375" style="1" bestFit="1" customWidth="1"/>
    <col min="6122" max="6124" width="12.5" style="1" bestFit="1" customWidth="1"/>
    <col min="6125" max="6125" width="11" style="1" bestFit="1" customWidth="1"/>
    <col min="6126" max="6144" width="13" style="1" bestFit="1" customWidth="1"/>
    <col min="6145" max="6148" width="11" style="1" bestFit="1" customWidth="1"/>
    <col min="6149" max="6151" width="12.25" style="1" bestFit="1" customWidth="1"/>
    <col min="6152" max="6165" width="11" style="1" bestFit="1" customWidth="1"/>
    <col min="6166" max="6166" width="13.25" style="1" bestFit="1" customWidth="1"/>
    <col min="6167" max="6167" width="10" style="1" bestFit="1" customWidth="1"/>
    <col min="6168" max="6168" width="11" style="1" bestFit="1" customWidth="1"/>
    <col min="6169" max="6371" width="9" style="1"/>
    <col min="6372" max="6372" width="2.875" style="1" bestFit="1" customWidth="1"/>
    <col min="6373" max="6373" width="16.625" style="1" bestFit="1" customWidth="1"/>
    <col min="6374" max="6374" width="11.375" style="1" bestFit="1" customWidth="1"/>
    <col min="6375" max="6376" width="14.125" style="1" bestFit="1" customWidth="1"/>
    <col min="6377" max="6377" width="11.375" style="1" bestFit="1" customWidth="1"/>
    <col min="6378" max="6380" width="12.5" style="1" bestFit="1" customWidth="1"/>
    <col min="6381" max="6381" width="11" style="1" bestFit="1" customWidth="1"/>
    <col min="6382" max="6400" width="13" style="1" bestFit="1" customWidth="1"/>
    <col min="6401" max="6404" width="11" style="1" bestFit="1" customWidth="1"/>
    <col min="6405" max="6407" width="12.25" style="1" bestFit="1" customWidth="1"/>
    <col min="6408" max="6421" width="11" style="1" bestFit="1" customWidth="1"/>
    <col min="6422" max="6422" width="13.25" style="1" bestFit="1" customWidth="1"/>
    <col min="6423" max="6423" width="10" style="1" bestFit="1" customWidth="1"/>
    <col min="6424" max="6424" width="11" style="1" bestFit="1" customWidth="1"/>
    <col min="6425" max="6627" width="9" style="1"/>
    <col min="6628" max="6628" width="2.875" style="1" bestFit="1" customWidth="1"/>
    <col min="6629" max="6629" width="16.625" style="1" bestFit="1" customWidth="1"/>
    <col min="6630" max="6630" width="11.375" style="1" bestFit="1" customWidth="1"/>
    <col min="6631" max="6632" width="14.125" style="1" bestFit="1" customWidth="1"/>
    <col min="6633" max="6633" width="11.375" style="1" bestFit="1" customWidth="1"/>
    <col min="6634" max="6636" width="12.5" style="1" bestFit="1" customWidth="1"/>
    <col min="6637" max="6637" width="11" style="1" bestFit="1" customWidth="1"/>
    <col min="6638" max="6656" width="13" style="1" bestFit="1" customWidth="1"/>
    <col min="6657" max="6660" width="11" style="1" bestFit="1" customWidth="1"/>
    <col min="6661" max="6663" width="12.25" style="1" bestFit="1" customWidth="1"/>
    <col min="6664" max="6677" width="11" style="1" bestFit="1" customWidth="1"/>
    <col min="6678" max="6678" width="13.25" style="1" bestFit="1" customWidth="1"/>
    <col min="6679" max="6679" width="10" style="1" bestFit="1" customWidth="1"/>
    <col min="6680" max="6680" width="11" style="1" bestFit="1" customWidth="1"/>
    <col min="6681" max="6883" width="9" style="1"/>
    <col min="6884" max="6884" width="2.875" style="1" bestFit="1" customWidth="1"/>
    <col min="6885" max="6885" width="16.625" style="1" bestFit="1" customWidth="1"/>
    <col min="6886" max="6886" width="11.375" style="1" bestFit="1" customWidth="1"/>
    <col min="6887" max="6888" width="14.125" style="1" bestFit="1" customWidth="1"/>
    <col min="6889" max="6889" width="11.375" style="1" bestFit="1" customWidth="1"/>
    <col min="6890" max="6892" width="12.5" style="1" bestFit="1" customWidth="1"/>
    <col min="6893" max="6893" width="11" style="1" bestFit="1" customWidth="1"/>
    <col min="6894" max="6912" width="13" style="1" bestFit="1" customWidth="1"/>
    <col min="6913" max="6916" width="11" style="1" bestFit="1" customWidth="1"/>
    <col min="6917" max="6919" width="12.25" style="1" bestFit="1" customWidth="1"/>
    <col min="6920" max="6933" width="11" style="1" bestFit="1" customWidth="1"/>
    <col min="6934" max="6934" width="13.25" style="1" bestFit="1" customWidth="1"/>
    <col min="6935" max="6935" width="10" style="1" bestFit="1" customWidth="1"/>
    <col min="6936" max="6936" width="11" style="1" bestFit="1" customWidth="1"/>
    <col min="6937" max="7139" width="9" style="1"/>
    <col min="7140" max="7140" width="2.875" style="1" bestFit="1" customWidth="1"/>
    <col min="7141" max="7141" width="16.625" style="1" bestFit="1" customWidth="1"/>
    <col min="7142" max="7142" width="11.375" style="1" bestFit="1" customWidth="1"/>
    <col min="7143" max="7144" width="14.125" style="1" bestFit="1" customWidth="1"/>
    <col min="7145" max="7145" width="11.375" style="1" bestFit="1" customWidth="1"/>
    <col min="7146" max="7148" width="12.5" style="1" bestFit="1" customWidth="1"/>
    <col min="7149" max="7149" width="11" style="1" bestFit="1" customWidth="1"/>
    <col min="7150" max="7168" width="13" style="1" bestFit="1" customWidth="1"/>
    <col min="7169" max="7172" width="11" style="1" bestFit="1" customWidth="1"/>
    <col min="7173" max="7175" width="12.25" style="1" bestFit="1" customWidth="1"/>
    <col min="7176" max="7189" width="11" style="1" bestFit="1" customWidth="1"/>
    <col min="7190" max="7190" width="13.25" style="1" bestFit="1" customWidth="1"/>
    <col min="7191" max="7191" width="10" style="1" bestFit="1" customWidth="1"/>
    <col min="7192" max="7192" width="11" style="1" bestFit="1" customWidth="1"/>
    <col min="7193" max="7395" width="9" style="1"/>
    <col min="7396" max="7396" width="2.875" style="1" bestFit="1" customWidth="1"/>
    <col min="7397" max="7397" width="16.625" style="1" bestFit="1" customWidth="1"/>
    <col min="7398" max="7398" width="11.375" style="1" bestFit="1" customWidth="1"/>
    <col min="7399" max="7400" width="14.125" style="1" bestFit="1" customWidth="1"/>
    <col min="7401" max="7401" width="11.375" style="1" bestFit="1" customWidth="1"/>
    <col min="7402" max="7404" width="12.5" style="1" bestFit="1" customWidth="1"/>
    <col min="7405" max="7405" width="11" style="1" bestFit="1" customWidth="1"/>
    <col min="7406" max="7424" width="13" style="1" bestFit="1" customWidth="1"/>
    <col min="7425" max="7428" width="11" style="1" bestFit="1" customWidth="1"/>
    <col min="7429" max="7431" width="12.25" style="1" bestFit="1" customWidth="1"/>
    <col min="7432" max="7445" width="11" style="1" bestFit="1" customWidth="1"/>
    <col min="7446" max="7446" width="13.25" style="1" bestFit="1" customWidth="1"/>
    <col min="7447" max="7447" width="10" style="1" bestFit="1" customWidth="1"/>
    <col min="7448" max="7448" width="11" style="1" bestFit="1" customWidth="1"/>
    <col min="7449" max="7651" width="9" style="1"/>
    <col min="7652" max="7652" width="2.875" style="1" bestFit="1" customWidth="1"/>
    <col min="7653" max="7653" width="16.625" style="1" bestFit="1" customWidth="1"/>
    <col min="7654" max="7654" width="11.375" style="1" bestFit="1" customWidth="1"/>
    <col min="7655" max="7656" width="14.125" style="1" bestFit="1" customWidth="1"/>
    <col min="7657" max="7657" width="11.375" style="1" bestFit="1" customWidth="1"/>
    <col min="7658" max="7660" width="12.5" style="1" bestFit="1" customWidth="1"/>
    <col min="7661" max="7661" width="11" style="1" bestFit="1" customWidth="1"/>
    <col min="7662" max="7680" width="13" style="1" bestFit="1" customWidth="1"/>
    <col min="7681" max="7684" width="11" style="1" bestFit="1" customWidth="1"/>
    <col min="7685" max="7687" width="12.25" style="1" bestFit="1" customWidth="1"/>
    <col min="7688" max="7701" width="11" style="1" bestFit="1" customWidth="1"/>
    <col min="7702" max="7702" width="13.25" style="1" bestFit="1" customWidth="1"/>
    <col min="7703" max="7703" width="10" style="1" bestFit="1" customWidth="1"/>
    <col min="7704" max="7704" width="11" style="1" bestFit="1" customWidth="1"/>
    <col min="7705" max="7907" width="9" style="1"/>
    <col min="7908" max="7908" width="2.875" style="1" bestFit="1" customWidth="1"/>
    <col min="7909" max="7909" width="16.625" style="1" bestFit="1" customWidth="1"/>
    <col min="7910" max="7910" width="11.375" style="1" bestFit="1" customWidth="1"/>
    <col min="7911" max="7912" width="14.125" style="1" bestFit="1" customWidth="1"/>
    <col min="7913" max="7913" width="11.375" style="1" bestFit="1" customWidth="1"/>
    <col min="7914" max="7916" width="12.5" style="1" bestFit="1" customWidth="1"/>
    <col min="7917" max="7917" width="11" style="1" bestFit="1" customWidth="1"/>
    <col min="7918" max="7936" width="13" style="1" bestFit="1" customWidth="1"/>
    <col min="7937" max="7940" width="11" style="1" bestFit="1" customWidth="1"/>
    <col min="7941" max="7943" width="12.25" style="1" bestFit="1" customWidth="1"/>
    <col min="7944" max="7957" width="11" style="1" bestFit="1" customWidth="1"/>
    <col min="7958" max="7958" width="13.25" style="1" bestFit="1" customWidth="1"/>
    <col min="7959" max="7959" width="10" style="1" bestFit="1" customWidth="1"/>
    <col min="7960" max="7960" width="11" style="1" bestFit="1" customWidth="1"/>
    <col min="7961" max="8163" width="9" style="1"/>
    <col min="8164" max="8164" width="2.875" style="1" bestFit="1" customWidth="1"/>
    <col min="8165" max="8165" width="16.625" style="1" bestFit="1" customWidth="1"/>
    <col min="8166" max="8166" width="11.375" style="1" bestFit="1" customWidth="1"/>
    <col min="8167" max="8168" width="14.125" style="1" bestFit="1" customWidth="1"/>
    <col min="8169" max="8169" width="11.375" style="1" bestFit="1" customWidth="1"/>
    <col min="8170" max="8172" width="12.5" style="1" bestFit="1" customWidth="1"/>
    <col min="8173" max="8173" width="11" style="1" bestFit="1" customWidth="1"/>
    <col min="8174" max="8192" width="13" style="1" bestFit="1" customWidth="1"/>
    <col min="8193" max="8196" width="11" style="1" bestFit="1" customWidth="1"/>
    <col min="8197" max="8199" width="12.25" style="1" bestFit="1" customWidth="1"/>
    <col min="8200" max="8213" width="11" style="1" bestFit="1" customWidth="1"/>
    <col min="8214" max="8214" width="13.25" style="1" bestFit="1" customWidth="1"/>
    <col min="8215" max="8215" width="10" style="1" bestFit="1" customWidth="1"/>
    <col min="8216" max="8216" width="11" style="1" bestFit="1" customWidth="1"/>
    <col min="8217" max="8419" width="9" style="1"/>
    <col min="8420" max="8420" width="2.875" style="1" bestFit="1" customWidth="1"/>
    <col min="8421" max="8421" width="16.625" style="1" bestFit="1" customWidth="1"/>
    <col min="8422" max="8422" width="11.375" style="1" bestFit="1" customWidth="1"/>
    <col min="8423" max="8424" width="14.125" style="1" bestFit="1" customWidth="1"/>
    <col min="8425" max="8425" width="11.375" style="1" bestFit="1" customWidth="1"/>
    <col min="8426" max="8428" width="12.5" style="1" bestFit="1" customWidth="1"/>
    <col min="8429" max="8429" width="11" style="1" bestFit="1" customWidth="1"/>
    <col min="8430" max="8448" width="13" style="1" bestFit="1" customWidth="1"/>
    <col min="8449" max="8452" width="11" style="1" bestFit="1" customWidth="1"/>
    <col min="8453" max="8455" width="12.25" style="1" bestFit="1" customWidth="1"/>
    <col min="8456" max="8469" width="11" style="1" bestFit="1" customWidth="1"/>
    <col min="8470" max="8470" width="13.25" style="1" bestFit="1" customWidth="1"/>
    <col min="8471" max="8471" width="10" style="1" bestFit="1" customWidth="1"/>
    <col min="8472" max="8472" width="11" style="1" bestFit="1" customWidth="1"/>
    <col min="8473" max="8675" width="9" style="1"/>
    <col min="8676" max="8676" width="2.875" style="1" bestFit="1" customWidth="1"/>
    <col min="8677" max="8677" width="16.625" style="1" bestFit="1" customWidth="1"/>
    <col min="8678" max="8678" width="11.375" style="1" bestFit="1" customWidth="1"/>
    <col min="8679" max="8680" width="14.125" style="1" bestFit="1" customWidth="1"/>
    <col min="8681" max="8681" width="11.375" style="1" bestFit="1" customWidth="1"/>
    <col min="8682" max="8684" width="12.5" style="1" bestFit="1" customWidth="1"/>
    <col min="8685" max="8685" width="11" style="1" bestFit="1" customWidth="1"/>
    <col min="8686" max="8704" width="13" style="1" bestFit="1" customWidth="1"/>
    <col min="8705" max="8708" width="11" style="1" bestFit="1" customWidth="1"/>
    <col min="8709" max="8711" width="12.25" style="1" bestFit="1" customWidth="1"/>
    <col min="8712" max="8725" width="11" style="1" bestFit="1" customWidth="1"/>
    <col min="8726" max="8726" width="13.25" style="1" bestFit="1" customWidth="1"/>
    <col min="8727" max="8727" width="10" style="1" bestFit="1" customWidth="1"/>
    <col min="8728" max="8728" width="11" style="1" bestFit="1" customWidth="1"/>
    <col min="8729" max="8931" width="9" style="1"/>
    <col min="8932" max="8932" width="2.875" style="1" bestFit="1" customWidth="1"/>
    <col min="8933" max="8933" width="16.625" style="1" bestFit="1" customWidth="1"/>
    <col min="8934" max="8934" width="11.375" style="1" bestFit="1" customWidth="1"/>
    <col min="8935" max="8936" width="14.125" style="1" bestFit="1" customWidth="1"/>
    <col min="8937" max="8937" width="11.375" style="1" bestFit="1" customWidth="1"/>
    <col min="8938" max="8940" width="12.5" style="1" bestFit="1" customWidth="1"/>
    <col min="8941" max="8941" width="11" style="1" bestFit="1" customWidth="1"/>
    <col min="8942" max="8960" width="13" style="1" bestFit="1" customWidth="1"/>
    <col min="8961" max="8964" width="11" style="1" bestFit="1" customWidth="1"/>
    <col min="8965" max="8967" width="12.25" style="1" bestFit="1" customWidth="1"/>
    <col min="8968" max="8981" width="11" style="1" bestFit="1" customWidth="1"/>
    <col min="8982" max="8982" width="13.25" style="1" bestFit="1" customWidth="1"/>
    <col min="8983" max="8983" width="10" style="1" bestFit="1" customWidth="1"/>
    <col min="8984" max="8984" width="11" style="1" bestFit="1" customWidth="1"/>
    <col min="8985" max="9187" width="9" style="1"/>
    <col min="9188" max="9188" width="2.875" style="1" bestFit="1" customWidth="1"/>
    <col min="9189" max="9189" width="16.625" style="1" bestFit="1" customWidth="1"/>
    <col min="9190" max="9190" width="11.375" style="1" bestFit="1" customWidth="1"/>
    <col min="9191" max="9192" width="14.125" style="1" bestFit="1" customWidth="1"/>
    <col min="9193" max="9193" width="11.375" style="1" bestFit="1" customWidth="1"/>
    <col min="9194" max="9196" width="12.5" style="1" bestFit="1" customWidth="1"/>
    <col min="9197" max="9197" width="11" style="1" bestFit="1" customWidth="1"/>
    <col min="9198" max="9216" width="13" style="1" bestFit="1" customWidth="1"/>
    <col min="9217" max="9220" width="11" style="1" bestFit="1" customWidth="1"/>
    <col min="9221" max="9223" width="12.25" style="1" bestFit="1" customWidth="1"/>
    <col min="9224" max="9237" width="11" style="1" bestFit="1" customWidth="1"/>
    <col min="9238" max="9238" width="13.25" style="1" bestFit="1" customWidth="1"/>
    <col min="9239" max="9239" width="10" style="1" bestFit="1" customWidth="1"/>
    <col min="9240" max="9240" width="11" style="1" bestFit="1" customWidth="1"/>
    <col min="9241" max="9443" width="9" style="1"/>
    <col min="9444" max="9444" width="2.875" style="1" bestFit="1" customWidth="1"/>
    <col min="9445" max="9445" width="16.625" style="1" bestFit="1" customWidth="1"/>
    <col min="9446" max="9446" width="11.375" style="1" bestFit="1" customWidth="1"/>
    <col min="9447" max="9448" width="14.125" style="1" bestFit="1" customWidth="1"/>
    <col min="9449" max="9449" width="11.375" style="1" bestFit="1" customWidth="1"/>
    <col min="9450" max="9452" width="12.5" style="1" bestFit="1" customWidth="1"/>
    <col min="9453" max="9453" width="11" style="1" bestFit="1" customWidth="1"/>
    <col min="9454" max="9472" width="13" style="1" bestFit="1" customWidth="1"/>
    <col min="9473" max="9476" width="11" style="1" bestFit="1" customWidth="1"/>
    <col min="9477" max="9479" width="12.25" style="1" bestFit="1" customWidth="1"/>
    <col min="9480" max="9493" width="11" style="1" bestFit="1" customWidth="1"/>
    <col min="9494" max="9494" width="13.25" style="1" bestFit="1" customWidth="1"/>
    <col min="9495" max="9495" width="10" style="1" bestFit="1" customWidth="1"/>
    <col min="9496" max="9496" width="11" style="1" bestFit="1" customWidth="1"/>
    <col min="9497" max="9699" width="9" style="1"/>
    <col min="9700" max="9700" width="2.875" style="1" bestFit="1" customWidth="1"/>
    <col min="9701" max="9701" width="16.625" style="1" bestFit="1" customWidth="1"/>
    <col min="9702" max="9702" width="11.375" style="1" bestFit="1" customWidth="1"/>
    <col min="9703" max="9704" width="14.125" style="1" bestFit="1" customWidth="1"/>
    <col min="9705" max="9705" width="11.375" style="1" bestFit="1" customWidth="1"/>
    <col min="9706" max="9708" width="12.5" style="1" bestFit="1" customWidth="1"/>
    <col min="9709" max="9709" width="11" style="1" bestFit="1" customWidth="1"/>
    <col min="9710" max="9728" width="13" style="1" bestFit="1" customWidth="1"/>
    <col min="9729" max="9732" width="11" style="1" bestFit="1" customWidth="1"/>
    <col min="9733" max="9735" width="12.25" style="1" bestFit="1" customWidth="1"/>
    <col min="9736" max="9749" width="11" style="1" bestFit="1" customWidth="1"/>
    <col min="9750" max="9750" width="13.25" style="1" bestFit="1" customWidth="1"/>
    <col min="9751" max="9751" width="10" style="1" bestFit="1" customWidth="1"/>
    <col min="9752" max="9752" width="11" style="1" bestFit="1" customWidth="1"/>
    <col min="9753" max="9955" width="9" style="1"/>
    <col min="9956" max="9956" width="2.875" style="1" bestFit="1" customWidth="1"/>
    <col min="9957" max="9957" width="16.625" style="1" bestFit="1" customWidth="1"/>
    <col min="9958" max="9958" width="11.375" style="1" bestFit="1" customWidth="1"/>
    <col min="9959" max="9960" width="14.125" style="1" bestFit="1" customWidth="1"/>
    <col min="9961" max="9961" width="11.375" style="1" bestFit="1" customWidth="1"/>
    <col min="9962" max="9964" width="12.5" style="1" bestFit="1" customWidth="1"/>
    <col min="9965" max="9965" width="11" style="1" bestFit="1" customWidth="1"/>
    <col min="9966" max="9984" width="13" style="1" bestFit="1" customWidth="1"/>
    <col min="9985" max="9988" width="11" style="1" bestFit="1" customWidth="1"/>
    <col min="9989" max="9991" width="12.25" style="1" bestFit="1" customWidth="1"/>
    <col min="9992" max="10005" width="11" style="1" bestFit="1" customWidth="1"/>
    <col min="10006" max="10006" width="13.25" style="1" bestFit="1" customWidth="1"/>
    <col min="10007" max="10007" width="10" style="1" bestFit="1" customWidth="1"/>
    <col min="10008" max="10008" width="11" style="1" bestFit="1" customWidth="1"/>
    <col min="10009" max="10211" width="9" style="1"/>
    <col min="10212" max="10212" width="2.875" style="1" bestFit="1" customWidth="1"/>
    <col min="10213" max="10213" width="16.625" style="1" bestFit="1" customWidth="1"/>
    <col min="10214" max="10214" width="11.375" style="1" bestFit="1" customWidth="1"/>
    <col min="10215" max="10216" width="14.125" style="1" bestFit="1" customWidth="1"/>
    <col min="10217" max="10217" width="11.375" style="1" bestFit="1" customWidth="1"/>
    <col min="10218" max="10220" width="12.5" style="1" bestFit="1" customWidth="1"/>
    <col min="10221" max="10221" width="11" style="1" bestFit="1" customWidth="1"/>
    <col min="10222" max="10240" width="13" style="1" bestFit="1" customWidth="1"/>
    <col min="10241" max="10244" width="11" style="1" bestFit="1" customWidth="1"/>
    <col min="10245" max="10247" width="12.25" style="1" bestFit="1" customWidth="1"/>
    <col min="10248" max="10261" width="11" style="1" bestFit="1" customWidth="1"/>
    <col min="10262" max="10262" width="13.25" style="1" bestFit="1" customWidth="1"/>
    <col min="10263" max="10263" width="10" style="1" bestFit="1" customWidth="1"/>
    <col min="10264" max="10264" width="11" style="1" bestFit="1" customWidth="1"/>
    <col min="10265" max="10467" width="9" style="1"/>
    <col min="10468" max="10468" width="2.875" style="1" bestFit="1" customWidth="1"/>
    <col min="10469" max="10469" width="16.625" style="1" bestFit="1" customWidth="1"/>
    <col min="10470" max="10470" width="11.375" style="1" bestFit="1" customWidth="1"/>
    <col min="10471" max="10472" width="14.125" style="1" bestFit="1" customWidth="1"/>
    <col min="10473" max="10473" width="11.375" style="1" bestFit="1" customWidth="1"/>
    <col min="10474" max="10476" width="12.5" style="1" bestFit="1" customWidth="1"/>
    <col min="10477" max="10477" width="11" style="1" bestFit="1" customWidth="1"/>
    <col min="10478" max="10496" width="13" style="1" bestFit="1" customWidth="1"/>
    <col min="10497" max="10500" width="11" style="1" bestFit="1" customWidth="1"/>
    <col min="10501" max="10503" width="12.25" style="1" bestFit="1" customWidth="1"/>
    <col min="10504" max="10517" width="11" style="1" bestFit="1" customWidth="1"/>
    <col min="10518" max="10518" width="13.25" style="1" bestFit="1" customWidth="1"/>
    <col min="10519" max="10519" width="10" style="1" bestFit="1" customWidth="1"/>
    <col min="10520" max="10520" width="11" style="1" bestFit="1" customWidth="1"/>
    <col min="10521" max="10723" width="9" style="1"/>
    <col min="10724" max="10724" width="2.875" style="1" bestFit="1" customWidth="1"/>
    <col min="10725" max="10725" width="16.625" style="1" bestFit="1" customWidth="1"/>
    <col min="10726" max="10726" width="11.375" style="1" bestFit="1" customWidth="1"/>
    <col min="10727" max="10728" width="14.125" style="1" bestFit="1" customWidth="1"/>
    <col min="10729" max="10729" width="11.375" style="1" bestFit="1" customWidth="1"/>
    <col min="10730" max="10732" width="12.5" style="1" bestFit="1" customWidth="1"/>
    <col min="10733" max="10733" width="11" style="1" bestFit="1" customWidth="1"/>
    <col min="10734" max="10752" width="13" style="1" bestFit="1" customWidth="1"/>
    <col min="10753" max="10756" width="11" style="1" bestFit="1" customWidth="1"/>
    <col min="10757" max="10759" width="12.25" style="1" bestFit="1" customWidth="1"/>
    <col min="10760" max="10773" width="11" style="1" bestFit="1" customWidth="1"/>
    <col min="10774" max="10774" width="13.25" style="1" bestFit="1" customWidth="1"/>
    <col min="10775" max="10775" width="10" style="1" bestFit="1" customWidth="1"/>
    <col min="10776" max="10776" width="11" style="1" bestFit="1" customWidth="1"/>
    <col min="10777" max="10979" width="9" style="1"/>
    <col min="10980" max="10980" width="2.875" style="1" bestFit="1" customWidth="1"/>
    <col min="10981" max="10981" width="16.625" style="1" bestFit="1" customWidth="1"/>
    <col min="10982" max="10982" width="11.375" style="1" bestFit="1" customWidth="1"/>
    <col min="10983" max="10984" width="14.125" style="1" bestFit="1" customWidth="1"/>
    <col min="10985" max="10985" width="11.375" style="1" bestFit="1" customWidth="1"/>
    <col min="10986" max="10988" width="12.5" style="1" bestFit="1" customWidth="1"/>
    <col min="10989" max="10989" width="11" style="1" bestFit="1" customWidth="1"/>
    <col min="10990" max="11008" width="13" style="1" bestFit="1" customWidth="1"/>
    <col min="11009" max="11012" width="11" style="1" bestFit="1" customWidth="1"/>
    <col min="11013" max="11015" width="12.25" style="1" bestFit="1" customWidth="1"/>
    <col min="11016" max="11029" width="11" style="1" bestFit="1" customWidth="1"/>
    <col min="11030" max="11030" width="13.25" style="1" bestFit="1" customWidth="1"/>
    <col min="11031" max="11031" width="10" style="1" bestFit="1" customWidth="1"/>
    <col min="11032" max="11032" width="11" style="1" bestFit="1" customWidth="1"/>
    <col min="11033" max="11235" width="9" style="1"/>
    <col min="11236" max="11236" width="2.875" style="1" bestFit="1" customWidth="1"/>
    <col min="11237" max="11237" width="16.625" style="1" bestFit="1" customWidth="1"/>
    <col min="11238" max="11238" width="11.375" style="1" bestFit="1" customWidth="1"/>
    <col min="11239" max="11240" width="14.125" style="1" bestFit="1" customWidth="1"/>
    <col min="11241" max="11241" width="11.375" style="1" bestFit="1" customWidth="1"/>
    <col min="11242" max="11244" width="12.5" style="1" bestFit="1" customWidth="1"/>
    <col min="11245" max="11245" width="11" style="1" bestFit="1" customWidth="1"/>
    <col min="11246" max="11264" width="13" style="1" bestFit="1" customWidth="1"/>
    <col min="11265" max="11268" width="11" style="1" bestFit="1" customWidth="1"/>
    <col min="11269" max="11271" width="12.25" style="1" bestFit="1" customWidth="1"/>
    <col min="11272" max="11285" width="11" style="1" bestFit="1" customWidth="1"/>
    <col min="11286" max="11286" width="13.25" style="1" bestFit="1" customWidth="1"/>
    <col min="11287" max="11287" width="10" style="1" bestFit="1" customWidth="1"/>
    <col min="11288" max="11288" width="11" style="1" bestFit="1" customWidth="1"/>
    <col min="11289" max="11491" width="9" style="1"/>
    <col min="11492" max="11492" width="2.875" style="1" bestFit="1" customWidth="1"/>
    <col min="11493" max="11493" width="16.625" style="1" bestFit="1" customWidth="1"/>
    <col min="11494" max="11494" width="11.375" style="1" bestFit="1" customWidth="1"/>
    <col min="11495" max="11496" width="14.125" style="1" bestFit="1" customWidth="1"/>
    <col min="11497" max="11497" width="11.375" style="1" bestFit="1" customWidth="1"/>
    <col min="11498" max="11500" width="12.5" style="1" bestFit="1" customWidth="1"/>
    <col min="11501" max="11501" width="11" style="1" bestFit="1" customWidth="1"/>
    <col min="11502" max="11520" width="13" style="1" bestFit="1" customWidth="1"/>
    <col min="11521" max="11524" width="11" style="1" bestFit="1" customWidth="1"/>
    <col min="11525" max="11527" width="12.25" style="1" bestFit="1" customWidth="1"/>
    <col min="11528" max="11541" width="11" style="1" bestFit="1" customWidth="1"/>
    <col min="11542" max="11542" width="13.25" style="1" bestFit="1" customWidth="1"/>
    <col min="11543" max="11543" width="10" style="1" bestFit="1" customWidth="1"/>
    <col min="11544" max="11544" width="11" style="1" bestFit="1" customWidth="1"/>
    <col min="11545" max="11747" width="9" style="1"/>
    <col min="11748" max="11748" width="2.875" style="1" bestFit="1" customWidth="1"/>
    <col min="11749" max="11749" width="16.625" style="1" bestFit="1" customWidth="1"/>
    <col min="11750" max="11750" width="11.375" style="1" bestFit="1" customWidth="1"/>
    <col min="11751" max="11752" width="14.125" style="1" bestFit="1" customWidth="1"/>
    <col min="11753" max="11753" width="11.375" style="1" bestFit="1" customWidth="1"/>
    <col min="11754" max="11756" width="12.5" style="1" bestFit="1" customWidth="1"/>
    <col min="11757" max="11757" width="11" style="1" bestFit="1" customWidth="1"/>
    <col min="11758" max="11776" width="13" style="1" bestFit="1" customWidth="1"/>
    <col min="11777" max="11780" width="11" style="1" bestFit="1" customWidth="1"/>
    <col min="11781" max="11783" width="12.25" style="1" bestFit="1" customWidth="1"/>
    <col min="11784" max="11797" width="11" style="1" bestFit="1" customWidth="1"/>
    <col min="11798" max="11798" width="13.25" style="1" bestFit="1" customWidth="1"/>
    <col min="11799" max="11799" width="10" style="1" bestFit="1" customWidth="1"/>
    <col min="11800" max="11800" width="11" style="1" bestFit="1" customWidth="1"/>
    <col min="11801" max="12003" width="9" style="1"/>
    <col min="12004" max="12004" width="2.875" style="1" bestFit="1" customWidth="1"/>
    <col min="12005" max="12005" width="16.625" style="1" bestFit="1" customWidth="1"/>
    <col min="12006" max="12006" width="11.375" style="1" bestFit="1" customWidth="1"/>
    <col min="12007" max="12008" width="14.125" style="1" bestFit="1" customWidth="1"/>
    <col min="12009" max="12009" width="11.375" style="1" bestFit="1" customWidth="1"/>
    <col min="12010" max="12012" width="12.5" style="1" bestFit="1" customWidth="1"/>
    <col min="12013" max="12013" width="11" style="1" bestFit="1" customWidth="1"/>
    <col min="12014" max="12032" width="13" style="1" bestFit="1" customWidth="1"/>
    <col min="12033" max="12036" width="11" style="1" bestFit="1" customWidth="1"/>
    <col min="12037" max="12039" width="12.25" style="1" bestFit="1" customWidth="1"/>
    <col min="12040" max="12053" width="11" style="1" bestFit="1" customWidth="1"/>
    <col min="12054" max="12054" width="13.25" style="1" bestFit="1" customWidth="1"/>
    <col min="12055" max="12055" width="10" style="1" bestFit="1" customWidth="1"/>
    <col min="12056" max="12056" width="11" style="1" bestFit="1" customWidth="1"/>
    <col min="12057" max="12259" width="9" style="1"/>
    <col min="12260" max="12260" width="2.875" style="1" bestFit="1" customWidth="1"/>
    <col min="12261" max="12261" width="16.625" style="1" bestFit="1" customWidth="1"/>
    <col min="12262" max="12262" width="11.375" style="1" bestFit="1" customWidth="1"/>
    <col min="12263" max="12264" width="14.125" style="1" bestFit="1" customWidth="1"/>
    <col min="12265" max="12265" width="11.375" style="1" bestFit="1" customWidth="1"/>
    <col min="12266" max="12268" width="12.5" style="1" bestFit="1" customWidth="1"/>
    <col min="12269" max="12269" width="11" style="1" bestFit="1" customWidth="1"/>
    <col min="12270" max="12288" width="13" style="1" bestFit="1" customWidth="1"/>
    <col min="12289" max="12292" width="11" style="1" bestFit="1" customWidth="1"/>
    <col min="12293" max="12295" width="12.25" style="1" bestFit="1" customWidth="1"/>
    <col min="12296" max="12309" width="11" style="1" bestFit="1" customWidth="1"/>
    <col min="12310" max="12310" width="13.25" style="1" bestFit="1" customWidth="1"/>
    <col min="12311" max="12311" width="10" style="1" bestFit="1" customWidth="1"/>
    <col min="12312" max="12312" width="11" style="1" bestFit="1" customWidth="1"/>
    <col min="12313" max="12515" width="9" style="1"/>
    <col min="12516" max="12516" width="2.875" style="1" bestFit="1" customWidth="1"/>
    <col min="12517" max="12517" width="16.625" style="1" bestFit="1" customWidth="1"/>
    <col min="12518" max="12518" width="11.375" style="1" bestFit="1" customWidth="1"/>
    <col min="12519" max="12520" width="14.125" style="1" bestFit="1" customWidth="1"/>
    <col min="12521" max="12521" width="11.375" style="1" bestFit="1" customWidth="1"/>
    <col min="12522" max="12524" width="12.5" style="1" bestFit="1" customWidth="1"/>
    <col min="12525" max="12525" width="11" style="1" bestFit="1" customWidth="1"/>
    <col min="12526" max="12544" width="13" style="1" bestFit="1" customWidth="1"/>
    <col min="12545" max="12548" width="11" style="1" bestFit="1" customWidth="1"/>
    <col min="12549" max="12551" width="12.25" style="1" bestFit="1" customWidth="1"/>
    <col min="12552" max="12565" width="11" style="1" bestFit="1" customWidth="1"/>
    <col min="12566" max="12566" width="13.25" style="1" bestFit="1" customWidth="1"/>
    <col min="12567" max="12567" width="10" style="1" bestFit="1" customWidth="1"/>
    <col min="12568" max="12568" width="11" style="1" bestFit="1" customWidth="1"/>
    <col min="12569" max="12771" width="9" style="1"/>
    <col min="12772" max="12772" width="2.875" style="1" bestFit="1" customWidth="1"/>
    <col min="12773" max="12773" width="16.625" style="1" bestFit="1" customWidth="1"/>
    <col min="12774" max="12774" width="11.375" style="1" bestFit="1" customWidth="1"/>
    <col min="12775" max="12776" width="14.125" style="1" bestFit="1" customWidth="1"/>
    <col min="12777" max="12777" width="11.375" style="1" bestFit="1" customWidth="1"/>
    <col min="12778" max="12780" width="12.5" style="1" bestFit="1" customWidth="1"/>
    <col min="12781" max="12781" width="11" style="1" bestFit="1" customWidth="1"/>
    <col min="12782" max="12800" width="13" style="1" bestFit="1" customWidth="1"/>
    <col min="12801" max="12804" width="11" style="1" bestFit="1" customWidth="1"/>
    <col min="12805" max="12807" width="12.25" style="1" bestFit="1" customWidth="1"/>
    <col min="12808" max="12821" width="11" style="1" bestFit="1" customWidth="1"/>
    <col min="12822" max="12822" width="13.25" style="1" bestFit="1" customWidth="1"/>
    <col min="12823" max="12823" width="10" style="1" bestFit="1" customWidth="1"/>
    <col min="12824" max="12824" width="11" style="1" bestFit="1" customWidth="1"/>
    <col min="12825" max="13027" width="9" style="1"/>
    <col min="13028" max="13028" width="2.875" style="1" bestFit="1" customWidth="1"/>
    <col min="13029" max="13029" width="16.625" style="1" bestFit="1" customWidth="1"/>
    <col min="13030" max="13030" width="11.375" style="1" bestFit="1" customWidth="1"/>
    <col min="13031" max="13032" width="14.125" style="1" bestFit="1" customWidth="1"/>
    <col min="13033" max="13033" width="11.375" style="1" bestFit="1" customWidth="1"/>
    <col min="13034" max="13036" width="12.5" style="1" bestFit="1" customWidth="1"/>
    <col min="13037" max="13037" width="11" style="1" bestFit="1" customWidth="1"/>
    <col min="13038" max="13056" width="13" style="1" bestFit="1" customWidth="1"/>
    <col min="13057" max="13060" width="11" style="1" bestFit="1" customWidth="1"/>
    <col min="13061" max="13063" width="12.25" style="1" bestFit="1" customWidth="1"/>
    <col min="13064" max="13077" width="11" style="1" bestFit="1" customWidth="1"/>
    <col min="13078" max="13078" width="13.25" style="1" bestFit="1" customWidth="1"/>
    <col min="13079" max="13079" width="10" style="1" bestFit="1" customWidth="1"/>
    <col min="13080" max="13080" width="11" style="1" bestFit="1" customWidth="1"/>
    <col min="13081" max="13283" width="9" style="1"/>
    <col min="13284" max="13284" width="2.875" style="1" bestFit="1" customWidth="1"/>
    <col min="13285" max="13285" width="16.625" style="1" bestFit="1" customWidth="1"/>
    <col min="13286" max="13286" width="11.375" style="1" bestFit="1" customWidth="1"/>
    <col min="13287" max="13288" width="14.125" style="1" bestFit="1" customWidth="1"/>
    <col min="13289" max="13289" width="11.375" style="1" bestFit="1" customWidth="1"/>
    <col min="13290" max="13292" width="12.5" style="1" bestFit="1" customWidth="1"/>
    <col min="13293" max="13293" width="11" style="1" bestFit="1" customWidth="1"/>
    <col min="13294" max="13312" width="13" style="1" bestFit="1" customWidth="1"/>
    <col min="13313" max="13316" width="11" style="1" bestFit="1" customWidth="1"/>
    <col min="13317" max="13319" width="12.25" style="1" bestFit="1" customWidth="1"/>
    <col min="13320" max="13333" width="11" style="1" bestFit="1" customWidth="1"/>
    <col min="13334" max="13334" width="13.25" style="1" bestFit="1" customWidth="1"/>
    <col min="13335" max="13335" width="10" style="1" bestFit="1" customWidth="1"/>
    <col min="13336" max="13336" width="11" style="1" bestFit="1" customWidth="1"/>
    <col min="13337" max="13539" width="9" style="1"/>
    <col min="13540" max="13540" width="2.875" style="1" bestFit="1" customWidth="1"/>
    <col min="13541" max="13541" width="16.625" style="1" bestFit="1" customWidth="1"/>
    <col min="13542" max="13542" width="11.375" style="1" bestFit="1" customWidth="1"/>
    <col min="13543" max="13544" width="14.125" style="1" bestFit="1" customWidth="1"/>
    <col min="13545" max="13545" width="11.375" style="1" bestFit="1" customWidth="1"/>
    <col min="13546" max="13548" width="12.5" style="1" bestFit="1" customWidth="1"/>
    <col min="13549" max="13549" width="11" style="1" bestFit="1" customWidth="1"/>
    <col min="13550" max="13568" width="13" style="1" bestFit="1" customWidth="1"/>
    <col min="13569" max="13572" width="11" style="1" bestFit="1" customWidth="1"/>
    <col min="13573" max="13575" width="12.25" style="1" bestFit="1" customWidth="1"/>
    <col min="13576" max="13589" width="11" style="1" bestFit="1" customWidth="1"/>
    <col min="13590" max="13590" width="13.25" style="1" bestFit="1" customWidth="1"/>
    <col min="13591" max="13591" width="10" style="1" bestFit="1" customWidth="1"/>
    <col min="13592" max="13592" width="11" style="1" bestFit="1" customWidth="1"/>
    <col min="13593" max="13795" width="9" style="1"/>
    <col min="13796" max="13796" width="2.875" style="1" bestFit="1" customWidth="1"/>
    <col min="13797" max="13797" width="16.625" style="1" bestFit="1" customWidth="1"/>
    <col min="13798" max="13798" width="11.375" style="1" bestFit="1" customWidth="1"/>
    <col min="13799" max="13800" width="14.125" style="1" bestFit="1" customWidth="1"/>
    <col min="13801" max="13801" width="11.375" style="1" bestFit="1" customWidth="1"/>
    <col min="13802" max="13804" width="12.5" style="1" bestFit="1" customWidth="1"/>
    <col min="13805" max="13805" width="11" style="1" bestFit="1" customWidth="1"/>
    <col min="13806" max="13824" width="13" style="1" bestFit="1" customWidth="1"/>
    <col min="13825" max="13828" width="11" style="1" bestFit="1" customWidth="1"/>
    <col min="13829" max="13831" width="12.25" style="1" bestFit="1" customWidth="1"/>
    <col min="13832" max="13845" width="11" style="1" bestFit="1" customWidth="1"/>
    <col min="13846" max="13846" width="13.25" style="1" bestFit="1" customWidth="1"/>
    <col min="13847" max="13847" width="10" style="1" bestFit="1" customWidth="1"/>
    <col min="13848" max="13848" width="11" style="1" bestFit="1" customWidth="1"/>
    <col min="13849" max="14051" width="9" style="1"/>
    <col min="14052" max="14052" width="2.875" style="1" bestFit="1" customWidth="1"/>
    <col min="14053" max="14053" width="16.625" style="1" bestFit="1" customWidth="1"/>
    <col min="14054" max="14054" width="11.375" style="1" bestFit="1" customWidth="1"/>
    <col min="14055" max="14056" width="14.125" style="1" bestFit="1" customWidth="1"/>
    <col min="14057" max="14057" width="11.375" style="1" bestFit="1" customWidth="1"/>
    <col min="14058" max="14060" width="12.5" style="1" bestFit="1" customWidth="1"/>
    <col min="14061" max="14061" width="11" style="1" bestFit="1" customWidth="1"/>
    <col min="14062" max="14080" width="13" style="1" bestFit="1" customWidth="1"/>
    <col min="14081" max="14084" width="11" style="1" bestFit="1" customWidth="1"/>
    <col min="14085" max="14087" width="12.25" style="1" bestFit="1" customWidth="1"/>
    <col min="14088" max="14101" width="11" style="1" bestFit="1" customWidth="1"/>
    <col min="14102" max="14102" width="13.25" style="1" bestFit="1" customWidth="1"/>
    <col min="14103" max="14103" width="10" style="1" bestFit="1" customWidth="1"/>
    <col min="14104" max="14104" width="11" style="1" bestFit="1" customWidth="1"/>
    <col min="14105" max="14307" width="9" style="1"/>
    <col min="14308" max="14308" width="2.875" style="1" bestFit="1" customWidth="1"/>
    <col min="14309" max="14309" width="16.625" style="1" bestFit="1" customWidth="1"/>
    <col min="14310" max="14310" width="11.375" style="1" bestFit="1" customWidth="1"/>
    <col min="14311" max="14312" width="14.125" style="1" bestFit="1" customWidth="1"/>
    <col min="14313" max="14313" width="11.375" style="1" bestFit="1" customWidth="1"/>
    <col min="14314" max="14316" width="12.5" style="1" bestFit="1" customWidth="1"/>
    <col min="14317" max="14317" width="11" style="1" bestFit="1" customWidth="1"/>
    <col min="14318" max="14336" width="13" style="1" bestFit="1" customWidth="1"/>
    <col min="14337" max="14340" width="11" style="1" bestFit="1" customWidth="1"/>
    <col min="14341" max="14343" width="12.25" style="1" bestFit="1" customWidth="1"/>
    <col min="14344" max="14357" width="11" style="1" bestFit="1" customWidth="1"/>
    <col min="14358" max="14358" width="13.25" style="1" bestFit="1" customWidth="1"/>
    <col min="14359" max="14359" width="10" style="1" bestFit="1" customWidth="1"/>
    <col min="14360" max="14360" width="11" style="1" bestFit="1" customWidth="1"/>
    <col min="14361" max="14563" width="9" style="1"/>
    <col min="14564" max="14564" width="2.875" style="1" bestFit="1" customWidth="1"/>
    <col min="14565" max="14565" width="16.625" style="1" bestFit="1" customWidth="1"/>
    <col min="14566" max="14566" width="11.375" style="1" bestFit="1" customWidth="1"/>
    <col min="14567" max="14568" width="14.125" style="1" bestFit="1" customWidth="1"/>
    <col min="14569" max="14569" width="11.375" style="1" bestFit="1" customWidth="1"/>
    <col min="14570" max="14572" width="12.5" style="1" bestFit="1" customWidth="1"/>
    <col min="14573" max="14573" width="11" style="1" bestFit="1" customWidth="1"/>
    <col min="14574" max="14592" width="13" style="1" bestFit="1" customWidth="1"/>
    <col min="14593" max="14596" width="11" style="1" bestFit="1" customWidth="1"/>
    <col min="14597" max="14599" width="12.25" style="1" bestFit="1" customWidth="1"/>
    <col min="14600" max="14613" width="11" style="1" bestFit="1" customWidth="1"/>
    <col min="14614" max="14614" width="13.25" style="1" bestFit="1" customWidth="1"/>
    <col min="14615" max="14615" width="10" style="1" bestFit="1" customWidth="1"/>
    <col min="14616" max="14616" width="11" style="1" bestFit="1" customWidth="1"/>
    <col min="14617" max="14819" width="9" style="1"/>
    <col min="14820" max="14820" width="2.875" style="1" bestFit="1" customWidth="1"/>
    <col min="14821" max="14821" width="16.625" style="1" bestFit="1" customWidth="1"/>
    <col min="14822" max="14822" width="11.375" style="1" bestFit="1" customWidth="1"/>
    <col min="14823" max="14824" width="14.125" style="1" bestFit="1" customWidth="1"/>
    <col min="14825" max="14825" width="11.375" style="1" bestFit="1" customWidth="1"/>
    <col min="14826" max="14828" width="12.5" style="1" bestFit="1" customWidth="1"/>
    <col min="14829" max="14829" width="11" style="1" bestFit="1" customWidth="1"/>
    <col min="14830" max="14848" width="13" style="1" bestFit="1" customWidth="1"/>
    <col min="14849" max="14852" width="11" style="1" bestFit="1" customWidth="1"/>
    <col min="14853" max="14855" width="12.25" style="1" bestFit="1" customWidth="1"/>
    <col min="14856" max="14869" width="11" style="1" bestFit="1" customWidth="1"/>
    <col min="14870" max="14870" width="13.25" style="1" bestFit="1" customWidth="1"/>
    <col min="14871" max="14871" width="10" style="1" bestFit="1" customWidth="1"/>
    <col min="14872" max="14872" width="11" style="1" bestFit="1" customWidth="1"/>
    <col min="14873" max="15075" width="9" style="1"/>
    <col min="15076" max="15076" width="2.875" style="1" bestFit="1" customWidth="1"/>
    <col min="15077" max="15077" width="16.625" style="1" bestFit="1" customWidth="1"/>
    <col min="15078" max="15078" width="11.375" style="1" bestFit="1" customWidth="1"/>
    <col min="15079" max="15080" width="14.125" style="1" bestFit="1" customWidth="1"/>
    <col min="15081" max="15081" width="11.375" style="1" bestFit="1" customWidth="1"/>
    <col min="15082" max="15084" width="12.5" style="1" bestFit="1" customWidth="1"/>
    <col min="15085" max="15085" width="11" style="1" bestFit="1" customWidth="1"/>
    <col min="15086" max="15104" width="13" style="1" bestFit="1" customWidth="1"/>
    <col min="15105" max="15108" width="11" style="1" bestFit="1" customWidth="1"/>
    <col min="15109" max="15111" width="12.25" style="1" bestFit="1" customWidth="1"/>
    <col min="15112" max="15125" width="11" style="1" bestFit="1" customWidth="1"/>
    <col min="15126" max="15126" width="13.25" style="1" bestFit="1" customWidth="1"/>
    <col min="15127" max="15127" width="10" style="1" bestFit="1" customWidth="1"/>
    <col min="15128" max="15128" width="11" style="1" bestFit="1" customWidth="1"/>
    <col min="15129" max="15331" width="9" style="1"/>
    <col min="15332" max="15332" width="2.875" style="1" bestFit="1" customWidth="1"/>
    <col min="15333" max="15333" width="16.625" style="1" bestFit="1" customWidth="1"/>
    <col min="15334" max="15334" width="11.375" style="1" bestFit="1" customWidth="1"/>
    <col min="15335" max="15336" width="14.125" style="1" bestFit="1" customWidth="1"/>
    <col min="15337" max="15337" width="11.375" style="1" bestFit="1" customWidth="1"/>
    <col min="15338" max="15340" width="12.5" style="1" bestFit="1" customWidth="1"/>
    <col min="15341" max="15341" width="11" style="1" bestFit="1" customWidth="1"/>
    <col min="15342" max="15360" width="13" style="1" bestFit="1" customWidth="1"/>
    <col min="15361" max="15364" width="11" style="1" bestFit="1" customWidth="1"/>
    <col min="15365" max="15367" width="12.25" style="1" bestFit="1" customWidth="1"/>
    <col min="15368" max="15381" width="11" style="1" bestFit="1" customWidth="1"/>
    <col min="15382" max="15382" width="13.25" style="1" bestFit="1" customWidth="1"/>
    <col min="15383" max="15383" width="10" style="1" bestFit="1" customWidth="1"/>
    <col min="15384" max="15384" width="11" style="1" bestFit="1" customWidth="1"/>
    <col min="15385" max="15587" width="9" style="1"/>
    <col min="15588" max="15588" width="2.875" style="1" bestFit="1" customWidth="1"/>
    <col min="15589" max="15589" width="16.625" style="1" bestFit="1" customWidth="1"/>
    <col min="15590" max="15590" width="11.375" style="1" bestFit="1" customWidth="1"/>
    <col min="15591" max="15592" width="14.125" style="1" bestFit="1" customWidth="1"/>
    <col min="15593" max="15593" width="11.375" style="1" bestFit="1" customWidth="1"/>
    <col min="15594" max="15596" width="12.5" style="1" bestFit="1" customWidth="1"/>
    <col min="15597" max="15597" width="11" style="1" bestFit="1" customWidth="1"/>
    <col min="15598" max="15616" width="13" style="1" bestFit="1" customWidth="1"/>
    <col min="15617" max="15620" width="11" style="1" bestFit="1" customWidth="1"/>
    <col min="15621" max="15623" width="12.25" style="1" bestFit="1" customWidth="1"/>
    <col min="15624" max="15637" width="11" style="1" bestFit="1" customWidth="1"/>
    <col min="15638" max="15638" width="13.25" style="1" bestFit="1" customWidth="1"/>
    <col min="15639" max="15639" width="10" style="1" bestFit="1" customWidth="1"/>
    <col min="15640" max="15640" width="11" style="1" bestFit="1" customWidth="1"/>
    <col min="15641" max="15843" width="9" style="1"/>
    <col min="15844" max="15844" width="2.875" style="1" bestFit="1" customWidth="1"/>
    <col min="15845" max="15845" width="16.625" style="1" bestFit="1" customWidth="1"/>
    <col min="15846" max="15846" width="11.375" style="1" bestFit="1" customWidth="1"/>
    <col min="15847" max="15848" width="14.125" style="1" bestFit="1" customWidth="1"/>
    <col min="15849" max="15849" width="11.375" style="1" bestFit="1" customWidth="1"/>
    <col min="15850" max="15852" width="12.5" style="1" bestFit="1" customWidth="1"/>
    <col min="15853" max="15853" width="11" style="1" bestFit="1" customWidth="1"/>
    <col min="15854" max="15872" width="13" style="1" bestFit="1" customWidth="1"/>
    <col min="15873" max="15876" width="11" style="1" bestFit="1" customWidth="1"/>
    <col min="15877" max="15879" width="12.25" style="1" bestFit="1" customWidth="1"/>
    <col min="15880" max="15893" width="11" style="1" bestFit="1" customWidth="1"/>
    <col min="15894" max="15894" width="13.25" style="1" bestFit="1" customWidth="1"/>
    <col min="15895" max="15895" width="10" style="1" bestFit="1" customWidth="1"/>
    <col min="15896" max="15896" width="11" style="1" bestFit="1" customWidth="1"/>
    <col min="15897" max="16099" width="9" style="1"/>
    <col min="16100" max="16100" width="2.875" style="1" bestFit="1" customWidth="1"/>
    <col min="16101" max="16101" width="16.625" style="1" bestFit="1" customWidth="1"/>
    <col min="16102" max="16102" width="11.375" style="1" bestFit="1" customWidth="1"/>
    <col min="16103" max="16104" width="14.125" style="1" bestFit="1" customWidth="1"/>
    <col min="16105" max="16105" width="11.375" style="1" bestFit="1" customWidth="1"/>
    <col min="16106" max="16108" width="12.5" style="1" bestFit="1" customWidth="1"/>
    <col min="16109" max="16109" width="11" style="1" bestFit="1" customWidth="1"/>
    <col min="16110" max="16128" width="13" style="1" bestFit="1" customWidth="1"/>
    <col min="16129" max="16132" width="11" style="1" bestFit="1" customWidth="1"/>
    <col min="16133" max="16135" width="12.25" style="1" bestFit="1" customWidth="1"/>
    <col min="16136" max="16149" width="11" style="1" bestFit="1" customWidth="1"/>
    <col min="16150" max="16150" width="13.25" style="1" bestFit="1" customWidth="1"/>
    <col min="16151" max="16151" width="10" style="1" bestFit="1" customWidth="1"/>
    <col min="16152" max="16152" width="11" style="1" bestFit="1" customWidth="1"/>
    <col min="16153" max="16384" width="9" style="1"/>
  </cols>
  <sheetData>
    <row r="2" spans="1:24" ht="30.75" customHeight="1" x14ac:dyDescent="0.15"/>
    <row r="3" spans="1:24" ht="17.25" x14ac:dyDescent="0.2">
      <c r="A3" s="56">
        <v>45566</v>
      </c>
      <c r="B3" s="56"/>
      <c r="C3" s="58" t="s">
        <v>234</v>
      </c>
    </row>
    <row r="4" spans="1:24" s="5" customFormat="1" x14ac:dyDescent="0.15">
      <c r="A4" s="49" t="s">
        <v>0</v>
      </c>
      <c r="B4" s="49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163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194</v>
      </c>
      <c r="V4" s="3" t="s">
        <v>41</v>
      </c>
      <c r="W4" s="3" t="s">
        <v>42</v>
      </c>
      <c r="X4" s="4" t="s">
        <v>43</v>
      </c>
    </row>
    <row r="5" spans="1:24" s="5" customFormat="1" hidden="1" x14ac:dyDescent="0.15">
      <c r="A5" s="53" t="s">
        <v>44</v>
      </c>
      <c r="B5" s="57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3"/>
      <c r="W5" s="3"/>
      <c r="X5" s="4"/>
    </row>
    <row r="6" spans="1:24" s="5" customFormat="1" hidden="1" x14ac:dyDescent="0.15">
      <c r="A6" s="53" t="s">
        <v>45</v>
      </c>
      <c r="B6" s="57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3"/>
      <c r="W6" s="3"/>
      <c r="X6" s="4"/>
    </row>
    <row r="7" spans="1:24" s="5" customFormat="1" x14ac:dyDescent="0.15">
      <c r="A7" s="55" t="s">
        <v>51</v>
      </c>
      <c r="B7" s="55"/>
      <c r="C7" s="42" t="s">
        <v>160</v>
      </c>
      <c r="D7" s="42" t="s">
        <v>159</v>
      </c>
      <c r="E7" s="42" t="s">
        <v>162</v>
      </c>
      <c r="F7" s="42" t="s">
        <v>169</v>
      </c>
      <c r="G7" s="42" t="s">
        <v>167</v>
      </c>
      <c r="H7" s="42" t="s">
        <v>161</v>
      </c>
      <c r="I7" s="42" t="s">
        <v>164</v>
      </c>
      <c r="J7" s="42" t="s">
        <v>165</v>
      </c>
      <c r="K7" s="42" t="s">
        <v>170</v>
      </c>
      <c r="L7" s="42" t="s">
        <v>166</v>
      </c>
      <c r="M7" s="42" t="s">
        <v>171</v>
      </c>
      <c r="N7" s="42" t="s">
        <v>173</v>
      </c>
      <c r="O7" s="42" t="s">
        <v>174</v>
      </c>
      <c r="P7" s="42" t="s">
        <v>172</v>
      </c>
      <c r="Q7" s="42" t="s">
        <v>175</v>
      </c>
      <c r="R7" s="42" t="s">
        <v>178</v>
      </c>
      <c r="S7" s="42"/>
      <c r="T7" s="42"/>
      <c r="U7" s="42"/>
      <c r="V7" s="6"/>
      <c r="W7" s="6"/>
      <c r="X7" s="7"/>
    </row>
    <row r="8" spans="1:24" s="5" customFormat="1" x14ac:dyDescent="0.15">
      <c r="A8" s="55" t="s">
        <v>52</v>
      </c>
      <c r="B8" s="55"/>
      <c r="C8" s="42" t="s">
        <v>202</v>
      </c>
      <c r="D8" s="42" t="s">
        <v>203</v>
      </c>
      <c r="E8" s="42" t="s">
        <v>204</v>
      </c>
      <c r="F8" s="42" t="s">
        <v>205</v>
      </c>
      <c r="G8" s="42" t="s">
        <v>196</v>
      </c>
      <c r="H8" s="42" t="s">
        <v>206</v>
      </c>
      <c r="I8" s="42" t="s">
        <v>207</v>
      </c>
      <c r="J8" s="42" t="s">
        <v>208</v>
      </c>
      <c r="K8" s="42" t="s">
        <v>209</v>
      </c>
      <c r="L8" s="42" t="s">
        <v>210</v>
      </c>
      <c r="M8" s="42" t="s">
        <v>211</v>
      </c>
      <c r="N8" s="42" t="s">
        <v>212</v>
      </c>
      <c r="O8" s="42" t="s">
        <v>213</v>
      </c>
      <c r="P8" s="42" t="s">
        <v>214</v>
      </c>
      <c r="Q8" s="42" t="s">
        <v>215</v>
      </c>
      <c r="R8" s="42" t="s">
        <v>216</v>
      </c>
      <c r="S8" s="42"/>
      <c r="T8" s="42"/>
      <c r="U8" s="42" t="s">
        <v>217</v>
      </c>
      <c r="V8" s="6"/>
      <c r="W8" s="6"/>
      <c r="X8" s="7"/>
    </row>
    <row r="9" spans="1:24" x14ac:dyDescent="0.15">
      <c r="A9" s="51" t="s">
        <v>53</v>
      </c>
      <c r="B9" s="52"/>
      <c r="C9" s="44">
        <v>8</v>
      </c>
      <c r="D9" s="44">
        <v>8</v>
      </c>
      <c r="E9" s="44">
        <v>10</v>
      </c>
      <c r="F9" s="44">
        <v>10</v>
      </c>
      <c r="G9" s="44">
        <v>10</v>
      </c>
      <c r="H9" s="44">
        <v>10</v>
      </c>
      <c r="I9" s="44">
        <v>14</v>
      </c>
      <c r="J9" s="44">
        <v>10</v>
      </c>
      <c r="K9" s="44">
        <v>10</v>
      </c>
      <c r="L9" s="44">
        <v>10</v>
      </c>
      <c r="M9" s="44">
        <v>10</v>
      </c>
      <c r="N9" s="44">
        <v>10</v>
      </c>
      <c r="O9" s="44">
        <v>10</v>
      </c>
      <c r="P9" s="44">
        <v>10</v>
      </c>
      <c r="Q9" s="44">
        <v>10</v>
      </c>
      <c r="R9" s="44">
        <v>10</v>
      </c>
      <c r="S9" s="44"/>
      <c r="T9" s="44"/>
      <c r="U9" s="44">
        <v>14</v>
      </c>
      <c r="V9" s="9">
        <f>SUM(C9:U9)</f>
        <v>174</v>
      </c>
      <c r="W9" s="9"/>
      <c r="X9" s="10"/>
    </row>
    <row r="10" spans="1:24" x14ac:dyDescent="0.15">
      <c r="A10" s="49" t="s">
        <v>54</v>
      </c>
      <c r="B10" s="49"/>
      <c r="C10" s="47" t="s">
        <v>57</v>
      </c>
      <c r="D10" s="47" t="s">
        <v>58</v>
      </c>
      <c r="E10" s="47" t="s">
        <v>59</v>
      </c>
      <c r="F10" s="47" t="s">
        <v>59</v>
      </c>
      <c r="G10" s="47" t="s">
        <v>59</v>
      </c>
      <c r="H10" s="47" t="s">
        <v>59</v>
      </c>
      <c r="I10" s="47" t="s">
        <v>59</v>
      </c>
      <c r="J10" s="47" t="s">
        <v>59</v>
      </c>
      <c r="K10" s="47" t="s">
        <v>59</v>
      </c>
      <c r="L10" s="47" t="s">
        <v>59</v>
      </c>
      <c r="M10" s="47" t="s">
        <v>60</v>
      </c>
      <c r="N10" s="47" t="s">
        <v>60</v>
      </c>
      <c r="O10" s="47" t="s">
        <v>60</v>
      </c>
      <c r="P10" s="47" t="s">
        <v>60</v>
      </c>
      <c r="Q10" s="47" t="s">
        <v>61</v>
      </c>
      <c r="R10" s="47" t="s">
        <v>61</v>
      </c>
      <c r="S10" s="47" t="s">
        <v>62</v>
      </c>
      <c r="T10" s="47" t="s">
        <v>63</v>
      </c>
      <c r="U10" s="47"/>
      <c r="V10" s="12"/>
      <c r="W10" s="12"/>
      <c r="X10" s="13"/>
    </row>
    <row r="11" spans="1:24" x14ac:dyDescent="0.15">
      <c r="A11" s="49" t="s">
        <v>65</v>
      </c>
      <c r="B11" s="49"/>
      <c r="C11" s="14">
        <v>602</v>
      </c>
      <c r="D11" s="14">
        <v>3441</v>
      </c>
      <c r="E11" s="14">
        <v>5669.9000000000005</v>
      </c>
      <c r="F11" s="14">
        <v>5108.5</v>
      </c>
      <c r="G11" s="14">
        <v>5990.7</v>
      </c>
      <c r="H11" s="14">
        <v>5948.7</v>
      </c>
      <c r="I11" s="14">
        <v>5283.5</v>
      </c>
      <c r="J11" s="14">
        <v>5117.8</v>
      </c>
      <c r="K11" s="14">
        <v>5684</v>
      </c>
      <c r="L11" s="14">
        <v>5186.5</v>
      </c>
      <c r="M11" s="14">
        <v>7608.2</v>
      </c>
      <c r="N11" s="14">
        <v>5700.6</v>
      </c>
      <c r="O11" s="14">
        <v>3159.2</v>
      </c>
      <c r="P11" s="14">
        <v>7363.3</v>
      </c>
      <c r="Q11" s="14">
        <v>5722.5</v>
      </c>
      <c r="R11" s="14">
        <v>5870.8</v>
      </c>
      <c r="S11" s="14">
        <v>0</v>
      </c>
      <c r="T11" s="14">
        <v>0</v>
      </c>
      <c r="U11" s="14">
        <v>0</v>
      </c>
      <c r="V11" s="16">
        <f>SUM(C11:U11)</f>
        <v>83457.2</v>
      </c>
      <c r="W11" s="16">
        <f>AVERAGE(C11:U11)</f>
        <v>4392.484210526316</v>
      </c>
      <c r="X11" s="13"/>
    </row>
    <row r="12" spans="1:24" x14ac:dyDescent="0.15">
      <c r="A12" s="53" t="s">
        <v>66</v>
      </c>
      <c r="B12" s="54"/>
      <c r="C12" s="18">
        <v>0.81319444444444444</v>
      </c>
      <c r="D12" s="18">
        <v>7.8465277777777782</v>
      </c>
      <c r="E12" s="18">
        <v>10.520833333333334</v>
      </c>
      <c r="F12" s="18">
        <v>10.552083333333334</v>
      </c>
      <c r="G12" s="18">
        <v>10.316666666666666</v>
      </c>
      <c r="H12" s="18">
        <v>11.0375</v>
      </c>
      <c r="I12" s="18">
        <v>10.156944444444445</v>
      </c>
      <c r="J12" s="18">
        <v>9.7569444444444446</v>
      </c>
      <c r="K12" s="18">
        <v>10.784722222222221</v>
      </c>
      <c r="L12" s="18">
        <v>10.138888888888889</v>
      </c>
      <c r="M12" s="18">
        <v>11.42986111111111</v>
      </c>
      <c r="N12" s="18">
        <v>7.9152777777777779</v>
      </c>
      <c r="O12" s="18">
        <v>5.0444444444444443</v>
      </c>
      <c r="P12" s="18">
        <v>9.7409722222222221</v>
      </c>
      <c r="Q12" s="18">
        <v>7.3368055555555554</v>
      </c>
      <c r="R12" s="18">
        <v>8.2854166666666664</v>
      </c>
      <c r="S12" s="18">
        <v>0</v>
      </c>
      <c r="T12" s="18">
        <v>0</v>
      </c>
      <c r="U12" s="18">
        <v>0</v>
      </c>
      <c r="V12" s="20">
        <f>SUM(C12:U12)</f>
        <v>141.67708333333331</v>
      </c>
      <c r="W12" s="20">
        <f>AVERAGE(C12:U12)</f>
        <v>7.4566885964912268</v>
      </c>
      <c r="X12" s="13"/>
    </row>
    <row r="13" spans="1:24" x14ac:dyDescent="0.15">
      <c r="A13" s="49" t="s">
        <v>67</v>
      </c>
      <c r="B13" s="49"/>
      <c r="C13" s="14">
        <v>135009</v>
      </c>
      <c r="D13" s="14">
        <v>927442</v>
      </c>
      <c r="E13" s="14">
        <v>1233890</v>
      </c>
      <c r="F13" s="14">
        <v>1218870</v>
      </c>
      <c r="G13" s="14">
        <v>1210140</v>
      </c>
      <c r="H13" s="14">
        <v>1184020</v>
      </c>
      <c r="I13" s="14">
        <v>1530860</v>
      </c>
      <c r="J13" s="14">
        <v>1157470</v>
      </c>
      <c r="K13" s="14">
        <v>1223590</v>
      </c>
      <c r="L13" s="14">
        <v>1225630</v>
      </c>
      <c r="M13" s="14">
        <v>1292280</v>
      </c>
      <c r="N13" s="14">
        <v>872780</v>
      </c>
      <c r="O13" s="14">
        <v>591580</v>
      </c>
      <c r="P13" s="14">
        <v>1260330</v>
      </c>
      <c r="Q13" s="14">
        <v>1370736</v>
      </c>
      <c r="R13" s="14">
        <v>1269254</v>
      </c>
      <c r="S13" s="14">
        <v>11000</v>
      </c>
      <c r="T13" s="14">
        <v>612966</v>
      </c>
      <c r="U13" s="14">
        <v>0</v>
      </c>
      <c r="V13" s="16">
        <f>SUM(C13:U13)</f>
        <v>18327847</v>
      </c>
      <c r="W13" s="16">
        <f>AVERAGE(C13:U13)</f>
        <v>964623.52631578944</v>
      </c>
      <c r="X13" s="13">
        <f>V13/V13</f>
        <v>1</v>
      </c>
    </row>
    <row r="14" spans="1:24" x14ac:dyDescent="0.15">
      <c r="A14" s="53" t="s">
        <v>68</v>
      </c>
      <c r="B14" s="54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20600</v>
      </c>
      <c r="I14" s="14">
        <v>0</v>
      </c>
      <c r="J14" s="14">
        <v>56390</v>
      </c>
      <c r="K14" s="14">
        <v>0</v>
      </c>
      <c r="L14" s="14">
        <v>0</v>
      </c>
      <c r="M14" s="14">
        <v>0</v>
      </c>
      <c r="N14" s="14">
        <v>0</v>
      </c>
      <c r="O14" s="14">
        <v>617660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6">
        <f>SUM(C14:U14)</f>
        <v>694650</v>
      </c>
      <c r="W14" s="16">
        <f>AVERAGE(C14:U14)</f>
        <v>36560.526315789473</v>
      </c>
      <c r="X14" s="13"/>
    </row>
    <row r="15" spans="1:24" x14ac:dyDescent="0.15">
      <c r="A15" s="49" t="s">
        <v>69</v>
      </c>
      <c r="B15" s="49"/>
      <c r="C15" s="14">
        <f t="shared" ref="C15:U15" si="0">SUM(C13/C11)</f>
        <v>224.26744186046511</v>
      </c>
      <c r="D15" s="14">
        <f t="shared" si="0"/>
        <v>269.52688172043008</v>
      </c>
      <c r="E15" s="14">
        <f t="shared" si="0"/>
        <v>217.62112206564487</v>
      </c>
      <c r="F15" s="14">
        <f t="shared" si="0"/>
        <v>238.59645688558285</v>
      </c>
      <c r="G15" s="14">
        <f t="shared" si="0"/>
        <v>202.00310481245933</v>
      </c>
      <c r="H15" s="14">
        <f t="shared" si="0"/>
        <v>199.03844537461967</v>
      </c>
      <c r="I15" s="14">
        <f t="shared" si="0"/>
        <v>289.74354121321096</v>
      </c>
      <c r="J15" s="14">
        <f t="shared" si="0"/>
        <v>226.16553988041736</v>
      </c>
      <c r="K15" s="14">
        <f t="shared" si="0"/>
        <v>215.26917663617172</v>
      </c>
      <c r="L15" s="14">
        <f t="shared" si="0"/>
        <v>236.31157813554421</v>
      </c>
      <c r="M15" s="14">
        <f t="shared" si="0"/>
        <v>169.85357903314843</v>
      </c>
      <c r="N15" s="14">
        <f t="shared" si="0"/>
        <v>153.10318212118023</v>
      </c>
      <c r="O15" s="14">
        <f t="shared" si="0"/>
        <v>187.25626740947075</v>
      </c>
      <c r="P15" s="14">
        <f t="shared" si="0"/>
        <v>171.16374451672485</v>
      </c>
      <c r="Q15" s="14">
        <f t="shared" si="0"/>
        <v>239.53446920052426</v>
      </c>
      <c r="R15" s="14">
        <f t="shared" si="0"/>
        <v>216.19779246440007</v>
      </c>
      <c r="S15" s="14" t="e">
        <f t="shared" si="0"/>
        <v>#DIV/0!</v>
      </c>
      <c r="T15" s="14" t="e">
        <f t="shared" si="0"/>
        <v>#DIV/0!</v>
      </c>
      <c r="U15" s="14" t="e">
        <f t="shared" si="0"/>
        <v>#DIV/0!</v>
      </c>
      <c r="V15" s="12">
        <f>SUM(V13/V11)</f>
        <v>219.60773905666619</v>
      </c>
      <c r="W15" s="16" t="e">
        <f>AVERAGE(C15:U15)</f>
        <v>#DIV/0!</v>
      </c>
      <c r="X15" s="13"/>
    </row>
    <row r="16" spans="1:24" x14ac:dyDescent="0.15">
      <c r="A16" s="53" t="s">
        <v>70</v>
      </c>
      <c r="B16" s="54"/>
      <c r="C16" s="21">
        <f t="shared" ref="C16:V16" si="1">C13/(C12*24)</f>
        <v>6917.6259607173361</v>
      </c>
      <c r="D16" s="21">
        <f t="shared" si="1"/>
        <v>4924.9066289052125</v>
      </c>
      <c r="E16" s="21">
        <f t="shared" si="1"/>
        <v>4886.6930693069307</v>
      </c>
      <c r="F16" s="21">
        <f t="shared" si="1"/>
        <v>4812.912142152024</v>
      </c>
      <c r="G16" s="21">
        <f t="shared" si="1"/>
        <v>4887.4798061389338</v>
      </c>
      <c r="H16" s="21">
        <f t="shared" si="1"/>
        <v>4469.6866742166858</v>
      </c>
      <c r="I16" s="21">
        <f t="shared" si="1"/>
        <v>6280.0218788458906</v>
      </c>
      <c r="J16" s="21">
        <f t="shared" si="1"/>
        <v>4942.9323843416369</v>
      </c>
      <c r="K16" s="21">
        <f t="shared" si="1"/>
        <v>4727.327752736639</v>
      </c>
      <c r="L16" s="21">
        <f t="shared" si="1"/>
        <v>5036.8356164383558</v>
      </c>
      <c r="M16" s="21">
        <f t="shared" si="1"/>
        <v>4710.9058873564618</v>
      </c>
      <c r="N16" s="21">
        <f t="shared" si="1"/>
        <v>4594.3849798210213</v>
      </c>
      <c r="O16" s="21">
        <f t="shared" si="1"/>
        <v>4886.398678414097</v>
      </c>
      <c r="P16" s="21">
        <f t="shared" si="1"/>
        <v>5391.0173237328008</v>
      </c>
      <c r="Q16" s="21">
        <f t="shared" si="1"/>
        <v>7784.5868433506866</v>
      </c>
      <c r="R16" s="21">
        <f t="shared" si="1"/>
        <v>6382.9720895147102</v>
      </c>
      <c r="S16" s="21" t="e">
        <f t="shared" si="1"/>
        <v>#DIV/0!</v>
      </c>
      <c r="T16" s="21" t="e">
        <f t="shared" si="1"/>
        <v>#DIV/0!</v>
      </c>
      <c r="U16" s="21" t="e">
        <f t="shared" si="1"/>
        <v>#DIV/0!</v>
      </c>
      <c r="V16" s="23">
        <f t="shared" si="1"/>
        <v>5390.1469009631655</v>
      </c>
      <c r="W16" s="23" t="e">
        <f>AVERAGE(C16:U16)</f>
        <v>#DIV/0!</v>
      </c>
      <c r="X16" s="13"/>
    </row>
    <row r="17" spans="1:24" x14ac:dyDescent="0.15">
      <c r="A17" s="50" t="s">
        <v>71</v>
      </c>
      <c r="B17" s="11" t="s">
        <v>72</v>
      </c>
      <c r="C17" s="14">
        <v>44688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58860</v>
      </c>
      <c r="J17" s="14">
        <v>0</v>
      </c>
      <c r="K17" s="14">
        <v>0</v>
      </c>
      <c r="L17" s="14">
        <v>75708</v>
      </c>
      <c r="M17" s="14">
        <v>0</v>
      </c>
      <c r="N17" s="14">
        <v>213500</v>
      </c>
      <c r="O17" s="14">
        <v>51246</v>
      </c>
      <c r="P17" s="14">
        <v>56375</v>
      </c>
      <c r="Q17" s="14">
        <v>56708</v>
      </c>
      <c r="R17" s="14">
        <v>0</v>
      </c>
      <c r="S17" s="14">
        <v>0</v>
      </c>
      <c r="T17" s="14">
        <v>0</v>
      </c>
      <c r="U17" s="14">
        <v>82900</v>
      </c>
      <c r="V17" s="16">
        <f>SUM(C17:U17)</f>
        <v>639985</v>
      </c>
      <c r="W17" s="16">
        <f>AVERAGE(C17:U17)</f>
        <v>33683.42105263158</v>
      </c>
      <c r="X17" s="13">
        <f>V17/V13</f>
        <v>3.4918722313646552E-2</v>
      </c>
    </row>
    <row r="18" spans="1:24" x14ac:dyDescent="0.15">
      <c r="A18" s="50"/>
      <c r="B18" s="11" t="s">
        <v>73</v>
      </c>
      <c r="C18" s="14">
        <v>4400</v>
      </c>
      <c r="D18" s="14">
        <v>4825</v>
      </c>
      <c r="E18" s="14">
        <v>4025</v>
      </c>
      <c r="F18" s="14">
        <v>4400</v>
      </c>
      <c r="G18" s="14">
        <v>4025</v>
      </c>
      <c r="H18" s="14">
        <v>5250</v>
      </c>
      <c r="I18" s="14">
        <v>6950</v>
      </c>
      <c r="J18" s="14">
        <v>4400</v>
      </c>
      <c r="K18" s="14">
        <v>4025</v>
      </c>
      <c r="L18" s="14">
        <v>4825</v>
      </c>
      <c r="M18" s="14">
        <v>4808</v>
      </c>
      <c r="N18" s="14">
        <v>0</v>
      </c>
      <c r="O18" s="14">
        <v>3633</v>
      </c>
      <c r="P18" s="14">
        <v>4825</v>
      </c>
      <c r="Q18" s="14">
        <v>4825</v>
      </c>
      <c r="R18" s="14">
        <v>4825</v>
      </c>
      <c r="S18" s="14">
        <v>0</v>
      </c>
      <c r="T18" s="14">
        <v>0</v>
      </c>
      <c r="U18" s="14">
        <v>7075</v>
      </c>
      <c r="V18" s="16">
        <f>SUM(C18:U18)</f>
        <v>77116</v>
      </c>
      <c r="W18" s="16">
        <f>AVERAGE(C18:U18)</f>
        <v>4058.7368421052633</v>
      </c>
      <c r="X18" s="13">
        <f>V18/V13</f>
        <v>4.2075864120864823E-3</v>
      </c>
    </row>
    <row r="19" spans="1:24" x14ac:dyDescent="0.15">
      <c r="A19" s="50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6">
        <f>SUM(C19:U19)</f>
        <v>0</v>
      </c>
      <c r="W19" s="16">
        <f>AVERAGE(C19:U19)</f>
        <v>0</v>
      </c>
      <c r="X19" s="13">
        <f>V19/V13</f>
        <v>0</v>
      </c>
    </row>
    <row r="20" spans="1:24" x14ac:dyDescent="0.15">
      <c r="A20" s="50"/>
      <c r="B20" s="11" t="s">
        <v>75</v>
      </c>
      <c r="C20" s="14">
        <v>4950</v>
      </c>
      <c r="D20" s="14">
        <v>4950</v>
      </c>
      <c r="E20" s="14">
        <v>4766</v>
      </c>
      <c r="F20" s="14">
        <v>4950</v>
      </c>
      <c r="G20" s="14">
        <v>4774</v>
      </c>
      <c r="H20" s="14">
        <v>4950</v>
      </c>
      <c r="I20" s="14">
        <v>8333</v>
      </c>
      <c r="J20" s="14">
        <v>4950</v>
      </c>
      <c r="K20" s="14">
        <v>4583</v>
      </c>
      <c r="L20" s="14">
        <v>4583</v>
      </c>
      <c r="M20" s="14">
        <v>4766</v>
      </c>
      <c r="N20" s="14">
        <v>5208</v>
      </c>
      <c r="O20" s="14">
        <v>4774</v>
      </c>
      <c r="P20" s="14">
        <v>5208</v>
      </c>
      <c r="Q20" s="14">
        <v>5208</v>
      </c>
      <c r="R20" s="14">
        <v>4767</v>
      </c>
      <c r="S20" s="14">
        <v>0</v>
      </c>
      <c r="T20" s="14">
        <v>0</v>
      </c>
      <c r="U20" s="14">
        <v>0</v>
      </c>
      <c r="V20" s="16">
        <f>SUM(C20:U20)</f>
        <v>81720</v>
      </c>
      <c r="W20" s="16">
        <f>AVERAGE(C20:U20)</f>
        <v>4301.0526315789475</v>
      </c>
      <c r="X20" s="13">
        <f>V20/V13</f>
        <v>4.4587888582876102E-3</v>
      </c>
    </row>
    <row r="21" spans="1:24" x14ac:dyDescent="0.15">
      <c r="A21" s="50"/>
      <c r="B21" s="11" t="s">
        <v>76</v>
      </c>
      <c r="C21" s="14">
        <v>36587</v>
      </c>
      <c r="D21" s="14">
        <v>42195</v>
      </c>
      <c r="E21" s="14">
        <v>39512</v>
      </c>
      <c r="F21" s="14">
        <v>37617</v>
      </c>
      <c r="G21" s="14">
        <v>22768</v>
      </c>
      <c r="H21" s="14">
        <v>33485</v>
      </c>
      <c r="I21" s="14">
        <v>46653</v>
      </c>
      <c r="J21" s="14">
        <v>48980</v>
      </c>
      <c r="K21" s="14">
        <v>35664</v>
      </c>
      <c r="L21" s="14">
        <v>23249</v>
      </c>
      <c r="M21" s="14">
        <v>24820</v>
      </c>
      <c r="N21" s="14">
        <v>19417</v>
      </c>
      <c r="O21" s="14">
        <v>28937</v>
      </c>
      <c r="P21" s="14">
        <v>22121</v>
      </c>
      <c r="Q21" s="14">
        <v>47267</v>
      </c>
      <c r="R21" s="14">
        <v>46352</v>
      </c>
      <c r="S21" s="14">
        <v>0</v>
      </c>
      <c r="T21" s="14">
        <v>0</v>
      </c>
      <c r="U21" s="14">
        <v>0</v>
      </c>
      <c r="V21" s="16">
        <f>SUM(C21:U21)</f>
        <v>555624</v>
      </c>
      <c r="W21" s="16">
        <f>AVERAGE(C21:U21)</f>
        <v>29243.36842105263</v>
      </c>
      <c r="X21" s="13">
        <f>V21/V13</f>
        <v>3.0315835788022456E-2</v>
      </c>
    </row>
    <row r="22" spans="1:24" x14ac:dyDescent="0.15">
      <c r="A22" s="50"/>
      <c r="B22" s="24" t="s">
        <v>77</v>
      </c>
      <c r="C22" s="25">
        <f t="shared" ref="C22:U22" si="2">SUM(C17:C21)</f>
        <v>90625</v>
      </c>
      <c r="D22" s="25">
        <f t="shared" si="2"/>
        <v>51970</v>
      </c>
      <c r="E22" s="25">
        <f t="shared" si="2"/>
        <v>48303</v>
      </c>
      <c r="F22" s="25">
        <f t="shared" si="2"/>
        <v>46967</v>
      </c>
      <c r="G22" s="25">
        <f t="shared" si="2"/>
        <v>31567</v>
      </c>
      <c r="H22" s="25">
        <f t="shared" si="2"/>
        <v>43685</v>
      </c>
      <c r="I22" s="25">
        <f t="shared" si="2"/>
        <v>120796</v>
      </c>
      <c r="J22" s="25">
        <f t="shared" si="2"/>
        <v>58330</v>
      </c>
      <c r="K22" s="25">
        <f t="shared" si="2"/>
        <v>44272</v>
      </c>
      <c r="L22" s="25">
        <f t="shared" si="2"/>
        <v>108365</v>
      </c>
      <c r="M22" s="25">
        <f t="shared" si="2"/>
        <v>34394</v>
      </c>
      <c r="N22" s="25">
        <f t="shared" si="2"/>
        <v>238125</v>
      </c>
      <c r="O22" s="25">
        <f t="shared" si="2"/>
        <v>88590</v>
      </c>
      <c r="P22" s="25">
        <f t="shared" si="2"/>
        <v>88529</v>
      </c>
      <c r="Q22" s="25">
        <f t="shared" si="2"/>
        <v>114008</v>
      </c>
      <c r="R22" s="25">
        <f t="shared" si="2"/>
        <v>55944</v>
      </c>
      <c r="S22" s="25">
        <f t="shared" si="2"/>
        <v>0</v>
      </c>
      <c r="T22" s="25">
        <f t="shared" si="2"/>
        <v>0</v>
      </c>
      <c r="U22" s="25">
        <f t="shared" si="2"/>
        <v>89975</v>
      </c>
      <c r="V22" s="27">
        <f>SUM(C22:U22)</f>
        <v>1354445</v>
      </c>
      <c r="W22" s="27">
        <f>AVERAGE(C22:U22)</f>
        <v>71286.578947368427</v>
      </c>
      <c r="X22" s="28">
        <f>V22/V13</f>
        <v>7.3900933372043093E-2</v>
      </c>
    </row>
    <row r="23" spans="1:24" x14ac:dyDescent="0.15">
      <c r="A23" s="50" t="s">
        <v>78</v>
      </c>
      <c r="B23" s="11" t="s">
        <v>79</v>
      </c>
      <c r="C23" s="14">
        <v>5796</v>
      </c>
      <c r="D23" s="14">
        <v>36400</v>
      </c>
      <c r="E23" s="14">
        <v>32400</v>
      </c>
      <c r="F23" s="14">
        <v>183244</v>
      </c>
      <c r="G23" s="14">
        <v>0</v>
      </c>
      <c r="H23" s="14">
        <v>50595</v>
      </c>
      <c r="I23" s="14">
        <v>0</v>
      </c>
      <c r="J23" s="14">
        <v>379019</v>
      </c>
      <c r="K23" s="14">
        <v>0</v>
      </c>
      <c r="L23" s="14">
        <v>59567</v>
      </c>
      <c r="M23" s="14">
        <v>0</v>
      </c>
      <c r="N23" s="14">
        <v>34470</v>
      </c>
      <c r="O23" s="14">
        <v>0</v>
      </c>
      <c r="P23" s="14">
        <v>37853</v>
      </c>
      <c r="Q23" s="14">
        <v>24000</v>
      </c>
      <c r="R23" s="14">
        <v>2392</v>
      </c>
      <c r="S23" s="14">
        <v>0</v>
      </c>
      <c r="T23" s="14">
        <v>0</v>
      </c>
      <c r="U23" s="14">
        <v>0</v>
      </c>
      <c r="V23" s="16">
        <f>SUM(C23:U23)</f>
        <v>845736</v>
      </c>
      <c r="W23" s="16">
        <f>AVERAGE(C23:U23)</f>
        <v>44512.42105263158</v>
      </c>
      <c r="X23" s="13">
        <f>V23/V13</f>
        <v>4.6144863605637916E-2</v>
      </c>
    </row>
    <row r="24" spans="1:24" x14ac:dyDescent="0.15">
      <c r="A24" s="50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6">
        <f>SUM(C24:U24)</f>
        <v>0</v>
      </c>
      <c r="W24" s="16">
        <f>AVERAGE(C24:U24)</f>
        <v>0</v>
      </c>
      <c r="X24" s="13">
        <f>V24/V13</f>
        <v>0</v>
      </c>
    </row>
    <row r="25" spans="1:24" x14ac:dyDescent="0.15">
      <c r="A25" s="50"/>
      <c r="B25" s="11" t="s">
        <v>81</v>
      </c>
      <c r="C25" s="14">
        <f t="shared" ref="C25:U25" si="3">30000*C9/70000*C11</f>
        <v>2064</v>
      </c>
      <c r="D25" s="14">
        <f t="shared" si="3"/>
        <v>11797.714285714284</v>
      </c>
      <c r="E25" s="14">
        <f t="shared" si="3"/>
        <v>24299.571428571431</v>
      </c>
      <c r="F25" s="14">
        <f t="shared" si="3"/>
        <v>21893.571428571428</v>
      </c>
      <c r="G25" s="14">
        <f t="shared" si="3"/>
        <v>25674.428571428569</v>
      </c>
      <c r="H25" s="14">
        <f t="shared" si="3"/>
        <v>25494.428571428569</v>
      </c>
      <c r="I25" s="14">
        <f t="shared" si="3"/>
        <v>31701</v>
      </c>
      <c r="J25" s="14">
        <f t="shared" si="3"/>
        <v>21933.428571428572</v>
      </c>
      <c r="K25" s="14">
        <f t="shared" si="3"/>
        <v>24360</v>
      </c>
      <c r="L25" s="14">
        <f t="shared" si="3"/>
        <v>22227.857142857141</v>
      </c>
      <c r="M25" s="14">
        <f t="shared" si="3"/>
        <v>32606.571428571428</v>
      </c>
      <c r="N25" s="14">
        <f t="shared" si="3"/>
        <v>24431.142857142859</v>
      </c>
      <c r="O25" s="14">
        <f t="shared" si="3"/>
        <v>13539.428571428571</v>
      </c>
      <c r="P25" s="14">
        <f t="shared" si="3"/>
        <v>31557</v>
      </c>
      <c r="Q25" s="14">
        <f t="shared" si="3"/>
        <v>24525</v>
      </c>
      <c r="R25" s="14">
        <f t="shared" si="3"/>
        <v>25160.571428571428</v>
      </c>
      <c r="S25" s="14">
        <f t="shared" si="3"/>
        <v>0</v>
      </c>
      <c r="T25" s="14">
        <f t="shared" si="3"/>
        <v>0</v>
      </c>
      <c r="U25" s="14">
        <f t="shared" si="3"/>
        <v>0</v>
      </c>
      <c r="V25" s="16">
        <f>SUM(C25:U25)</f>
        <v>363265.71428571426</v>
      </c>
      <c r="W25" s="16">
        <f>AVERAGE(C25:U25)</f>
        <v>19119.248120300752</v>
      </c>
      <c r="X25" s="13">
        <f>V25/V13</f>
        <v>1.982042485872532E-2</v>
      </c>
    </row>
    <row r="26" spans="1:24" x14ac:dyDescent="0.15">
      <c r="A26" s="50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6">
        <f>SUM(C26:U26)</f>
        <v>0</v>
      </c>
      <c r="W26" s="16">
        <f>AVERAGE(C26:U26)</f>
        <v>0</v>
      </c>
      <c r="X26" s="13">
        <f>V26/V13</f>
        <v>0</v>
      </c>
    </row>
    <row r="27" spans="1:24" x14ac:dyDescent="0.15">
      <c r="A27" s="50"/>
      <c r="B27" s="24" t="s">
        <v>82</v>
      </c>
      <c r="C27" s="25">
        <f t="shared" ref="C27:U27" si="4">SUM(C23:C26)</f>
        <v>7860</v>
      </c>
      <c r="D27" s="25">
        <f t="shared" si="4"/>
        <v>48197.714285714283</v>
      </c>
      <c r="E27" s="25">
        <f t="shared" si="4"/>
        <v>56699.571428571435</v>
      </c>
      <c r="F27" s="25">
        <f t="shared" si="4"/>
        <v>205137.57142857142</v>
      </c>
      <c r="G27" s="25">
        <f t="shared" si="4"/>
        <v>25674.428571428569</v>
      </c>
      <c r="H27" s="25">
        <f t="shared" si="4"/>
        <v>76089.428571428565</v>
      </c>
      <c r="I27" s="25">
        <f t="shared" si="4"/>
        <v>31701</v>
      </c>
      <c r="J27" s="25">
        <f t="shared" si="4"/>
        <v>400952.42857142858</v>
      </c>
      <c r="K27" s="25">
        <f t="shared" si="4"/>
        <v>24360</v>
      </c>
      <c r="L27" s="25">
        <f t="shared" si="4"/>
        <v>81794.857142857145</v>
      </c>
      <c r="M27" s="25">
        <f t="shared" si="4"/>
        <v>32606.571428571428</v>
      </c>
      <c r="N27" s="25">
        <f t="shared" si="4"/>
        <v>58901.142857142855</v>
      </c>
      <c r="O27" s="25">
        <f t="shared" si="4"/>
        <v>13539.428571428571</v>
      </c>
      <c r="P27" s="25">
        <f t="shared" si="4"/>
        <v>69410</v>
      </c>
      <c r="Q27" s="25">
        <f t="shared" si="4"/>
        <v>48525</v>
      </c>
      <c r="R27" s="25">
        <f t="shared" si="4"/>
        <v>27552.571428571428</v>
      </c>
      <c r="S27" s="25">
        <f t="shared" si="4"/>
        <v>0</v>
      </c>
      <c r="T27" s="25">
        <f t="shared" si="4"/>
        <v>0</v>
      </c>
      <c r="U27" s="25">
        <f t="shared" si="4"/>
        <v>0</v>
      </c>
      <c r="V27" s="27">
        <f>SUM(C27:U27)</f>
        <v>1209001.7142857146</v>
      </c>
      <c r="W27" s="27">
        <f>AVERAGE(C27:U27)</f>
        <v>63631.669172932343</v>
      </c>
      <c r="X27" s="28">
        <f>V27/V13</f>
        <v>6.5965288464363253E-2</v>
      </c>
    </row>
    <row r="28" spans="1:24" x14ac:dyDescent="0.15">
      <c r="A28" s="50" t="s">
        <v>83</v>
      </c>
      <c r="B28" s="8" t="s">
        <v>84</v>
      </c>
      <c r="C28" s="29">
        <v>140</v>
      </c>
      <c r="D28" s="29">
        <v>1001</v>
      </c>
      <c r="E28" s="29">
        <v>1516</v>
      </c>
      <c r="F28" s="29">
        <v>1256</v>
      </c>
      <c r="G28" s="29">
        <v>1400</v>
      </c>
      <c r="H28" s="29">
        <v>1485</v>
      </c>
      <c r="I28" s="29">
        <v>2003</v>
      </c>
      <c r="J28" s="29">
        <v>1300</v>
      </c>
      <c r="K28" s="29">
        <v>1573</v>
      </c>
      <c r="L28" s="29">
        <v>1319</v>
      </c>
      <c r="M28" s="29">
        <v>1706</v>
      </c>
      <c r="N28" s="29">
        <v>1426</v>
      </c>
      <c r="O28" s="29">
        <v>840</v>
      </c>
      <c r="P28" s="29">
        <v>1885</v>
      </c>
      <c r="Q28" s="29">
        <v>1393</v>
      </c>
      <c r="R28" s="29">
        <v>1392</v>
      </c>
      <c r="S28" s="29">
        <v>0</v>
      </c>
      <c r="T28" s="29">
        <v>0</v>
      </c>
      <c r="U28" s="29">
        <v>0</v>
      </c>
      <c r="V28" s="31">
        <f>SUM(C28:U28)</f>
        <v>21635</v>
      </c>
      <c r="W28" s="31">
        <f>AVERAGE(C28:U28)</f>
        <v>1138.6842105263158</v>
      </c>
      <c r="X28" s="10">
        <f>V28/V13</f>
        <v>1.1804441623721542E-3</v>
      </c>
    </row>
    <row r="29" spans="1:24" x14ac:dyDescent="0.15">
      <c r="A29" s="50"/>
      <c r="B29" s="32" t="s">
        <v>85</v>
      </c>
      <c r="C29" s="33">
        <f t="shared" ref="C29:U29" si="5">SUM(C11/C28)</f>
        <v>4.3</v>
      </c>
      <c r="D29" s="33">
        <f t="shared" si="5"/>
        <v>3.4375624375624376</v>
      </c>
      <c r="E29" s="33">
        <f t="shared" si="5"/>
        <v>3.7400395778364119</v>
      </c>
      <c r="F29" s="33">
        <f t="shared" si="5"/>
        <v>4.0672770700636942</v>
      </c>
      <c r="G29" s="33">
        <f t="shared" si="5"/>
        <v>4.2790714285714282</v>
      </c>
      <c r="H29" s="33">
        <f t="shared" si="5"/>
        <v>4.0058585858585856</v>
      </c>
      <c r="I29" s="33">
        <f t="shared" si="5"/>
        <v>2.6377933100349478</v>
      </c>
      <c r="J29" s="33">
        <f t="shared" si="5"/>
        <v>3.9367692307692308</v>
      </c>
      <c r="K29" s="33">
        <f t="shared" si="5"/>
        <v>3.6134774316592497</v>
      </c>
      <c r="L29" s="33">
        <f t="shared" si="5"/>
        <v>3.9321455648218349</v>
      </c>
      <c r="M29" s="33">
        <f t="shared" si="5"/>
        <v>4.4596717467760847</v>
      </c>
      <c r="N29" s="33">
        <f t="shared" si="5"/>
        <v>3.9976157082748949</v>
      </c>
      <c r="O29" s="33">
        <f t="shared" si="5"/>
        <v>3.7609523809523808</v>
      </c>
      <c r="P29" s="33">
        <f t="shared" si="5"/>
        <v>3.9062599469496022</v>
      </c>
      <c r="Q29" s="33">
        <f t="shared" si="5"/>
        <v>4.108040201005025</v>
      </c>
      <c r="R29" s="33">
        <f t="shared" si="5"/>
        <v>4.2175287356321842</v>
      </c>
      <c r="S29" s="33" t="e">
        <f t="shared" si="5"/>
        <v>#DIV/0!</v>
      </c>
      <c r="T29" s="33" t="e">
        <f t="shared" si="5"/>
        <v>#DIV/0!</v>
      </c>
      <c r="U29" s="33" t="e">
        <f t="shared" si="5"/>
        <v>#DIV/0!</v>
      </c>
      <c r="V29" s="35">
        <f t="shared" ref="V29" si="6">SUM(V11/V28)</f>
        <v>3.8575086665125951</v>
      </c>
      <c r="W29" s="35" t="e">
        <f>AVERAGE(C29:U29)</f>
        <v>#DIV/0!</v>
      </c>
      <c r="X29" s="32">
        <f>V29/V13</f>
        <v>2.104725484947902E-7</v>
      </c>
    </row>
    <row r="30" spans="1:24" x14ac:dyDescent="0.15">
      <c r="A30" s="50"/>
      <c r="B30" s="11" t="s">
        <v>86</v>
      </c>
      <c r="C30" s="14">
        <v>15998</v>
      </c>
      <c r="D30" s="14">
        <v>114384</v>
      </c>
      <c r="E30" s="14">
        <v>173233</v>
      </c>
      <c r="F30" s="14">
        <v>143523</v>
      </c>
      <c r="G30" s="14">
        <v>159978</v>
      </c>
      <c r="H30" s="14">
        <v>169691</v>
      </c>
      <c r="I30" s="14">
        <v>228883</v>
      </c>
      <c r="J30" s="14">
        <v>148551</v>
      </c>
      <c r="K30" s="14">
        <v>179747</v>
      </c>
      <c r="L30" s="14">
        <v>150722</v>
      </c>
      <c r="M30" s="14">
        <v>194945</v>
      </c>
      <c r="N30" s="14">
        <v>162949</v>
      </c>
      <c r="O30" s="14">
        <v>95987</v>
      </c>
      <c r="P30" s="14">
        <v>215399</v>
      </c>
      <c r="Q30" s="14">
        <v>159178</v>
      </c>
      <c r="R30" s="14">
        <v>159064</v>
      </c>
      <c r="S30" s="14">
        <v>0</v>
      </c>
      <c r="T30" s="14">
        <v>0</v>
      </c>
      <c r="U30" s="14">
        <v>0</v>
      </c>
      <c r="V30" s="16">
        <f>SUM(C30:U30)</f>
        <v>2472232</v>
      </c>
      <c r="W30" s="16">
        <f>AVERAGE(C30:U30)</f>
        <v>130117.47368421052</v>
      </c>
      <c r="X30" s="13">
        <f>V30/V13</f>
        <v>0.13488938444324639</v>
      </c>
    </row>
    <row r="31" spans="1:24" x14ac:dyDescent="0.15">
      <c r="A31" s="50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6">
        <f>SUM(C31:U31)</f>
        <v>0</v>
      </c>
      <c r="W31" s="16">
        <f>AVERAGE(C31:U31)</f>
        <v>0</v>
      </c>
      <c r="X31" s="13">
        <f>V31/V13</f>
        <v>0</v>
      </c>
    </row>
    <row r="32" spans="1:24" x14ac:dyDescent="0.15">
      <c r="A32" s="50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6">
        <f>SUM(C32:U32)</f>
        <v>0</v>
      </c>
      <c r="W32" s="16">
        <f>AVERAGE(C32:U32)</f>
        <v>0</v>
      </c>
      <c r="X32" s="13">
        <f>V32/V13</f>
        <v>0</v>
      </c>
    </row>
    <row r="33" spans="1:24" x14ac:dyDescent="0.15">
      <c r="A33" s="50"/>
      <c r="B33" s="24" t="s">
        <v>89</v>
      </c>
      <c r="C33" s="25">
        <f t="shared" ref="C33:U33" si="7">SUM(C30:C32)</f>
        <v>15998</v>
      </c>
      <c r="D33" s="25">
        <f t="shared" si="7"/>
        <v>114384</v>
      </c>
      <c r="E33" s="25">
        <f t="shared" si="7"/>
        <v>173233</v>
      </c>
      <c r="F33" s="25">
        <f t="shared" si="7"/>
        <v>143523</v>
      </c>
      <c r="G33" s="25">
        <f t="shared" si="7"/>
        <v>159978</v>
      </c>
      <c r="H33" s="25">
        <f t="shared" si="7"/>
        <v>169691</v>
      </c>
      <c r="I33" s="25">
        <f t="shared" si="7"/>
        <v>228883</v>
      </c>
      <c r="J33" s="25">
        <f t="shared" si="7"/>
        <v>148551</v>
      </c>
      <c r="K33" s="25">
        <f t="shared" si="7"/>
        <v>179747</v>
      </c>
      <c r="L33" s="25">
        <f t="shared" si="7"/>
        <v>150722</v>
      </c>
      <c r="M33" s="25">
        <f t="shared" si="7"/>
        <v>194945</v>
      </c>
      <c r="N33" s="25">
        <f t="shared" si="7"/>
        <v>162949</v>
      </c>
      <c r="O33" s="25">
        <f t="shared" si="7"/>
        <v>95987</v>
      </c>
      <c r="P33" s="25">
        <f t="shared" si="7"/>
        <v>215399</v>
      </c>
      <c r="Q33" s="25">
        <f t="shared" si="7"/>
        <v>159178</v>
      </c>
      <c r="R33" s="25">
        <f t="shared" si="7"/>
        <v>159064</v>
      </c>
      <c r="S33" s="25">
        <f t="shared" si="7"/>
        <v>0</v>
      </c>
      <c r="T33" s="25">
        <f t="shared" si="7"/>
        <v>0</v>
      </c>
      <c r="U33" s="25">
        <f t="shared" si="7"/>
        <v>0</v>
      </c>
      <c r="V33" s="27">
        <f>SUM(C33:U33)</f>
        <v>2472232</v>
      </c>
      <c r="W33" s="27">
        <f>AVERAGE(C33:U33)</f>
        <v>130117.47368421052</v>
      </c>
      <c r="X33" s="28">
        <f>V33/V13</f>
        <v>0.13488938444324639</v>
      </c>
    </row>
    <row r="34" spans="1:24" x14ac:dyDescent="0.15">
      <c r="A34" s="50" t="s">
        <v>90</v>
      </c>
      <c r="B34" s="11" t="s">
        <v>91</v>
      </c>
      <c r="C34" s="14">
        <v>2837</v>
      </c>
      <c r="D34" s="14">
        <v>2365</v>
      </c>
      <c r="E34" s="14">
        <v>2365</v>
      </c>
      <c r="F34" s="14">
        <v>2008</v>
      </c>
      <c r="G34" s="14">
        <v>2012</v>
      </c>
      <c r="H34" s="14">
        <v>2008</v>
      </c>
      <c r="I34" s="14">
        <v>2451</v>
      </c>
      <c r="J34" s="14">
        <v>2008</v>
      </c>
      <c r="K34" s="14">
        <v>2008</v>
      </c>
      <c r="L34" s="14">
        <v>2008</v>
      </c>
      <c r="M34" s="14">
        <v>2008</v>
      </c>
      <c r="N34" s="14">
        <v>2008</v>
      </c>
      <c r="O34" s="14">
        <v>2012</v>
      </c>
      <c r="P34" s="14">
        <v>2008</v>
      </c>
      <c r="Q34" s="14">
        <v>2008</v>
      </c>
      <c r="R34" s="14">
        <v>2008</v>
      </c>
      <c r="S34" s="14">
        <v>0</v>
      </c>
      <c r="T34" s="14">
        <v>0</v>
      </c>
      <c r="U34" s="14">
        <v>0</v>
      </c>
      <c r="V34" s="16">
        <f>SUM(C34:U34)</f>
        <v>34122</v>
      </c>
      <c r="W34" s="16">
        <f>AVERAGE(C34:U34)</f>
        <v>1795.8947368421052</v>
      </c>
      <c r="X34" s="13">
        <f>V34/V13</f>
        <v>1.861757139286464E-3</v>
      </c>
    </row>
    <row r="35" spans="1:24" x14ac:dyDescent="0.15">
      <c r="A35" s="50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6">
        <f>SUM(C35:U35)</f>
        <v>0</v>
      </c>
      <c r="W35" s="16">
        <f>AVERAGE(C35:U35)</f>
        <v>0</v>
      </c>
      <c r="X35" s="13">
        <f>V35/V13</f>
        <v>0</v>
      </c>
    </row>
    <row r="36" spans="1:24" x14ac:dyDescent="0.15">
      <c r="A36" s="50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6">
        <f>SUM(C36:U36)</f>
        <v>0</v>
      </c>
      <c r="W36" s="16">
        <f>AVERAGE(C36:U36)</f>
        <v>0</v>
      </c>
      <c r="X36" s="13">
        <f>V36/V13</f>
        <v>0</v>
      </c>
    </row>
    <row r="37" spans="1:24" x14ac:dyDescent="0.15">
      <c r="A37" s="50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6">
        <f>SUM(C37:U37)</f>
        <v>0</v>
      </c>
      <c r="W37" s="16">
        <f>AVERAGE(C37:U37)</f>
        <v>0</v>
      </c>
      <c r="X37" s="13">
        <f>V37/V13</f>
        <v>0</v>
      </c>
    </row>
    <row r="38" spans="1:24" x14ac:dyDescent="0.15">
      <c r="A38" s="50"/>
      <c r="B38" s="11" t="s">
        <v>92</v>
      </c>
      <c r="C38" s="14">
        <v>5366</v>
      </c>
      <c r="D38" s="14">
        <v>5366</v>
      </c>
      <c r="E38" s="14">
        <v>5366</v>
      </c>
      <c r="F38" s="14">
        <v>5366</v>
      </c>
      <c r="G38" s="14">
        <v>5366</v>
      </c>
      <c r="H38" s="14">
        <v>5366</v>
      </c>
      <c r="I38" s="14">
        <v>10690</v>
      </c>
      <c r="J38" s="14">
        <v>5366</v>
      </c>
      <c r="K38" s="14">
        <v>5366</v>
      </c>
      <c r="L38" s="14">
        <v>7671</v>
      </c>
      <c r="M38" s="14">
        <v>5366</v>
      </c>
      <c r="N38" s="14">
        <v>8639</v>
      </c>
      <c r="O38" s="14">
        <v>5366</v>
      </c>
      <c r="P38" s="14">
        <v>7624</v>
      </c>
      <c r="Q38" s="14">
        <v>6832</v>
      </c>
      <c r="R38" s="14">
        <v>4621</v>
      </c>
      <c r="S38" s="14">
        <v>0</v>
      </c>
      <c r="T38" s="14">
        <v>0</v>
      </c>
      <c r="U38" s="14">
        <v>0</v>
      </c>
      <c r="V38" s="16">
        <f>SUM(C38:U38)</f>
        <v>99737</v>
      </c>
      <c r="W38" s="16">
        <f>AVERAGE(C38:U38)</f>
        <v>5249.3157894736842</v>
      </c>
      <c r="X38" s="13">
        <f>V38/V13</f>
        <v>5.4418284919117883E-3</v>
      </c>
    </row>
    <row r="39" spans="1:24" x14ac:dyDescent="0.15">
      <c r="A39" s="50"/>
      <c r="B39" s="24" t="s">
        <v>93</v>
      </c>
      <c r="C39" s="25">
        <f t="shared" ref="C39:U39" si="8">SUM(C34:C38)</f>
        <v>8203</v>
      </c>
      <c r="D39" s="25">
        <f t="shared" si="8"/>
        <v>7731</v>
      </c>
      <c r="E39" s="25">
        <f t="shared" si="8"/>
        <v>7731</v>
      </c>
      <c r="F39" s="25">
        <f t="shared" si="8"/>
        <v>7374</v>
      </c>
      <c r="G39" s="25">
        <f t="shared" si="8"/>
        <v>7378</v>
      </c>
      <c r="H39" s="25">
        <f t="shared" si="8"/>
        <v>7374</v>
      </c>
      <c r="I39" s="25">
        <f t="shared" si="8"/>
        <v>13141</v>
      </c>
      <c r="J39" s="25">
        <f t="shared" si="8"/>
        <v>7374</v>
      </c>
      <c r="K39" s="25">
        <f t="shared" si="8"/>
        <v>7374</v>
      </c>
      <c r="L39" s="25">
        <f t="shared" si="8"/>
        <v>9679</v>
      </c>
      <c r="M39" s="25">
        <f t="shared" si="8"/>
        <v>7374</v>
      </c>
      <c r="N39" s="25">
        <f t="shared" si="8"/>
        <v>10647</v>
      </c>
      <c r="O39" s="25">
        <f t="shared" si="8"/>
        <v>7378</v>
      </c>
      <c r="P39" s="25">
        <f t="shared" si="8"/>
        <v>9632</v>
      </c>
      <c r="Q39" s="25">
        <f t="shared" si="8"/>
        <v>8840</v>
      </c>
      <c r="R39" s="25">
        <f t="shared" si="8"/>
        <v>6629</v>
      </c>
      <c r="S39" s="25">
        <f t="shared" si="8"/>
        <v>0</v>
      </c>
      <c r="T39" s="25">
        <f t="shared" si="8"/>
        <v>0</v>
      </c>
      <c r="U39" s="25">
        <f t="shared" si="8"/>
        <v>0</v>
      </c>
      <c r="V39" s="27">
        <f>SUM(C39:U39)</f>
        <v>133859</v>
      </c>
      <c r="W39" s="27">
        <f>AVERAGE(C39:U39)</f>
        <v>7045.2105263157891</v>
      </c>
      <c r="X39" s="28">
        <f>V39/V13</f>
        <v>7.303585631198253E-3</v>
      </c>
    </row>
    <row r="40" spans="1:24" x14ac:dyDescent="0.15">
      <c r="A40" s="50" t="s">
        <v>94</v>
      </c>
      <c r="B40" s="11" t="s">
        <v>95</v>
      </c>
      <c r="C40" s="14">
        <v>11060</v>
      </c>
      <c r="D40" s="14">
        <v>0</v>
      </c>
      <c r="E40" s="14">
        <v>91180</v>
      </c>
      <c r="F40" s="14">
        <v>66780</v>
      </c>
      <c r="G40" s="14">
        <v>99250</v>
      </c>
      <c r="H40" s="14">
        <v>103650</v>
      </c>
      <c r="I40" s="14">
        <v>157960</v>
      </c>
      <c r="J40" s="14">
        <v>65390</v>
      </c>
      <c r="K40" s="14">
        <v>55740</v>
      </c>
      <c r="L40" s="14">
        <v>79990</v>
      </c>
      <c r="M40" s="14">
        <v>150320</v>
      </c>
      <c r="N40" s="14">
        <v>141150</v>
      </c>
      <c r="O40" s="14">
        <v>76030</v>
      </c>
      <c r="P40" s="14">
        <v>180840</v>
      </c>
      <c r="Q40" s="14">
        <v>144640</v>
      </c>
      <c r="R40" s="14">
        <v>115870</v>
      </c>
      <c r="S40" s="14">
        <v>0</v>
      </c>
      <c r="T40" s="14">
        <v>0</v>
      </c>
      <c r="U40" s="14">
        <v>0</v>
      </c>
      <c r="V40" s="16">
        <f>SUM(C40:U40)</f>
        <v>1539850</v>
      </c>
      <c r="W40" s="16">
        <f>AVERAGE(C40:U40)</f>
        <v>81044.736842105267</v>
      </c>
      <c r="X40" s="13">
        <f>V40/V13</f>
        <v>8.4016960639184735E-2</v>
      </c>
    </row>
    <row r="41" spans="1:24" x14ac:dyDescent="0.15">
      <c r="A41" s="50"/>
      <c r="B41" s="11" t="s">
        <v>96</v>
      </c>
      <c r="C41" s="14">
        <v>-11060</v>
      </c>
      <c r="D41" s="14">
        <v>-3020</v>
      </c>
      <c r="E41" s="14">
        <v>-38139</v>
      </c>
      <c r="F41" s="14">
        <v>-28344</v>
      </c>
      <c r="G41" s="14">
        <v>-47734</v>
      </c>
      <c r="H41" s="14">
        <v>-53733</v>
      </c>
      <c r="I41" s="14">
        <v>-78372</v>
      </c>
      <c r="J41" s="14">
        <v>-31043</v>
      </c>
      <c r="K41" s="14">
        <v>-18473</v>
      </c>
      <c r="L41" s="14">
        <v>-37453</v>
      </c>
      <c r="M41" s="14">
        <v>-63995</v>
      </c>
      <c r="N41" s="14">
        <v>-46536</v>
      </c>
      <c r="O41" s="14">
        <v>-27786</v>
      </c>
      <c r="P41" s="14">
        <v>-61890</v>
      </c>
      <c r="Q41" s="14">
        <v>-116000</v>
      </c>
      <c r="R41" s="14">
        <v>-116000</v>
      </c>
      <c r="S41" s="14">
        <v>0</v>
      </c>
      <c r="T41" s="14">
        <v>0</v>
      </c>
      <c r="U41" s="14">
        <v>0</v>
      </c>
      <c r="V41" s="16">
        <f>SUM(C41:U41)</f>
        <v>-779578</v>
      </c>
      <c r="W41" s="16">
        <f>AVERAGE(C41:U41)</f>
        <v>-41030.42105263158</v>
      </c>
      <c r="X41" s="13">
        <f>V41/V13</f>
        <v>-4.2535165205165669E-2</v>
      </c>
    </row>
    <row r="42" spans="1:24" x14ac:dyDescent="0.15">
      <c r="A42" s="50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6">
        <f>SUM(C42:U42)</f>
        <v>0</v>
      </c>
      <c r="W42" s="16">
        <f>AVERAGE(C42:U42)</f>
        <v>0</v>
      </c>
      <c r="X42" s="13">
        <f>V42/V13</f>
        <v>0</v>
      </c>
    </row>
    <row r="43" spans="1:24" x14ac:dyDescent="0.15">
      <c r="A43" s="50"/>
      <c r="B43" s="11" t="s">
        <v>98</v>
      </c>
      <c r="C43" s="14">
        <v>-3649.8</v>
      </c>
      <c r="D43" s="14">
        <v>0</v>
      </c>
      <c r="E43" s="14">
        <v>-30089.4</v>
      </c>
      <c r="F43" s="14">
        <v>-22037.4</v>
      </c>
      <c r="G43" s="14">
        <v>-32752.5</v>
      </c>
      <c r="H43" s="14">
        <v>-34204.5</v>
      </c>
      <c r="I43" s="14">
        <v>-52126.8</v>
      </c>
      <c r="J43" s="14">
        <v>-21578.7</v>
      </c>
      <c r="K43" s="14">
        <v>-18394.2</v>
      </c>
      <c r="L43" s="14">
        <v>-26396.7</v>
      </c>
      <c r="M43" s="14">
        <v>-49605.599999999999</v>
      </c>
      <c r="N43" s="14">
        <v>-46579.5</v>
      </c>
      <c r="O43" s="14">
        <v>-25089.9</v>
      </c>
      <c r="P43" s="14">
        <v>-59677.2</v>
      </c>
      <c r="Q43" s="14">
        <v>-47731.199999999997</v>
      </c>
      <c r="R43" s="14">
        <v>-38237.1</v>
      </c>
      <c r="S43" s="14">
        <v>0</v>
      </c>
      <c r="T43" s="14">
        <v>0</v>
      </c>
      <c r="U43" s="14">
        <v>0</v>
      </c>
      <c r="V43" s="16">
        <f>SUM(C43:U43)</f>
        <v>-508150.50000000006</v>
      </c>
      <c r="W43" s="16">
        <f>AVERAGE(B43:U43)</f>
        <v>-26744.76315789474</v>
      </c>
      <c r="X43" s="13">
        <f>V43/V13</f>
        <v>-2.7725597010930966E-2</v>
      </c>
    </row>
    <row r="44" spans="1:24" x14ac:dyDescent="0.15">
      <c r="A44" s="50"/>
      <c r="B44" s="24" t="s">
        <v>99</v>
      </c>
      <c r="C44" s="25">
        <f t="shared" ref="C44:V44" si="9">SUM(C40:C43)</f>
        <v>-3649.8</v>
      </c>
      <c r="D44" s="25">
        <f t="shared" si="9"/>
        <v>-3020</v>
      </c>
      <c r="E44" s="25">
        <f t="shared" si="9"/>
        <v>22951.599999999999</v>
      </c>
      <c r="F44" s="25">
        <f t="shared" si="9"/>
        <v>16398.599999999999</v>
      </c>
      <c r="G44" s="25">
        <f t="shared" si="9"/>
        <v>18763.5</v>
      </c>
      <c r="H44" s="25">
        <f t="shared" si="9"/>
        <v>15712.5</v>
      </c>
      <c r="I44" s="25">
        <f t="shared" si="9"/>
        <v>27461.199999999997</v>
      </c>
      <c r="J44" s="25">
        <f t="shared" si="9"/>
        <v>12768.3</v>
      </c>
      <c r="K44" s="25">
        <f t="shared" si="9"/>
        <v>18872.8</v>
      </c>
      <c r="L44" s="25">
        <f t="shared" si="9"/>
        <v>16140.3</v>
      </c>
      <c r="M44" s="25">
        <f t="shared" si="9"/>
        <v>36719.4</v>
      </c>
      <c r="N44" s="25">
        <f t="shared" si="9"/>
        <v>48034.5</v>
      </c>
      <c r="O44" s="25">
        <f t="shared" si="9"/>
        <v>23154.1</v>
      </c>
      <c r="P44" s="25">
        <f t="shared" si="9"/>
        <v>59272.800000000003</v>
      </c>
      <c r="Q44" s="25">
        <f t="shared" si="9"/>
        <v>-19091.199999999997</v>
      </c>
      <c r="R44" s="25">
        <f t="shared" si="9"/>
        <v>-38367.1</v>
      </c>
      <c r="S44" s="25">
        <f t="shared" si="9"/>
        <v>0</v>
      </c>
      <c r="T44" s="25">
        <f t="shared" si="9"/>
        <v>0</v>
      </c>
      <c r="U44" s="25">
        <f t="shared" si="9"/>
        <v>0</v>
      </c>
      <c r="V44" s="27">
        <f t="shared" si="9"/>
        <v>252121.49999999994</v>
      </c>
      <c r="W44" s="27">
        <f>AVERAGE(B44:U44)</f>
        <v>13269.552631578947</v>
      </c>
      <c r="X44" s="28">
        <f>V44/V13</f>
        <v>1.3756198423088098E-2</v>
      </c>
    </row>
    <row r="45" spans="1:24" x14ac:dyDescent="0.15">
      <c r="A45" s="50" t="s">
        <v>100</v>
      </c>
      <c r="B45" s="11" t="s">
        <v>101</v>
      </c>
      <c r="C45" s="14">
        <v>28345</v>
      </c>
      <c r="D45" s="14">
        <v>453526</v>
      </c>
      <c r="E45" s="14">
        <v>581081</v>
      </c>
      <c r="F45" s="14">
        <v>368490</v>
      </c>
      <c r="G45" s="14">
        <v>354317</v>
      </c>
      <c r="H45" s="14">
        <v>354317</v>
      </c>
      <c r="I45" s="14">
        <v>396835</v>
      </c>
      <c r="J45" s="14">
        <v>340145</v>
      </c>
      <c r="K45" s="14">
        <v>396836</v>
      </c>
      <c r="L45" s="14">
        <v>382663</v>
      </c>
      <c r="M45" s="14">
        <v>396835</v>
      </c>
      <c r="N45" s="14">
        <v>255108</v>
      </c>
      <c r="O45" s="14">
        <v>184245</v>
      </c>
      <c r="P45" s="14">
        <v>297627</v>
      </c>
      <c r="Q45" s="14">
        <v>226763</v>
      </c>
      <c r="R45" s="14">
        <v>226763</v>
      </c>
      <c r="S45" s="14">
        <v>0</v>
      </c>
      <c r="T45" s="14">
        <v>0</v>
      </c>
      <c r="U45" s="14">
        <v>0</v>
      </c>
      <c r="V45" s="16">
        <f>SUM(C45:U45)</f>
        <v>5243896</v>
      </c>
      <c r="W45" s="16">
        <f>AVERAGE(C45:U45)</f>
        <v>275994.5263157895</v>
      </c>
      <c r="X45" s="13">
        <f>V45/V13</f>
        <v>0.28611631251614006</v>
      </c>
    </row>
    <row r="46" spans="1:24" x14ac:dyDescent="0.15">
      <c r="A46" s="50"/>
      <c r="B46" s="11" t="s">
        <v>102</v>
      </c>
      <c r="C46" s="14">
        <v>1669</v>
      </c>
      <c r="D46" s="14">
        <v>26699</v>
      </c>
      <c r="E46" s="14">
        <v>34208</v>
      </c>
      <c r="F46" s="14">
        <v>21692</v>
      </c>
      <c r="G46" s="14">
        <v>20858</v>
      </c>
      <c r="H46" s="14">
        <v>20859</v>
      </c>
      <c r="I46" s="14">
        <v>23361</v>
      </c>
      <c r="J46" s="14">
        <v>20024</v>
      </c>
      <c r="K46" s="14">
        <v>23361</v>
      </c>
      <c r="L46" s="14">
        <v>22526</v>
      </c>
      <c r="M46" s="14">
        <v>23361</v>
      </c>
      <c r="N46" s="14">
        <v>15018</v>
      </c>
      <c r="O46" s="14">
        <v>10847</v>
      </c>
      <c r="P46" s="14">
        <v>17520</v>
      </c>
      <c r="Q46" s="14">
        <v>13349</v>
      </c>
      <c r="R46" s="14">
        <v>13349</v>
      </c>
      <c r="S46" s="14">
        <v>0</v>
      </c>
      <c r="T46" s="14">
        <v>0</v>
      </c>
      <c r="U46" s="14">
        <v>0</v>
      </c>
      <c r="V46" s="16">
        <f>SUM(C46:U46)</f>
        <v>308701</v>
      </c>
      <c r="W46" s="16">
        <f>AVERAGE(C46:U46)</f>
        <v>16247.421052631578</v>
      </c>
      <c r="X46" s="13">
        <f>V46/V13</f>
        <v>1.6843276790776351E-2</v>
      </c>
    </row>
    <row r="47" spans="1:24" x14ac:dyDescent="0.15">
      <c r="A47" s="50"/>
      <c r="B47" s="11" t="s">
        <v>103</v>
      </c>
      <c r="C47" s="14">
        <v>4727</v>
      </c>
      <c r="D47" s="14">
        <v>75626</v>
      </c>
      <c r="E47" s="14">
        <v>96896</v>
      </c>
      <c r="F47" s="14">
        <v>61446</v>
      </c>
      <c r="G47" s="14">
        <v>59083</v>
      </c>
      <c r="H47" s="14">
        <v>59083</v>
      </c>
      <c r="I47" s="14">
        <v>66173</v>
      </c>
      <c r="J47" s="14">
        <v>56720</v>
      </c>
      <c r="K47" s="14">
        <v>66172</v>
      </c>
      <c r="L47" s="14">
        <v>63809</v>
      </c>
      <c r="M47" s="14">
        <v>66173</v>
      </c>
      <c r="N47" s="14">
        <v>42540</v>
      </c>
      <c r="O47" s="14">
        <v>30724</v>
      </c>
      <c r="P47" s="14">
        <v>49629</v>
      </c>
      <c r="Q47" s="14">
        <v>37813</v>
      </c>
      <c r="R47" s="14">
        <v>37813</v>
      </c>
      <c r="S47" s="14">
        <v>0</v>
      </c>
      <c r="T47" s="14">
        <v>0</v>
      </c>
      <c r="U47" s="14">
        <v>0</v>
      </c>
      <c r="V47" s="16">
        <f>SUM(C47:U47)</f>
        <v>874427</v>
      </c>
      <c r="W47" s="16">
        <f>AVERAGE(C47:U47)</f>
        <v>46022.473684210527</v>
      </c>
      <c r="X47" s="13">
        <f>V47/V13</f>
        <v>4.7710295704672785E-2</v>
      </c>
    </row>
    <row r="48" spans="1:24" x14ac:dyDescent="0.15">
      <c r="A48" s="50"/>
      <c r="B48" s="11" t="s">
        <v>104</v>
      </c>
      <c r="C48" s="14">
        <v>287</v>
      </c>
      <c r="D48" s="14">
        <v>4587</v>
      </c>
      <c r="E48" s="14">
        <v>5877</v>
      </c>
      <c r="F48" s="14">
        <v>3727</v>
      </c>
      <c r="G48" s="14">
        <v>3584</v>
      </c>
      <c r="H48" s="14">
        <v>3584</v>
      </c>
      <c r="I48" s="14">
        <v>4014</v>
      </c>
      <c r="J48" s="14">
        <v>3440</v>
      </c>
      <c r="K48" s="14">
        <v>4013</v>
      </c>
      <c r="L48" s="14">
        <v>3870</v>
      </c>
      <c r="M48" s="14">
        <v>4013</v>
      </c>
      <c r="N48" s="14">
        <v>2580</v>
      </c>
      <c r="O48" s="14">
        <v>1864</v>
      </c>
      <c r="P48" s="14">
        <v>3009</v>
      </c>
      <c r="Q48" s="14">
        <v>2293</v>
      </c>
      <c r="R48" s="14">
        <v>2293</v>
      </c>
      <c r="S48" s="14">
        <v>0</v>
      </c>
      <c r="T48" s="14">
        <v>0</v>
      </c>
      <c r="U48" s="14">
        <v>0</v>
      </c>
      <c r="V48" s="16">
        <f>SUM(C48:U48)</f>
        <v>53035</v>
      </c>
      <c r="W48" s="16">
        <f>AVERAGE(C48:U48)</f>
        <v>2791.3157894736842</v>
      </c>
      <c r="X48" s="13">
        <f>V48/V13</f>
        <v>2.8936841299471781E-3</v>
      </c>
    </row>
    <row r="49" spans="1:24" x14ac:dyDescent="0.15">
      <c r="A49" s="50"/>
      <c r="B49" s="24" t="s">
        <v>105</v>
      </c>
      <c r="C49" s="25">
        <f t="shared" ref="C49:U49" si="10">SUM(C45:C48)</f>
        <v>35028</v>
      </c>
      <c r="D49" s="25">
        <f t="shared" si="10"/>
        <v>560438</v>
      </c>
      <c r="E49" s="25">
        <f t="shared" si="10"/>
        <v>718062</v>
      </c>
      <c r="F49" s="25">
        <f t="shared" si="10"/>
        <v>455355</v>
      </c>
      <c r="G49" s="25">
        <f t="shared" si="10"/>
        <v>437842</v>
      </c>
      <c r="H49" s="25">
        <f t="shared" si="10"/>
        <v>437843</v>
      </c>
      <c r="I49" s="25">
        <f t="shared" si="10"/>
        <v>490383</v>
      </c>
      <c r="J49" s="25">
        <f t="shared" si="10"/>
        <v>420329</v>
      </c>
      <c r="K49" s="25">
        <f t="shared" si="10"/>
        <v>490382</v>
      </c>
      <c r="L49" s="25">
        <f t="shared" si="10"/>
        <v>472868</v>
      </c>
      <c r="M49" s="25">
        <f t="shared" si="10"/>
        <v>490382</v>
      </c>
      <c r="N49" s="25">
        <f t="shared" si="10"/>
        <v>315246</v>
      </c>
      <c r="O49" s="25">
        <f t="shared" si="10"/>
        <v>227680</v>
      </c>
      <c r="P49" s="25">
        <f t="shared" si="10"/>
        <v>367785</v>
      </c>
      <c r="Q49" s="25">
        <f t="shared" si="10"/>
        <v>280218</v>
      </c>
      <c r="R49" s="25">
        <f t="shared" si="10"/>
        <v>280218</v>
      </c>
      <c r="S49" s="25">
        <f t="shared" si="10"/>
        <v>0</v>
      </c>
      <c r="T49" s="25">
        <f t="shared" si="10"/>
        <v>0</v>
      </c>
      <c r="U49" s="25">
        <f t="shared" si="10"/>
        <v>0</v>
      </c>
      <c r="V49" s="27">
        <f>SUM(C49:U49)</f>
        <v>6480059</v>
      </c>
      <c r="W49" s="27">
        <f>AVERAGE(C49:U49)</f>
        <v>341055.73684210528</v>
      </c>
      <c r="X49" s="28">
        <f>V49/V13</f>
        <v>0.35356356914153636</v>
      </c>
    </row>
    <row r="50" spans="1:24" x14ac:dyDescent="0.15">
      <c r="A50" s="50" t="s">
        <v>106</v>
      </c>
      <c r="B50" s="11" t="s">
        <v>107</v>
      </c>
      <c r="C50" s="14">
        <v>6882.3529411764703</v>
      </c>
      <c r="D50" s="14">
        <v>6882.3529411764703</v>
      </c>
      <c r="E50" s="14">
        <v>6882.3529411764703</v>
      </c>
      <c r="F50" s="14">
        <v>6882.3529411764703</v>
      </c>
      <c r="G50" s="14">
        <v>6882.3529411764703</v>
      </c>
      <c r="H50" s="14">
        <v>6882.3529411764703</v>
      </c>
      <c r="I50" s="14">
        <v>6882.3529411764703</v>
      </c>
      <c r="J50" s="14">
        <v>6882.3529411764703</v>
      </c>
      <c r="K50" s="14">
        <v>6882.3529411764703</v>
      </c>
      <c r="L50" s="14">
        <v>6882.3529411764703</v>
      </c>
      <c r="M50" s="14">
        <v>6882.3529411764703</v>
      </c>
      <c r="N50" s="14">
        <v>6882.3529411764703</v>
      </c>
      <c r="O50" s="14">
        <v>6882.3529411764703</v>
      </c>
      <c r="P50" s="14">
        <v>6882.3529411764703</v>
      </c>
      <c r="Q50" s="14">
        <v>6882.3529411764703</v>
      </c>
      <c r="R50" s="14">
        <v>6882.3529411764703</v>
      </c>
      <c r="S50" s="14">
        <v>0</v>
      </c>
      <c r="T50" s="14">
        <v>0</v>
      </c>
      <c r="U50" s="14">
        <v>6882.3529411764703</v>
      </c>
      <c r="V50" s="16">
        <f>SUM(C50:U50)</f>
        <v>117000.00000000003</v>
      </c>
      <c r="W50" s="16">
        <f>AVERAGE(C50:U50)</f>
        <v>6157.8947368421068</v>
      </c>
      <c r="X50" s="13">
        <f>V50/V13</f>
        <v>6.3837285416012057E-3</v>
      </c>
    </row>
    <row r="51" spans="1:24" x14ac:dyDescent="0.15">
      <c r="A51" s="50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6">
        <f>SUM(C51:U51)</f>
        <v>0</v>
      </c>
      <c r="W51" s="16">
        <f>AVERAGE(C51:U51)</f>
        <v>0</v>
      </c>
      <c r="X51" s="13">
        <f>V51/V13</f>
        <v>0</v>
      </c>
    </row>
    <row r="52" spans="1:24" x14ac:dyDescent="0.15">
      <c r="A52" s="50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6">
        <f>SUM(C52:U52)</f>
        <v>0</v>
      </c>
      <c r="W52" s="16">
        <f>AVERAGE(C52:U52)</f>
        <v>0</v>
      </c>
      <c r="X52" s="13">
        <f>V52/V13</f>
        <v>0</v>
      </c>
    </row>
    <row r="53" spans="1:24" x14ac:dyDescent="0.15">
      <c r="A53" s="50"/>
      <c r="B53" s="11" t="s">
        <v>110</v>
      </c>
      <c r="C53" s="14">
        <v>96534.823529411762</v>
      </c>
      <c r="D53" s="14">
        <v>96534.823529411762</v>
      </c>
      <c r="E53" s="14">
        <v>96534.823529411762</v>
      </c>
      <c r="F53" s="14">
        <v>96534.823529411762</v>
      </c>
      <c r="G53" s="14">
        <v>96534.823529411762</v>
      </c>
      <c r="H53" s="14">
        <v>96534.823529411762</v>
      </c>
      <c r="I53" s="14">
        <v>96534.823529411762</v>
      </c>
      <c r="J53" s="14">
        <v>96534.823529411762</v>
      </c>
      <c r="K53" s="14">
        <v>96534.823529411762</v>
      </c>
      <c r="L53" s="14">
        <v>96534.823529411762</v>
      </c>
      <c r="M53" s="14">
        <v>96534.823529411762</v>
      </c>
      <c r="N53" s="14">
        <v>96534.823529411762</v>
      </c>
      <c r="O53" s="14">
        <v>96534.823529411762</v>
      </c>
      <c r="P53" s="14">
        <v>96534.823529411762</v>
      </c>
      <c r="Q53" s="14">
        <v>96534.823529411762</v>
      </c>
      <c r="R53" s="14">
        <v>96534.823529411762</v>
      </c>
      <c r="S53" s="14">
        <v>0</v>
      </c>
      <c r="T53" s="14">
        <v>0</v>
      </c>
      <c r="U53" s="14">
        <v>96534.823529411762</v>
      </c>
      <c r="V53" s="16">
        <f>SUM(C53:U53)</f>
        <v>1641092.0000000005</v>
      </c>
      <c r="W53" s="16">
        <f>AVERAGE(C53:U53)</f>
        <v>86373.263157894762</v>
      </c>
      <c r="X53" s="13">
        <f>V53/V13</f>
        <v>8.9540904613618855E-2</v>
      </c>
    </row>
    <row r="54" spans="1:24" x14ac:dyDescent="0.15">
      <c r="A54" s="50"/>
      <c r="B54" s="11" t="s">
        <v>111</v>
      </c>
      <c r="C54" s="14">
        <v>54692.647058823532</v>
      </c>
      <c r="D54" s="14">
        <v>54692.647058823532</v>
      </c>
      <c r="E54" s="14">
        <v>54692.647058823532</v>
      </c>
      <c r="F54" s="14">
        <v>54692.647058823532</v>
      </c>
      <c r="G54" s="14">
        <v>54692.647058823532</v>
      </c>
      <c r="H54" s="14">
        <v>54692.647058823532</v>
      </c>
      <c r="I54" s="14">
        <v>54692.647058823532</v>
      </c>
      <c r="J54" s="14">
        <v>54692.647058823532</v>
      </c>
      <c r="K54" s="14">
        <v>54692.647058823532</v>
      </c>
      <c r="L54" s="14">
        <v>54692.647058823532</v>
      </c>
      <c r="M54" s="14">
        <v>54692.647058823532</v>
      </c>
      <c r="N54" s="14">
        <v>54692.647058823532</v>
      </c>
      <c r="O54" s="14">
        <v>54692.647058823532</v>
      </c>
      <c r="P54" s="14">
        <v>54692.647058823532</v>
      </c>
      <c r="Q54" s="14">
        <v>54692.647058823532</v>
      </c>
      <c r="R54" s="14">
        <v>54692.647058823532</v>
      </c>
      <c r="S54" s="14">
        <v>0</v>
      </c>
      <c r="T54" s="14">
        <v>0</v>
      </c>
      <c r="U54" s="14">
        <v>54692.647058823532</v>
      </c>
      <c r="V54" s="16">
        <f>SUM(C54:U54)</f>
        <v>929774.99999999988</v>
      </c>
      <c r="W54" s="16">
        <f>AVERAGE(C54:U54)</f>
        <v>48935.526315789466</v>
      </c>
      <c r="X54" s="13">
        <f>V54/V13</f>
        <v>5.0730181237326998E-2</v>
      </c>
    </row>
    <row r="55" spans="1:24" x14ac:dyDescent="0.15">
      <c r="A55" s="50"/>
      <c r="B55" s="24" t="s">
        <v>112</v>
      </c>
      <c r="C55" s="25">
        <f t="shared" ref="C55:U55" si="11">SUM(C50:C54)</f>
        <v>158109.82352941178</v>
      </c>
      <c r="D55" s="25">
        <f t="shared" si="11"/>
        <v>158109.82352941178</v>
      </c>
      <c r="E55" s="25">
        <f t="shared" si="11"/>
        <v>158109.82352941178</v>
      </c>
      <c r="F55" s="25">
        <f t="shared" si="11"/>
        <v>158109.82352941178</v>
      </c>
      <c r="G55" s="25">
        <f t="shared" si="11"/>
        <v>158109.82352941178</v>
      </c>
      <c r="H55" s="25">
        <f t="shared" si="11"/>
        <v>158109.82352941178</v>
      </c>
      <c r="I55" s="25">
        <f t="shared" si="11"/>
        <v>158109.82352941178</v>
      </c>
      <c r="J55" s="25">
        <f t="shared" si="11"/>
        <v>158109.82352941178</v>
      </c>
      <c r="K55" s="25">
        <f t="shared" si="11"/>
        <v>158109.82352941178</v>
      </c>
      <c r="L55" s="25">
        <f t="shared" si="11"/>
        <v>158109.82352941178</v>
      </c>
      <c r="M55" s="25">
        <f t="shared" si="11"/>
        <v>158109.82352941178</v>
      </c>
      <c r="N55" s="25">
        <f t="shared" si="11"/>
        <v>158109.82352941178</v>
      </c>
      <c r="O55" s="25">
        <f t="shared" si="11"/>
        <v>158109.82352941178</v>
      </c>
      <c r="P55" s="25">
        <f t="shared" si="11"/>
        <v>158109.82352941178</v>
      </c>
      <c r="Q55" s="25">
        <f t="shared" si="11"/>
        <v>158109.82352941178</v>
      </c>
      <c r="R55" s="25">
        <f t="shared" si="11"/>
        <v>158109.82352941178</v>
      </c>
      <c r="S55" s="25">
        <f t="shared" si="11"/>
        <v>0</v>
      </c>
      <c r="T55" s="25">
        <f t="shared" si="11"/>
        <v>0</v>
      </c>
      <c r="U55" s="25">
        <f t="shared" si="11"/>
        <v>158109.82352941178</v>
      </c>
      <c r="V55" s="27">
        <f>SUM(C55:U55)</f>
        <v>2687866.9999999995</v>
      </c>
      <c r="W55" s="27">
        <f>AVERAGE(C55:U55)</f>
        <v>141466.68421052629</v>
      </c>
      <c r="X55" s="28">
        <f>V55/V13</f>
        <v>0.14665481439254702</v>
      </c>
    </row>
    <row r="56" spans="1:24" x14ac:dyDescent="0.15">
      <c r="A56" s="49" t="s">
        <v>113</v>
      </c>
      <c r="B56" s="49"/>
      <c r="C56" s="14">
        <f t="shared" ref="C56:U56" si="12">SUM(C49+C22+C27+C33+C39+C44+C55)</f>
        <v>312174.02352941176</v>
      </c>
      <c r="D56" s="14">
        <f t="shared" si="12"/>
        <v>937810.53781512612</v>
      </c>
      <c r="E56" s="14">
        <f t="shared" si="12"/>
        <v>1185089.9949579833</v>
      </c>
      <c r="F56" s="14">
        <f t="shared" si="12"/>
        <v>1032864.9949579831</v>
      </c>
      <c r="G56" s="14">
        <f t="shared" si="12"/>
        <v>839312.75210084044</v>
      </c>
      <c r="H56" s="14">
        <f t="shared" si="12"/>
        <v>908504.75210084033</v>
      </c>
      <c r="I56" s="14">
        <f t="shared" si="12"/>
        <v>1070475.0235294118</v>
      </c>
      <c r="J56" s="14">
        <f t="shared" si="12"/>
        <v>1206414.5521008405</v>
      </c>
      <c r="K56" s="14">
        <f t="shared" si="12"/>
        <v>923117.62352941185</v>
      </c>
      <c r="L56" s="14">
        <f t="shared" si="12"/>
        <v>997678.98067226901</v>
      </c>
      <c r="M56" s="14">
        <f t="shared" si="12"/>
        <v>954530.79495798331</v>
      </c>
      <c r="N56" s="14">
        <f t="shared" si="12"/>
        <v>992012.46638655465</v>
      </c>
      <c r="O56" s="14">
        <f t="shared" si="12"/>
        <v>614438.3521008403</v>
      </c>
      <c r="P56" s="14">
        <f t="shared" si="12"/>
        <v>968137.62352941185</v>
      </c>
      <c r="Q56" s="14">
        <f t="shared" si="12"/>
        <v>749787.62352941185</v>
      </c>
      <c r="R56" s="14">
        <f t="shared" si="12"/>
        <v>649150.29495798319</v>
      </c>
      <c r="S56" s="14">
        <f t="shared" si="12"/>
        <v>0</v>
      </c>
      <c r="T56" s="14">
        <f t="shared" si="12"/>
        <v>0</v>
      </c>
      <c r="U56" s="14">
        <f t="shared" si="12"/>
        <v>248084.82352941178</v>
      </c>
      <c r="V56" s="16">
        <f>SUM(C56:U56)</f>
        <v>14589585.214285715</v>
      </c>
      <c r="W56" s="16">
        <f>AVERAGE(C56:U56)</f>
        <v>767872.90601503756</v>
      </c>
      <c r="X56" s="13">
        <f>V56/V13</f>
        <v>0.79603377386802254</v>
      </c>
    </row>
    <row r="57" spans="1:24" x14ac:dyDescent="0.15">
      <c r="A57" s="49" t="s">
        <v>114</v>
      </c>
      <c r="B57" s="49"/>
      <c r="C57" s="14">
        <f t="shared" ref="C57:U57" si="13">SUM(C13+C14-C56)</f>
        <v>-177165.02352941176</v>
      </c>
      <c r="D57" s="14">
        <f t="shared" si="13"/>
        <v>-10368.537815126125</v>
      </c>
      <c r="E57" s="14">
        <f t="shared" si="13"/>
        <v>48800.005042016739</v>
      </c>
      <c r="F57" s="14">
        <f t="shared" si="13"/>
        <v>186005.00504201686</v>
      </c>
      <c r="G57" s="14">
        <f t="shared" si="13"/>
        <v>370827.24789915956</v>
      </c>
      <c r="H57" s="14">
        <f t="shared" si="13"/>
        <v>296115.24789915967</v>
      </c>
      <c r="I57" s="14">
        <f t="shared" si="13"/>
        <v>460384.97647058824</v>
      </c>
      <c r="J57" s="14">
        <f t="shared" si="13"/>
        <v>7445.4478991595097</v>
      </c>
      <c r="K57" s="14">
        <f t="shared" si="13"/>
        <v>300472.37647058815</v>
      </c>
      <c r="L57" s="14">
        <f t="shared" si="13"/>
        <v>227951.01932773099</v>
      </c>
      <c r="M57" s="14">
        <f t="shared" si="13"/>
        <v>337749.20504201669</v>
      </c>
      <c r="N57" s="14">
        <f t="shared" si="13"/>
        <v>-119232.46638655465</v>
      </c>
      <c r="O57" s="14">
        <f t="shared" si="13"/>
        <v>594801.6478991597</v>
      </c>
      <c r="P57" s="14">
        <f t="shared" si="13"/>
        <v>292192.37647058815</v>
      </c>
      <c r="Q57" s="14">
        <f t="shared" si="13"/>
        <v>620948.37647058815</v>
      </c>
      <c r="R57" s="14">
        <f t="shared" si="13"/>
        <v>620103.70504201681</v>
      </c>
      <c r="S57" s="14">
        <f t="shared" si="13"/>
        <v>11000</v>
      </c>
      <c r="T57" s="14">
        <f t="shared" si="13"/>
        <v>612966</v>
      </c>
      <c r="U57" s="14">
        <f t="shared" si="13"/>
        <v>-248084.82352941178</v>
      </c>
      <c r="V57" s="16">
        <f>SUM(C57:U57)</f>
        <v>4432911.7857142845</v>
      </c>
      <c r="W57" s="16">
        <f>AVERAGE(C57:U57)</f>
        <v>233311.14661654129</v>
      </c>
      <c r="X57" s="13">
        <f>V57/V13</f>
        <v>0.24186756828089434</v>
      </c>
    </row>
    <row r="58" spans="1:24" x14ac:dyDescent="0.15">
      <c r="A58" s="49" t="s">
        <v>115</v>
      </c>
      <c r="B58" s="49"/>
      <c r="C58" s="14">
        <v>107211.78571428571</v>
      </c>
      <c r="D58" s="14">
        <v>107211.78571428571</v>
      </c>
      <c r="E58" s="14">
        <v>107211.78571428571</v>
      </c>
      <c r="F58" s="14">
        <v>107211.78571428571</v>
      </c>
      <c r="G58" s="14">
        <v>107211.78571428571</v>
      </c>
      <c r="H58" s="14">
        <v>107211.78571428571</v>
      </c>
      <c r="I58" s="14">
        <v>107211.78571428571</v>
      </c>
      <c r="J58" s="14">
        <v>107211.78571428571</v>
      </c>
      <c r="K58" s="14">
        <v>107211.78571428571</v>
      </c>
      <c r="L58" s="14">
        <v>107211.78571428571</v>
      </c>
      <c r="M58" s="14">
        <v>107211.78571428571</v>
      </c>
      <c r="N58" s="14">
        <v>107211.78571428571</v>
      </c>
      <c r="O58" s="14">
        <v>107211.78571428571</v>
      </c>
      <c r="P58" s="14">
        <v>107211.78571428571</v>
      </c>
      <c r="Q58" s="14">
        <v>107211.78571428571</v>
      </c>
      <c r="R58" s="14">
        <v>107211.78571428571</v>
      </c>
      <c r="S58" s="14">
        <v>0</v>
      </c>
      <c r="T58" s="14">
        <v>0</v>
      </c>
      <c r="U58" s="14">
        <v>107211.78571428571</v>
      </c>
      <c r="V58" s="16">
        <f>SUM(C58:U58)</f>
        <v>1822600.3571428568</v>
      </c>
      <c r="W58" s="16">
        <f>AVERAGE(C58:U58)</f>
        <v>95926.334586466153</v>
      </c>
      <c r="X58" s="13">
        <f>V58/V13</f>
        <v>9.9444324101071818E-2</v>
      </c>
    </row>
    <row r="59" spans="1:24" x14ac:dyDescent="0.15">
      <c r="A59" s="49" t="s">
        <v>116</v>
      </c>
      <c r="B59" s="49"/>
      <c r="C59" s="14">
        <v>28207.523809523809</v>
      </c>
      <c r="D59" s="14">
        <v>28207.523809523809</v>
      </c>
      <c r="E59" s="14">
        <v>28207.523809523809</v>
      </c>
      <c r="F59" s="14">
        <v>28207.523809523809</v>
      </c>
      <c r="G59" s="14">
        <v>28207.523809523809</v>
      </c>
      <c r="H59" s="14">
        <v>28207.523809523809</v>
      </c>
      <c r="I59" s="14">
        <v>28207.523809523809</v>
      </c>
      <c r="J59" s="14">
        <v>28207.523809523809</v>
      </c>
      <c r="K59" s="14">
        <v>28207.523809523809</v>
      </c>
      <c r="L59" s="14">
        <v>28207.523809523809</v>
      </c>
      <c r="M59" s="14">
        <v>28207.523809523809</v>
      </c>
      <c r="N59" s="14">
        <v>28207.523809523809</v>
      </c>
      <c r="O59" s="14">
        <v>28207.523809523809</v>
      </c>
      <c r="P59" s="14">
        <v>28207.523809523809</v>
      </c>
      <c r="Q59" s="14">
        <v>28207.523809523809</v>
      </c>
      <c r="R59" s="14">
        <v>28207.523809523809</v>
      </c>
      <c r="S59" s="14">
        <v>0</v>
      </c>
      <c r="T59" s="14">
        <v>0</v>
      </c>
      <c r="U59" s="14">
        <v>28207.523809523809</v>
      </c>
      <c r="V59" s="16">
        <f>SUM(C59:U59)</f>
        <v>479527.90476190462</v>
      </c>
      <c r="W59" s="16">
        <f>AVERAGE(C59:U59)</f>
        <v>25238.310776942348</v>
      </c>
      <c r="X59" s="13">
        <f>V59/V13</f>
        <v>2.6163897197630723E-2</v>
      </c>
    </row>
    <row r="60" spans="1:24" x14ac:dyDescent="0.15">
      <c r="A60" s="49" t="s">
        <v>117</v>
      </c>
      <c r="B60" s="49"/>
      <c r="C60" s="14">
        <f t="shared" ref="C60:U60" si="14">SUM(C57-(C58+C59))</f>
        <v>-312584.33305322129</v>
      </c>
      <c r="D60" s="14">
        <f t="shared" si="14"/>
        <v>-145787.84733893565</v>
      </c>
      <c r="E60" s="14">
        <f t="shared" si="14"/>
        <v>-86619.304481792788</v>
      </c>
      <c r="F60" s="14">
        <f t="shared" si="14"/>
        <v>50585.695518207329</v>
      </c>
      <c r="G60" s="14">
        <f t="shared" si="14"/>
        <v>235407.93837535003</v>
      </c>
      <c r="H60" s="14">
        <f t="shared" si="14"/>
        <v>160695.93837535015</v>
      </c>
      <c r="I60" s="14">
        <f t="shared" si="14"/>
        <v>324965.66694677871</v>
      </c>
      <c r="J60" s="14">
        <f t="shared" si="14"/>
        <v>-127973.86162465002</v>
      </c>
      <c r="K60" s="14">
        <f t="shared" si="14"/>
        <v>165053.06694677862</v>
      </c>
      <c r="L60" s="14">
        <f t="shared" si="14"/>
        <v>92531.709803921462</v>
      </c>
      <c r="M60" s="14">
        <f t="shared" si="14"/>
        <v>202329.89551820717</v>
      </c>
      <c r="N60" s="14">
        <f t="shared" si="14"/>
        <v>-254651.77591036417</v>
      </c>
      <c r="O60" s="14">
        <f t="shared" si="14"/>
        <v>459382.33837535017</v>
      </c>
      <c r="P60" s="14">
        <f t="shared" si="14"/>
        <v>156773.06694677862</v>
      </c>
      <c r="Q60" s="14">
        <f t="shared" si="14"/>
        <v>485529.06694677862</v>
      </c>
      <c r="R60" s="14">
        <f t="shared" si="14"/>
        <v>484684.39551820728</v>
      </c>
      <c r="S60" s="14">
        <f t="shared" si="14"/>
        <v>11000</v>
      </c>
      <c r="T60" s="14">
        <f t="shared" si="14"/>
        <v>612966</v>
      </c>
      <c r="U60" s="14">
        <f t="shared" si="14"/>
        <v>-383504.13305322127</v>
      </c>
      <c r="V60" s="16">
        <f>SUM(C60:U60)</f>
        <v>2130783.5238095229</v>
      </c>
      <c r="W60" s="16">
        <f>AVERAGE(C60:U60)</f>
        <v>112146.50125313278</v>
      </c>
      <c r="X60" s="13">
        <f>V60/V13</f>
        <v>0.11625934698219179</v>
      </c>
    </row>
    <row r="61" spans="1:24" x14ac:dyDescent="0.15">
      <c r="A61" s="11"/>
      <c r="B61" s="36" t="s">
        <v>46</v>
      </c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1:24" x14ac:dyDescent="0.15">
      <c r="A62" s="12"/>
      <c r="B62" s="37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1:24" x14ac:dyDescent="0.15">
      <c r="A63" s="12"/>
      <c r="B63" s="39" t="s">
        <v>124</v>
      </c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1:24" x14ac:dyDescent="0.15">
      <c r="A64" s="12"/>
      <c r="B64" s="40" t="s">
        <v>125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1:21" x14ac:dyDescent="0.15">
      <c r="A65" s="12"/>
      <c r="B65" s="40" t="s">
        <v>41</v>
      </c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1:21" x14ac:dyDescent="0.15">
      <c r="A66" s="11"/>
      <c r="B66" s="41" t="s">
        <v>47</v>
      </c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1:21" x14ac:dyDescent="0.15">
      <c r="A67" s="11"/>
      <c r="B67" s="37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1:21" x14ac:dyDescent="0.15">
      <c r="A68" s="11"/>
      <c r="B68" s="39" t="s">
        <v>124</v>
      </c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1:21" x14ac:dyDescent="0.15">
      <c r="A69" s="11"/>
      <c r="B69" s="40" t="s">
        <v>125</v>
      </c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1:21" x14ac:dyDescent="0.15">
      <c r="A70" s="11"/>
      <c r="B70" s="40" t="s">
        <v>41</v>
      </c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1:21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1:21" x14ac:dyDescent="0.15">
      <c r="A72" s="11"/>
      <c r="B72" s="37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1:21" x14ac:dyDescent="0.15">
      <c r="A73" s="11"/>
      <c r="B73" s="39" t="s">
        <v>124</v>
      </c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1:21" x14ac:dyDescent="0.15">
      <c r="A74" s="11"/>
      <c r="B74" s="40" t="s">
        <v>125</v>
      </c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1:21" x14ac:dyDescent="0.15">
      <c r="A75" s="11"/>
      <c r="B75" s="40" t="s">
        <v>41</v>
      </c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1:21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1:21" x14ac:dyDescent="0.15">
      <c r="A77" s="11"/>
      <c r="B77" s="37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1:21" x14ac:dyDescent="0.15">
      <c r="A78" s="11"/>
      <c r="B78" s="39" t="s">
        <v>124</v>
      </c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79" spans="1:21" x14ac:dyDescent="0.15">
      <c r="A79" s="11"/>
      <c r="B79" s="40" t="s">
        <v>125</v>
      </c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</row>
    <row r="80" spans="1:21" x14ac:dyDescent="0.15">
      <c r="A80" s="11"/>
      <c r="B80" s="40" t="s">
        <v>41</v>
      </c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</row>
    <row r="81" spans="1:21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</row>
    <row r="82" spans="1:21" x14ac:dyDescent="0.15">
      <c r="A82" s="11"/>
      <c r="B82" s="37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</row>
    <row r="83" spans="1:21" x14ac:dyDescent="0.15">
      <c r="A83" s="11"/>
      <c r="B83" s="39" t="s">
        <v>124</v>
      </c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</row>
    <row r="84" spans="1:21" x14ac:dyDescent="0.15">
      <c r="A84" s="11"/>
      <c r="B84" s="40" t="s">
        <v>125</v>
      </c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</row>
    <row r="85" spans="1:21" x14ac:dyDescent="0.15">
      <c r="A85" s="11"/>
      <c r="B85" s="40" t="s">
        <v>41</v>
      </c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</row>
    <row r="86" spans="1:21" x14ac:dyDescent="0.1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</row>
    <row r="87" spans="1:21" x14ac:dyDescent="0.15">
      <c r="A87" s="11"/>
      <c r="B87" s="37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</row>
    <row r="88" spans="1:21" x14ac:dyDescent="0.15">
      <c r="A88" s="11"/>
      <c r="B88" s="39" t="s">
        <v>124</v>
      </c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</row>
    <row r="89" spans="1:21" x14ac:dyDescent="0.15">
      <c r="B89" s="40" t="s">
        <v>125</v>
      </c>
    </row>
    <row r="90" spans="1:21" x14ac:dyDescent="0.15">
      <c r="B90" s="40" t="s">
        <v>41</v>
      </c>
    </row>
    <row r="92" spans="1:21" x14ac:dyDescent="0.15">
      <c r="B92" s="37"/>
    </row>
    <row r="93" spans="1:21" x14ac:dyDescent="0.15">
      <c r="B93" s="39" t="s">
        <v>124</v>
      </c>
    </row>
    <row r="94" spans="1:21" x14ac:dyDescent="0.15">
      <c r="B94" s="40" t="s">
        <v>125</v>
      </c>
    </row>
    <row r="95" spans="1:21" x14ac:dyDescent="0.15">
      <c r="B95" s="40" t="s">
        <v>41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41</v>
      </c>
    </row>
    <row r="102" spans="2:2" x14ac:dyDescent="0.15">
      <c r="B102" s="11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15:B15"/>
    <mergeCell ref="A16:B16"/>
    <mergeCell ref="A17:A22"/>
    <mergeCell ref="A23:A27"/>
    <mergeCell ref="A28:A33"/>
    <mergeCell ref="A34:A39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54DB-2ADE-4DAE-A851-103E92699C86}">
  <sheetPr codeName="Sheet6"/>
  <dimension ref="A2:L102"/>
  <sheetViews>
    <sheetView workbookViewId="0">
      <selection activeCell="J13" sqref="J13:J1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9" width="12.25" style="1" bestFit="1" customWidth="1"/>
    <col min="10" max="10" width="13.25" style="1" bestFit="1" customWidth="1"/>
    <col min="11" max="11" width="10" style="1" bestFit="1" customWidth="1"/>
    <col min="12" max="12" width="11" style="1" bestFit="1" customWidth="1"/>
    <col min="13" max="215" width="9" style="1"/>
    <col min="216" max="216" width="2.875" style="1" bestFit="1" customWidth="1"/>
    <col min="217" max="217" width="16.625" style="1" bestFit="1" customWidth="1"/>
    <col min="218" max="218" width="11.375" style="1" bestFit="1" customWidth="1"/>
    <col min="219" max="220" width="14.125" style="1" bestFit="1" customWidth="1"/>
    <col min="221" max="221" width="11.375" style="1" bestFit="1" customWidth="1"/>
    <col min="222" max="224" width="12.5" style="1" bestFit="1" customWidth="1"/>
    <col min="225" max="225" width="11" style="1" bestFit="1" customWidth="1"/>
    <col min="226" max="244" width="13" style="1" bestFit="1" customWidth="1"/>
    <col min="245" max="248" width="11" style="1" bestFit="1" customWidth="1"/>
    <col min="249" max="251" width="12.25" style="1" bestFit="1" customWidth="1"/>
    <col min="252" max="265" width="11" style="1" bestFit="1" customWidth="1"/>
    <col min="266" max="266" width="13.25" style="1" bestFit="1" customWidth="1"/>
    <col min="267" max="267" width="10" style="1" bestFit="1" customWidth="1"/>
    <col min="268" max="268" width="11" style="1" bestFit="1" customWidth="1"/>
    <col min="269" max="471" width="9" style="1"/>
    <col min="472" max="472" width="2.875" style="1" bestFit="1" customWidth="1"/>
    <col min="473" max="473" width="16.625" style="1" bestFit="1" customWidth="1"/>
    <col min="474" max="474" width="11.375" style="1" bestFit="1" customWidth="1"/>
    <col min="475" max="476" width="14.125" style="1" bestFit="1" customWidth="1"/>
    <col min="477" max="477" width="11.375" style="1" bestFit="1" customWidth="1"/>
    <col min="478" max="480" width="12.5" style="1" bestFit="1" customWidth="1"/>
    <col min="481" max="481" width="11" style="1" bestFit="1" customWidth="1"/>
    <col min="482" max="500" width="13" style="1" bestFit="1" customWidth="1"/>
    <col min="501" max="504" width="11" style="1" bestFit="1" customWidth="1"/>
    <col min="505" max="507" width="12.25" style="1" bestFit="1" customWidth="1"/>
    <col min="508" max="521" width="11" style="1" bestFit="1" customWidth="1"/>
    <col min="522" max="522" width="13.25" style="1" bestFit="1" customWidth="1"/>
    <col min="523" max="523" width="10" style="1" bestFit="1" customWidth="1"/>
    <col min="524" max="524" width="11" style="1" bestFit="1" customWidth="1"/>
    <col min="525" max="727" width="9" style="1"/>
    <col min="728" max="728" width="2.875" style="1" bestFit="1" customWidth="1"/>
    <col min="729" max="729" width="16.625" style="1" bestFit="1" customWidth="1"/>
    <col min="730" max="730" width="11.375" style="1" bestFit="1" customWidth="1"/>
    <col min="731" max="732" width="14.125" style="1" bestFit="1" customWidth="1"/>
    <col min="733" max="733" width="11.375" style="1" bestFit="1" customWidth="1"/>
    <col min="734" max="736" width="12.5" style="1" bestFit="1" customWidth="1"/>
    <col min="737" max="737" width="11" style="1" bestFit="1" customWidth="1"/>
    <col min="738" max="756" width="13" style="1" bestFit="1" customWidth="1"/>
    <col min="757" max="760" width="11" style="1" bestFit="1" customWidth="1"/>
    <col min="761" max="763" width="12.25" style="1" bestFit="1" customWidth="1"/>
    <col min="764" max="777" width="11" style="1" bestFit="1" customWidth="1"/>
    <col min="778" max="778" width="13.25" style="1" bestFit="1" customWidth="1"/>
    <col min="779" max="779" width="10" style="1" bestFit="1" customWidth="1"/>
    <col min="780" max="780" width="11" style="1" bestFit="1" customWidth="1"/>
    <col min="781" max="983" width="9" style="1"/>
    <col min="984" max="984" width="2.875" style="1" bestFit="1" customWidth="1"/>
    <col min="985" max="985" width="16.625" style="1" bestFit="1" customWidth="1"/>
    <col min="986" max="986" width="11.375" style="1" bestFit="1" customWidth="1"/>
    <col min="987" max="988" width="14.125" style="1" bestFit="1" customWidth="1"/>
    <col min="989" max="989" width="11.375" style="1" bestFit="1" customWidth="1"/>
    <col min="990" max="992" width="12.5" style="1" bestFit="1" customWidth="1"/>
    <col min="993" max="993" width="11" style="1" bestFit="1" customWidth="1"/>
    <col min="994" max="1012" width="13" style="1" bestFit="1" customWidth="1"/>
    <col min="1013" max="1016" width="11" style="1" bestFit="1" customWidth="1"/>
    <col min="1017" max="1019" width="12.25" style="1" bestFit="1" customWidth="1"/>
    <col min="1020" max="1033" width="11" style="1" bestFit="1" customWidth="1"/>
    <col min="1034" max="1034" width="13.25" style="1" bestFit="1" customWidth="1"/>
    <col min="1035" max="1035" width="10" style="1" bestFit="1" customWidth="1"/>
    <col min="1036" max="1036" width="11" style="1" bestFit="1" customWidth="1"/>
    <col min="1037" max="1239" width="9" style="1"/>
    <col min="1240" max="1240" width="2.875" style="1" bestFit="1" customWidth="1"/>
    <col min="1241" max="1241" width="16.625" style="1" bestFit="1" customWidth="1"/>
    <col min="1242" max="1242" width="11.375" style="1" bestFit="1" customWidth="1"/>
    <col min="1243" max="1244" width="14.125" style="1" bestFit="1" customWidth="1"/>
    <col min="1245" max="1245" width="11.375" style="1" bestFit="1" customWidth="1"/>
    <col min="1246" max="1248" width="12.5" style="1" bestFit="1" customWidth="1"/>
    <col min="1249" max="1249" width="11" style="1" bestFit="1" customWidth="1"/>
    <col min="1250" max="1268" width="13" style="1" bestFit="1" customWidth="1"/>
    <col min="1269" max="1272" width="11" style="1" bestFit="1" customWidth="1"/>
    <col min="1273" max="1275" width="12.25" style="1" bestFit="1" customWidth="1"/>
    <col min="1276" max="1289" width="11" style="1" bestFit="1" customWidth="1"/>
    <col min="1290" max="1290" width="13.25" style="1" bestFit="1" customWidth="1"/>
    <col min="1291" max="1291" width="10" style="1" bestFit="1" customWidth="1"/>
    <col min="1292" max="1292" width="11" style="1" bestFit="1" customWidth="1"/>
    <col min="1293" max="1495" width="9" style="1"/>
    <col min="1496" max="1496" width="2.875" style="1" bestFit="1" customWidth="1"/>
    <col min="1497" max="1497" width="16.625" style="1" bestFit="1" customWidth="1"/>
    <col min="1498" max="1498" width="11.375" style="1" bestFit="1" customWidth="1"/>
    <col min="1499" max="1500" width="14.125" style="1" bestFit="1" customWidth="1"/>
    <col min="1501" max="1501" width="11.375" style="1" bestFit="1" customWidth="1"/>
    <col min="1502" max="1504" width="12.5" style="1" bestFit="1" customWidth="1"/>
    <col min="1505" max="1505" width="11" style="1" bestFit="1" customWidth="1"/>
    <col min="1506" max="1524" width="13" style="1" bestFit="1" customWidth="1"/>
    <col min="1525" max="1528" width="11" style="1" bestFit="1" customWidth="1"/>
    <col min="1529" max="1531" width="12.25" style="1" bestFit="1" customWidth="1"/>
    <col min="1532" max="1545" width="11" style="1" bestFit="1" customWidth="1"/>
    <col min="1546" max="1546" width="13.25" style="1" bestFit="1" customWidth="1"/>
    <col min="1547" max="1547" width="10" style="1" bestFit="1" customWidth="1"/>
    <col min="1548" max="1548" width="11" style="1" bestFit="1" customWidth="1"/>
    <col min="1549" max="1751" width="9" style="1"/>
    <col min="1752" max="1752" width="2.875" style="1" bestFit="1" customWidth="1"/>
    <col min="1753" max="1753" width="16.625" style="1" bestFit="1" customWidth="1"/>
    <col min="1754" max="1754" width="11.375" style="1" bestFit="1" customWidth="1"/>
    <col min="1755" max="1756" width="14.125" style="1" bestFit="1" customWidth="1"/>
    <col min="1757" max="1757" width="11.375" style="1" bestFit="1" customWidth="1"/>
    <col min="1758" max="1760" width="12.5" style="1" bestFit="1" customWidth="1"/>
    <col min="1761" max="1761" width="11" style="1" bestFit="1" customWidth="1"/>
    <col min="1762" max="1780" width="13" style="1" bestFit="1" customWidth="1"/>
    <col min="1781" max="1784" width="11" style="1" bestFit="1" customWidth="1"/>
    <col min="1785" max="1787" width="12.25" style="1" bestFit="1" customWidth="1"/>
    <col min="1788" max="1801" width="11" style="1" bestFit="1" customWidth="1"/>
    <col min="1802" max="1802" width="13.25" style="1" bestFit="1" customWidth="1"/>
    <col min="1803" max="1803" width="10" style="1" bestFit="1" customWidth="1"/>
    <col min="1804" max="1804" width="11" style="1" bestFit="1" customWidth="1"/>
    <col min="1805" max="2007" width="9" style="1"/>
    <col min="2008" max="2008" width="2.875" style="1" bestFit="1" customWidth="1"/>
    <col min="2009" max="2009" width="16.625" style="1" bestFit="1" customWidth="1"/>
    <col min="2010" max="2010" width="11.375" style="1" bestFit="1" customWidth="1"/>
    <col min="2011" max="2012" width="14.125" style="1" bestFit="1" customWidth="1"/>
    <col min="2013" max="2013" width="11.375" style="1" bestFit="1" customWidth="1"/>
    <col min="2014" max="2016" width="12.5" style="1" bestFit="1" customWidth="1"/>
    <col min="2017" max="2017" width="11" style="1" bestFit="1" customWidth="1"/>
    <col min="2018" max="2036" width="13" style="1" bestFit="1" customWidth="1"/>
    <col min="2037" max="2040" width="11" style="1" bestFit="1" customWidth="1"/>
    <col min="2041" max="2043" width="12.25" style="1" bestFit="1" customWidth="1"/>
    <col min="2044" max="2057" width="11" style="1" bestFit="1" customWidth="1"/>
    <col min="2058" max="2058" width="13.25" style="1" bestFit="1" customWidth="1"/>
    <col min="2059" max="2059" width="10" style="1" bestFit="1" customWidth="1"/>
    <col min="2060" max="2060" width="11" style="1" bestFit="1" customWidth="1"/>
    <col min="2061" max="2263" width="9" style="1"/>
    <col min="2264" max="2264" width="2.875" style="1" bestFit="1" customWidth="1"/>
    <col min="2265" max="2265" width="16.625" style="1" bestFit="1" customWidth="1"/>
    <col min="2266" max="2266" width="11.375" style="1" bestFit="1" customWidth="1"/>
    <col min="2267" max="2268" width="14.125" style="1" bestFit="1" customWidth="1"/>
    <col min="2269" max="2269" width="11.375" style="1" bestFit="1" customWidth="1"/>
    <col min="2270" max="2272" width="12.5" style="1" bestFit="1" customWidth="1"/>
    <col min="2273" max="2273" width="11" style="1" bestFit="1" customWidth="1"/>
    <col min="2274" max="2292" width="13" style="1" bestFit="1" customWidth="1"/>
    <col min="2293" max="2296" width="11" style="1" bestFit="1" customWidth="1"/>
    <col min="2297" max="2299" width="12.25" style="1" bestFit="1" customWidth="1"/>
    <col min="2300" max="2313" width="11" style="1" bestFit="1" customWidth="1"/>
    <col min="2314" max="2314" width="13.25" style="1" bestFit="1" customWidth="1"/>
    <col min="2315" max="2315" width="10" style="1" bestFit="1" customWidth="1"/>
    <col min="2316" max="2316" width="11" style="1" bestFit="1" customWidth="1"/>
    <col min="2317" max="2519" width="9" style="1"/>
    <col min="2520" max="2520" width="2.875" style="1" bestFit="1" customWidth="1"/>
    <col min="2521" max="2521" width="16.625" style="1" bestFit="1" customWidth="1"/>
    <col min="2522" max="2522" width="11.375" style="1" bestFit="1" customWidth="1"/>
    <col min="2523" max="2524" width="14.125" style="1" bestFit="1" customWidth="1"/>
    <col min="2525" max="2525" width="11.375" style="1" bestFit="1" customWidth="1"/>
    <col min="2526" max="2528" width="12.5" style="1" bestFit="1" customWidth="1"/>
    <col min="2529" max="2529" width="11" style="1" bestFit="1" customWidth="1"/>
    <col min="2530" max="2548" width="13" style="1" bestFit="1" customWidth="1"/>
    <col min="2549" max="2552" width="11" style="1" bestFit="1" customWidth="1"/>
    <col min="2553" max="2555" width="12.25" style="1" bestFit="1" customWidth="1"/>
    <col min="2556" max="2569" width="11" style="1" bestFit="1" customWidth="1"/>
    <col min="2570" max="2570" width="13.25" style="1" bestFit="1" customWidth="1"/>
    <col min="2571" max="2571" width="10" style="1" bestFit="1" customWidth="1"/>
    <col min="2572" max="2572" width="11" style="1" bestFit="1" customWidth="1"/>
    <col min="2573" max="2775" width="9" style="1"/>
    <col min="2776" max="2776" width="2.875" style="1" bestFit="1" customWidth="1"/>
    <col min="2777" max="2777" width="16.625" style="1" bestFit="1" customWidth="1"/>
    <col min="2778" max="2778" width="11.375" style="1" bestFit="1" customWidth="1"/>
    <col min="2779" max="2780" width="14.125" style="1" bestFit="1" customWidth="1"/>
    <col min="2781" max="2781" width="11.375" style="1" bestFit="1" customWidth="1"/>
    <col min="2782" max="2784" width="12.5" style="1" bestFit="1" customWidth="1"/>
    <col min="2785" max="2785" width="11" style="1" bestFit="1" customWidth="1"/>
    <col min="2786" max="2804" width="13" style="1" bestFit="1" customWidth="1"/>
    <col min="2805" max="2808" width="11" style="1" bestFit="1" customWidth="1"/>
    <col min="2809" max="2811" width="12.25" style="1" bestFit="1" customWidth="1"/>
    <col min="2812" max="2825" width="11" style="1" bestFit="1" customWidth="1"/>
    <col min="2826" max="2826" width="13.25" style="1" bestFit="1" customWidth="1"/>
    <col min="2827" max="2827" width="10" style="1" bestFit="1" customWidth="1"/>
    <col min="2828" max="2828" width="11" style="1" bestFit="1" customWidth="1"/>
    <col min="2829" max="3031" width="9" style="1"/>
    <col min="3032" max="3032" width="2.875" style="1" bestFit="1" customWidth="1"/>
    <col min="3033" max="3033" width="16.625" style="1" bestFit="1" customWidth="1"/>
    <col min="3034" max="3034" width="11.375" style="1" bestFit="1" customWidth="1"/>
    <col min="3035" max="3036" width="14.125" style="1" bestFit="1" customWidth="1"/>
    <col min="3037" max="3037" width="11.375" style="1" bestFit="1" customWidth="1"/>
    <col min="3038" max="3040" width="12.5" style="1" bestFit="1" customWidth="1"/>
    <col min="3041" max="3041" width="11" style="1" bestFit="1" customWidth="1"/>
    <col min="3042" max="3060" width="13" style="1" bestFit="1" customWidth="1"/>
    <col min="3061" max="3064" width="11" style="1" bestFit="1" customWidth="1"/>
    <col min="3065" max="3067" width="12.25" style="1" bestFit="1" customWidth="1"/>
    <col min="3068" max="3081" width="11" style="1" bestFit="1" customWidth="1"/>
    <col min="3082" max="3082" width="13.25" style="1" bestFit="1" customWidth="1"/>
    <col min="3083" max="3083" width="10" style="1" bestFit="1" customWidth="1"/>
    <col min="3084" max="3084" width="11" style="1" bestFit="1" customWidth="1"/>
    <col min="3085" max="3287" width="9" style="1"/>
    <col min="3288" max="3288" width="2.875" style="1" bestFit="1" customWidth="1"/>
    <col min="3289" max="3289" width="16.625" style="1" bestFit="1" customWidth="1"/>
    <col min="3290" max="3290" width="11.375" style="1" bestFit="1" customWidth="1"/>
    <col min="3291" max="3292" width="14.125" style="1" bestFit="1" customWidth="1"/>
    <col min="3293" max="3293" width="11.375" style="1" bestFit="1" customWidth="1"/>
    <col min="3294" max="3296" width="12.5" style="1" bestFit="1" customWidth="1"/>
    <col min="3297" max="3297" width="11" style="1" bestFit="1" customWidth="1"/>
    <col min="3298" max="3316" width="13" style="1" bestFit="1" customWidth="1"/>
    <col min="3317" max="3320" width="11" style="1" bestFit="1" customWidth="1"/>
    <col min="3321" max="3323" width="12.25" style="1" bestFit="1" customWidth="1"/>
    <col min="3324" max="3337" width="11" style="1" bestFit="1" customWidth="1"/>
    <col min="3338" max="3338" width="13.25" style="1" bestFit="1" customWidth="1"/>
    <col min="3339" max="3339" width="10" style="1" bestFit="1" customWidth="1"/>
    <col min="3340" max="3340" width="11" style="1" bestFit="1" customWidth="1"/>
    <col min="3341" max="3543" width="9" style="1"/>
    <col min="3544" max="3544" width="2.875" style="1" bestFit="1" customWidth="1"/>
    <col min="3545" max="3545" width="16.625" style="1" bestFit="1" customWidth="1"/>
    <col min="3546" max="3546" width="11.375" style="1" bestFit="1" customWidth="1"/>
    <col min="3547" max="3548" width="14.125" style="1" bestFit="1" customWidth="1"/>
    <col min="3549" max="3549" width="11.375" style="1" bestFit="1" customWidth="1"/>
    <col min="3550" max="3552" width="12.5" style="1" bestFit="1" customWidth="1"/>
    <col min="3553" max="3553" width="11" style="1" bestFit="1" customWidth="1"/>
    <col min="3554" max="3572" width="13" style="1" bestFit="1" customWidth="1"/>
    <col min="3573" max="3576" width="11" style="1" bestFit="1" customWidth="1"/>
    <col min="3577" max="3579" width="12.25" style="1" bestFit="1" customWidth="1"/>
    <col min="3580" max="3593" width="11" style="1" bestFit="1" customWidth="1"/>
    <col min="3594" max="3594" width="13.25" style="1" bestFit="1" customWidth="1"/>
    <col min="3595" max="3595" width="10" style="1" bestFit="1" customWidth="1"/>
    <col min="3596" max="3596" width="11" style="1" bestFit="1" customWidth="1"/>
    <col min="3597" max="3799" width="9" style="1"/>
    <col min="3800" max="3800" width="2.875" style="1" bestFit="1" customWidth="1"/>
    <col min="3801" max="3801" width="16.625" style="1" bestFit="1" customWidth="1"/>
    <col min="3802" max="3802" width="11.375" style="1" bestFit="1" customWidth="1"/>
    <col min="3803" max="3804" width="14.125" style="1" bestFit="1" customWidth="1"/>
    <col min="3805" max="3805" width="11.375" style="1" bestFit="1" customWidth="1"/>
    <col min="3806" max="3808" width="12.5" style="1" bestFit="1" customWidth="1"/>
    <col min="3809" max="3809" width="11" style="1" bestFit="1" customWidth="1"/>
    <col min="3810" max="3828" width="13" style="1" bestFit="1" customWidth="1"/>
    <col min="3829" max="3832" width="11" style="1" bestFit="1" customWidth="1"/>
    <col min="3833" max="3835" width="12.25" style="1" bestFit="1" customWidth="1"/>
    <col min="3836" max="3849" width="11" style="1" bestFit="1" customWidth="1"/>
    <col min="3850" max="3850" width="13.25" style="1" bestFit="1" customWidth="1"/>
    <col min="3851" max="3851" width="10" style="1" bestFit="1" customWidth="1"/>
    <col min="3852" max="3852" width="11" style="1" bestFit="1" customWidth="1"/>
    <col min="3853" max="4055" width="9" style="1"/>
    <col min="4056" max="4056" width="2.875" style="1" bestFit="1" customWidth="1"/>
    <col min="4057" max="4057" width="16.625" style="1" bestFit="1" customWidth="1"/>
    <col min="4058" max="4058" width="11.375" style="1" bestFit="1" customWidth="1"/>
    <col min="4059" max="4060" width="14.125" style="1" bestFit="1" customWidth="1"/>
    <col min="4061" max="4061" width="11.375" style="1" bestFit="1" customWidth="1"/>
    <col min="4062" max="4064" width="12.5" style="1" bestFit="1" customWidth="1"/>
    <col min="4065" max="4065" width="11" style="1" bestFit="1" customWidth="1"/>
    <col min="4066" max="4084" width="13" style="1" bestFit="1" customWidth="1"/>
    <col min="4085" max="4088" width="11" style="1" bestFit="1" customWidth="1"/>
    <col min="4089" max="4091" width="12.25" style="1" bestFit="1" customWidth="1"/>
    <col min="4092" max="4105" width="11" style="1" bestFit="1" customWidth="1"/>
    <col min="4106" max="4106" width="13.25" style="1" bestFit="1" customWidth="1"/>
    <col min="4107" max="4107" width="10" style="1" bestFit="1" customWidth="1"/>
    <col min="4108" max="4108" width="11" style="1" bestFit="1" customWidth="1"/>
    <col min="4109" max="4311" width="9" style="1"/>
    <col min="4312" max="4312" width="2.875" style="1" bestFit="1" customWidth="1"/>
    <col min="4313" max="4313" width="16.625" style="1" bestFit="1" customWidth="1"/>
    <col min="4314" max="4314" width="11.375" style="1" bestFit="1" customWidth="1"/>
    <col min="4315" max="4316" width="14.125" style="1" bestFit="1" customWidth="1"/>
    <col min="4317" max="4317" width="11.375" style="1" bestFit="1" customWidth="1"/>
    <col min="4318" max="4320" width="12.5" style="1" bestFit="1" customWidth="1"/>
    <col min="4321" max="4321" width="11" style="1" bestFit="1" customWidth="1"/>
    <col min="4322" max="4340" width="13" style="1" bestFit="1" customWidth="1"/>
    <col min="4341" max="4344" width="11" style="1" bestFit="1" customWidth="1"/>
    <col min="4345" max="4347" width="12.25" style="1" bestFit="1" customWidth="1"/>
    <col min="4348" max="4361" width="11" style="1" bestFit="1" customWidth="1"/>
    <col min="4362" max="4362" width="13.25" style="1" bestFit="1" customWidth="1"/>
    <col min="4363" max="4363" width="10" style="1" bestFit="1" customWidth="1"/>
    <col min="4364" max="4364" width="11" style="1" bestFit="1" customWidth="1"/>
    <col min="4365" max="4567" width="9" style="1"/>
    <col min="4568" max="4568" width="2.875" style="1" bestFit="1" customWidth="1"/>
    <col min="4569" max="4569" width="16.625" style="1" bestFit="1" customWidth="1"/>
    <col min="4570" max="4570" width="11.375" style="1" bestFit="1" customWidth="1"/>
    <col min="4571" max="4572" width="14.125" style="1" bestFit="1" customWidth="1"/>
    <col min="4573" max="4573" width="11.375" style="1" bestFit="1" customWidth="1"/>
    <col min="4574" max="4576" width="12.5" style="1" bestFit="1" customWidth="1"/>
    <col min="4577" max="4577" width="11" style="1" bestFit="1" customWidth="1"/>
    <col min="4578" max="4596" width="13" style="1" bestFit="1" customWidth="1"/>
    <col min="4597" max="4600" width="11" style="1" bestFit="1" customWidth="1"/>
    <col min="4601" max="4603" width="12.25" style="1" bestFit="1" customWidth="1"/>
    <col min="4604" max="4617" width="11" style="1" bestFit="1" customWidth="1"/>
    <col min="4618" max="4618" width="13.25" style="1" bestFit="1" customWidth="1"/>
    <col min="4619" max="4619" width="10" style="1" bestFit="1" customWidth="1"/>
    <col min="4620" max="4620" width="11" style="1" bestFit="1" customWidth="1"/>
    <col min="4621" max="4823" width="9" style="1"/>
    <col min="4824" max="4824" width="2.875" style="1" bestFit="1" customWidth="1"/>
    <col min="4825" max="4825" width="16.625" style="1" bestFit="1" customWidth="1"/>
    <col min="4826" max="4826" width="11.375" style="1" bestFit="1" customWidth="1"/>
    <col min="4827" max="4828" width="14.125" style="1" bestFit="1" customWidth="1"/>
    <col min="4829" max="4829" width="11.375" style="1" bestFit="1" customWidth="1"/>
    <col min="4830" max="4832" width="12.5" style="1" bestFit="1" customWidth="1"/>
    <col min="4833" max="4833" width="11" style="1" bestFit="1" customWidth="1"/>
    <col min="4834" max="4852" width="13" style="1" bestFit="1" customWidth="1"/>
    <col min="4853" max="4856" width="11" style="1" bestFit="1" customWidth="1"/>
    <col min="4857" max="4859" width="12.25" style="1" bestFit="1" customWidth="1"/>
    <col min="4860" max="4873" width="11" style="1" bestFit="1" customWidth="1"/>
    <col min="4874" max="4874" width="13.25" style="1" bestFit="1" customWidth="1"/>
    <col min="4875" max="4875" width="10" style="1" bestFit="1" customWidth="1"/>
    <col min="4876" max="4876" width="11" style="1" bestFit="1" customWidth="1"/>
    <col min="4877" max="5079" width="9" style="1"/>
    <col min="5080" max="5080" width="2.875" style="1" bestFit="1" customWidth="1"/>
    <col min="5081" max="5081" width="16.625" style="1" bestFit="1" customWidth="1"/>
    <col min="5082" max="5082" width="11.375" style="1" bestFit="1" customWidth="1"/>
    <col min="5083" max="5084" width="14.125" style="1" bestFit="1" customWidth="1"/>
    <col min="5085" max="5085" width="11.375" style="1" bestFit="1" customWidth="1"/>
    <col min="5086" max="5088" width="12.5" style="1" bestFit="1" customWidth="1"/>
    <col min="5089" max="5089" width="11" style="1" bestFit="1" customWidth="1"/>
    <col min="5090" max="5108" width="13" style="1" bestFit="1" customWidth="1"/>
    <col min="5109" max="5112" width="11" style="1" bestFit="1" customWidth="1"/>
    <col min="5113" max="5115" width="12.25" style="1" bestFit="1" customWidth="1"/>
    <col min="5116" max="5129" width="11" style="1" bestFit="1" customWidth="1"/>
    <col min="5130" max="5130" width="13.25" style="1" bestFit="1" customWidth="1"/>
    <col min="5131" max="5131" width="10" style="1" bestFit="1" customWidth="1"/>
    <col min="5132" max="5132" width="11" style="1" bestFit="1" customWidth="1"/>
    <col min="5133" max="5335" width="9" style="1"/>
    <col min="5336" max="5336" width="2.875" style="1" bestFit="1" customWidth="1"/>
    <col min="5337" max="5337" width="16.625" style="1" bestFit="1" customWidth="1"/>
    <col min="5338" max="5338" width="11.375" style="1" bestFit="1" customWidth="1"/>
    <col min="5339" max="5340" width="14.125" style="1" bestFit="1" customWidth="1"/>
    <col min="5341" max="5341" width="11.375" style="1" bestFit="1" customWidth="1"/>
    <col min="5342" max="5344" width="12.5" style="1" bestFit="1" customWidth="1"/>
    <col min="5345" max="5345" width="11" style="1" bestFit="1" customWidth="1"/>
    <col min="5346" max="5364" width="13" style="1" bestFit="1" customWidth="1"/>
    <col min="5365" max="5368" width="11" style="1" bestFit="1" customWidth="1"/>
    <col min="5369" max="5371" width="12.25" style="1" bestFit="1" customWidth="1"/>
    <col min="5372" max="5385" width="11" style="1" bestFit="1" customWidth="1"/>
    <col min="5386" max="5386" width="13.25" style="1" bestFit="1" customWidth="1"/>
    <col min="5387" max="5387" width="10" style="1" bestFit="1" customWidth="1"/>
    <col min="5388" max="5388" width="11" style="1" bestFit="1" customWidth="1"/>
    <col min="5389" max="5591" width="9" style="1"/>
    <col min="5592" max="5592" width="2.875" style="1" bestFit="1" customWidth="1"/>
    <col min="5593" max="5593" width="16.625" style="1" bestFit="1" customWidth="1"/>
    <col min="5594" max="5594" width="11.375" style="1" bestFit="1" customWidth="1"/>
    <col min="5595" max="5596" width="14.125" style="1" bestFit="1" customWidth="1"/>
    <col min="5597" max="5597" width="11.375" style="1" bestFit="1" customWidth="1"/>
    <col min="5598" max="5600" width="12.5" style="1" bestFit="1" customWidth="1"/>
    <col min="5601" max="5601" width="11" style="1" bestFit="1" customWidth="1"/>
    <col min="5602" max="5620" width="13" style="1" bestFit="1" customWidth="1"/>
    <col min="5621" max="5624" width="11" style="1" bestFit="1" customWidth="1"/>
    <col min="5625" max="5627" width="12.25" style="1" bestFit="1" customWidth="1"/>
    <col min="5628" max="5641" width="11" style="1" bestFit="1" customWidth="1"/>
    <col min="5642" max="5642" width="13.25" style="1" bestFit="1" customWidth="1"/>
    <col min="5643" max="5643" width="10" style="1" bestFit="1" customWidth="1"/>
    <col min="5644" max="5644" width="11" style="1" bestFit="1" customWidth="1"/>
    <col min="5645" max="5847" width="9" style="1"/>
    <col min="5848" max="5848" width="2.875" style="1" bestFit="1" customWidth="1"/>
    <col min="5849" max="5849" width="16.625" style="1" bestFit="1" customWidth="1"/>
    <col min="5850" max="5850" width="11.375" style="1" bestFit="1" customWidth="1"/>
    <col min="5851" max="5852" width="14.125" style="1" bestFit="1" customWidth="1"/>
    <col min="5853" max="5853" width="11.375" style="1" bestFit="1" customWidth="1"/>
    <col min="5854" max="5856" width="12.5" style="1" bestFit="1" customWidth="1"/>
    <col min="5857" max="5857" width="11" style="1" bestFit="1" customWidth="1"/>
    <col min="5858" max="5876" width="13" style="1" bestFit="1" customWidth="1"/>
    <col min="5877" max="5880" width="11" style="1" bestFit="1" customWidth="1"/>
    <col min="5881" max="5883" width="12.25" style="1" bestFit="1" customWidth="1"/>
    <col min="5884" max="5897" width="11" style="1" bestFit="1" customWidth="1"/>
    <col min="5898" max="5898" width="13.25" style="1" bestFit="1" customWidth="1"/>
    <col min="5899" max="5899" width="10" style="1" bestFit="1" customWidth="1"/>
    <col min="5900" max="5900" width="11" style="1" bestFit="1" customWidth="1"/>
    <col min="5901" max="6103" width="9" style="1"/>
    <col min="6104" max="6104" width="2.875" style="1" bestFit="1" customWidth="1"/>
    <col min="6105" max="6105" width="16.625" style="1" bestFit="1" customWidth="1"/>
    <col min="6106" max="6106" width="11.375" style="1" bestFit="1" customWidth="1"/>
    <col min="6107" max="6108" width="14.125" style="1" bestFit="1" customWidth="1"/>
    <col min="6109" max="6109" width="11.375" style="1" bestFit="1" customWidth="1"/>
    <col min="6110" max="6112" width="12.5" style="1" bestFit="1" customWidth="1"/>
    <col min="6113" max="6113" width="11" style="1" bestFit="1" customWidth="1"/>
    <col min="6114" max="6132" width="13" style="1" bestFit="1" customWidth="1"/>
    <col min="6133" max="6136" width="11" style="1" bestFit="1" customWidth="1"/>
    <col min="6137" max="6139" width="12.25" style="1" bestFit="1" customWidth="1"/>
    <col min="6140" max="6153" width="11" style="1" bestFit="1" customWidth="1"/>
    <col min="6154" max="6154" width="13.25" style="1" bestFit="1" customWidth="1"/>
    <col min="6155" max="6155" width="10" style="1" bestFit="1" customWidth="1"/>
    <col min="6156" max="6156" width="11" style="1" bestFit="1" customWidth="1"/>
    <col min="6157" max="6359" width="9" style="1"/>
    <col min="6360" max="6360" width="2.875" style="1" bestFit="1" customWidth="1"/>
    <col min="6361" max="6361" width="16.625" style="1" bestFit="1" customWidth="1"/>
    <col min="6362" max="6362" width="11.375" style="1" bestFit="1" customWidth="1"/>
    <col min="6363" max="6364" width="14.125" style="1" bestFit="1" customWidth="1"/>
    <col min="6365" max="6365" width="11.375" style="1" bestFit="1" customWidth="1"/>
    <col min="6366" max="6368" width="12.5" style="1" bestFit="1" customWidth="1"/>
    <col min="6369" max="6369" width="11" style="1" bestFit="1" customWidth="1"/>
    <col min="6370" max="6388" width="13" style="1" bestFit="1" customWidth="1"/>
    <col min="6389" max="6392" width="11" style="1" bestFit="1" customWidth="1"/>
    <col min="6393" max="6395" width="12.25" style="1" bestFit="1" customWidth="1"/>
    <col min="6396" max="6409" width="11" style="1" bestFit="1" customWidth="1"/>
    <col min="6410" max="6410" width="13.25" style="1" bestFit="1" customWidth="1"/>
    <col min="6411" max="6411" width="10" style="1" bestFit="1" customWidth="1"/>
    <col min="6412" max="6412" width="11" style="1" bestFit="1" customWidth="1"/>
    <col min="6413" max="6615" width="9" style="1"/>
    <col min="6616" max="6616" width="2.875" style="1" bestFit="1" customWidth="1"/>
    <col min="6617" max="6617" width="16.625" style="1" bestFit="1" customWidth="1"/>
    <col min="6618" max="6618" width="11.375" style="1" bestFit="1" customWidth="1"/>
    <col min="6619" max="6620" width="14.125" style="1" bestFit="1" customWidth="1"/>
    <col min="6621" max="6621" width="11.375" style="1" bestFit="1" customWidth="1"/>
    <col min="6622" max="6624" width="12.5" style="1" bestFit="1" customWidth="1"/>
    <col min="6625" max="6625" width="11" style="1" bestFit="1" customWidth="1"/>
    <col min="6626" max="6644" width="13" style="1" bestFit="1" customWidth="1"/>
    <col min="6645" max="6648" width="11" style="1" bestFit="1" customWidth="1"/>
    <col min="6649" max="6651" width="12.25" style="1" bestFit="1" customWidth="1"/>
    <col min="6652" max="6665" width="11" style="1" bestFit="1" customWidth="1"/>
    <col min="6666" max="6666" width="13.25" style="1" bestFit="1" customWidth="1"/>
    <col min="6667" max="6667" width="10" style="1" bestFit="1" customWidth="1"/>
    <col min="6668" max="6668" width="11" style="1" bestFit="1" customWidth="1"/>
    <col min="6669" max="6871" width="9" style="1"/>
    <col min="6872" max="6872" width="2.875" style="1" bestFit="1" customWidth="1"/>
    <col min="6873" max="6873" width="16.625" style="1" bestFit="1" customWidth="1"/>
    <col min="6874" max="6874" width="11.375" style="1" bestFit="1" customWidth="1"/>
    <col min="6875" max="6876" width="14.125" style="1" bestFit="1" customWidth="1"/>
    <col min="6877" max="6877" width="11.375" style="1" bestFit="1" customWidth="1"/>
    <col min="6878" max="6880" width="12.5" style="1" bestFit="1" customWidth="1"/>
    <col min="6881" max="6881" width="11" style="1" bestFit="1" customWidth="1"/>
    <col min="6882" max="6900" width="13" style="1" bestFit="1" customWidth="1"/>
    <col min="6901" max="6904" width="11" style="1" bestFit="1" customWidth="1"/>
    <col min="6905" max="6907" width="12.25" style="1" bestFit="1" customWidth="1"/>
    <col min="6908" max="6921" width="11" style="1" bestFit="1" customWidth="1"/>
    <col min="6922" max="6922" width="13.25" style="1" bestFit="1" customWidth="1"/>
    <col min="6923" max="6923" width="10" style="1" bestFit="1" customWidth="1"/>
    <col min="6924" max="6924" width="11" style="1" bestFit="1" customWidth="1"/>
    <col min="6925" max="7127" width="9" style="1"/>
    <col min="7128" max="7128" width="2.875" style="1" bestFit="1" customWidth="1"/>
    <col min="7129" max="7129" width="16.625" style="1" bestFit="1" customWidth="1"/>
    <col min="7130" max="7130" width="11.375" style="1" bestFit="1" customWidth="1"/>
    <col min="7131" max="7132" width="14.125" style="1" bestFit="1" customWidth="1"/>
    <col min="7133" max="7133" width="11.375" style="1" bestFit="1" customWidth="1"/>
    <col min="7134" max="7136" width="12.5" style="1" bestFit="1" customWidth="1"/>
    <col min="7137" max="7137" width="11" style="1" bestFit="1" customWidth="1"/>
    <col min="7138" max="7156" width="13" style="1" bestFit="1" customWidth="1"/>
    <col min="7157" max="7160" width="11" style="1" bestFit="1" customWidth="1"/>
    <col min="7161" max="7163" width="12.25" style="1" bestFit="1" customWidth="1"/>
    <col min="7164" max="7177" width="11" style="1" bestFit="1" customWidth="1"/>
    <col min="7178" max="7178" width="13.25" style="1" bestFit="1" customWidth="1"/>
    <col min="7179" max="7179" width="10" style="1" bestFit="1" customWidth="1"/>
    <col min="7180" max="7180" width="11" style="1" bestFit="1" customWidth="1"/>
    <col min="7181" max="7383" width="9" style="1"/>
    <col min="7384" max="7384" width="2.875" style="1" bestFit="1" customWidth="1"/>
    <col min="7385" max="7385" width="16.625" style="1" bestFit="1" customWidth="1"/>
    <col min="7386" max="7386" width="11.375" style="1" bestFit="1" customWidth="1"/>
    <col min="7387" max="7388" width="14.125" style="1" bestFit="1" customWidth="1"/>
    <col min="7389" max="7389" width="11.375" style="1" bestFit="1" customWidth="1"/>
    <col min="7390" max="7392" width="12.5" style="1" bestFit="1" customWidth="1"/>
    <col min="7393" max="7393" width="11" style="1" bestFit="1" customWidth="1"/>
    <col min="7394" max="7412" width="13" style="1" bestFit="1" customWidth="1"/>
    <col min="7413" max="7416" width="11" style="1" bestFit="1" customWidth="1"/>
    <col min="7417" max="7419" width="12.25" style="1" bestFit="1" customWidth="1"/>
    <col min="7420" max="7433" width="11" style="1" bestFit="1" customWidth="1"/>
    <col min="7434" max="7434" width="13.25" style="1" bestFit="1" customWidth="1"/>
    <col min="7435" max="7435" width="10" style="1" bestFit="1" customWidth="1"/>
    <col min="7436" max="7436" width="11" style="1" bestFit="1" customWidth="1"/>
    <col min="7437" max="7639" width="9" style="1"/>
    <col min="7640" max="7640" width="2.875" style="1" bestFit="1" customWidth="1"/>
    <col min="7641" max="7641" width="16.625" style="1" bestFit="1" customWidth="1"/>
    <col min="7642" max="7642" width="11.375" style="1" bestFit="1" customWidth="1"/>
    <col min="7643" max="7644" width="14.125" style="1" bestFit="1" customWidth="1"/>
    <col min="7645" max="7645" width="11.375" style="1" bestFit="1" customWidth="1"/>
    <col min="7646" max="7648" width="12.5" style="1" bestFit="1" customWidth="1"/>
    <col min="7649" max="7649" width="11" style="1" bestFit="1" customWidth="1"/>
    <col min="7650" max="7668" width="13" style="1" bestFit="1" customWidth="1"/>
    <col min="7669" max="7672" width="11" style="1" bestFit="1" customWidth="1"/>
    <col min="7673" max="7675" width="12.25" style="1" bestFit="1" customWidth="1"/>
    <col min="7676" max="7689" width="11" style="1" bestFit="1" customWidth="1"/>
    <col min="7690" max="7690" width="13.25" style="1" bestFit="1" customWidth="1"/>
    <col min="7691" max="7691" width="10" style="1" bestFit="1" customWidth="1"/>
    <col min="7692" max="7692" width="11" style="1" bestFit="1" customWidth="1"/>
    <col min="7693" max="7895" width="9" style="1"/>
    <col min="7896" max="7896" width="2.875" style="1" bestFit="1" customWidth="1"/>
    <col min="7897" max="7897" width="16.625" style="1" bestFit="1" customWidth="1"/>
    <col min="7898" max="7898" width="11.375" style="1" bestFit="1" customWidth="1"/>
    <col min="7899" max="7900" width="14.125" style="1" bestFit="1" customWidth="1"/>
    <col min="7901" max="7901" width="11.375" style="1" bestFit="1" customWidth="1"/>
    <col min="7902" max="7904" width="12.5" style="1" bestFit="1" customWidth="1"/>
    <col min="7905" max="7905" width="11" style="1" bestFit="1" customWidth="1"/>
    <col min="7906" max="7924" width="13" style="1" bestFit="1" customWidth="1"/>
    <col min="7925" max="7928" width="11" style="1" bestFit="1" customWidth="1"/>
    <col min="7929" max="7931" width="12.25" style="1" bestFit="1" customWidth="1"/>
    <col min="7932" max="7945" width="11" style="1" bestFit="1" customWidth="1"/>
    <col min="7946" max="7946" width="13.25" style="1" bestFit="1" customWidth="1"/>
    <col min="7947" max="7947" width="10" style="1" bestFit="1" customWidth="1"/>
    <col min="7948" max="7948" width="11" style="1" bestFit="1" customWidth="1"/>
    <col min="7949" max="8151" width="9" style="1"/>
    <col min="8152" max="8152" width="2.875" style="1" bestFit="1" customWidth="1"/>
    <col min="8153" max="8153" width="16.625" style="1" bestFit="1" customWidth="1"/>
    <col min="8154" max="8154" width="11.375" style="1" bestFit="1" customWidth="1"/>
    <col min="8155" max="8156" width="14.125" style="1" bestFit="1" customWidth="1"/>
    <col min="8157" max="8157" width="11.375" style="1" bestFit="1" customWidth="1"/>
    <col min="8158" max="8160" width="12.5" style="1" bestFit="1" customWidth="1"/>
    <col min="8161" max="8161" width="11" style="1" bestFit="1" customWidth="1"/>
    <col min="8162" max="8180" width="13" style="1" bestFit="1" customWidth="1"/>
    <col min="8181" max="8184" width="11" style="1" bestFit="1" customWidth="1"/>
    <col min="8185" max="8187" width="12.25" style="1" bestFit="1" customWidth="1"/>
    <col min="8188" max="8201" width="11" style="1" bestFit="1" customWidth="1"/>
    <col min="8202" max="8202" width="13.25" style="1" bestFit="1" customWidth="1"/>
    <col min="8203" max="8203" width="10" style="1" bestFit="1" customWidth="1"/>
    <col min="8204" max="8204" width="11" style="1" bestFit="1" customWidth="1"/>
    <col min="8205" max="8407" width="9" style="1"/>
    <col min="8408" max="8408" width="2.875" style="1" bestFit="1" customWidth="1"/>
    <col min="8409" max="8409" width="16.625" style="1" bestFit="1" customWidth="1"/>
    <col min="8410" max="8410" width="11.375" style="1" bestFit="1" customWidth="1"/>
    <col min="8411" max="8412" width="14.125" style="1" bestFit="1" customWidth="1"/>
    <col min="8413" max="8413" width="11.375" style="1" bestFit="1" customWidth="1"/>
    <col min="8414" max="8416" width="12.5" style="1" bestFit="1" customWidth="1"/>
    <col min="8417" max="8417" width="11" style="1" bestFit="1" customWidth="1"/>
    <col min="8418" max="8436" width="13" style="1" bestFit="1" customWidth="1"/>
    <col min="8437" max="8440" width="11" style="1" bestFit="1" customWidth="1"/>
    <col min="8441" max="8443" width="12.25" style="1" bestFit="1" customWidth="1"/>
    <col min="8444" max="8457" width="11" style="1" bestFit="1" customWidth="1"/>
    <col min="8458" max="8458" width="13.25" style="1" bestFit="1" customWidth="1"/>
    <col min="8459" max="8459" width="10" style="1" bestFit="1" customWidth="1"/>
    <col min="8460" max="8460" width="11" style="1" bestFit="1" customWidth="1"/>
    <col min="8461" max="8663" width="9" style="1"/>
    <col min="8664" max="8664" width="2.875" style="1" bestFit="1" customWidth="1"/>
    <col min="8665" max="8665" width="16.625" style="1" bestFit="1" customWidth="1"/>
    <col min="8666" max="8666" width="11.375" style="1" bestFit="1" customWidth="1"/>
    <col min="8667" max="8668" width="14.125" style="1" bestFit="1" customWidth="1"/>
    <col min="8669" max="8669" width="11.375" style="1" bestFit="1" customWidth="1"/>
    <col min="8670" max="8672" width="12.5" style="1" bestFit="1" customWidth="1"/>
    <col min="8673" max="8673" width="11" style="1" bestFit="1" customWidth="1"/>
    <col min="8674" max="8692" width="13" style="1" bestFit="1" customWidth="1"/>
    <col min="8693" max="8696" width="11" style="1" bestFit="1" customWidth="1"/>
    <col min="8697" max="8699" width="12.25" style="1" bestFit="1" customWidth="1"/>
    <col min="8700" max="8713" width="11" style="1" bestFit="1" customWidth="1"/>
    <col min="8714" max="8714" width="13.25" style="1" bestFit="1" customWidth="1"/>
    <col min="8715" max="8715" width="10" style="1" bestFit="1" customWidth="1"/>
    <col min="8716" max="8716" width="11" style="1" bestFit="1" customWidth="1"/>
    <col min="8717" max="8919" width="9" style="1"/>
    <col min="8920" max="8920" width="2.875" style="1" bestFit="1" customWidth="1"/>
    <col min="8921" max="8921" width="16.625" style="1" bestFit="1" customWidth="1"/>
    <col min="8922" max="8922" width="11.375" style="1" bestFit="1" customWidth="1"/>
    <col min="8923" max="8924" width="14.125" style="1" bestFit="1" customWidth="1"/>
    <col min="8925" max="8925" width="11.375" style="1" bestFit="1" customWidth="1"/>
    <col min="8926" max="8928" width="12.5" style="1" bestFit="1" customWidth="1"/>
    <col min="8929" max="8929" width="11" style="1" bestFit="1" customWidth="1"/>
    <col min="8930" max="8948" width="13" style="1" bestFit="1" customWidth="1"/>
    <col min="8949" max="8952" width="11" style="1" bestFit="1" customWidth="1"/>
    <col min="8953" max="8955" width="12.25" style="1" bestFit="1" customWidth="1"/>
    <col min="8956" max="8969" width="11" style="1" bestFit="1" customWidth="1"/>
    <col min="8970" max="8970" width="13.25" style="1" bestFit="1" customWidth="1"/>
    <col min="8971" max="8971" width="10" style="1" bestFit="1" customWidth="1"/>
    <col min="8972" max="8972" width="11" style="1" bestFit="1" customWidth="1"/>
    <col min="8973" max="9175" width="9" style="1"/>
    <col min="9176" max="9176" width="2.875" style="1" bestFit="1" customWidth="1"/>
    <col min="9177" max="9177" width="16.625" style="1" bestFit="1" customWidth="1"/>
    <col min="9178" max="9178" width="11.375" style="1" bestFit="1" customWidth="1"/>
    <col min="9179" max="9180" width="14.125" style="1" bestFit="1" customWidth="1"/>
    <col min="9181" max="9181" width="11.375" style="1" bestFit="1" customWidth="1"/>
    <col min="9182" max="9184" width="12.5" style="1" bestFit="1" customWidth="1"/>
    <col min="9185" max="9185" width="11" style="1" bestFit="1" customWidth="1"/>
    <col min="9186" max="9204" width="13" style="1" bestFit="1" customWidth="1"/>
    <col min="9205" max="9208" width="11" style="1" bestFit="1" customWidth="1"/>
    <col min="9209" max="9211" width="12.25" style="1" bestFit="1" customWidth="1"/>
    <col min="9212" max="9225" width="11" style="1" bestFit="1" customWidth="1"/>
    <col min="9226" max="9226" width="13.25" style="1" bestFit="1" customWidth="1"/>
    <col min="9227" max="9227" width="10" style="1" bestFit="1" customWidth="1"/>
    <col min="9228" max="9228" width="11" style="1" bestFit="1" customWidth="1"/>
    <col min="9229" max="9431" width="9" style="1"/>
    <col min="9432" max="9432" width="2.875" style="1" bestFit="1" customWidth="1"/>
    <col min="9433" max="9433" width="16.625" style="1" bestFit="1" customWidth="1"/>
    <col min="9434" max="9434" width="11.375" style="1" bestFit="1" customWidth="1"/>
    <col min="9435" max="9436" width="14.125" style="1" bestFit="1" customWidth="1"/>
    <col min="9437" max="9437" width="11.375" style="1" bestFit="1" customWidth="1"/>
    <col min="9438" max="9440" width="12.5" style="1" bestFit="1" customWidth="1"/>
    <col min="9441" max="9441" width="11" style="1" bestFit="1" customWidth="1"/>
    <col min="9442" max="9460" width="13" style="1" bestFit="1" customWidth="1"/>
    <col min="9461" max="9464" width="11" style="1" bestFit="1" customWidth="1"/>
    <col min="9465" max="9467" width="12.25" style="1" bestFit="1" customWidth="1"/>
    <col min="9468" max="9481" width="11" style="1" bestFit="1" customWidth="1"/>
    <col min="9482" max="9482" width="13.25" style="1" bestFit="1" customWidth="1"/>
    <col min="9483" max="9483" width="10" style="1" bestFit="1" customWidth="1"/>
    <col min="9484" max="9484" width="11" style="1" bestFit="1" customWidth="1"/>
    <col min="9485" max="9687" width="9" style="1"/>
    <col min="9688" max="9688" width="2.875" style="1" bestFit="1" customWidth="1"/>
    <col min="9689" max="9689" width="16.625" style="1" bestFit="1" customWidth="1"/>
    <col min="9690" max="9690" width="11.375" style="1" bestFit="1" customWidth="1"/>
    <col min="9691" max="9692" width="14.125" style="1" bestFit="1" customWidth="1"/>
    <col min="9693" max="9693" width="11.375" style="1" bestFit="1" customWidth="1"/>
    <col min="9694" max="9696" width="12.5" style="1" bestFit="1" customWidth="1"/>
    <col min="9697" max="9697" width="11" style="1" bestFit="1" customWidth="1"/>
    <col min="9698" max="9716" width="13" style="1" bestFit="1" customWidth="1"/>
    <col min="9717" max="9720" width="11" style="1" bestFit="1" customWidth="1"/>
    <col min="9721" max="9723" width="12.25" style="1" bestFit="1" customWidth="1"/>
    <col min="9724" max="9737" width="11" style="1" bestFit="1" customWidth="1"/>
    <col min="9738" max="9738" width="13.25" style="1" bestFit="1" customWidth="1"/>
    <col min="9739" max="9739" width="10" style="1" bestFit="1" customWidth="1"/>
    <col min="9740" max="9740" width="11" style="1" bestFit="1" customWidth="1"/>
    <col min="9741" max="9943" width="9" style="1"/>
    <col min="9944" max="9944" width="2.875" style="1" bestFit="1" customWidth="1"/>
    <col min="9945" max="9945" width="16.625" style="1" bestFit="1" customWidth="1"/>
    <col min="9946" max="9946" width="11.375" style="1" bestFit="1" customWidth="1"/>
    <col min="9947" max="9948" width="14.125" style="1" bestFit="1" customWidth="1"/>
    <col min="9949" max="9949" width="11.375" style="1" bestFit="1" customWidth="1"/>
    <col min="9950" max="9952" width="12.5" style="1" bestFit="1" customWidth="1"/>
    <col min="9953" max="9953" width="11" style="1" bestFit="1" customWidth="1"/>
    <col min="9954" max="9972" width="13" style="1" bestFit="1" customWidth="1"/>
    <col min="9973" max="9976" width="11" style="1" bestFit="1" customWidth="1"/>
    <col min="9977" max="9979" width="12.25" style="1" bestFit="1" customWidth="1"/>
    <col min="9980" max="9993" width="11" style="1" bestFit="1" customWidth="1"/>
    <col min="9994" max="9994" width="13.25" style="1" bestFit="1" customWidth="1"/>
    <col min="9995" max="9995" width="10" style="1" bestFit="1" customWidth="1"/>
    <col min="9996" max="9996" width="11" style="1" bestFit="1" customWidth="1"/>
    <col min="9997" max="10199" width="9" style="1"/>
    <col min="10200" max="10200" width="2.875" style="1" bestFit="1" customWidth="1"/>
    <col min="10201" max="10201" width="16.625" style="1" bestFit="1" customWidth="1"/>
    <col min="10202" max="10202" width="11.375" style="1" bestFit="1" customWidth="1"/>
    <col min="10203" max="10204" width="14.125" style="1" bestFit="1" customWidth="1"/>
    <col min="10205" max="10205" width="11.375" style="1" bestFit="1" customWidth="1"/>
    <col min="10206" max="10208" width="12.5" style="1" bestFit="1" customWidth="1"/>
    <col min="10209" max="10209" width="11" style="1" bestFit="1" customWidth="1"/>
    <col min="10210" max="10228" width="13" style="1" bestFit="1" customWidth="1"/>
    <col min="10229" max="10232" width="11" style="1" bestFit="1" customWidth="1"/>
    <col min="10233" max="10235" width="12.25" style="1" bestFit="1" customWidth="1"/>
    <col min="10236" max="10249" width="11" style="1" bestFit="1" customWidth="1"/>
    <col min="10250" max="10250" width="13.25" style="1" bestFit="1" customWidth="1"/>
    <col min="10251" max="10251" width="10" style="1" bestFit="1" customWidth="1"/>
    <col min="10252" max="10252" width="11" style="1" bestFit="1" customWidth="1"/>
    <col min="10253" max="10455" width="9" style="1"/>
    <col min="10456" max="10456" width="2.875" style="1" bestFit="1" customWidth="1"/>
    <col min="10457" max="10457" width="16.625" style="1" bestFit="1" customWidth="1"/>
    <col min="10458" max="10458" width="11.375" style="1" bestFit="1" customWidth="1"/>
    <col min="10459" max="10460" width="14.125" style="1" bestFit="1" customWidth="1"/>
    <col min="10461" max="10461" width="11.375" style="1" bestFit="1" customWidth="1"/>
    <col min="10462" max="10464" width="12.5" style="1" bestFit="1" customWidth="1"/>
    <col min="10465" max="10465" width="11" style="1" bestFit="1" customWidth="1"/>
    <col min="10466" max="10484" width="13" style="1" bestFit="1" customWidth="1"/>
    <col min="10485" max="10488" width="11" style="1" bestFit="1" customWidth="1"/>
    <col min="10489" max="10491" width="12.25" style="1" bestFit="1" customWidth="1"/>
    <col min="10492" max="10505" width="11" style="1" bestFit="1" customWidth="1"/>
    <col min="10506" max="10506" width="13.25" style="1" bestFit="1" customWidth="1"/>
    <col min="10507" max="10507" width="10" style="1" bestFit="1" customWidth="1"/>
    <col min="10508" max="10508" width="11" style="1" bestFit="1" customWidth="1"/>
    <col min="10509" max="10711" width="9" style="1"/>
    <col min="10712" max="10712" width="2.875" style="1" bestFit="1" customWidth="1"/>
    <col min="10713" max="10713" width="16.625" style="1" bestFit="1" customWidth="1"/>
    <col min="10714" max="10714" width="11.375" style="1" bestFit="1" customWidth="1"/>
    <col min="10715" max="10716" width="14.125" style="1" bestFit="1" customWidth="1"/>
    <col min="10717" max="10717" width="11.375" style="1" bestFit="1" customWidth="1"/>
    <col min="10718" max="10720" width="12.5" style="1" bestFit="1" customWidth="1"/>
    <col min="10721" max="10721" width="11" style="1" bestFit="1" customWidth="1"/>
    <col min="10722" max="10740" width="13" style="1" bestFit="1" customWidth="1"/>
    <col min="10741" max="10744" width="11" style="1" bestFit="1" customWidth="1"/>
    <col min="10745" max="10747" width="12.25" style="1" bestFit="1" customWidth="1"/>
    <col min="10748" max="10761" width="11" style="1" bestFit="1" customWidth="1"/>
    <col min="10762" max="10762" width="13.25" style="1" bestFit="1" customWidth="1"/>
    <col min="10763" max="10763" width="10" style="1" bestFit="1" customWidth="1"/>
    <col min="10764" max="10764" width="11" style="1" bestFit="1" customWidth="1"/>
    <col min="10765" max="10967" width="9" style="1"/>
    <col min="10968" max="10968" width="2.875" style="1" bestFit="1" customWidth="1"/>
    <col min="10969" max="10969" width="16.625" style="1" bestFit="1" customWidth="1"/>
    <col min="10970" max="10970" width="11.375" style="1" bestFit="1" customWidth="1"/>
    <col min="10971" max="10972" width="14.125" style="1" bestFit="1" customWidth="1"/>
    <col min="10973" max="10973" width="11.375" style="1" bestFit="1" customWidth="1"/>
    <col min="10974" max="10976" width="12.5" style="1" bestFit="1" customWidth="1"/>
    <col min="10977" max="10977" width="11" style="1" bestFit="1" customWidth="1"/>
    <col min="10978" max="10996" width="13" style="1" bestFit="1" customWidth="1"/>
    <col min="10997" max="11000" width="11" style="1" bestFit="1" customWidth="1"/>
    <col min="11001" max="11003" width="12.25" style="1" bestFit="1" customWidth="1"/>
    <col min="11004" max="11017" width="11" style="1" bestFit="1" customWidth="1"/>
    <col min="11018" max="11018" width="13.25" style="1" bestFit="1" customWidth="1"/>
    <col min="11019" max="11019" width="10" style="1" bestFit="1" customWidth="1"/>
    <col min="11020" max="11020" width="11" style="1" bestFit="1" customWidth="1"/>
    <col min="11021" max="11223" width="9" style="1"/>
    <col min="11224" max="11224" width="2.875" style="1" bestFit="1" customWidth="1"/>
    <col min="11225" max="11225" width="16.625" style="1" bestFit="1" customWidth="1"/>
    <col min="11226" max="11226" width="11.375" style="1" bestFit="1" customWidth="1"/>
    <col min="11227" max="11228" width="14.125" style="1" bestFit="1" customWidth="1"/>
    <col min="11229" max="11229" width="11.375" style="1" bestFit="1" customWidth="1"/>
    <col min="11230" max="11232" width="12.5" style="1" bestFit="1" customWidth="1"/>
    <col min="11233" max="11233" width="11" style="1" bestFit="1" customWidth="1"/>
    <col min="11234" max="11252" width="13" style="1" bestFit="1" customWidth="1"/>
    <col min="11253" max="11256" width="11" style="1" bestFit="1" customWidth="1"/>
    <col min="11257" max="11259" width="12.25" style="1" bestFit="1" customWidth="1"/>
    <col min="11260" max="11273" width="11" style="1" bestFit="1" customWidth="1"/>
    <col min="11274" max="11274" width="13.25" style="1" bestFit="1" customWidth="1"/>
    <col min="11275" max="11275" width="10" style="1" bestFit="1" customWidth="1"/>
    <col min="11276" max="11276" width="11" style="1" bestFit="1" customWidth="1"/>
    <col min="11277" max="11479" width="9" style="1"/>
    <col min="11480" max="11480" width="2.875" style="1" bestFit="1" customWidth="1"/>
    <col min="11481" max="11481" width="16.625" style="1" bestFit="1" customWidth="1"/>
    <col min="11482" max="11482" width="11.375" style="1" bestFit="1" customWidth="1"/>
    <col min="11483" max="11484" width="14.125" style="1" bestFit="1" customWidth="1"/>
    <col min="11485" max="11485" width="11.375" style="1" bestFit="1" customWidth="1"/>
    <col min="11486" max="11488" width="12.5" style="1" bestFit="1" customWidth="1"/>
    <col min="11489" max="11489" width="11" style="1" bestFit="1" customWidth="1"/>
    <col min="11490" max="11508" width="13" style="1" bestFit="1" customWidth="1"/>
    <col min="11509" max="11512" width="11" style="1" bestFit="1" customWidth="1"/>
    <col min="11513" max="11515" width="12.25" style="1" bestFit="1" customWidth="1"/>
    <col min="11516" max="11529" width="11" style="1" bestFit="1" customWidth="1"/>
    <col min="11530" max="11530" width="13.25" style="1" bestFit="1" customWidth="1"/>
    <col min="11531" max="11531" width="10" style="1" bestFit="1" customWidth="1"/>
    <col min="11532" max="11532" width="11" style="1" bestFit="1" customWidth="1"/>
    <col min="11533" max="11735" width="9" style="1"/>
    <col min="11736" max="11736" width="2.875" style="1" bestFit="1" customWidth="1"/>
    <col min="11737" max="11737" width="16.625" style="1" bestFit="1" customWidth="1"/>
    <col min="11738" max="11738" width="11.375" style="1" bestFit="1" customWidth="1"/>
    <col min="11739" max="11740" width="14.125" style="1" bestFit="1" customWidth="1"/>
    <col min="11741" max="11741" width="11.375" style="1" bestFit="1" customWidth="1"/>
    <col min="11742" max="11744" width="12.5" style="1" bestFit="1" customWidth="1"/>
    <col min="11745" max="11745" width="11" style="1" bestFit="1" customWidth="1"/>
    <col min="11746" max="11764" width="13" style="1" bestFit="1" customWidth="1"/>
    <col min="11765" max="11768" width="11" style="1" bestFit="1" customWidth="1"/>
    <col min="11769" max="11771" width="12.25" style="1" bestFit="1" customWidth="1"/>
    <col min="11772" max="11785" width="11" style="1" bestFit="1" customWidth="1"/>
    <col min="11786" max="11786" width="13.25" style="1" bestFit="1" customWidth="1"/>
    <col min="11787" max="11787" width="10" style="1" bestFit="1" customWidth="1"/>
    <col min="11788" max="11788" width="11" style="1" bestFit="1" customWidth="1"/>
    <col min="11789" max="11991" width="9" style="1"/>
    <col min="11992" max="11992" width="2.875" style="1" bestFit="1" customWidth="1"/>
    <col min="11993" max="11993" width="16.625" style="1" bestFit="1" customWidth="1"/>
    <col min="11994" max="11994" width="11.375" style="1" bestFit="1" customWidth="1"/>
    <col min="11995" max="11996" width="14.125" style="1" bestFit="1" customWidth="1"/>
    <col min="11997" max="11997" width="11.375" style="1" bestFit="1" customWidth="1"/>
    <col min="11998" max="12000" width="12.5" style="1" bestFit="1" customWidth="1"/>
    <col min="12001" max="12001" width="11" style="1" bestFit="1" customWidth="1"/>
    <col min="12002" max="12020" width="13" style="1" bestFit="1" customWidth="1"/>
    <col min="12021" max="12024" width="11" style="1" bestFit="1" customWidth="1"/>
    <col min="12025" max="12027" width="12.25" style="1" bestFit="1" customWidth="1"/>
    <col min="12028" max="12041" width="11" style="1" bestFit="1" customWidth="1"/>
    <col min="12042" max="12042" width="13.25" style="1" bestFit="1" customWidth="1"/>
    <col min="12043" max="12043" width="10" style="1" bestFit="1" customWidth="1"/>
    <col min="12044" max="12044" width="11" style="1" bestFit="1" customWidth="1"/>
    <col min="12045" max="12247" width="9" style="1"/>
    <col min="12248" max="12248" width="2.875" style="1" bestFit="1" customWidth="1"/>
    <col min="12249" max="12249" width="16.625" style="1" bestFit="1" customWidth="1"/>
    <col min="12250" max="12250" width="11.375" style="1" bestFit="1" customWidth="1"/>
    <col min="12251" max="12252" width="14.125" style="1" bestFit="1" customWidth="1"/>
    <col min="12253" max="12253" width="11.375" style="1" bestFit="1" customWidth="1"/>
    <col min="12254" max="12256" width="12.5" style="1" bestFit="1" customWidth="1"/>
    <col min="12257" max="12257" width="11" style="1" bestFit="1" customWidth="1"/>
    <col min="12258" max="12276" width="13" style="1" bestFit="1" customWidth="1"/>
    <col min="12277" max="12280" width="11" style="1" bestFit="1" customWidth="1"/>
    <col min="12281" max="12283" width="12.25" style="1" bestFit="1" customWidth="1"/>
    <col min="12284" max="12297" width="11" style="1" bestFit="1" customWidth="1"/>
    <col min="12298" max="12298" width="13.25" style="1" bestFit="1" customWidth="1"/>
    <col min="12299" max="12299" width="10" style="1" bestFit="1" customWidth="1"/>
    <col min="12300" max="12300" width="11" style="1" bestFit="1" customWidth="1"/>
    <col min="12301" max="12503" width="9" style="1"/>
    <col min="12504" max="12504" width="2.875" style="1" bestFit="1" customWidth="1"/>
    <col min="12505" max="12505" width="16.625" style="1" bestFit="1" customWidth="1"/>
    <col min="12506" max="12506" width="11.375" style="1" bestFit="1" customWidth="1"/>
    <col min="12507" max="12508" width="14.125" style="1" bestFit="1" customWidth="1"/>
    <col min="12509" max="12509" width="11.375" style="1" bestFit="1" customWidth="1"/>
    <col min="12510" max="12512" width="12.5" style="1" bestFit="1" customWidth="1"/>
    <col min="12513" max="12513" width="11" style="1" bestFit="1" customWidth="1"/>
    <col min="12514" max="12532" width="13" style="1" bestFit="1" customWidth="1"/>
    <col min="12533" max="12536" width="11" style="1" bestFit="1" customWidth="1"/>
    <col min="12537" max="12539" width="12.25" style="1" bestFit="1" customWidth="1"/>
    <col min="12540" max="12553" width="11" style="1" bestFit="1" customWidth="1"/>
    <col min="12554" max="12554" width="13.25" style="1" bestFit="1" customWidth="1"/>
    <col min="12555" max="12555" width="10" style="1" bestFit="1" customWidth="1"/>
    <col min="12556" max="12556" width="11" style="1" bestFit="1" customWidth="1"/>
    <col min="12557" max="12759" width="9" style="1"/>
    <col min="12760" max="12760" width="2.875" style="1" bestFit="1" customWidth="1"/>
    <col min="12761" max="12761" width="16.625" style="1" bestFit="1" customWidth="1"/>
    <col min="12762" max="12762" width="11.375" style="1" bestFit="1" customWidth="1"/>
    <col min="12763" max="12764" width="14.125" style="1" bestFit="1" customWidth="1"/>
    <col min="12765" max="12765" width="11.375" style="1" bestFit="1" customWidth="1"/>
    <col min="12766" max="12768" width="12.5" style="1" bestFit="1" customWidth="1"/>
    <col min="12769" max="12769" width="11" style="1" bestFit="1" customWidth="1"/>
    <col min="12770" max="12788" width="13" style="1" bestFit="1" customWidth="1"/>
    <col min="12789" max="12792" width="11" style="1" bestFit="1" customWidth="1"/>
    <col min="12793" max="12795" width="12.25" style="1" bestFit="1" customWidth="1"/>
    <col min="12796" max="12809" width="11" style="1" bestFit="1" customWidth="1"/>
    <col min="12810" max="12810" width="13.25" style="1" bestFit="1" customWidth="1"/>
    <col min="12811" max="12811" width="10" style="1" bestFit="1" customWidth="1"/>
    <col min="12812" max="12812" width="11" style="1" bestFit="1" customWidth="1"/>
    <col min="12813" max="13015" width="9" style="1"/>
    <col min="13016" max="13016" width="2.875" style="1" bestFit="1" customWidth="1"/>
    <col min="13017" max="13017" width="16.625" style="1" bestFit="1" customWidth="1"/>
    <col min="13018" max="13018" width="11.375" style="1" bestFit="1" customWidth="1"/>
    <col min="13019" max="13020" width="14.125" style="1" bestFit="1" customWidth="1"/>
    <col min="13021" max="13021" width="11.375" style="1" bestFit="1" customWidth="1"/>
    <col min="13022" max="13024" width="12.5" style="1" bestFit="1" customWidth="1"/>
    <col min="13025" max="13025" width="11" style="1" bestFit="1" customWidth="1"/>
    <col min="13026" max="13044" width="13" style="1" bestFit="1" customWidth="1"/>
    <col min="13045" max="13048" width="11" style="1" bestFit="1" customWidth="1"/>
    <col min="13049" max="13051" width="12.25" style="1" bestFit="1" customWidth="1"/>
    <col min="13052" max="13065" width="11" style="1" bestFit="1" customWidth="1"/>
    <col min="13066" max="13066" width="13.25" style="1" bestFit="1" customWidth="1"/>
    <col min="13067" max="13067" width="10" style="1" bestFit="1" customWidth="1"/>
    <col min="13068" max="13068" width="11" style="1" bestFit="1" customWidth="1"/>
    <col min="13069" max="13271" width="9" style="1"/>
    <col min="13272" max="13272" width="2.875" style="1" bestFit="1" customWidth="1"/>
    <col min="13273" max="13273" width="16.625" style="1" bestFit="1" customWidth="1"/>
    <col min="13274" max="13274" width="11.375" style="1" bestFit="1" customWidth="1"/>
    <col min="13275" max="13276" width="14.125" style="1" bestFit="1" customWidth="1"/>
    <col min="13277" max="13277" width="11.375" style="1" bestFit="1" customWidth="1"/>
    <col min="13278" max="13280" width="12.5" style="1" bestFit="1" customWidth="1"/>
    <col min="13281" max="13281" width="11" style="1" bestFit="1" customWidth="1"/>
    <col min="13282" max="13300" width="13" style="1" bestFit="1" customWidth="1"/>
    <col min="13301" max="13304" width="11" style="1" bestFit="1" customWidth="1"/>
    <col min="13305" max="13307" width="12.25" style="1" bestFit="1" customWidth="1"/>
    <col min="13308" max="13321" width="11" style="1" bestFit="1" customWidth="1"/>
    <col min="13322" max="13322" width="13.25" style="1" bestFit="1" customWidth="1"/>
    <col min="13323" max="13323" width="10" style="1" bestFit="1" customWidth="1"/>
    <col min="13324" max="13324" width="11" style="1" bestFit="1" customWidth="1"/>
    <col min="13325" max="13527" width="9" style="1"/>
    <col min="13528" max="13528" width="2.875" style="1" bestFit="1" customWidth="1"/>
    <col min="13529" max="13529" width="16.625" style="1" bestFit="1" customWidth="1"/>
    <col min="13530" max="13530" width="11.375" style="1" bestFit="1" customWidth="1"/>
    <col min="13531" max="13532" width="14.125" style="1" bestFit="1" customWidth="1"/>
    <col min="13533" max="13533" width="11.375" style="1" bestFit="1" customWidth="1"/>
    <col min="13534" max="13536" width="12.5" style="1" bestFit="1" customWidth="1"/>
    <col min="13537" max="13537" width="11" style="1" bestFit="1" customWidth="1"/>
    <col min="13538" max="13556" width="13" style="1" bestFit="1" customWidth="1"/>
    <col min="13557" max="13560" width="11" style="1" bestFit="1" customWidth="1"/>
    <col min="13561" max="13563" width="12.25" style="1" bestFit="1" customWidth="1"/>
    <col min="13564" max="13577" width="11" style="1" bestFit="1" customWidth="1"/>
    <col min="13578" max="13578" width="13.25" style="1" bestFit="1" customWidth="1"/>
    <col min="13579" max="13579" width="10" style="1" bestFit="1" customWidth="1"/>
    <col min="13580" max="13580" width="11" style="1" bestFit="1" customWidth="1"/>
    <col min="13581" max="13783" width="9" style="1"/>
    <col min="13784" max="13784" width="2.875" style="1" bestFit="1" customWidth="1"/>
    <col min="13785" max="13785" width="16.625" style="1" bestFit="1" customWidth="1"/>
    <col min="13786" max="13786" width="11.375" style="1" bestFit="1" customWidth="1"/>
    <col min="13787" max="13788" width="14.125" style="1" bestFit="1" customWidth="1"/>
    <col min="13789" max="13789" width="11.375" style="1" bestFit="1" customWidth="1"/>
    <col min="13790" max="13792" width="12.5" style="1" bestFit="1" customWidth="1"/>
    <col min="13793" max="13793" width="11" style="1" bestFit="1" customWidth="1"/>
    <col min="13794" max="13812" width="13" style="1" bestFit="1" customWidth="1"/>
    <col min="13813" max="13816" width="11" style="1" bestFit="1" customWidth="1"/>
    <col min="13817" max="13819" width="12.25" style="1" bestFit="1" customWidth="1"/>
    <col min="13820" max="13833" width="11" style="1" bestFit="1" customWidth="1"/>
    <col min="13834" max="13834" width="13.25" style="1" bestFit="1" customWidth="1"/>
    <col min="13835" max="13835" width="10" style="1" bestFit="1" customWidth="1"/>
    <col min="13836" max="13836" width="11" style="1" bestFit="1" customWidth="1"/>
    <col min="13837" max="14039" width="9" style="1"/>
    <col min="14040" max="14040" width="2.875" style="1" bestFit="1" customWidth="1"/>
    <col min="14041" max="14041" width="16.625" style="1" bestFit="1" customWidth="1"/>
    <col min="14042" max="14042" width="11.375" style="1" bestFit="1" customWidth="1"/>
    <col min="14043" max="14044" width="14.125" style="1" bestFit="1" customWidth="1"/>
    <col min="14045" max="14045" width="11.375" style="1" bestFit="1" customWidth="1"/>
    <col min="14046" max="14048" width="12.5" style="1" bestFit="1" customWidth="1"/>
    <col min="14049" max="14049" width="11" style="1" bestFit="1" customWidth="1"/>
    <col min="14050" max="14068" width="13" style="1" bestFit="1" customWidth="1"/>
    <col min="14069" max="14072" width="11" style="1" bestFit="1" customWidth="1"/>
    <col min="14073" max="14075" width="12.25" style="1" bestFit="1" customWidth="1"/>
    <col min="14076" max="14089" width="11" style="1" bestFit="1" customWidth="1"/>
    <col min="14090" max="14090" width="13.25" style="1" bestFit="1" customWidth="1"/>
    <col min="14091" max="14091" width="10" style="1" bestFit="1" customWidth="1"/>
    <col min="14092" max="14092" width="11" style="1" bestFit="1" customWidth="1"/>
    <col min="14093" max="14295" width="9" style="1"/>
    <col min="14296" max="14296" width="2.875" style="1" bestFit="1" customWidth="1"/>
    <col min="14297" max="14297" width="16.625" style="1" bestFit="1" customWidth="1"/>
    <col min="14298" max="14298" width="11.375" style="1" bestFit="1" customWidth="1"/>
    <col min="14299" max="14300" width="14.125" style="1" bestFit="1" customWidth="1"/>
    <col min="14301" max="14301" width="11.375" style="1" bestFit="1" customWidth="1"/>
    <col min="14302" max="14304" width="12.5" style="1" bestFit="1" customWidth="1"/>
    <col min="14305" max="14305" width="11" style="1" bestFit="1" customWidth="1"/>
    <col min="14306" max="14324" width="13" style="1" bestFit="1" customWidth="1"/>
    <col min="14325" max="14328" width="11" style="1" bestFit="1" customWidth="1"/>
    <col min="14329" max="14331" width="12.25" style="1" bestFit="1" customWidth="1"/>
    <col min="14332" max="14345" width="11" style="1" bestFit="1" customWidth="1"/>
    <col min="14346" max="14346" width="13.25" style="1" bestFit="1" customWidth="1"/>
    <col min="14347" max="14347" width="10" style="1" bestFit="1" customWidth="1"/>
    <col min="14348" max="14348" width="11" style="1" bestFit="1" customWidth="1"/>
    <col min="14349" max="14551" width="9" style="1"/>
    <col min="14552" max="14552" width="2.875" style="1" bestFit="1" customWidth="1"/>
    <col min="14553" max="14553" width="16.625" style="1" bestFit="1" customWidth="1"/>
    <col min="14554" max="14554" width="11.375" style="1" bestFit="1" customWidth="1"/>
    <col min="14555" max="14556" width="14.125" style="1" bestFit="1" customWidth="1"/>
    <col min="14557" max="14557" width="11.375" style="1" bestFit="1" customWidth="1"/>
    <col min="14558" max="14560" width="12.5" style="1" bestFit="1" customWidth="1"/>
    <col min="14561" max="14561" width="11" style="1" bestFit="1" customWidth="1"/>
    <col min="14562" max="14580" width="13" style="1" bestFit="1" customWidth="1"/>
    <col min="14581" max="14584" width="11" style="1" bestFit="1" customWidth="1"/>
    <col min="14585" max="14587" width="12.25" style="1" bestFit="1" customWidth="1"/>
    <col min="14588" max="14601" width="11" style="1" bestFit="1" customWidth="1"/>
    <col min="14602" max="14602" width="13.25" style="1" bestFit="1" customWidth="1"/>
    <col min="14603" max="14603" width="10" style="1" bestFit="1" customWidth="1"/>
    <col min="14604" max="14604" width="11" style="1" bestFit="1" customWidth="1"/>
    <col min="14605" max="14807" width="9" style="1"/>
    <col min="14808" max="14808" width="2.875" style="1" bestFit="1" customWidth="1"/>
    <col min="14809" max="14809" width="16.625" style="1" bestFit="1" customWidth="1"/>
    <col min="14810" max="14810" width="11.375" style="1" bestFit="1" customWidth="1"/>
    <col min="14811" max="14812" width="14.125" style="1" bestFit="1" customWidth="1"/>
    <col min="14813" max="14813" width="11.375" style="1" bestFit="1" customWidth="1"/>
    <col min="14814" max="14816" width="12.5" style="1" bestFit="1" customWidth="1"/>
    <col min="14817" max="14817" width="11" style="1" bestFit="1" customWidth="1"/>
    <col min="14818" max="14836" width="13" style="1" bestFit="1" customWidth="1"/>
    <col min="14837" max="14840" width="11" style="1" bestFit="1" customWidth="1"/>
    <col min="14841" max="14843" width="12.25" style="1" bestFit="1" customWidth="1"/>
    <col min="14844" max="14857" width="11" style="1" bestFit="1" customWidth="1"/>
    <col min="14858" max="14858" width="13.25" style="1" bestFit="1" customWidth="1"/>
    <col min="14859" max="14859" width="10" style="1" bestFit="1" customWidth="1"/>
    <col min="14860" max="14860" width="11" style="1" bestFit="1" customWidth="1"/>
    <col min="14861" max="15063" width="9" style="1"/>
    <col min="15064" max="15064" width="2.875" style="1" bestFit="1" customWidth="1"/>
    <col min="15065" max="15065" width="16.625" style="1" bestFit="1" customWidth="1"/>
    <col min="15066" max="15066" width="11.375" style="1" bestFit="1" customWidth="1"/>
    <col min="15067" max="15068" width="14.125" style="1" bestFit="1" customWidth="1"/>
    <col min="15069" max="15069" width="11.375" style="1" bestFit="1" customWidth="1"/>
    <col min="15070" max="15072" width="12.5" style="1" bestFit="1" customWidth="1"/>
    <col min="15073" max="15073" width="11" style="1" bestFit="1" customWidth="1"/>
    <col min="15074" max="15092" width="13" style="1" bestFit="1" customWidth="1"/>
    <col min="15093" max="15096" width="11" style="1" bestFit="1" customWidth="1"/>
    <col min="15097" max="15099" width="12.25" style="1" bestFit="1" customWidth="1"/>
    <col min="15100" max="15113" width="11" style="1" bestFit="1" customWidth="1"/>
    <col min="15114" max="15114" width="13.25" style="1" bestFit="1" customWidth="1"/>
    <col min="15115" max="15115" width="10" style="1" bestFit="1" customWidth="1"/>
    <col min="15116" max="15116" width="11" style="1" bestFit="1" customWidth="1"/>
    <col min="15117" max="15319" width="9" style="1"/>
    <col min="15320" max="15320" width="2.875" style="1" bestFit="1" customWidth="1"/>
    <col min="15321" max="15321" width="16.625" style="1" bestFit="1" customWidth="1"/>
    <col min="15322" max="15322" width="11.375" style="1" bestFit="1" customWidth="1"/>
    <col min="15323" max="15324" width="14.125" style="1" bestFit="1" customWidth="1"/>
    <col min="15325" max="15325" width="11.375" style="1" bestFit="1" customWidth="1"/>
    <col min="15326" max="15328" width="12.5" style="1" bestFit="1" customWidth="1"/>
    <col min="15329" max="15329" width="11" style="1" bestFit="1" customWidth="1"/>
    <col min="15330" max="15348" width="13" style="1" bestFit="1" customWidth="1"/>
    <col min="15349" max="15352" width="11" style="1" bestFit="1" customWidth="1"/>
    <col min="15353" max="15355" width="12.25" style="1" bestFit="1" customWidth="1"/>
    <col min="15356" max="15369" width="11" style="1" bestFit="1" customWidth="1"/>
    <col min="15370" max="15370" width="13.25" style="1" bestFit="1" customWidth="1"/>
    <col min="15371" max="15371" width="10" style="1" bestFit="1" customWidth="1"/>
    <col min="15372" max="15372" width="11" style="1" bestFit="1" customWidth="1"/>
    <col min="15373" max="15575" width="9" style="1"/>
    <col min="15576" max="15576" width="2.875" style="1" bestFit="1" customWidth="1"/>
    <col min="15577" max="15577" width="16.625" style="1" bestFit="1" customWidth="1"/>
    <col min="15578" max="15578" width="11.375" style="1" bestFit="1" customWidth="1"/>
    <col min="15579" max="15580" width="14.125" style="1" bestFit="1" customWidth="1"/>
    <col min="15581" max="15581" width="11.375" style="1" bestFit="1" customWidth="1"/>
    <col min="15582" max="15584" width="12.5" style="1" bestFit="1" customWidth="1"/>
    <col min="15585" max="15585" width="11" style="1" bestFit="1" customWidth="1"/>
    <col min="15586" max="15604" width="13" style="1" bestFit="1" customWidth="1"/>
    <col min="15605" max="15608" width="11" style="1" bestFit="1" customWidth="1"/>
    <col min="15609" max="15611" width="12.25" style="1" bestFit="1" customWidth="1"/>
    <col min="15612" max="15625" width="11" style="1" bestFit="1" customWidth="1"/>
    <col min="15626" max="15626" width="13.25" style="1" bestFit="1" customWidth="1"/>
    <col min="15627" max="15627" width="10" style="1" bestFit="1" customWidth="1"/>
    <col min="15628" max="15628" width="11" style="1" bestFit="1" customWidth="1"/>
    <col min="15629" max="15831" width="9" style="1"/>
    <col min="15832" max="15832" width="2.875" style="1" bestFit="1" customWidth="1"/>
    <col min="15833" max="15833" width="16.625" style="1" bestFit="1" customWidth="1"/>
    <col min="15834" max="15834" width="11.375" style="1" bestFit="1" customWidth="1"/>
    <col min="15835" max="15836" width="14.125" style="1" bestFit="1" customWidth="1"/>
    <col min="15837" max="15837" width="11.375" style="1" bestFit="1" customWidth="1"/>
    <col min="15838" max="15840" width="12.5" style="1" bestFit="1" customWidth="1"/>
    <col min="15841" max="15841" width="11" style="1" bestFit="1" customWidth="1"/>
    <col min="15842" max="15860" width="13" style="1" bestFit="1" customWidth="1"/>
    <col min="15861" max="15864" width="11" style="1" bestFit="1" customWidth="1"/>
    <col min="15865" max="15867" width="12.25" style="1" bestFit="1" customWidth="1"/>
    <col min="15868" max="15881" width="11" style="1" bestFit="1" customWidth="1"/>
    <col min="15882" max="15882" width="13.25" style="1" bestFit="1" customWidth="1"/>
    <col min="15883" max="15883" width="10" style="1" bestFit="1" customWidth="1"/>
    <col min="15884" max="15884" width="11" style="1" bestFit="1" customWidth="1"/>
    <col min="15885" max="16087" width="9" style="1"/>
    <col min="16088" max="16088" width="2.875" style="1" bestFit="1" customWidth="1"/>
    <col min="16089" max="16089" width="16.625" style="1" bestFit="1" customWidth="1"/>
    <col min="16090" max="16090" width="11.375" style="1" bestFit="1" customWidth="1"/>
    <col min="16091" max="16092" width="14.125" style="1" bestFit="1" customWidth="1"/>
    <col min="16093" max="16093" width="11.375" style="1" bestFit="1" customWidth="1"/>
    <col min="16094" max="16096" width="12.5" style="1" bestFit="1" customWidth="1"/>
    <col min="16097" max="16097" width="11" style="1" bestFit="1" customWidth="1"/>
    <col min="16098" max="16116" width="13" style="1" bestFit="1" customWidth="1"/>
    <col min="16117" max="16120" width="11" style="1" bestFit="1" customWidth="1"/>
    <col min="16121" max="16123" width="12.25" style="1" bestFit="1" customWidth="1"/>
    <col min="16124" max="16137" width="11" style="1" bestFit="1" customWidth="1"/>
    <col min="16138" max="16138" width="13.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 x14ac:dyDescent="0.15"/>
    <row r="3" spans="1:12" ht="17.25" x14ac:dyDescent="0.2">
      <c r="A3" s="56">
        <v>45566</v>
      </c>
      <c r="B3" s="56"/>
      <c r="C3" s="58" t="s">
        <v>235</v>
      </c>
    </row>
    <row r="4" spans="1:12" s="5" customFormat="1" x14ac:dyDescent="0.15">
      <c r="A4" s="49" t="s">
        <v>0</v>
      </c>
      <c r="B4" s="49"/>
      <c r="C4" s="2" t="s">
        <v>26</v>
      </c>
      <c r="D4" s="2" t="s">
        <v>27</v>
      </c>
      <c r="E4" s="2" t="s">
        <v>28</v>
      </c>
      <c r="F4" s="2" t="s">
        <v>29</v>
      </c>
      <c r="G4" s="2" t="s">
        <v>30</v>
      </c>
      <c r="H4" s="2" t="s">
        <v>31</v>
      </c>
      <c r="I4" s="2" t="s">
        <v>32</v>
      </c>
      <c r="J4" s="3" t="s">
        <v>41</v>
      </c>
      <c r="K4" s="3" t="s">
        <v>42</v>
      </c>
      <c r="L4" s="4" t="s">
        <v>43</v>
      </c>
    </row>
    <row r="5" spans="1:12" s="5" customFormat="1" hidden="1" x14ac:dyDescent="0.15">
      <c r="A5" s="53" t="s">
        <v>44</v>
      </c>
      <c r="B5" s="57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3"/>
      <c r="K5" s="3"/>
      <c r="L5" s="4"/>
    </row>
    <row r="6" spans="1:12" s="5" customFormat="1" hidden="1" x14ac:dyDescent="0.15">
      <c r="A6" s="53" t="s">
        <v>45</v>
      </c>
      <c r="B6" s="57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3"/>
      <c r="K6" s="3"/>
      <c r="L6" s="4"/>
    </row>
    <row r="7" spans="1:12" s="5" customFormat="1" x14ac:dyDescent="0.15">
      <c r="A7" s="55" t="s">
        <v>51</v>
      </c>
      <c r="B7" s="55"/>
      <c r="C7" s="42" t="s">
        <v>157</v>
      </c>
      <c r="D7" s="42" t="s">
        <v>158</v>
      </c>
      <c r="E7" s="42" t="s">
        <v>156</v>
      </c>
      <c r="F7" s="42" t="s">
        <v>168</v>
      </c>
      <c r="G7" s="42" t="s">
        <v>179</v>
      </c>
      <c r="H7" s="42" t="s">
        <v>176</v>
      </c>
      <c r="I7" s="42" t="s">
        <v>177</v>
      </c>
      <c r="J7" s="6"/>
      <c r="K7" s="6"/>
      <c r="L7" s="7"/>
    </row>
    <row r="8" spans="1:12" s="5" customFormat="1" x14ac:dyDescent="0.15">
      <c r="A8" s="55" t="s">
        <v>52</v>
      </c>
      <c r="B8" s="55"/>
      <c r="C8" s="42" t="s">
        <v>218</v>
      </c>
      <c r="D8" s="42" t="s">
        <v>219</v>
      </c>
      <c r="E8" s="42" t="s">
        <v>220</v>
      </c>
      <c r="F8" s="42" t="s">
        <v>221</v>
      </c>
      <c r="G8" s="42" t="s">
        <v>222</v>
      </c>
      <c r="H8" s="42" t="s">
        <v>223</v>
      </c>
      <c r="I8" s="42" t="s">
        <v>224</v>
      </c>
      <c r="J8" s="6"/>
      <c r="K8" s="6"/>
      <c r="L8" s="7"/>
    </row>
    <row r="9" spans="1:12" x14ac:dyDescent="0.15">
      <c r="A9" s="51" t="s">
        <v>53</v>
      </c>
      <c r="B9" s="52"/>
      <c r="C9" s="44">
        <v>8</v>
      </c>
      <c r="D9" s="44">
        <v>8</v>
      </c>
      <c r="E9" s="44">
        <v>8</v>
      </c>
      <c r="F9" s="44">
        <v>10</v>
      </c>
      <c r="G9" s="44">
        <v>10</v>
      </c>
      <c r="H9" s="44">
        <v>10</v>
      </c>
      <c r="I9" s="44">
        <v>10</v>
      </c>
      <c r="J9" s="9">
        <f>SUM(C9:I9)</f>
        <v>64</v>
      </c>
      <c r="K9" s="9"/>
      <c r="L9" s="10"/>
    </row>
    <row r="10" spans="1:12" x14ac:dyDescent="0.15">
      <c r="A10" s="49" t="s">
        <v>54</v>
      </c>
      <c r="B10" s="49"/>
      <c r="C10" s="47" t="s">
        <v>57</v>
      </c>
      <c r="D10" s="47" t="s">
        <v>57</v>
      </c>
      <c r="E10" s="47" t="s">
        <v>58</v>
      </c>
      <c r="F10" s="47" t="s">
        <v>59</v>
      </c>
      <c r="G10" s="47" t="s">
        <v>61</v>
      </c>
      <c r="H10" s="47" t="s">
        <v>61</v>
      </c>
      <c r="I10" s="47" t="s">
        <v>61</v>
      </c>
      <c r="J10" s="12"/>
      <c r="K10" s="12"/>
      <c r="L10" s="13"/>
    </row>
    <row r="11" spans="1:12" x14ac:dyDescent="0.15">
      <c r="A11" s="49" t="s">
        <v>65</v>
      </c>
      <c r="B11" s="49"/>
      <c r="C11" s="14">
        <v>7832</v>
      </c>
      <c r="D11" s="14">
        <v>7224</v>
      </c>
      <c r="E11" s="14">
        <v>7690</v>
      </c>
      <c r="F11" s="14">
        <v>9492</v>
      </c>
      <c r="G11" s="14">
        <v>7077</v>
      </c>
      <c r="H11" s="14">
        <v>4675</v>
      </c>
      <c r="I11" s="14">
        <v>4934</v>
      </c>
      <c r="J11" s="16">
        <f>SUM(C11:I11)</f>
        <v>48924</v>
      </c>
      <c r="K11" s="16">
        <f>AVERAGE(C11:I11)</f>
        <v>6989.1428571428569</v>
      </c>
      <c r="L11" s="13"/>
    </row>
    <row r="12" spans="1:12" x14ac:dyDescent="0.15">
      <c r="A12" s="53" t="s">
        <v>66</v>
      </c>
      <c r="B12" s="54"/>
      <c r="C12" s="18">
        <v>10.1625</v>
      </c>
      <c r="D12" s="18">
        <v>8.7951388888888893</v>
      </c>
      <c r="E12" s="18">
        <v>10.321527777777778</v>
      </c>
      <c r="F12" s="18">
        <v>12.856944444444444</v>
      </c>
      <c r="G12" s="18">
        <v>10.466666666666667</v>
      </c>
      <c r="H12" s="18">
        <v>7.8743055555555559</v>
      </c>
      <c r="I12" s="18">
        <v>9.0374999999999996</v>
      </c>
      <c r="J12" s="20">
        <f>SUM(C12:I12)</f>
        <v>69.514583333333334</v>
      </c>
      <c r="K12" s="20">
        <f>AVERAGE(C12:I12)</f>
        <v>9.930654761904762</v>
      </c>
      <c r="L12" s="13"/>
    </row>
    <row r="13" spans="1:12" x14ac:dyDescent="0.15">
      <c r="A13" s="49" t="s">
        <v>67</v>
      </c>
      <c r="B13" s="49"/>
      <c r="C13" s="14">
        <v>1818482</v>
      </c>
      <c r="D13" s="14">
        <v>1785398</v>
      </c>
      <c r="E13" s="14">
        <v>1249228</v>
      </c>
      <c r="F13" s="14">
        <v>1237040</v>
      </c>
      <c r="G13" s="14">
        <v>1595375</v>
      </c>
      <c r="H13" s="14">
        <v>1162386</v>
      </c>
      <c r="I13" s="14">
        <v>1066704</v>
      </c>
      <c r="J13" s="16">
        <f>SUM(C13:I13)</f>
        <v>9914613</v>
      </c>
      <c r="K13" s="16">
        <f>AVERAGE(C13:I13)</f>
        <v>1416373.2857142857</v>
      </c>
      <c r="L13" s="13">
        <f>J13/J13</f>
        <v>1</v>
      </c>
    </row>
    <row r="14" spans="1:12" x14ac:dyDescent="0.15">
      <c r="A14" s="53" t="s">
        <v>68</v>
      </c>
      <c r="B14" s="54"/>
      <c r="C14" s="14">
        <v>0</v>
      </c>
      <c r="D14" s="14">
        <v>0</v>
      </c>
      <c r="E14" s="14">
        <v>0</v>
      </c>
      <c r="F14" s="14">
        <v>4540</v>
      </c>
      <c r="G14" s="14">
        <v>0</v>
      </c>
      <c r="H14" s="14">
        <v>0</v>
      </c>
      <c r="I14" s="14">
        <v>0</v>
      </c>
      <c r="J14" s="16">
        <f>SUM(C14:I14)</f>
        <v>4540</v>
      </c>
      <c r="K14" s="16">
        <f>AVERAGE(C14:I14)</f>
        <v>648.57142857142856</v>
      </c>
      <c r="L14" s="13"/>
    </row>
    <row r="15" spans="1:12" x14ac:dyDescent="0.15">
      <c r="A15" s="49" t="s">
        <v>69</v>
      </c>
      <c r="B15" s="49"/>
      <c r="C15" s="14">
        <f t="shared" ref="C15:I15" si="0">SUM(C13/C11)</f>
        <v>232.18615934627169</v>
      </c>
      <c r="D15" s="14">
        <f t="shared" si="0"/>
        <v>247.14811738648947</v>
      </c>
      <c r="E15" s="14">
        <f t="shared" si="0"/>
        <v>162.44837451235369</v>
      </c>
      <c r="F15" s="14">
        <f t="shared" si="0"/>
        <v>130.32448377581122</v>
      </c>
      <c r="G15" s="14">
        <f t="shared" si="0"/>
        <v>225.43097357637416</v>
      </c>
      <c r="H15" s="14">
        <f t="shared" si="0"/>
        <v>248.63871657754009</v>
      </c>
      <c r="I15" s="14">
        <f t="shared" si="0"/>
        <v>216.19456830158086</v>
      </c>
      <c r="J15" s="12">
        <f>SUM(J13/J11)</f>
        <v>202.65336031395634</v>
      </c>
      <c r="K15" s="16">
        <f>AVERAGE(C15:I15)</f>
        <v>208.91019906806017</v>
      </c>
      <c r="L15" s="13"/>
    </row>
    <row r="16" spans="1:12" x14ac:dyDescent="0.15">
      <c r="A16" s="53" t="s">
        <v>70</v>
      </c>
      <c r="B16" s="54"/>
      <c r="C16" s="21">
        <f t="shared" ref="C16:J16" si="1">C13/(C12*24)</f>
        <v>7455.8507585075859</v>
      </c>
      <c r="D16" s="21">
        <f t="shared" si="1"/>
        <v>8458.2613501776541</v>
      </c>
      <c r="E16" s="21">
        <f t="shared" si="1"/>
        <v>5042.9711363789274</v>
      </c>
      <c r="F16" s="21">
        <f t="shared" si="1"/>
        <v>4008.9877930214975</v>
      </c>
      <c r="G16" s="21">
        <f t="shared" si="1"/>
        <v>6351.0151273885349</v>
      </c>
      <c r="H16" s="21">
        <f t="shared" si="1"/>
        <v>6150.7328688596872</v>
      </c>
      <c r="I16" s="21">
        <f t="shared" si="1"/>
        <v>4917.9529737206094</v>
      </c>
      <c r="J16" s="23">
        <f t="shared" si="1"/>
        <v>5942.7656067371954</v>
      </c>
      <c r="K16" s="23">
        <f>AVERAGE(C16:I16)</f>
        <v>6055.1102868649277</v>
      </c>
      <c r="L16" s="13"/>
    </row>
    <row r="17" spans="1:12" x14ac:dyDescent="0.15">
      <c r="A17" s="50" t="s">
        <v>71</v>
      </c>
      <c r="B17" s="11" t="s">
        <v>72</v>
      </c>
      <c r="C17" s="14">
        <v>0</v>
      </c>
      <c r="D17" s="14">
        <v>215200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6">
        <f>SUM(C17:I17)</f>
        <v>215200</v>
      </c>
      <c r="K17" s="16">
        <f>AVERAGE(C17:I17)</f>
        <v>30742.857142857141</v>
      </c>
      <c r="L17" s="13">
        <f>J17/J13</f>
        <v>2.1705335346926802E-2</v>
      </c>
    </row>
    <row r="18" spans="1:12" x14ac:dyDescent="0.15">
      <c r="A18" s="50"/>
      <c r="B18" s="11" t="s">
        <v>73</v>
      </c>
      <c r="C18" s="14">
        <v>3241</v>
      </c>
      <c r="D18" s="14">
        <v>0</v>
      </c>
      <c r="E18" s="14">
        <v>4417</v>
      </c>
      <c r="F18" s="14">
        <v>4025</v>
      </c>
      <c r="G18" s="14">
        <v>4417</v>
      </c>
      <c r="H18" s="14">
        <v>4417</v>
      </c>
      <c r="I18" s="14">
        <v>4825</v>
      </c>
      <c r="J18" s="16">
        <f>SUM(C18:I18)</f>
        <v>25342</v>
      </c>
      <c r="K18" s="16">
        <f>AVERAGE(C18:I18)</f>
        <v>3620.2857142857142</v>
      </c>
      <c r="L18" s="13">
        <f>J18/J13</f>
        <v>2.5560251317928396E-3</v>
      </c>
    </row>
    <row r="19" spans="1:12" x14ac:dyDescent="0.15">
      <c r="A19" s="50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6">
        <f>SUM(C19:I19)</f>
        <v>0</v>
      </c>
      <c r="K19" s="16">
        <f>AVERAGE(C19:I19)</f>
        <v>0</v>
      </c>
      <c r="L19" s="13">
        <f>J19/J13</f>
        <v>0</v>
      </c>
    </row>
    <row r="20" spans="1:12" x14ac:dyDescent="0.15">
      <c r="A20" s="50"/>
      <c r="B20" s="11" t="s">
        <v>75</v>
      </c>
      <c r="C20" s="14">
        <v>4550</v>
      </c>
      <c r="D20" s="14">
        <v>4583</v>
      </c>
      <c r="E20" s="14">
        <v>4766</v>
      </c>
      <c r="F20" s="14">
        <v>4583</v>
      </c>
      <c r="G20" s="14">
        <v>4766</v>
      </c>
      <c r="H20" s="14">
        <v>4766</v>
      </c>
      <c r="I20" s="14">
        <v>4950</v>
      </c>
      <c r="J20" s="16">
        <f>SUM(C20:I20)</f>
        <v>32964</v>
      </c>
      <c r="K20" s="16">
        <f>AVERAGE(C20:I20)</f>
        <v>4709.1428571428569</v>
      </c>
      <c r="L20" s="13">
        <f>J20/J13</f>
        <v>3.3247893790710743E-3</v>
      </c>
    </row>
    <row r="21" spans="1:12" x14ac:dyDescent="0.15">
      <c r="A21" s="50"/>
      <c r="B21" s="11" t="s">
        <v>76</v>
      </c>
      <c r="C21" s="14">
        <v>49238</v>
      </c>
      <c r="D21" s="14">
        <v>31013</v>
      </c>
      <c r="E21" s="14">
        <v>49888</v>
      </c>
      <c r="F21" s="14">
        <v>27811</v>
      </c>
      <c r="G21" s="14">
        <v>36771</v>
      </c>
      <c r="H21" s="14">
        <v>31715</v>
      </c>
      <c r="I21" s="14">
        <v>49900</v>
      </c>
      <c r="J21" s="16">
        <f>SUM(C21:I21)</f>
        <v>276336</v>
      </c>
      <c r="K21" s="16">
        <f>AVERAGE(C21:I21)</f>
        <v>39476.571428571428</v>
      </c>
      <c r="L21" s="13">
        <f>J21/J13</f>
        <v>2.7871587120949653E-2</v>
      </c>
    </row>
    <row r="22" spans="1:12" x14ac:dyDescent="0.15">
      <c r="A22" s="50"/>
      <c r="B22" s="24" t="s">
        <v>77</v>
      </c>
      <c r="C22" s="25">
        <f t="shared" ref="C22:I22" si="2">SUM(C17:C21)</f>
        <v>57029</v>
      </c>
      <c r="D22" s="25">
        <f t="shared" si="2"/>
        <v>250796</v>
      </c>
      <c r="E22" s="25">
        <f t="shared" si="2"/>
        <v>59071</v>
      </c>
      <c r="F22" s="25">
        <f t="shared" si="2"/>
        <v>36419</v>
      </c>
      <c r="G22" s="25">
        <f t="shared" si="2"/>
        <v>45954</v>
      </c>
      <c r="H22" s="25">
        <f t="shared" si="2"/>
        <v>40898</v>
      </c>
      <c r="I22" s="25">
        <f t="shared" si="2"/>
        <v>59675</v>
      </c>
      <c r="J22" s="27">
        <f>SUM(C22:I22)</f>
        <v>549842</v>
      </c>
      <c r="K22" s="27">
        <f>AVERAGE(C22:I22)</f>
        <v>78548.857142857145</v>
      </c>
      <c r="L22" s="28">
        <f>J22/J13</f>
        <v>5.5457736978740367E-2</v>
      </c>
    </row>
    <row r="23" spans="1:12" x14ac:dyDescent="0.15">
      <c r="A23" s="50" t="s">
        <v>78</v>
      </c>
      <c r="B23" s="11" t="s">
        <v>79</v>
      </c>
      <c r="C23" s="14">
        <v>39190</v>
      </c>
      <c r="D23" s="14">
        <v>15000</v>
      </c>
      <c r="E23" s="14">
        <v>227701</v>
      </c>
      <c r="F23" s="14">
        <v>0</v>
      </c>
      <c r="G23" s="14">
        <v>0</v>
      </c>
      <c r="H23" s="14">
        <v>281170</v>
      </c>
      <c r="I23" s="14">
        <v>0</v>
      </c>
      <c r="J23" s="16">
        <f>SUM(C23:I23)</f>
        <v>563061</v>
      </c>
      <c r="K23" s="16">
        <f>AVERAGE(C23:I23)</f>
        <v>80437.28571428571</v>
      </c>
      <c r="L23" s="13">
        <f>J23/J13</f>
        <v>5.6791021495241421E-2</v>
      </c>
    </row>
    <row r="24" spans="1:12" x14ac:dyDescent="0.15">
      <c r="A24" s="50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6">
        <f>SUM(C24:I24)</f>
        <v>0</v>
      </c>
      <c r="K24" s="16">
        <f>AVERAGE(C24:I24)</f>
        <v>0</v>
      </c>
      <c r="L24" s="13">
        <f>J24/J13</f>
        <v>0</v>
      </c>
    </row>
    <row r="25" spans="1:12" x14ac:dyDescent="0.15">
      <c r="A25" s="50"/>
      <c r="B25" s="11" t="s">
        <v>81</v>
      </c>
      <c r="C25" s="14">
        <f t="shared" ref="C25:I25" si="3">30000*C9/70000*C11</f>
        <v>26852.571428571428</v>
      </c>
      <c r="D25" s="14">
        <f t="shared" si="3"/>
        <v>24768</v>
      </c>
      <c r="E25" s="14">
        <f t="shared" si="3"/>
        <v>26365.714285714283</v>
      </c>
      <c r="F25" s="14">
        <f t="shared" si="3"/>
        <v>40680</v>
      </c>
      <c r="G25" s="14">
        <f t="shared" si="3"/>
        <v>30330</v>
      </c>
      <c r="H25" s="14">
        <f t="shared" si="3"/>
        <v>20035.714285714286</v>
      </c>
      <c r="I25" s="14">
        <f t="shared" si="3"/>
        <v>21145.714285714286</v>
      </c>
      <c r="J25" s="16">
        <f>SUM(C25:I25)</f>
        <v>190177.71428571429</v>
      </c>
      <c r="K25" s="16">
        <f>AVERAGE(C25:I25)</f>
        <v>27168.244897959183</v>
      </c>
      <c r="L25" s="13">
        <f>J25/J13</f>
        <v>1.9181556989235415E-2</v>
      </c>
    </row>
    <row r="26" spans="1:12" x14ac:dyDescent="0.15">
      <c r="A26" s="50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6">
        <f>SUM(C26:I26)</f>
        <v>0</v>
      </c>
      <c r="K26" s="16">
        <f>AVERAGE(C26:I26)</f>
        <v>0</v>
      </c>
      <c r="L26" s="13">
        <f>J26/J13</f>
        <v>0</v>
      </c>
    </row>
    <row r="27" spans="1:12" x14ac:dyDescent="0.15">
      <c r="A27" s="50"/>
      <c r="B27" s="24" t="s">
        <v>82</v>
      </c>
      <c r="C27" s="25">
        <f t="shared" ref="C27:I27" si="4">SUM(C23:C26)</f>
        <v>66042.57142857142</v>
      </c>
      <c r="D27" s="25">
        <f t="shared" si="4"/>
        <v>39768</v>
      </c>
      <c r="E27" s="25">
        <f t="shared" si="4"/>
        <v>254066.71428571429</v>
      </c>
      <c r="F27" s="25">
        <f t="shared" si="4"/>
        <v>40680</v>
      </c>
      <c r="G27" s="25">
        <f t="shared" si="4"/>
        <v>30330</v>
      </c>
      <c r="H27" s="25">
        <f t="shared" si="4"/>
        <v>301205.71428571426</v>
      </c>
      <c r="I27" s="25">
        <f t="shared" si="4"/>
        <v>21145.714285714286</v>
      </c>
      <c r="J27" s="27">
        <f>SUM(C27:I27)</f>
        <v>753238.71428571432</v>
      </c>
      <c r="K27" s="27">
        <f>AVERAGE(C27:I27)</f>
        <v>107605.5306122449</v>
      </c>
      <c r="L27" s="28">
        <f>J27/J13</f>
        <v>7.5972578484476833E-2</v>
      </c>
    </row>
    <row r="28" spans="1:12" x14ac:dyDescent="0.15">
      <c r="A28" s="50" t="s">
        <v>83</v>
      </c>
      <c r="B28" s="8" t="s">
        <v>84</v>
      </c>
      <c r="C28" s="29">
        <v>1850</v>
      </c>
      <c r="D28" s="29">
        <v>1584</v>
      </c>
      <c r="E28" s="29">
        <v>1830</v>
      </c>
      <c r="F28" s="29">
        <v>2255</v>
      </c>
      <c r="G28" s="29">
        <v>1663</v>
      </c>
      <c r="H28" s="29">
        <v>1200</v>
      </c>
      <c r="I28" s="29">
        <v>1039</v>
      </c>
      <c r="J28" s="31">
        <f>SUM(C28:I28)</f>
        <v>11421</v>
      </c>
      <c r="K28" s="31">
        <f>AVERAGE(C28:I28)</f>
        <v>1631.5714285714287</v>
      </c>
      <c r="L28" s="10">
        <f>J28/J13</f>
        <v>1.1519360362325791E-3</v>
      </c>
    </row>
    <row r="29" spans="1:12" x14ac:dyDescent="0.15">
      <c r="A29" s="50"/>
      <c r="B29" s="32" t="s">
        <v>85</v>
      </c>
      <c r="C29" s="33">
        <f t="shared" ref="C29:G29" si="5">SUM(C11/C28)</f>
        <v>4.2335135135135138</v>
      </c>
      <c r="D29" s="33">
        <f t="shared" si="5"/>
        <v>4.5606060606060606</v>
      </c>
      <c r="E29" s="33">
        <f t="shared" si="5"/>
        <v>4.2021857923497263</v>
      </c>
      <c r="F29" s="33">
        <f t="shared" si="5"/>
        <v>4.209312638580931</v>
      </c>
      <c r="G29" s="33">
        <f t="shared" si="5"/>
        <v>4.2555622369212269</v>
      </c>
      <c r="H29" s="33">
        <f t="shared" ref="H29:J29" si="6">SUM(H11/H28)</f>
        <v>3.8958333333333335</v>
      </c>
      <c r="I29" s="33">
        <f t="shared" si="6"/>
        <v>4.7487969201154954</v>
      </c>
      <c r="J29" s="35">
        <f t="shared" si="6"/>
        <v>4.2836879432624118</v>
      </c>
      <c r="K29" s="35">
        <f>AVERAGE(C29:I29)</f>
        <v>4.3008300707743272</v>
      </c>
      <c r="L29" s="32">
        <f>J29/J13</f>
        <v>4.3205800803948793E-7</v>
      </c>
    </row>
    <row r="30" spans="1:12" x14ac:dyDescent="0.15">
      <c r="A30" s="50"/>
      <c r="B30" s="11" t="s">
        <v>86</v>
      </c>
      <c r="C30" s="14">
        <v>211400</v>
      </c>
      <c r="D30" s="14">
        <v>181004</v>
      </c>
      <c r="E30" s="14">
        <v>209114</v>
      </c>
      <c r="F30" s="14">
        <v>257679</v>
      </c>
      <c r="G30" s="14">
        <v>190031</v>
      </c>
      <c r="H30" s="14">
        <v>137124</v>
      </c>
      <c r="I30" s="14">
        <v>118727</v>
      </c>
      <c r="J30" s="16">
        <f>SUM(C30:I30)</f>
        <v>1305079</v>
      </c>
      <c r="K30" s="16">
        <f>AVERAGE(C30:I30)</f>
        <v>186439.85714285713</v>
      </c>
      <c r="L30" s="13">
        <f>J30/J13</f>
        <v>0.13163186500572438</v>
      </c>
    </row>
    <row r="31" spans="1:12" x14ac:dyDescent="0.15">
      <c r="A31" s="50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9585</v>
      </c>
      <c r="I31" s="14">
        <v>0</v>
      </c>
      <c r="J31" s="16">
        <f>SUM(C31:I31)</f>
        <v>9585</v>
      </c>
      <c r="K31" s="16">
        <f>AVERAGE(C31:I31)</f>
        <v>1369.2857142857142</v>
      </c>
      <c r="L31" s="13">
        <f>J31/J13</f>
        <v>9.6675482946232999E-4</v>
      </c>
    </row>
    <row r="32" spans="1:12" x14ac:dyDescent="0.15">
      <c r="A32" s="50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6">
        <f>SUM(C32:I32)</f>
        <v>0</v>
      </c>
      <c r="K32" s="16">
        <f>AVERAGE(C32:I32)</f>
        <v>0</v>
      </c>
      <c r="L32" s="13">
        <f>J32/J13</f>
        <v>0</v>
      </c>
    </row>
    <row r="33" spans="1:12" x14ac:dyDescent="0.15">
      <c r="A33" s="50"/>
      <c r="B33" s="24" t="s">
        <v>89</v>
      </c>
      <c r="C33" s="25">
        <f t="shared" ref="C33:I33" si="7">SUM(C30:C32)</f>
        <v>211400</v>
      </c>
      <c r="D33" s="25">
        <f t="shared" si="7"/>
        <v>181004</v>
      </c>
      <c r="E33" s="25">
        <f t="shared" si="7"/>
        <v>209114</v>
      </c>
      <c r="F33" s="25">
        <f t="shared" si="7"/>
        <v>257679</v>
      </c>
      <c r="G33" s="25">
        <f t="shared" si="7"/>
        <v>190031</v>
      </c>
      <c r="H33" s="25">
        <f t="shared" si="7"/>
        <v>146709</v>
      </c>
      <c r="I33" s="25">
        <f t="shared" si="7"/>
        <v>118727</v>
      </c>
      <c r="J33" s="27">
        <f>SUM(C33:I33)</f>
        <v>1314664</v>
      </c>
      <c r="K33" s="27">
        <f>AVERAGE(C33:I33)</f>
        <v>187809.14285714287</v>
      </c>
      <c r="L33" s="28">
        <f>J33/J13</f>
        <v>0.1325986198351867</v>
      </c>
    </row>
    <row r="34" spans="1:12" x14ac:dyDescent="0.15">
      <c r="A34" s="50" t="s">
        <v>90</v>
      </c>
      <c r="B34" s="11" t="s">
        <v>91</v>
      </c>
      <c r="C34" s="14">
        <v>2008</v>
      </c>
      <c r="D34" s="14">
        <v>2008</v>
      </c>
      <c r="E34" s="14">
        <v>2008</v>
      </c>
      <c r="F34" s="14">
        <v>2008</v>
      </c>
      <c r="G34" s="14">
        <v>2365</v>
      </c>
      <c r="H34" s="14">
        <v>2365</v>
      </c>
      <c r="I34" s="14">
        <v>2625</v>
      </c>
      <c r="J34" s="16">
        <f>SUM(C34:I34)</f>
        <v>15387</v>
      </c>
      <c r="K34" s="16">
        <f>AVERAGE(C34:I34)</f>
        <v>2198.1428571428573</v>
      </c>
      <c r="L34" s="13">
        <f>J34/J13</f>
        <v>1.5519516495500127E-3</v>
      </c>
    </row>
    <row r="35" spans="1:12" x14ac:dyDescent="0.15">
      <c r="A35" s="50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6">
        <f>SUM(C35:I35)</f>
        <v>0</v>
      </c>
      <c r="K35" s="16">
        <f>AVERAGE(C35:I35)</f>
        <v>0</v>
      </c>
      <c r="L35" s="13">
        <f>J35/J13</f>
        <v>0</v>
      </c>
    </row>
    <row r="36" spans="1:12" x14ac:dyDescent="0.15">
      <c r="A36" s="50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6">
        <f>SUM(C36:I36)</f>
        <v>0</v>
      </c>
      <c r="K36" s="16">
        <f>AVERAGE(C36:I36)</f>
        <v>0</v>
      </c>
      <c r="L36" s="13">
        <f>J36/J13</f>
        <v>0</v>
      </c>
    </row>
    <row r="37" spans="1:12" x14ac:dyDescent="0.15">
      <c r="A37" s="50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6">
        <f>SUM(C37:I37)</f>
        <v>0</v>
      </c>
      <c r="K37" s="16">
        <f>AVERAGE(C37:I37)</f>
        <v>0</v>
      </c>
      <c r="L37" s="13">
        <f>J37/J13</f>
        <v>0</v>
      </c>
    </row>
    <row r="38" spans="1:12" x14ac:dyDescent="0.15">
      <c r="A38" s="50"/>
      <c r="B38" s="11" t="s">
        <v>92</v>
      </c>
      <c r="C38" s="14">
        <v>5366</v>
      </c>
      <c r="D38" s="14">
        <v>10370</v>
      </c>
      <c r="E38" s="14">
        <v>5366</v>
      </c>
      <c r="F38" s="14">
        <v>5366</v>
      </c>
      <c r="G38" s="14">
        <v>4621</v>
      </c>
      <c r="H38" s="14">
        <v>4621</v>
      </c>
      <c r="I38" s="14">
        <v>4621</v>
      </c>
      <c r="J38" s="16">
        <f>SUM(C38:I38)</f>
        <v>40331</v>
      </c>
      <c r="K38" s="16">
        <f>AVERAGE(C38:I38)</f>
        <v>5761.5714285714284</v>
      </c>
      <c r="L38" s="13">
        <f>J38/J13</f>
        <v>4.0678340142978851E-3</v>
      </c>
    </row>
    <row r="39" spans="1:12" x14ac:dyDescent="0.15">
      <c r="A39" s="50"/>
      <c r="B39" s="24" t="s">
        <v>93</v>
      </c>
      <c r="C39" s="25">
        <f t="shared" ref="C39:I39" si="8">SUM(C34:C38)</f>
        <v>7374</v>
      </c>
      <c r="D39" s="25">
        <f t="shared" si="8"/>
        <v>12378</v>
      </c>
      <c r="E39" s="25">
        <f t="shared" si="8"/>
        <v>7374</v>
      </c>
      <c r="F39" s="25">
        <f t="shared" si="8"/>
        <v>7374</v>
      </c>
      <c r="G39" s="25">
        <f t="shared" si="8"/>
        <v>6986</v>
      </c>
      <c r="H39" s="25">
        <f t="shared" si="8"/>
        <v>6986</v>
      </c>
      <c r="I39" s="25">
        <f t="shared" si="8"/>
        <v>7246</v>
      </c>
      <c r="J39" s="27">
        <f>SUM(C39:I39)</f>
        <v>55718</v>
      </c>
      <c r="K39" s="27">
        <f>AVERAGE(C39:I39)</f>
        <v>7959.7142857142853</v>
      </c>
      <c r="L39" s="28">
        <f>J39/J13</f>
        <v>5.6197856638478981E-3</v>
      </c>
    </row>
    <row r="40" spans="1:12" x14ac:dyDescent="0.15">
      <c r="A40" s="50" t="s">
        <v>94</v>
      </c>
      <c r="B40" s="11" t="s">
        <v>95</v>
      </c>
      <c r="C40" s="14">
        <v>140900</v>
      </c>
      <c r="D40" s="14">
        <v>131810</v>
      </c>
      <c r="E40" s="14">
        <v>240470</v>
      </c>
      <c r="F40" s="14">
        <v>197470</v>
      </c>
      <c r="G40" s="14">
        <v>115450</v>
      </c>
      <c r="H40" s="14">
        <v>81550</v>
      </c>
      <c r="I40" s="14">
        <v>27310</v>
      </c>
      <c r="J40" s="16">
        <f>SUM(C40:I40)</f>
        <v>934960</v>
      </c>
      <c r="K40" s="16">
        <f>AVERAGE(C40:I40)</f>
        <v>133565.71428571429</v>
      </c>
      <c r="L40" s="13">
        <f>J40/J13</f>
        <v>9.4301209739603556E-2</v>
      </c>
    </row>
    <row r="41" spans="1:12" x14ac:dyDescent="0.15">
      <c r="A41" s="50"/>
      <c r="B41" s="11" t="s">
        <v>96</v>
      </c>
      <c r="C41" s="14">
        <v>-138870</v>
      </c>
      <c r="D41" s="14">
        <v>-131810</v>
      </c>
      <c r="E41" s="14">
        <v>-131704</v>
      </c>
      <c r="F41" s="14">
        <v>-37832</v>
      </c>
      <c r="G41" s="14">
        <v>0</v>
      </c>
      <c r="H41" s="14">
        <v>0</v>
      </c>
      <c r="I41" s="14">
        <v>0</v>
      </c>
      <c r="J41" s="16">
        <f>SUM(C41:I41)</f>
        <v>-440216</v>
      </c>
      <c r="K41" s="16">
        <f>AVERAGE(C41:I41)</f>
        <v>-62888</v>
      </c>
      <c r="L41" s="13">
        <f>J41/J13</f>
        <v>-4.4400724465997812E-2</v>
      </c>
    </row>
    <row r="42" spans="1:12" x14ac:dyDescent="0.15">
      <c r="A42" s="50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6">
        <f>SUM(C42:I42)</f>
        <v>0</v>
      </c>
      <c r="K42" s="16">
        <f>AVERAGE(C42:I42)</f>
        <v>0</v>
      </c>
      <c r="L42" s="13">
        <f>J42/J13</f>
        <v>0</v>
      </c>
    </row>
    <row r="43" spans="1:12" x14ac:dyDescent="0.15">
      <c r="A43" s="50"/>
      <c r="B43" s="11" t="s">
        <v>98</v>
      </c>
      <c r="C43" s="14">
        <v>-46497</v>
      </c>
      <c r="D43" s="14">
        <v>-43497.3</v>
      </c>
      <c r="E43" s="14">
        <v>-79355.100000000006</v>
      </c>
      <c r="F43" s="14">
        <v>-65165.1</v>
      </c>
      <c r="G43" s="14">
        <v>-38098.5</v>
      </c>
      <c r="H43" s="14">
        <v>-26911.5</v>
      </c>
      <c r="I43" s="14">
        <v>-9012.2999999999993</v>
      </c>
      <c r="J43" s="16">
        <f>SUM(C43:I43)</f>
        <v>-308536.8</v>
      </c>
      <c r="K43" s="16">
        <f>AVERAGE(B43:I43)</f>
        <v>-44076.685714285712</v>
      </c>
      <c r="L43" s="13">
        <f>J43/J13</f>
        <v>-3.1119399214069171E-2</v>
      </c>
    </row>
    <row r="44" spans="1:12" x14ac:dyDescent="0.15">
      <c r="A44" s="50"/>
      <c r="B44" s="24" t="s">
        <v>99</v>
      </c>
      <c r="C44" s="25">
        <f t="shared" ref="C44:J44" si="9">SUM(C40:C43)</f>
        <v>-44467</v>
      </c>
      <c r="D44" s="25">
        <f t="shared" si="9"/>
        <v>-43497.3</v>
      </c>
      <c r="E44" s="25">
        <f t="shared" si="9"/>
        <v>29410.899999999994</v>
      </c>
      <c r="F44" s="25">
        <f t="shared" si="9"/>
        <v>94472.9</v>
      </c>
      <c r="G44" s="25">
        <f t="shared" si="9"/>
        <v>77351.5</v>
      </c>
      <c r="H44" s="25">
        <f t="shared" si="9"/>
        <v>54638.5</v>
      </c>
      <c r="I44" s="25">
        <f t="shared" si="9"/>
        <v>18297.7</v>
      </c>
      <c r="J44" s="27">
        <f t="shared" si="9"/>
        <v>186207.2</v>
      </c>
      <c r="K44" s="27">
        <f>AVERAGE(B44:I44)</f>
        <v>26601.028571428575</v>
      </c>
      <c r="L44" s="28">
        <f>J44/J13</f>
        <v>1.8781086059536566E-2</v>
      </c>
    </row>
    <row r="45" spans="1:12" x14ac:dyDescent="0.15">
      <c r="A45" s="50" t="s">
        <v>100</v>
      </c>
      <c r="B45" s="11" t="s">
        <v>101</v>
      </c>
      <c r="C45" s="14">
        <v>340145</v>
      </c>
      <c r="D45" s="14">
        <v>340145</v>
      </c>
      <c r="E45" s="14">
        <v>325972</v>
      </c>
      <c r="F45" s="14">
        <v>368490</v>
      </c>
      <c r="G45" s="14">
        <v>354319</v>
      </c>
      <c r="H45" s="14">
        <v>255109</v>
      </c>
      <c r="I45" s="14">
        <v>340144</v>
      </c>
      <c r="J45" s="16">
        <f>SUM(C45:I45)</f>
        <v>2324324</v>
      </c>
      <c r="K45" s="16">
        <f>AVERAGE(C45:I45)</f>
        <v>332046.28571428574</v>
      </c>
      <c r="L45" s="13">
        <f>J45/J13</f>
        <v>0.23443416298750139</v>
      </c>
    </row>
    <row r="46" spans="1:12" x14ac:dyDescent="0.15">
      <c r="A46" s="50"/>
      <c r="B46" s="11" t="s">
        <v>102</v>
      </c>
      <c r="C46" s="14">
        <v>20024</v>
      </c>
      <c r="D46" s="14">
        <v>20023</v>
      </c>
      <c r="E46" s="14">
        <v>19189</v>
      </c>
      <c r="F46" s="14">
        <v>21692</v>
      </c>
      <c r="G46" s="14">
        <v>20864</v>
      </c>
      <c r="H46" s="14">
        <v>15018</v>
      </c>
      <c r="I46" s="14">
        <v>20024</v>
      </c>
      <c r="J46" s="16">
        <f>SUM(C46:I46)</f>
        <v>136834</v>
      </c>
      <c r="K46" s="16">
        <f>AVERAGE(C46:I46)</f>
        <v>19547.714285714286</v>
      </c>
      <c r="L46" s="13">
        <f>J46/J13</f>
        <v>1.3801244688017576E-2</v>
      </c>
    </row>
    <row r="47" spans="1:12" x14ac:dyDescent="0.15">
      <c r="A47" s="50"/>
      <c r="B47" s="11" t="s">
        <v>103</v>
      </c>
      <c r="C47" s="14">
        <v>56720</v>
      </c>
      <c r="D47" s="14">
        <v>56719</v>
      </c>
      <c r="E47" s="14">
        <v>54356</v>
      </c>
      <c r="F47" s="14">
        <v>61446</v>
      </c>
      <c r="G47" s="14">
        <v>59084</v>
      </c>
      <c r="H47" s="14">
        <v>42540</v>
      </c>
      <c r="I47" s="14">
        <v>56720</v>
      </c>
      <c r="J47" s="16">
        <f>SUM(C47:I47)</f>
        <v>387585</v>
      </c>
      <c r="K47" s="16">
        <f>AVERAGE(C47:I47)</f>
        <v>55369.285714285717</v>
      </c>
      <c r="L47" s="13">
        <f>J47/J13</f>
        <v>3.9092297399807741E-2</v>
      </c>
    </row>
    <row r="48" spans="1:12" x14ac:dyDescent="0.15">
      <c r="A48" s="50"/>
      <c r="B48" s="11" t="s">
        <v>104</v>
      </c>
      <c r="C48" s="14">
        <v>3440</v>
      </c>
      <c r="D48" s="14">
        <v>3440</v>
      </c>
      <c r="E48" s="14">
        <v>3297</v>
      </c>
      <c r="F48" s="14">
        <v>3727</v>
      </c>
      <c r="G48" s="14">
        <v>3585</v>
      </c>
      <c r="H48" s="14">
        <v>2580</v>
      </c>
      <c r="I48" s="14">
        <v>3440</v>
      </c>
      <c r="J48" s="16">
        <f>SUM(C48:I48)</f>
        <v>23509</v>
      </c>
      <c r="K48" s="16">
        <f>AVERAGE(C48:I48)</f>
        <v>3358.4285714285716</v>
      </c>
      <c r="L48" s="13">
        <f>J48/J13</f>
        <v>2.3711465086937835E-3</v>
      </c>
    </row>
    <row r="49" spans="1:12" x14ac:dyDescent="0.15">
      <c r="A49" s="50"/>
      <c r="B49" s="24" t="s">
        <v>105</v>
      </c>
      <c r="C49" s="25">
        <f t="shared" ref="C49:I49" si="10">SUM(C45:C48)</f>
        <v>420329</v>
      </c>
      <c r="D49" s="25">
        <f t="shared" si="10"/>
        <v>420327</v>
      </c>
      <c r="E49" s="25">
        <f t="shared" si="10"/>
        <v>402814</v>
      </c>
      <c r="F49" s="25">
        <f t="shared" si="10"/>
        <v>455355</v>
      </c>
      <c r="G49" s="25">
        <f t="shared" si="10"/>
        <v>437852</v>
      </c>
      <c r="H49" s="25">
        <f t="shared" si="10"/>
        <v>315247</v>
      </c>
      <c r="I49" s="25">
        <f t="shared" si="10"/>
        <v>420328</v>
      </c>
      <c r="J49" s="27">
        <f>SUM(C49:I49)</f>
        <v>2872252</v>
      </c>
      <c r="K49" s="27">
        <f>AVERAGE(C49:I49)</f>
        <v>410321.71428571426</v>
      </c>
      <c r="L49" s="28">
        <f>J49/J13</f>
        <v>0.28969885158402048</v>
      </c>
    </row>
    <row r="50" spans="1:12" x14ac:dyDescent="0.15">
      <c r="A50" s="50" t="s">
        <v>106</v>
      </c>
      <c r="B50" s="11" t="s">
        <v>107</v>
      </c>
      <c r="C50" s="14">
        <v>21428.571428571428</v>
      </c>
      <c r="D50" s="14">
        <v>21428.571428571428</v>
      </c>
      <c r="E50" s="14">
        <v>21428.571428571428</v>
      </c>
      <c r="F50" s="14">
        <v>21428.571428571428</v>
      </c>
      <c r="G50" s="14">
        <v>21428.571428571428</v>
      </c>
      <c r="H50" s="14">
        <v>21428.571428571428</v>
      </c>
      <c r="I50" s="14">
        <v>21428.571428571428</v>
      </c>
      <c r="J50" s="16">
        <f>SUM(C50:I50)</f>
        <v>149999.99999999997</v>
      </c>
      <c r="K50" s="16">
        <f>AVERAGE(C50:I50)</f>
        <v>21428.571428571424</v>
      </c>
      <c r="L50" s="13">
        <f>J50/J13</f>
        <v>1.5129183559660874E-2</v>
      </c>
    </row>
    <row r="51" spans="1:12" x14ac:dyDescent="0.15">
      <c r="A51" s="50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6">
        <f>SUM(C51:I51)</f>
        <v>0</v>
      </c>
      <c r="K51" s="16">
        <f>AVERAGE(C51:I51)</f>
        <v>0</v>
      </c>
      <c r="L51" s="13">
        <f>J51/J13</f>
        <v>0</v>
      </c>
    </row>
    <row r="52" spans="1:12" x14ac:dyDescent="0.15">
      <c r="A52" s="50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6">
        <f>SUM(C52:I52)</f>
        <v>0</v>
      </c>
      <c r="K52" s="16">
        <f>AVERAGE(C52:I52)</f>
        <v>0</v>
      </c>
      <c r="L52" s="13">
        <f>J52/J13</f>
        <v>0</v>
      </c>
    </row>
    <row r="53" spans="1:12" x14ac:dyDescent="0.15">
      <c r="A53" s="50"/>
      <c r="B53" s="11" t="s">
        <v>110</v>
      </c>
      <c r="C53" s="14">
        <v>63673</v>
      </c>
      <c r="D53" s="14">
        <v>63673</v>
      </c>
      <c r="E53" s="14">
        <v>63673</v>
      </c>
      <c r="F53" s="14">
        <v>63673</v>
      </c>
      <c r="G53" s="14">
        <v>63673</v>
      </c>
      <c r="H53" s="14">
        <v>63673</v>
      </c>
      <c r="I53" s="14">
        <v>63673</v>
      </c>
      <c r="J53" s="16">
        <f>SUM(C53:I53)</f>
        <v>445711</v>
      </c>
      <c r="K53" s="16">
        <f>AVERAGE(C53:I53)</f>
        <v>63673</v>
      </c>
      <c r="L53" s="13">
        <f>J53/J13</f>
        <v>4.4954956890400057E-2</v>
      </c>
    </row>
    <row r="54" spans="1:12" x14ac:dyDescent="0.15">
      <c r="A54" s="50"/>
      <c r="B54" s="11" t="s">
        <v>111</v>
      </c>
      <c r="C54" s="14">
        <v>54692.714285714283</v>
      </c>
      <c r="D54" s="14">
        <v>54692.714285714283</v>
      </c>
      <c r="E54" s="14">
        <v>54692.714285714283</v>
      </c>
      <c r="F54" s="14">
        <v>54692.714285714283</v>
      </c>
      <c r="G54" s="14">
        <v>54692.714285714283</v>
      </c>
      <c r="H54" s="14">
        <v>54692.714285714283</v>
      </c>
      <c r="I54" s="14">
        <v>54692.714285714283</v>
      </c>
      <c r="J54" s="16">
        <f>SUM(C54:I54)</f>
        <v>382848.99999999994</v>
      </c>
      <c r="K54" s="16">
        <f>AVERAGE(C54:I54)</f>
        <v>54692.714285714275</v>
      </c>
      <c r="L54" s="13">
        <f>J54/J13</f>
        <v>3.861461864421737E-2</v>
      </c>
    </row>
    <row r="55" spans="1:12" x14ac:dyDescent="0.15">
      <c r="A55" s="50"/>
      <c r="B55" s="24" t="s">
        <v>112</v>
      </c>
      <c r="C55" s="25">
        <f t="shared" ref="C55:I55" si="11">SUM(C50:C54)</f>
        <v>139794.28571428571</v>
      </c>
      <c r="D55" s="25">
        <f t="shared" si="11"/>
        <v>139794.28571428571</v>
      </c>
      <c r="E55" s="25">
        <f t="shared" si="11"/>
        <v>139794.28571428571</v>
      </c>
      <c r="F55" s="25">
        <f t="shared" si="11"/>
        <v>139794.28571428571</v>
      </c>
      <c r="G55" s="25">
        <f t="shared" si="11"/>
        <v>139794.28571428571</v>
      </c>
      <c r="H55" s="25">
        <f t="shared" si="11"/>
        <v>139794.28571428571</v>
      </c>
      <c r="I55" s="25">
        <f t="shared" si="11"/>
        <v>139794.28571428571</v>
      </c>
      <c r="J55" s="27">
        <f>SUM(C55:I55)</f>
        <v>978559.99999999988</v>
      </c>
      <c r="K55" s="27">
        <f>AVERAGE(C55:I55)</f>
        <v>139794.28571428571</v>
      </c>
      <c r="L55" s="28">
        <f>J55/J13</f>
        <v>9.8698759094278304E-2</v>
      </c>
    </row>
    <row r="56" spans="1:12" x14ac:dyDescent="0.15">
      <c r="A56" s="49" t="s">
        <v>113</v>
      </c>
      <c r="B56" s="49"/>
      <c r="C56" s="14">
        <f t="shared" ref="C56:I56" si="12">SUM(C49+C22+C27+C33+C39+C44+C55)</f>
        <v>857501.85714285704</v>
      </c>
      <c r="D56" s="14">
        <f t="shared" si="12"/>
        <v>1000569.9857142856</v>
      </c>
      <c r="E56" s="14">
        <f t="shared" si="12"/>
        <v>1101644.9000000001</v>
      </c>
      <c r="F56" s="14">
        <f t="shared" si="12"/>
        <v>1031774.1857142857</v>
      </c>
      <c r="G56" s="14">
        <f t="shared" si="12"/>
        <v>928298.78571428568</v>
      </c>
      <c r="H56" s="14">
        <f t="shared" si="12"/>
        <v>1005478.5</v>
      </c>
      <c r="I56" s="14">
        <f t="shared" si="12"/>
        <v>785213.7</v>
      </c>
      <c r="J56" s="16">
        <f>SUM(C56:I56)</f>
        <v>6710481.9142857147</v>
      </c>
      <c r="K56" s="16">
        <f>AVERAGE(C56:I56)</f>
        <v>958640.27346938779</v>
      </c>
      <c r="L56" s="13">
        <f>J56/J13</f>
        <v>0.67682741770008725</v>
      </c>
    </row>
    <row r="57" spans="1:12" x14ac:dyDescent="0.15">
      <c r="A57" s="49" t="s">
        <v>114</v>
      </c>
      <c r="B57" s="49"/>
      <c r="C57" s="14">
        <f t="shared" ref="C57:I57" si="13">SUM(C13+C14-C56)</f>
        <v>960980.14285714296</v>
      </c>
      <c r="D57" s="14">
        <f t="shared" si="13"/>
        <v>784828.01428571437</v>
      </c>
      <c r="E57" s="14">
        <f t="shared" si="13"/>
        <v>147583.09999999986</v>
      </c>
      <c r="F57" s="14">
        <f t="shared" si="13"/>
        <v>209805.8142857143</v>
      </c>
      <c r="G57" s="14">
        <f t="shared" si="13"/>
        <v>667076.21428571432</v>
      </c>
      <c r="H57" s="14">
        <f t="shared" si="13"/>
        <v>156907.5</v>
      </c>
      <c r="I57" s="14">
        <f t="shared" si="13"/>
        <v>281490.30000000005</v>
      </c>
      <c r="J57" s="16">
        <f>SUM(C57:I57)</f>
        <v>3208671.0857142853</v>
      </c>
      <c r="K57" s="16">
        <f>AVERAGE(C57:I57)</f>
        <v>458381.58367346931</v>
      </c>
      <c r="L57" s="13">
        <f>J57/J13</f>
        <v>0.32363049225565188</v>
      </c>
    </row>
    <row r="58" spans="1:12" x14ac:dyDescent="0.15">
      <c r="A58" s="49" t="s">
        <v>115</v>
      </c>
      <c r="B58" s="49"/>
      <c r="C58" s="14">
        <v>107211.78571428571</v>
      </c>
      <c r="D58" s="14">
        <v>107211.78571428571</v>
      </c>
      <c r="E58" s="14">
        <v>107211.78571428571</v>
      </c>
      <c r="F58" s="14">
        <v>107211.78571428571</v>
      </c>
      <c r="G58" s="14">
        <v>107211.78571428571</v>
      </c>
      <c r="H58" s="14">
        <v>107211.78571428571</v>
      </c>
      <c r="I58" s="14">
        <v>107211.78571428571</v>
      </c>
      <c r="J58" s="16">
        <f>SUM(C58:I58)</f>
        <v>750482.49999999988</v>
      </c>
      <c r="K58" s="16">
        <f>AVERAGE(C58:I58)</f>
        <v>107211.7857142857</v>
      </c>
      <c r="L58" s="13">
        <f>J58/J13</f>
        <v>7.5694583338754617E-2</v>
      </c>
    </row>
    <row r="59" spans="1:12" x14ac:dyDescent="0.15">
      <c r="A59" s="49" t="s">
        <v>116</v>
      </c>
      <c r="B59" s="49"/>
      <c r="C59" s="14">
        <v>28207.523809523809</v>
      </c>
      <c r="D59" s="14">
        <v>28207.523809523809</v>
      </c>
      <c r="E59" s="14">
        <v>28207.523809523809</v>
      </c>
      <c r="F59" s="14">
        <v>28207.523809523809</v>
      </c>
      <c r="G59" s="14">
        <v>28207.523809523809</v>
      </c>
      <c r="H59" s="14">
        <v>28207.523809523809</v>
      </c>
      <c r="I59" s="14">
        <v>28207.523809523809</v>
      </c>
      <c r="J59" s="16">
        <f>SUM(C59:I59)</f>
        <v>197452.66666666669</v>
      </c>
      <c r="K59" s="16">
        <f>AVERAGE(C59:I59)</f>
        <v>28207.523809523813</v>
      </c>
      <c r="L59" s="13">
        <f>J59/J13</f>
        <v>1.9915317588963553E-2</v>
      </c>
    </row>
    <row r="60" spans="1:12" x14ac:dyDescent="0.15">
      <c r="A60" s="49" t="s">
        <v>117</v>
      </c>
      <c r="B60" s="49"/>
      <c r="C60" s="14">
        <f t="shared" ref="C60:I60" si="14">SUM(C57-(C58+C59))</f>
        <v>825560.83333333349</v>
      </c>
      <c r="D60" s="14">
        <f t="shared" si="14"/>
        <v>649408.7047619049</v>
      </c>
      <c r="E60" s="14">
        <f t="shared" si="14"/>
        <v>12163.790476190334</v>
      </c>
      <c r="F60" s="14">
        <f t="shared" si="14"/>
        <v>74386.504761904769</v>
      </c>
      <c r="G60" s="14">
        <f t="shared" si="14"/>
        <v>531656.90476190485</v>
      </c>
      <c r="H60" s="14">
        <f t="shared" si="14"/>
        <v>21488.190476190473</v>
      </c>
      <c r="I60" s="14">
        <f t="shared" si="14"/>
        <v>146070.99047619052</v>
      </c>
      <c r="J60" s="16">
        <f>SUM(C60:I60)</f>
        <v>2260735.9190476192</v>
      </c>
      <c r="K60" s="16">
        <f>AVERAGE(C60:I60)</f>
        <v>322962.2741496599</v>
      </c>
      <c r="L60" s="13">
        <f>J60/J13</f>
        <v>0.22802059132793376</v>
      </c>
    </row>
    <row r="61" spans="1:12" x14ac:dyDescent="0.15">
      <c r="A61" s="11"/>
      <c r="B61" s="36" t="s">
        <v>46</v>
      </c>
      <c r="C61" s="11"/>
      <c r="D61" s="11"/>
      <c r="E61" s="11"/>
      <c r="F61" s="11"/>
      <c r="G61" s="11"/>
      <c r="H61" s="11"/>
      <c r="I61" s="11"/>
    </row>
    <row r="62" spans="1:12" x14ac:dyDescent="0.15">
      <c r="A62" s="12"/>
      <c r="B62" s="37"/>
      <c r="C62" s="11"/>
      <c r="D62" s="11"/>
      <c r="E62" s="11"/>
      <c r="F62" s="11"/>
      <c r="G62" s="11"/>
      <c r="H62" s="11"/>
      <c r="I62" s="11"/>
    </row>
    <row r="63" spans="1:12" x14ac:dyDescent="0.15">
      <c r="A63" s="12"/>
      <c r="B63" s="39" t="s">
        <v>124</v>
      </c>
      <c r="C63" s="11"/>
      <c r="D63" s="11"/>
      <c r="E63" s="11"/>
      <c r="F63" s="11"/>
      <c r="G63" s="11"/>
      <c r="H63" s="11"/>
      <c r="I63" s="11"/>
    </row>
    <row r="64" spans="1:12" x14ac:dyDescent="0.15">
      <c r="A64" s="12"/>
      <c r="B64" s="40" t="s">
        <v>125</v>
      </c>
      <c r="C64" s="11"/>
      <c r="D64" s="11"/>
      <c r="E64" s="11"/>
      <c r="F64" s="11"/>
      <c r="G64" s="11"/>
      <c r="H64" s="11"/>
      <c r="I64" s="11"/>
    </row>
    <row r="65" spans="1:9" x14ac:dyDescent="0.15">
      <c r="A65" s="12"/>
      <c r="B65" s="40" t="s">
        <v>41</v>
      </c>
      <c r="C65" s="11"/>
      <c r="D65" s="11"/>
      <c r="E65" s="11"/>
      <c r="F65" s="11"/>
      <c r="G65" s="11"/>
      <c r="H65" s="11"/>
      <c r="I65" s="11"/>
    </row>
    <row r="66" spans="1:9" x14ac:dyDescent="0.15">
      <c r="A66" s="11"/>
      <c r="B66" s="41" t="s">
        <v>47</v>
      </c>
      <c r="C66" s="11"/>
      <c r="D66" s="11"/>
      <c r="E66" s="11"/>
      <c r="F66" s="11"/>
      <c r="G66" s="11"/>
      <c r="H66" s="11"/>
      <c r="I66" s="11"/>
    </row>
    <row r="67" spans="1:9" x14ac:dyDescent="0.15">
      <c r="A67" s="11"/>
      <c r="B67" s="37"/>
      <c r="C67" s="11"/>
      <c r="D67" s="11"/>
      <c r="E67" s="11"/>
      <c r="F67" s="11"/>
      <c r="G67" s="11"/>
      <c r="H67" s="11"/>
      <c r="I67" s="11"/>
    </row>
    <row r="68" spans="1:9" x14ac:dyDescent="0.15">
      <c r="A68" s="11"/>
      <c r="B68" s="39" t="s">
        <v>124</v>
      </c>
      <c r="C68" s="11"/>
      <c r="D68" s="11"/>
      <c r="E68" s="11"/>
      <c r="F68" s="11"/>
      <c r="G68" s="11"/>
      <c r="H68" s="11"/>
      <c r="I68" s="11"/>
    </row>
    <row r="69" spans="1:9" x14ac:dyDescent="0.15">
      <c r="A69" s="11"/>
      <c r="B69" s="40" t="s">
        <v>125</v>
      </c>
      <c r="C69" s="11"/>
      <c r="D69" s="11"/>
      <c r="E69" s="11"/>
      <c r="F69" s="11"/>
      <c r="G69" s="11"/>
      <c r="H69" s="11"/>
      <c r="I69" s="11"/>
    </row>
    <row r="70" spans="1:9" x14ac:dyDescent="0.15">
      <c r="A70" s="11"/>
      <c r="B70" s="40" t="s">
        <v>41</v>
      </c>
      <c r="C70" s="11"/>
      <c r="D70" s="11"/>
      <c r="E70" s="11"/>
      <c r="F70" s="11"/>
      <c r="G70" s="11"/>
      <c r="H70" s="11"/>
      <c r="I70" s="11"/>
    </row>
    <row r="71" spans="1:9" x14ac:dyDescent="0.15">
      <c r="A71" s="11"/>
      <c r="B71" s="11" t="s">
        <v>129</v>
      </c>
      <c r="C71" s="11"/>
      <c r="D71" s="11"/>
      <c r="E71" s="11"/>
      <c r="F71" s="11"/>
      <c r="G71" s="11"/>
      <c r="H71" s="11"/>
      <c r="I71" s="11"/>
    </row>
    <row r="72" spans="1:9" x14ac:dyDescent="0.15">
      <c r="A72" s="11"/>
      <c r="B72" s="37"/>
      <c r="C72" s="11"/>
      <c r="D72" s="11"/>
      <c r="E72" s="11"/>
      <c r="F72" s="11"/>
      <c r="G72" s="11"/>
      <c r="H72" s="11"/>
      <c r="I72" s="11"/>
    </row>
    <row r="73" spans="1:9" x14ac:dyDescent="0.15">
      <c r="A73" s="11"/>
      <c r="B73" s="39" t="s">
        <v>124</v>
      </c>
      <c r="C73" s="11"/>
      <c r="D73" s="11"/>
      <c r="E73" s="11"/>
      <c r="F73" s="11"/>
      <c r="G73" s="11"/>
      <c r="H73" s="11"/>
      <c r="I73" s="11"/>
    </row>
    <row r="74" spans="1:9" x14ac:dyDescent="0.15">
      <c r="A74" s="11"/>
      <c r="B74" s="40" t="s">
        <v>125</v>
      </c>
      <c r="C74" s="11"/>
      <c r="D74" s="11"/>
      <c r="E74" s="11"/>
      <c r="F74" s="11"/>
      <c r="G74" s="11"/>
      <c r="H74" s="11"/>
      <c r="I74" s="11"/>
    </row>
    <row r="75" spans="1:9" x14ac:dyDescent="0.15">
      <c r="A75" s="11"/>
      <c r="B75" s="40" t="s">
        <v>41</v>
      </c>
      <c r="C75" s="11"/>
      <c r="D75" s="11"/>
      <c r="E75" s="11"/>
      <c r="F75" s="11"/>
      <c r="G75" s="11"/>
      <c r="H75" s="11"/>
      <c r="I75" s="11"/>
    </row>
    <row r="76" spans="1:9" x14ac:dyDescent="0.15">
      <c r="A76" s="11"/>
      <c r="B76" s="11" t="s">
        <v>133</v>
      </c>
      <c r="C76" s="11"/>
      <c r="D76" s="11"/>
      <c r="E76" s="11"/>
      <c r="F76" s="11"/>
      <c r="G76" s="11"/>
      <c r="H76" s="11"/>
      <c r="I76" s="11"/>
    </row>
    <row r="77" spans="1:9" x14ac:dyDescent="0.15">
      <c r="A77" s="11"/>
      <c r="B77" s="37"/>
      <c r="C77" s="11"/>
      <c r="D77" s="11"/>
      <c r="E77" s="11"/>
      <c r="F77" s="11"/>
      <c r="G77" s="11"/>
      <c r="H77" s="11"/>
      <c r="I77" s="11"/>
    </row>
    <row r="78" spans="1:9" x14ac:dyDescent="0.15">
      <c r="A78" s="11"/>
      <c r="B78" s="39" t="s">
        <v>124</v>
      </c>
      <c r="C78" s="11"/>
      <c r="D78" s="11"/>
      <c r="E78" s="11"/>
      <c r="F78" s="11"/>
      <c r="G78" s="11"/>
      <c r="H78" s="11"/>
      <c r="I78" s="11"/>
    </row>
    <row r="79" spans="1:9" x14ac:dyDescent="0.15">
      <c r="A79" s="11"/>
      <c r="B79" s="40" t="s">
        <v>125</v>
      </c>
      <c r="C79" s="11"/>
      <c r="D79" s="11"/>
      <c r="E79" s="11"/>
      <c r="F79" s="11"/>
      <c r="G79" s="11"/>
      <c r="H79" s="11"/>
      <c r="I79" s="11"/>
    </row>
    <row r="80" spans="1:9" x14ac:dyDescent="0.15">
      <c r="A80" s="11"/>
      <c r="B80" s="40" t="s">
        <v>41</v>
      </c>
      <c r="C80" s="11"/>
      <c r="D80" s="11"/>
      <c r="E80" s="11"/>
      <c r="F80" s="11"/>
      <c r="G80" s="11"/>
      <c r="H80" s="11"/>
      <c r="I80" s="11"/>
    </row>
    <row r="81" spans="1:9" x14ac:dyDescent="0.15">
      <c r="A81" s="11"/>
      <c r="B81" s="11" t="s">
        <v>137</v>
      </c>
      <c r="C81" s="11"/>
      <c r="D81" s="11"/>
      <c r="E81" s="11"/>
      <c r="F81" s="11"/>
      <c r="G81" s="11"/>
      <c r="H81" s="11"/>
      <c r="I81" s="11"/>
    </row>
    <row r="82" spans="1:9" x14ac:dyDescent="0.15">
      <c r="A82" s="11"/>
      <c r="B82" s="37"/>
      <c r="C82" s="11"/>
      <c r="D82" s="11"/>
      <c r="E82" s="11"/>
      <c r="F82" s="11"/>
      <c r="G82" s="11"/>
      <c r="H82" s="11"/>
      <c r="I82" s="11"/>
    </row>
    <row r="83" spans="1:9" x14ac:dyDescent="0.15">
      <c r="A83" s="11"/>
      <c r="B83" s="39" t="s">
        <v>124</v>
      </c>
      <c r="C83" s="11"/>
      <c r="D83" s="11"/>
      <c r="E83" s="11"/>
      <c r="F83" s="11"/>
      <c r="G83" s="11"/>
      <c r="H83" s="11"/>
      <c r="I83" s="11"/>
    </row>
    <row r="84" spans="1:9" x14ac:dyDescent="0.15">
      <c r="A84" s="11"/>
      <c r="B84" s="40" t="s">
        <v>125</v>
      </c>
      <c r="C84" s="11"/>
      <c r="D84" s="11"/>
      <c r="E84" s="11"/>
      <c r="F84" s="11"/>
      <c r="G84" s="11"/>
      <c r="H84" s="11"/>
      <c r="I84" s="11"/>
    </row>
    <row r="85" spans="1:9" x14ac:dyDescent="0.15">
      <c r="A85" s="11"/>
      <c r="B85" s="40" t="s">
        <v>41</v>
      </c>
      <c r="C85" s="11"/>
      <c r="D85" s="11"/>
      <c r="E85" s="11"/>
      <c r="F85" s="11"/>
      <c r="G85" s="11"/>
      <c r="H85" s="11"/>
      <c r="I85" s="11"/>
    </row>
    <row r="86" spans="1:9" x14ac:dyDescent="0.15">
      <c r="A86" s="11"/>
      <c r="B86" s="11"/>
      <c r="C86" s="11"/>
      <c r="D86" s="11"/>
      <c r="E86" s="11"/>
      <c r="F86" s="11"/>
      <c r="G86" s="11"/>
      <c r="H86" s="11"/>
      <c r="I86" s="11"/>
    </row>
    <row r="87" spans="1:9" x14ac:dyDescent="0.15">
      <c r="A87" s="11"/>
      <c r="B87" s="37"/>
      <c r="C87" s="11"/>
      <c r="D87" s="11"/>
      <c r="E87" s="11"/>
      <c r="F87" s="11"/>
      <c r="G87" s="11"/>
      <c r="H87" s="11"/>
      <c r="I87" s="11"/>
    </row>
    <row r="88" spans="1:9" x14ac:dyDescent="0.15">
      <c r="A88" s="11"/>
      <c r="B88" s="39" t="s">
        <v>124</v>
      </c>
      <c r="C88" s="11"/>
      <c r="D88" s="11"/>
      <c r="E88" s="11"/>
      <c r="F88" s="11"/>
      <c r="G88" s="11"/>
      <c r="H88" s="11"/>
      <c r="I88" s="11"/>
    </row>
    <row r="89" spans="1:9" x14ac:dyDescent="0.15">
      <c r="B89" s="40" t="s">
        <v>125</v>
      </c>
    </row>
    <row r="90" spans="1:9" x14ac:dyDescent="0.15">
      <c r="B90" s="40" t="s">
        <v>41</v>
      </c>
    </row>
    <row r="92" spans="1:9" x14ac:dyDescent="0.15">
      <c r="B92" s="37"/>
    </row>
    <row r="93" spans="1:9" x14ac:dyDescent="0.15">
      <c r="B93" s="39" t="s">
        <v>124</v>
      </c>
    </row>
    <row r="94" spans="1:9" x14ac:dyDescent="0.15">
      <c r="B94" s="40" t="s">
        <v>125</v>
      </c>
    </row>
    <row r="95" spans="1:9" x14ac:dyDescent="0.15">
      <c r="B95" s="40" t="s">
        <v>41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41</v>
      </c>
    </row>
    <row r="102" spans="2:2" x14ac:dyDescent="0.15">
      <c r="B102" s="11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15:B15"/>
    <mergeCell ref="A16:B16"/>
    <mergeCell ref="A17:A22"/>
    <mergeCell ref="A23:A27"/>
    <mergeCell ref="A28:A33"/>
    <mergeCell ref="A34:A39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A7C09-5BEB-4FD4-89FD-BEAE1737BBD7}">
  <sheetPr codeName="Sheet4"/>
  <dimension ref="A2:K102"/>
  <sheetViews>
    <sheetView workbookViewId="0">
      <selection activeCell="I50" sqref="I50:I5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8" width="11" style="1" bestFit="1" customWidth="1"/>
    <col min="9" max="9" width="13.25" style="1" bestFit="1" customWidth="1"/>
    <col min="10" max="10" width="10" style="1" bestFit="1" customWidth="1"/>
    <col min="11" max="11" width="11" style="1" bestFit="1" customWidth="1"/>
    <col min="12" max="214" width="9" style="1"/>
    <col min="215" max="215" width="2.875" style="1" bestFit="1" customWidth="1"/>
    <col min="216" max="216" width="16.625" style="1" bestFit="1" customWidth="1"/>
    <col min="217" max="217" width="11.375" style="1" bestFit="1" customWidth="1"/>
    <col min="218" max="219" width="14.125" style="1" bestFit="1" customWidth="1"/>
    <col min="220" max="220" width="11.375" style="1" bestFit="1" customWidth="1"/>
    <col min="221" max="223" width="12.5" style="1" bestFit="1" customWidth="1"/>
    <col min="224" max="224" width="11" style="1" bestFit="1" customWidth="1"/>
    <col min="225" max="243" width="13" style="1" bestFit="1" customWidth="1"/>
    <col min="244" max="247" width="11" style="1" bestFit="1" customWidth="1"/>
    <col min="248" max="250" width="12.25" style="1" bestFit="1" customWidth="1"/>
    <col min="251" max="264" width="11" style="1" bestFit="1" customWidth="1"/>
    <col min="265" max="265" width="13.25" style="1" bestFit="1" customWidth="1"/>
    <col min="266" max="266" width="10" style="1" bestFit="1" customWidth="1"/>
    <col min="267" max="267" width="11" style="1" bestFit="1" customWidth="1"/>
    <col min="268" max="470" width="9" style="1"/>
    <col min="471" max="471" width="2.875" style="1" bestFit="1" customWidth="1"/>
    <col min="472" max="472" width="16.625" style="1" bestFit="1" customWidth="1"/>
    <col min="473" max="473" width="11.375" style="1" bestFit="1" customWidth="1"/>
    <col min="474" max="475" width="14.125" style="1" bestFit="1" customWidth="1"/>
    <col min="476" max="476" width="11.375" style="1" bestFit="1" customWidth="1"/>
    <col min="477" max="479" width="12.5" style="1" bestFit="1" customWidth="1"/>
    <col min="480" max="480" width="11" style="1" bestFit="1" customWidth="1"/>
    <col min="481" max="499" width="13" style="1" bestFit="1" customWidth="1"/>
    <col min="500" max="503" width="11" style="1" bestFit="1" customWidth="1"/>
    <col min="504" max="506" width="12.25" style="1" bestFit="1" customWidth="1"/>
    <col min="507" max="520" width="11" style="1" bestFit="1" customWidth="1"/>
    <col min="521" max="521" width="13.25" style="1" bestFit="1" customWidth="1"/>
    <col min="522" max="522" width="10" style="1" bestFit="1" customWidth="1"/>
    <col min="523" max="523" width="11" style="1" bestFit="1" customWidth="1"/>
    <col min="524" max="726" width="9" style="1"/>
    <col min="727" max="727" width="2.875" style="1" bestFit="1" customWidth="1"/>
    <col min="728" max="728" width="16.625" style="1" bestFit="1" customWidth="1"/>
    <col min="729" max="729" width="11.375" style="1" bestFit="1" customWidth="1"/>
    <col min="730" max="731" width="14.125" style="1" bestFit="1" customWidth="1"/>
    <col min="732" max="732" width="11.375" style="1" bestFit="1" customWidth="1"/>
    <col min="733" max="735" width="12.5" style="1" bestFit="1" customWidth="1"/>
    <col min="736" max="736" width="11" style="1" bestFit="1" customWidth="1"/>
    <col min="737" max="755" width="13" style="1" bestFit="1" customWidth="1"/>
    <col min="756" max="759" width="11" style="1" bestFit="1" customWidth="1"/>
    <col min="760" max="762" width="12.25" style="1" bestFit="1" customWidth="1"/>
    <col min="763" max="776" width="11" style="1" bestFit="1" customWidth="1"/>
    <col min="777" max="777" width="13.25" style="1" bestFit="1" customWidth="1"/>
    <col min="778" max="778" width="10" style="1" bestFit="1" customWidth="1"/>
    <col min="779" max="779" width="11" style="1" bestFit="1" customWidth="1"/>
    <col min="780" max="982" width="9" style="1"/>
    <col min="983" max="983" width="2.875" style="1" bestFit="1" customWidth="1"/>
    <col min="984" max="984" width="16.625" style="1" bestFit="1" customWidth="1"/>
    <col min="985" max="985" width="11.375" style="1" bestFit="1" customWidth="1"/>
    <col min="986" max="987" width="14.125" style="1" bestFit="1" customWidth="1"/>
    <col min="988" max="988" width="11.375" style="1" bestFit="1" customWidth="1"/>
    <col min="989" max="991" width="12.5" style="1" bestFit="1" customWidth="1"/>
    <col min="992" max="992" width="11" style="1" bestFit="1" customWidth="1"/>
    <col min="993" max="1011" width="13" style="1" bestFit="1" customWidth="1"/>
    <col min="1012" max="1015" width="11" style="1" bestFit="1" customWidth="1"/>
    <col min="1016" max="1018" width="12.25" style="1" bestFit="1" customWidth="1"/>
    <col min="1019" max="1032" width="11" style="1" bestFit="1" customWidth="1"/>
    <col min="1033" max="1033" width="13.25" style="1" bestFit="1" customWidth="1"/>
    <col min="1034" max="1034" width="10" style="1" bestFit="1" customWidth="1"/>
    <col min="1035" max="1035" width="11" style="1" bestFit="1" customWidth="1"/>
    <col min="1036" max="1238" width="9" style="1"/>
    <col min="1239" max="1239" width="2.875" style="1" bestFit="1" customWidth="1"/>
    <col min="1240" max="1240" width="16.625" style="1" bestFit="1" customWidth="1"/>
    <col min="1241" max="1241" width="11.375" style="1" bestFit="1" customWidth="1"/>
    <col min="1242" max="1243" width="14.125" style="1" bestFit="1" customWidth="1"/>
    <col min="1244" max="1244" width="11.375" style="1" bestFit="1" customWidth="1"/>
    <col min="1245" max="1247" width="12.5" style="1" bestFit="1" customWidth="1"/>
    <col min="1248" max="1248" width="11" style="1" bestFit="1" customWidth="1"/>
    <col min="1249" max="1267" width="13" style="1" bestFit="1" customWidth="1"/>
    <col min="1268" max="1271" width="11" style="1" bestFit="1" customWidth="1"/>
    <col min="1272" max="1274" width="12.25" style="1" bestFit="1" customWidth="1"/>
    <col min="1275" max="1288" width="11" style="1" bestFit="1" customWidth="1"/>
    <col min="1289" max="1289" width="13.25" style="1" bestFit="1" customWidth="1"/>
    <col min="1290" max="1290" width="10" style="1" bestFit="1" customWidth="1"/>
    <col min="1291" max="1291" width="11" style="1" bestFit="1" customWidth="1"/>
    <col min="1292" max="1494" width="9" style="1"/>
    <col min="1495" max="1495" width="2.875" style="1" bestFit="1" customWidth="1"/>
    <col min="1496" max="1496" width="16.625" style="1" bestFit="1" customWidth="1"/>
    <col min="1497" max="1497" width="11.375" style="1" bestFit="1" customWidth="1"/>
    <col min="1498" max="1499" width="14.125" style="1" bestFit="1" customWidth="1"/>
    <col min="1500" max="1500" width="11.375" style="1" bestFit="1" customWidth="1"/>
    <col min="1501" max="1503" width="12.5" style="1" bestFit="1" customWidth="1"/>
    <col min="1504" max="1504" width="11" style="1" bestFit="1" customWidth="1"/>
    <col min="1505" max="1523" width="13" style="1" bestFit="1" customWidth="1"/>
    <col min="1524" max="1527" width="11" style="1" bestFit="1" customWidth="1"/>
    <col min="1528" max="1530" width="12.25" style="1" bestFit="1" customWidth="1"/>
    <col min="1531" max="1544" width="11" style="1" bestFit="1" customWidth="1"/>
    <col min="1545" max="1545" width="13.25" style="1" bestFit="1" customWidth="1"/>
    <col min="1546" max="1546" width="10" style="1" bestFit="1" customWidth="1"/>
    <col min="1547" max="1547" width="11" style="1" bestFit="1" customWidth="1"/>
    <col min="1548" max="1750" width="9" style="1"/>
    <col min="1751" max="1751" width="2.875" style="1" bestFit="1" customWidth="1"/>
    <col min="1752" max="1752" width="16.625" style="1" bestFit="1" customWidth="1"/>
    <col min="1753" max="1753" width="11.375" style="1" bestFit="1" customWidth="1"/>
    <col min="1754" max="1755" width="14.125" style="1" bestFit="1" customWidth="1"/>
    <col min="1756" max="1756" width="11.375" style="1" bestFit="1" customWidth="1"/>
    <col min="1757" max="1759" width="12.5" style="1" bestFit="1" customWidth="1"/>
    <col min="1760" max="1760" width="11" style="1" bestFit="1" customWidth="1"/>
    <col min="1761" max="1779" width="13" style="1" bestFit="1" customWidth="1"/>
    <col min="1780" max="1783" width="11" style="1" bestFit="1" customWidth="1"/>
    <col min="1784" max="1786" width="12.25" style="1" bestFit="1" customWidth="1"/>
    <col min="1787" max="1800" width="11" style="1" bestFit="1" customWidth="1"/>
    <col min="1801" max="1801" width="13.25" style="1" bestFit="1" customWidth="1"/>
    <col min="1802" max="1802" width="10" style="1" bestFit="1" customWidth="1"/>
    <col min="1803" max="1803" width="11" style="1" bestFit="1" customWidth="1"/>
    <col min="1804" max="2006" width="9" style="1"/>
    <col min="2007" max="2007" width="2.875" style="1" bestFit="1" customWidth="1"/>
    <col min="2008" max="2008" width="16.625" style="1" bestFit="1" customWidth="1"/>
    <col min="2009" max="2009" width="11.375" style="1" bestFit="1" customWidth="1"/>
    <col min="2010" max="2011" width="14.125" style="1" bestFit="1" customWidth="1"/>
    <col min="2012" max="2012" width="11.375" style="1" bestFit="1" customWidth="1"/>
    <col min="2013" max="2015" width="12.5" style="1" bestFit="1" customWidth="1"/>
    <col min="2016" max="2016" width="11" style="1" bestFit="1" customWidth="1"/>
    <col min="2017" max="2035" width="13" style="1" bestFit="1" customWidth="1"/>
    <col min="2036" max="2039" width="11" style="1" bestFit="1" customWidth="1"/>
    <col min="2040" max="2042" width="12.25" style="1" bestFit="1" customWidth="1"/>
    <col min="2043" max="2056" width="11" style="1" bestFit="1" customWidth="1"/>
    <col min="2057" max="2057" width="13.25" style="1" bestFit="1" customWidth="1"/>
    <col min="2058" max="2058" width="10" style="1" bestFit="1" customWidth="1"/>
    <col min="2059" max="2059" width="11" style="1" bestFit="1" customWidth="1"/>
    <col min="2060" max="2262" width="9" style="1"/>
    <col min="2263" max="2263" width="2.875" style="1" bestFit="1" customWidth="1"/>
    <col min="2264" max="2264" width="16.625" style="1" bestFit="1" customWidth="1"/>
    <col min="2265" max="2265" width="11.375" style="1" bestFit="1" customWidth="1"/>
    <col min="2266" max="2267" width="14.125" style="1" bestFit="1" customWidth="1"/>
    <col min="2268" max="2268" width="11.375" style="1" bestFit="1" customWidth="1"/>
    <col min="2269" max="2271" width="12.5" style="1" bestFit="1" customWidth="1"/>
    <col min="2272" max="2272" width="11" style="1" bestFit="1" customWidth="1"/>
    <col min="2273" max="2291" width="13" style="1" bestFit="1" customWidth="1"/>
    <col min="2292" max="2295" width="11" style="1" bestFit="1" customWidth="1"/>
    <col min="2296" max="2298" width="12.25" style="1" bestFit="1" customWidth="1"/>
    <col min="2299" max="2312" width="11" style="1" bestFit="1" customWidth="1"/>
    <col min="2313" max="2313" width="13.25" style="1" bestFit="1" customWidth="1"/>
    <col min="2314" max="2314" width="10" style="1" bestFit="1" customWidth="1"/>
    <col min="2315" max="2315" width="11" style="1" bestFit="1" customWidth="1"/>
    <col min="2316" max="2518" width="9" style="1"/>
    <col min="2519" max="2519" width="2.875" style="1" bestFit="1" customWidth="1"/>
    <col min="2520" max="2520" width="16.625" style="1" bestFit="1" customWidth="1"/>
    <col min="2521" max="2521" width="11.375" style="1" bestFit="1" customWidth="1"/>
    <col min="2522" max="2523" width="14.125" style="1" bestFit="1" customWidth="1"/>
    <col min="2524" max="2524" width="11.375" style="1" bestFit="1" customWidth="1"/>
    <col min="2525" max="2527" width="12.5" style="1" bestFit="1" customWidth="1"/>
    <col min="2528" max="2528" width="11" style="1" bestFit="1" customWidth="1"/>
    <col min="2529" max="2547" width="13" style="1" bestFit="1" customWidth="1"/>
    <col min="2548" max="2551" width="11" style="1" bestFit="1" customWidth="1"/>
    <col min="2552" max="2554" width="12.25" style="1" bestFit="1" customWidth="1"/>
    <col min="2555" max="2568" width="11" style="1" bestFit="1" customWidth="1"/>
    <col min="2569" max="2569" width="13.25" style="1" bestFit="1" customWidth="1"/>
    <col min="2570" max="2570" width="10" style="1" bestFit="1" customWidth="1"/>
    <col min="2571" max="2571" width="11" style="1" bestFit="1" customWidth="1"/>
    <col min="2572" max="2774" width="9" style="1"/>
    <col min="2775" max="2775" width="2.875" style="1" bestFit="1" customWidth="1"/>
    <col min="2776" max="2776" width="16.625" style="1" bestFit="1" customWidth="1"/>
    <col min="2777" max="2777" width="11.375" style="1" bestFit="1" customWidth="1"/>
    <col min="2778" max="2779" width="14.125" style="1" bestFit="1" customWidth="1"/>
    <col min="2780" max="2780" width="11.375" style="1" bestFit="1" customWidth="1"/>
    <col min="2781" max="2783" width="12.5" style="1" bestFit="1" customWidth="1"/>
    <col min="2784" max="2784" width="11" style="1" bestFit="1" customWidth="1"/>
    <col min="2785" max="2803" width="13" style="1" bestFit="1" customWidth="1"/>
    <col min="2804" max="2807" width="11" style="1" bestFit="1" customWidth="1"/>
    <col min="2808" max="2810" width="12.25" style="1" bestFit="1" customWidth="1"/>
    <col min="2811" max="2824" width="11" style="1" bestFit="1" customWidth="1"/>
    <col min="2825" max="2825" width="13.25" style="1" bestFit="1" customWidth="1"/>
    <col min="2826" max="2826" width="10" style="1" bestFit="1" customWidth="1"/>
    <col min="2827" max="2827" width="11" style="1" bestFit="1" customWidth="1"/>
    <col min="2828" max="3030" width="9" style="1"/>
    <col min="3031" max="3031" width="2.875" style="1" bestFit="1" customWidth="1"/>
    <col min="3032" max="3032" width="16.625" style="1" bestFit="1" customWidth="1"/>
    <col min="3033" max="3033" width="11.375" style="1" bestFit="1" customWidth="1"/>
    <col min="3034" max="3035" width="14.125" style="1" bestFit="1" customWidth="1"/>
    <col min="3036" max="3036" width="11.375" style="1" bestFit="1" customWidth="1"/>
    <col min="3037" max="3039" width="12.5" style="1" bestFit="1" customWidth="1"/>
    <col min="3040" max="3040" width="11" style="1" bestFit="1" customWidth="1"/>
    <col min="3041" max="3059" width="13" style="1" bestFit="1" customWidth="1"/>
    <col min="3060" max="3063" width="11" style="1" bestFit="1" customWidth="1"/>
    <col min="3064" max="3066" width="12.25" style="1" bestFit="1" customWidth="1"/>
    <col min="3067" max="3080" width="11" style="1" bestFit="1" customWidth="1"/>
    <col min="3081" max="3081" width="13.25" style="1" bestFit="1" customWidth="1"/>
    <col min="3082" max="3082" width="10" style="1" bestFit="1" customWidth="1"/>
    <col min="3083" max="3083" width="11" style="1" bestFit="1" customWidth="1"/>
    <col min="3084" max="3286" width="9" style="1"/>
    <col min="3287" max="3287" width="2.875" style="1" bestFit="1" customWidth="1"/>
    <col min="3288" max="3288" width="16.625" style="1" bestFit="1" customWidth="1"/>
    <col min="3289" max="3289" width="11.375" style="1" bestFit="1" customWidth="1"/>
    <col min="3290" max="3291" width="14.125" style="1" bestFit="1" customWidth="1"/>
    <col min="3292" max="3292" width="11.375" style="1" bestFit="1" customWidth="1"/>
    <col min="3293" max="3295" width="12.5" style="1" bestFit="1" customWidth="1"/>
    <col min="3296" max="3296" width="11" style="1" bestFit="1" customWidth="1"/>
    <col min="3297" max="3315" width="13" style="1" bestFit="1" customWidth="1"/>
    <col min="3316" max="3319" width="11" style="1" bestFit="1" customWidth="1"/>
    <col min="3320" max="3322" width="12.25" style="1" bestFit="1" customWidth="1"/>
    <col min="3323" max="3336" width="11" style="1" bestFit="1" customWidth="1"/>
    <col min="3337" max="3337" width="13.25" style="1" bestFit="1" customWidth="1"/>
    <col min="3338" max="3338" width="10" style="1" bestFit="1" customWidth="1"/>
    <col min="3339" max="3339" width="11" style="1" bestFit="1" customWidth="1"/>
    <col min="3340" max="3542" width="9" style="1"/>
    <col min="3543" max="3543" width="2.875" style="1" bestFit="1" customWidth="1"/>
    <col min="3544" max="3544" width="16.625" style="1" bestFit="1" customWidth="1"/>
    <col min="3545" max="3545" width="11.375" style="1" bestFit="1" customWidth="1"/>
    <col min="3546" max="3547" width="14.125" style="1" bestFit="1" customWidth="1"/>
    <col min="3548" max="3548" width="11.375" style="1" bestFit="1" customWidth="1"/>
    <col min="3549" max="3551" width="12.5" style="1" bestFit="1" customWidth="1"/>
    <col min="3552" max="3552" width="11" style="1" bestFit="1" customWidth="1"/>
    <col min="3553" max="3571" width="13" style="1" bestFit="1" customWidth="1"/>
    <col min="3572" max="3575" width="11" style="1" bestFit="1" customWidth="1"/>
    <col min="3576" max="3578" width="12.25" style="1" bestFit="1" customWidth="1"/>
    <col min="3579" max="3592" width="11" style="1" bestFit="1" customWidth="1"/>
    <col min="3593" max="3593" width="13.25" style="1" bestFit="1" customWidth="1"/>
    <col min="3594" max="3594" width="10" style="1" bestFit="1" customWidth="1"/>
    <col min="3595" max="3595" width="11" style="1" bestFit="1" customWidth="1"/>
    <col min="3596" max="3798" width="9" style="1"/>
    <col min="3799" max="3799" width="2.875" style="1" bestFit="1" customWidth="1"/>
    <col min="3800" max="3800" width="16.625" style="1" bestFit="1" customWidth="1"/>
    <col min="3801" max="3801" width="11.375" style="1" bestFit="1" customWidth="1"/>
    <col min="3802" max="3803" width="14.125" style="1" bestFit="1" customWidth="1"/>
    <col min="3804" max="3804" width="11.375" style="1" bestFit="1" customWidth="1"/>
    <col min="3805" max="3807" width="12.5" style="1" bestFit="1" customWidth="1"/>
    <col min="3808" max="3808" width="11" style="1" bestFit="1" customWidth="1"/>
    <col min="3809" max="3827" width="13" style="1" bestFit="1" customWidth="1"/>
    <col min="3828" max="3831" width="11" style="1" bestFit="1" customWidth="1"/>
    <col min="3832" max="3834" width="12.25" style="1" bestFit="1" customWidth="1"/>
    <col min="3835" max="3848" width="11" style="1" bestFit="1" customWidth="1"/>
    <col min="3849" max="3849" width="13.25" style="1" bestFit="1" customWidth="1"/>
    <col min="3850" max="3850" width="10" style="1" bestFit="1" customWidth="1"/>
    <col min="3851" max="3851" width="11" style="1" bestFit="1" customWidth="1"/>
    <col min="3852" max="4054" width="9" style="1"/>
    <col min="4055" max="4055" width="2.875" style="1" bestFit="1" customWidth="1"/>
    <col min="4056" max="4056" width="16.625" style="1" bestFit="1" customWidth="1"/>
    <col min="4057" max="4057" width="11.375" style="1" bestFit="1" customWidth="1"/>
    <col min="4058" max="4059" width="14.125" style="1" bestFit="1" customWidth="1"/>
    <col min="4060" max="4060" width="11.375" style="1" bestFit="1" customWidth="1"/>
    <col min="4061" max="4063" width="12.5" style="1" bestFit="1" customWidth="1"/>
    <col min="4064" max="4064" width="11" style="1" bestFit="1" customWidth="1"/>
    <col min="4065" max="4083" width="13" style="1" bestFit="1" customWidth="1"/>
    <col min="4084" max="4087" width="11" style="1" bestFit="1" customWidth="1"/>
    <col min="4088" max="4090" width="12.25" style="1" bestFit="1" customWidth="1"/>
    <col min="4091" max="4104" width="11" style="1" bestFit="1" customWidth="1"/>
    <col min="4105" max="4105" width="13.25" style="1" bestFit="1" customWidth="1"/>
    <col min="4106" max="4106" width="10" style="1" bestFit="1" customWidth="1"/>
    <col min="4107" max="4107" width="11" style="1" bestFit="1" customWidth="1"/>
    <col min="4108" max="4310" width="9" style="1"/>
    <col min="4311" max="4311" width="2.875" style="1" bestFit="1" customWidth="1"/>
    <col min="4312" max="4312" width="16.625" style="1" bestFit="1" customWidth="1"/>
    <col min="4313" max="4313" width="11.375" style="1" bestFit="1" customWidth="1"/>
    <col min="4314" max="4315" width="14.125" style="1" bestFit="1" customWidth="1"/>
    <col min="4316" max="4316" width="11.375" style="1" bestFit="1" customWidth="1"/>
    <col min="4317" max="4319" width="12.5" style="1" bestFit="1" customWidth="1"/>
    <col min="4320" max="4320" width="11" style="1" bestFit="1" customWidth="1"/>
    <col min="4321" max="4339" width="13" style="1" bestFit="1" customWidth="1"/>
    <col min="4340" max="4343" width="11" style="1" bestFit="1" customWidth="1"/>
    <col min="4344" max="4346" width="12.25" style="1" bestFit="1" customWidth="1"/>
    <col min="4347" max="4360" width="11" style="1" bestFit="1" customWidth="1"/>
    <col min="4361" max="4361" width="13.25" style="1" bestFit="1" customWidth="1"/>
    <col min="4362" max="4362" width="10" style="1" bestFit="1" customWidth="1"/>
    <col min="4363" max="4363" width="11" style="1" bestFit="1" customWidth="1"/>
    <col min="4364" max="4566" width="9" style="1"/>
    <col min="4567" max="4567" width="2.875" style="1" bestFit="1" customWidth="1"/>
    <col min="4568" max="4568" width="16.625" style="1" bestFit="1" customWidth="1"/>
    <col min="4569" max="4569" width="11.375" style="1" bestFit="1" customWidth="1"/>
    <col min="4570" max="4571" width="14.125" style="1" bestFit="1" customWidth="1"/>
    <col min="4572" max="4572" width="11.375" style="1" bestFit="1" customWidth="1"/>
    <col min="4573" max="4575" width="12.5" style="1" bestFit="1" customWidth="1"/>
    <col min="4576" max="4576" width="11" style="1" bestFit="1" customWidth="1"/>
    <col min="4577" max="4595" width="13" style="1" bestFit="1" customWidth="1"/>
    <col min="4596" max="4599" width="11" style="1" bestFit="1" customWidth="1"/>
    <col min="4600" max="4602" width="12.25" style="1" bestFit="1" customWidth="1"/>
    <col min="4603" max="4616" width="11" style="1" bestFit="1" customWidth="1"/>
    <col min="4617" max="4617" width="13.25" style="1" bestFit="1" customWidth="1"/>
    <col min="4618" max="4618" width="10" style="1" bestFit="1" customWidth="1"/>
    <col min="4619" max="4619" width="11" style="1" bestFit="1" customWidth="1"/>
    <col min="4620" max="4822" width="9" style="1"/>
    <col min="4823" max="4823" width="2.875" style="1" bestFit="1" customWidth="1"/>
    <col min="4824" max="4824" width="16.625" style="1" bestFit="1" customWidth="1"/>
    <col min="4825" max="4825" width="11.375" style="1" bestFit="1" customWidth="1"/>
    <col min="4826" max="4827" width="14.125" style="1" bestFit="1" customWidth="1"/>
    <col min="4828" max="4828" width="11.375" style="1" bestFit="1" customWidth="1"/>
    <col min="4829" max="4831" width="12.5" style="1" bestFit="1" customWidth="1"/>
    <col min="4832" max="4832" width="11" style="1" bestFit="1" customWidth="1"/>
    <col min="4833" max="4851" width="13" style="1" bestFit="1" customWidth="1"/>
    <col min="4852" max="4855" width="11" style="1" bestFit="1" customWidth="1"/>
    <col min="4856" max="4858" width="12.25" style="1" bestFit="1" customWidth="1"/>
    <col min="4859" max="4872" width="11" style="1" bestFit="1" customWidth="1"/>
    <col min="4873" max="4873" width="13.25" style="1" bestFit="1" customWidth="1"/>
    <col min="4874" max="4874" width="10" style="1" bestFit="1" customWidth="1"/>
    <col min="4875" max="4875" width="11" style="1" bestFit="1" customWidth="1"/>
    <col min="4876" max="5078" width="9" style="1"/>
    <col min="5079" max="5079" width="2.875" style="1" bestFit="1" customWidth="1"/>
    <col min="5080" max="5080" width="16.625" style="1" bestFit="1" customWidth="1"/>
    <col min="5081" max="5081" width="11.375" style="1" bestFit="1" customWidth="1"/>
    <col min="5082" max="5083" width="14.125" style="1" bestFit="1" customWidth="1"/>
    <col min="5084" max="5084" width="11.375" style="1" bestFit="1" customWidth="1"/>
    <col min="5085" max="5087" width="12.5" style="1" bestFit="1" customWidth="1"/>
    <col min="5088" max="5088" width="11" style="1" bestFit="1" customWidth="1"/>
    <col min="5089" max="5107" width="13" style="1" bestFit="1" customWidth="1"/>
    <col min="5108" max="5111" width="11" style="1" bestFit="1" customWidth="1"/>
    <col min="5112" max="5114" width="12.25" style="1" bestFit="1" customWidth="1"/>
    <col min="5115" max="5128" width="11" style="1" bestFit="1" customWidth="1"/>
    <col min="5129" max="5129" width="13.25" style="1" bestFit="1" customWidth="1"/>
    <col min="5130" max="5130" width="10" style="1" bestFit="1" customWidth="1"/>
    <col min="5131" max="5131" width="11" style="1" bestFit="1" customWidth="1"/>
    <col min="5132" max="5334" width="9" style="1"/>
    <col min="5335" max="5335" width="2.875" style="1" bestFit="1" customWidth="1"/>
    <col min="5336" max="5336" width="16.625" style="1" bestFit="1" customWidth="1"/>
    <col min="5337" max="5337" width="11.375" style="1" bestFit="1" customWidth="1"/>
    <col min="5338" max="5339" width="14.125" style="1" bestFit="1" customWidth="1"/>
    <col min="5340" max="5340" width="11.375" style="1" bestFit="1" customWidth="1"/>
    <col min="5341" max="5343" width="12.5" style="1" bestFit="1" customWidth="1"/>
    <col min="5344" max="5344" width="11" style="1" bestFit="1" customWidth="1"/>
    <col min="5345" max="5363" width="13" style="1" bestFit="1" customWidth="1"/>
    <col min="5364" max="5367" width="11" style="1" bestFit="1" customWidth="1"/>
    <col min="5368" max="5370" width="12.25" style="1" bestFit="1" customWidth="1"/>
    <col min="5371" max="5384" width="11" style="1" bestFit="1" customWidth="1"/>
    <col min="5385" max="5385" width="13.25" style="1" bestFit="1" customWidth="1"/>
    <col min="5386" max="5386" width="10" style="1" bestFit="1" customWidth="1"/>
    <col min="5387" max="5387" width="11" style="1" bestFit="1" customWidth="1"/>
    <col min="5388" max="5590" width="9" style="1"/>
    <col min="5591" max="5591" width="2.875" style="1" bestFit="1" customWidth="1"/>
    <col min="5592" max="5592" width="16.625" style="1" bestFit="1" customWidth="1"/>
    <col min="5593" max="5593" width="11.375" style="1" bestFit="1" customWidth="1"/>
    <col min="5594" max="5595" width="14.125" style="1" bestFit="1" customWidth="1"/>
    <col min="5596" max="5596" width="11.375" style="1" bestFit="1" customWidth="1"/>
    <col min="5597" max="5599" width="12.5" style="1" bestFit="1" customWidth="1"/>
    <col min="5600" max="5600" width="11" style="1" bestFit="1" customWidth="1"/>
    <col min="5601" max="5619" width="13" style="1" bestFit="1" customWidth="1"/>
    <col min="5620" max="5623" width="11" style="1" bestFit="1" customWidth="1"/>
    <col min="5624" max="5626" width="12.25" style="1" bestFit="1" customWidth="1"/>
    <col min="5627" max="5640" width="11" style="1" bestFit="1" customWidth="1"/>
    <col min="5641" max="5641" width="13.25" style="1" bestFit="1" customWidth="1"/>
    <col min="5642" max="5642" width="10" style="1" bestFit="1" customWidth="1"/>
    <col min="5643" max="5643" width="11" style="1" bestFit="1" customWidth="1"/>
    <col min="5644" max="5846" width="9" style="1"/>
    <col min="5847" max="5847" width="2.875" style="1" bestFit="1" customWidth="1"/>
    <col min="5848" max="5848" width="16.625" style="1" bestFit="1" customWidth="1"/>
    <col min="5849" max="5849" width="11.375" style="1" bestFit="1" customWidth="1"/>
    <col min="5850" max="5851" width="14.125" style="1" bestFit="1" customWidth="1"/>
    <col min="5852" max="5852" width="11.375" style="1" bestFit="1" customWidth="1"/>
    <col min="5853" max="5855" width="12.5" style="1" bestFit="1" customWidth="1"/>
    <col min="5856" max="5856" width="11" style="1" bestFit="1" customWidth="1"/>
    <col min="5857" max="5875" width="13" style="1" bestFit="1" customWidth="1"/>
    <col min="5876" max="5879" width="11" style="1" bestFit="1" customWidth="1"/>
    <col min="5880" max="5882" width="12.25" style="1" bestFit="1" customWidth="1"/>
    <col min="5883" max="5896" width="11" style="1" bestFit="1" customWidth="1"/>
    <col min="5897" max="5897" width="13.25" style="1" bestFit="1" customWidth="1"/>
    <col min="5898" max="5898" width="10" style="1" bestFit="1" customWidth="1"/>
    <col min="5899" max="5899" width="11" style="1" bestFit="1" customWidth="1"/>
    <col min="5900" max="6102" width="9" style="1"/>
    <col min="6103" max="6103" width="2.875" style="1" bestFit="1" customWidth="1"/>
    <col min="6104" max="6104" width="16.625" style="1" bestFit="1" customWidth="1"/>
    <col min="6105" max="6105" width="11.375" style="1" bestFit="1" customWidth="1"/>
    <col min="6106" max="6107" width="14.125" style="1" bestFit="1" customWidth="1"/>
    <col min="6108" max="6108" width="11.375" style="1" bestFit="1" customWidth="1"/>
    <col min="6109" max="6111" width="12.5" style="1" bestFit="1" customWidth="1"/>
    <col min="6112" max="6112" width="11" style="1" bestFit="1" customWidth="1"/>
    <col min="6113" max="6131" width="13" style="1" bestFit="1" customWidth="1"/>
    <col min="6132" max="6135" width="11" style="1" bestFit="1" customWidth="1"/>
    <col min="6136" max="6138" width="12.25" style="1" bestFit="1" customWidth="1"/>
    <col min="6139" max="6152" width="11" style="1" bestFit="1" customWidth="1"/>
    <col min="6153" max="6153" width="13.25" style="1" bestFit="1" customWidth="1"/>
    <col min="6154" max="6154" width="10" style="1" bestFit="1" customWidth="1"/>
    <col min="6155" max="6155" width="11" style="1" bestFit="1" customWidth="1"/>
    <col min="6156" max="6358" width="9" style="1"/>
    <col min="6359" max="6359" width="2.875" style="1" bestFit="1" customWidth="1"/>
    <col min="6360" max="6360" width="16.625" style="1" bestFit="1" customWidth="1"/>
    <col min="6361" max="6361" width="11.375" style="1" bestFit="1" customWidth="1"/>
    <col min="6362" max="6363" width="14.125" style="1" bestFit="1" customWidth="1"/>
    <col min="6364" max="6364" width="11.375" style="1" bestFit="1" customWidth="1"/>
    <col min="6365" max="6367" width="12.5" style="1" bestFit="1" customWidth="1"/>
    <col min="6368" max="6368" width="11" style="1" bestFit="1" customWidth="1"/>
    <col min="6369" max="6387" width="13" style="1" bestFit="1" customWidth="1"/>
    <col min="6388" max="6391" width="11" style="1" bestFit="1" customWidth="1"/>
    <col min="6392" max="6394" width="12.25" style="1" bestFit="1" customWidth="1"/>
    <col min="6395" max="6408" width="11" style="1" bestFit="1" customWidth="1"/>
    <col min="6409" max="6409" width="13.25" style="1" bestFit="1" customWidth="1"/>
    <col min="6410" max="6410" width="10" style="1" bestFit="1" customWidth="1"/>
    <col min="6411" max="6411" width="11" style="1" bestFit="1" customWidth="1"/>
    <col min="6412" max="6614" width="9" style="1"/>
    <col min="6615" max="6615" width="2.875" style="1" bestFit="1" customWidth="1"/>
    <col min="6616" max="6616" width="16.625" style="1" bestFit="1" customWidth="1"/>
    <col min="6617" max="6617" width="11.375" style="1" bestFit="1" customWidth="1"/>
    <col min="6618" max="6619" width="14.125" style="1" bestFit="1" customWidth="1"/>
    <col min="6620" max="6620" width="11.375" style="1" bestFit="1" customWidth="1"/>
    <col min="6621" max="6623" width="12.5" style="1" bestFit="1" customWidth="1"/>
    <col min="6624" max="6624" width="11" style="1" bestFit="1" customWidth="1"/>
    <col min="6625" max="6643" width="13" style="1" bestFit="1" customWidth="1"/>
    <col min="6644" max="6647" width="11" style="1" bestFit="1" customWidth="1"/>
    <col min="6648" max="6650" width="12.25" style="1" bestFit="1" customWidth="1"/>
    <col min="6651" max="6664" width="11" style="1" bestFit="1" customWidth="1"/>
    <col min="6665" max="6665" width="13.25" style="1" bestFit="1" customWidth="1"/>
    <col min="6666" max="6666" width="10" style="1" bestFit="1" customWidth="1"/>
    <col min="6667" max="6667" width="11" style="1" bestFit="1" customWidth="1"/>
    <col min="6668" max="6870" width="9" style="1"/>
    <col min="6871" max="6871" width="2.875" style="1" bestFit="1" customWidth="1"/>
    <col min="6872" max="6872" width="16.625" style="1" bestFit="1" customWidth="1"/>
    <col min="6873" max="6873" width="11.375" style="1" bestFit="1" customWidth="1"/>
    <col min="6874" max="6875" width="14.125" style="1" bestFit="1" customWidth="1"/>
    <col min="6876" max="6876" width="11.375" style="1" bestFit="1" customWidth="1"/>
    <col min="6877" max="6879" width="12.5" style="1" bestFit="1" customWidth="1"/>
    <col min="6880" max="6880" width="11" style="1" bestFit="1" customWidth="1"/>
    <col min="6881" max="6899" width="13" style="1" bestFit="1" customWidth="1"/>
    <col min="6900" max="6903" width="11" style="1" bestFit="1" customWidth="1"/>
    <col min="6904" max="6906" width="12.25" style="1" bestFit="1" customWidth="1"/>
    <col min="6907" max="6920" width="11" style="1" bestFit="1" customWidth="1"/>
    <col min="6921" max="6921" width="13.25" style="1" bestFit="1" customWidth="1"/>
    <col min="6922" max="6922" width="10" style="1" bestFit="1" customWidth="1"/>
    <col min="6923" max="6923" width="11" style="1" bestFit="1" customWidth="1"/>
    <col min="6924" max="7126" width="9" style="1"/>
    <col min="7127" max="7127" width="2.875" style="1" bestFit="1" customWidth="1"/>
    <col min="7128" max="7128" width="16.625" style="1" bestFit="1" customWidth="1"/>
    <col min="7129" max="7129" width="11.375" style="1" bestFit="1" customWidth="1"/>
    <col min="7130" max="7131" width="14.125" style="1" bestFit="1" customWidth="1"/>
    <col min="7132" max="7132" width="11.375" style="1" bestFit="1" customWidth="1"/>
    <col min="7133" max="7135" width="12.5" style="1" bestFit="1" customWidth="1"/>
    <col min="7136" max="7136" width="11" style="1" bestFit="1" customWidth="1"/>
    <col min="7137" max="7155" width="13" style="1" bestFit="1" customWidth="1"/>
    <col min="7156" max="7159" width="11" style="1" bestFit="1" customWidth="1"/>
    <col min="7160" max="7162" width="12.25" style="1" bestFit="1" customWidth="1"/>
    <col min="7163" max="7176" width="11" style="1" bestFit="1" customWidth="1"/>
    <col min="7177" max="7177" width="13.25" style="1" bestFit="1" customWidth="1"/>
    <col min="7178" max="7178" width="10" style="1" bestFit="1" customWidth="1"/>
    <col min="7179" max="7179" width="11" style="1" bestFit="1" customWidth="1"/>
    <col min="7180" max="7382" width="9" style="1"/>
    <col min="7383" max="7383" width="2.875" style="1" bestFit="1" customWidth="1"/>
    <col min="7384" max="7384" width="16.625" style="1" bestFit="1" customWidth="1"/>
    <col min="7385" max="7385" width="11.375" style="1" bestFit="1" customWidth="1"/>
    <col min="7386" max="7387" width="14.125" style="1" bestFit="1" customWidth="1"/>
    <col min="7388" max="7388" width="11.375" style="1" bestFit="1" customWidth="1"/>
    <col min="7389" max="7391" width="12.5" style="1" bestFit="1" customWidth="1"/>
    <col min="7392" max="7392" width="11" style="1" bestFit="1" customWidth="1"/>
    <col min="7393" max="7411" width="13" style="1" bestFit="1" customWidth="1"/>
    <col min="7412" max="7415" width="11" style="1" bestFit="1" customWidth="1"/>
    <col min="7416" max="7418" width="12.25" style="1" bestFit="1" customWidth="1"/>
    <col min="7419" max="7432" width="11" style="1" bestFit="1" customWidth="1"/>
    <col min="7433" max="7433" width="13.25" style="1" bestFit="1" customWidth="1"/>
    <col min="7434" max="7434" width="10" style="1" bestFit="1" customWidth="1"/>
    <col min="7435" max="7435" width="11" style="1" bestFit="1" customWidth="1"/>
    <col min="7436" max="7638" width="9" style="1"/>
    <col min="7639" max="7639" width="2.875" style="1" bestFit="1" customWidth="1"/>
    <col min="7640" max="7640" width="16.625" style="1" bestFit="1" customWidth="1"/>
    <col min="7641" max="7641" width="11.375" style="1" bestFit="1" customWidth="1"/>
    <col min="7642" max="7643" width="14.125" style="1" bestFit="1" customWidth="1"/>
    <col min="7644" max="7644" width="11.375" style="1" bestFit="1" customWidth="1"/>
    <col min="7645" max="7647" width="12.5" style="1" bestFit="1" customWidth="1"/>
    <col min="7648" max="7648" width="11" style="1" bestFit="1" customWidth="1"/>
    <col min="7649" max="7667" width="13" style="1" bestFit="1" customWidth="1"/>
    <col min="7668" max="7671" width="11" style="1" bestFit="1" customWidth="1"/>
    <col min="7672" max="7674" width="12.25" style="1" bestFit="1" customWidth="1"/>
    <col min="7675" max="7688" width="11" style="1" bestFit="1" customWidth="1"/>
    <col min="7689" max="7689" width="13.25" style="1" bestFit="1" customWidth="1"/>
    <col min="7690" max="7690" width="10" style="1" bestFit="1" customWidth="1"/>
    <col min="7691" max="7691" width="11" style="1" bestFit="1" customWidth="1"/>
    <col min="7692" max="7894" width="9" style="1"/>
    <col min="7895" max="7895" width="2.875" style="1" bestFit="1" customWidth="1"/>
    <col min="7896" max="7896" width="16.625" style="1" bestFit="1" customWidth="1"/>
    <col min="7897" max="7897" width="11.375" style="1" bestFit="1" customWidth="1"/>
    <col min="7898" max="7899" width="14.125" style="1" bestFit="1" customWidth="1"/>
    <col min="7900" max="7900" width="11.375" style="1" bestFit="1" customWidth="1"/>
    <col min="7901" max="7903" width="12.5" style="1" bestFit="1" customWidth="1"/>
    <col min="7904" max="7904" width="11" style="1" bestFit="1" customWidth="1"/>
    <col min="7905" max="7923" width="13" style="1" bestFit="1" customWidth="1"/>
    <col min="7924" max="7927" width="11" style="1" bestFit="1" customWidth="1"/>
    <col min="7928" max="7930" width="12.25" style="1" bestFit="1" customWidth="1"/>
    <col min="7931" max="7944" width="11" style="1" bestFit="1" customWidth="1"/>
    <col min="7945" max="7945" width="13.25" style="1" bestFit="1" customWidth="1"/>
    <col min="7946" max="7946" width="10" style="1" bestFit="1" customWidth="1"/>
    <col min="7947" max="7947" width="11" style="1" bestFit="1" customWidth="1"/>
    <col min="7948" max="8150" width="9" style="1"/>
    <col min="8151" max="8151" width="2.875" style="1" bestFit="1" customWidth="1"/>
    <col min="8152" max="8152" width="16.625" style="1" bestFit="1" customWidth="1"/>
    <col min="8153" max="8153" width="11.375" style="1" bestFit="1" customWidth="1"/>
    <col min="8154" max="8155" width="14.125" style="1" bestFit="1" customWidth="1"/>
    <col min="8156" max="8156" width="11.375" style="1" bestFit="1" customWidth="1"/>
    <col min="8157" max="8159" width="12.5" style="1" bestFit="1" customWidth="1"/>
    <col min="8160" max="8160" width="11" style="1" bestFit="1" customWidth="1"/>
    <col min="8161" max="8179" width="13" style="1" bestFit="1" customWidth="1"/>
    <col min="8180" max="8183" width="11" style="1" bestFit="1" customWidth="1"/>
    <col min="8184" max="8186" width="12.25" style="1" bestFit="1" customWidth="1"/>
    <col min="8187" max="8200" width="11" style="1" bestFit="1" customWidth="1"/>
    <col min="8201" max="8201" width="13.25" style="1" bestFit="1" customWidth="1"/>
    <col min="8202" max="8202" width="10" style="1" bestFit="1" customWidth="1"/>
    <col min="8203" max="8203" width="11" style="1" bestFit="1" customWidth="1"/>
    <col min="8204" max="8406" width="9" style="1"/>
    <col min="8407" max="8407" width="2.875" style="1" bestFit="1" customWidth="1"/>
    <col min="8408" max="8408" width="16.625" style="1" bestFit="1" customWidth="1"/>
    <col min="8409" max="8409" width="11.375" style="1" bestFit="1" customWidth="1"/>
    <col min="8410" max="8411" width="14.125" style="1" bestFit="1" customWidth="1"/>
    <col min="8412" max="8412" width="11.375" style="1" bestFit="1" customWidth="1"/>
    <col min="8413" max="8415" width="12.5" style="1" bestFit="1" customWidth="1"/>
    <col min="8416" max="8416" width="11" style="1" bestFit="1" customWidth="1"/>
    <col min="8417" max="8435" width="13" style="1" bestFit="1" customWidth="1"/>
    <col min="8436" max="8439" width="11" style="1" bestFit="1" customWidth="1"/>
    <col min="8440" max="8442" width="12.25" style="1" bestFit="1" customWidth="1"/>
    <col min="8443" max="8456" width="11" style="1" bestFit="1" customWidth="1"/>
    <col min="8457" max="8457" width="13.25" style="1" bestFit="1" customWidth="1"/>
    <col min="8458" max="8458" width="10" style="1" bestFit="1" customWidth="1"/>
    <col min="8459" max="8459" width="11" style="1" bestFit="1" customWidth="1"/>
    <col min="8460" max="8662" width="9" style="1"/>
    <col min="8663" max="8663" width="2.875" style="1" bestFit="1" customWidth="1"/>
    <col min="8664" max="8664" width="16.625" style="1" bestFit="1" customWidth="1"/>
    <col min="8665" max="8665" width="11.375" style="1" bestFit="1" customWidth="1"/>
    <col min="8666" max="8667" width="14.125" style="1" bestFit="1" customWidth="1"/>
    <col min="8668" max="8668" width="11.375" style="1" bestFit="1" customWidth="1"/>
    <col min="8669" max="8671" width="12.5" style="1" bestFit="1" customWidth="1"/>
    <col min="8672" max="8672" width="11" style="1" bestFit="1" customWidth="1"/>
    <col min="8673" max="8691" width="13" style="1" bestFit="1" customWidth="1"/>
    <col min="8692" max="8695" width="11" style="1" bestFit="1" customWidth="1"/>
    <col min="8696" max="8698" width="12.25" style="1" bestFit="1" customWidth="1"/>
    <col min="8699" max="8712" width="11" style="1" bestFit="1" customWidth="1"/>
    <col min="8713" max="8713" width="13.25" style="1" bestFit="1" customWidth="1"/>
    <col min="8714" max="8714" width="10" style="1" bestFit="1" customWidth="1"/>
    <col min="8715" max="8715" width="11" style="1" bestFit="1" customWidth="1"/>
    <col min="8716" max="8918" width="9" style="1"/>
    <col min="8919" max="8919" width="2.875" style="1" bestFit="1" customWidth="1"/>
    <col min="8920" max="8920" width="16.625" style="1" bestFit="1" customWidth="1"/>
    <col min="8921" max="8921" width="11.375" style="1" bestFit="1" customWidth="1"/>
    <col min="8922" max="8923" width="14.125" style="1" bestFit="1" customWidth="1"/>
    <col min="8924" max="8924" width="11.375" style="1" bestFit="1" customWidth="1"/>
    <col min="8925" max="8927" width="12.5" style="1" bestFit="1" customWidth="1"/>
    <col min="8928" max="8928" width="11" style="1" bestFit="1" customWidth="1"/>
    <col min="8929" max="8947" width="13" style="1" bestFit="1" customWidth="1"/>
    <col min="8948" max="8951" width="11" style="1" bestFit="1" customWidth="1"/>
    <col min="8952" max="8954" width="12.25" style="1" bestFit="1" customWidth="1"/>
    <col min="8955" max="8968" width="11" style="1" bestFit="1" customWidth="1"/>
    <col min="8969" max="8969" width="13.25" style="1" bestFit="1" customWidth="1"/>
    <col min="8970" max="8970" width="10" style="1" bestFit="1" customWidth="1"/>
    <col min="8971" max="8971" width="11" style="1" bestFit="1" customWidth="1"/>
    <col min="8972" max="9174" width="9" style="1"/>
    <col min="9175" max="9175" width="2.875" style="1" bestFit="1" customWidth="1"/>
    <col min="9176" max="9176" width="16.625" style="1" bestFit="1" customWidth="1"/>
    <col min="9177" max="9177" width="11.375" style="1" bestFit="1" customWidth="1"/>
    <col min="9178" max="9179" width="14.125" style="1" bestFit="1" customWidth="1"/>
    <col min="9180" max="9180" width="11.375" style="1" bestFit="1" customWidth="1"/>
    <col min="9181" max="9183" width="12.5" style="1" bestFit="1" customWidth="1"/>
    <col min="9184" max="9184" width="11" style="1" bestFit="1" customWidth="1"/>
    <col min="9185" max="9203" width="13" style="1" bestFit="1" customWidth="1"/>
    <col min="9204" max="9207" width="11" style="1" bestFit="1" customWidth="1"/>
    <col min="9208" max="9210" width="12.25" style="1" bestFit="1" customWidth="1"/>
    <col min="9211" max="9224" width="11" style="1" bestFit="1" customWidth="1"/>
    <col min="9225" max="9225" width="13.25" style="1" bestFit="1" customWidth="1"/>
    <col min="9226" max="9226" width="10" style="1" bestFit="1" customWidth="1"/>
    <col min="9227" max="9227" width="11" style="1" bestFit="1" customWidth="1"/>
    <col min="9228" max="9430" width="9" style="1"/>
    <col min="9431" max="9431" width="2.875" style="1" bestFit="1" customWidth="1"/>
    <col min="9432" max="9432" width="16.625" style="1" bestFit="1" customWidth="1"/>
    <col min="9433" max="9433" width="11.375" style="1" bestFit="1" customWidth="1"/>
    <col min="9434" max="9435" width="14.125" style="1" bestFit="1" customWidth="1"/>
    <col min="9436" max="9436" width="11.375" style="1" bestFit="1" customWidth="1"/>
    <col min="9437" max="9439" width="12.5" style="1" bestFit="1" customWidth="1"/>
    <col min="9440" max="9440" width="11" style="1" bestFit="1" customWidth="1"/>
    <col min="9441" max="9459" width="13" style="1" bestFit="1" customWidth="1"/>
    <col min="9460" max="9463" width="11" style="1" bestFit="1" customWidth="1"/>
    <col min="9464" max="9466" width="12.25" style="1" bestFit="1" customWidth="1"/>
    <col min="9467" max="9480" width="11" style="1" bestFit="1" customWidth="1"/>
    <col min="9481" max="9481" width="13.25" style="1" bestFit="1" customWidth="1"/>
    <col min="9482" max="9482" width="10" style="1" bestFit="1" customWidth="1"/>
    <col min="9483" max="9483" width="11" style="1" bestFit="1" customWidth="1"/>
    <col min="9484" max="9686" width="9" style="1"/>
    <col min="9687" max="9687" width="2.875" style="1" bestFit="1" customWidth="1"/>
    <col min="9688" max="9688" width="16.625" style="1" bestFit="1" customWidth="1"/>
    <col min="9689" max="9689" width="11.375" style="1" bestFit="1" customWidth="1"/>
    <col min="9690" max="9691" width="14.125" style="1" bestFit="1" customWidth="1"/>
    <col min="9692" max="9692" width="11.375" style="1" bestFit="1" customWidth="1"/>
    <col min="9693" max="9695" width="12.5" style="1" bestFit="1" customWidth="1"/>
    <col min="9696" max="9696" width="11" style="1" bestFit="1" customWidth="1"/>
    <col min="9697" max="9715" width="13" style="1" bestFit="1" customWidth="1"/>
    <col min="9716" max="9719" width="11" style="1" bestFit="1" customWidth="1"/>
    <col min="9720" max="9722" width="12.25" style="1" bestFit="1" customWidth="1"/>
    <col min="9723" max="9736" width="11" style="1" bestFit="1" customWidth="1"/>
    <col min="9737" max="9737" width="13.25" style="1" bestFit="1" customWidth="1"/>
    <col min="9738" max="9738" width="10" style="1" bestFit="1" customWidth="1"/>
    <col min="9739" max="9739" width="11" style="1" bestFit="1" customWidth="1"/>
    <col min="9740" max="9942" width="9" style="1"/>
    <col min="9943" max="9943" width="2.875" style="1" bestFit="1" customWidth="1"/>
    <col min="9944" max="9944" width="16.625" style="1" bestFit="1" customWidth="1"/>
    <col min="9945" max="9945" width="11.375" style="1" bestFit="1" customWidth="1"/>
    <col min="9946" max="9947" width="14.125" style="1" bestFit="1" customWidth="1"/>
    <col min="9948" max="9948" width="11.375" style="1" bestFit="1" customWidth="1"/>
    <col min="9949" max="9951" width="12.5" style="1" bestFit="1" customWidth="1"/>
    <col min="9952" max="9952" width="11" style="1" bestFit="1" customWidth="1"/>
    <col min="9953" max="9971" width="13" style="1" bestFit="1" customWidth="1"/>
    <col min="9972" max="9975" width="11" style="1" bestFit="1" customWidth="1"/>
    <col min="9976" max="9978" width="12.25" style="1" bestFit="1" customWidth="1"/>
    <col min="9979" max="9992" width="11" style="1" bestFit="1" customWidth="1"/>
    <col min="9993" max="9993" width="13.25" style="1" bestFit="1" customWidth="1"/>
    <col min="9994" max="9994" width="10" style="1" bestFit="1" customWidth="1"/>
    <col min="9995" max="9995" width="11" style="1" bestFit="1" customWidth="1"/>
    <col min="9996" max="10198" width="9" style="1"/>
    <col min="10199" max="10199" width="2.875" style="1" bestFit="1" customWidth="1"/>
    <col min="10200" max="10200" width="16.625" style="1" bestFit="1" customWidth="1"/>
    <col min="10201" max="10201" width="11.375" style="1" bestFit="1" customWidth="1"/>
    <col min="10202" max="10203" width="14.125" style="1" bestFit="1" customWidth="1"/>
    <col min="10204" max="10204" width="11.375" style="1" bestFit="1" customWidth="1"/>
    <col min="10205" max="10207" width="12.5" style="1" bestFit="1" customWidth="1"/>
    <col min="10208" max="10208" width="11" style="1" bestFit="1" customWidth="1"/>
    <col min="10209" max="10227" width="13" style="1" bestFit="1" customWidth="1"/>
    <col min="10228" max="10231" width="11" style="1" bestFit="1" customWidth="1"/>
    <col min="10232" max="10234" width="12.25" style="1" bestFit="1" customWidth="1"/>
    <col min="10235" max="10248" width="11" style="1" bestFit="1" customWidth="1"/>
    <col min="10249" max="10249" width="13.25" style="1" bestFit="1" customWidth="1"/>
    <col min="10250" max="10250" width="10" style="1" bestFit="1" customWidth="1"/>
    <col min="10251" max="10251" width="11" style="1" bestFit="1" customWidth="1"/>
    <col min="10252" max="10454" width="9" style="1"/>
    <col min="10455" max="10455" width="2.875" style="1" bestFit="1" customWidth="1"/>
    <col min="10456" max="10456" width="16.625" style="1" bestFit="1" customWidth="1"/>
    <col min="10457" max="10457" width="11.375" style="1" bestFit="1" customWidth="1"/>
    <col min="10458" max="10459" width="14.125" style="1" bestFit="1" customWidth="1"/>
    <col min="10460" max="10460" width="11.375" style="1" bestFit="1" customWidth="1"/>
    <col min="10461" max="10463" width="12.5" style="1" bestFit="1" customWidth="1"/>
    <col min="10464" max="10464" width="11" style="1" bestFit="1" customWidth="1"/>
    <col min="10465" max="10483" width="13" style="1" bestFit="1" customWidth="1"/>
    <col min="10484" max="10487" width="11" style="1" bestFit="1" customWidth="1"/>
    <col min="10488" max="10490" width="12.25" style="1" bestFit="1" customWidth="1"/>
    <col min="10491" max="10504" width="11" style="1" bestFit="1" customWidth="1"/>
    <col min="10505" max="10505" width="13.25" style="1" bestFit="1" customWidth="1"/>
    <col min="10506" max="10506" width="10" style="1" bestFit="1" customWidth="1"/>
    <col min="10507" max="10507" width="11" style="1" bestFit="1" customWidth="1"/>
    <col min="10508" max="10710" width="9" style="1"/>
    <col min="10711" max="10711" width="2.875" style="1" bestFit="1" customWidth="1"/>
    <col min="10712" max="10712" width="16.625" style="1" bestFit="1" customWidth="1"/>
    <col min="10713" max="10713" width="11.375" style="1" bestFit="1" customWidth="1"/>
    <col min="10714" max="10715" width="14.125" style="1" bestFit="1" customWidth="1"/>
    <col min="10716" max="10716" width="11.375" style="1" bestFit="1" customWidth="1"/>
    <col min="10717" max="10719" width="12.5" style="1" bestFit="1" customWidth="1"/>
    <col min="10720" max="10720" width="11" style="1" bestFit="1" customWidth="1"/>
    <col min="10721" max="10739" width="13" style="1" bestFit="1" customWidth="1"/>
    <col min="10740" max="10743" width="11" style="1" bestFit="1" customWidth="1"/>
    <col min="10744" max="10746" width="12.25" style="1" bestFit="1" customWidth="1"/>
    <col min="10747" max="10760" width="11" style="1" bestFit="1" customWidth="1"/>
    <col min="10761" max="10761" width="13.25" style="1" bestFit="1" customWidth="1"/>
    <col min="10762" max="10762" width="10" style="1" bestFit="1" customWidth="1"/>
    <col min="10763" max="10763" width="11" style="1" bestFit="1" customWidth="1"/>
    <col min="10764" max="10966" width="9" style="1"/>
    <col min="10967" max="10967" width="2.875" style="1" bestFit="1" customWidth="1"/>
    <col min="10968" max="10968" width="16.625" style="1" bestFit="1" customWidth="1"/>
    <col min="10969" max="10969" width="11.375" style="1" bestFit="1" customWidth="1"/>
    <col min="10970" max="10971" width="14.125" style="1" bestFit="1" customWidth="1"/>
    <col min="10972" max="10972" width="11.375" style="1" bestFit="1" customWidth="1"/>
    <col min="10973" max="10975" width="12.5" style="1" bestFit="1" customWidth="1"/>
    <col min="10976" max="10976" width="11" style="1" bestFit="1" customWidth="1"/>
    <col min="10977" max="10995" width="13" style="1" bestFit="1" customWidth="1"/>
    <col min="10996" max="10999" width="11" style="1" bestFit="1" customWidth="1"/>
    <col min="11000" max="11002" width="12.25" style="1" bestFit="1" customWidth="1"/>
    <col min="11003" max="11016" width="11" style="1" bestFit="1" customWidth="1"/>
    <col min="11017" max="11017" width="13.25" style="1" bestFit="1" customWidth="1"/>
    <col min="11018" max="11018" width="10" style="1" bestFit="1" customWidth="1"/>
    <col min="11019" max="11019" width="11" style="1" bestFit="1" customWidth="1"/>
    <col min="11020" max="11222" width="9" style="1"/>
    <col min="11223" max="11223" width="2.875" style="1" bestFit="1" customWidth="1"/>
    <col min="11224" max="11224" width="16.625" style="1" bestFit="1" customWidth="1"/>
    <col min="11225" max="11225" width="11.375" style="1" bestFit="1" customWidth="1"/>
    <col min="11226" max="11227" width="14.125" style="1" bestFit="1" customWidth="1"/>
    <col min="11228" max="11228" width="11.375" style="1" bestFit="1" customWidth="1"/>
    <col min="11229" max="11231" width="12.5" style="1" bestFit="1" customWidth="1"/>
    <col min="11232" max="11232" width="11" style="1" bestFit="1" customWidth="1"/>
    <col min="11233" max="11251" width="13" style="1" bestFit="1" customWidth="1"/>
    <col min="11252" max="11255" width="11" style="1" bestFit="1" customWidth="1"/>
    <col min="11256" max="11258" width="12.25" style="1" bestFit="1" customWidth="1"/>
    <col min="11259" max="11272" width="11" style="1" bestFit="1" customWidth="1"/>
    <col min="11273" max="11273" width="13.25" style="1" bestFit="1" customWidth="1"/>
    <col min="11274" max="11274" width="10" style="1" bestFit="1" customWidth="1"/>
    <col min="11275" max="11275" width="11" style="1" bestFit="1" customWidth="1"/>
    <col min="11276" max="11478" width="9" style="1"/>
    <col min="11479" max="11479" width="2.875" style="1" bestFit="1" customWidth="1"/>
    <col min="11480" max="11480" width="16.625" style="1" bestFit="1" customWidth="1"/>
    <col min="11481" max="11481" width="11.375" style="1" bestFit="1" customWidth="1"/>
    <col min="11482" max="11483" width="14.125" style="1" bestFit="1" customWidth="1"/>
    <col min="11484" max="11484" width="11.375" style="1" bestFit="1" customWidth="1"/>
    <col min="11485" max="11487" width="12.5" style="1" bestFit="1" customWidth="1"/>
    <col min="11488" max="11488" width="11" style="1" bestFit="1" customWidth="1"/>
    <col min="11489" max="11507" width="13" style="1" bestFit="1" customWidth="1"/>
    <col min="11508" max="11511" width="11" style="1" bestFit="1" customWidth="1"/>
    <col min="11512" max="11514" width="12.25" style="1" bestFit="1" customWidth="1"/>
    <col min="11515" max="11528" width="11" style="1" bestFit="1" customWidth="1"/>
    <col min="11529" max="11529" width="13.25" style="1" bestFit="1" customWidth="1"/>
    <col min="11530" max="11530" width="10" style="1" bestFit="1" customWidth="1"/>
    <col min="11531" max="11531" width="11" style="1" bestFit="1" customWidth="1"/>
    <col min="11532" max="11734" width="9" style="1"/>
    <col min="11735" max="11735" width="2.875" style="1" bestFit="1" customWidth="1"/>
    <col min="11736" max="11736" width="16.625" style="1" bestFit="1" customWidth="1"/>
    <col min="11737" max="11737" width="11.375" style="1" bestFit="1" customWidth="1"/>
    <col min="11738" max="11739" width="14.125" style="1" bestFit="1" customWidth="1"/>
    <col min="11740" max="11740" width="11.375" style="1" bestFit="1" customWidth="1"/>
    <col min="11741" max="11743" width="12.5" style="1" bestFit="1" customWidth="1"/>
    <col min="11744" max="11744" width="11" style="1" bestFit="1" customWidth="1"/>
    <col min="11745" max="11763" width="13" style="1" bestFit="1" customWidth="1"/>
    <col min="11764" max="11767" width="11" style="1" bestFit="1" customWidth="1"/>
    <col min="11768" max="11770" width="12.25" style="1" bestFit="1" customWidth="1"/>
    <col min="11771" max="11784" width="11" style="1" bestFit="1" customWidth="1"/>
    <col min="11785" max="11785" width="13.25" style="1" bestFit="1" customWidth="1"/>
    <col min="11786" max="11786" width="10" style="1" bestFit="1" customWidth="1"/>
    <col min="11787" max="11787" width="11" style="1" bestFit="1" customWidth="1"/>
    <col min="11788" max="11990" width="9" style="1"/>
    <col min="11991" max="11991" width="2.875" style="1" bestFit="1" customWidth="1"/>
    <col min="11992" max="11992" width="16.625" style="1" bestFit="1" customWidth="1"/>
    <col min="11993" max="11993" width="11.375" style="1" bestFit="1" customWidth="1"/>
    <col min="11994" max="11995" width="14.125" style="1" bestFit="1" customWidth="1"/>
    <col min="11996" max="11996" width="11.375" style="1" bestFit="1" customWidth="1"/>
    <col min="11997" max="11999" width="12.5" style="1" bestFit="1" customWidth="1"/>
    <col min="12000" max="12000" width="11" style="1" bestFit="1" customWidth="1"/>
    <col min="12001" max="12019" width="13" style="1" bestFit="1" customWidth="1"/>
    <col min="12020" max="12023" width="11" style="1" bestFit="1" customWidth="1"/>
    <col min="12024" max="12026" width="12.25" style="1" bestFit="1" customWidth="1"/>
    <col min="12027" max="12040" width="11" style="1" bestFit="1" customWidth="1"/>
    <col min="12041" max="12041" width="13.25" style="1" bestFit="1" customWidth="1"/>
    <col min="12042" max="12042" width="10" style="1" bestFit="1" customWidth="1"/>
    <col min="12043" max="12043" width="11" style="1" bestFit="1" customWidth="1"/>
    <col min="12044" max="12246" width="9" style="1"/>
    <col min="12247" max="12247" width="2.875" style="1" bestFit="1" customWidth="1"/>
    <col min="12248" max="12248" width="16.625" style="1" bestFit="1" customWidth="1"/>
    <col min="12249" max="12249" width="11.375" style="1" bestFit="1" customWidth="1"/>
    <col min="12250" max="12251" width="14.125" style="1" bestFit="1" customWidth="1"/>
    <col min="12252" max="12252" width="11.375" style="1" bestFit="1" customWidth="1"/>
    <col min="12253" max="12255" width="12.5" style="1" bestFit="1" customWidth="1"/>
    <col min="12256" max="12256" width="11" style="1" bestFit="1" customWidth="1"/>
    <col min="12257" max="12275" width="13" style="1" bestFit="1" customWidth="1"/>
    <col min="12276" max="12279" width="11" style="1" bestFit="1" customWidth="1"/>
    <col min="12280" max="12282" width="12.25" style="1" bestFit="1" customWidth="1"/>
    <col min="12283" max="12296" width="11" style="1" bestFit="1" customWidth="1"/>
    <col min="12297" max="12297" width="13.25" style="1" bestFit="1" customWidth="1"/>
    <col min="12298" max="12298" width="10" style="1" bestFit="1" customWidth="1"/>
    <col min="12299" max="12299" width="11" style="1" bestFit="1" customWidth="1"/>
    <col min="12300" max="12502" width="9" style="1"/>
    <col min="12503" max="12503" width="2.875" style="1" bestFit="1" customWidth="1"/>
    <col min="12504" max="12504" width="16.625" style="1" bestFit="1" customWidth="1"/>
    <col min="12505" max="12505" width="11.375" style="1" bestFit="1" customWidth="1"/>
    <col min="12506" max="12507" width="14.125" style="1" bestFit="1" customWidth="1"/>
    <col min="12508" max="12508" width="11.375" style="1" bestFit="1" customWidth="1"/>
    <col min="12509" max="12511" width="12.5" style="1" bestFit="1" customWidth="1"/>
    <col min="12512" max="12512" width="11" style="1" bestFit="1" customWidth="1"/>
    <col min="12513" max="12531" width="13" style="1" bestFit="1" customWidth="1"/>
    <col min="12532" max="12535" width="11" style="1" bestFit="1" customWidth="1"/>
    <col min="12536" max="12538" width="12.25" style="1" bestFit="1" customWidth="1"/>
    <col min="12539" max="12552" width="11" style="1" bestFit="1" customWidth="1"/>
    <col min="12553" max="12553" width="13.25" style="1" bestFit="1" customWidth="1"/>
    <col min="12554" max="12554" width="10" style="1" bestFit="1" customWidth="1"/>
    <col min="12555" max="12555" width="11" style="1" bestFit="1" customWidth="1"/>
    <col min="12556" max="12758" width="9" style="1"/>
    <col min="12759" max="12759" width="2.875" style="1" bestFit="1" customWidth="1"/>
    <col min="12760" max="12760" width="16.625" style="1" bestFit="1" customWidth="1"/>
    <col min="12761" max="12761" width="11.375" style="1" bestFit="1" customWidth="1"/>
    <col min="12762" max="12763" width="14.125" style="1" bestFit="1" customWidth="1"/>
    <col min="12764" max="12764" width="11.375" style="1" bestFit="1" customWidth="1"/>
    <col min="12765" max="12767" width="12.5" style="1" bestFit="1" customWidth="1"/>
    <col min="12768" max="12768" width="11" style="1" bestFit="1" customWidth="1"/>
    <col min="12769" max="12787" width="13" style="1" bestFit="1" customWidth="1"/>
    <col min="12788" max="12791" width="11" style="1" bestFit="1" customWidth="1"/>
    <col min="12792" max="12794" width="12.25" style="1" bestFit="1" customWidth="1"/>
    <col min="12795" max="12808" width="11" style="1" bestFit="1" customWidth="1"/>
    <col min="12809" max="12809" width="13.25" style="1" bestFit="1" customWidth="1"/>
    <col min="12810" max="12810" width="10" style="1" bestFit="1" customWidth="1"/>
    <col min="12811" max="12811" width="11" style="1" bestFit="1" customWidth="1"/>
    <col min="12812" max="13014" width="9" style="1"/>
    <col min="13015" max="13015" width="2.875" style="1" bestFit="1" customWidth="1"/>
    <col min="13016" max="13016" width="16.625" style="1" bestFit="1" customWidth="1"/>
    <col min="13017" max="13017" width="11.375" style="1" bestFit="1" customWidth="1"/>
    <col min="13018" max="13019" width="14.125" style="1" bestFit="1" customWidth="1"/>
    <col min="13020" max="13020" width="11.375" style="1" bestFit="1" customWidth="1"/>
    <col min="13021" max="13023" width="12.5" style="1" bestFit="1" customWidth="1"/>
    <col min="13024" max="13024" width="11" style="1" bestFit="1" customWidth="1"/>
    <col min="13025" max="13043" width="13" style="1" bestFit="1" customWidth="1"/>
    <col min="13044" max="13047" width="11" style="1" bestFit="1" customWidth="1"/>
    <col min="13048" max="13050" width="12.25" style="1" bestFit="1" customWidth="1"/>
    <col min="13051" max="13064" width="11" style="1" bestFit="1" customWidth="1"/>
    <col min="13065" max="13065" width="13.25" style="1" bestFit="1" customWidth="1"/>
    <col min="13066" max="13066" width="10" style="1" bestFit="1" customWidth="1"/>
    <col min="13067" max="13067" width="11" style="1" bestFit="1" customWidth="1"/>
    <col min="13068" max="13270" width="9" style="1"/>
    <col min="13271" max="13271" width="2.875" style="1" bestFit="1" customWidth="1"/>
    <col min="13272" max="13272" width="16.625" style="1" bestFit="1" customWidth="1"/>
    <col min="13273" max="13273" width="11.375" style="1" bestFit="1" customWidth="1"/>
    <col min="13274" max="13275" width="14.125" style="1" bestFit="1" customWidth="1"/>
    <col min="13276" max="13276" width="11.375" style="1" bestFit="1" customWidth="1"/>
    <col min="13277" max="13279" width="12.5" style="1" bestFit="1" customWidth="1"/>
    <col min="13280" max="13280" width="11" style="1" bestFit="1" customWidth="1"/>
    <col min="13281" max="13299" width="13" style="1" bestFit="1" customWidth="1"/>
    <col min="13300" max="13303" width="11" style="1" bestFit="1" customWidth="1"/>
    <col min="13304" max="13306" width="12.25" style="1" bestFit="1" customWidth="1"/>
    <col min="13307" max="13320" width="11" style="1" bestFit="1" customWidth="1"/>
    <col min="13321" max="13321" width="13.25" style="1" bestFit="1" customWidth="1"/>
    <col min="13322" max="13322" width="10" style="1" bestFit="1" customWidth="1"/>
    <col min="13323" max="13323" width="11" style="1" bestFit="1" customWidth="1"/>
    <col min="13324" max="13526" width="9" style="1"/>
    <col min="13527" max="13527" width="2.875" style="1" bestFit="1" customWidth="1"/>
    <col min="13528" max="13528" width="16.625" style="1" bestFit="1" customWidth="1"/>
    <col min="13529" max="13529" width="11.375" style="1" bestFit="1" customWidth="1"/>
    <col min="13530" max="13531" width="14.125" style="1" bestFit="1" customWidth="1"/>
    <col min="13532" max="13532" width="11.375" style="1" bestFit="1" customWidth="1"/>
    <col min="13533" max="13535" width="12.5" style="1" bestFit="1" customWidth="1"/>
    <col min="13536" max="13536" width="11" style="1" bestFit="1" customWidth="1"/>
    <col min="13537" max="13555" width="13" style="1" bestFit="1" customWidth="1"/>
    <col min="13556" max="13559" width="11" style="1" bestFit="1" customWidth="1"/>
    <col min="13560" max="13562" width="12.25" style="1" bestFit="1" customWidth="1"/>
    <col min="13563" max="13576" width="11" style="1" bestFit="1" customWidth="1"/>
    <col min="13577" max="13577" width="13.25" style="1" bestFit="1" customWidth="1"/>
    <col min="13578" max="13578" width="10" style="1" bestFit="1" customWidth="1"/>
    <col min="13579" max="13579" width="11" style="1" bestFit="1" customWidth="1"/>
    <col min="13580" max="13782" width="9" style="1"/>
    <col min="13783" max="13783" width="2.875" style="1" bestFit="1" customWidth="1"/>
    <col min="13784" max="13784" width="16.625" style="1" bestFit="1" customWidth="1"/>
    <col min="13785" max="13785" width="11.375" style="1" bestFit="1" customWidth="1"/>
    <col min="13786" max="13787" width="14.125" style="1" bestFit="1" customWidth="1"/>
    <col min="13788" max="13788" width="11.375" style="1" bestFit="1" customWidth="1"/>
    <col min="13789" max="13791" width="12.5" style="1" bestFit="1" customWidth="1"/>
    <col min="13792" max="13792" width="11" style="1" bestFit="1" customWidth="1"/>
    <col min="13793" max="13811" width="13" style="1" bestFit="1" customWidth="1"/>
    <col min="13812" max="13815" width="11" style="1" bestFit="1" customWidth="1"/>
    <col min="13816" max="13818" width="12.25" style="1" bestFit="1" customWidth="1"/>
    <col min="13819" max="13832" width="11" style="1" bestFit="1" customWidth="1"/>
    <col min="13833" max="13833" width="13.25" style="1" bestFit="1" customWidth="1"/>
    <col min="13834" max="13834" width="10" style="1" bestFit="1" customWidth="1"/>
    <col min="13835" max="13835" width="11" style="1" bestFit="1" customWidth="1"/>
    <col min="13836" max="14038" width="9" style="1"/>
    <col min="14039" max="14039" width="2.875" style="1" bestFit="1" customWidth="1"/>
    <col min="14040" max="14040" width="16.625" style="1" bestFit="1" customWidth="1"/>
    <col min="14041" max="14041" width="11.375" style="1" bestFit="1" customWidth="1"/>
    <col min="14042" max="14043" width="14.125" style="1" bestFit="1" customWidth="1"/>
    <col min="14044" max="14044" width="11.375" style="1" bestFit="1" customWidth="1"/>
    <col min="14045" max="14047" width="12.5" style="1" bestFit="1" customWidth="1"/>
    <col min="14048" max="14048" width="11" style="1" bestFit="1" customWidth="1"/>
    <col min="14049" max="14067" width="13" style="1" bestFit="1" customWidth="1"/>
    <col min="14068" max="14071" width="11" style="1" bestFit="1" customWidth="1"/>
    <col min="14072" max="14074" width="12.25" style="1" bestFit="1" customWidth="1"/>
    <col min="14075" max="14088" width="11" style="1" bestFit="1" customWidth="1"/>
    <col min="14089" max="14089" width="13.25" style="1" bestFit="1" customWidth="1"/>
    <col min="14090" max="14090" width="10" style="1" bestFit="1" customWidth="1"/>
    <col min="14091" max="14091" width="11" style="1" bestFit="1" customWidth="1"/>
    <col min="14092" max="14294" width="9" style="1"/>
    <col min="14295" max="14295" width="2.875" style="1" bestFit="1" customWidth="1"/>
    <col min="14296" max="14296" width="16.625" style="1" bestFit="1" customWidth="1"/>
    <col min="14297" max="14297" width="11.375" style="1" bestFit="1" customWidth="1"/>
    <col min="14298" max="14299" width="14.125" style="1" bestFit="1" customWidth="1"/>
    <col min="14300" max="14300" width="11.375" style="1" bestFit="1" customWidth="1"/>
    <col min="14301" max="14303" width="12.5" style="1" bestFit="1" customWidth="1"/>
    <col min="14304" max="14304" width="11" style="1" bestFit="1" customWidth="1"/>
    <col min="14305" max="14323" width="13" style="1" bestFit="1" customWidth="1"/>
    <col min="14324" max="14327" width="11" style="1" bestFit="1" customWidth="1"/>
    <col min="14328" max="14330" width="12.25" style="1" bestFit="1" customWidth="1"/>
    <col min="14331" max="14344" width="11" style="1" bestFit="1" customWidth="1"/>
    <col min="14345" max="14345" width="13.25" style="1" bestFit="1" customWidth="1"/>
    <col min="14346" max="14346" width="10" style="1" bestFit="1" customWidth="1"/>
    <col min="14347" max="14347" width="11" style="1" bestFit="1" customWidth="1"/>
    <col min="14348" max="14550" width="9" style="1"/>
    <col min="14551" max="14551" width="2.875" style="1" bestFit="1" customWidth="1"/>
    <col min="14552" max="14552" width="16.625" style="1" bestFit="1" customWidth="1"/>
    <col min="14553" max="14553" width="11.375" style="1" bestFit="1" customWidth="1"/>
    <col min="14554" max="14555" width="14.125" style="1" bestFit="1" customWidth="1"/>
    <col min="14556" max="14556" width="11.375" style="1" bestFit="1" customWidth="1"/>
    <col min="14557" max="14559" width="12.5" style="1" bestFit="1" customWidth="1"/>
    <col min="14560" max="14560" width="11" style="1" bestFit="1" customWidth="1"/>
    <col min="14561" max="14579" width="13" style="1" bestFit="1" customWidth="1"/>
    <col min="14580" max="14583" width="11" style="1" bestFit="1" customWidth="1"/>
    <col min="14584" max="14586" width="12.25" style="1" bestFit="1" customWidth="1"/>
    <col min="14587" max="14600" width="11" style="1" bestFit="1" customWidth="1"/>
    <col min="14601" max="14601" width="13.25" style="1" bestFit="1" customWidth="1"/>
    <col min="14602" max="14602" width="10" style="1" bestFit="1" customWidth="1"/>
    <col min="14603" max="14603" width="11" style="1" bestFit="1" customWidth="1"/>
    <col min="14604" max="14806" width="9" style="1"/>
    <col min="14807" max="14807" width="2.875" style="1" bestFit="1" customWidth="1"/>
    <col min="14808" max="14808" width="16.625" style="1" bestFit="1" customWidth="1"/>
    <col min="14809" max="14809" width="11.375" style="1" bestFit="1" customWidth="1"/>
    <col min="14810" max="14811" width="14.125" style="1" bestFit="1" customWidth="1"/>
    <col min="14812" max="14812" width="11.375" style="1" bestFit="1" customWidth="1"/>
    <col min="14813" max="14815" width="12.5" style="1" bestFit="1" customWidth="1"/>
    <col min="14816" max="14816" width="11" style="1" bestFit="1" customWidth="1"/>
    <col min="14817" max="14835" width="13" style="1" bestFit="1" customWidth="1"/>
    <col min="14836" max="14839" width="11" style="1" bestFit="1" customWidth="1"/>
    <col min="14840" max="14842" width="12.25" style="1" bestFit="1" customWidth="1"/>
    <col min="14843" max="14856" width="11" style="1" bestFit="1" customWidth="1"/>
    <col min="14857" max="14857" width="13.25" style="1" bestFit="1" customWidth="1"/>
    <col min="14858" max="14858" width="10" style="1" bestFit="1" customWidth="1"/>
    <col min="14859" max="14859" width="11" style="1" bestFit="1" customWidth="1"/>
    <col min="14860" max="15062" width="9" style="1"/>
    <col min="15063" max="15063" width="2.875" style="1" bestFit="1" customWidth="1"/>
    <col min="15064" max="15064" width="16.625" style="1" bestFit="1" customWidth="1"/>
    <col min="15065" max="15065" width="11.375" style="1" bestFit="1" customWidth="1"/>
    <col min="15066" max="15067" width="14.125" style="1" bestFit="1" customWidth="1"/>
    <col min="15068" max="15068" width="11.375" style="1" bestFit="1" customWidth="1"/>
    <col min="15069" max="15071" width="12.5" style="1" bestFit="1" customWidth="1"/>
    <col min="15072" max="15072" width="11" style="1" bestFit="1" customWidth="1"/>
    <col min="15073" max="15091" width="13" style="1" bestFit="1" customWidth="1"/>
    <col min="15092" max="15095" width="11" style="1" bestFit="1" customWidth="1"/>
    <col min="15096" max="15098" width="12.25" style="1" bestFit="1" customWidth="1"/>
    <col min="15099" max="15112" width="11" style="1" bestFit="1" customWidth="1"/>
    <col min="15113" max="15113" width="13.25" style="1" bestFit="1" customWidth="1"/>
    <col min="15114" max="15114" width="10" style="1" bestFit="1" customWidth="1"/>
    <col min="15115" max="15115" width="11" style="1" bestFit="1" customWidth="1"/>
    <col min="15116" max="15318" width="9" style="1"/>
    <col min="15319" max="15319" width="2.875" style="1" bestFit="1" customWidth="1"/>
    <col min="15320" max="15320" width="16.625" style="1" bestFit="1" customWidth="1"/>
    <col min="15321" max="15321" width="11.375" style="1" bestFit="1" customWidth="1"/>
    <col min="15322" max="15323" width="14.125" style="1" bestFit="1" customWidth="1"/>
    <col min="15324" max="15324" width="11.375" style="1" bestFit="1" customWidth="1"/>
    <col min="15325" max="15327" width="12.5" style="1" bestFit="1" customWidth="1"/>
    <col min="15328" max="15328" width="11" style="1" bestFit="1" customWidth="1"/>
    <col min="15329" max="15347" width="13" style="1" bestFit="1" customWidth="1"/>
    <col min="15348" max="15351" width="11" style="1" bestFit="1" customWidth="1"/>
    <col min="15352" max="15354" width="12.25" style="1" bestFit="1" customWidth="1"/>
    <col min="15355" max="15368" width="11" style="1" bestFit="1" customWidth="1"/>
    <col min="15369" max="15369" width="13.25" style="1" bestFit="1" customWidth="1"/>
    <col min="15370" max="15370" width="10" style="1" bestFit="1" customWidth="1"/>
    <col min="15371" max="15371" width="11" style="1" bestFit="1" customWidth="1"/>
    <col min="15372" max="15574" width="9" style="1"/>
    <col min="15575" max="15575" width="2.875" style="1" bestFit="1" customWidth="1"/>
    <col min="15576" max="15576" width="16.625" style="1" bestFit="1" customWidth="1"/>
    <col min="15577" max="15577" width="11.375" style="1" bestFit="1" customWidth="1"/>
    <col min="15578" max="15579" width="14.125" style="1" bestFit="1" customWidth="1"/>
    <col min="15580" max="15580" width="11.375" style="1" bestFit="1" customWidth="1"/>
    <col min="15581" max="15583" width="12.5" style="1" bestFit="1" customWidth="1"/>
    <col min="15584" max="15584" width="11" style="1" bestFit="1" customWidth="1"/>
    <col min="15585" max="15603" width="13" style="1" bestFit="1" customWidth="1"/>
    <col min="15604" max="15607" width="11" style="1" bestFit="1" customWidth="1"/>
    <col min="15608" max="15610" width="12.25" style="1" bestFit="1" customWidth="1"/>
    <col min="15611" max="15624" width="11" style="1" bestFit="1" customWidth="1"/>
    <col min="15625" max="15625" width="13.25" style="1" bestFit="1" customWidth="1"/>
    <col min="15626" max="15626" width="10" style="1" bestFit="1" customWidth="1"/>
    <col min="15627" max="15627" width="11" style="1" bestFit="1" customWidth="1"/>
    <col min="15628" max="15830" width="9" style="1"/>
    <col min="15831" max="15831" width="2.875" style="1" bestFit="1" customWidth="1"/>
    <col min="15832" max="15832" width="16.625" style="1" bestFit="1" customWidth="1"/>
    <col min="15833" max="15833" width="11.375" style="1" bestFit="1" customWidth="1"/>
    <col min="15834" max="15835" width="14.125" style="1" bestFit="1" customWidth="1"/>
    <col min="15836" max="15836" width="11.375" style="1" bestFit="1" customWidth="1"/>
    <col min="15837" max="15839" width="12.5" style="1" bestFit="1" customWidth="1"/>
    <col min="15840" max="15840" width="11" style="1" bestFit="1" customWidth="1"/>
    <col min="15841" max="15859" width="13" style="1" bestFit="1" customWidth="1"/>
    <col min="15860" max="15863" width="11" style="1" bestFit="1" customWidth="1"/>
    <col min="15864" max="15866" width="12.25" style="1" bestFit="1" customWidth="1"/>
    <col min="15867" max="15880" width="11" style="1" bestFit="1" customWidth="1"/>
    <col min="15881" max="15881" width="13.25" style="1" bestFit="1" customWidth="1"/>
    <col min="15882" max="15882" width="10" style="1" bestFit="1" customWidth="1"/>
    <col min="15883" max="15883" width="11" style="1" bestFit="1" customWidth="1"/>
    <col min="15884" max="16086" width="9" style="1"/>
    <col min="16087" max="16087" width="2.875" style="1" bestFit="1" customWidth="1"/>
    <col min="16088" max="16088" width="16.625" style="1" bestFit="1" customWidth="1"/>
    <col min="16089" max="16089" width="11.375" style="1" bestFit="1" customWidth="1"/>
    <col min="16090" max="16091" width="14.125" style="1" bestFit="1" customWidth="1"/>
    <col min="16092" max="16092" width="11.375" style="1" bestFit="1" customWidth="1"/>
    <col min="16093" max="16095" width="12.5" style="1" bestFit="1" customWidth="1"/>
    <col min="16096" max="16096" width="11" style="1" bestFit="1" customWidth="1"/>
    <col min="16097" max="16115" width="13" style="1" bestFit="1" customWidth="1"/>
    <col min="16116" max="16119" width="11" style="1" bestFit="1" customWidth="1"/>
    <col min="16120" max="16122" width="12.25" style="1" bestFit="1" customWidth="1"/>
    <col min="16123" max="16136" width="11" style="1" bestFit="1" customWidth="1"/>
    <col min="16137" max="16137" width="13.25" style="1" bestFit="1" customWidth="1"/>
    <col min="16138" max="16138" width="10" style="1" bestFit="1" customWidth="1"/>
    <col min="16139" max="16139" width="11" style="1" bestFit="1" customWidth="1"/>
    <col min="16140" max="16384" width="9" style="1"/>
  </cols>
  <sheetData>
    <row r="2" spans="1:11" ht="30.75" customHeight="1" x14ac:dyDescent="0.15"/>
    <row r="3" spans="1:11" ht="17.25" x14ac:dyDescent="0.2">
      <c r="A3" s="56">
        <v>45566</v>
      </c>
      <c r="B3" s="56"/>
      <c r="C3" s="58" t="s">
        <v>236</v>
      </c>
    </row>
    <row r="4" spans="1:11" s="5" customFormat="1" x14ac:dyDescent="0.15">
      <c r="A4" s="49" t="s">
        <v>0</v>
      </c>
      <c r="B4" s="49"/>
      <c r="C4" s="2" t="s">
        <v>180</v>
      </c>
      <c r="D4" s="2" t="s">
        <v>181</v>
      </c>
      <c r="E4" s="2" t="s">
        <v>33</v>
      </c>
      <c r="F4" s="2" t="s">
        <v>34</v>
      </c>
      <c r="G4" s="2" t="s">
        <v>35</v>
      </c>
      <c r="H4" s="2" t="s">
        <v>36</v>
      </c>
      <c r="I4" s="3" t="s">
        <v>41</v>
      </c>
      <c r="J4" s="3" t="s">
        <v>42</v>
      </c>
      <c r="K4" s="4" t="s">
        <v>43</v>
      </c>
    </row>
    <row r="5" spans="1:11" s="5" customFormat="1" hidden="1" x14ac:dyDescent="0.15">
      <c r="A5" s="53" t="s">
        <v>44</v>
      </c>
      <c r="B5" s="57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3"/>
      <c r="J5" s="3"/>
      <c r="K5" s="4"/>
    </row>
    <row r="6" spans="1:11" s="5" customFormat="1" hidden="1" x14ac:dyDescent="0.15">
      <c r="A6" s="53" t="s">
        <v>45</v>
      </c>
      <c r="B6" s="57"/>
      <c r="C6" s="2" t="s">
        <v>49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49</v>
      </c>
      <c r="I6" s="3"/>
      <c r="J6" s="3"/>
      <c r="K6" s="4"/>
    </row>
    <row r="7" spans="1:11" s="5" customFormat="1" x14ac:dyDescent="0.15">
      <c r="A7" s="55" t="s">
        <v>51</v>
      </c>
      <c r="B7" s="55"/>
      <c r="C7" s="42" t="s">
        <v>182</v>
      </c>
      <c r="D7" s="42" t="s">
        <v>183</v>
      </c>
      <c r="E7" s="42" t="s">
        <v>184</v>
      </c>
      <c r="F7" s="42" t="s">
        <v>185</v>
      </c>
      <c r="G7" s="42" t="s">
        <v>183</v>
      </c>
      <c r="H7" s="42"/>
      <c r="I7" s="6"/>
      <c r="J7" s="6"/>
      <c r="K7" s="7"/>
    </row>
    <row r="8" spans="1:11" s="5" customFormat="1" x14ac:dyDescent="0.15">
      <c r="A8" s="55" t="s">
        <v>52</v>
      </c>
      <c r="B8" s="55"/>
      <c r="C8" s="42" t="s">
        <v>225</v>
      </c>
      <c r="D8" s="42" t="s">
        <v>226</v>
      </c>
      <c r="E8" s="42" t="s">
        <v>227</v>
      </c>
      <c r="F8" s="42" t="s">
        <v>198</v>
      </c>
      <c r="G8" s="42" t="s">
        <v>228</v>
      </c>
      <c r="H8" s="42"/>
      <c r="I8" s="6"/>
      <c r="J8" s="6"/>
      <c r="K8" s="7"/>
    </row>
    <row r="9" spans="1:11" x14ac:dyDescent="0.15">
      <c r="A9" s="51" t="s">
        <v>53</v>
      </c>
      <c r="B9" s="52"/>
      <c r="C9" s="44">
        <v>14</v>
      </c>
      <c r="D9" s="44">
        <v>14</v>
      </c>
      <c r="E9" s="44">
        <v>8</v>
      </c>
      <c r="F9" s="44">
        <v>8</v>
      </c>
      <c r="G9" s="44">
        <v>8</v>
      </c>
      <c r="H9" s="44"/>
      <c r="I9" s="9">
        <f>SUM(C9:H9)</f>
        <v>52</v>
      </c>
      <c r="J9" s="9"/>
      <c r="K9" s="10"/>
    </row>
    <row r="10" spans="1:11" x14ac:dyDescent="0.15">
      <c r="A10" s="49" t="s">
        <v>54</v>
      </c>
      <c r="B10" s="49"/>
      <c r="C10" s="47" t="s">
        <v>64</v>
      </c>
      <c r="D10" s="47" t="s">
        <v>64</v>
      </c>
      <c r="E10" s="47" t="s">
        <v>62</v>
      </c>
      <c r="F10" s="47" t="s">
        <v>62</v>
      </c>
      <c r="G10" s="47" t="s">
        <v>62</v>
      </c>
      <c r="H10" s="47"/>
      <c r="I10" s="12"/>
      <c r="J10" s="12"/>
      <c r="K10" s="13"/>
    </row>
    <row r="11" spans="1:11" x14ac:dyDescent="0.15">
      <c r="A11" s="49" t="s">
        <v>65</v>
      </c>
      <c r="B11" s="49"/>
      <c r="C11" s="14">
        <v>4609.8</v>
      </c>
      <c r="D11" s="14">
        <v>2996</v>
      </c>
      <c r="E11" s="14">
        <v>4061.7</v>
      </c>
      <c r="F11" s="14">
        <v>6416.9</v>
      </c>
      <c r="G11" s="14">
        <v>4408.5</v>
      </c>
      <c r="H11" s="14">
        <v>0</v>
      </c>
      <c r="I11" s="16">
        <f>SUM(C11:H11)</f>
        <v>22492.9</v>
      </c>
      <c r="J11" s="16">
        <f>AVERAGE(C11:H11)</f>
        <v>3748.8166666666671</v>
      </c>
      <c r="K11" s="13"/>
    </row>
    <row r="12" spans="1:11" x14ac:dyDescent="0.15">
      <c r="A12" s="53" t="s">
        <v>66</v>
      </c>
      <c r="B12" s="54"/>
      <c r="C12" s="18">
        <v>7.3833333333333337</v>
      </c>
      <c r="D12" s="18">
        <v>4.5541666666666663</v>
      </c>
      <c r="E12" s="18">
        <v>7.3902777777777775</v>
      </c>
      <c r="F12" s="18">
        <v>10.248611111111112</v>
      </c>
      <c r="G12" s="18">
        <v>7.1493055555555554</v>
      </c>
      <c r="H12" s="18">
        <v>0</v>
      </c>
      <c r="I12" s="20">
        <f>SUM(C12:H12)</f>
        <v>36.725694444444443</v>
      </c>
      <c r="J12" s="20">
        <f>AVERAGE(C12:H12)</f>
        <v>6.1209490740740735</v>
      </c>
      <c r="K12" s="13"/>
    </row>
    <row r="13" spans="1:11" x14ac:dyDescent="0.15">
      <c r="A13" s="49" t="s">
        <v>67</v>
      </c>
      <c r="B13" s="49"/>
      <c r="C13" s="14">
        <v>1755300</v>
      </c>
      <c r="D13" s="14">
        <v>872100</v>
      </c>
      <c r="E13" s="14">
        <v>965700</v>
      </c>
      <c r="F13" s="14">
        <v>1432321</v>
      </c>
      <c r="G13" s="14">
        <v>999600</v>
      </c>
      <c r="H13" s="14">
        <v>405067</v>
      </c>
      <c r="I13" s="16">
        <f>SUM(C13:H13)</f>
        <v>6430088</v>
      </c>
      <c r="J13" s="16">
        <f>AVERAGE(C13:H13)</f>
        <v>1071681.3333333333</v>
      </c>
      <c r="K13" s="13">
        <f>I13/I13</f>
        <v>1</v>
      </c>
    </row>
    <row r="14" spans="1:11" x14ac:dyDescent="0.15">
      <c r="A14" s="53" t="s">
        <v>68</v>
      </c>
      <c r="B14" s="54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6">
        <f>SUM(C14:H14)</f>
        <v>0</v>
      </c>
      <c r="J14" s="16">
        <f>AVERAGE(C14:H14)</f>
        <v>0</v>
      </c>
      <c r="K14" s="13"/>
    </row>
    <row r="15" spans="1:11" x14ac:dyDescent="0.15">
      <c r="A15" s="49" t="s">
        <v>69</v>
      </c>
      <c r="B15" s="49"/>
      <c r="C15" s="14">
        <f t="shared" ref="C15:H15" si="0">SUM(C13/C11)</f>
        <v>380.77573864375893</v>
      </c>
      <c r="D15" s="14">
        <f t="shared" si="0"/>
        <v>291.08811748998664</v>
      </c>
      <c r="E15" s="14">
        <f t="shared" si="0"/>
        <v>237.75758918679372</v>
      </c>
      <c r="F15" s="14">
        <f t="shared" si="0"/>
        <v>223.21074038866121</v>
      </c>
      <c r="G15" s="14">
        <f t="shared" si="0"/>
        <v>226.74379040489961</v>
      </c>
      <c r="H15" s="14" t="e">
        <f t="shared" si="0"/>
        <v>#DIV/0!</v>
      </c>
      <c r="I15" s="12">
        <f>SUM(I13/I11)</f>
        <v>285.8718973542762</v>
      </c>
      <c r="J15" s="16" t="e">
        <f>AVERAGE(C15:H15)</f>
        <v>#DIV/0!</v>
      </c>
      <c r="K15" s="13"/>
    </row>
    <row r="16" spans="1:11" x14ac:dyDescent="0.15">
      <c r="A16" s="53" t="s">
        <v>70</v>
      </c>
      <c r="B16" s="54"/>
      <c r="C16" s="21">
        <f t="shared" ref="C16:I16" si="1">C13/(C12*24)</f>
        <v>9905.7562076749418</v>
      </c>
      <c r="D16" s="21">
        <f t="shared" si="1"/>
        <v>7978.9569990850878</v>
      </c>
      <c r="E16" s="21">
        <f t="shared" si="1"/>
        <v>5444.6532606652881</v>
      </c>
      <c r="F16" s="21">
        <f t="shared" si="1"/>
        <v>5823.2321452771375</v>
      </c>
      <c r="G16" s="21">
        <f t="shared" si="1"/>
        <v>5825.740650801361</v>
      </c>
      <c r="H16" s="21" t="e">
        <f t="shared" si="1"/>
        <v>#DIV/0!</v>
      </c>
      <c r="I16" s="23">
        <f t="shared" si="1"/>
        <v>7295.1740569159501</v>
      </c>
      <c r="J16" s="23" t="e">
        <f>AVERAGE(C16:H16)</f>
        <v>#DIV/0!</v>
      </c>
      <c r="K16" s="13"/>
    </row>
    <row r="17" spans="1:11" x14ac:dyDescent="0.15">
      <c r="A17" s="50" t="s">
        <v>71</v>
      </c>
      <c r="B17" s="11" t="s">
        <v>72</v>
      </c>
      <c r="C17" s="14">
        <v>0</v>
      </c>
      <c r="D17" s="14">
        <v>0</v>
      </c>
      <c r="E17" s="14">
        <v>0</v>
      </c>
      <c r="F17" s="14">
        <v>0</v>
      </c>
      <c r="G17" s="14">
        <v>48750</v>
      </c>
      <c r="H17" s="14">
        <v>0</v>
      </c>
      <c r="I17" s="16">
        <f>SUM(C17:H17)</f>
        <v>48750</v>
      </c>
      <c r="J17" s="16">
        <f>AVERAGE(C17:H17)</f>
        <v>8125</v>
      </c>
      <c r="K17" s="13">
        <f>I17/I13</f>
        <v>7.5815447626844295E-3</v>
      </c>
    </row>
    <row r="18" spans="1:11" x14ac:dyDescent="0.15">
      <c r="A18" s="50"/>
      <c r="B18" s="11" t="s">
        <v>73</v>
      </c>
      <c r="C18" s="14">
        <v>6950</v>
      </c>
      <c r="D18" s="14">
        <v>7075</v>
      </c>
      <c r="E18" s="14">
        <v>4025</v>
      </c>
      <c r="F18" s="14">
        <v>4825</v>
      </c>
      <c r="G18" s="14">
        <v>2410</v>
      </c>
      <c r="H18" s="14">
        <v>0</v>
      </c>
      <c r="I18" s="16">
        <f>SUM(C18:H18)</f>
        <v>25285</v>
      </c>
      <c r="J18" s="16">
        <f>AVERAGE(C18:H18)</f>
        <v>4214.166666666667</v>
      </c>
      <c r="K18" s="13">
        <f>I18/I13</f>
        <v>3.9322945502456574E-3</v>
      </c>
    </row>
    <row r="19" spans="1:11" x14ac:dyDescent="0.15">
      <c r="A19" s="50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6">
        <f>SUM(C19:H19)</f>
        <v>0</v>
      </c>
      <c r="J19" s="16">
        <f>AVERAGE(C19:H19)</f>
        <v>0</v>
      </c>
      <c r="K19" s="13">
        <f>I19/I13</f>
        <v>0</v>
      </c>
    </row>
    <row r="20" spans="1:11" x14ac:dyDescent="0.15">
      <c r="A20" s="50"/>
      <c r="B20" s="11" t="s">
        <v>75</v>
      </c>
      <c r="C20" s="14">
        <v>8333</v>
      </c>
      <c r="D20" s="14">
        <v>9337</v>
      </c>
      <c r="E20" s="14">
        <v>4583</v>
      </c>
      <c r="F20" s="14">
        <v>4950</v>
      </c>
      <c r="G20" s="14">
        <v>4766</v>
      </c>
      <c r="H20" s="14">
        <v>0</v>
      </c>
      <c r="I20" s="16">
        <f>SUM(C20:H20)</f>
        <v>31969</v>
      </c>
      <c r="J20" s="16">
        <f>AVERAGE(C20:H20)</f>
        <v>5328.166666666667</v>
      </c>
      <c r="K20" s="13">
        <f>I20/I13</f>
        <v>4.9717826567847907E-3</v>
      </c>
    </row>
    <row r="21" spans="1:11" x14ac:dyDescent="0.15">
      <c r="A21" s="50"/>
      <c r="B21" s="11" t="s">
        <v>76</v>
      </c>
      <c r="C21" s="14">
        <v>45533</v>
      </c>
      <c r="D21" s="14">
        <v>37506</v>
      </c>
      <c r="E21" s="14">
        <v>27100</v>
      </c>
      <c r="F21" s="14">
        <v>35758</v>
      </c>
      <c r="G21" s="14">
        <v>34656</v>
      </c>
      <c r="H21" s="14">
        <v>0</v>
      </c>
      <c r="I21" s="16">
        <f>SUM(C21:H21)</f>
        <v>180553</v>
      </c>
      <c r="J21" s="16">
        <f>AVERAGE(C21:H21)</f>
        <v>30092.166666666668</v>
      </c>
      <c r="K21" s="13">
        <f>I21/I13</f>
        <v>2.807939798024537E-2</v>
      </c>
    </row>
    <row r="22" spans="1:11" x14ac:dyDescent="0.15">
      <c r="A22" s="50"/>
      <c r="B22" s="24" t="s">
        <v>77</v>
      </c>
      <c r="C22" s="25">
        <f t="shared" ref="C22:H22" si="2">SUM(C17:C21)</f>
        <v>60816</v>
      </c>
      <c r="D22" s="25">
        <f t="shared" si="2"/>
        <v>53918</v>
      </c>
      <c r="E22" s="25">
        <f t="shared" si="2"/>
        <v>35708</v>
      </c>
      <c r="F22" s="25">
        <f t="shared" si="2"/>
        <v>45533</v>
      </c>
      <c r="G22" s="25">
        <f t="shared" si="2"/>
        <v>90582</v>
      </c>
      <c r="H22" s="25">
        <f t="shared" si="2"/>
        <v>0</v>
      </c>
      <c r="I22" s="27">
        <f>SUM(C22:H22)</f>
        <v>286557</v>
      </c>
      <c r="J22" s="27">
        <f>AVERAGE(C22:H22)</f>
        <v>47759.5</v>
      </c>
      <c r="K22" s="28">
        <f>I22/I13</f>
        <v>4.4565019949960247E-2</v>
      </c>
    </row>
    <row r="23" spans="1:11" x14ac:dyDescent="0.15">
      <c r="A23" s="50" t="s">
        <v>78</v>
      </c>
      <c r="B23" s="11" t="s">
        <v>79</v>
      </c>
      <c r="C23" s="14">
        <v>33668</v>
      </c>
      <c r="D23" s="14">
        <v>0</v>
      </c>
      <c r="E23" s="14">
        <v>0</v>
      </c>
      <c r="F23" s="14">
        <v>17820</v>
      </c>
      <c r="G23" s="14">
        <v>0</v>
      </c>
      <c r="H23" s="14">
        <v>0</v>
      </c>
      <c r="I23" s="16">
        <f>SUM(C23:H23)</f>
        <v>51488</v>
      </c>
      <c r="J23" s="16">
        <f>AVERAGE(C23:H23)</f>
        <v>8581.3333333333339</v>
      </c>
      <c r="K23" s="13">
        <f>I23/I13</f>
        <v>8.0073554203301724E-3</v>
      </c>
    </row>
    <row r="24" spans="1:11" x14ac:dyDescent="0.15">
      <c r="A24" s="50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6">
        <f>SUM(C24:H24)</f>
        <v>0</v>
      </c>
      <c r="J24" s="16">
        <f>AVERAGE(C24:H24)</f>
        <v>0</v>
      </c>
      <c r="K24" s="13">
        <f>I24/I13</f>
        <v>0</v>
      </c>
    </row>
    <row r="25" spans="1:11" x14ac:dyDescent="0.15">
      <c r="A25" s="50"/>
      <c r="B25" s="11" t="s">
        <v>81</v>
      </c>
      <c r="C25" s="14">
        <f t="shared" ref="C25:H25" si="3">30000*C9/70000*C11</f>
        <v>27658.800000000003</v>
      </c>
      <c r="D25" s="14">
        <f t="shared" si="3"/>
        <v>17976</v>
      </c>
      <c r="E25" s="14">
        <f t="shared" si="3"/>
        <v>13925.82857142857</v>
      </c>
      <c r="F25" s="14">
        <f t="shared" si="3"/>
        <v>22000.799999999999</v>
      </c>
      <c r="G25" s="14">
        <f t="shared" si="3"/>
        <v>15114.857142857141</v>
      </c>
      <c r="H25" s="14">
        <f t="shared" si="3"/>
        <v>0</v>
      </c>
      <c r="I25" s="16">
        <f>SUM(C25:H25)</f>
        <v>96676.285714285725</v>
      </c>
      <c r="J25" s="16">
        <f>AVERAGE(C25:H25)</f>
        <v>16112.714285714288</v>
      </c>
      <c r="K25" s="13">
        <f>I25/I13</f>
        <v>1.5034986412983108E-2</v>
      </c>
    </row>
    <row r="26" spans="1:11" x14ac:dyDescent="0.15">
      <c r="A26" s="50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6">
        <f>SUM(C26:H26)</f>
        <v>0</v>
      </c>
      <c r="J26" s="16">
        <f>AVERAGE(C26:H26)</f>
        <v>0</v>
      </c>
      <c r="K26" s="13">
        <f>I26/I13</f>
        <v>0</v>
      </c>
    </row>
    <row r="27" spans="1:11" x14ac:dyDescent="0.15">
      <c r="A27" s="50"/>
      <c r="B27" s="24" t="s">
        <v>82</v>
      </c>
      <c r="C27" s="25">
        <f t="shared" ref="C27:H27" si="4">SUM(C23:C26)</f>
        <v>61326.8</v>
      </c>
      <c r="D27" s="25">
        <f t="shared" si="4"/>
        <v>17976</v>
      </c>
      <c r="E27" s="25">
        <f t="shared" si="4"/>
        <v>13925.82857142857</v>
      </c>
      <c r="F27" s="25">
        <f t="shared" si="4"/>
        <v>39820.800000000003</v>
      </c>
      <c r="G27" s="25">
        <f t="shared" si="4"/>
        <v>15114.857142857141</v>
      </c>
      <c r="H27" s="25">
        <f t="shared" si="4"/>
        <v>0</v>
      </c>
      <c r="I27" s="27">
        <f>SUM(C27:H27)</f>
        <v>148164.28571428571</v>
      </c>
      <c r="J27" s="27">
        <f>AVERAGE(C27:H27)</f>
        <v>24694.047619047618</v>
      </c>
      <c r="K27" s="28">
        <f>I27/I13</f>
        <v>2.3042341833313277E-2</v>
      </c>
    </row>
    <row r="28" spans="1:11" x14ac:dyDescent="0.15">
      <c r="A28" s="50" t="s">
        <v>83</v>
      </c>
      <c r="B28" s="8" t="s">
        <v>84</v>
      </c>
      <c r="C28" s="29">
        <v>1602</v>
      </c>
      <c r="D28" s="29">
        <v>1182</v>
      </c>
      <c r="E28" s="29">
        <v>989</v>
      </c>
      <c r="F28" s="29">
        <v>1552</v>
      </c>
      <c r="G28" s="29">
        <v>945</v>
      </c>
      <c r="H28" s="29">
        <v>0</v>
      </c>
      <c r="I28" s="31">
        <f>SUM(C28:H28)</f>
        <v>6270</v>
      </c>
      <c r="J28" s="31">
        <f>AVERAGE(C28:H28)</f>
        <v>1045</v>
      </c>
      <c r="K28" s="10">
        <f>I28/I13</f>
        <v>9.7510329563141286E-4</v>
      </c>
    </row>
    <row r="29" spans="1:11" x14ac:dyDescent="0.15">
      <c r="A29" s="50"/>
      <c r="B29" s="32" t="s">
        <v>85</v>
      </c>
      <c r="C29" s="33">
        <f t="shared" ref="C29:I29" si="5">SUM(C11/C28)</f>
        <v>2.8775280898876407</v>
      </c>
      <c r="D29" s="33">
        <f t="shared" si="5"/>
        <v>2.5346869712351947</v>
      </c>
      <c r="E29" s="33">
        <f t="shared" si="5"/>
        <v>4.1068756319514659</v>
      </c>
      <c r="F29" s="33">
        <f t="shared" si="5"/>
        <v>4.1346005154639176</v>
      </c>
      <c r="G29" s="33">
        <f t="shared" si="5"/>
        <v>4.6650793650793654</v>
      </c>
      <c r="H29" s="33" t="e">
        <f t="shared" si="5"/>
        <v>#DIV/0!</v>
      </c>
      <c r="I29" s="35">
        <f t="shared" si="5"/>
        <v>3.5873843700159491</v>
      </c>
      <c r="J29" s="35" t="e">
        <f>AVERAGE(C29:H29)</f>
        <v>#DIV/0!</v>
      </c>
      <c r="K29" s="32">
        <f>I29/I13</f>
        <v>5.5790595245600821E-7</v>
      </c>
    </row>
    <row r="30" spans="1:11" x14ac:dyDescent="0.15">
      <c r="A30" s="50"/>
      <c r="B30" s="11" t="s">
        <v>86</v>
      </c>
      <c r="C30" s="14">
        <v>192718</v>
      </c>
      <c r="D30" s="14">
        <v>142194</v>
      </c>
      <c r="E30" s="14">
        <v>118976</v>
      </c>
      <c r="F30" s="14">
        <v>187122</v>
      </c>
      <c r="G30" s="14">
        <v>113682</v>
      </c>
      <c r="H30" s="14">
        <v>0</v>
      </c>
      <c r="I30" s="16">
        <f>SUM(C30:H30)</f>
        <v>754692</v>
      </c>
      <c r="J30" s="16">
        <f>AVERAGE(C30:H30)</f>
        <v>125782</v>
      </c>
      <c r="K30" s="13">
        <f>I30/I13</f>
        <v>0.11736884471876591</v>
      </c>
    </row>
    <row r="31" spans="1:11" x14ac:dyDescent="0.15">
      <c r="A31" s="50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6">
        <f>SUM(C31:H31)</f>
        <v>0</v>
      </c>
      <c r="J31" s="16">
        <f>AVERAGE(C31:H31)</f>
        <v>0</v>
      </c>
      <c r="K31" s="13">
        <f>I31/I13</f>
        <v>0</v>
      </c>
    </row>
    <row r="32" spans="1:11" x14ac:dyDescent="0.15">
      <c r="A32" s="50"/>
      <c r="B32" s="11" t="s">
        <v>88</v>
      </c>
      <c r="C32" s="14">
        <v>4608</v>
      </c>
      <c r="D32" s="14">
        <v>6873</v>
      </c>
      <c r="E32" s="14">
        <v>2888</v>
      </c>
      <c r="F32" s="14">
        <v>6185</v>
      </c>
      <c r="G32" s="14">
        <v>4068</v>
      </c>
      <c r="H32" s="14">
        <v>0</v>
      </c>
      <c r="I32" s="16">
        <f>SUM(C32:H32)</f>
        <v>24622</v>
      </c>
      <c r="J32" s="16">
        <f>AVERAGE(C32:H32)</f>
        <v>4103.666666666667</v>
      </c>
      <c r="K32" s="13">
        <f>I32/I13</f>
        <v>3.8291855414731494E-3</v>
      </c>
    </row>
    <row r="33" spans="1:11" x14ac:dyDescent="0.15">
      <c r="A33" s="50"/>
      <c r="B33" s="24" t="s">
        <v>89</v>
      </c>
      <c r="C33" s="25">
        <f t="shared" ref="C33:H33" si="6">SUM(C30:C32)</f>
        <v>197326</v>
      </c>
      <c r="D33" s="25">
        <f t="shared" si="6"/>
        <v>149067</v>
      </c>
      <c r="E33" s="25">
        <f t="shared" si="6"/>
        <v>121864</v>
      </c>
      <c r="F33" s="25">
        <f t="shared" si="6"/>
        <v>193307</v>
      </c>
      <c r="G33" s="25">
        <f t="shared" si="6"/>
        <v>117750</v>
      </c>
      <c r="H33" s="25">
        <f t="shared" si="6"/>
        <v>0</v>
      </c>
      <c r="I33" s="27">
        <f>SUM(C33:H33)</f>
        <v>779314</v>
      </c>
      <c r="J33" s="27">
        <f>AVERAGE(C33:H33)</f>
        <v>129885.66666666667</v>
      </c>
      <c r="K33" s="28">
        <f>I33/I13</f>
        <v>0.12119803026023905</v>
      </c>
    </row>
    <row r="34" spans="1:11" x14ac:dyDescent="0.15">
      <c r="A34" s="50" t="s">
        <v>90</v>
      </c>
      <c r="B34" s="11" t="s">
        <v>91</v>
      </c>
      <c r="C34" s="14">
        <v>2451</v>
      </c>
      <c r="D34" s="14">
        <v>2451</v>
      </c>
      <c r="E34" s="14">
        <v>2365</v>
      </c>
      <c r="F34" s="14">
        <v>2008</v>
      </c>
      <c r="G34" s="14">
        <v>2008</v>
      </c>
      <c r="H34" s="14">
        <v>0</v>
      </c>
      <c r="I34" s="16">
        <f>SUM(C34:H34)</f>
        <v>11283</v>
      </c>
      <c r="J34" s="16">
        <f>AVERAGE(C34:H34)</f>
        <v>1880.5</v>
      </c>
      <c r="K34" s="13">
        <f>I34/I13</f>
        <v>1.7547193755357625E-3</v>
      </c>
    </row>
    <row r="35" spans="1:11" x14ac:dyDescent="0.15">
      <c r="A35" s="50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6">
        <f>SUM(C35:H35)</f>
        <v>0</v>
      </c>
      <c r="J35" s="16">
        <f>AVERAGE(C35:H35)</f>
        <v>0</v>
      </c>
      <c r="K35" s="13">
        <f>I35/I13</f>
        <v>0</v>
      </c>
    </row>
    <row r="36" spans="1:11" x14ac:dyDescent="0.15">
      <c r="A36" s="50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6">
        <f>SUM(C36:H36)</f>
        <v>0</v>
      </c>
      <c r="J36" s="16">
        <f>AVERAGE(C36:H36)</f>
        <v>0</v>
      </c>
      <c r="K36" s="13">
        <f>I36/I13</f>
        <v>0</v>
      </c>
    </row>
    <row r="37" spans="1:11" x14ac:dyDescent="0.15">
      <c r="A37" s="50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6">
        <f>SUM(C37:H37)</f>
        <v>0</v>
      </c>
      <c r="J37" s="16">
        <f>AVERAGE(C37:H37)</f>
        <v>0</v>
      </c>
      <c r="K37" s="13">
        <f>I37/I13</f>
        <v>0</v>
      </c>
    </row>
    <row r="38" spans="1:11" x14ac:dyDescent="0.15">
      <c r="A38" s="50"/>
      <c r="B38" s="11" t="s">
        <v>92</v>
      </c>
      <c r="C38" s="14">
        <v>10690</v>
      </c>
      <c r="D38" s="14">
        <v>10690</v>
      </c>
      <c r="E38" s="14">
        <v>5366</v>
      </c>
      <c r="F38" s="14">
        <v>5366</v>
      </c>
      <c r="G38" s="14">
        <v>7978</v>
      </c>
      <c r="H38" s="14">
        <v>0</v>
      </c>
      <c r="I38" s="16">
        <f>SUM(C38:H38)</f>
        <v>40090</v>
      </c>
      <c r="J38" s="16">
        <f>AVERAGE(C38:H38)</f>
        <v>6681.666666666667</v>
      </c>
      <c r="K38" s="13">
        <f>I38/I13</f>
        <v>6.234751375097821E-3</v>
      </c>
    </row>
    <row r="39" spans="1:11" x14ac:dyDescent="0.15">
      <c r="A39" s="50"/>
      <c r="B39" s="24" t="s">
        <v>93</v>
      </c>
      <c r="C39" s="25">
        <f t="shared" ref="C39:H39" si="7">SUM(C34:C38)</f>
        <v>13141</v>
      </c>
      <c r="D39" s="25">
        <f t="shared" si="7"/>
        <v>13141</v>
      </c>
      <c r="E39" s="25">
        <f t="shared" si="7"/>
        <v>7731</v>
      </c>
      <c r="F39" s="25">
        <f t="shared" si="7"/>
        <v>7374</v>
      </c>
      <c r="G39" s="25">
        <f t="shared" si="7"/>
        <v>9986</v>
      </c>
      <c r="H39" s="25">
        <f t="shared" si="7"/>
        <v>0</v>
      </c>
      <c r="I39" s="27">
        <f>SUM(C39:H39)</f>
        <v>51373</v>
      </c>
      <c r="J39" s="27">
        <f>AVERAGE(C39:H39)</f>
        <v>8562.1666666666661</v>
      </c>
      <c r="K39" s="28">
        <f>I39/I13</f>
        <v>7.9894707506335833E-3</v>
      </c>
    </row>
    <row r="40" spans="1:11" x14ac:dyDescent="0.15">
      <c r="A40" s="50" t="s">
        <v>94</v>
      </c>
      <c r="B40" s="11" t="s">
        <v>95</v>
      </c>
      <c r="C40" s="14">
        <v>158940</v>
      </c>
      <c r="D40" s="14">
        <v>151380</v>
      </c>
      <c r="E40" s="14">
        <v>153090</v>
      </c>
      <c r="F40" s="14">
        <v>243960</v>
      </c>
      <c r="G40" s="14">
        <v>176210</v>
      </c>
      <c r="H40" s="14">
        <v>0</v>
      </c>
      <c r="I40" s="16">
        <f>SUM(C40:H40)</f>
        <v>883580</v>
      </c>
      <c r="J40" s="16">
        <f>AVERAGE(C40:H40)</f>
        <v>147263.33333333334</v>
      </c>
      <c r="K40" s="13">
        <f>I40/I13</f>
        <v>0.13741336043923505</v>
      </c>
    </row>
    <row r="41" spans="1:11" x14ac:dyDescent="0.15">
      <c r="A41" s="50"/>
      <c r="B41" s="11" t="s">
        <v>96</v>
      </c>
      <c r="C41" s="14">
        <v>-123667</v>
      </c>
      <c r="D41" s="14">
        <v>-98216</v>
      </c>
      <c r="E41" s="14">
        <v>-88845</v>
      </c>
      <c r="F41" s="14">
        <v>-136396</v>
      </c>
      <c r="G41" s="14">
        <v>-98583</v>
      </c>
      <c r="H41" s="14">
        <v>0</v>
      </c>
      <c r="I41" s="16">
        <f>SUM(C41:H41)</f>
        <v>-545707</v>
      </c>
      <c r="J41" s="16">
        <f>AVERAGE(C41:H41)</f>
        <v>-90951.166666666672</v>
      </c>
      <c r="K41" s="13">
        <f>I41/I13</f>
        <v>-8.4867734314056045E-2</v>
      </c>
    </row>
    <row r="42" spans="1:11" x14ac:dyDescent="0.15">
      <c r="A42" s="50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6">
        <f>SUM(C42:H42)</f>
        <v>0</v>
      </c>
      <c r="J42" s="16">
        <f>AVERAGE(C42:H42)</f>
        <v>0</v>
      </c>
      <c r="K42" s="13">
        <f>I42/I13</f>
        <v>0</v>
      </c>
    </row>
    <row r="43" spans="1:11" x14ac:dyDescent="0.15">
      <c r="A43" s="50"/>
      <c r="B43" s="11" t="s">
        <v>98</v>
      </c>
      <c r="C43" s="14">
        <v>-52450.2</v>
      </c>
      <c r="D43" s="14">
        <v>-49955.4</v>
      </c>
      <c r="E43" s="14">
        <v>-50519.7</v>
      </c>
      <c r="F43" s="14">
        <v>-80506.8</v>
      </c>
      <c r="G43" s="14">
        <v>-58149.3</v>
      </c>
      <c r="H43" s="14">
        <v>0</v>
      </c>
      <c r="I43" s="16">
        <f>SUM(C43:H43)</f>
        <v>-291581.39999999997</v>
      </c>
      <c r="J43" s="16">
        <f>AVERAGE(B43:H43)</f>
        <v>-48596.899999999994</v>
      </c>
      <c r="K43" s="13">
        <f>I43/I13</f>
        <v>-4.5346408944947562E-2</v>
      </c>
    </row>
    <row r="44" spans="1:11" x14ac:dyDescent="0.15">
      <c r="A44" s="50"/>
      <c r="B44" s="24" t="s">
        <v>99</v>
      </c>
      <c r="C44" s="25">
        <f t="shared" ref="C44:I44" si="8">SUM(C40:C43)</f>
        <v>-17177.199999999997</v>
      </c>
      <c r="D44" s="25">
        <f t="shared" si="8"/>
        <v>3208.5999999999985</v>
      </c>
      <c r="E44" s="25">
        <f t="shared" si="8"/>
        <v>13725.300000000003</v>
      </c>
      <c r="F44" s="25">
        <f t="shared" si="8"/>
        <v>27057.199999999997</v>
      </c>
      <c r="G44" s="25">
        <f t="shared" si="8"/>
        <v>19477.699999999997</v>
      </c>
      <c r="H44" s="25">
        <f t="shared" si="8"/>
        <v>0</v>
      </c>
      <c r="I44" s="27">
        <f t="shared" si="8"/>
        <v>46291.600000000035</v>
      </c>
      <c r="J44" s="27">
        <f>AVERAGE(B44:H44)</f>
        <v>7715.2666666666664</v>
      </c>
      <c r="K44" s="28">
        <f>I44/I13</f>
        <v>7.1992171802314426E-3</v>
      </c>
    </row>
    <row r="45" spans="1:11" x14ac:dyDescent="0.15">
      <c r="A45" s="50" t="s">
        <v>100</v>
      </c>
      <c r="B45" s="11" t="s">
        <v>101</v>
      </c>
      <c r="C45" s="14">
        <v>334896</v>
      </c>
      <c r="D45" s="14">
        <v>204659</v>
      </c>
      <c r="E45" s="14">
        <v>334896</v>
      </c>
      <c r="F45" s="14">
        <v>502343</v>
      </c>
      <c r="G45" s="14">
        <v>334896</v>
      </c>
      <c r="H45" s="14">
        <v>0</v>
      </c>
      <c r="I45" s="16">
        <f>SUM(C45:H45)</f>
        <v>1711690</v>
      </c>
      <c r="J45" s="16">
        <f>AVERAGE(C45:H45)</f>
        <v>285281.66666666669</v>
      </c>
      <c r="K45" s="13">
        <f>I45/I13</f>
        <v>0.26620008933003714</v>
      </c>
    </row>
    <row r="46" spans="1:11" x14ac:dyDescent="0.15">
      <c r="A46" s="50"/>
      <c r="B46" s="11" t="s">
        <v>102</v>
      </c>
      <c r="C46" s="14">
        <v>17290</v>
      </c>
      <c r="D46" s="14">
        <v>10567</v>
      </c>
      <c r="E46" s="14">
        <v>17291</v>
      </c>
      <c r="F46" s="14">
        <v>25934</v>
      </c>
      <c r="G46" s="14">
        <v>17290</v>
      </c>
      <c r="H46" s="14">
        <v>0</v>
      </c>
      <c r="I46" s="16">
        <f>SUM(C46:H46)</f>
        <v>88372</v>
      </c>
      <c r="J46" s="16">
        <f>AVERAGE(C46:H46)</f>
        <v>14728.666666666666</v>
      </c>
      <c r="K46" s="13">
        <f>I46/I13</f>
        <v>1.3743513308060481E-2</v>
      </c>
    </row>
    <row r="47" spans="1:11" x14ac:dyDescent="0.15">
      <c r="A47" s="50"/>
      <c r="B47" s="11" t="s">
        <v>103</v>
      </c>
      <c r="C47" s="14">
        <v>53693</v>
      </c>
      <c r="D47" s="14">
        <v>32813</v>
      </c>
      <c r="E47" s="14">
        <v>53694</v>
      </c>
      <c r="F47" s="14">
        <v>80540</v>
      </c>
      <c r="G47" s="14">
        <v>53694</v>
      </c>
      <c r="H47" s="14">
        <v>0</v>
      </c>
      <c r="I47" s="16">
        <f>SUM(C47:H47)</f>
        <v>274434</v>
      </c>
      <c r="J47" s="16">
        <f>AVERAGE(C47:H47)</f>
        <v>45739</v>
      </c>
      <c r="K47" s="13">
        <f>I47/I13</f>
        <v>4.2679664726205928E-2</v>
      </c>
    </row>
    <row r="48" spans="1:11" x14ac:dyDescent="0.15">
      <c r="A48" s="50"/>
      <c r="B48" s="11" t="s">
        <v>104</v>
      </c>
      <c r="C48" s="14">
        <v>2057</v>
      </c>
      <c r="D48" s="14">
        <v>1257</v>
      </c>
      <c r="E48" s="14">
        <v>2058</v>
      </c>
      <c r="F48" s="14">
        <v>3086</v>
      </c>
      <c r="G48" s="14">
        <v>2057</v>
      </c>
      <c r="H48" s="14">
        <v>0</v>
      </c>
      <c r="I48" s="16">
        <f>SUM(C48:H48)</f>
        <v>10515</v>
      </c>
      <c r="J48" s="16">
        <f>AVERAGE(C48:H48)</f>
        <v>1752.5</v>
      </c>
      <c r="K48" s="13">
        <f>I48/I13</f>
        <v>1.6352808857359338E-3</v>
      </c>
    </row>
    <row r="49" spans="1:11" x14ac:dyDescent="0.15">
      <c r="A49" s="50"/>
      <c r="B49" s="24" t="s">
        <v>105</v>
      </c>
      <c r="C49" s="25">
        <f t="shared" ref="C49:H49" si="9">SUM(C45:C48)</f>
        <v>407936</v>
      </c>
      <c r="D49" s="25">
        <f t="shared" si="9"/>
        <v>249296</v>
      </c>
      <c r="E49" s="25">
        <f t="shared" si="9"/>
        <v>407939</v>
      </c>
      <c r="F49" s="25">
        <f t="shared" si="9"/>
        <v>611903</v>
      </c>
      <c r="G49" s="25">
        <f t="shared" si="9"/>
        <v>407937</v>
      </c>
      <c r="H49" s="25">
        <f t="shared" si="9"/>
        <v>0</v>
      </c>
      <c r="I49" s="27">
        <f>SUM(C49:H49)</f>
        <v>2085011</v>
      </c>
      <c r="J49" s="27">
        <f>AVERAGE(C49:H49)</f>
        <v>347501.83333333331</v>
      </c>
      <c r="K49" s="28">
        <f>I49/I13</f>
        <v>0.32425854825003952</v>
      </c>
    </row>
    <row r="50" spans="1:11" x14ac:dyDescent="0.15">
      <c r="A50" s="50" t="s">
        <v>106</v>
      </c>
      <c r="B50" s="11" t="s">
        <v>107</v>
      </c>
      <c r="C50" s="14">
        <v>59400</v>
      </c>
      <c r="D50" s="14">
        <v>59400</v>
      </c>
      <c r="E50" s="14">
        <v>59400</v>
      </c>
      <c r="F50" s="14">
        <v>59400</v>
      </c>
      <c r="G50" s="14">
        <v>59400</v>
      </c>
      <c r="H50" s="14">
        <v>0</v>
      </c>
      <c r="I50" s="16">
        <f>SUM(C50:H50)</f>
        <v>297000</v>
      </c>
      <c r="J50" s="16">
        <f>AVERAGE(C50:H50)</f>
        <v>49500</v>
      </c>
      <c r="K50" s="13">
        <f>I50/I13</f>
        <v>4.6189103477277449E-2</v>
      </c>
    </row>
    <row r="51" spans="1:11" x14ac:dyDescent="0.15">
      <c r="A51" s="50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6">
        <f>SUM(C51:H51)</f>
        <v>0</v>
      </c>
      <c r="J51" s="16">
        <f>AVERAGE(C51:H51)</f>
        <v>0</v>
      </c>
      <c r="K51" s="13">
        <f>I51/I13</f>
        <v>0</v>
      </c>
    </row>
    <row r="52" spans="1:11" x14ac:dyDescent="0.15">
      <c r="A52" s="50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6">
        <f>SUM(C52:H52)</f>
        <v>0</v>
      </c>
      <c r="J52" s="16">
        <f>AVERAGE(C52:H52)</f>
        <v>0</v>
      </c>
      <c r="K52" s="13">
        <f>I52/I13</f>
        <v>0</v>
      </c>
    </row>
    <row r="53" spans="1:11" x14ac:dyDescent="0.15">
      <c r="A53" s="50"/>
      <c r="B53" s="11" t="s">
        <v>110</v>
      </c>
      <c r="C53" s="14">
        <v>60241</v>
      </c>
      <c r="D53" s="14">
        <v>60241</v>
      </c>
      <c r="E53" s="14">
        <v>60241</v>
      </c>
      <c r="F53" s="14">
        <v>60241</v>
      </c>
      <c r="G53" s="14">
        <v>60241</v>
      </c>
      <c r="H53" s="14">
        <v>0</v>
      </c>
      <c r="I53" s="16">
        <f>SUM(C53:H53)</f>
        <v>301205</v>
      </c>
      <c r="J53" s="16">
        <f>AVERAGE(C53:H53)</f>
        <v>50200.833333333336</v>
      </c>
      <c r="K53" s="13">
        <f>I53/I13</f>
        <v>4.6843060312704896E-2</v>
      </c>
    </row>
    <row r="54" spans="1:11" x14ac:dyDescent="0.15">
      <c r="A54" s="50"/>
      <c r="B54" s="11" t="s">
        <v>111</v>
      </c>
      <c r="C54" s="14">
        <v>35122.800000000003</v>
      </c>
      <c r="D54" s="14">
        <v>35122.800000000003</v>
      </c>
      <c r="E54" s="14">
        <v>35122.800000000003</v>
      </c>
      <c r="F54" s="14">
        <v>35122.800000000003</v>
      </c>
      <c r="G54" s="14">
        <v>35122.800000000003</v>
      </c>
      <c r="H54" s="14">
        <v>0</v>
      </c>
      <c r="I54" s="16">
        <f>SUM(C54:H54)</f>
        <v>175614</v>
      </c>
      <c r="J54" s="16">
        <f>AVERAGE(C54:H54)</f>
        <v>29269</v>
      </c>
      <c r="K54" s="13">
        <f>I54/I13</f>
        <v>2.7311290296493609E-2</v>
      </c>
    </row>
    <row r="55" spans="1:11" x14ac:dyDescent="0.15">
      <c r="A55" s="50"/>
      <c r="B55" s="24" t="s">
        <v>112</v>
      </c>
      <c r="C55" s="25">
        <f t="shared" ref="C55:H55" si="10">SUM(C50:C54)</f>
        <v>154763.79999999999</v>
      </c>
      <c r="D55" s="25">
        <f t="shared" si="10"/>
        <v>154763.79999999999</v>
      </c>
      <c r="E55" s="25">
        <f t="shared" si="10"/>
        <v>154763.79999999999</v>
      </c>
      <c r="F55" s="25">
        <f t="shared" si="10"/>
        <v>154763.79999999999</v>
      </c>
      <c r="G55" s="25">
        <f t="shared" si="10"/>
        <v>154763.79999999999</v>
      </c>
      <c r="H55" s="25">
        <f t="shared" si="10"/>
        <v>0</v>
      </c>
      <c r="I55" s="27">
        <f>SUM(C55:H55)</f>
        <v>773819</v>
      </c>
      <c r="J55" s="27">
        <f>AVERAGE(C55:H55)</f>
        <v>128969.83333333333</v>
      </c>
      <c r="K55" s="28">
        <f>I55/I13</f>
        <v>0.12034345408647595</v>
      </c>
    </row>
    <row r="56" spans="1:11" x14ac:dyDescent="0.15">
      <c r="A56" s="49" t="s">
        <v>113</v>
      </c>
      <c r="B56" s="49"/>
      <c r="C56" s="14">
        <f t="shared" ref="C56:H56" si="11">SUM(C49+C22+C27+C33+C39+C44+C55)</f>
        <v>878132.40000000014</v>
      </c>
      <c r="D56" s="14">
        <f t="shared" si="11"/>
        <v>641370.39999999991</v>
      </c>
      <c r="E56" s="14">
        <f t="shared" si="11"/>
        <v>755656.92857142864</v>
      </c>
      <c r="F56" s="14">
        <f t="shared" si="11"/>
        <v>1079758.8</v>
      </c>
      <c r="G56" s="14">
        <f t="shared" si="11"/>
        <v>815611.35714285704</v>
      </c>
      <c r="H56" s="14">
        <f t="shared" si="11"/>
        <v>0</v>
      </c>
      <c r="I56" s="16">
        <f>SUM(C56:H56)</f>
        <v>4170529.885714286</v>
      </c>
      <c r="J56" s="16">
        <f>AVERAGE(C56:H56)</f>
        <v>695088.3142857143</v>
      </c>
      <c r="K56" s="13">
        <f>I56/I13</f>
        <v>0.64859608231089305</v>
      </c>
    </row>
    <row r="57" spans="1:11" x14ac:dyDescent="0.15">
      <c r="A57" s="49" t="s">
        <v>114</v>
      </c>
      <c r="B57" s="49"/>
      <c r="C57" s="14">
        <f t="shared" ref="C57:H57" si="12">SUM(C13+C14-C56)</f>
        <v>877167.59999999986</v>
      </c>
      <c r="D57" s="14">
        <f t="shared" si="12"/>
        <v>230729.60000000009</v>
      </c>
      <c r="E57" s="14">
        <f t="shared" si="12"/>
        <v>210043.07142857136</v>
      </c>
      <c r="F57" s="14">
        <f t="shared" si="12"/>
        <v>352562.19999999995</v>
      </c>
      <c r="G57" s="14">
        <f t="shared" si="12"/>
        <v>183988.64285714296</v>
      </c>
      <c r="H57" s="14">
        <f t="shared" si="12"/>
        <v>405067</v>
      </c>
      <c r="I57" s="16">
        <f>SUM(C57:H57)</f>
        <v>2259558.114285714</v>
      </c>
      <c r="J57" s="16">
        <f>AVERAGE(C57:H57)</f>
        <v>376593.01904761902</v>
      </c>
      <c r="K57" s="13">
        <f>I57/I13</f>
        <v>0.35140391768910689</v>
      </c>
    </row>
    <row r="58" spans="1:11" x14ac:dyDescent="0.15">
      <c r="A58" s="49" t="s">
        <v>115</v>
      </c>
      <c r="B58" s="49"/>
      <c r="C58" s="14">
        <v>107211.78571428571</v>
      </c>
      <c r="D58" s="14">
        <v>107211.78571428571</v>
      </c>
      <c r="E58" s="14">
        <v>107211.78571428571</v>
      </c>
      <c r="F58" s="14">
        <v>107211.78571428571</v>
      </c>
      <c r="G58" s="14">
        <v>107211.78571428571</v>
      </c>
      <c r="H58" s="14">
        <v>0</v>
      </c>
      <c r="I58" s="16">
        <f>SUM(C58:H58)</f>
        <v>536058.92857142852</v>
      </c>
      <c r="J58" s="16">
        <f>AVERAGE(C58:H58)</f>
        <v>89343.154761904749</v>
      </c>
      <c r="K58" s="13">
        <f>I58/I13</f>
        <v>8.3367277177455193E-2</v>
      </c>
    </row>
    <row r="59" spans="1:11" x14ac:dyDescent="0.15">
      <c r="A59" s="49" t="s">
        <v>116</v>
      </c>
      <c r="B59" s="49"/>
      <c r="C59" s="14">
        <v>28207.523809523809</v>
      </c>
      <c r="D59" s="14">
        <v>28207.523809523809</v>
      </c>
      <c r="E59" s="14">
        <v>28207.523809523809</v>
      </c>
      <c r="F59" s="14">
        <v>28207.523809523809</v>
      </c>
      <c r="G59" s="14">
        <v>28207.523809523809</v>
      </c>
      <c r="H59" s="14">
        <v>0</v>
      </c>
      <c r="I59" s="16">
        <f>SUM(C59:H59)</f>
        <v>141037.61904761905</v>
      </c>
      <c r="J59" s="16">
        <f>AVERAGE(C59:H59)</f>
        <v>23506.269841269841</v>
      </c>
      <c r="K59" s="13">
        <f>I59/I13</f>
        <v>2.1934010708347856E-2</v>
      </c>
    </row>
    <row r="60" spans="1:11" x14ac:dyDescent="0.15">
      <c r="A60" s="49" t="s">
        <v>117</v>
      </c>
      <c r="B60" s="49"/>
      <c r="C60" s="14">
        <f t="shared" ref="C60:H60" si="13">SUM(C57-(C58+C59))</f>
        <v>741748.29047619039</v>
      </c>
      <c r="D60" s="14">
        <f t="shared" si="13"/>
        <v>95310.290476190567</v>
      </c>
      <c r="E60" s="14">
        <f t="shared" si="13"/>
        <v>74623.761904761835</v>
      </c>
      <c r="F60" s="14">
        <f t="shared" si="13"/>
        <v>217142.89047619043</v>
      </c>
      <c r="G60" s="14">
        <f t="shared" si="13"/>
        <v>48569.33333333343</v>
      </c>
      <c r="H60" s="14">
        <f t="shared" si="13"/>
        <v>405067</v>
      </c>
      <c r="I60" s="16">
        <f>SUM(C60:H60)</f>
        <v>1582461.5666666669</v>
      </c>
      <c r="J60" s="16">
        <f>AVERAGE(C60:H60)</f>
        <v>263743.59444444446</v>
      </c>
      <c r="K60" s="13">
        <f>I60/I13</f>
        <v>0.24610262980330391</v>
      </c>
    </row>
    <row r="61" spans="1:11" x14ac:dyDescent="0.15">
      <c r="A61" s="11"/>
      <c r="B61" s="36" t="s">
        <v>46</v>
      </c>
      <c r="C61" s="11"/>
      <c r="D61" s="11"/>
      <c r="E61" s="11"/>
      <c r="F61" s="11"/>
      <c r="G61" s="11"/>
      <c r="H61" s="11"/>
    </row>
    <row r="62" spans="1:11" x14ac:dyDescent="0.15">
      <c r="A62" s="12"/>
      <c r="B62" s="37"/>
      <c r="C62" s="11"/>
      <c r="D62" s="11"/>
      <c r="E62" s="11"/>
      <c r="F62" s="11"/>
      <c r="G62" s="11"/>
      <c r="H62" s="11"/>
    </row>
    <row r="63" spans="1:11" x14ac:dyDescent="0.15">
      <c r="A63" s="12"/>
      <c r="B63" s="39" t="s">
        <v>124</v>
      </c>
      <c r="C63" s="11"/>
      <c r="D63" s="11"/>
      <c r="E63" s="11"/>
      <c r="F63" s="11"/>
      <c r="G63" s="11"/>
      <c r="H63" s="11"/>
    </row>
    <row r="64" spans="1:11" x14ac:dyDescent="0.15">
      <c r="A64" s="12"/>
      <c r="B64" s="40" t="s">
        <v>125</v>
      </c>
      <c r="C64" s="11"/>
      <c r="D64" s="11"/>
      <c r="E64" s="11"/>
      <c r="F64" s="11"/>
      <c r="G64" s="11"/>
      <c r="H64" s="11"/>
    </row>
    <row r="65" spans="1:8" x14ac:dyDescent="0.15">
      <c r="A65" s="12"/>
      <c r="B65" s="40" t="s">
        <v>41</v>
      </c>
      <c r="C65" s="11"/>
      <c r="D65" s="11"/>
      <c r="E65" s="11"/>
      <c r="F65" s="11"/>
      <c r="G65" s="11"/>
      <c r="H65" s="11"/>
    </row>
    <row r="66" spans="1:8" x14ac:dyDescent="0.15">
      <c r="A66" s="11"/>
      <c r="B66" s="41" t="s">
        <v>47</v>
      </c>
      <c r="C66" s="11"/>
      <c r="D66" s="11"/>
      <c r="E66" s="11"/>
      <c r="F66" s="11"/>
      <c r="G66" s="11"/>
      <c r="H66" s="11"/>
    </row>
    <row r="67" spans="1:8" x14ac:dyDescent="0.15">
      <c r="A67" s="11"/>
      <c r="B67" s="37"/>
      <c r="C67" s="11"/>
      <c r="D67" s="11"/>
      <c r="E67" s="11"/>
      <c r="F67" s="11"/>
      <c r="G67" s="11"/>
      <c r="H67" s="11"/>
    </row>
    <row r="68" spans="1:8" x14ac:dyDescent="0.15">
      <c r="A68" s="11"/>
      <c r="B68" s="39" t="s">
        <v>124</v>
      </c>
      <c r="C68" s="11"/>
      <c r="D68" s="11"/>
      <c r="E68" s="11"/>
      <c r="F68" s="11"/>
      <c r="G68" s="11"/>
      <c r="H68" s="11"/>
    </row>
    <row r="69" spans="1:8" x14ac:dyDescent="0.15">
      <c r="A69" s="11"/>
      <c r="B69" s="40" t="s">
        <v>125</v>
      </c>
      <c r="C69" s="11"/>
      <c r="D69" s="11"/>
      <c r="E69" s="11"/>
      <c r="F69" s="11"/>
      <c r="G69" s="11"/>
      <c r="H69" s="11"/>
    </row>
    <row r="70" spans="1:8" x14ac:dyDescent="0.15">
      <c r="A70" s="11"/>
      <c r="B70" s="40" t="s">
        <v>41</v>
      </c>
      <c r="C70" s="11"/>
      <c r="D70" s="11"/>
      <c r="E70" s="11"/>
      <c r="F70" s="11"/>
      <c r="G70" s="11"/>
      <c r="H70" s="11"/>
    </row>
    <row r="71" spans="1:8" x14ac:dyDescent="0.15">
      <c r="A71" s="11"/>
      <c r="B71" s="11" t="s">
        <v>129</v>
      </c>
      <c r="C71" s="11"/>
      <c r="D71" s="11"/>
      <c r="E71" s="11"/>
      <c r="F71" s="11"/>
      <c r="G71" s="11"/>
      <c r="H71" s="11"/>
    </row>
    <row r="72" spans="1:8" x14ac:dyDescent="0.15">
      <c r="A72" s="11"/>
      <c r="B72" s="37"/>
      <c r="C72" s="11"/>
      <c r="D72" s="11"/>
      <c r="E72" s="11"/>
      <c r="F72" s="11"/>
      <c r="G72" s="11"/>
      <c r="H72" s="11"/>
    </row>
    <row r="73" spans="1:8" x14ac:dyDescent="0.15">
      <c r="A73" s="11"/>
      <c r="B73" s="39" t="s">
        <v>124</v>
      </c>
      <c r="C73" s="11"/>
      <c r="D73" s="11"/>
      <c r="E73" s="11"/>
      <c r="F73" s="11"/>
      <c r="G73" s="11"/>
      <c r="H73" s="11"/>
    </row>
    <row r="74" spans="1:8" x14ac:dyDescent="0.15">
      <c r="A74" s="11"/>
      <c r="B74" s="40" t="s">
        <v>125</v>
      </c>
      <c r="C74" s="11"/>
      <c r="D74" s="11"/>
      <c r="E74" s="11"/>
      <c r="F74" s="11"/>
      <c r="G74" s="11"/>
      <c r="H74" s="11"/>
    </row>
    <row r="75" spans="1:8" x14ac:dyDescent="0.15">
      <c r="A75" s="11"/>
      <c r="B75" s="40" t="s">
        <v>41</v>
      </c>
      <c r="C75" s="11"/>
      <c r="D75" s="11"/>
      <c r="E75" s="11"/>
      <c r="F75" s="11"/>
      <c r="G75" s="11"/>
      <c r="H75" s="11"/>
    </row>
    <row r="76" spans="1:8" x14ac:dyDescent="0.15">
      <c r="A76" s="11"/>
      <c r="B76" s="11" t="s">
        <v>133</v>
      </c>
      <c r="C76" s="11"/>
      <c r="D76" s="11"/>
      <c r="E76" s="11"/>
      <c r="F76" s="11"/>
      <c r="G76" s="11"/>
      <c r="H76" s="11"/>
    </row>
    <row r="77" spans="1:8" x14ac:dyDescent="0.15">
      <c r="A77" s="11"/>
      <c r="B77" s="37"/>
      <c r="C77" s="11"/>
      <c r="D77" s="11"/>
      <c r="E77" s="11"/>
      <c r="F77" s="11"/>
      <c r="G77" s="11"/>
      <c r="H77" s="11"/>
    </row>
    <row r="78" spans="1:8" x14ac:dyDescent="0.15">
      <c r="A78" s="11"/>
      <c r="B78" s="39" t="s">
        <v>124</v>
      </c>
      <c r="C78" s="11"/>
      <c r="D78" s="11"/>
      <c r="E78" s="11"/>
      <c r="F78" s="11"/>
      <c r="G78" s="11"/>
      <c r="H78" s="11"/>
    </row>
    <row r="79" spans="1:8" x14ac:dyDescent="0.15">
      <c r="A79" s="11"/>
      <c r="B79" s="40" t="s">
        <v>125</v>
      </c>
      <c r="C79" s="11"/>
      <c r="D79" s="11"/>
      <c r="E79" s="11"/>
      <c r="F79" s="11"/>
      <c r="G79" s="11"/>
      <c r="H79" s="11"/>
    </row>
    <row r="80" spans="1:8" x14ac:dyDescent="0.15">
      <c r="A80" s="11"/>
      <c r="B80" s="40" t="s">
        <v>41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137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7"/>
      <c r="C82" s="11"/>
      <c r="D82" s="11"/>
      <c r="E82" s="11"/>
      <c r="F82" s="11"/>
      <c r="G82" s="11"/>
      <c r="H82" s="11"/>
    </row>
    <row r="83" spans="1:8" x14ac:dyDescent="0.15">
      <c r="A83" s="11"/>
      <c r="B83" s="39" t="s">
        <v>124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40" t="s">
        <v>125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40" t="s">
        <v>41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/>
      <c r="C86" s="11"/>
      <c r="D86" s="11"/>
      <c r="E86" s="11"/>
      <c r="F86" s="11"/>
      <c r="G86" s="11"/>
      <c r="H86" s="11"/>
    </row>
    <row r="87" spans="1:8" x14ac:dyDescent="0.15">
      <c r="A87" s="11"/>
      <c r="B87" s="37"/>
      <c r="C87" s="11"/>
      <c r="D87" s="11"/>
      <c r="E87" s="11"/>
      <c r="F87" s="11"/>
      <c r="G87" s="11"/>
      <c r="H87" s="11"/>
    </row>
    <row r="88" spans="1:8" x14ac:dyDescent="0.15">
      <c r="A88" s="11"/>
      <c r="B88" s="39" t="s">
        <v>124</v>
      </c>
      <c r="C88" s="11"/>
      <c r="D88" s="11"/>
      <c r="E88" s="11"/>
      <c r="F88" s="11"/>
      <c r="G88" s="11"/>
      <c r="H88" s="11"/>
    </row>
    <row r="89" spans="1:8" x14ac:dyDescent="0.15">
      <c r="B89" s="40" t="s">
        <v>125</v>
      </c>
    </row>
    <row r="90" spans="1:8" x14ac:dyDescent="0.15">
      <c r="B90" s="40" t="s">
        <v>41</v>
      </c>
    </row>
    <row r="92" spans="1:8" x14ac:dyDescent="0.15">
      <c r="B92" s="37"/>
    </row>
    <row r="93" spans="1:8" x14ac:dyDescent="0.15">
      <c r="B93" s="39" t="s">
        <v>124</v>
      </c>
    </row>
    <row r="94" spans="1:8" x14ac:dyDescent="0.15">
      <c r="B94" s="40" t="s">
        <v>125</v>
      </c>
    </row>
    <row r="95" spans="1:8" x14ac:dyDescent="0.15">
      <c r="B95" s="40" t="s">
        <v>41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41</v>
      </c>
    </row>
    <row r="102" spans="2:2" x14ac:dyDescent="0.15">
      <c r="B102" s="11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15:B15"/>
    <mergeCell ref="A16:B16"/>
    <mergeCell ref="A17:A22"/>
    <mergeCell ref="A23:A27"/>
    <mergeCell ref="A28:A33"/>
    <mergeCell ref="A34:A39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34CED-FAAA-4CC2-A879-EA424CD8DEE5}">
  <sheetPr codeName="Sheet7"/>
  <dimension ref="A2:K102"/>
  <sheetViews>
    <sheetView workbookViewId="0">
      <selection activeCell="C4" sqref="C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8" width="11" style="1" bestFit="1" customWidth="1"/>
    <col min="9" max="9" width="13.25" style="1" bestFit="1" customWidth="1"/>
    <col min="10" max="10" width="10" style="1" bestFit="1" customWidth="1"/>
    <col min="11" max="11" width="11" style="1" bestFit="1" customWidth="1"/>
    <col min="12" max="214" width="9" style="1"/>
    <col min="215" max="215" width="2.875" style="1" bestFit="1" customWidth="1"/>
    <col min="216" max="216" width="16.625" style="1" bestFit="1" customWidth="1"/>
    <col min="217" max="217" width="11.375" style="1" bestFit="1" customWidth="1"/>
    <col min="218" max="219" width="14.125" style="1" bestFit="1" customWidth="1"/>
    <col min="220" max="220" width="11.375" style="1" bestFit="1" customWidth="1"/>
    <col min="221" max="223" width="12.5" style="1" bestFit="1" customWidth="1"/>
    <col min="224" max="224" width="11" style="1" bestFit="1" customWidth="1"/>
    <col min="225" max="243" width="13" style="1" bestFit="1" customWidth="1"/>
    <col min="244" max="247" width="11" style="1" bestFit="1" customWidth="1"/>
    <col min="248" max="250" width="12.25" style="1" bestFit="1" customWidth="1"/>
    <col min="251" max="264" width="11" style="1" bestFit="1" customWidth="1"/>
    <col min="265" max="265" width="13.25" style="1" bestFit="1" customWidth="1"/>
    <col min="266" max="266" width="10" style="1" bestFit="1" customWidth="1"/>
    <col min="267" max="267" width="11" style="1" bestFit="1" customWidth="1"/>
    <col min="268" max="470" width="9" style="1"/>
    <col min="471" max="471" width="2.875" style="1" bestFit="1" customWidth="1"/>
    <col min="472" max="472" width="16.625" style="1" bestFit="1" customWidth="1"/>
    <col min="473" max="473" width="11.375" style="1" bestFit="1" customWidth="1"/>
    <col min="474" max="475" width="14.125" style="1" bestFit="1" customWidth="1"/>
    <col min="476" max="476" width="11.375" style="1" bestFit="1" customWidth="1"/>
    <col min="477" max="479" width="12.5" style="1" bestFit="1" customWidth="1"/>
    <col min="480" max="480" width="11" style="1" bestFit="1" customWidth="1"/>
    <col min="481" max="499" width="13" style="1" bestFit="1" customWidth="1"/>
    <col min="500" max="503" width="11" style="1" bestFit="1" customWidth="1"/>
    <col min="504" max="506" width="12.25" style="1" bestFit="1" customWidth="1"/>
    <col min="507" max="520" width="11" style="1" bestFit="1" customWidth="1"/>
    <col min="521" max="521" width="13.25" style="1" bestFit="1" customWidth="1"/>
    <col min="522" max="522" width="10" style="1" bestFit="1" customWidth="1"/>
    <col min="523" max="523" width="11" style="1" bestFit="1" customWidth="1"/>
    <col min="524" max="726" width="9" style="1"/>
    <col min="727" max="727" width="2.875" style="1" bestFit="1" customWidth="1"/>
    <col min="728" max="728" width="16.625" style="1" bestFit="1" customWidth="1"/>
    <col min="729" max="729" width="11.375" style="1" bestFit="1" customWidth="1"/>
    <col min="730" max="731" width="14.125" style="1" bestFit="1" customWidth="1"/>
    <col min="732" max="732" width="11.375" style="1" bestFit="1" customWidth="1"/>
    <col min="733" max="735" width="12.5" style="1" bestFit="1" customWidth="1"/>
    <col min="736" max="736" width="11" style="1" bestFit="1" customWidth="1"/>
    <col min="737" max="755" width="13" style="1" bestFit="1" customWidth="1"/>
    <col min="756" max="759" width="11" style="1" bestFit="1" customWidth="1"/>
    <col min="760" max="762" width="12.25" style="1" bestFit="1" customWidth="1"/>
    <col min="763" max="776" width="11" style="1" bestFit="1" customWidth="1"/>
    <col min="777" max="777" width="13.25" style="1" bestFit="1" customWidth="1"/>
    <col min="778" max="778" width="10" style="1" bestFit="1" customWidth="1"/>
    <col min="779" max="779" width="11" style="1" bestFit="1" customWidth="1"/>
    <col min="780" max="982" width="9" style="1"/>
    <col min="983" max="983" width="2.875" style="1" bestFit="1" customWidth="1"/>
    <col min="984" max="984" width="16.625" style="1" bestFit="1" customWidth="1"/>
    <col min="985" max="985" width="11.375" style="1" bestFit="1" customWidth="1"/>
    <col min="986" max="987" width="14.125" style="1" bestFit="1" customWidth="1"/>
    <col min="988" max="988" width="11.375" style="1" bestFit="1" customWidth="1"/>
    <col min="989" max="991" width="12.5" style="1" bestFit="1" customWidth="1"/>
    <col min="992" max="992" width="11" style="1" bestFit="1" customWidth="1"/>
    <col min="993" max="1011" width="13" style="1" bestFit="1" customWidth="1"/>
    <col min="1012" max="1015" width="11" style="1" bestFit="1" customWidth="1"/>
    <col min="1016" max="1018" width="12.25" style="1" bestFit="1" customWidth="1"/>
    <col min="1019" max="1032" width="11" style="1" bestFit="1" customWidth="1"/>
    <col min="1033" max="1033" width="13.25" style="1" bestFit="1" customWidth="1"/>
    <col min="1034" max="1034" width="10" style="1" bestFit="1" customWidth="1"/>
    <col min="1035" max="1035" width="11" style="1" bestFit="1" customWidth="1"/>
    <col min="1036" max="1238" width="9" style="1"/>
    <col min="1239" max="1239" width="2.875" style="1" bestFit="1" customWidth="1"/>
    <col min="1240" max="1240" width="16.625" style="1" bestFit="1" customWidth="1"/>
    <col min="1241" max="1241" width="11.375" style="1" bestFit="1" customWidth="1"/>
    <col min="1242" max="1243" width="14.125" style="1" bestFit="1" customWidth="1"/>
    <col min="1244" max="1244" width="11.375" style="1" bestFit="1" customWidth="1"/>
    <col min="1245" max="1247" width="12.5" style="1" bestFit="1" customWidth="1"/>
    <col min="1248" max="1248" width="11" style="1" bestFit="1" customWidth="1"/>
    <col min="1249" max="1267" width="13" style="1" bestFit="1" customWidth="1"/>
    <col min="1268" max="1271" width="11" style="1" bestFit="1" customWidth="1"/>
    <col min="1272" max="1274" width="12.25" style="1" bestFit="1" customWidth="1"/>
    <col min="1275" max="1288" width="11" style="1" bestFit="1" customWidth="1"/>
    <col min="1289" max="1289" width="13.25" style="1" bestFit="1" customWidth="1"/>
    <col min="1290" max="1290" width="10" style="1" bestFit="1" customWidth="1"/>
    <col min="1291" max="1291" width="11" style="1" bestFit="1" customWidth="1"/>
    <col min="1292" max="1494" width="9" style="1"/>
    <col min="1495" max="1495" width="2.875" style="1" bestFit="1" customWidth="1"/>
    <col min="1496" max="1496" width="16.625" style="1" bestFit="1" customWidth="1"/>
    <col min="1497" max="1497" width="11.375" style="1" bestFit="1" customWidth="1"/>
    <col min="1498" max="1499" width="14.125" style="1" bestFit="1" customWidth="1"/>
    <col min="1500" max="1500" width="11.375" style="1" bestFit="1" customWidth="1"/>
    <col min="1501" max="1503" width="12.5" style="1" bestFit="1" customWidth="1"/>
    <col min="1504" max="1504" width="11" style="1" bestFit="1" customWidth="1"/>
    <col min="1505" max="1523" width="13" style="1" bestFit="1" customWidth="1"/>
    <col min="1524" max="1527" width="11" style="1" bestFit="1" customWidth="1"/>
    <col min="1528" max="1530" width="12.25" style="1" bestFit="1" customWidth="1"/>
    <col min="1531" max="1544" width="11" style="1" bestFit="1" customWidth="1"/>
    <col min="1545" max="1545" width="13.25" style="1" bestFit="1" customWidth="1"/>
    <col min="1546" max="1546" width="10" style="1" bestFit="1" customWidth="1"/>
    <col min="1547" max="1547" width="11" style="1" bestFit="1" customWidth="1"/>
    <col min="1548" max="1750" width="9" style="1"/>
    <col min="1751" max="1751" width="2.875" style="1" bestFit="1" customWidth="1"/>
    <col min="1752" max="1752" width="16.625" style="1" bestFit="1" customWidth="1"/>
    <col min="1753" max="1753" width="11.375" style="1" bestFit="1" customWidth="1"/>
    <col min="1754" max="1755" width="14.125" style="1" bestFit="1" customWidth="1"/>
    <col min="1756" max="1756" width="11.375" style="1" bestFit="1" customWidth="1"/>
    <col min="1757" max="1759" width="12.5" style="1" bestFit="1" customWidth="1"/>
    <col min="1760" max="1760" width="11" style="1" bestFit="1" customWidth="1"/>
    <col min="1761" max="1779" width="13" style="1" bestFit="1" customWidth="1"/>
    <col min="1780" max="1783" width="11" style="1" bestFit="1" customWidth="1"/>
    <col min="1784" max="1786" width="12.25" style="1" bestFit="1" customWidth="1"/>
    <col min="1787" max="1800" width="11" style="1" bestFit="1" customWidth="1"/>
    <col min="1801" max="1801" width="13.25" style="1" bestFit="1" customWidth="1"/>
    <col min="1802" max="1802" width="10" style="1" bestFit="1" customWidth="1"/>
    <col min="1803" max="1803" width="11" style="1" bestFit="1" customWidth="1"/>
    <col min="1804" max="2006" width="9" style="1"/>
    <col min="2007" max="2007" width="2.875" style="1" bestFit="1" customWidth="1"/>
    <col min="2008" max="2008" width="16.625" style="1" bestFit="1" customWidth="1"/>
    <col min="2009" max="2009" width="11.375" style="1" bestFit="1" customWidth="1"/>
    <col min="2010" max="2011" width="14.125" style="1" bestFit="1" customWidth="1"/>
    <col min="2012" max="2012" width="11.375" style="1" bestFit="1" customWidth="1"/>
    <col min="2013" max="2015" width="12.5" style="1" bestFit="1" customWidth="1"/>
    <col min="2016" max="2016" width="11" style="1" bestFit="1" customWidth="1"/>
    <col min="2017" max="2035" width="13" style="1" bestFit="1" customWidth="1"/>
    <col min="2036" max="2039" width="11" style="1" bestFit="1" customWidth="1"/>
    <col min="2040" max="2042" width="12.25" style="1" bestFit="1" customWidth="1"/>
    <col min="2043" max="2056" width="11" style="1" bestFit="1" customWidth="1"/>
    <col min="2057" max="2057" width="13.25" style="1" bestFit="1" customWidth="1"/>
    <col min="2058" max="2058" width="10" style="1" bestFit="1" customWidth="1"/>
    <col min="2059" max="2059" width="11" style="1" bestFit="1" customWidth="1"/>
    <col min="2060" max="2262" width="9" style="1"/>
    <col min="2263" max="2263" width="2.875" style="1" bestFit="1" customWidth="1"/>
    <col min="2264" max="2264" width="16.625" style="1" bestFit="1" customWidth="1"/>
    <col min="2265" max="2265" width="11.375" style="1" bestFit="1" customWidth="1"/>
    <col min="2266" max="2267" width="14.125" style="1" bestFit="1" customWidth="1"/>
    <col min="2268" max="2268" width="11.375" style="1" bestFit="1" customWidth="1"/>
    <col min="2269" max="2271" width="12.5" style="1" bestFit="1" customWidth="1"/>
    <col min="2272" max="2272" width="11" style="1" bestFit="1" customWidth="1"/>
    <col min="2273" max="2291" width="13" style="1" bestFit="1" customWidth="1"/>
    <col min="2292" max="2295" width="11" style="1" bestFit="1" customWidth="1"/>
    <col min="2296" max="2298" width="12.25" style="1" bestFit="1" customWidth="1"/>
    <col min="2299" max="2312" width="11" style="1" bestFit="1" customWidth="1"/>
    <col min="2313" max="2313" width="13.25" style="1" bestFit="1" customWidth="1"/>
    <col min="2314" max="2314" width="10" style="1" bestFit="1" customWidth="1"/>
    <col min="2315" max="2315" width="11" style="1" bestFit="1" customWidth="1"/>
    <col min="2316" max="2518" width="9" style="1"/>
    <col min="2519" max="2519" width="2.875" style="1" bestFit="1" customWidth="1"/>
    <col min="2520" max="2520" width="16.625" style="1" bestFit="1" customWidth="1"/>
    <col min="2521" max="2521" width="11.375" style="1" bestFit="1" customWidth="1"/>
    <col min="2522" max="2523" width="14.125" style="1" bestFit="1" customWidth="1"/>
    <col min="2524" max="2524" width="11.375" style="1" bestFit="1" customWidth="1"/>
    <col min="2525" max="2527" width="12.5" style="1" bestFit="1" customWidth="1"/>
    <col min="2528" max="2528" width="11" style="1" bestFit="1" customWidth="1"/>
    <col min="2529" max="2547" width="13" style="1" bestFit="1" customWidth="1"/>
    <col min="2548" max="2551" width="11" style="1" bestFit="1" customWidth="1"/>
    <col min="2552" max="2554" width="12.25" style="1" bestFit="1" customWidth="1"/>
    <col min="2555" max="2568" width="11" style="1" bestFit="1" customWidth="1"/>
    <col min="2569" max="2569" width="13.25" style="1" bestFit="1" customWidth="1"/>
    <col min="2570" max="2570" width="10" style="1" bestFit="1" customWidth="1"/>
    <col min="2571" max="2571" width="11" style="1" bestFit="1" customWidth="1"/>
    <col min="2572" max="2774" width="9" style="1"/>
    <col min="2775" max="2775" width="2.875" style="1" bestFit="1" customWidth="1"/>
    <col min="2776" max="2776" width="16.625" style="1" bestFit="1" customWidth="1"/>
    <col min="2777" max="2777" width="11.375" style="1" bestFit="1" customWidth="1"/>
    <col min="2778" max="2779" width="14.125" style="1" bestFit="1" customWidth="1"/>
    <col min="2780" max="2780" width="11.375" style="1" bestFit="1" customWidth="1"/>
    <col min="2781" max="2783" width="12.5" style="1" bestFit="1" customWidth="1"/>
    <col min="2784" max="2784" width="11" style="1" bestFit="1" customWidth="1"/>
    <col min="2785" max="2803" width="13" style="1" bestFit="1" customWidth="1"/>
    <col min="2804" max="2807" width="11" style="1" bestFit="1" customWidth="1"/>
    <col min="2808" max="2810" width="12.25" style="1" bestFit="1" customWidth="1"/>
    <col min="2811" max="2824" width="11" style="1" bestFit="1" customWidth="1"/>
    <col min="2825" max="2825" width="13.25" style="1" bestFit="1" customWidth="1"/>
    <col min="2826" max="2826" width="10" style="1" bestFit="1" customWidth="1"/>
    <col min="2827" max="2827" width="11" style="1" bestFit="1" customWidth="1"/>
    <col min="2828" max="3030" width="9" style="1"/>
    <col min="3031" max="3031" width="2.875" style="1" bestFit="1" customWidth="1"/>
    <col min="3032" max="3032" width="16.625" style="1" bestFit="1" customWidth="1"/>
    <col min="3033" max="3033" width="11.375" style="1" bestFit="1" customWidth="1"/>
    <col min="3034" max="3035" width="14.125" style="1" bestFit="1" customWidth="1"/>
    <col min="3036" max="3036" width="11.375" style="1" bestFit="1" customWidth="1"/>
    <col min="3037" max="3039" width="12.5" style="1" bestFit="1" customWidth="1"/>
    <col min="3040" max="3040" width="11" style="1" bestFit="1" customWidth="1"/>
    <col min="3041" max="3059" width="13" style="1" bestFit="1" customWidth="1"/>
    <col min="3060" max="3063" width="11" style="1" bestFit="1" customWidth="1"/>
    <col min="3064" max="3066" width="12.25" style="1" bestFit="1" customWidth="1"/>
    <col min="3067" max="3080" width="11" style="1" bestFit="1" customWidth="1"/>
    <col min="3081" max="3081" width="13.25" style="1" bestFit="1" customWidth="1"/>
    <col min="3082" max="3082" width="10" style="1" bestFit="1" customWidth="1"/>
    <col min="3083" max="3083" width="11" style="1" bestFit="1" customWidth="1"/>
    <col min="3084" max="3286" width="9" style="1"/>
    <col min="3287" max="3287" width="2.875" style="1" bestFit="1" customWidth="1"/>
    <col min="3288" max="3288" width="16.625" style="1" bestFit="1" customWidth="1"/>
    <col min="3289" max="3289" width="11.375" style="1" bestFit="1" customWidth="1"/>
    <col min="3290" max="3291" width="14.125" style="1" bestFit="1" customWidth="1"/>
    <col min="3292" max="3292" width="11.375" style="1" bestFit="1" customWidth="1"/>
    <col min="3293" max="3295" width="12.5" style="1" bestFit="1" customWidth="1"/>
    <col min="3296" max="3296" width="11" style="1" bestFit="1" customWidth="1"/>
    <col min="3297" max="3315" width="13" style="1" bestFit="1" customWidth="1"/>
    <col min="3316" max="3319" width="11" style="1" bestFit="1" customWidth="1"/>
    <col min="3320" max="3322" width="12.25" style="1" bestFit="1" customWidth="1"/>
    <col min="3323" max="3336" width="11" style="1" bestFit="1" customWidth="1"/>
    <col min="3337" max="3337" width="13.25" style="1" bestFit="1" customWidth="1"/>
    <col min="3338" max="3338" width="10" style="1" bestFit="1" customWidth="1"/>
    <col min="3339" max="3339" width="11" style="1" bestFit="1" customWidth="1"/>
    <col min="3340" max="3542" width="9" style="1"/>
    <col min="3543" max="3543" width="2.875" style="1" bestFit="1" customWidth="1"/>
    <col min="3544" max="3544" width="16.625" style="1" bestFit="1" customWidth="1"/>
    <col min="3545" max="3545" width="11.375" style="1" bestFit="1" customWidth="1"/>
    <col min="3546" max="3547" width="14.125" style="1" bestFit="1" customWidth="1"/>
    <col min="3548" max="3548" width="11.375" style="1" bestFit="1" customWidth="1"/>
    <col min="3549" max="3551" width="12.5" style="1" bestFit="1" customWidth="1"/>
    <col min="3552" max="3552" width="11" style="1" bestFit="1" customWidth="1"/>
    <col min="3553" max="3571" width="13" style="1" bestFit="1" customWidth="1"/>
    <col min="3572" max="3575" width="11" style="1" bestFit="1" customWidth="1"/>
    <col min="3576" max="3578" width="12.25" style="1" bestFit="1" customWidth="1"/>
    <col min="3579" max="3592" width="11" style="1" bestFit="1" customWidth="1"/>
    <col min="3593" max="3593" width="13.25" style="1" bestFit="1" customWidth="1"/>
    <col min="3594" max="3594" width="10" style="1" bestFit="1" customWidth="1"/>
    <col min="3595" max="3595" width="11" style="1" bestFit="1" customWidth="1"/>
    <col min="3596" max="3798" width="9" style="1"/>
    <col min="3799" max="3799" width="2.875" style="1" bestFit="1" customWidth="1"/>
    <col min="3800" max="3800" width="16.625" style="1" bestFit="1" customWidth="1"/>
    <col min="3801" max="3801" width="11.375" style="1" bestFit="1" customWidth="1"/>
    <col min="3802" max="3803" width="14.125" style="1" bestFit="1" customWidth="1"/>
    <col min="3804" max="3804" width="11.375" style="1" bestFit="1" customWidth="1"/>
    <col min="3805" max="3807" width="12.5" style="1" bestFit="1" customWidth="1"/>
    <col min="3808" max="3808" width="11" style="1" bestFit="1" customWidth="1"/>
    <col min="3809" max="3827" width="13" style="1" bestFit="1" customWidth="1"/>
    <col min="3828" max="3831" width="11" style="1" bestFit="1" customWidth="1"/>
    <col min="3832" max="3834" width="12.25" style="1" bestFit="1" customWidth="1"/>
    <col min="3835" max="3848" width="11" style="1" bestFit="1" customWidth="1"/>
    <col min="3849" max="3849" width="13.25" style="1" bestFit="1" customWidth="1"/>
    <col min="3850" max="3850" width="10" style="1" bestFit="1" customWidth="1"/>
    <col min="3851" max="3851" width="11" style="1" bestFit="1" customWidth="1"/>
    <col min="3852" max="4054" width="9" style="1"/>
    <col min="4055" max="4055" width="2.875" style="1" bestFit="1" customWidth="1"/>
    <col min="4056" max="4056" width="16.625" style="1" bestFit="1" customWidth="1"/>
    <col min="4057" max="4057" width="11.375" style="1" bestFit="1" customWidth="1"/>
    <col min="4058" max="4059" width="14.125" style="1" bestFit="1" customWidth="1"/>
    <col min="4060" max="4060" width="11.375" style="1" bestFit="1" customWidth="1"/>
    <col min="4061" max="4063" width="12.5" style="1" bestFit="1" customWidth="1"/>
    <col min="4064" max="4064" width="11" style="1" bestFit="1" customWidth="1"/>
    <col min="4065" max="4083" width="13" style="1" bestFit="1" customWidth="1"/>
    <col min="4084" max="4087" width="11" style="1" bestFit="1" customWidth="1"/>
    <col min="4088" max="4090" width="12.25" style="1" bestFit="1" customWidth="1"/>
    <col min="4091" max="4104" width="11" style="1" bestFit="1" customWidth="1"/>
    <col min="4105" max="4105" width="13.25" style="1" bestFit="1" customWidth="1"/>
    <col min="4106" max="4106" width="10" style="1" bestFit="1" customWidth="1"/>
    <col min="4107" max="4107" width="11" style="1" bestFit="1" customWidth="1"/>
    <col min="4108" max="4310" width="9" style="1"/>
    <col min="4311" max="4311" width="2.875" style="1" bestFit="1" customWidth="1"/>
    <col min="4312" max="4312" width="16.625" style="1" bestFit="1" customWidth="1"/>
    <col min="4313" max="4313" width="11.375" style="1" bestFit="1" customWidth="1"/>
    <col min="4314" max="4315" width="14.125" style="1" bestFit="1" customWidth="1"/>
    <col min="4316" max="4316" width="11.375" style="1" bestFit="1" customWidth="1"/>
    <col min="4317" max="4319" width="12.5" style="1" bestFit="1" customWidth="1"/>
    <col min="4320" max="4320" width="11" style="1" bestFit="1" customWidth="1"/>
    <col min="4321" max="4339" width="13" style="1" bestFit="1" customWidth="1"/>
    <col min="4340" max="4343" width="11" style="1" bestFit="1" customWidth="1"/>
    <col min="4344" max="4346" width="12.25" style="1" bestFit="1" customWidth="1"/>
    <col min="4347" max="4360" width="11" style="1" bestFit="1" customWidth="1"/>
    <col min="4361" max="4361" width="13.25" style="1" bestFit="1" customWidth="1"/>
    <col min="4362" max="4362" width="10" style="1" bestFit="1" customWidth="1"/>
    <col min="4363" max="4363" width="11" style="1" bestFit="1" customWidth="1"/>
    <col min="4364" max="4566" width="9" style="1"/>
    <col min="4567" max="4567" width="2.875" style="1" bestFit="1" customWidth="1"/>
    <col min="4568" max="4568" width="16.625" style="1" bestFit="1" customWidth="1"/>
    <col min="4569" max="4569" width="11.375" style="1" bestFit="1" customWidth="1"/>
    <col min="4570" max="4571" width="14.125" style="1" bestFit="1" customWidth="1"/>
    <col min="4572" max="4572" width="11.375" style="1" bestFit="1" customWidth="1"/>
    <col min="4573" max="4575" width="12.5" style="1" bestFit="1" customWidth="1"/>
    <col min="4576" max="4576" width="11" style="1" bestFit="1" customWidth="1"/>
    <col min="4577" max="4595" width="13" style="1" bestFit="1" customWidth="1"/>
    <col min="4596" max="4599" width="11" style="1" bestFit="1" customWidth="1"/>
    <col min="4600" max="4602" width="12.25" style="1" bestFit="1" customWidth="1"/>
    <col min="4603" max="4616" width="11" style="1" bestFit="1" customWidth="1"/>
    <col min="4617" max="4617" width="13.25" style="1" bestFit="1" customWidth="1"/>
    <col min="4618" max="4618" width="10" style="1" bestFit="1" customWidth="1"/>
    <col min="4619" max="4619" width="11" style="1" bestFit="1" customWidth="1"/>
    <col min="4620" max="4822" width="9" style="1"/>
    <col min="4823" max="4823" width="2.875" style="1" bestFit="1" customWidth="1"/>
    <col min="4824" max="4824" width="16.625" style="1" bestFit="1" customWidth="1"/>
    <col min="4825" max="4825" width="11.375" style="1" bestFit="1" customWidth="1"/>
    <col min="4826" max="4827" width="14.125" style="1" bestFit="1" customWidth="1"/>
    <col min="4828" max="4828" width="11.375" style="1" bestFit="1" customWidth="1"/>
    <col min="4829" max="4831" width="12.5" style="1" bestFit="1" customWidth="1"/>
    <col min="4832" max="4832" width="11" style="1" bestFit="1" customWidth="1"/>
    <col min="4833" max="4851" width="13" style="1" bestFit="1" customWidth="1"/>
    <col min="4852" max="4855" width="11" style="1" bestFit="1" customWidth="1"/>
    <col min="4856" max="4858" width="12.25" style="1" bestFit="1" customWidth="1"/>
    <col min="4859" max="4872" width="11" style="1" bestFit="1" customWidth="1"/>
    <col min="4873" max="4873" width="13.25" style="1" bestFit="1" customWidth="1"/>
    <col min="4874" max="4874" width="10" style="1" bestFit="1" customWidth="1"/>
    <col min="4875" max="4875" width="11" style="1" bestFit="1" customWidth="1"/>
    <col min="4876" max="5078" width="9" style="1"/>
    <col min="5079" max="5079" width="2.875" style="1" bestFit="1" customWidth="1"/>
    <col min="5080" max="5080" width="16.625" style="1" bestFit="1" customWidth="1"/>
    <col min="5081" max="5081" width="11.375" style="1" bestFit="1" customWidth="1"/>
    <col min="5082" max="5083" width="14.125" style="1" bestFit="1" customWidth="1"/>
    <col min="5084" max="5084" width="11.375" style="1" bestFit="1" customWidth="1"/>
    <col min="5085" max="5087" width="12.5" style="1" bestFit="1" customWidth="1"/>
    <col min="5088" max="5088" width="11" style="1" bestFit="1" customWidth="1"/>
    <col min="5089" max="5107" width="13" style="1" bestFit="1" customWidth="1"/>
    <col min="5108" max="5111" width="11" style="1" bestFit="1" customWidth="1"/>
    <col min="5112" max="5114" width="12.25" style="1" bestFit="1" customWidth="1"/>
    <col min="5115" max="5128" width="11" style="1" bestFit="1" customWidth="1"/>
    <col min="5129" max="5129" width="13.25" style="1" bestFit="1" customWidth="1"/>
    <col min="5130" max="5130" width="10" style="1" bestFit="1" customWidth="1"/>
    <col min="5131" max="5131" width="11" style="1" bestFit="1" customWidth="1"/>
    <col min="5132" max="5334" width="9" style="1"/>
    <col min="5335" max="5335" width="2.875" style="1" bestFit="1" customWidth="1"/>
    <col min="5336" max="5336" width="16.625" style="1" bestFit="1" customWidth="1"/>
    <col min="5337" max="5337" width="11.375" style="1" bestFit="1" customWidth="1"/>
    <col min="5338" max="5339" width="14.125" style="1" bestFit="1" customWidth="1"/>
    <col min="5340" max="5340" width="11.375" style="1" bestFit="1" customWidth="1"/>
    <col min="5341" max="5343" width="12.5" style="1" bestFit="1" customWidth="1"/>
    <col min="5344" max="5344" width="11" style="1" bestFit="1" customWidth="1"/>
    <col min="5345" max="5363" width="13" style="1" bestFit="1" customWidth="1"/>
    <col min="5364" max="5367" width="11" style="1" bestFit="1" customWidth="1"/>
    <col min="5368" max="5370" width="12.25" style="1" bestFit="1" customWidth="1"/>
    <col min="5371" max="5384" width="11" style="1" bestFit="1" customWidth="1"/>
    <col min="5385" max="5385" width="13.25" style="1" bestFit="1" customWidth="1"/>
    <col min="5386" max="5386" width="10" style="1" bestFit="1" customWidth="1"/>
    <col min="5387" max="5387" width="11" style="1" bestFit="1" customWidth="1"/>
    <col min="5388" max="5590" width="9" style="1"/>
    <col min="5591" max="5591" width="2.875" style="1" bestFit="1" customWidth="1"/>
    <col min="5592" max="5592" width="16.625" style="1" bestFit="1" customWidth="1"/>
    <col min="5593" max="5593" width="11.375" style="1" bestFit="1" customWidth="1"/>
    <col min="5594" max="5595" width="14.125" style="1" bestFit="1" customWidth="1"/>
    <col min="5596" max="5596" width="11.375" style="1" bestFit="1" customWidth="1"/>
    <col min="5597" max="5599" width="12.5" style="1" bestFit="1" customWidth="1"/>
    <col min="5600" max="5600" width="11" style="1" bestFit="1" customWidth="1"/>
    <col min="5601" max="5619" width="13" style="1" bestFit="1" customWidth="1"/>
    <col min="5620" max="5623" width="11" style="1" bestFit="1" customWidth="1"/>
    <col min="5624" max="5626" width="12.25" style="1" bestFit="1" customWidth="1"/>
    <col min="5627" max="5640" width="11" style="1" bestFit="1" customWidth="1"/>
    <col min="5641" max="5641" width="13.25" style="1" bestFit="1" customWidth="1"/>
    <col min="5642" max="5642" width="10" style="1" bestFit="1" customWidth="1"/>
    <col min="5643" max="5643" width="11" style="1" bestFit="1" customWidth="1"/>
    <col min="5644" max="5846" width="9" style="1"/>
    <col min="5847" max="5847" width="2.875" style="1" bestFit="1" customWidth="1"/>
    <col min="5848" max="5848" width="16.625" style="1" bestFit="1" customWidth="1"/>
    <col min="5849" max="5849" width="11.375" style="1" bestFit="1" customWidth="1"/>
    <col min="5850" max="5851" width="14.125" style="1" bestFit="1" customWidth="1"/>
    <col min="5852" max="5852" width="11.375" style="1" bestFit="1" customWidth="1"/>
    <col min="5853" max="5855" width="12.5" style="1" bestFit="1" customWidth="1"/>
    <col min="5856" max="5856" width="11" style="1" bestFit="1" customWidth="1"/>
    <col min="5857" max="5875" width="13" style="1" bestFit="1" customWidth="1"/>
    <col min="5876" max="5879" width="11" style="1" bestFit="1" customWidth="1"/>
    <col min="5880" max="5882" width="12.25" style="1" bestFit="1" customWidth="1"/>
    <col min="5883" max="5896" width="11" style="1" bestFit="1" customWidth="1"/>
    <col min="5897" max="5897" width="13.25" style="1" bestFit="1" customWidth="1"/>
    <col min="5898" max="5898" width="10" style="1" bestFit="1" customWidth="1"/>
    <col min="5899" max="5899" width="11" style="1" bestFit="1" customWidth="1"/>
    <col min="5900" max="6102" width="9" style="1"/>
    <col min="6103" max="6103" width="2.875" style="1" bestFit="1" customWidth="1"/>
    <col min="6104" max="6104" width="16.625" style="1" bestFit="1" customWidth="1"/>
    <col min="6105" max="6105" width="11.375" style="1" bestFit="1" customWidth="1"/>
    <col min="6106" max="6107" width="14.125" style="1" bestFit="1" customWidth="1"/>
    <col min="6108" max="6108" width="11.375" style="1" bestFit="1" customWidth="1"/>
    <col min="6109" max="6111" width="12.5" style="1" bestFit="1" customWidth="1"/>
    <col min="6112" max="6112" width="11" style="1" bestFit="1" customWidth="1"/>
    <col min="6113" max="6131" width="13" style="1" bestFit="1" customWidth="1"/>
    <col min="6132" max="6135" width="11" style="1" bestFit="1" customWidth="1"/>
    <col min="6136" max="6138" width="12.25" style="1" bestFit="1" customWidth="1"/>
    <col min="6139" max="6152" width="11" style="1" bestFit="1" customWidth="1"/>
    <col min="6153" max="6153" width="13.25" style="1" bestFit="1" customWidth="1"/>
    <col min="6154" max="6154" width="10" style="1" bestFit="1" customWidth="1"/>
    <col min="6155" max="6155" width="11" style="1" bestFit="1" customWidth="1"/>
    <col min="6156" max="6358" width="9" style="1"/>
    <col min="6359" max="6359" width="2.875" style="1" bestFit="1" customWidth="1"/>
    <col min="6360" max="6360" width="16.625" style="1" bestFit="1" customWidth="1"/>
    <col min="6361" max="6361" width="11.375" style="1" bestFit="1" customWidth="1"/>
    <col min="6362" max="6363" width="14.125" style="1" bestFit="1" customWidth="1"/>
    <col min="6364" max="6364" width="11.375" style="1" bestFit="1" customWidth="1"/>
    <col min="6365" max="6367" width="12.5" style="1" bestFit="1" customWidth="1"/>
    <col min="6368" max="6368" width="11" style="1" bestFit="1" customWidth="1"/>
    <col min="6369" max="6387" width="13" style="1" bestFit="1" customWidth="1"/>
    <col min="6388" max="6391" width="11" style="1" bestFit="1" customWidth="1"/>
    <col min="6392" max="6394" width="12.25" style="1" bestFit="1" customWidth="1"/>
    <col min="6395" max="6408" width="11" style="1" bestFit="1" customWidth="1"/>
    <col min="6409" max="6409" width="13.25" style="1" bestFit="1" customWidth="1"/>
    <col min="6410" max="6410" width="10" style="1" bestFit="1" customWidth="1"/>
    <col min="6411" max="6411" width="11" style="1" bestFit="1" customWidth="1"/>
    <col min="6412" max="6614" width="9" style="1"/>
    <col min="6615" max="6615" width="2.875" style="1" bestFit="1" customWidth="1"/>
    <col min="6616" max="6616" width="16.625" style="1" bestFit="1" customWidth="1"/>
    <col min="6617" max="6617" width="11.375" style="1" bestFit="1" customWidth="1"/>
    <col min="6618" max="6619" width="14.125" style="1" bestFit="1" customWidth="1"/>
    <col min="6620" max="6620" width="11.375" style="1" bestFit="1" customWidth="1"/>
    <col min="6621" max="6623" width="12.5" style="1" bestFit="1" customWidth="1"/>
    <col min="6624" max="6624" width="11" style="1" bestFit="1" customWidth="1"/>
    <col min="6625" max="6643" width="13" style="1" bestFit="1" customWidth="1"/>
    <col min="6644" max="6647" width="11" style="1" bestFit="1" customWidth="1"/>
    <col min="6648" max="6650" width="12.25" style="1" bestFit="1" customWidth="1"/>
    <col min="6651" max="6664" width="11" style="1" bestFit="1" customWidth="1"/>
    <col min="6665" max="6665" width="13.25" style="1" bestFit="1" customWidth="1"/>
    <col min="6666" max="6666" width="10" style="1" bestFit="1" customWidth="1"/>
    <col min="6667" max="6667" width="11" style="1" bestFit="1" customWidth="1"/>
    <col min="6668" max="6870" width="9" style="1"/>
    <col min="6871" max="6871" width="2.875" style="1" bestFit="1" customWidth="1"/>
    <col min="6872" max="6872" width="16.625" style="1" bestFit="1" customWidth="1"/>
    <col min="6873" max="6873" width="11.375" style="1" bestFit="1" customWidth="1"/>
    <col min="6874" max="6875" width="14.125" style="1" bestFit="1" customWidth="1"/>
    <col min="6876" max="6876" width="11.375" style="1" bestFit="1" customWidth="1"/>
    <col min="6877" max="6879" width="12.5" style="1" bestFit="1" customWidth="1"/>
    <col min="6880" max="6880" width="11" style="1" bestFit="1" customWidth="1"/>
    <col min="6881" max="6899" width="13" style="1" bestFit="1" customWidth="1"/>
    <col min="6900" max="6903" width="11" style="1" bestFit="1" customWidth="1"/>
    <col min="6904" max="6906" width="12.25" style="1" bestFit="1" customWidth="1"/>
    <col min="6907" max="6920" width="11" style="1" bestFit="1" customWidth="1"/>
    <col min="6921" max="6921" width="13.25" style="1" bestFit="1" customWidth="1"/>
    <col min="6922" max="6922" width="10" style="1" bestFit="1" customWidth="1"/>
    <col min="6923" max="6923" width="11" style="1" bestFit="1" customWidth="1"/>
    <col min="6924" max="7126" width="9" style="1"/>
    <col min="7127" max="7127" width="2.875" style="1" bestFit="1" customWidth="1"/>
    <col min="7128" max="7128" width="16.625" style="1" bestFit="1" customWidth="1"/>
    <col min="7129" max="7129" width="11.375" style="1" bestFit="1" customWidth="1"/>
    <col min="7130" max="7131" width="14.125" style="1" bestFit="1" customWidth="1"/>
    <col min="7132" max="7132" width="11.375" style="1" bestFit="1" customWidth="1"/>
    <col min="7133" max="7135" width="12.5" style="1" bestFit="1" customWidth="1"/>
    <col min="7136" max="7136" width="11" style="1" bestFit="1" customWidth="1"/>
    <col min="7137" max="7155" width="13" style="1" bestFit="1" customWidth="1"/>
    <col min="7156" max="7159" width="11" style="1" bestFit="1" customWidth="1"/>
    <col min="7160" max="7162" width="12.25" style="1" bestFit="1" customWidth="1"/>
    <col min="7163" max="7176" width="11" style="1" bestFit="1" customWidth="1"/>
    <col min="7177" max="7177" width="13.25" style="1" bestFit="1" customWidth="1"/>
    <col min="7178" max="7178" width="10" style="1" bestFit="1" customWidth="1"/>
    <col min="7179" max="7179" width="11" style="1" bestFit="1" customWidth="1"/>
    <col min="7180" max="7382" width="9" style="1"/>
    <col min="7383" max="7383" width="2.875" style="1" bestFit="1" customWidth="1"/>
    <col min="7384" max="7384" width="16.625" style="1" bestFit="1" customWidth="1"/>
    <col min="7385" max="7385" width="11.375" style="1" bestFit="1" customWidth="1"/>
    <col min="7386" max="7387" width="14.125" style="1" bestFit="1" customWidth="1"/>
    <col min="7388" max="7388" width="11.375" style="1" bestFit="1" customWidth="1"/>
    <col min="7389" max="7391" width="12.5" style="1" bestFit="1" customWidth="1"/>
    <col min="7392" max="7392" width="11" style="1" bestFit="1" customWidth="1"/>
    <col min="7393" max="7411" width="13" style="1" bestFit="1" customWidth="1"/>
    <col min="7412" max="7415" width="11" style="1" bestFit="1" customWidth="1"/>
    <col min="7416" max="7418" width="12.25" style="1" bestFit="1" customWidth="1"/>
    <col min="7419" max="7432" width="11" style="1" bestFit="1" customWidth="1"/>
    <col min="7433" max="7433" width="13.25" style="1" bestFit="1" customWidth="1"/>
    <col min="7434" max="7434" width="10" style="1" bestFit="1" customWidth="1"/>
    <col min="7435" max="7435" width="11" style="1" bestFit="1" customWidth="1"/>
    <col min="7436" max="7638" width="9" style="1"/>
    <col min="7639" max="7639" width="2.875" style="1" bestFit="1" customWidth="1"/>
    <col min="7640" max="7640" width="16.625" style="1" bestFit="1" customWidth="1"/>
    <col min="7641" max="7641" width="11.375" style="1" bestFit="1" customWidth="1"/>
    <col min="7642" max="7643" width="14.125" style="1" bestFit="1" customWidth="1"/>
    <col min="7644" max="7644" width="11.375" style="1" bestFit="1" customWidth="1"/>
    <col min="7645" max="7647" width="12.5" style="1" bestFit="1" customWidth="1"/>
    <col min="7648" max="7648" width="11" style="1" bestFit="1" customWidth="1"/>
    <col min="7649" max="7667" width="13" style="1" bestFit="1" customWidth="1"/>
    <col min="7668" max="7671" width="11" style="1" bestFit="1" customWidth="1"/>
    <col min="7672" max="7674" width="12.25" style="1" bestFit="1" customWidth="1"/>
    <col min="7675" max="7688" width="11" style="1" bestFit="1" customWidth="1"/>
    <col min="7689" max="7689" width="13.25" style="1" bestFit="1" customWidth="1"/>
    <col min="7690" max="7690" width="10" style="1" bestFit="1" customWidth="1"/>
    <col min="7691" max="7691" width="11" style="1" bestFit="1" customWidth="1"/>
    <col min="7692" max="7894" width="9" style="1"/>
    <col min="7895" max="7895" width="2.875" style="1" bestFit="1" customWidth="1"/>
    <col min="7896" max="7896" width="16.625" style="1" bestFit="1" customWidth="1"/>
    <col min="7897" max="7897" width="11.375" style="1" bestFit="1" customWidth="1"/>
    <col min="7898" max="7899" width="14.125" style="1" bestFit="1" customWidth="1"/>
    <col min="7900" max="7900" width="11.375" style="1" bestFit="1" customWidth="1"/>
    <col min="7901" max="7903" width="12.5" style="1" bestFit="1" customWidth="1"/>
    <col min="7904" max="7904" width="11" style="1" bestFit="1" customWidth="1"/>
    <col min="7905" max="7923" width="13" style="1" bestFit="1" customWidth="1"/>
    <col min="7924" max="7927" width="11" style="1" bestFit="1" customWidth="1"/>
    <col min="7928" max="7930" width="12.25" style="1" bestFit="1" customWidth="1"/>
    <col min="7931" max="7944" width="11" style="1" bestFit="1" customWidth="1"/>
    <col min="7945" max="7945" width="13.25" style="1" bestFit="1" customWidth="1"/>
    <col min="7946" max="7946" width="10" style="1" bestFit="1" customWidth="1"/>
    <col min="7947" max="7947" width="11" style="1" bestFit="1" customWidth="1"/>
    <col min="7948" max="8150" width="9" style="1"/>
    <col min="8151" max="8151" width="2.875" style="1" bestFit="1" customWidth="1"/>
    <col min="8152" max="8152" width="16.625" style="1" bestFit="1" customWidth="1"/>
    <col min="8153" max="8153" width="11.375" style="1" bestFit="1" customWidth="1"/>
    <col min="8154" max="8155" width="14.125" style="1" bestFit="1" customWidth="1"/>
    <col min="8156" max="8156" width="11.375" style="1" bestFit="1" customWidth="1"/>
    <col min="8157" max="8159" width="12.5" style="1" bestFit="1" customWidth="1"/>
    <col min="8160" max="8160" width="11" style="1" bestFit="1" customWidth="1"/>
    <col min="8161" max="8179" width="13" style="1" bestFit="1" customWidth="1"/>
    <col min="8180" max="8183" width="11" style="1" bestFit="1" customWidth="1"/>
    <col min="8184" max="8186" width="12.25" style="1" bestFit="1" customWidth="1"/>
    <col min="8187" max="8200" width="11" style="1" bestFit="1" customWidth="1"/>
    <col min="8201" max="8201" width="13.25" style="1" bestFit="1" customWidth="1"/>
    <col min="8202" max="8202" width="10" style="1" bestFit="1" customWidth="1"/>
    <col min="8203" max="8203" width="11" style="1" bestFit="1" customWidth="1"/>
    <col min="8204" max="8406" width="9" style="1"/>
    <col min="8407" max="8407" width="2.875" style="1" bestFit="1" customWidth="1"/>
    <col min="8408" max="8408" width="16.625" style="1" bestFit="1" customWidth="1"/>
    <col min="8409" max="8409" width="11.375" style="1" bestFit="1" customWidth="1"/>
    <col min="8410" max="8411" width="14.125" style="1" bestFit="1" customWidth="1"/>
    <col min="8412" max="8412" width="11.375" style="1" bestFit="1" customWidth="1"/>
    <col min="8413" max="8415" width="12.5" style="1" bestFit="1" customWidth="1"/>
    <col min="8416" max="8416" width="11" style="1" bestFit="1" customWidth="1"/>
    <col min="8417" max="8435" width="13" style="1" bestFit="1" customWidth="1"/>
    <col min="8436" max="8439" width="11" style="1" bestFit="1" customWidth="1"/>
    <col min="8440" max="8442" width="12.25" style="1" bestFit="1" customWidth="1"/>
    <col min="8443" max="8456" width="11" style="1" bestFit="1" customWidth="1"/>
    <col min="8457" max="8457" width="13.25" style="1" bestFit="1" customWidth="1"/>
    <col min="8458" max="8458" width="10" style="1" bestFit="1" customWidth="1"/>
    <col min="8459" max="8459" width="11" style="1" bestFit="1" customWidth="1"/>
    <col min="8460" max="8662" width="9" style="1"/>
    <col min="8663" max="8663" width="2.875" style="1" bestFit="1" customWidth="1"/>
    <col min="8664" max="8664" width="16.625" style="1" bestFit="1" customWidth="1"/>
    <col min="8665" max="8665" width="11.375" style="1" bestFit="1" customWidth="1"/>
    <col min="8666" max="8667" width="14.125" style="1" bestFit="1" customWidth="1"/>
    <col min="8668" max="8668" width="11.375" style="1" bestFit="1" customWidth="1"/>
    <col min="8669" max="8671" width="12.5" style="1" bestFit="1" customWidth="1"/>
    <col min="8672" max="8672" width="11" style="1" bestFit="1" customWidth="1"/>
    <col min="8673" max="8691" width="13" style="1" bestFit="1" customWidth="1"/>
    <col min="8692" max="8695" width="11" style="1" bestFit="1" customWidth="1"/>
    <col min="8696" max="8698" width="12.25" style="1" bestFit="1" customWidth="1"/>
    <col min="8699" max="8712" width="11" style="1" bestFit="1" customWidth="1"/>
    <col min="8713" max="8713" width="13.25" style="1" bestFit="1" customWidth="1"/>
    <col min="8714" max="8714" width="10" style="1" bestFit="1" customWidth="1"/>
    <col min="8715" max="8715" width="11" style="1" bestFit="1" customWidth="1"/>
    <col min="8716" max="8918" width="9" style="1"/>
    <col min="8919" max="8919" width="2.875" style="1" bestFit="1" customWidth="1"/>
    <col min="8920" max="8920" width="16.625" style="1" bestFit="1" customWidth="1"/>
    <col min="8921" max="8921" width="11.375" style="1" bestFit="1" customWidth="1"/>
    <col min="8922" max="8923" width="14.125" style="1" bestFit="1" customWidth="1"/>
    <col min="8924" max="8924" width="11.375" style="1" bestFit="1" customWidth="1"/>
    <col min="8925" max="8927" width="12.5" style="1" bestFit="1" customWidth="1"/>
    <col min="8928" max="8928" width="11" style="1" bestFit="1" customWidth="1"/>
    <col min="8929" max="8947" width="13" style="1" bestFit="1" customWidth="1"/>
    <col min="8948" max="8951" width="11" style="1" bestFit="1" customWidth="1"/>
    <col min="8952" max="8954" width="12.25" style="1" bestFit="1" customWidth="1"/>
    <col min="8955" max="8968" width="11" style="1" bestFit="1" customWidth="1"/>
    <col min="8969" max="8969" width="13.25" style="1" bestFit="1" customWidth="1"/>
    <col min="8970" max="8970" width="10" style="1" bestFit="1" customWidth="1"/>
    <col min="8971" max="8971" width="11" style="1" bestFit="1" customWidth="1"/>
    <col min="8972" max="9174" width="9" style="1"/>
    <col min="9175" max="9175" width="2.875" style="1" bestFit="1" customWidth="1"/>
    <col min="9176" max="9176" width="16.625" style="1" bestFit="1" customWidth="1"/>
    <col min="9177" max="9177" width="11.375" style="1" bestFit="1" customWidth="1"/>
    <col min="9178" max="9179" width="14.125" style="1" bestFit="1" customWidth="1"/>
    <col min="9180" max="9180" width="11.375" style="1" bestFit="1" customWidth="1"/>
    <col min="9181" max="9183" width="12.5" style="1" bestFit="1" customWidth="1"/>
    <col min="9184" max="9184" width="11" style="1" bestFit="1" customWidth="1"/>
    <col min="9185" max="9203" width="13" style="1" bestFit="1" customWidth="1"/>
    <col min="9204" max="9207" width="11" style="1" bestFit="1" customWidth="1"/>
    <col min="9208" max="9210" width="12.25" style="1" bestFit="1" customWidth="1"/>
    <col min="9211" max="9224" width="11" style="1" bestFit="1" customWidth="1"/>
    <col min="9225" max="9225" width="13.25" style="1" bestFit="1" customWidth="1"/>
    <col min="9226" max="9226" width="10" style="1" bestFit="1" customWidth="1"/>
    <col min="9227" max="9227" width="11" style="1" bestFit="1" customWidth="1"/>
    <col min="9228" max="9430" width="9" style="1"/>
    <col min="9431" max="9431" width="2.875" style="1" bestFit="1" customWidth="1"/>
    <col min="9432" max="9432" width="16.625" style="1" bestFit="1" customWidth="1"/>
    <col min="9433" max="9433" width="11.375" style="1" bestFit="1" customWidth="1"/>
    <col min="9434" max="9435" width="14.125" style="1" bestFit="1" customWidth="1"/>
    <col min="9436" max="9436" width="11.375" style="1" bestFit="1" customWidth="1"/>
    <col min="9437" max="9439" width="12.5" style="1" bestFit="1" customWidth="1"/>
    <col min="9440" max="9440" width="11" style="1" bestFit="1" customWidth="1"/>
    <col min="9441" max="9459" width="13" style="1" bestFit="1" customWidth="1"/>
    <col min="9460" max="9463" width="11" style="1" bestFit="1" customWidth="1"/>
    <col min="9464" max="9466" width="12.25" style="1" bestFit="1" customWidth="1"/>
    <col min="9467" max="9480" width="11" style="1" bestFit="1" customWidth="1"/>
    <col min="9481" max="9481" width="13.25" style="1" bestFit="1" customWidth="1"/>
    <col min="9482" max="9482" width="10" style="1" bestFit="1" customWidth="1"/>
    <col min="9483" max="9483" width="11" style="1" bestFit="1" customWidth="1"/>
    <col min="9484" max="9686" width="9" style="1"/>
    <col min="9687" max="9687" width="2.875" style="1" bestFit="1" customWidth="1"/>
    <col min="9688" max="9688" width="16.625" style="1" bestFit="1" customWidth="1"/>
    <col min="9689" max="9689" width="11.375" style="1" bestFit="1" customWidth="1"/>
    <col min="9690" max="9691" width="14.125" style="1" bestFit="1" customWidth="1"/>
    <col min="9692" max="9692" width="11.375" style="1" bestFit="1" customWidth="1"/>
    <col min="9693" max="9695" width="12.5" style="1" bestFit="1" customWidth="1"/>
    <col min="9696" max="9696" width="11" style="1" bestFit="1" customWidth="1"/>
    <col min="9697" max="9715" width="13" style="1" bestFit="1" customWidth="1"/>
    <col min="9716" max="9719" width="11" style="1" bestFit="1" customWidth="1"/>
    <col min="9720" max="9722" width="12.25" style="1" bestFit="1" customWidth="1"/>
    <col min="9723" max="9736" width="11" style="1" bestFit="1" customWidth="1"/>
    <col min="9737" max="9737" width="13.25" style="1" bestFit="1" customWidth="1"/>
    <col min="9738" max="9738" width="10" style="1" bestFit="1" customWidth="1"/>
    <col min="9739" max="9739" width="11" style="1" bestFit="1" customWidth="1"/>
    <col min="9740" max="9942" width="9" style="1"/>
    <col min="9943" max="9943" width="2.875" style="1" bestFit="1" customWidth="1"/>
    <col min="9944" max="9944" width="16.625" style="1" bestFit="1" customWidth="1"/>
    <col min="9945" max="9945" width="11.375" style="1" bestFit="1" customWidth="1"/>
    <col min="9946" max="9947" width="14.125" style="1" bestFit="1" customWidth="1"/>
    <col min="9948" max="9948" width="11.375" style="1" bestFit="1" customWidth="1"/>
    <col min="9949" max="9951" width="12.5" style="1" bestFit="1" customWidth="1"/>
    <col min="9952" max="9952" width="11" style="1" bestFit="1" customWidth="1"/>
    <col min="9953" max="9971" width="13" style="1" bestFit="1" customWidth="1"/>
    <col min="9972" max="9975" width="11" style="1" bestFit="1" customWidth="1"/>
    <col min="9976" max="9978" width="12.25" style="1" bestFit="1" customWidth="1"/>
    <col min="9979" max="9992" width="11" style="1" bestFit="1" customWidth="1"/>
    <col min="9993" max="9993" width="13.25" style="1" bestFit="1" customWidth="1"/>
    <col min="9994" max="9994" width="10" style="1" bestFit="1" customWidth="1"/>
    <col min="9995" max="9995" width="11" style="1" bestFit="1" customWidth="1"/>
    <col min="9996" max="10198" width="9" style="1"/>
    <col min="10199" max="10199" width="2.875" style="1" bestFit="1" customWidth="1"/>
    <col min="10200" max="10200" width="16.625" style="1" bestFit="1" customWidth="1"/>
    <col min="10201" max="10201" width="11.375" style="1" bestFit="1" customWidth="1"/>
    <col min="10202" max="10203" width="14.125" style="1" bestFit="1" customWidth="1"/>
    <col min="10204" max="10204" width="11.375" style="1" bestFit="1" customWidth="1"/>
    <col min="10205" max="10207" width="12.5" style="1" bestFit="1" customWidth="1"/>
    <col min="10208" max="10208" width="11" style="1" bestFit="1" customWidth="1"/>
    <col min="10209" max="10227" width="13" style="1" bestFit="1" customWidth="1"/>
    <col min="10228" max="10231" width="11" style="1" bestFit="1" customWidth="1"/>
    <col min="10232" max="10234" width="12.25" style="1" bestFit="1" customWidth="1"/>
    <col min="10235" max="10248" width="11" style="1" bestFit="1" customWidth="1"/>
    <col min="10249" max="10249" width="13.25" style="1" bestFit="1" customWidth="1"/>
    <col min="10250" max="10250" width="10" style="1" bestFit="1" customWidth="1"/>
    <col min="10251" max="10251" width="11" style="1" bestFit="1" customWidth="1"/>
    <col min="10252" max="10454" width="9" style="1"/>
    <col min="10455" max="10455" width="2.875" style="1" bestFit="1" customWidth="1"/>
    <col min="10456" max="10456" width="16.625" style="1" bestFit="1" customWidth="1"/>
    <col min="10457" max="10457" width="11.375" style="1" bestFit="1" customWidth="1"/>
    <col min="10458" max="10459" width="14.125" style="1" bestFit="1" customWidth="1"/>
    <col min="10460" max="10460" width="11.375" style="1" bestFit="1" customWidth="1"/>
    <col min="10461" max="10463" width="12.5" style="1" bestFit="1" customWidth="1"/>
    <col min="10464" max="10464" width="11" style="1" bestFit="1" customWidth="1"/>
    <col min="10465" max="10483" width="13" style="1" bestFit="1" customWidth="1"/>
    <col min="10484" max="10487" width="11" style="1" bestFit="1" customWidth="1"/>
    <col min="10488" max="10490" width="12.25" style="1" bestFit="1" customWidth="1"/>
    <col min="10491" max="10504" width="11" style="1" bestFit="1" customWidth="1"/>
    <col min="10505" max="10505" width="13.25" style="1" bestFit="1" customWidth="1"/>
    <col min="10506" max="10506" width="10" style="1" bestFit="1" customWidth="1"/>
    <col min="10507" max="10507" width="11" style="1" bestFit="1" customWidth="1"/>
    <col min="10508" max="10710" width="9" style="1"/>
    <col min="10711" max="10711" width="2.875" style="1" bestFit="1" customWidth="1"/>
    <col min="10712" max="10712" width="16.625" style="1" bestFit="1" customWidth="1"/>
    <col min="10713" max="10713" width="11.375" style="1" bestFit="1" customWidth="1"/>
    <col min="10714" max="10715" width="14.125" style="1" bestFit="1" customWidth="1"/>
    <col min="10716" max="10716" width="11.375" style="1" bestFit="1" customWidth="1"/>
    <col min="10717" max="10719" width="12.5" style="1" bestFit="1" customWidth="1"/>
    <col min="10720" max="10720" width="11" style="1" bestFit="1" customWidth="1"/>
    <col min="10721" max="10739" width="13" style="1" bestFit="1" customWidth="1"/>
    <col min="10740" max="10743" width="11" style="1" bestFit="1" customWidth="1"/>
    <col min="10744" max="10746" width="12.25" style="1" bestFit="1" customWidth="1"/>
    <col min="10747" max="10760" width="11" style="1" bestFit="1" customWidth="1"/>
    <col min="10761" max="10761" width="13.25" style="1" bestFit="1" customWidth="1"/>
    <col min="10762" max="10762" width="10" style="1" bestFit="1" customWidth="1"/>
    <col min="10763" max="10763" width="11" style="1" bestFit="1" customWidth="1"/>
    <col min="10764" max="10966" width="9" style="1"/>
    <col min="10967" max="10967" width="2.875" style="1" bestFit="1" customWidth="1"/>
    <col min="10968" max="10968" width="16.625" style="1" bestFit="1" customWidth="1"/>
    <col min="10969" max="10969" width="11.375" style="1" bestFit="1" customWidth="1"/>
    <col min="10970" max="10971" width="14.125" style="1" bestFit="1" customWidth="1"/>
    <col min="10972" max="10972" width="11.375" style="1" bestFit="1" customWidth="1"/>
    <col min="10973" max="10975" width="12.5" style="1" bestFit="1" customWidth="1"/>
    <col min="10976" max="10976" width="11" style="1" bestFit="1" customWidth="1"/>
    <col min="10977" max="10995" width="13" style="1" bestFit="1" customWidth="1"/>
    <col min="10996" max="10999" width="11" style="1" bestFit="1" customWidth="1"/>
    <col min="11000" max="11002" width="12.25" style="1" bestFit="1" customWidth="1"/>
    <col min="11003" max="11016" width="11" style="1" bestFit="1" customWidth="1"/>
    <col min="11017" max="11017" width="13.25" style="1" bestFit="1" customWidth="1"/>
    <col min="11018" max="11018" width="10" style="1" bestFit="1" customWidth="1"/>
    <col min="11019" max="11019" width="11" style="1" bestFit="1" customWidth="1"/>
    <col min="11020" max="11222" width="9" style="1"/>
    <col min="11223" max="11223" width="2.875" style="1" bestFit="1" customWidth="1"/>
    <col min="11224" max="11224" width="16.625" style="1" bestFit="1" customWidth="1"/>
    <col min="11225" max="11225" width="11.375" style="1" bestFit="1" customWidth="1"/>
    <col min="11226" max="11227" width="14.125" style="1" bestFit="1" customWidth="1"/>
    <col min="11228" max="11228" width="11.375" style="1" bestFit="1" customWidth="1"/>
    <col min="11229" max="11231" width="12.5" style="1" bestFit="1" customWidth="1"/>
    <col min="11232" max="11232" width="11" style="1" bestFit="1" customWidth="1"/>
    <col min="11233" max="11251" width="13" style="1" bestFit="1" customWidth="1"/>
    <col min="11252" max="11255" width="11" style="1" bestFit="1" customWidth="1"/>
    <col min="11256" max="11258" width="12.25" style="1" bestFit="1" customWidth="1"/>
    <col min="11259" max="11272" width="11" style="1" bestFit="1" customWidth="1"/>
    <col min="11273" max="11273" width="13.25" style="1" bestFit="1" customWidth="1"/>
    <col min="11274" max="11274" width="10" style="1" bestFit="1" customWidth="1"/>
    <col min="11275" max="11275" width="11" style="1" bestFit="1" customWidth="1"/>
    <col min="11276" max="11478" width="9" style="1"/>
    <col min="11479" max="11479" width="2.875" style="1" bestFit="1" customWidth="1"/>
    <col min="11480" max="11480" width="16.625" style="1" bestFit="1" customWidth="1"/>
    <col min="11481" max="11481" width="11.375" style="1" bestFit="1" customWidth="1"/>
    <col min="11482" max="11483" width="14.125" style="1" bestFit="1" customWidth="1"/>
    <col min="11484" max="11484" width="11.375" style="1" bestFit="1" customWidth="1"/>
    <col min="11485" max="11487" width="12.5" style="1" bestFit="1" customWidth="1"/>
    <col min="11488" max="11488" width="11" style="1" bestFit="1" customWidth="1"/>
    <col min="11489" max="11507" width="13" style="1" bestFit="1" customWidth="1"/>
    <col min="11508" max="11511" width="11" style="1" bestFit="1" customWidth="1"/>
    <col min="11512" max="11514" width="12.25" style="1" bestFit="1" customWidth="1"/>
    <col min="11515" max="11528" width="11" style="1" bestFit="1" customWidth="1"/>
    <col min="11529" max="11529" width="13.25" style="1" bestFit="1" customWidth="1"/>
    <col min="11530" max="11530" width="10" style="1" bestFit="1" customWidth="1"/>
    <col min="11531" max="11531" width="11" style="1" bestFit="1" customWidth="1"/>
    <col min="11532" max="11734" width="9" style="1"/>
    <col min="11735" max="11735" width="2.875" style="1" bestFit="1" customWidth="1"/>
    <col min="11736" max="11736" width="16.625" style="1" bestFit="1" customWidth="1"/>
    <col min="11737" max="11737" width="11.375" style="1" bestFit="1" customWidth="1"/>
    <col min="11738" max="11739" width="14.125" style="1" bestFit="1" customWidth="1"/>
    <col min="11740" max="11740" width="11.375" style="1" bestFit="1" customWidth="1"/>
    <col min="11741" max="11743" width="12.5" style="1" bestFit="1" customWidth="1"/>
    <col min="11744" max="11744" width="11" style="1" bestFit="1" customWidth="1"/>
    <col min="11745" max="11763" width="13" style="1" bestFit="1" customWidth="1"/>
    <col min="11764" max="11767" width="11" style="1" bestFit="1" customWidth="1"/>
    <col min="11768" max="11770" width="12.25" style="1" bestFit="1" customWidth="1"/>
    <col min="11771" max="11784" width="11" style="1" bestFit="1" customWidth="1"/>
    <col min="11785" max="11785" width="13.25" style="1" bestFit="1" customWidth="1"/>
    <col min="11786" max="11786" width="10" style="1" bestFit="1" customWidth="1"/>
    <col min="11787" max="11787" width="11" style="1" bestFit="1" customWidth="1"/>
    <col min="11788" max="11990" width="9" style="1"/>
    <col min="11991" max="11991" width="2.875" style="1" bestFit="1" customWidth="1"/>
    <col min="11992" max="11992" width="16.625" style="1" bestFit="1" customWidth="1"/>
    <col min="11993" max="11993" width="11.375" style="1" bestFit="1" customWidth="1"/>
    <col min="11994" max="11995" width="14.125" style="1" bestFit="1" customWidth="1"/>
    <col min="11996" max="11996" width="11.375" style="1" bestFit="1" customWidth="1"/>
    <col min="11997" max="11999" width="12.5" style="1" bestFit="1" customWidth="1"/>
    <col min="12000" max="12000" width="11" style="1" bestFit="1" customWidth="1"/>
    <col min="12001" max="12019" width="13" style="1" bestFit="1" customWidth="1"/>
    <col min="12020" max="12023" width="11" style="1" bestFit="1" customWidth="1"/>
    <col min="12024" max="12026" width="12.25" style="1" bestFit="1" customWidth="1"/>
    <col min="12027" max="12040" width="11" style="1" bestFit="1" customWidth="1"/>
    <col min="12041" max="12041" width="13.25" style="1" bestFit="1" customWidth="1"/>
    <col min="12042" max="12042" width="10" style="1" bestFit="1" customWidth="1"/>
    <col min="12043" max="12043" width="11" style="1" bestFit="1" customWidth="1"/>
    <col min="12044" max="12246" width="9" style="1"/>
    <col min="12247" max="12247" width="2.875" style="1" bestFit="1" customWidth="1"/>
    <col min="12248" max="12248" width="16.625" style="1" bestFit="1" customWidth="1"/>
    <col min="12249" max="12249" width="11.375" style="1" bestFit="1" customWidth="1"/>
    <col min="12250" max="12251" width="14.125" style="1" bestFit="1" customWidth="1"/>
    <col min="12252" max="12252" width="11.375" style="1" bestFit="1" customWidth="1"/>
    <col min="12253" max="12255" width="12.5" style="1" bestFit="1" customWidth="1"/>
    <col min="12256" max="12256" width="11" style="1" bestFit="1" customWidth="1"/>
    <col min="12257" max="12275" width="13" style="1" bestFit="1" customWidth="1"/>
    <col min="12276" max="12279" width="11" style="1" bestFit="1" customWidth="1"/>
    <col min="12280" max="12282" width="12.25" style="1" bestFit="1" customWidth="1"/>
    <col min="12283" max="12296" width="11" style="1" bestFit="1" customWidth="1"/>
    <col min="12297" max="12297" width="13.25" style="1" bestFit="1" customWidth="1"/>
    <col min="12298" max="12298" width="10" style="1" bestFit="1" customWidth="1"/>
    <col min="12299" max="12299" width="11" style="1" bestFit="1" customWidth="1"/>
    <col min="12300" max="12502" width="9" style="1"/>
    <col min="12503" max="12503" width="2.875" style="1" bestFit="1" customWidth="1"/>
    <col min="12504" max="12504" width="16.625" style="1" bestFit="1" customWidth="1"/>
    <col min="12505" max="12505" width="11.375" style="1" bestFit="1" customWidth="1"/>
    <col min="12506" max="12507" width="14.125" style="1" bestFit="1" customWidth="1"/>
    <col min="12508" max="12508" width="11.375" style="1" bestFit="1" customWidth="1"/>
    <col min="12509" max="12511" width="12.5" style="1" bestFit="1" customWidth="1"/>
    <col min="12512" max="12512" width="11" style="1" bestFit="1" customWidth="1"/>
    <col min="12513" max="12531" width="13" style="1" bestFit="1" customWidth="1"/>
    <col min="12532" max="12535" width="11" style="1" bestFit="1" customWidth="1"/>
    <col min="12536" max="12538" width="12.25" style="1" bestFit="1" customWidth="1"/>
    <col min="12539" max="12552" width="11" style="1" bestFit="1" customWidth="1"/>
    <col min="12553" max="12553" width="13.25" style="1" bestFit="1" customWidth="1"/>
    <col min="12554" max="12554" width="10" style="1" bestFit="1" customWidth="1"/>
    <col min="12555" max="12555" width="11" style="1" bestFit="1" customWidth="1"/>
    <col min="12556" max="12758" width="9" style="1"/>
    <col min="12759" max="12759" width="2.875" style="1" bestFit="1" customWidth="1"/>
    <col min="12760" max="12760" width="16.625" style="1" bestFit="1" customWidth="1"/>
    <col min="12761" max="12761" width="11.375" style="1" bestFit="1" customWidth="1"/>
    <col min="12762" max="12763" width="14.125" style="1" bestFit="1" customWidth="1"/>
    <col min="12764" max="12764" width="11.375" style="1" bestFit="1" customWidth="1"/>
    <col min="12765" max="12767" width="12.5" style="1" bestFit="1" customWidth="1"/>
    <col min="12768" max="12768" width="11" style="1" bestFit="1" customWidth="1"/>
    <col min="12769" max="12787" width="13" style="1" bestFit="1" customWidth="1"/>
    <col min="12788" max="12791" width="11" style="1" bestFit="1" customWidth="1"/>
    <col min="12792" max="12794" width="12.25" style="1" bestFit="1" customWidth="1"/>
    <col min="12795" max="12808" width="11" style="1" bestFit="1" customWidth="1"/>
    <col min="12809" max="12809" width="13.25" style="1" bestFit="1" customWidth="1"/>
    <col min="12810" max="12810" width="10" style="1" bestFit="1" customWidth="1"/>
    <col min="12811" max="12811" width="11" style="1" bestFit="1" customWidth="1"/>
    <col min="12812" max="13014" width="9" style="1"/>
    <col min="13015" max="13015" width="2.875" style="1" bestFit="1" customWidth="1"/>
    <col min="13016" max="13016" width="16.625" style="1" bestFit="1" customWidth="1"/>
    <col min="13017" max="13017" width="11.375" style="1" bestFit="1" customWidth="1"/>
    <col min="13018" max="13019" width="14.125" style="1" bestFit="1" customWidth="1"/>
    <col min="13020" max="13020" width="11.375" style="1" bestFit="1" customWidth="1"/>
    <col min="13021" max="13023" width="12.5" style="1" bestFit="1" customWidth="1"/>
    <col min="13024" max="13024" width="11" style="1" bestFit="1" customWidth="1"/>
    <col min="13025" max="13043" width="13" style="1" bestFit="1" customWidth="1"/>
    <col min="13044" max="13047" width="11" style="1" bestFit="1" customWidth="1"/>
    <col min="13048" max="13050" width="12.25" style="1" bestFit="1" customWidth="1"/>
    <col min="13051" max="13064" width="11" style="1" bestFit="1" customWidth="1"/>
    <col min="13065" max="13065" width="13.25" style="1" bestFit="1" customWidth="1"/>
    <col min="13066" max="13066" width="10" style="1" bestFit="1" customWidth="1"/>
    <col min="13067" max="13067" width="11" style="1" bestFit="1" customWidth="1"/>
    <col min="13068" max="13270" width="9" style="1"/>
    <col min="13271" max="13271" width="2.875" style="1" bestFit="1" customWidth="1"/>
    <col min="13272" max="13272" width="16.625" style="1" bestFit="1" customWidth="1"/>
    <col min="13273" max="13273" width="11.375" style="1" bestFit="1" customWidth="1"/>
    <col min="13274" max="13275" width="14.125" style="1" bestFit="1" customWidth="1"/>
    <col min="13276" max="13276" width="11.375" style="1" bestFit="1" customWidth="1"/>
    <col min="13277" max="13279" width="12.5" style="1" bestFit="1" customWidth="1"/>
    <col min="13280" max="13280" width="11" style="1" bestFit="1" customWidth="1"/>
    <col min="13281" max="13299" width="13" style="1" bestFit="1" customWidth="1"/>
    <col min="13300" max="13303" width="11" style="1" bestFit="1" customWidth="1"/>
    <col min="13304" max="13306" width="12.25" style="1" bestFit="1" customWidth="1"/>
    <col min="13307" max="13320" width="11" style="1" bestFit="1" customWidth="1"/>
    <col min="13321" max="13321" width="13.25" style="1" bestFit="1" customWidth="1"/>
    <col min="13322" max="13322" width="10" style="1" bestFit="1" customWidth="1"/>
    <col min="13323" max="13323" width="11" style="1" bestFit="1" customWidth="1"/>
    <col min="13324" max="13526" width="9" style="1"/>
    <col min="13527" max="13527" width="2.875" style="1" bestFit="1" customWidth="1"/>
    <col min="13528" max="13528" width="16.625" style="1" bestFit="1" customWidth="1"/>
    <col min="13529" max="13529" width="11.375" style="1" bestFit="1" customWidth="1"/>
    <col min="13530" max="13531" width="14.125" style="1" bestFit="1" customWidth="1"/>
    <col min="13532" max="13532" width="11.375" style="1" bestFit="1" customWidth="1"/>
    <col min="13533" max="13535" width="12.5" style="1" bestFit="1" customWidth="1"/>
    <col min="13536" max="13536" width="11" style="1" bestFit="1" customWidth="1"/>
    <col min="13537" max="13555" width="13" style="1" bestFit="1" customWidth="1"/>
    <col min="13556" max="13559" width="11" style="1" bestFit="1" customWidth="1"/>
    <col min="13560" max="13562" width="12.25" style="1" bestFit="1" customWidth="1"/>
    <col min="13563" max="13576" width="11" style="1" bestFit="1" customWidth="1"/>
    <col min="13577" max="13577" width="13.25" style="1" bestFit="1" customWidth="1"/>
    <col min="13578" max="13578" width="10" style="1" bestFit="1" customWidth="1"/>
    <col min="13579" max="13579" width="11" style="1" bestFit="1" customWidth="1"/>
    <col min="13580" max="13782" width="9" style="1"/>
    <col min="13783" max="13783" width="2.875" style="1" bestFit="1" customWidth="1"/>
    <col min="13784" max="13784" width="16.625" style="1" bestFit="1" customWidth="1"/>
    <col min="13785" max="13785" width="11.375" style="1" bestFit="1" customWidth="1"/>
    <col min="13786" max="13787" width="14.125" style="1" bestFit="1" customWidth="1"/>
    <col min="13788" max="13788" width="11.375" style="1" bestFit="1" customWidth="1"/>
    <col min="13789" max="13791" width="12.5" style="1" bestFit="1" customWidth="1"/>
    <col min="13792" max="13792" width="11" style="1" bestFit="1" customWidth="1"/>
    <col min="13793" max="13811" width="13" style="1" bestFit="1" customWidth="1"/>
    <col min="13812" max="13815" width="11" style="1" bestFit="1" customWidth="1"/>
    <col min="13816" max="13818" width="12.25" style="1" bestFit="1" customWidth="1"/>
    <col min="13819" max="13832" width="11" style="1" bestFit="1" customWidth="1"/>
    <col min="13833" max="13833" width="13.25" style="1" bestFit="1" customWidth="1"/>
    <col min="13834" max="13834" width="10" style="1" bestFit="1" customWidth="1"/>
    <col min="13835" max="13835" width="11" style="1" bestFit="1" customWidth="1"/>
    <col min="13836" max="14038" width="9" style="1"/>
    <col min="14039" max="14039" width="2.875" style="1" bestFit="1" customWidth="1"/>
    <col min="14040" max="14040" width="16.625" style="1" bestFit="1" customWidth="1"/>
    <col min="14041" max="14041" width="11.375" style="1" bestFit="1" customWidth="1"/>
    <col min="14042" max="14043" width="14.125" style="1" bestFit="1" customWidth="1"/>
    <col min="14044" max="14044" width="11.375" style="1" bestFit="1" customWidth="1"/>
    <col min="14045" max="14047" width="12.5" style="1" bestFit="1" customWidth="1"/>
    <col min="14048" max="14048" width="11" style="1" bestFit="1" customWidth="1"/>
    <col min="14049" max="14067" width="13" style="1" bestFit="1" customWidth="1"/>
    <col min="14068" max="14071" width="11" style="1" bestFit="1" customWidth="1"/>
    <col min="14072" max="14074" width="12.25" style="1" bestFit="1" customWidth="1"/>
    <col min="14075" max="14088" width="11" style="1" bestFit="1" customWidth="1"/>
    <col min="14089" max="14089" width="13.25" style="1" bestFit="1" customWidth="1"/>
    <col min="14090" max="14090" width="10" style="1" bestFit="1" customWidth="1"/>
    <col min="14091" max="14091" width="11" style="1" bestFit="1" customWidth="1"/>
    <col min="14092" max="14294" width="9" style="1"/>
    <col min="14295" max="14295" width="2.875" style="1" bestFit="1" customWidth="1"/>
    <col min="14296" max="14296" width="16.625" style="1" bestFit="1" customWidth="1"/>
    <col min="14297" max="14297" width="11.375" style="1" bestFit="1" customWidth="1"/>
    <col min="14298" max="14299" width="14.125" style="1" bestFit="1" customWidth="1"/>
    <col min="14300" max="14300" width="11.375" style="1" bestFit="1" customWidth="1"/>
    <col min="14301" max="14303" width="12.5" style="1" bestFit="1" customWidth="1"/>
    <col min="14304" max="14304" width="11" style="1" bestFit="1" customWidth="1"/>
    <col min="14305" max="14323" width="13" style="1" bestFit="1" customWidth="1"/>
    <col min="14324" max="14327" width="11" style="1" bestFit="1" customWidth="1"/>
    <col min="14328" max="14330" width="12.25" style="1" bestFit="1" customWidth="1"/>
    <col min="14331" max="14344" width="11" style="1" bestFit="1" customWidth="1"/>
    <col min="14345" max="14345" width="13.25" style="1" bestFit="1" customWidth="1"/>
    <col min="14346" max="14346" width="10" style="1" bestFit="1" customWidth="1"/>
    <col min="14347" max="14347" width="11" style="1" bestFit="1" customWidth="1"/>
    <col min="14348" max="14550" width="9" style="1"/>
    <col min="14551" max="14551" width="2.875" style="1" bestFit="1" customWidth="1"/>
    <col min="14552" max="14552" width="16.625" style="1" bestFit="1" customWidth="1"/>
    <col min="14553" max="14553" width="11.375" style="1" bestFit="1" customWidth="1"/>
    <col min="14554" max="14555" width="14.125" style="1" bestFit="1" customWidth="1"/>
    <col min="14556" max="14556" width="11.375" style="1" bestFit="1" customWidth="1"/>
    <col min="14557" max="14559" width="12.5" style="1" bestFit="1" customWidth="1"/>
    <col min="14560" max="14560" width="11" style="1" bestFit="1" customWidth="1"/>
    <col min="14561" max="14579" width="13" style="1" bestFit="1" customWidth="1"/>
    <col min="14580" max="14583" width="11" style="1" bestFit="1" customWidth="1"/>
    <col min="14584" max="14586" width="12.25" style="1" bestFit="1" customWidth="1"/>
    <col min="14587" max="14600" width="11" style="1" bestFit="1" customWidth="1"/>
    <col min="14601" max="14601" width="13.25" style="1" bestFit="1" customWidth="1"/>
    <col min="14602" max="14602" width="10" style="1" bestFit="1" customWidth="1"/>
    <col min="14603" max="14603" width="11" style="1" bestFit="1" customWidth="1"/>
    <col min="14604" max="14806" width="9" style="1"/>
    <col min="14807" max="14807" width="2.875" style="1" bestFit="1" customWidth="1"/>
    <col min="14808" max="14808" width="16.625" style="1" bestFit="1" customWidth="1"/>
    <col min="14809" max="14809" width="11.375" style="1" bestFit="1" customWidth="1"/>
    <col min="14810" max="14811" width="14.125" style="1" bestFit="1" customWidth="1"/>
    <col min="14812" max="14812" width="11.375" style="1" bestFit="1" customWidth="1"/>
    <col min="14813" max="14815" width="12.5" style="1" bestFit="1" customWidth="1"/>
    <col min="14816" max="14816" width="11" style="1" bestFit="1" customWidth="1"/>
    <col min="14817" max="14835" width="13" style="1" bestFit="1" customWidth="1"/>
    <col min="14836" max="14839" width="11" style="1" bestFit="1" customWidth="1"/>
    <col min="14840" max="14842" width="12.25" style="1" bestFit="1" customWidth="1"/>
    <col min="14843" max="14856" width="11" style="1" bestFit="1" customWidth="1"/>
    <col min="14857" max="14857" width="13.25" style="1" bestFit="1" customWidth="1"/>
    <col min="14858" max="14858" width="10" style="1" bestFit="1" customWidth="1"/>
    <col min="14859" max="14859" width="11" style="1" bestFit="1" customWidth="1"/>
    <col min="14860" max="15062" width="9" style="1"/>
    <col min="15063" max="15063" width="2.875" style="1" bestFit="1" customWidth="1"/>
    <col min="15064" max="15064" width="16.625" style="1" bestFit="1" customWidth="1"/>
    <col min="15065" max="15065" width="11.375" style="1" bestFit="1" customWidth="1"/>
    <col min="15066" max="15067" width="14.125" style="1" bestFit="1" customWidth="1"/>
    <col min="15068" max="15068" width="11.375" style="1" bestFit="1" customWidth="1"/>
    <col min="15069" max="15071" width="12.5" style="1" bestFit="1" customWidth="1"/>
    <col min="15072" max="15072" width="11" style="1" bestFit="1" customWidth="1"/>
    <col min="15073" max="15091" width="13" style="1" bestFit="1" customWidth="1"/>
    <col min="15092" max="15095" width="11" style="1" bestFit="1" customWidth="1"/>
    <col min="15096" max="15098" width="12.25" style="1" bestFit="1" customWidth="1"/>
    <col min="15099" max="15112" width="11" style="1" bestFit="1" customWidth="1"/>
    <col min="15113" max="15113" width="13.25" style="1" bestFit="1" customWidth="1"/>
    <col min="15114" max="15114" width="10" style="1" bestFit="1" customWidth="1"/>
    <col min="15115" max="15115" width="11" style="1" bestFit="1" customWidth="1"/>
    <col min="15116" max="15318" width="9" style="1"/>
    <col min="15319" max="15319" width="2.875" style="1" bestFit="1" customWidth="1"/>
    <col min="15320" max="15320" width="16.625" style="1" bestFit="1" customWidth="1"/>
    <col min="15321" max="15321" width="11.375" style="1" bestFit="1" customWidth="1"/>
    <col min="15322" max="15323" width="14.125" style="1" bestFit="1" customWidth="1"/>
    <col min="15324" max="15324" width="11.375" style="1" bestFit="1" customWidth="1"/>
    <col min="15325" max="15327" width="12.5" style="1" bestFit="1" customWidth="1"/>
    <col min="15328" max="15328" width="11" style="1" bestFit="1" customWidth="1"/>
    <col min="15329" max="15347" width="13" style="1" bestFit="1" customWidth="1"/>
    <col min="15348" max="15351" width="11" style="1" bestFit="1" customWidth="1"/>
    <col min="15352" max="15354" width="12.25" style="1" bestFit="1" customWidth="1"/>
    <col min="15355" max="15368" width="11" style="1" bestFit="1" customWidth="1"/>
    <col min="15369" max="15369" width="13.25" style="1" bestFit="1" customWidth="1"/>
    <col min="15370" max="15370" width="10" style="1" bestFit="1" customWidth="1"/>
    <col min="15371" max="15371" width="11" style="1" bestFit="1" customWidth="1"/>
    <col min="15372" max="15574" width="9" style="1"/>
    <col min="15575" max="15575" width="2.875" style="1" bestFit="1" customWidth="1"/>
    <col min="15576" max="15576" width="16.625" style="1" bestFit="1" customWidth="1"/>
    <col min="15577" max="15577" width="11.375" style="1" bestFit="1" customWidth="1"/>
    <col min="15578" max="15579" width="14.125" style="1" bestFit="1" customWidth="1"/>
    <col min="15580" max="15580" width="11.375" style="1" bestFit="1" customWidth="1"/>
    <col min="15581" max="15583" width="12.5" style="1" bestFit="1" customWidth="1"/>
    <col min="15584" max="15584" width="11" style="1" bestFit="1" customWidth="1"/>
    <col min="15585" max="15603" width="13" style="1" bestFit="1" customWidth="1"/>
    <col min="15604" max="15607" width="11" style="1" bestFit="1" customWidth="1"/>
    <col min="15608" max="15610" width="12.25" style="1" bestFit="1" customWidth="1"/>
    <col min="15611" max="15624" width="11" style="1" bestFit="1" customWidth="1"/>
    <col min="15625" max="15625" width="13.25" style="1" bestFit="1" customWidth="1"/>
    <col min="15626" max="15626" width="10" style="1" bestFit="1" customWidth="1"/>
    <col min="15627" max="15627" width="11" style="1" bestFit="1" customWidth="1"/>
    <col min="15628" max="15830" width="9" style="1"/>
    <col min="15831" max="15831" width="2.875" style="1" bestFit="1" customWidth="1"/>
    <col min="15832" max="15832" width="16.625" style="1" bestFit="1" customWidth="1"/>
    <col min="15833" max="15833" width="11.375" style="1" bestFit="1" customWidth="1"/>
    <col min="15834" max="15835" width="14.125" style="1" bestFit="1" customWidth="1"/>
    <col min="15836" max="15836" width="11.375" style="1" bestFit="1" customWidth="1"/>
    <col min="15837" max="15839" width="12.5" style="1" bestFit="1" customWidth="1"/>
    <col min="15840" max="15840" width="11" style="1" bestFit="1" customWidth="1"/>
    <col min="15841" max="15859" width="13" style="1" bestFit="1" customWidth="1"/>
    <col min="15860" max="15863" width="11" style="1" bestFit="1" customWidth="1"/>
    <col min="15864" max="15866" width="12.25" style="1" bestFit="1" customWidth="1"/>
    <col min="15867" max="15880" width="11" style="1" bestFit="1" customWidth="1"/>
    <col min="15881" max="15881" width="13.25" style="1" bestFit="1" customWidth="1"/>
    <col min="15882" max="15882" width="10" style="1" bestFit="1" customWidth="1"/>
    <col min="15883" max="15883" width="11" style="1" bestFit="1" customWidth="1"/>
    <col min="15884" max="16086" width="9" style="1"/>
    <col min="16087" max="16087" width="2.875" style="1" bestFit="1" customWidth="1"/>
    <col min="16088" max="16088" width="16.625" style="1" bestFit="1" customWidth="1"/>
    <col min="16089" max="16089" width="11.375" style="1" bestFit="1" customWidth="1"/>
    <col min="16090" max="16091" width="14.125" style="1" bestFit="1" customWidth="1"/>
    <col min="16092" max="16092" width="11.375" style="1" bestFit="1" customWidth="1"/>
    <col min="16093" max="16095" width="12.5" style="1" bestFit="1" customWidth="1"/>
    <col min="16096" max="16096" width="11" style="1" bestFit="1" customWidth="1"/>
    <col min="16097" max="16115" width="13" style="1" bestFit="1" customWidth="1"/>
    <col min="16116" max="16119" width="11" style="1" bestFit="1" customWidth="1"/>
    <col min="16120" max="16122" width="12.25" style="1" bestFit="1" customWidth="1"/>
    <col min="16123" max="16136" width="11" style="1" bestFit="1" customWidth="1"/>
    <col min="16137" max="16137" width="13.25" style="1" bestFit="1" customWidth="1"/>
    <col min="16138" max="16138" width="10" style="1" bestFit="1" customWidth="1"/>
    <col min="16139" max="16139" width="11" style="1" bestFit="1" customWidth="1"/>
    <col min="16140" max="16384" width="9" style="1"/>
  </cols>
  <sheetData>
    <row r="2" spans="1:11" ht="30.75" customHeight="1" x14ac:dyDescent="0.15"/>
    <row r="3" spans="1:11" ht="17.25" x14ac:dyDescent="0.2">
      <c r="A3" s="56">
        <v>45566</v>
      </c>
      <c r="B3" s="56"/>
      <c r="C3" s="58" t="s">
        <v>237</v>
      </c>
    </row>
    <row r="4" spans="1:11" s="5" customFormat="1" x14ac:dyDescent="0.15">
      <c r="A4" s="49" t="s">
        <v>0</v>
      </c>
      <c r="B4" s="49"/>
      <c r="C4" s="2" t="s">
        <v>186</v>
      </c>
      <c r="D4" s="2" t="s">
        <v>187</v>
      </c>
      <c r="E4" s="2" t="s">
        <v>37</v>
      </c>
      <c r="F4" s="2" t="s">
        <v>38</v>
      </c>
      <c r="G4" s="2" t="s">
        <v>39</v>
      </c>
      <c r="H4" s="3" t="s">
        <v>40</v>
      </c>
      <c r="I4" s="3" t="s">
        <v>41</v>
      </c>
      <c r="J4" s="3" t="s">
        <v>42</v>
      </c>
      <c r="K4" s="4" t="s">
        <v>43</v>
      </c>
    </row>
    <row r="5" spans="1:11" s="5" customFormat="1" hidden="1" x14ac:dyDescent="0.15">
      <c r="A5" s="53" t="s">
        <v>44</v>
      </c>
      <c r="B5" s="57"/>
      <c r="C5" s="2">
        <v>8</v>
      </c>
      <c r="D5" s="2">
        <v>8</v>
      </c>
      <c r="E5" s="2">
        <v>8</v>
      </c>
      <c r="F5" s="2">
        <v>8</v>
      </c>
      <c r="G5" s="2">
        <v>8</v>
      </c>
      <c r="H5" s="3">
        <v>8</v>
      </c>
      <c r="I5" s="3"/>
      <c r="J5" s="3"/>
      <c r="K5" s="4"/>
    </row>
    <row r="6" spans="1:11" s="5" customFormat="1" hidden="1" x14ac:dyDescent="0.15">
      <c r="A6" s="53" t="s">
        <v>45</v>
      </c>
      <c r="B6" s="57"/>
      <c r="C6" s="2" t="s">
        <v>50</v>
      </c>
      <c r="D6" s="2" t="s">
        <v>50</v>
      </c>
      <c r="E6" s="2" t="s">
        <v>50</v>
      </c>
      <c r="F6" s="2" t="s">
        <v>50</v>
      </c>
      <c r="G6" s="2" t="s">
        <v>50</v>
      </c>
      <c r="H6" s="3" t="s">
        <v>50</v>
      </c>
      <c r="I6" s="3"/>
      <c r="J6" s="3"/>
      <c r="K6" s="4"/>
    </row>
    <row r="7" spans="1:11" s="5" customFormat="1" x14ac:dyDescent="0.15">
      <c r="A7" s="55" t="s">
        <v>51</v>
      </c>
      <c r="B7" s="55"/>
      <c r="C7" s="42" t="s">
        <v>188</v>
      </c>
      <c r="D7" s="42" t="s">
        <v>189</v>
      </c>
      <c r="E7" s="42" t="s">
        <v>190</v>
      </c>
      <c r="F7" s="42" t="s">
        <v>191</v>
      </c>
      <c r="G7" s="42" t="s">
        <v>192</v>
      </c>
      <c r="H7" s="43" t="s">
        <v>193</v>
      </c>
      <c r="I7" s="6"/>
      <c r="J7" s="6"/>
      <c r="K7" s="7"/>
    </row>
    <row r="8" spans="1:11" s="5" customFormat="1" x14ac:dyDescent="0.15">
      <c r="A8" s="55" t="s">
        <v>52</v>
      </c>
      <c r="B8" s="55"/>
      <c r="C8" s="42" t="s">
        <v>232</v>
      </c>
      <c r="D8" s="42" t="s">
        <v>220</v>
      </c>
      <c r="E8" s="42" t="s">
        <v>229</v>
      </c>
      <c r="F8" s="42" t="s">
        <v>212</v>
      </c>
      <c r="G8" s="42" t="s">
        <v>230</v>
      </c>
      <c r="H8" s="42" t="s">
        <v>231</v>
      </c>
      <c r="I8" s="6"/>
      <c r="J8" s="6"/>
      <c r="K8" s="7"/>
    </row>
    <row r="9" spans="1:11" x14ac:dyDescent="0.15">
      <c r="A9" s="51" t="s">
        <v>53</v>
      </c>
      <c r="B9" s="52"/>
      <c r="C9" s="44">
        <v>14</v>
      </c>
      <c r="D9" s="44">
        <v>18</v>
      </c>
      <c r="E9" s="44">
        <v>8</v>
      </c>
      <c r="F9" s="44">
        <v>8</v>
      </c>
      <c r="G9" s="44">
        <v>8</v>
      </c>
      <c r="H9" s="45">
        <v>8</v>
      </c>
      <c r="I9" s="9">
        <f>SUM(C9:H9)</f>
        <v>64</v>
      </c>
      <c r="J9" s="9"/>
      <c r="K9" s="10"/>
    </row>
    <row r="10" spans="1:11" x14ac:dyDescent="0.15">
      <c r="A10" s="49" t="s">
        <v>54</v>
      </c>
      <c r="B10" s="49"/>
      <c r="C10" s="47" t="s">
        <v>64</v>
      </c>
      <c r="D10" s="47" t="s">
        <v>64</v>
      </c>
      <c r="E10" s="47" t="s">
        <v>62</v>
      </c>
      <c r="F10" s="47" t="s">
        <v>62</v>
      </c>
      <c r="G10" s="47" t="s">
        <v>62</v>
      </c>
      <c r="H10" s="48" t="s">
        <v>62</v>
      </c>
      <c r="I10" s="12"/>
      <c r="J10" s="12"/>
      <c r="K10" s="13"/>
    </row>
    <row r="11" spans="1:11" x14ac:dyDescent="0.15">
      <c r="A11" s="49" t="s">
        <v>65</v>
      </c>
      <c r="B11" s="49"/>
      <c r="C11" s="14">
        <v>37.200000000000003</v>
      </c>
      <c r="D11" s="14">
        <v>3433.4</v>
      </c>
      <c r="E11" s="14">
        <v>3611.9</v>
      </c>
      <c r="F11" s="14">
        <v>4369.3999999999996</v>
      </c>
      <c r="G11" s="14">
        <v>3824.7999999999997</v>
      </c>
      <c r="H11" s="15">
        <v>3148.7000000000003</v>
      </c>
      <c r="I11" s="16">
        <f>SUM(C11:H11)</f>
        <v>18425.399999999998</v>
      </c>
      <c r="J11" s="16">
        <f>AVERAGE(C11:H11)</f>
        <v>3070.8999999999996</v>
      </c>
      <c r="K11" s="13"/>
    </row>
    <row r="12" spans="1:11" x14ac:dyDescent="0.15">
      <c r="A12" s="53" t="s">
        <v>66</v>
      </c>
      <c r="B12" s="54"/>
      <c r="C12" s="18">
        <v>6.9444444444444448E-2</v>
      </c>
      <c r="D12" s="18">
        <v>4.4909722222222221</v>
      </c>
      <c r="E12" s="18">
        <v>5.458333333333333</v>
      </c>
      <c r="F12" s="18">
        <v>5.3972222222222221</v>
      </c>
      <c r="G12" s="18">
        <v>4.4486111111111111</v>
      </c>
      <c r="H12" s="19">
        <v>8.9569444444444439</v>
      </c>
      <c r="I12" s="20">
        <f>SUM(C12:H12)</f>
        <v>28.821527777777781</v>
      </c>
      <c r="J12" s="20">
        <f>AVERAGE(C12:H12)</f>
        <v>4.8035879629629639</v>
      </c>
      <c r="K12" s="13"/>
    </row>
    <row r="13" spans="1:11" x14ac:dyDescent="0.15">
      <c r="A13" s="49" t="s">
        <v>67</v>
      </c>
      <c r="B13" s="49"/>
      <c r="C13" s="14">
        <v>0</v>
      </c>
      <c r="D13" s="14">
        <v>760400</v>
      </c>
      <c r="E13" s="14">
        <v>703900</v>
      </c>
      <c r="F13" s="14">
        <v>754000</v>
      </c>
      <c r="G13" s="14">
        <v>717000</v>
      </c>
      <c r="H13" s="15">
        <v>1080306</v>
      </c>
      <c r="I13" s="16">
        <f>SUM(C13:H13)</f>
        <v>4015606</v>
      </c>
      <c r="J13" s="16">
        <f>AVERAGE(C13:H13)</f>
        <v>669267.66666666663</v>
      </c>
      <c r="K13" s="13">
        <f>I13/I13</f>
        <v>1</v>
      </c>
    </row>
    <row r="14" spans="1:11" x14ac:dyDescent="0.15">
      <c r="A14" s="53" t="s">
        <v>68</v>
      </c>
      <c r="B14" s="54"/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5">
        <v>0</v>
      </c>
      <c r="I14" s="16">
        <f>SUM(C14:H14)</f>
        <v>0</v>
      </c>
      <c r="J14" s="16">
        <f>AVERAGE(C14:H14)</f>
        <v>0</v>
      </c>
      <c r="K14" s="13"/>
    </row>
    <row r="15" spans="1:11" x14ac:dyDescent="0.15">
      <c r="A15" s="49" t="s">
        <v>69</v>
      </c>
      <c r="B15" s="49"/>
      <c r="C15" s="14">
        <f t="shared" ref="C15:H15" si="0">SUM(C13/C11)</f>
        <v>0</v>
      </c>
      <c r="D15" s="14">
        <f t="shared" si="0"/>
        <v>221.4714277392672</v>
      </c>
      <c r="E15" s="14">
        <f t="shared" si="0"/>
        <v>194.88357927960354</v>
      </c>
      <c r="F15" s="14">
        <f t="shared" si="0"/>
        <v>172.56373872842954</v>
      </c>
      <c r="G15" s="14">
        <f t="shared" si="0"/>
        <v>187.46078226312488</v>
      </c>
      <c r="H15" s="15">
        <f t="shared" si="0"/>
        <v>343.09588083971158</v>
      </c>
      <c r="I15" s="12">
        <f>SUM(I13/I11)</f>
        <v>217.93860648886866</v>
      </c>
      <c r="J15" s="16">
        <f>AVERAGE(C15:H15)</f>
        <v>186.57923480835612</v>
      </c>
      <c r="K15" s="13"/>
    </row>
    <row r="16" spans="1:11" x14ac:dyDescent="0.15">
      <c r="A16" s="53" t="s">
        <v>70</v>
      </c>
      <c r="B16" s="54"/>
      <c r="C16" s="21">
        <f t="shared" ref="C16:I16" si="1">C13/(C12*24)</f>
        <v>0</v>
      </c>
      <c r="D16" s="21">
        <f t="shared" si="1"/>
        <v>7054.8940776248646</v>
      </c>
      <c r="E16" s="21">
        <f t="shared" si="1"/>
        <v>5373.2824427480919</v>
      </c>
      <c r="F16" s="21">
        <f t="shared" si="1"/>
        <v>5820.8955223880594</v>
      </c>
      <c r="G16" s="21">
        <f t="shared" si="1"/>
        <v>6715.5791445519826</v>
      </c>
      <c r="H16" s="22">
        <f t="shared" si="1"/>
        <v>5025.4582105752834</v>
      </c>
      <c r="I16" s="23">
        <f t="shared" si="1"/>
        <v>5805.2757631978411</v>
      </c>
      <c r="J16" s="23">
        <f>AVERAGE(C16:H16)</f>
        <v>4998.3515663147127</v>
      </c>
      <c r="K16" s="13"/>
    </row>
    <row r="17" spans="1:11" x14ac:dyDescent="0.15">
      <c r="A17" s="50" t="s">
        <v>71</v>
      </c>
      <c r="B17" s="11" t="s">
        <v>72</v>
      </c>
      <c r="C17" s="14">
        <v>0</v>
      </c>
      <c r="D17" s="14">
        <v>0</v>
      </c>
      <c r="E17" s="14">
        <v>271700</v>
      </c>
      <c r="F17" s="14">
        <v>189600</v>
      </c>
      <c r="G17" s="14">
        <v>245000</v>
      </c>
      <c r="H17" s="15">
        <v>349400</v>
      </c>
      <c r="I17" s="16">
        <f>SUM(C17:H17)</f>
        <v>1055700</v>
      </c>
      <c r="J17" s="16">
        <f>AVERAGE(C17:H17)</f>
        <v>175950</v>
      </c>
      <c r="K17" s="13">
        <f>I17/I13</f>
        <v>0.26289929838734177</v>
      </c>
    </row>
    <row r="18" spans="1:11" x14ac:dyDescent="0.15">
      <c r="A18" s="50"/>
      <c r="B18" s="11" t="s">
        <v>73</v>
      </c>
      <c r="C18" s="14">
        <v>6000</v>
      </c>
      <c r="D18" s="14">
        <v>6950</v>
      </c>
      <c r="E18" s="14">
        <v>0</v>
      </c>
      <c r="F18" s="14">
        <v>0</v>
      </c>
      <c r="G18" s="14">
        <v>0</v>
      </c>
      <c r="H18" s="15">
        <v>0</v>
      </c>
      <c r="I18" s="16">
        <f>SUM(C18:H18)</f>
        <v>12950</v>
      </c>
      <c r="J18" s="16">
        <f>AVERAGE(C18:H18)</f>
        <v>2158.3333333333335</v>
      </c>
      <c r="K18" s="13">
        <f>I18/I13</f>
        <v>3.22491798249131E-3</v>
      </c>
    </row>
    <row r="19" spans="1:11" x14ac:dyDescent="0.15">
      <c r="A19" s="50"/>
      <c r="B19" s="11" t="s">
        <v>74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5">
        <v>0</v>
      </c>
      <c r="I19" s="16">
        <f>SUM(C19:H19)</f>
        <v>0</v>
      </c>
      <c r="J19" s="16">
        <f>AVERAGE(C19:H19)</f>
        <v>0</v>
      </c>
      <c r="K19" s="13">
        <f>I19/I13</f>
        <v>0</v>
      </c>
    </row>
    <row r="20" spans="1:11" x14ac:dyDescent="0.15">
      <c r="A20" s="50"/>
      <c r="B20" s="11" t="s">
        <v>75</v>
      </c>
      <c r="C20" s="14">
        <v>8666</v>
      </c>
      <c r="D20" s="14">
        <v>8333</v>
      </c>
      <c r="E20" s="14">
        <v>4583</v>
      </c>
      <c r="F20" s="14">
        <v>4583</v>
      </c>
      <c r="G20" s="14">
        <v>4774</v>
      </c>
      <c r="H20" s="15">
        <v>0</v>
      </c>
      <c r="I20" s="16">
        <f>SUM(C20:H20)</f>
        <v>30939</v>
      </c>
      <c r="J20" s="16">
        <f>AVERAGE(C20:H20)</f>
        <v>5156.5</v>
      </c>
      <c r="K20" s="13">
        <f>I20/I13</f>
        <v>7.7046901513744132E-3</v>
      </c>
    </row>
    <row r="21" spans="1:11" x14ac:dyDescent="0.15">
      <c r="A21" s="50"/>
      <c r="B21" s="11" t="s">
        <v>76</v>
      </c>
      <c r="C21" s="14">
        <v>15032</v>
      </c>
      <c r="D21" s="14">
        <v>35621</v>
      </c>
      <c r="E21" s="14">
        <v>26746</v>
      </c>
      <c r="F21" s="14">
        <v>31475</v>
      </c>
      <c r="G21" s="14">
        <v>40944</v>
      </c>
      <c r="H21" s="15">
        <v>4394</v>
      </c>
      <c r="I21" s="16">
        <f>SUM(C21:H21)</f>
        <v>154212</v>
      </c>
      <c r="J21" s="16">
        <f>AVERAGE(C21:H21)</f>
        <v>25702</v>
      </c>
      <c r="K21" s="13">
        <f>I21/I13</f>
        <v>3.8403170032119682E-2</v>
      </c>
    </row>
    <row r="22" spans="1:11" x14ac:dyDescent="0.15">
      <c r="A22" s="50"/>
      <c r="B22" s="24" t="s">
        <v>77</v>
      </c>
      <c r="C22" s="25">
        <f t="shared" ref="C22:H22" si="2">SUM(C17:C21)</f>
        <v>29698</v>
      </c>
      <c r="D22" s="25">
        <f t="shared" si="2"/>
        <v>50904</v>
      </c>
      <c r="E22" s="25">
        <f t="shared" si="2"/>
        <v>303029</v>
      </c>
      <c r="F22" s="25">
        <f t="shared" si="2"/>
        <v>225658</v>
      </c>
      <c r="G22" s="25">
        <f t="shared" si="2"/>
        <v>290718</v>
      </c>
      <c r="H22" s="26">
        <f t="shared" si="2"/>
        <v>353794</v>
      </c>
      <c r="I22" s="27">
        <f>SUM(C22:H22)</f>
        <v>1253801</v>
      </c>
      <c r="J22" s="27">
        <f>AVERAGE(C22:H22)</f>
        <v>208966.83333333334</v>
      </c>
      <c r="K22" s="28">
        <f>I22/I13</f>
        <v>0.31223207655332719</v>
      </c>
    </row>
    <row r="23" spans="1:11" x14ac:dyDescent="0.15">
      <c r="A23" s="50" t="s">
        <v>78</v>
      </c>
      <c r="B23" s="11" t="s">
        <v>79</v>
      </c>
      <c r="C23" s="14">
        <v>225711</v>
      </c>
      <c r="D23" s="14">
        <v>3000</v>
      </c>
      <c r="E23" s="14">
        <v>173381</v>
      </c>
      <c r="F23" s="14">
        <v>22800</v>
      </c>
      <c r="G23" s="14">
        <v>3000</v>
      </c>
      <c r="H23" s="15">
        <v>1000</v>
      </c>
      <c r="I23" s="16">
        <f>SUM(C23:H23)</f>
        <v>428892</v>
      </c>
      <c r="J23" s="16">
        <f>AVERAGE(C23:H23)</f>
        <v>71482</v>
      </c>
      <c r="K23" s="13">
        <f>I23/I13</f>
        <v>0.10680629523912455</v>
      </c>
    </row>
    <row r="24" spans="1:11" x14ac:dyDescent="0.15">
      <c r="A24" s="50"/>
      <c r="B24" s="11" t="s">
        <v>80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5">
        <v>0</v>
      </c>
      <c r="I24" s="16">
        <f>SUM(C24:H24)</f>
        <v>0</v>
      </c>
      <c r="J24" s="16">
        <f>AVERAGE(C24:H24)</f>
        <v>0</v>
      </c>
      <c r="K24" s="13">
        <f>I24/I13</f>
        <v>0</v>
      </c>
    </row>
    <row r="25" spans="1:11" x14ac:dyDescent="0.15">
      <c r="A25" s="50"/>
      <c r="B25" s="11" t="s">
        <v>81</v>
      </c>
      <c r="C25" s="14">
        <f t="shared" ref="C25:H25" si="3">30000*C9/70000*C11</f>
        <v>223.20000000000002</v>
      </c>
      <c r="D25" s="14">
        <f t="shared" si="3"/>
        <v>26486.228571428572</v>
      </c>
      <c r="E25" s="14">
        <f t="shared" si="3"/>
        <v>12383.657142857142</v>
      </c>
      <c r="F25" s="14">
        <f t="shared" si="3"/>
        <v>14980.799999999997</v>
      </c>
      <c r="G25" s="14">
        <f t="shared" si="3"/>
        <v>13113.599999999999</v>
      </c>
      <c r="H25" s="15">
        <f t="shared" si="3"/>
        <v>10795.542857142858</v>
      </c>
      <c r="I25" s="16">
        <f>SUM(C25:H25)</f>
        <v>77983.028571428571</v>
      </c>
      <c r="J25" s="16">
        <f>AVERAGE(C25:H25)</f>
        <v>12997.171428571428</v>
      </c>
      <c r="K25" s="13">
        <f>I25/I13</f>
        <v>1.9419990051670551E-2</v>
      </c>
    </row>
    <row r="26" spans="1:11" x14ac:dyDescent="0.15">
      <c r="A26" s="50"/>
      <c r="B26" s="11"/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5">
        <v>0</v>
      </c>
      <c r="I26" s="16">
        <f>SUM(C26:H26)</f>
        <v>0</v>
      </c>
      <c r="J26" s="16">
        <f>AVERAGE(C26:H26)</f>
        <v>0</v>
      </c>
      <c r="K26" s="13">
        <f>I26/I13</f>
        <v>0</v>
      </c>
    </row>
    <row r="27" spans="1:11" x14ac:dyDescent="0.15">
      <c r="A27" s="50"/>
      <c r="B27" s="24" t="s">
        <v>82</v>
      </c>
      <c r="C27" s="25">
        <f t="shared" ref="C27:H27" si="4">SUM(C23:C26)</f>
        <v>225934.2</v>
      </c>
      <c r="D27" s="25">
        <f t="shared" si="4"/>
        <v>29486.228571428572</v>
      </c>
      <c r="E27" s="25">
        <f t="shared" si="4"/>
        <v>185764.65714285715</v>
      </c>
      <c r="F27" s="25">
        <f t="shared" si="4"/>
        <v>37780.799999999996</v>
      </c>
      <c r="G27" s="25">
        <f t="shared" si="4"/>
        <v>16113.599999999999</v>
      </c>
      <c r="H27" s="26">
        <f t="shared" si="4"/>
        <v>11795.542857142858</v>
      </c>
      <c r="I27" s="27">
        <f>SUM(C27:H27)</f>
        <v>506875.02857142856</v>
      </c>
      <c r="J27" s="27">
        <f>AVERAGE(C27:H27)</f>
        <v>84479.171428571426</v>
      </c>
      <c r="K27" s="28">
        <f>I27/I13</f>
        <v>0.1262262852907951</v>
      </c>
    </row>
    <row r="28" spans="1:11" x14ac:dyDescent="0.15">
      <c r="A28" s="50" t="s">
        <v>83</v>
      </c>
      <c r="B28" s="8" t="s">
        <v>84</v>
      </c>
      <c r="C28" s="29">
        <v>0</v>
      </c>
      <c r="D28" s="29">
        <v>1248</v>
      </c>
      <c r="E28" s="29">
        <v>870</v>
      </c>
      <c r="F28" s="29">
        <v>1122</v>
      </c>
      <c r="G28" s="29">
        <v>1030</v>
      </c>
      <c r="H28" s="30">
        <v>1021</v>
      </c>
      <c r="I28" s="31">
        <f>SUM(C28:H28)</f>
        <v>5291</v>
      </c>
      <c r="J28" s="31">
        <f>AVERAGE(C28:H28)</f>
        <v>881.83333333333337</v>
      </c>
      <c r="K28" s="10">
        <f>I28/I13</f>
        <v>1.3176093471321639E-3</v>
      </c>
    </row>
    <row r="29" spans="1:11" x14ac:dyDescent="0.15">
      <c r="A29" s="50"/>
      <c r="B29" s="32" t="s">
        <v>85</v>
      </c>
      <c r="C29" s="33" t="e">
        <f t="shared" ref="C29:I29" si="5">SUM(C11/C28)</f>
        <v>#DIV/0!</v>
      </c>
      <c r="D29" s="33">
        <f t="shared" si="5"/>
        <v>2.751121794871795</v>
      </c>
      <c r="E29" s="33">
        <f t="shared" si="5"/>
        <v>4.1516091954022993</v>
      </c>
      <c r="F29" s="33">
        <f t="shared" si="5"/>
        <v>3.8942959001782529</v>
      </c>
      <c r="G29" s="33">
        <f t="shared" si="5"/>
        <v>3.7133980582524271</v>
      </c>
      <c r="H29" s="34">
        <f t="shared" si="5"/>
        <v>3.0839373163565136</v>
      </c>
      <c r="I29" s="35">
        <f t="shared" si="5"/>
        <v>3.4824040824040821</v>
      </c>
      <c r="J29" s="35" t="e">
        <f>AVERAGE(C29:H29)</f>
        <v>#DIV/0!</v>
      </c>
      <c r="K29" s="32">
        <f>I29/I13</f>
        <v>8.6721757124680108E-7</v>
      </c>
    </row>
    <row r="30" spans="1:11" x14ac:dyDescent="0.15">
      <c r="A30" s="50"/>
      <c r="B30" s="11" t="s">
        <v>86</v>
      </c>
      <c r="C30" s="14">
        <v>0</v>
      </c>
      <c r="D30" s="14">
        <v>150083</v>
      </c>
      <c r="E30" s="14">
        <v>104594</v>
      </c>
      <c r="F30" s="14">
        <v>134924</v>
      </c>
      <c r="G30" s="14">
        <v>123812</v>
      </c>
      <c r="H30" s="15">
        <v>122955</v>
      </c>
      <c r="I30" s="16">
        <f>SUM(C30:H30)</f>
        <v>636368</v>
      </c>
      <c r="J30" s="16">
        <f>AVERAGE(C30:H30)</f>
        <v>106061.33333333333</v>
      </c>
      <c r="K30" s="13">
        <f>I30/I13</f>
        <v>0.15847371480170117</v>
      </c>
    </row>
    <row r="31" spans="1:11" x14ac:dyDescent="0.15">
      <c r="A31" s="50"/>
      <c r="B31" s="11" t="s">
        <v>87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5">
        <v>0</v>
      </c>
      <c r="I31" s="16">
        <f>SUM(C31:H31)</f>
        <v>0</v>
      </c>
      <c r="J31" s="16">
        <f>AVERAGE(C31:H31)</f>
        <v>0</v>
      </c>
      <c r="K31" s="13">
        <f>I31/I13</f>
        <v>0</v>
      </c>
    </row>
    <row r="32" spans="1:11" x14ac:dyDescent="0.15">
      <c r="A32" s="50"/>
      <c r="B32" s="11" t="s">
        <v>88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5">
        <v>0</v>
      </c>
      <c r="I32" s="16">
        <f>SUM(C32:H32)</f>
        <v>0</v>
      </c>
      <c r="J32" s="16">
        <f>AVERAGE(C32:H32)</f>
        <v>0</v>
      </c>
      <c r="K32" s="13">
        <f>I32/I13</f>
        <v>0</v>
      </c>
    </row>
    <row r="33" spans="1:11" x14ac:dyDescent="0.15">
      <c r="A33" s="50"/>
      <c r="B33" s="24" t="s">
        <v>89</v>
      </c>
      <c r="C33" s="25">
        <f t="shared" ref="C33:H33" si="6">SUM(C30:C32)</f>
        <v>0</v>
      </c>
      <c r="D33" s="25">
        <f t="shared" si="6"/>
        <v>150083</v>
      </c>
      <c r="E33" s="25">
        <f t="shared" si="6"/>
        <v>104594</v>
      </c>
      <c r="F33" s="25">
        <f t="shared" si="6"/>
        <v>134924</v>
      </c>
      <c r="G33" s="25">
        <f t="shared" si="6"/>
        <v>123812</v>
      </c>
      <c r="H33" s="26">
        <f t="shared" si="6"/>
        <v>122955</v>
      </c>
      <c r="I33" s="27">
        <f>SUM(C33:H33)</f>
        <v>636368</v>
      </c>
      <c r="J33" s="27">
        <f>AVERAGE(C33:H33)</f>
        <v>106061.33333333333</v>
      </c>
      <c r="K33" s="28">
        <f>I33/I13</f>
        <v>0.15847371480170117</v>
      </c>
    </row>
    <row r="34" spans="1:11" x14ac:dyDescent="0.15">
      <c r="A34" s="50" t="s">
        <v>90</v>
      </c>
      <c r="B34" s="11" t="s">
        <v>91</v>
      </c>
      <c r="C34" s="14">
        <v>2451</v>
      </c>
      <c r="D34" s="14">
        <v>2451</v>
      </c>
      <c r="E34" s="14">
        <v>2365</v>
      </c>
      <c r="F34" s="14">
        <v>2008</v>
      </c>
      <c r="G34" s="14">
        <v>2008</v>
      </c>
      <c r="H34" s="15">
        <v>0</v>
      </c>
      <c r="I34" s="16">
        <f>SUM(C34:H34)</f>
        <v>11283</v>
      </c>
      <c r="J34" s="16">
        <f>AVERAGE(C34:H34)</f>
        <v>1880.5</v>
      </c>
      <c r="K34" s="13">
        <f>I34/I13</f>
        <v>2.8097876136254402E-3</v>
      </c>
    </row>
    <row r="35" spans="1:11" x14ac:dyDescent="0.15">
      <c r="A35" s="50"/>
      <c r="B35" s="11"/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5">
        <v>0</v>
      </c>
      <c r="I35" s="16">
        <f>SUM(C35:H35)</f>
        <v>0</v>
      </c>
      <c r="J35" s="16">
        <f>AVERAGE(C35:H35)</f>
        <v>0</v>
      </c>
      <c r="K35" s="13">
        <f>I35/I13</f>
        <v>0</v>
      </c>
    </row>
    <row r="36" spans="1:11" x14ac:dyDescent="0.15">
      <c r="A36" s="50"/>
      <c r="B36" s="11"/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5">
        <v>0</v>
      </c>
      <c r="I36" s="16">
        <f>SUM(C36:H36)</f>
        <v>0</v>
      </c>
      <c r="J36" s="16">
        <f>AVERAGE(C36:H36)</f>
        <v>0</v>
      </c>
      <c r="K36" s="13">
        <f>I36/I13</f>
        <v>0</v>
      </c>
    </row>
    <row r="37" spans="1:11" x14ac:dyDescent="0.15">
      <c r="A37" s="50"/>
      <c r="B37" s="11"/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5">
        <v>0</v>
      </c>
      <c r="I37" s="16">
        <f>SUM(C37:H37)</f>
        <v>0</v>
      </c>
      <c r="J37" s="16">
        <f>AVERAGE(C37:H37)</f>
        <v>0</v>
      </c>
      <c r="K37" s="13">
        <f>I37/I13</f>
        <v>0</v>
      </c>
    </row>
    <row r="38" spans="1:11" x14ac:dyDescent="0.15">
      <c r="A38" s="50"/>
      <c r="B38" s="11" t="s">
        <v>92</v>
      </c>
      <c r="C38" s="14">
        <v>10690</v>
      </c>
      <c r="D38" s="14">
        <v>10690</v>
      </c>
      <c r="E38" s="14">
        <v>9667</v>
      </c>
      <c r="F38" s="14">
        <v>8428</v>
      </c>
      <c r="G38" s="14">
        <v>12255</v>
      </c>
      <c r="H38" s="15">
        <v>11103</v>
      </c>
      <c r="I38" s="16">
        <f>SUM(C38:H38)</f>
        <v>62833</v>
      </c>
      <c r="J38" s="16">
        <f>AVERAGE(C38:H38)</f>
        <v>10472.166666666666</v>
      </c>
      <c r="K38" s="13">
        <f>I38/I13</f>
        <v>1.5647202439681582E-2</v>
      </c>
    </row>
    <row r="39" spans="1:11" x14ac:dyDescent="0.15">
      <c r="A39" s="50"/>
      <c r="B39" s="24" t="s">
        <v>93</v>
      </c>
      <c r="C39" s="25">
        <f t="shared" ref="C39:H39" si="7">SUM(C34:C38)</f>
        <v>13141</v>
      </c>
      <c r="D39" s="25">
        <f t="shared" si="7"/>
        <v>13141</v>
      </c>
      <c r="E39" s="25">
        <f t="shared" si="7"/>
        <v>12032</v>
      </c>
      <c r="F39" s="25">
        <f t="shared" si="7"/>
        <v>10436</v>
      </c>
      <c r="G39" s="25">
        <f t="shared" si="7"/>
        <v>14263</v>
      </c>
      <c r="H39" s="26">
        <f t="shared" si="7"/>
        <v>11103</v>
      </c>
      <c r="I39" s="27">
        <f>SUM(C39:H39)</f>
        <v>74116</v>
      </c>
      <c r="J39" s="27">
        <f>AVERAGE(C39:H39)</f>
        <v>12352.666666666666</v>
      </c>
      <c r="K39" s="28">
        <f>I39/I13</f>
        <v>1.8456990053307021E-2</v>
      </c>
    </row>
    <row r="40" spans="1:11" x14ac:dyDescent="0.15">
      <c r="A40" s="50" t="s">
        <v>94</v>
      </c>
      <c r="B40" s="11" t="s">
        <v>95</v>
      </c>
      <c r="C40" s="14">
        <v>0</v>
      </c>
      <c r="D40" s="14">
        <v>51790</v>
      </c>
      <c r="E40" s="14">
        <v>44870</v>
      </c>
      <c r="F40" s="14">
        <v>81080</v>
      </c>
      <c r="G40" s="14">
        <v>79650</v>
      </c>
      <c r="H40" s="15">
        <v>35720</v>
      </c>
      <c r="I40" s="16">
        <f>SUM(C40:H40)</f>
        <v>293110</v>
      </c>
      <c r="J40" s="16">
        <f>AVERAGE(C40:H40)</f>
        <v>48851.666666666664</v>
      </c>
      <c r="K40" s="13">
        <f>I40/I13</f>
        <v>7.2992718907183618E-2</v>
      </c>
    </row>
    <row r="41" spans="1:11" x14ac:dyDescent="0.15">
      <c r="A41" s="50"/>
      <c r="B41" s="11" t="s">
        <v>96</v>
      </c>
      <c r="C41" s="14">
        <v>0</v>
      </c>
      <c r="D41" s="14">
        <v>-4708</v>
      </c>
      <c r="E41" s="14">
        <v>-4079</v>
      </c>
      <c r="F41" s="14">
        <v>-7371</v>
      </c>
      <c r="G41" s="14">
        <v>-7241</v>
      </c>
      <c r="H41" s="15">
        <v>-9020</v>
      </c>
      <c r="I41" s="16">
        <f>SUM(C41:H41)</f>
        <v>-32419</v>
      </c>
      <c r="J41" s="16">
        <f>AVERAGE(C41:H41)</f>
        <v>-5403.166666666667</v>
      </c>
      <c r="K41" s="13">
        <f>I41/I13</f>
        <v>-8.0732522065162775E-3</v>
      </c>
    </row>
    <row r="42" spans="1:11" x14ac:dyDescent="0.15">
      <c r="A42" s="50"/>
      <c r="B42" s="11" t="s">
        <v>97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5">
        <v>0</v>
      </c>
      <c r="I42" s="16">
        <f>SUM(C42:H42)</f>
        <v>0</v>
      </c>
      <c r="J42" s="16">
        <f>AVERAGE(C42:H42)</f>
        <v>0</v>
      </c>
      <c r="K42" s="13">
        <f>I42/I13</f>
        <v>0</v>
      </c>
    </row>
    <row r="43" spans="1:11" x14ac:dyDescent="0.15">
      <c r="A43" s="50"/>
      <c r="B43" s="11" t="s">
        <v>98</v>
      </c>
      <c r="C43" s="14">
        <v>0</v>
      </c>
      <c r="D43" s="14">
        <v>-17090.7</v>
      </c>
      <c r="E43" s="14">
        <v>-14807.1</v>
      </c>
      <c r="F43" s="14">
        <v>-26756.400000000001</v>
      </c>
      <c r="G43" s="14">
        <v>-26284.5</v>
      </c>
      <c r="H43" s="15">
        <v>-11787.6</v>
      </c>
      <c r="I43" s="16">
        <f>SUM(C43:H43)</f>
        <v>-96726.300000000017</v>
      </c>
      <c r="J43" s="16">
        <f>AVERAGE(B43:H43)</f>
        <v>-16121.050000000003</v>
      </c>
      <c r="K43" s="13">
        <f>I43/I13</f>
        <v>-2.4087597239370599E-2</v>
      </c>
    </row>
    <row r="44" spans="1:11" x14ac:dyDescent="0.15">
      <c r="A44" s="50"/>
      <c r="B44" s="24" t="s">
        <v>99</v>
      </c>
      <c r="C44" s="25">
        <f t="shared" ref="C44:I44" si="8">SUM(C40:C43)</f>
        <v>0</v>
      </c>
      <c r="D44" s="25">
        <f t="shared" si="8"/>
        <v>29991.3</v>
      </c>
      <c r="E44" s="25">
        <f t="shared" si="8"/>
        <v>25983.9</v>
      </c>
      <c r="F44" s="25">
        <f t="shared" si="8"/>
        <v>46952.6</v>
      </c>
      <c r="G44" s="25">
        <f t="shared" si="8"/>
        <v>46124.5</v>
      </c>
      <c r="H44" s="26">
        <f t="shared" si="8"/>
        <v>14912.4</v>
      </c>
      <c r="I44" s="27">
        <f t="shared" si="8"/>
        <v>163964.69999999998</v>
      </c>
      <c r="J44" s="27">
        <f>AVERAGE(B44:H44)</f>
        <v>27327.449999999997</v>
      </c>
      <c r="K44" s="28">
        <f>I44/I13</f>
        <v>4.0831869461296744E-2</v>
      </c>
    </row>
    <row r="45" spans="1:11" x14ac:dyDescent="0.15">
      <c r="A45" s="50" t="s">
        <v>100</v>
      </c>
      <c r="B45" s="11" t="s">
        <v>101</v>
      </c>
      <c r="C45" s="14">
        <v>35170</v>
      </c>
      <c r="D45" s="14">
        <v>158267</v>
      </c>
      <c r="E45" s="14">
        <v>263777</v>
      </c>
      <c r="F45" s="14">
        <v>263778</v>
      </c>
      <c r="G45" s="14">
        <v>193437</v>
      </c>
      <c r="H45" s="15">
        <v>439632</v>
      </c>
      <c r="I45" s="16">
        <f>SUM(C45:H45)</f>
        <v>1354061</v>
      </c>
      <c r="J45" s="16">
        <f>AVERAGE(C45:H45)</f>
        <v>225676.83333333334</v>
      </c>
      <c r="K45" s="13">
        <f>I45/I13</f>
        <v>0.33719966550503211</v>
      </c>
    </row>
    <row r="46" spans="1:11" x14ac:dyDescent="0.15">
      <c r="A46" s="50"/>
      <c r="B46" s="11" t="s">
        <v>102</v>
      </c>
      <c r="C46" s="14">
        <v>2190</v>
      </c>
      <c r="D46" s="14">
        <v>9853</v>
      </c>
      <c r="E46" s="14">
        <v>16423</v>
      </c>
      <c r="F46" s="14">
        <v>16423</v>
      </c>
      <c r="G46" s="14">
        <v>12043</v>
      </c>
      <c r="H46" s="15">
        <v>27371</v>
      </c>
      <c r="I46" s="16">
        <f>SUM(C46:H46)</f>
        <v>84303</v>
      </c>
      <c r="J46" s="16">
        <f>AVERAGE(C46:H46)</f>
        <v>14050.5</v>
      </c>
      <c r="K46" s="13">
        <f>I46/I13</f>
        <v>2.0993842523394975E-2</v>
      </c>
    </row>
    <row r="47" spans="1:11" x14ac:dyDescent="0.15">
      <c r="A47" s="50"/>
      <c r="B47" s="11" t="s">
        <v>103</v>
      </c>
      <c r="C47" s="14">
        <v>6073</v>
      </c>
      <c r="D47" s="14">
        <v>27326</v>
      </c>
      <c r="E47" s="14">
        <v>45545</v>
      </c>
      <c r="F47" s="14">
        <v>45545</v>
      </c>
      <c r="G47" s="14">
        <v>33399</v>
      </c>
      <c r="H47" s="15">
        <v>75905</v>
      </c>
      <c r="I47" s="16">
        <f>SUM(C47:H47)</f>
        <v>233793</v>
      </c>
      <c r="J47" s="16">
        <f>AVERAGE(C47:H47)</f>
        <v>38965.5</v>
      </c>
      <c r="K47" s="13">
        <f>I47/I13</f>
        <v>5.8221100376879602E-2</v>
      </c>
    </row>
    <row r="48" spans="1:11" x14ac:dyDescent="0.15">
      <c r="A48" s="50"/>
      <c r="B48" s="11" t="s">
        <v>104</v>
      </c>
      <c r="C48" s="14">
        <v>485</v>
      </c>
      <c r="D48" s="14">
        <v>2182</v>
      </c>
      <c r="E48" s="14">
        <v>3637</v>
      </c>
      <c r="F48" s="14">
        <v>3637</v>
      </c>
      <c r="G48" s="14">
        <v>2667</v>
      </c>
      <c r="H48" s="15">
        <v>6059</v>
      </c>
      <c r="I48" s="16">
        <f>SUM(C48:H48)</f>
        <v>18667</v>
      </c>
      <c r="J48" s="16">
        <f>AVERAGE(C48:H48)</f>
        <v>3111.1666666666665</v>
      </c>
      <c r="K48" s="13">
        <f>I48/I13</f>
        <v>4.6486134346845785E-3</v>
      </c>
    </row>
    <row r="49" spans="1:11" x14ac:dyDescent="0.15">
      <c r="A49" s="50"/>
      <c r="B49" s="24" t="s">
        <v>105</v>
      </c>
      <c r="C49" s="25">
        <f t="shared" ref="C49:H49" si="9">SUM(C45:C48)</f>
        <v>43918</v>
      </c>
      <c r="D49" s="25">
        <f t="shared" si="9"/>
        <v>197628</v>
      </c>
      <c r="E49" s="25">
        <f t="shared" si="9"/>
        <v>329382</v>
      </c>
      <c r="F49" s="25">
        <f t="shared" si="9"/>
        <v>329383</v>
      </c>
      <c r="G49" s="25">
        <f t="shared" si="9"/>
        <v>241546</v>
      </c>
      <c r="H49" s="26">
        <f t="shared" si="9"/>
        <v>548967</v>
      </c>
      <c r="I49" s="27">
        <f>SUM(C49:H49)</f>
        <v>1690824</v>
      </c>
      <c r="J49" s="27">
        <f>AVERAGE(C49:H49)</f>
        <v>281804</v>
      </c>
      <c r="K49" s="28">
        <f>I49/I13</f>
        <v>0.42106322183999129</v>
      </c>
    </row>
    <row r="50" spans="1:11" x14ac:dyDescent="0.15">
      <c r="A50" s="50" t="s">
        <v>106</v>
      </c>
      <c r="B50" s="11" t="s">
        <v>107</v>
      </c>
      <c r="C50" s="14">
        <v>28333.333333333332</v>
      </c>
      <c r="D50" s="14">
        <v>28333.333333333332</v>
      </c>
      <c r="E50" s="14">
        <v>28333.333333333332</v>
      </c>
      <c r="F50" s="14">
        <v>28333.333333333332</v>
      </c>
      <c r="G50" s="14">
        <v>28333.333333333332</v>
      </c>
      <c r="H50" s="15">
        <v>28333.333333333332</v>
      </c>
      <c r="I50" s="16">
        <f>SUM(C50:H50)</f>
        <v>170000</v>
      </c>
      <c r="J50" s="16">
        <f>AVERAGE(C50:H50)</f>
        <v>28333.333333333332</v>
      </c>
      <c r="K50" s="13">
        <f>I50/I13</f>
        <v>4.2334830658187085E-2</v>
      </c>
    </row>
    <row r="51" spans="1:11" x14ac:dyDescent="0.15">
      <c r="A51" s="50"/>
      <c r="B51" s="11" t="s">
        <v>108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5">
        <v>0</v>
      </c>
      <c r="I51" s="16">
        <f>SUM(C51:H51)</f>
        <v>0</v>
      </c>
      <c r="J51" s="16">
        <f>AVERAGE(C51:H51)</f>
        <v>0</v>
      </c>
      <c r="K51" s="13">
        <f>I51/I13</f>
        <v>0</v>
      </c>
    </row>
    <row r="52" spans="1:11" x14ac:dyDescent="0.15">
      <c r="A52" s="50"/>
      <c r="B52" s="11" t="s">
        <v>109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5">
        <v>0</v>
      </c>
      <c r="I52" s="16">
        <f>SUM(C52:H52)</f>
        <v>0</v>
      </c>
      <c r="J52" s="16">
        <f>AVERAGE(C52:H52)</f>
        <v>0</v>
      </c>
      <c r="K52" s="13">
        <f>I52/I13</f>
        <v>0</v>
      </c>
    </row>
    <row r="53" spans="1:11" x14ac:dyDescent="0.15">
      <c r="A53" s="50"/>
      <c r="B53" s="11" t="s">
        <v>110</v>
      </c>
      <c r="C53" s="14">
        <v>96475.166666666672</v>
      </c>
      <c r="D53" s="14">
        <v>96475.166666666672</v>
      </c>
      <c r="E53" s="14">
        <v>96475.166666666672</v>
      </c>
      <c r="F53" s="14">
        <v>96475.166666666672</v>
      </c>
      <c r="G53" s="14">
        <v>96475.166666666672</v>
      </c>
      <c r="H53" s="15">
        <v>96475.166666666672</v>
      </c>
      <c r="I53" s="16">
        <f>SUM(C53:H53)</f>
        <v>578851</v>
      </c>
      <c r="J53" s="16">
        <f>AVERAGE(C53:H53)</f>
        <v>96475.166666666672</v>
      </c>
      <c r="K53" s="13">
        <f>I53/I13</f>
        <v>0.14415034741954266</v>
      </c>
    </row>
    <row r="54" spans="1:11" x14ac:dyDescent="0.15">
      <c r="A54" s="50"/>
      <c r="B54" s="11" t="s">
        <v>111</v>
      </c>
      <c r="C54" s="14">
        <v>31028.166666666668</v>
      </c>
      <c r="D54" s="14">
        <v>31028.166666666668</v>
      </c>
      <c r="E54" s="14">
        <v>31028.166666666668</v>
      </c>
      <c r="F54" s="14">
        <v>31028.166666666668</v>
      </c>
      <c r="G54" s="14">
        <v>31028.166666666668</v>
      </c>
      <c r="H54" s="15">
        <v>31028.166666666668</v>
      </c>
      <c r="I54" s="16">
        <f>SUM(C54:H54)</f>
        <v>186169</v>
      </c>
      <c r="J54" s="16">
        <f>AVERAGE(C54:H54)</f>
        <v>31028.166666666668</v>
      </c>
      <c r="K54" s="13">
        <f>I54/I13</f>
        <v>4.6361371110611949E-2</v>
      </c>
    </row>
    <row r="55" spans="1:11" x14ac:dyDescent="0.15">
      <c r="A55" s="50"/>
      <c r="B55" s="24" t="s">
        <v>112</v>
      </c>
      <c r="C55" s="25">
        <f t="shared" ref="C55:H55" si="10">SUM(C50:C54)</f>
        <v>155836.66666666666</v>
      </c>
      <c r="D55" s="25">
        <f t="shared" si="10"/>
        <v>155836.66666666666</v>
      </c>
      <c r="E55" s="25">
        <f t="shared" si="10"/>
        <v>155836.66666666666</v>
      </c>
      <c r="F55" s="25">
        <f t="shared" si="10"/>
        <v>155836.66666666666</v>
      </c>
      <c r="G55" s="25">
        <f t="shared" si="10"/>
        <v>155836.66666666666</v>
      </c>
      <c r="H55" s="26">
        <f t="shared" si="10"/>
        <v>155836.66666666666</v>
      </c>
      <c r="I55" s="27">
        <f>SUM(C55:H55)</f>
        <v>935019.99999999988</v>
      </c>
      <c r="J55" s="27">
        <f>AVERAGE(C55:H55)</f>
        <v>155836.66666666666</v>
      </c>
      <c r="K55" s="28">
        <f>I55/I13</f>
        <v>0.23284654918834166</v>
      </c>
    </row>
    <row r="56" spans="1:11" x14ac:dyDescent="0.15">
      <c r="A56" s="49" t="s">
        <v>113</v>
      </c>
      <c r="B56" s="49"/>
      <c r="C56" s="14">
        <f t="shared" ref="C56:H56" si="11">SUM(C49+C22+C27+C33+C39+C44+C55)</f>
        <v>468527.8666666667</v>
      </c>
      <c r="D56" s="14">
        <f t="shared" si="11"/>
        <v>627070.19523809524</v>
      </c>
      <c r="E56" s="14">
        <f t="shared" si="11"/>
        <v>1116622.2238095237</v>
      </c>
      <c r="F56" s="14">
        <f t="shared" si="11"/>
        <v>940971.06666666665</v>
      </c>
      <c r="G56" s="14">
        <f t="shared" si="11"/>
        <v>888413.7666666666</v>
      </c>
      <c r="H56" s="15">
        <f t="shared" si="11"/>
        <v>1219363.6095238095</v>
      </c>
      <c r="I56" s="16">
        <f>SUM(C56:H56)</f>
        <v>5260968.728571428</v>
      </c>
      <c r="J56" s="16">
        <f>AVERAGE(C56:H56)</f>
        <v>876828.12142857129</v>
      </c>
      <c r="K56" s="13">
        <f>I56/I13</f>
        <v>1.31013070718876</v>
      </c>
    </row>
    <row r="57" spans="1:11" x14ac:dyDescent="0.15">
      <c r="A57" s="49" t="s">
        <v>114</v>
      </c>
      <c r="B57" s="49"/>
      <c r="C57" s="14">
        <f t="shared" ref="C57:H57" si="12">SUM(C13+C14-C56)</f>
        <v>-468527.8666666667</v>
      </c>
      <c r="D57" s="14">
        <f t="shared" si="12"/>
        <v>133329.80476190476</v>
      </c>
      <c r="E57" s="14">
        <f t="shared" si="12"/>
        <v>-412722.22380952374</v>
      </c>
      <c r="F57" s="14">
        <f t="shared" si="12"/>
        <v>-186971.06666666665</v>
      </c>
      <c r="G57" s="14">
        <f t="shared" si="12"/>
        <v>-171413.7666666666</v>
      </c>
      <c r="H57" s="15">
        <f t="shared" si="12"/>
        <v>-139057.60952380951</v>
      </c>
      <c r="I57" s="16">
        <f>SUM(C57:H57)</f>
        <v>-1245362.7285714285</v>
      </c>
      <c r="J57" s="16">
        <f>AVERAGE(C57:H57)</f>
        <v>-207560.45476190475</v>
      </c>
      <c r="K57" s="13">
        <f>I57/I13</f>
        <v>-0.31013070718876018</v>
      </c>
    </row>
    <row r="58" spans="1:11" x14ac:dyDescent="0.15">
      <c r="A58" s="49" t="s">
        <v>115</v>
      </c>
      <c r="B58" s="49"/>
      <c r="C58" s="14">
        <v>107211.78571428571</v>
      </c>
      <c r="D58" s="14">
        <v>107211.78571428571</v>
      </c>
      <c r="E58" s="14">
        <v>107211.78571428571</v>
      </c>
      <c r="F58" s="14">
        <v>107211.78571428571</v>
      </c>
      <c r="G58" s="14">
        <v>107211.78571428571</v>
      </c>
      <c r="H58" s="15">
        <v>107211.78571428571</v>
      </c>
      <c r="I58" s="16">
        <f>SUM(C58:H58)</f>
        <v>643270.7142857142</v>
      </c>
      <c r="J58" s="16">
        <f>AVERAGE(C58:H58)</f>
        <v>107211.7857142857</v>
      </c>
      <c r="K58" s="13">
        <f>I58/I13</f>
        <v>0.16019268680386328</v>
      </c>
    </row>
    <row r="59" spans="1:11" x14ac:dyDescent="0.15">
      <c r="A59" s="49" t="s">
        <v>116</v>
      </c>
      <c r="B59" s="49"/>
      <c r="C59" s="14">
        <v>28207.523809523809</v>
      </c>
      <c r="D59" s="14">
        <v>28207.523809523809</v>
      </c>
      <c r="E59" s="14">
        <v>28207.523809523809</v>
      </c>
      <c r="F59" s="14">
        <v>28207.523809523809</v>
      </c>
      <c r="G59" s="14">
        <v>28207.523809523809</v>
      </c>
      <c r="H59" s="15">
        <v>28207.523809523809</v>
      </c>
      <c r="I59" s="16">
        <f>SUM(C59:H59)</f>
        <v>169245.14285714287</v>
      </c>
      <c r="J59" s="16">
        <f>AVERAGE(C59:H59)</f>
        <v>28207.523809523813</v>
      </c>
      <c r="K59" s="13">
        <f>I59/I13</f>
        <v>4.2146849779869558E-2</v>
      </c>
    </row>
    <row r="60" spans="1:11" x14ac:dyDescent="0.15">
      <c r="A60" s="49" t="s">
        <v>117</v>
      </c>
      <c r="B60" s="49"/>
      <c r="C60" s="14">
        <f t="shared" ref="C60:H60" si="13">SUM(C57-(C58+C59))</f>
        <v>-603947.17619047617</v>
      </c>
      <c r="D60" s="14">
        <f t="shared" si="13"/>
        <v>-2089.5047619047691</v>
      </c>
      <c r="E60" s="14">
        <f t="shared" si="13"/>
        <v>-548141.53333333321</v>
      </c>
      <c r="F60" s="14">
        <f t="shared" si="13"/>
        <v>-322390.37619047618</v>
      </c>
      <c r="G60" s="14">
        <f t="shared" si="13"/>
        <v>-306833.07619047613</v>
      </c>
      <c r="H60" s="15">
        <f t="shared" si="13"/>
        <v>-274476.91904761904</v>
      </c>
      <c r="I60" s="16">
        <f>SUM(C60:H60)</f>
        <v>-2057878.5857142853</v>
      </c>
      <c r="J60" s="16">
        <f>AVERAGE(C60:H60)</f>
        <v>-342979.76428571419</v>
      </c>
      <c r="K60" s="13">
        <f>I60/I13</f>
        <v>-0.51247024377249295</v>
      </c>
    </row>
    <row r="61" spans="1:11" x14ac:dyDescent="0.15">
      <c r="A61" s="11"/>
      <c r="B61" s="36" t="s">
        <v>46</v>
      </c>
      <c r="C61" s="11"/>
      <c r="D61" s="11"/>
      <c r="E61" s="11"/>
      <c r="F61" s="11"/>
      <c r="G61" s="11"/>
      <c r="H61" s="11"/>
    </row>
    <row r="62" spans="1:11" x14ac:dyDescent="0.15">
      <c r="A62" s="12"/>
      <c r="B62" s="37"/>
      <c r="C62" s="11"/>
      <c r="D62" s="11"/>
      <c r="E62" s="11"/>
      <c r="F62" s="11"/>
      <c r="G62" s="11"/>
      <c r="H62" s="11"/>
    </row>
    <row r="63" spans="1:11" x14ac:dyDescent="0.15">
      <c r="A63" s="12"/>
      <c r="B63" s="39" t="s">
        <v>124</v>
      </c>
      <c r="C63" s="11"/>
      <c r="D63" s="11"/>
      <c r="E63" s="11"/>
      <c r="F63" s="11"/>
      <c r="G63" s="11"/>
      <c r="H63" s="11"/>
    </row>
    <row r="64" spans="1:11" x14ac:dyDescent="0.15">
      <c r="A64" s="12"/>
      <c r="B64" s="40" t="s">
        <v>125</v>
      </c>
      <c r="C64" s="11"/>
      <c r="D64" s="11"/>
      <c r="E64" s="11"/>
      <c r="F64" s="11"/>
      <c r="G64" s="11"/>
      <c r="H64" s="11"/>
    </row>
    <row r="65" spans="1:8" x14ac:dyDescent="0.15">
      <c r="A65" s="12"/>
      <c r="B65" s="40" t="s">
        <v>41</v>
      </c>
      <c r="C65" s="11"/>
      <c r="D65" s="11"/>
      <c r="E65" s="11"/>
      <c r="F65" s="11"/>
      <c r="G65" s="11"/>
      <c r="H65" s="11"/>
    </row>
    <row r="66" spans="1:8" x14ac:dyDescent="0.15">
      <c r="A66" s="11"/>
      <c r="B66" s="41" t="s">
        <v>47</v>
      </c>
      <c r="C66" s="11"/>
      <c r="D66" s="11"/>
      <c r="E66" s="11"/>
      <c r="F66" s="11"/>
      <c r="G66" s="11"/>
      <c r="H66" s="11"/>
    </row>
    <row r="67" spans="1:8" x14ac:dyDescent="0.15">
      <c r="A67" s="11"/>
      <c r="B67" s="37"/>
      <c r="C67" s="11"/>
      <c r="D67" s="11"/>
      <c r="E67" s="11"/>
      <c r="F67" s="11"/>
      <c r="G67" s="11"/>
      <c r="H67" s="11"/>
    </row>
    <row r="68" spans="1:8" x14ac:dyDescent="0.15">
      <c r="A68" s="11"/>
      <c r="B68" s="39" t="s">
        <v>124</v>
      </c>
      <c r="C68" s="11"/>
      <c r="D68" s="11"/>
      <c r="E68" s="11"/>
      <c r="F68" s="11"/>
      <c r="G68" s="11"/>
      <c r="H68" s="11"/>
    </row>
    <row r="69" spans="1:8" x14ac:dyDescent="0.15">
      <c r="A69" s="11"/>
      <c r="B69" s="40" t="s">
        <v>125</v>
      </c>
      <c r="C69" s="11"/>
      <c r="D69" s="11"/>
      <c r="E69" s="11"/>
      <c r="F69" s="11"/>
      <c r="G69" s="11"/>
      <c r="H69" s="11"/>
    </row>
    <row r="70" spans="1:8" x14ac:dyDescent="0.15">
      <c r="A70" s="11"/>
      <c r="B70" s="40" t="s">
        <v>41</v>
      </c>
      <c r="C70" s="11"/>
      <c r="D70" s="11"/>
      <c r="E70" s="11"/>
      <c r="F70" s="11"/>
      <c r="G70" s="11"/>
      <c r="H70" s="11"/>
    </row>
    <row r="71" spans="1:8" x14ac:dyDescent="0.15">
      <c r="A71" s="11"/>
      <c r="B71" s="11" t="s">
        <v>129</v>
      </c>
      <c r="C71" s="11"/>
      <c r="D71" s="11"/>
      <c r="E71" s="11"/>
      <c r="F71" s="11"/>
      <c r="G71" s="11"/>
      <c r="H71" s="11"/>
    </row>
    <row r="72" spans="1:8" x14ac:dyDescent="0.15">
      <c r="A72" s="11"/>
      <c r="B72" s="37"/>
      <c r="C72" s="11"/>
      <c r="D72" s="11"/>
      <c r="E72" s="11"/>
      <c r="F72" s="11"/>
      <c r="G72" s="11"/>
      <c r="H72" s="11"/>
    </row>
    <row r="73" spans="1:8" x14ac:dyDescent="0.15">
      <c r="A73" s="11"/>
      <c r="B73" s="39" t="s">
        <v>124</v>
      </c>
      <c r="C73" s="11"/>
      <c r="D73" s="11"/>
      <c r="E73" s="11"/>
      <c r="F73" s="11"/>
      <c r="G73" s="11"/>
      <c r="H73" s="11"/>
    </row>
    <row r="74" spans="1:8" x14ac:dyDescent="0.15">
      <c r="A74" s="11"/>
      <c r="B74" s="40" t="s">
        <v>125</v>
      </c>
      <c r="C74" s="11"/>
      <c r="D74" s="11"/>
      <c r="E74" s="11"/>
      <c r="F74" s="11"/>
      <c r="G74" s="11"/>
      <c r="H74" s="11"/>
    </row>
    <row r="75" spans="1:8" x14ac:dyDescent="0.15">
      <c r="A75" s="11"/>
      <c r="B75" s="40" t="s">
        <v>41</v>
      </c>
      <c r="C75" s="11"/>
      <c r="D75" s="11"/>
      <c r="E75" s="11"/>
      <c r="F75" s="11"/>
      <c r="G75" s="11"/>
      <c r="H75" s="11"/>
    </row>
    <row r="76" spans="1:8" x14ac:dyDescent="0.15">
      <c r="A76" s="11"/>
      <c r="B76" s="11" t="s">
        <v>133</v>
      </c>
      <c r="C76" s="11"/>
      <c r="D76" s="11"/>
      <c r="E76" s="11"/>
      <c r="F76" s="11"/>
      <c r="G76" s="11"/>
      <c r="H76" s="11"/>
    </row>
    <row r="77" spans="1:8" x14ac:dyDescent="0.15">
      <c r="A77" s="11"/>
      <c r="B77" s="37"/>
      <c r="C77" s="11"/>
      <c r="D77" s="11"/>
      <c r="E77" s="11"/>
      <c r="F77" s="11"/>
      <c r="G77" s="11"/>
      <c r="H77" s="11"/>
    </row>
    <row r="78" spans="1:8" x14ac:dyDescent="0.15">
      <c r="A78" s="11"/>
      <c r="B78" s="39" t="s">
        <v>124</v>
      </c>
      <c r="C78" s="11"/>
      <c r="D78" s="11"/>
      <c r="E78" s="11"/>
      <c r="F78" s="11"/>
      <c r="G78" s="11"/>
      <c r="H78" s="11"/>
    </row>
    <row r="79" spans="1:8" x14ac:dyDescent="0.15">
      <c r="A79" s="11"/>
      <c r="B79" s="40" t="s">
        <v>125</v>
      </c>
      <c r="C79" s="11"/>
      <c r="D79" s="11"/>
      <c r="E79" s="11"/>
      <c r="F79" s="11"/>
      <c r="G79" s="11"/>
      <c r="H79" s="11"/>
    </row>
    <row r="80" spans="1:8" x14ac:dyDescent="0.15">
      <c r="A80" s="11"/>
      <c r="B80" s="40" t="s">
        <v>41</v>
      </c>
      <c r="C80" s="11"/>
      <c r="D80" s="11"/>
      <c r="E80" s="11"/>
      <c r="F80" s="11"/>
      <c r="G80" s="11"/>
      <c r="H80" s="11"/>
    </row>
    <row r="81" spans="1:8" x14ac:dyDescent="0.15">
      <c r="A81" s="11"/>
      <c r="B81" s="11" t="s">
        <v>137</v>
      </c>
      <c r="C81" s="11"/>
      <c r="D81" s="11"/>
      <c r="E81" s="11"/>
      <c r="F81" s="11"/>
      <c r="G81" s="11"/>
      <c r="H81" s="11"/>
    </row>
    <row r="82" spans="1:8" x14ac:dyDescent="0.15">
      <c r="A82" s="11"/>
      <c r="B82" s="37"/>
      <c r="C82" s="11"/>
      <c r="D82" s="11"/>
      <c r="E82" s="11"/>
      <c r="F82" s="11"/>
      <c r="G82" s="11"/>
      <c r="H82" s="11"/>
    </row>
    <row r="83" spans="1:8" x14ac:dyDescent="0.15">
      <c r="A83" s="11"/>
      <c r="B83" s="39" t="s">
        <v>124</v>
      </c>
      <c r="C83" s="11"/>
      <c r="D83" s="11"/>
      <c r="E83" s="11"/>
      <c r="F83" s="11"/>
      <c r="G83" s="11"/>
      <c r="H83" s="11"/>
    </row>
    <row r="84" spans="1:8" x14ac:dyDescent="0.15">
      <c r="A84" s="11"/>
      <c r="B84" s="40" t="s">
        <v>125</v>
      </c>
      <c r="C84" s="11"/>
      <c r="D84" s="11"/>
      <c r="E84" s="11"/>
      <c r="F84" s="11"/>
      <c r="G84" s="11"/>
      <c r="H84" s="11"/>
    </row>
    <row r="85" spans="1:8" x14ac:dyDescent="0.15">
      <c r="A85" s="11"/>
      <c r="B85" s="40" t="s">
        <v>41</v>
      </c>
      <c r="C85" s="11"/>
      <c r="D85" s="11"/>
      <c r="E85" s="11"/>
      <c r="F85" s="11"/>
      <c r="G85" s="11"/>
      <c r="H85" s="11"/>
    </row>
    <row r="86" spans="1:8" x14ac:dyDescent="0.15">
      <c r="A86" s="11"/>
      <c r="B86" s="11"/>
      <c r="C86" s="11"/>
      <c r="D86" s="11"/>
      <c r="E86" s="11"/>
      <c r="F86" s="11"/>
      <c r="G86" s="11"/>
      <c r="H86" s="11"/>
    </row>
    <row r="87" spans="1:8" x14ac:dyDescent="0.15">
      <c r="A87" s="11"/>
      <c r="B87" s="37"/>
      <c r="C87" s="11"/>
      <c r="D87" s="11"/>
      <c r="E87" s="11"/>
      <c r="F87" s="11"/>
      <c r="G87" s="11"/>
      <c r="H87" s="11"/>
    </row>
    <row r="88" spans="1:8" x14ac:dyDescent="0.15">
      <c r="A88" s="11"/>
      <c r="B88" s="39" t="s">
        <v>124</v>
      </c>
      <c r="C88" s="11"/>
      <c r="D88" s="11"/>
      <c r="E88" s="11"/>
      <c r="F88" s="11"/>
      <c r="G88" s="11"/>
      <c r="H88" s="11"/>
    </row>
    <row r="89" spans="1:8" x14ac:dyDescent="0.15">
      <c r="B89" s="40" t="s">
        <v>125</v>
      </c>
    </row>
    <row r="90" spans="1:8" x14ac:dyDescent="0.15">
      <c r="B90" s="40" t="s">
        <v>41</v>
      </c>
    </row>
    <row r="92" spans="1:8" x14ac:dyDescent="0.15">
      <c r="B92" s="37"/>
    </row>
    <row r="93" spans="1:8" x14ac:dyDescent="0.15">
      <c r="B93" s="39" t="s">
        <v>124</v>
      </c>
    </row>
    <row r="94" spans="1:8" x14ac:dyDescent="0.15">
      <c r="B94" s="40" t="s">
        <v>125</v>
      </c>
    </row>
    <row r="95" spans="1:8" x14ac:dyDescent="0.15">
      <c r="B95" s="40" t="s">
        <v>41</v>
      </c>
    </row>
    <row r="97" spans="2:2" x14ac:dyDescent="0.15">
      <c r="B97" s="37"/>
    </row>
    <row r="98" spans="2:2" x14ac:dyDescent="0.15">
      <c r="B98" s="39" t="s">
        <v>124</v>
      </c>
    </row>
    <row r="99" spans="2:2" x14ac:dyDescent="0.15">
      <c r="B99" s="40" t="s">
        <v>125</v>
      </c>
    </row>
    <row r="100" spans="2:2" x14ac:dyDescent="0.15">
      <c r="B100" s="40" t="s">
        <v>41</v>
      </c>
    </row>
    <row r="102" spans="2:2" x14ac:dyDescent="0.15">
      <c r="B102" s="11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15:B15"/>
    <mergeCell ref="A16:B16"/>
    <mergeCell ref="A17:A22"/>
    <mergeCell ref="A23:A27"/>
    <mergeCell ref="A28:A33"/>
    <mergeCell ref="A34:A39"/>
    <mergeCell ref="A9:B9"/>
    <mergeCell ref="A10:B10"/>
    <mergeCell ref="A11:B11"/>
    <mergeCell ref="A12:B12"/>
    <mergeCell ref="A13:B13"/>
    <mergeCell ref="A14:B14"/>
    <mergeCell ref="A3:B3"/>
    <mergeCell ref="A4:B4"/>
    <mergeCell ref="A5:B5"/>
    <mergeCell ref="A6:B6"/>
    <mergeCell ref="A7:B7"/>
    <mergeCell ref="A8:B8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14</vt:i4>
      </vt:variant>
    </vt:vector>
  </HeadingPairs>
  <TitlesOfParts>
    <vt:vector size="21" baseType="lpstr">
      <vt:lpstr>全社</vt:lpstr>
      <vt:lpstr>東京(営)</vt:lpstr>
      <vt:lpstr>東北部門</vt:lpstr>
      <vt:lpstr>小名浜(営)</vt:lpstr>
      <vt:lpstr>仙台(営)</vt:lpstr>
      <vt:lpstr>川崎(営)</vt:lpstr>
      <vt:lpstr>九州(営)</vt:lpstr>
      <vt:lpstr>'九州(営)'!Print_Area</vt:lpstr>
      <vt:lpstr>'小名浜(営)'!Print_Area</vt:lpstr>
      <vt:lpstr>'仙台(営)'!Print_Area</vt:lpstr>
      <vt:lpstr>'川崎(営)'!Print_Area</vt:lpstr>
      <vt:lpstr>全社!Print_Area</vt:lpstr>
      <vt:lpstr>'東京(営)'!Print_Area</vt:lpstr>
      <vt:lpstr>東北部門!Print_Area</vt:lpstr>
      <vt:lpstr>'九州(営)'!Print_Titles</vt:lpstr>
      <vt:lpstr>'小名浜(営)'!Print_Titles</vt:lpstr>
      <vt:lpstr>'仙台(営)'!Print_Titles</vt:lpstr>
      <vt:lpstr>'川崎(営)'!Print_Titles</vt:lpstr>
      <vt:lpstr>全社!Print_Titles</vt:lpstr>
      <vt:lpstr>'東京(営)'!Print_Titles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asada</dc:creator>
  <cp:lastModifiedBy>asada</cp:lastModifiedBy>
  <cp:lastPrinted>2024-11-27T04:41:25Z</cp:lastPrinted>
  <dcterms:created xsi:type="dcterms:W3CDTF">2024-11-26T06:54:09Z</dcterms:created>
  <dcterms:modified xsi:type="dcterms:W3CDTF">2024-11-27T06:45:15Z</dcterms:modified>
</cp:coreProperties>
</file>