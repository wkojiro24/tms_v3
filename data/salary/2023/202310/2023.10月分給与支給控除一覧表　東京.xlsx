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10\"/>
    </mc:Choice>
  </mc:AlternateContent>
  <xr:revisionPtr revIDLastSave="0" documentId="13_ncr:1_{F473EE82-53E2-4E90-B999-8C3F014BC0F1}" xr6:coauthVersionLast="47" xr6:coauthVersionMax="47" xr10:uidLastSave="{00000000-0000-0000-0000-000000000000}"/>
  <bookViews>
    <workbookView xWindow="-120" yWindow="-120" windowWidth="20730" windowHeight="11160" xr2:uid="{E0043F0B-1655-4A49-BA29-EEDFAA6D807A}"/>
  </bookViews>
  <sheets>
    <sheet name="2023年10月度給与 (2)" sheetId="3" r:id="rId1"/>
  </sheets>
  <definedNames>
    <definedName name="_xlnm.Print_Area" localSheetId="0">'2023年10月度給与 (2)'!$A$1:$M$46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3" l="1"/>
  <c r="M13" i="3"/>
  <c r="M17" i="3"/>
  <c r="M21" i="3"/>
  <c r="M25" i="3"/>
  <c r="M29" i="3"/>
  <c r="M33" i="3"/>
  <c r="M37" i="3"/>
  <c r="M41" i="3"/>
  <c r="L7" i="3"/>
  <c r="M7" i="3" s="1"/>
  <c r="L8" i="3"/>
  <c r="M8" i="3" s="1"/>
  <c r="L9" i="3"/>
  <c r="L10" i="3"/>
  <c r="M10" i="3" s="1"/>
  <c r="L11" i="3"/>
  <c r="M11" i="3" s="1"/>
  <c r="L12" i="3"/>
  <c r="M12" i="3" s="1"/>
  <c r="L13" i="3"/>
  <c r="L14" i="3"/>
  <c r="M14" i="3" s="1"/>
  <c r="L15" i="3"/>
  <c r="M15" i="3" s="1"/>
  <c r="L16" i="3"/>
  <c r="M16" i="3" s="1"/>
  <c r="L17" i="3"/>
  <c r="L18" i="3"/>
  <c r="M18" i="3" s="1"/>
  <c r="L19" i="3"/>
  <c r="M19" i="3" s="1"/>
  <c r="L20" i="3"/>
  <c r="M20" i="3" s="1"/>
  <c r="L21" i="3"/>
  <c r="L22" i="3"/>
  <c r="M22" i="3" s="1"/>
  <c r="L23" i="3"/>
  <c r="M23" i="3" s="1"/>
  <c r="L24" i="3"/>
  <c r="M24" i="3" s="1"/>
  <c r="L25" i="3"/>
  <c r="L26" i="3"/>
  <c r="M26" i="3" s="1"/>
  <c r="L27" i="3"/>
  <c r="M27" i="3" s="1"/>
  <c r="L28" i="3"/>
  <c r="M28" i="3" s="1"/>
  <c r="L29" i="3"/>
  <c r="L30" i="3"/>
  <c r="M30" i="3" s="1"/>
  <c r="L31" i="3"/>
  <c r="M31" i="3" s="1"/>
  <c r="L32" i="3"/>
  <c r="M32" i="3" s="1"/>
  <c r="L33" i="3"/>
  <c r="L34" i="3"/>
  <c r="M34" i="3" s="1"/>
  <c r="L35" i="3"/>
  <c r="M35" i="3" s="1"/>
  <c r="L36" i="3"/>
  <c r="M36" i="3" s="1"/>
  <c r="L37" i="3"/>
  <c r="L38" i="3"/>
  <c r="M38" i="3" s="1"/>
  <c r="L39" i="3"/>
  <c r="M39" i="3" s="1"/>
  <c r="L40" i="3"/>
  <c r="M40" i="3" s="1"/>
  <c r="L41" i="3"/>
  <c r="L42" i="3"/>
  <c r="M42" i="3" s="1"/>
  <c r="L43" i="3"/>
  <c r="M43" i="3" s="1"/>
  <c r="L44" i="3"/>
  <c r="M44" i="3" s="1"/>
  <c r="L6" i="3"/>
  <c r="M6" i="3" s="1"/>
  <c r="L5" i="3"/>
  <c r="M5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6" i="3"/>
  <c r="E5" i="3"/>
</calcChain>
</file>

<file path=xl/sharedStrings.xml><?xml version="1.0" encoding="utf-8"?>
<sst xmlns="http://schemas.openxmlformats.org/spreadsheetml/2006/main" count="117" uniqueCount="65">
  <si>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</si>
  <si>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</si>
  <si>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</si>
  <si>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</si>
  <si>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</si>
  <si>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</si>
  <si>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</si>
  <si>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</si>
  <si>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</si>
  <si>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</si>
  <si>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</si>
  <si>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</si>
  <si>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</si>
  <si>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</si>
  <si>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</si>
  <si>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</si>
  <si>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</si>
  <si>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</si>
  <si>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</si>
  <si>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</si>
  <si>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</si>
  <si>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</si>
  <si>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</si>
  <si>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</si>
  <si>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</si>
  <si>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</si>
  <si>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</si>
  <si>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</si>
  <si>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割増残業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</si>
  <si>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</si>
  <si>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</si>
  <si>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</si>
  <si>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</si>
  <si>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</si>
  <si>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</si>
  <si>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</si>
  <si>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無事故報奨金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</si>
  <si>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</si>
  <si>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</si>
  <si>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</si>
  <si>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</si>
  <si>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</si>
  <si>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</si>
  <si>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</si>
  <si>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</si>
  <si>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</si>
  <si>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</si>
  <si>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</si>
  <si>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</si>
  <si>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</si>
  <si>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</si>
  <si>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</si>
  <si>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</si>
  <si>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</si>
  <si>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</si>
  <si>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</si>
  <si>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</si>
  <si>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</si>
  <si>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</si>
  <si>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</si>
  <si>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2023年10月度給与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</si>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</sst>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2" fontId="2" fillId="0" borderId="8" xfId="1" applyNumberFormat="1" applyFont="1" applyBorder="1"/>
    <xf numFmtId="2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2" fontId="2" fillId="0" borderId="10" xfId="1" applyNumberFormat="1" applyFont="1" applyBorder="1"/>
    <xf numFmtId="2" fontId="2" fillId="0" borderId="9" xfId="1" applyNumberFormat="1" applyFont="1" applyBorder="1"/>
    <xf numFmtId="176" fontId="2" fillId="0" borderId="10" xfId="1" applyNumberFormat="1" applyFont="1" applyBorder="1"/>
    <xf numFmtId="176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176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176" fontId="2" fillId="0" borderId="31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28" xfId="1" applyNumberFormat="1" applyFont="1" applyBorder="1"/>
    <xf numFmtId="0" fontId="2" fillId="0" borderId="4" xfId="1" applyFont="1" applyBorder="1"/>
  </cellXfs>
  <cellStyles count="2">
    <cellStyle name="標準" xfId="0" builtinId="0"/>
    <cellStyle name="標準 2" xfId="1" xr:uid="{619BD14C-B575-443B-9285-CF04322AA1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0392-D591-473C-94A0-74C7FE635072}">
  <sheetPr>
    <pageSetUpPr fitToPage="1"/>
  </sheetPr>
  <dimension ref="A1:M46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5" sqref="C5"/>
    </sheetView>
  </sheetViews>
  <sheetFormatPr defaultRowHeight="18.75"/>
  <cols>
    <col min="1" max="1" width="2.375" style="2" customWidth="1"/>
    <col min="2" max="2" width="13.25" style="2" bestFit="1" customWidth="1"/>
    <col min="3" max="13" width="12.37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60</v>
      </c>
    </row>
    <row r="3" spans="1:13">
      <c r="B3" s="13"/>
      <c r="C3" s="33" t="s">
        <v>4</v>
      </c>
      <c r="D3" s="56" t="s">
        <v>9</v>
      </c>
      <c r="E3" s="57" t="s">
        <v>61</v>
      </c>
      <c r="F3" s="32" t="s">
        <v>2</v>
      </c>
      <c r="G3" s="33" t="s">
        <v>3</v>
      </c>
      <c r="H3" s="33" t="s">
        <v>5</v>
      </c>
      <c r="I3" s="33" t="s">
        <v>6</v>
      </c>
      <c r="J3" s="33" t="s">
        <v>7</v>
      </c>
      <c r="K3" s="56" t="s">
        <v>8</v>
      </c>
      <c r="L3" s="57" t="s">
        <v>61</v>
      </c>
      <c r="M3" s="70" t="s">
        <v>19</v>
      </c>
    </row>
    <row r="4" spans="1:13" ht="19.5" thickBot="1">
      <c r="B4" s="4" t="s">
        <v>10</v>
      </c>
      <c r="C4" s="35" t="s">
        <v>13</v>
      </c>
      <c r="D4" s="3" t="s">
        <v>18</v>
      </c>
      <c r="E4" s="58" t="s">
        <v>62</v>
      </c>
      <c r="F4" s="34" t="s">
        <v>11</v>
      </c>
      <c r="G4" s="35" t="s">
        <v>12</v>
      </c>
      <c r="H4" s="35" t="s">
        <v>14</v>
      </c>
      <c r="I4" s="35" t="s">
        <v>15</v>
      </c>
      <c r="J4" s="35" t="s">
        <v>16</v>
      </c>
      <c r="K4" s="59" t="s">
        <v>17</v>
      </c>
      <c r="L4" s="58" t="s">
        <v>63</v>
      </c>
      <c r="M4" s="4" t="s">
        <v>64</v>
      </c>
    </row>
    <row r="5" spans="1:13">
      <c r="A5" s="1" t="s">
        <v>1</v>
      </c>
      <c r="B5" s="19" t="s">
        <v>20</v>
      </c>
      <c r="C5" s="37">
        <v>21</v>
      </c>
      <c r="D5" s="20">
        <v>12</v>
      </c>
      <c r="E5" s="24">
        <f>SUM(C5:D5)</f>
        <v>33</v>
      </c>
      <c r="F5" s="36">
        <v>20</v>
      </c>
      <c r="G5" s="37">
        <v>20</v>
      </c>
      <c r="H5" s="37">
        <v>21</v>
      </c>
      <c r="I5" s="37">
        <v>19</v>
      </c>
      <c r="J5" s="37">
        <v>20</v>
      </c>
      <c r="K5" s="60">
        <v>21</v>
      </c>
      <c r="L5" s="21">
        <f>SUM(F5:K5)</f>
        <v>121</v>
      </c>
      <c r="M5" s="21">
        <f>SUM(L5,E5)</f>
        <v>154</v>
      </c>
    </row>
    <row r="6" spans="1:13">
      <c r="A6" s="1" t="s">
        <v>1</v>
      </c>
      <c r="B6" s="22" t="s">
        <v>21</v>
      </c>
      <c r="C6" s="39">
        <v>0</v>
      </c>
      <c r="D6" s="23">
        <v>0</v>
      </c>
      <c r="E6" s="24">
        <f>SUM(C6:D6)</f>
        <v>0</v>
      </c>
      <c r="F6" s="38">
        <v>2</v>
      </c>
      <c r="G6" s="39">
        <v>0</v>
      </c>
      <c r="H6" s="39">
        <v>3</v>
      </c>
      <c r="I6" s="39">
        <v>1</v>
      </c>
      <c r="J6" s="39">
        <v>2</v>
      </c>
      <c r="K6" s="61">
        <v>2</v>
      </c>
      <c r="L6" s="24">
        <f>SUM(F6:K6)</f>
        <v>10</v>
      </c>
      <c r="M6" s="24">
        <f t="shared" ref="M6:M44" si="0">SUM(L6,E6)</f>
        <v>10</v>
      </c>
    </row>
    <row r="7" spans="1:13">
      <c r="A7" s="1" t="s">
        <v>1</v>
      </c>
      <c r="B7" s="22" t="s">
        <v>22</v>
      </c>
      <c r="C7" s="39">
        <v>0</v>
      </c>
      <c r="D7" s="23">
        <v>0</v>
      </c>
      <c r="E7" s="24">
        <f t="shared" ref="E7:E44" si="1">SUM(C7:D7)</f>
        <v>0</v>
      </c>
      <c r="F7" s="38">
        <v>0</v>
      </c>
      <c r="G7" s="39">
        <v>0</v>
      </c>
      <c r="H7" s="39">
        <v>0</v>
      </c>
      <c r="I7" s="39">
        <v>0</v>
      </c>
      <c r="J7" s="39">
        <v>1</v>
      </c>
      <c r="K7" s="61">
        <v>1</v>
      </c>
      <c r="L7" s="24">
        <f t="shared" ref="L7:L44" si="2">SUM(F7:K7)</f>
        <v>2</v>
      </c>
      <c r="M7" s="24">
        <f t="shared" si="0"/>
        <v>2</v>
      </c>
    </row>
    <row r="8" spans="1:13">
      <c r="A8" s="1" t="s">
        <v>1</v>
      </c>
      <c r="B8" s="22" t="s">
        <v>23</v>
      </c>
      <c r="C8" s="39">
        <v>1</v>
      </c>
      <c r="D8" s="23">
        <v>0</v>
      </c>
      <c r="E8" s="24">
        <f t="shared" si="1"/>
        <v>1</v>
      </c>
      <c r="F8" s="38">
        <v>2</v>
      </c>
      <c r="G8" s="39">
        <v>2</v>
      </c>
      <c r="H8" s="39">
        <v>1</v>
      </c>
      <c r="I8" s="39">
        <v>3</v>
      </c>
      <c r="J8" s="39">
        <v>2</v>
      </c>
      <c r="K8" s="61">
        <v>1</v>
      </c>
      <c r="L8" s="24">
        <f t="shared" si="2"/>
        <v>11</v>
      </c>
      <c r="M8" s="24">
        <f t="shared" si="0"/>
        <v>12</v>
      </c>
    </row>
    <row r="9" spans="1:13">
      <c r="A9" s="1" t="s">
        <v>1</v>
      </c>
      <c r="B9" s="22" t="s">
        <v>24</v>
      </c>
      <c r="C9" s="41">
        <v>0</v>
      </c>
      <c r="D9" s="25">
        <v>3</v>
      </c>
      <c r="E9" s="26">
        <f t="shared" si="1"/>
        <v>3</v>
      </c>
      <c r="F9" s="40">
        <v>0</v>
      </c>
      <c r="G9" s="41">
        <v>0</v>
      </c>
      <c r="H9" s="41">
        <v>0</v>
      </c>
      <c r="I9" s="41">
        <v>0</v>
      </c>
      <c r="J9" s="41">
        <v>0</v>
      </c>
      <c r="K9" s="62">
        <v>0</v>
      </c>
      <c r="L9" s="26">
        <f t="shared" si="2"/>
        <v>0</v>
      </c>
      <c r="M9" s="26">
        <f t="shared" si="0"/>
        <v>3</v>
      </c>
    </row>
    <row r="10" spans="1:13">
      <c r="A10" s="1" t="s">
        <v>1</v>
      </c>
      <c r="B10" s="22" t="s">
        <v>25</v>
      </c>
      <c r="C10" s="41">
        <v>0</v>
      </c>
      <c r="D10" s="25">
        <v>0</v>
      </c>
      <c r="E10" s="26">
        <f t="shared" si="1"/>
        <v>0</v>
      </c>
      <c r="F10" s="40">
        <v>1.875</v>
      </c>
      <c r="G10" s="41">
        <v>2.7916666666666665</v>
      </c>
      <c r="H10" s="41">
        <v>1.4583333333333333</v>
      </c>
      <c r="I10" s="41">
        <v>2</v>
      </c>
      <c r="J10" s="41">
        <v>1.625</v>
      </c>
      <c r="K10" s="62">
        <v>1.8333333333333335</v>
      </c>
      <c r="L10" s="26">
        <f t="shared" si="2"/>
        <v>11.583333333333334</v>
      </c>
      <c r="M10" s="26">
        <f t="shared" si="0"/>
        <v>11.583333333333334</v>
      </c>
    </row>
    <row r="11" spans="1:13">
      <c r="A11" s="1" t="s">
        <v>1</v>
      </c>
      <c r="B11" s="22" t="s">
        <v>26</v>
      </c>
      <c r="C11" s="41">
        <v>0</v>
      </c>
      <c r="D11" s="25">
        <v>0</v>
      </c>
      <c r="E11" s="26">
        <f t="shared" si="1"/>
        <v>0</v>
      </c>
      <c r="F11" s="40">
        <v>0.41666666666666669</v>
      </c>
      <c r="G11" s="41">
        <v>0</v>
      </c>
      <c r="H11" s="41">
        <v>0.875</v>
      </c>
      <c r="I11" s="41">
        <v>0.16666666666666666</v>
      </c>
      <c r="J11" s="41">
        <v>0.375</v>
      </c>
      <c r="K11" s="62">
        <v>0.54166666666666663</v>
      </c>
      <c r="L11" s="26">
        <f t="shared" si="2"/>
        <v>2.375</v>
      </c>
      <c r="M11" s="26">
        <f t="shared" si="0"/>
        <v>2.375</v>
      </c>
    </row>
    <row r="12" spans="1:13">
      <c r="A12" s="1" t="s">
        <v>1</v>
      </c>
      <c r="B12" s="22" t="s">
        <v>27</v>
      </c>
      <c r="C12" s="41">
        <v>0</v>
      </c>
      <c r="D12" s="25">
        <v>0</v>
      </c>
      <c r="E12" s="26">
        <f t="shared" si="1"/>
        <v>0</v>
      </c>
      <c r="F12" s="40">
        <v>0</v>
      </c>
      <c r="G12" s="41">
        <v>0</v>
      </c>
      <c r="H12" s="41">
        <v>0</v>
      </c>
      <c r="I12" s="41">
        <v>0</v>
      </c>
      <c r="J12" s="41">
        <v>0.41666666666666669</v>
      </c>
      <c r="K12" s="62">
        <v>0.33333333333333331</v>
      </c>
      <c r="L12" s="26">
        <f t="shared" si="2"/>
        <v>0.75</v>
      </c>
      <c r="M12" s="26">
        <f t="shared" si="0"/>
        <v>0.75</v>
      </c>
    </row>
    <row r="13" spans="1:13">
      <c r="A13" s="1" t="s">
        <v>1</v>
      </c>
      <c r="B13" s="22" t="s">
        <v>28</v>
      </c>
      <c r="C13" s="41">
        <v>0</v>
      </c>
      <c r="D13" s="25">
        <v>0</v>
      </c>
      <c r="E13" s="26">
        <f t="shared" si="1"/>
        <v>0</v>
      </c>
      <c r="F13" s="40">
        <v>0</v>
      </c>
      <c r="G13" s="41">
        <v>0.29166666666666669</v>
      </c>
      <c r="H13" s="41">
        <v>0</v>
      </c>
      <c r="I13" s="41">
        <v>0</v>
      </c>
      <c r="J13" s="41">
        <v>0</v>
      </c>
      <c r="K13" s="62">
        <v>0</v>
      </c>
      <c r="L13" s="26">
        <f t="shared" si="2"/>
        <v>0.29166666666666669</v>
      </c>
      <c r="M13" s="26">
        <f t="shared" si="0"/>
        <v>0.29166666666666669</v>
      </c>
    </row>
    <row r="14" spans="1:13">
      <c r="A14" s="1" t="s">
        <v>1</v>
      </c>
      <c r="B14" s="5" t="s">
        <v>29</v>
      </c>
      <c r="C14" s="43">
        <v>0</v>
      </c>
      <c r="D14" s="6">
        <v>0</v>
      </c>
      <c r="E14" s="7">
        <f t="shared" si="1"/>
        <v>0</v>
      </c>
      <c r="F14" s="42">
        <v>0.5</v>
      </c>
      <c r="G14" s="43">
        <v>0.58333333333333337</v>
      </c>
      <c r="H14" s="43">
        <v>0.16666666666666666</v>
      </c>
      <c r="I14" s="43">
        <v>0.625</v>
      </c>
      <c r="J14" s="43">
        <v>0.41666666666666669</v>
      </c>
      <c r="K14" s="63">
        <v>0.20833333333333334</v>
      </c>
      <c r="L14" s="7">
        <f t="shared" si="2"/>
        <v>2.5000000000000004</v>
      </c>
      <c r="M14" s="7">
        <f t="shared" si="0"/>
        <v>2.5000000000000004</v>
      </c>
    </row>
    <row r="15" spans="1:13">
      <c r="A15" s="1" t="s">
        <v>1</v>
      </c>
      <c r="B15" s="14" t="s">
        <v>30</v>
      </c>
      <c r="C15" s="45">
        <v>34</v>
      </c>
      <c r="D15" s="15">
        <v>7</v>
      </c>
      <c r="E15" s="16">
        <f t="shared" si="1"/>
        <v>41</v>
      </c>
      <c r="F15" s="44">
        <v>27</v>
      </c>
      <c r="G15" s="45">
        <v>30</v>
      </c>
      <c r="H15" s="45">
        <v>32</v>
      </c>
      <c r="I15" s="45">
        <v>19</v>
      </c>
      <c r="J15" s="45">
        <v>27</v>
      </c>
      <c r="K15" s="64">
        <v>31</v>
      </c>
      <c r="L15" s="16">
        <f t="shared" si="2"/>
        <v>166</v>
      </c>
      <c r="M15" s="16">
        <f t="shared" si="0"/>
        <v>207</v>
      </c>
    </row>
    <row r="16" spans="1:13">
      <c r="A16" s="1" t="s">
        <v>1</v>
      </c>
      <c r="B16" s="27" t="s">
        <v>31</v>
      </c>
      <c r="C16" s="47">
        <v>355000</v>
      </c>
      <c r="D16" s="28">
        <v>0</v>
      </c>
      <c r="E16" s="29">
        <f t="shared" si="1"/>
        <v>355000</v>
      </c>
      <c r="F16" s="46">
        <v>177000</v>
      </c>
      <c r="G16" s="47">
        <v>192000</v>
      </c>
      <c r="H16" s="47">
        <v>177000</v>
      </c>
      <c r="I16" s="47">
        <v>177000</v>
      </c>
      <c r="J16" s="47">
        <v>177000</v>
      </c>
      <c r="K16" s="65">
        <v>170000</v>
      </c>
      <c r="L16" s="29">
        <f t="shared" si="2"/>
        <v>1070000</v>
      </c>
      <c r="M16" s="29">
        <f t="shared" si="0"/>
        <v>1425000</v>
      </c>
    </row>
    <row r="17" spans="1:13">
      <c r="A17" s="1" t="s">
        <v>1</v>
      </c>
      <c r="B17" s="22" t="s">
        <v>32</v>
      </c>
      <c r="C17" s="49">
        <v>0</v>
      </c>
      <c r="D17" s="30">
        <v>0</v>
      </c>
      <c r="E17" s="31">
        <f t="shared" si="1"/>
        <v>0</v>
      </c>
      <c r="F17" s="48">
        <v>0</v>
      </c>
      <c r="G17" s="49">
        <v>5000</v>
      </c>
      <c r="H17" s="49">
        <v>0</v>
      </c>
      <c r="I17" s="49">
        <v>0</v>
      </c>
      <c r="J17" s="49">
        <v>0</v>
      </c>
      <c r="K17" s="66">
        <v>0</v>
      </c>
      <c r="L17" s="31">
        <f t="shared" si="2"/>
        <v>5000</v>
      </c>
      <c r="M17" s="31">
        <f t="shared" si="0"/>
        <v>5000</v>
      </c>
    </row>
    <row r="18" spans="1:13">
      <c r="A18" s="1" t="s">
        <v>1</v>
      </c>
      <c r="B18" s="22" t="s">
        <v>33</v>
      </c>
      <c r="C18" s="49">
        <v>0</v>
      </c>
      <c r="D18" s="30">
        <v>0</v>
      </c>
      <c r="E18" s="31">
        <f t="shared" si="1"/>
        <v>0</v>
      </c>
      <c r="F18" s="48">
        <v>6000</v>
      </c>
      <c r="G18" s="49">
        <v>0</v>
      </c>
      <c r="H18" s="49">
        <v>15000</v>
      </c>
      <c r="I18" s="49">
        <v>0</v>
      </c>
      <c r="J18" s="49">
        <v>0</v>
      </c>
      <c r="K18" s="66">
        <v>0</v>
      </c>
      <c r="L18" s="31">
        <f t="shared" si="2"/>
        <v>21000</v>
      </c>
      <c r="M18" s="31">
        <f t="shared" si="0"/>
        <v>21000</v>
      </c>
    </row>
    <row r="19" spans="1:13">
      <c r="A19" s="1" t="s">
        <v>1</v>
      </c>
      <c r="B19" s="22" t="s">
        <v>34</v>
      </c>
      <c r="C19" s="49">
        <v>50000</v>
      </c>
      <c r="D19" s="30">
        <v>0</v>
      </c>
      <c r="E19" s="31">
        <f t="shared" si="1"/>
        <v>50000</v>
      </c>
      <c r="F19" s="48">
        <v>50000</v>
      </c>
      <c r="G19" s="49">
        <v>50000</v>
      </c>
      <c r="H19" s="49">
        <v>50000</v>
      </c>
      <c r="I19" s="49">
        <v>50000</v>
      </c>
      <c r="J19" s="49">
        <v>50000</v>
      </c>
      <c r="K19" s="66">
        <v>50000</v>
      </c>
      <c r="L19" s="31">
        <f t="shared" si="2"/>
        <v>300000</v>
      </c>
      <c r="M19" s="31">
        <f t="shared" si="0"/>
        <v>350000</v>
      </c>
    </row>
    <row r="20" spans="1:13">
      <c r="A20" s="1" t="s">
        <v>1</v>
      </c>
      <c r="B20" s="22" t="s">
        <v>35</v>
      </c>
      <c r="C20" s="49">
        <v>0</v>
      </c>
      <c r="D20" s="30">
        <v>86400</v>
      </c>
      <c r="E20" s="31">
        <f t="shared" si="1"/>
        <v>86400</v>
      </c>
      <c r="F20" s="48">
        <v>0</v>
      </c>
      <c r="G20" s="49">
        <v>0</v>
      </c>
      <c r="H20" s="49">
        <v>0</v>
      </c>
      <c r="I20" s="49">
        <v>0</v>
      </c>
      <c r="J20" s="49">
        <v>0</v>
      </c>
      <c r="K20" s="66">
        <v>0</v>
      </c>
      <c r="L20" s="31">
        <f t="shared" si="2"/>
        <v>0</v>
      </c>
      <c r="M20" s="31">
        <f t="shared" si="0"/>
        <v>86400</v>
      </c>
    </row>
    <row r="21" spans="1:13">
      <c r="A21" s="1" t="s">
        <v>1</v>
      </c>
      <c r="B21" s="22" t="s">
        <v>36</v>
      </c>
      <c r="C21" s="49">
        <v>0</v>
      </c>
      <c r="D21" s="30">
        <v>0</v>
      </c>
      <c r="E21" s="31">
        <f t="shared" si="1"/>
        <v>0</v>
      </c>
      <c r="F21" s="48">
        <v>12300</v>
      </c>
      <c r="G21" s="49">
        <v>24400</v>
      </c>
      <c r="H21" s="49">
        <v>14000</v>
      </c>
      <c r="I21" s="49">
        <v>22400</v>
      </c>
      <c r="J21" s="49">
        <v>28000</v>
      </c>
      <c r="K21" s="66">
        <v>14100</v>
      </c>
      <c r="L21" s="31">
        <f t="shared" si="2"/>
        <v>115200</v>
      </c>
      <c r="M21" s="31">
        <f t="shared" si="0"/>
        <v>115200</v>
      </c>
    </row>
    <row r="22" spans="1:13">
      <c r="A22" s="1" t="s">
        <v>1</v>
      </c>
      <c r="B22" s="22" t="s">
        <v>37</v>
      </c>
      <c r="C22" s="49">
        <v>0</v>
      </c>
      <c r="D22" s="30">
        <v>0</v>
      </c>
      <c r="E22" s="31">
        <f t="shared" si="1"/>
        <v>0</v>
      </c>
      <c r="F22" s="48">
        <v>2000</v>
      </c>
      <c r="G22" s="49">
        <v>3500</v>
      </c>
      <c r="H22" s="49">
        <v>0</v>
      </c>
      <c r="I22" s="49">
        <v>3500</v>
      </c>
      <c r="J22" s="49">
        <v>3500</v>
      </c>
      <c r="K22" s="66">
        <v>2000</v>
      </c>
      <c r="L22" s="31">
        <f t="shared" si="2"/>
        <v>14500</v>
      </c>
      <c r="M22" s="31">
        <f t="shared" si="0"/>
        <v>14500</v>
      </c>
    </row>
    <row r="23" spans="1:13">
      <c r="A23" s="1" t="s">
        <v>1</v>
      </c>
      <c r="B23" s="22" t="s">
        <v>38</v>
      </c>
      <c r="C23" s="49">
        <v>0</v>
      </c>
      <c r="D23" s="30">
        <v>0</v>
      </c>
      <c r="E23" s="31">
        <f t="shared" si="1"/>
        <v>0</v>
      </c>
      <c r="F23" s="48">
        <v>13500</v>
      </c>
      <c r="G23" s="49">
        <v>10500</v>
      </c>
      <c r="H23" s="49">
        <v>13500</v>
      </c>
      <c r="I23" s="49">
        <v>13000</v>
      </c>
      <c r="J23" s="49">
        <v>13000</v>
      </c>
      <c r="K23" s="66">
        <v>15000</v>
      </c>
      <c r="L23" s="31">
        <f t="shared" si="2"/>
        <v>78500</v>
      </c>
      <c r="M23" s="31">
        <f t="shared" si="0"/>
        <v>78500</v>
      </c>
    </row>
    <row r="24" spans="1:13">
      <c r="A24" s="1" t="s">
        <v>1</v>
      </c>
      <c r="B24" s="22" t="s">
        <v>25</v>
      </c>
      <c r="C24" s="49">
        <v>0</v>
      </c>
      <c r="D24" s="30">
        <v>0</v>
      </c>
      <c r="E24" s="31">
        <f t="shared" si="1"/>
        <v>0</v>
      </c>
      <c r="F24" s="48">
        <v>83700</v>
      </c>
      <c r="G24" s="49">
        <v>130918</v>
      </c>
      <c r="H24" s="49">
        <v>66955</v>
      </c>
      <c r="I24" s="49">
        <v>87504</v>
      </c>
      <c r="J24" s="49">
        <v>71097</v>
      </c>
      <c r="K24" s="66">
        <v>78056</v>
      </c>
      <c r="L24" s="31">
        <f t="shared" si="2"/>
        <v>518230</v>
      </c>
      <c r="M24" s="31">
        <f t="shared" si="0"/>
        <v>518230</v>
      </c>
    </row>
    <row r="25" spans="1:13">
      <c r="A25" s="1" t="s">
        <v>1</v>
      </c>
      <c r="B25" s="22" t="s">
        <v>39</v>
      </c>
      <c r="C25" s="49">
        <v>0</v>
      </c>
      <c r="D25" s="30">
        <v>0</v>
      </c>
      <c r="E25" s="31">
        <f t="shared" si="1"/>
        <v>0</v>
      </c>
      <c r="F25" s="48">
        <v>20090</v>
      </c>
      <c r="G25" s="49">
        <v>0</v>
      </c>
      <c r="H25" s="49">
        <v>43386</v>
      </c>
      <c r="I25" s="49">
        <v>7872</v>
      </c>
      <c r="J25" s="49">
        <v>17712</v>
      </c>
      <c r="K25" s="66">
        <v>24908</v>
      </c>
      <c r="L25" s="31">
        <f t="shared" si="2"/>
        <v>113968</v>
      </c>
      <c r="M25" s="31">
        <f t="shared" si="0"/>
        <v>113968</v>
      </c>
    </row>
    <row r="26" spans="1:13">
      <c r="A26" s="1" t="s">
        <v>1</v>
      </c>
      <c r="B26" s="22" t="s">
        <v>40</v>
      </c>
      <c r="C26" s="49">
        <v>0</v>
      </c>
      <c r="D26" s="30">
        <v>0</v>
      </c>
      <c r="E26" s="31">
        <f t="shared" si="1"/>
        <v>0</v>
      </c>
      <c r="F26" s="48">
        <v>0</v>
      </c>
      <c r="G26" s="49">
        <v>0</v>
      </c>
      <c r="H26" s="49">
        <v>0</v>
      </c>
      <c r="I26" s="49">
        <v>0</v>
      </c>
      <c r="J26" s="49">
        <v>19680</v>
      </c>
      <c r="K26" s="66">
        <v>15328</v>
      </c>
      <c r="L26" s="31">
        <f t="shared" si="2"/>
        <v>35008</v>
      </c>
      <c r="M26" s="31">
        <f t="shared" si="0"/>
        <v>35008</v>
      </c>
    </row>
    <row r="27" spans="1:13">
      <c r="A27" s="1" t="s">
        <v>1</v>
      </c>
      <c r="B27" s="22" t="s">
        <v>28</v>
      </c>
      <c r="C27" s="49">
        <v>0</v>
      </c>
      <c r="D27" s="30">
        <v>0</v>
      </c>
      <c r="E27" s="31">
        <f t="shared" si="1"/>
        <v>0</v>
      </c>
      <c r="F27" s="48">
        <v>0</v>
      </c>
      <c r="G27" s="49">
        <v>2737</v>
      </c>
      <c r="H27" s="49">
        <v>0</v>
      </c>
      <c r="I27" s="49">
        <v>0</v>
      </c>
      <c r="J27" s="49">
        <v>0</v>
      </c>
      <c r="K27" s="66">
        <v>0</v>
      </c>
      <c r="L27" s="31">
        <f t="shared" si="2"/>
        <v>2737</v>
      </c>
      <c r="M27" s="31">
        <f t="shared" si="0"/>
        <v>2737</v>
      </c>
    </row>
    <row r="28" spans="1:13">
      <c r="A28" s="1" t="s">
        <v>1</v>
      </c>
      <c r="B28" s="5" t="s">
        <v>29</v>
      </c>
      <c r="C28" s="51">
        <v>0</v>
      </c>
      <c r="D28" s="8">
        <v>0</v>
      </c>
      <c r="E28" s="9">
        <f t="shared" si="1"/>
        <v>0</v>
      </c>
      <c r="F28" s="50">
        <v>4464</v>
      </c>
      <c r="G28" s="51">
        <v>5474</v>
      </c>
      <c r="H28" s="51">
        <v>1532</v>
      </c>
      <c r="I28" s="51">
        <v>5475</v>
      </c>
      <c r="J28" s="51">
        <v>3650</v>
      </c>
      <c r="K28" s="67">
        <v>1775</v>
      </c>
      <c r="L28" s="9">
        <f t="shared" si="2"/>
        <v>22370</v>
      </c>
      <c r="M28" s="9">
        <f t="shared" si="0"/>
        <v>22370</v>
      </c>
    </row>
    <row r="29" spans="1:13">
      <c r="A29" s="1" t="s">
        <v>1</v>
      </c>
      <c r="B29" s="14" t="s">
        <v>41</v>
      </c>
      <c r="C29" s="53">
        <v>405000</v>
      </c>
      <c r="D29" s="17">
        <v>86400</v>
      </c>
      <c r="E29" s="18">
        <f t="shared" si="1"/>
        <v>491400</v>
      </c>
      <c r="F29" s="52">
        <v>369054</v>
      </c>
      <c r="G29" s="53">
        <v>424529</v>
      </c>
      <c r="H29" s="53">
        <v>381373</v>
      </c>
      <c r="I29" s="53">
        <v>366751</v>
      </c>
      <c r="J29" s="53">
        <v>383639</v>
      </c>
      <c r="K29" s="68">
        <v>371167</v>
      </c>
      <c r="L29" s="18">
        <f t="shared" si="2"/>
        <v>2296513</v>
      </c>
      <c r="M29" s="18">
        <f t="shared" si="0"/>
        <v>2787913</v>
      </c>
    </row>
    <row r="30" spans="1:13">
      <c r="A30" s="1" t="s">
        <v>1</v>
      </c>
      <c r="B30" s="27" t="s">
        <v>42</v>
      </c>
      <c r="C30" s="47">
        <v>13221</v>
      </c>
      <c r="D30" s="28">
        <v>4320</v>
      </c>
      <c r="E30" s="29">
        <f t="shared" si="1"/>
        <v>17541</v>
      </c>
      <c r="F30" s="46">
        <v>6348</v>
      </c>
      <c r="G30" s="47">
        <v>5247</v>
      </c>
      <c r="H30" s="47">
        <v>10403</v>
      </c>
      <c r="I30" s="47">
        <v>4877</v>
      </c>
      <c r="J30" s="47">
        <v>4224</v>
      </c>
      <c r="K30" s="65">
        <v>6296</v>
      </c>
      <c r="L30" s="29">
        <f t="shared" si="2"/>
        <v>37395</v>
      </c>
      <c r="M30" s="29">
        <f t="shared" si="0"/>
        <v>54936</v>
      </c>
    </row>
    <row r="31" spans="1:13">
      <c r="A31" s="1" t="s">
        <v>1</v>
      </c>
      <c r="B31" s="5" t="s">
        <v>43</v>
      </c>
      <c r="C31" s="51">
        <v>13221</v>
      </c>
      <c r="D31" s="8">
        <v>4320</v>
      </c>
      <c r="E31" s="9">
        <f t="shared" si="1"/>
        <v>17541</v>
      </c>
      <c r="F31" s="50">
        <v>6348</v>
      </c>
      <c r="G31" s="51">
        <v>5247</v>
      </c>
      <c r="H31" s="51">
        <v>10403</v>
      </c>
      <c r="I31" s="51">
        <v>4877</v>
      </c>
      <c r="J31" s="51">
        <v>4224</v>
      </c>
      <c r="K31" s="67">
        <v>6296</v>
      </c>
      <c r="L31" s="9">
        <f t="shared" si="2"/>
        <v>37395</v>
      </c>
      <c r="M31" s="9">
        <f t="shared" si="0"/>
        <v>54936</v>
      </c>
    </row>
    <row r="32" spans="1:13">
      <c r="A32" s="1" t="s">
        <v>1</v>
      </c>
      <c r="B32" s="14" t="s">
        <v>44</v>
      </c>
      <c r="C32" s="53">
        <v>418221</v>
      </c>
      <c r="D32" s="17">
        <v>90720</v>
      </c>
      <c r="E32" s="18">
        <f t="shared" si="1"/>
        <v>508941</v>
      </c>
      <c r="F32" s="52">
        <v>375402</v>
      </c>
      <c r="G32" s="53">
        <v>429776</v>
      </c>
      <c r="H32" s="53">
        <v>391776</v>
      </c>
      <c r="I32" s="53">
        <v>371628</v>
      </c>
      <c r="J32" s="53">
        <v>387863</v>
      </c>
      <c r="K32" s="68">
        <v>377463</v>
      </c>
      <c r="L32" s="18">
        <f t="shared" si="2"/>
        <v>2333908</v>
      </c>
      <c r="M32" s="18">
        <f t="shared" si="0"/>
        <v>2842849</v>
      </c>
    </row>
    <row r="33" spans="1:13">
      <c r="A33" s="1" t="s">
        <v>1</v>
      </c>
      <c r="B33" s="27" t="s">
        <v>45</v>
      </c>
      <c r="C33" s="47">
        <v>20910</v>
      </c>
      <c r="D33" s="28">
        <v>0</v>
      </c>
      <c r="E33" s="29">
        <f t="shared" si="1"/>
        <v>20910</v>
      </c>
      <c r="F33" s="46">
        <v>19380</v>
      </c>
      <c r="G33" s="47">
        <v>19380</v>
      </c>
      <c r="H33" s="47">
        <v>18360</v>
      </c>
      <c r="I33" s="47">
        <v>15300</v>
      </c>
      <c r="J33" s="47">
        <v>19380</v>
      </c>
      <c r="K33" s="65">
        <v>17340</v>
      </c>
      <c r="L33" s="29">
        <f t="shared" si="2"/>
        <v>109140</v>
      </c>
      <c r="M33" s="29">
        <f t="shared" si="0"/>
        <v>130050</v>
      </c>
    </row>
    <row r="34" spans="1:13">
      <c r="A34" s="1" t="s">
        <v>1</v>
      </c>
      <c r="B34" s="22" t="s">
        <v>46</v>
      </c>
      <c r="C34" s="49">
        <v>3690</v>
      </c>
      <c r="D34" s="30">
        <v>0</v>
      </c>
      <c r="E34" s="31">
        <f t="shared" si="1"/>
        <v>3690</v>
      </c>
      <c r="F34" s="48">
        <v>3420</v>
      </c>
      <c r="G34" s="49">
        <v>3420</v>
      </c>
      <c r="H34" s="49">
        <v>3240</v>
      </c>
      <c r="I34" s="49">
        <v>2700</v>
      </c>
      <c r="J34" s="49">
        <v>3420</v>
      </c>
      <c r="K34" s="66">
        <v>3060</v>
      </c>
      <c r="L34" s="31">
        <f t="shared" si="2"/>
        <v>19260</v>
      </c>
      <c r="M34" s="31">
        <f t="shared" si="0"/>
        <v>22950</v>
      </c>
    </row>
    <row r="35" spans="1:13">
      <c r="A35" s="1" t="s">
        <v>1</v>
      </c>
      <c r="B35" s="22" t="s">
        <v>47</v>
      </c>
      <c r="C35" s="49">
        <v>37515</v>
      </c>
      <c r="D35" s="30">
        <v>0</v>
      </c>
      <c r="E35" s="31">
        <f t="shared" si="1"/>
        <v>37515</v>
      </c>
      <c r="F35" s="48">
        <v>34770</v>
      </c>
      <c r="G35" s="49">
        <v>34770</v>
      </c>
      <c r="H35" s="49">
        <v>32940</v>
      </c>
      <c r="I35" s="49">
        <v>27450</v>
      </c>
      <c r="J35" s="49">
        <v>34770</v>
      </c>
      <c r="K35" s="66">
        <v>31110</v>
      </c>
      <c r="L35" s="31">
        <f t="shared" si="2"/>
        <v>195810</v>
      </c>
      <c r="M35" s="31">
        <f t="shared" si="0"/>
        <v>233325</v>
      </c>
    </row>
    <row r="36" spans="1:13">
      <c r="A36" s="1" t="s">
        <v>1</v>
      </c>
      <c r="B36" s="5" t="s">
        <v>48</v>
      </c>
      <c r="C36" s="51">
        <v>2509</v>
      </c>
      <c r="D36" s="8">
        <v>544</v>
      </c>
      <c r="E36" s="9">
        <f t="shared" si="1"/>
        <v>3053</v>
      </c>
      <c r="F36" s="50">
        <v>2252</v>
      </c>
      <c r="G36" s="51">
        <v>2579</v>
      </c>
      <c r="H36" s="51">
        <v>2351</v>
      </c>
      <c r="I36" s="51">
        <v>2230</v>
      </c>
      <c r="J36" s="51">
        <v>2327</v>
      </c>
      <c r="K36" s="67">
        <v>2265</v>
      </c>
      <c r="L36" s="9">
        <f t="shared" si="2"/>
        <v>14004</v>
      </c>
      <c r="M36" s="9">
        <f t="shared" si="0"/>
        <v>17057</v>
      </c>
    </row>
    <row r="37" spans="1:13">
      <c r="A37" s="1" t="s">
        <v>1</v>
      </c>
      <c r="B37" s="14" t="s">
        <v>49</v>
      </c>
      <c r="C37" s="53">
        <v>64624</v>
      </c>
      <c r="D37" s="17">
        <v>544</v>
      </c>
      <c r="E37" s="18">
        <f t="shared" si="1"/>
        <v>65168</v>
      </c>
      <c r="F37" s="52">
        <v>59822</v>
      </c>
      <c r="G37" s="53">
        <v>60149</v>
      </c>
      <c r="H37" s="53">
        <v>56891</v>
      </c>
      <c r="I37" s="53">
        <v>47680</v>
      </c>
      <c r="J37" s="53">
        <v>59897</v>
      </c>
      <c r="K37" s="68">
        <v>53775</v>
      </c>
      <c r="L37" s="18">
        <f t="shared" si="2"/>
        <v>338214</v>
      </c>
      <c r="M37" s="18">
        <f t="shared" si="0"/>
        <v>403382</v>
      </c>
    </row>
    <row r="38" spans="1:13">
      <c r="A38" s="1" t="s">
        <v>1</v>
      </c>
      <c r="B38" s="27" t="s">
        <v>50</v>
      </c>
      <c r="C38" s="47">
        <v>6750</v>
      </c>
      <c r="D38" s="28">
        <v>0</v>
      </c>
      <c r="E38" s="29">
        <f t="shared" si="1"/>
        <v>6750</v>
      </c>
      <c r="F38" s="46">
        <v>7100</v>
      </c>
      <c r="G38" s="47">
        <v>13640</v>
      </c>
      <c r="H38" s="47">
        <v>7720</v>
      </c>
      <c r="I38" s="47">
        <v>5880</v>
      </c>
      <c r="J38" s="47">
        <v>10320</v>
      </c>
      <c r="K38" s="65">
        <v>9800</v>
      </c>
      <c r="L38" s="29">
        <f t="shared" si="2"/>
        <v>54460</v>
      </c>
      <c r="M38" s="29">
        <f t="shared" si="0"/>
        <v>61210</v>
      </c>
    </row>
    <row r="39" spans="1:13">
      <c r="A39" s="1" t="s">
        <v>1</v>
      </c>
      <c r="B39" s="22" t="s">
        <v>51</v>
      </c>
      <c r="C39" s="49">
        <v>23700</v>
      </c>
      <c r="D39" s="30">
        <v>700</v>
      </c>
      <c r="E39" s="31">
        <f t="shared" si="1"/>
        <v>24400</v>
      </c>
      <c r="F39" s="48">
        <v>14200</v>
      </c>
      <c r="G39" s="49">
        <v>16800</v>
      </c>
      <c r="H39" s="49">
        <v>12300</v>
      </c>
      <c r="I39" s="49">
        <v>5800</v>
      </c>
      <c r="J39" s="49">
        <v>15200</v>
      </c>
      <c r="K39" s="66">
        <v>5500</v>
      </c>
      <c r="L39" s="31">
        <f t="shared" si="2"/>
        <v>69800</v>
      </c>
      <c r="M39" s="31">
        <f t="shared" si="0"/>
        <v>94200</v>
      </c>
    </row>
    <row r="40" spans="1:13">
      <c r="A40" s="1" t="s">
        <v>1</v>
      </c>
      <c r="B40" s="5" t="s">
        <v>52</v>
      </c>
      <c r="C40" s="51">
        <v>0</v>
      </c>
      <c r="D40" s="8">
        <v>0</v>
      </c>
      <c r="E40" s="9">
        <f t="shared" si="1"/>
        <v>0</v>
      </c>
      <c r="F40" s="50">
        <v>12300</v>
      </c>
      <c r="G40" s="51">
        <v>24400</v>
      </c>
      <c r="H40" s="51">
        <v>14000</v>
      </c>
      <c r="I40" s="51">
        <v>22400</v>
      </c>
      <c r="J40" s="51">
        <v>28000</v>
      </c>
      <c r="K40" s="67">
        <v>14100</v>
      </c>
      <c r="L40" s="9">
        <f t="shared" si="2"/>
        <v>115200</v>
      </c>
      <c r="M40" s="9">
        <f t="shared" si="0"/>
        <v>115200</v>
      </c>
    </row>
    <row r="41" spans="1:13">
      <c r="A41" s="1" t="s">
        <v>1</v>
      </c>
      <c r="B41" s="14" t="s">
        <v>53</v>
      </c>
      <c r="C41" s="53">
        <v>95074</v>
      </c>
      <c r="D41" s="17">
        <v>1244</v>
      </c>
      <c r="E41" s="18">
        <f t="shared" si="1"/>
        <v>96318</v>
      </c>
      <c r="F41" s="52">
        <v>93422</v>
      </c>
      <c r="G41" s="53">
        <v>114989</v>
      </c>
      <c r="H41" s="53">
        <v>90911</v>
      </c>
      <c r="I41" s="53">
        <v>81760</v>
      </c>
      <c r="J41" s="53">
        <v>113417</v>
      </c>
      <c r="K41" s="68">
        <v>83175</v>
      </c>
      <c r="L41" s="18">
        <f t="shared" si="2"/>
        <v>577674</v>
      </c>
      <c r="M41" s="18">
        <f t="shared" si="0"/>
        <v>673992</v>
      </c>
    </row>
    <row r="42" spans="1:13">
      <c r="A42" s="1" t="s">
        <v>1</v>
      </c>
      <c r="B42" s="14" t="s">
        <v>54</v>
      </c>
      <c r="C42" s="53">
        <v>340376</v>
      </c>
      <c r="D42" s="17">
        <v>85856</v>
      </c>
      <c r="E42" s="18">
        <f t="shared" si="1"/>
        <v>426232</v>
      </c>
      <c r="F42" s="52">
        <v>309232</v>
      </c>
      <c r="G42" s="53">
        <v>364380</v>
      </c>
      <c r="H42" s="53">
        <v>324482</v>
      </c>
      <c r="I42" s="53">
        <v>319071</v>
      </c>
      <c r="J42" s="53">
        <v>323742</v>
      </c>
      <c r="K42" s="68">
        <v>317392</v>
      </c>
      <c r="L42" s="18">
        <f t="shared" si="2"/>
        <v>1958299</v>
      </c>
      <c r="M42" s="18">
        <f t="shared" si="0"/>
        <v>2384531</v>
      </c>
    </row>
    <row r="43" spans="1:13">
      <c r="A43" s="1" t="s">
        <v>1</v>
      </c>
      <c r="B43" s="14" t="s">
        <v>55</v>
      </c>
      <c r="C43" s="53">
        <v>323147</v>
      </c>
      <c r="D43" s="17">
        <v>89476</v>
      </c>
      <c r="E43" s="18">
        <f t="shared" si="1"/>
        <v>412623</v>
      </c>
      <c r="F43" s="52">
        <v>281980</v>
      </c>
      <c r="G43" s="53">
        <v>314787</v>
      </c>
      <c r="H43" s="53">
        <v>300865</v>
      </c>
      <c r="I43" s="53">
        <v>289868</v>
      </c>
      <c r="J43" s="53">
        <v>274446</v>
      </c>
      <c r="K43" s="68">
        <v>294288</v>
      </c>
      <c r="L43" s="18">
        <f t="shared" si="2"/>
        <v>1756234</v>
      </c>
      <c r="M43" s="18">
        <f t="shared" si="0"/>
        <v>2168857</v>
      </c>
    </row>
    <row r="44" spans="1:13">
      <c r="A44" s="1" t="s">
        <v>1</v>
      </c>
      <c r="B44" s="14" t="s">
        <v>56</v>
      </c>
      <c r="C44" s="53">
        <v>323147</v>
      </c>
      <c r="D44" s="17">
        <v>89476</v>
      </c>
      <c r="E44" s="18">
        <f t="shared" si="1"/>
        <v>412623</v>
      </c>
      <c r="F44" s="52">
        <v>281980</v>
      </c>
      <c r="G44" s="53">
        <v>314787</v>
      </c>
      <c r="H44" s="53">
        <v>300865</v>
      </c>
      <c r="I44" s="53">
        <v>289868</v>
      </c>
      <c r="J44" s="53">
        <v>274446</v>
      </c>
      <c r="K44" s="68">
        <v>294288</v>
      </c>
      <c r="L44" s="18">
        <f t="shared" si="2"/>
        <v>1756234</v>
      </c>
      <c r="M44" s="18">
        <f t="shared" si="0"/>
        <v>2168857</v>
      </c>
    </row>
    <row r="45" spans="1:13">
      <c r="A45" s="1" t="s">
        <v>1</v>
      </c>
      <c r="B45" s="14" t="s">
        <v>57</v>
      </c>
      <c r="C45" s="53">
        <v>2</v>
      </c>
      <c r="D45" s="17">
        <v>0</v>
      </c>
      <c r="E45" s="18"/>
      <c r="F45" s="52">
        <v>1</v>
      </c>
      <c r="G45" s="53">
        <v>0</v>
      </c>
      <c r="H45" s="53">
        <v>1</v>
      </c>
      <c r="I45" s="53">
        <v>2</v>
      </c>
      <c r="J45" s="53">
        <v>0</v>
      </c>
      <c r="K45" s="68">
        <v>0</v>
      </c>
      <c r="L45" s="18"/>
      <c r="M45" s="18"/>
    </row>
    <row r="46" spans="1:13" ht="19.5" thickBot="1">
      <c r="A46" s="1" t="s">
        <v>1</v>
      </c>
      <c r="B46" s="10" t="s">
        <v>58</v>
      </c>
      <c r="C46" s="55" t="s">
        <v>59</v>
      </c>
      <c r="D46" s="11" t="s">
        <v>59</v>
      </c>
      <c r="E46" s="12"/>
      <c r="F46" s="54" t="s">
        <v>59</v>
      </c>
      <c r="G46" s="55" t="s">
        <v>59</v>
      </c>
      <c r="H46" s="55" t="s">
        <v>59</v>
      </c>
      <c r="I46" s="55" t="s">
        <v>59</v>
      </c>
      <c r="J46" s="55" t="s">
        <v>59</v>
      </c>
      <c r="K46" s="69" t="s">
        <v>59</v>
      </c>
      <c r="L46" s="12"/>
      <c r="M46" s="12"/>
    </row>
  </sheetData>
  <phoneticPr fontId="4"/>
  <pageMargins left="0.31496062992125984" right="0.31496062992125984" top="0.15748031496062992" bottom="0.15748031496062992" header="0.11811023622047245" footer="0.11811023622047245"/>
  <pageSetup paperSize="12" scale="8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2023年10月度給与 (2)</vt:lpstr>
      <vt:lpstr>'2023年10月度給与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2023-11-06T05:56:20Z</cp:lastPrinted>
  <dcterms:created xsi:type="dcterms:W3CDTF">2023-11-06T04:17:23Z</dcterms:created>
  <dcterms:modified xsi:type="dcterms:W3CDTF">2023-11-07T02:30:48Z</dcterms:modified>
</cp:coreProperties>
</file>