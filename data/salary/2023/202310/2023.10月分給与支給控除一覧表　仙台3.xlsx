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0\"/>
    </mc:Choice>
  </mc:AlternateContent>
  <xr:revisionPtr revIDLastSave="0" documentId="13_ncr:1_{4F296EF0-D057-497C-8F1C-0D8F8C3F6F23}" xr6:coauthVersionLast="47" xr6:coauthVersionMax="47" xr10:uidLastSave="{00000000-0000-0000-0000-000000000000}"/>
  <bookViews>
    <workbookView xWindow="-120" yWindow="-120" windowWidth="20730" windowHeight="11160" xr2:uid="{1C9B0C85-620D-4228-94E4-A4380F9F88FF}"/>
  </bookViews>
  <sheets>
    <sheet name="2023年11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3" l="1"/>
  <c r="O15" i="3"/>
  <c r="O19" i="3"/>
  <c r="O23" i="3"/>
  <c r="O27" i="3"/>
  <c r="O31" i="3"/>
  <c r="O35" i="3"/>
  <c r="O39" i="3"/>
  <c r="O43" i="3"/>
  <c r="O47" i="3"/>
  <c r="O51" i="3"/>
  <c r="N7" i="3"/>
  <c r="O7" i="3" s="1"/>
  <c r="N8" i="3"/>
  <c r="O8" i="3" s="1"/>
  <c r="N9" i="3"/>
  <c r="O9" i="3" s="1"/>
  <c r="N10" i="3"/>
  <c r="O10" i="3" s="1"/>
  <c r="N11" i="3"/>
  <c r="N12" i="3"/>
  <c r="O12" i="3" s="1"/>
  <c r="N13" i="3"/>
  <c r="O13" i="3" s="1"/>
  <c r="N14" i="3"/>
  <c r="O14" i="3" s="1"/>
  <c r="N15" i="3"/>
  <c r="N16" i="3"/>
  <c r="O16" i="3" s="1"/>
  <c r="N17" i="3"/>
  <c r="O17" i="3" s="1"/>
  <c r="N18" i="3"/>
  <c r="O18" i="3" s="1"/>
  <c r="N19" i="3"/>
  <c r="N20" i="3"/>
  <c r="O20" i="3" s="1"/>
  <c r="N21" i="3"/>
  <c r="O21" i="3" s="1"/>
  <c r="N22" i="3"/>
  <c r="O22" i="3" s="1"/>
  <c r="N23" i="3"/>
  <c r="N24" i="3"/>
  <c r="O24" i="3" s="1"/>
  <c r="N25" i="3"/>
  <c r="O25" i="3" s="1"/>
  <c r="N26" i="3"/>
  <c r="O26" i="3" s="1"/>
  <c r="N27" i="3"/>
  <c r="N28" i="3"/>
  <c r="O28" i="3" s="1"/>
  <c r="N29" i="3"/>
  <c r="O29" i="3" s="1"/>
  <c r="N30" i="3"/>
  <c r="O30" i="3" s="1"/>
  <c r="N31" i="3"/>
  <c r="N32" i="3"/>
  <c r="O32" i="3" s="1"/>
  <c r="N33" i="3"/>
  <c r="O33" i="3" s="1"/>
  <c r="N34" i="3"/>
  <c r="O34" i="3" s="1"/>
  <c r="N35" i="3"/>
  <c r="N36" i="3"/>
  <c r="O36" i="3" s="1"/>
  <c r="N37" i="3"/>
  <c r="O37" i="3" s="1"/>
  <c r="N38" i="3"/>
  <c r="O38" i="3" s="1"/>
  <c r="N39" i="3"/>
  <c r="N40" i="3"/>
  <c r="O40" i="3" s="1"/>
  <c r="N41" i="3"/>
  <c r="O41" i="3" s="1"/>
  <c r="N42" i="3"/>
  <c r="O42" i="3" s="1"/>
  <c r="N43" i="3"/>
  <c r="N44" i="3"/>
  <c r="O44" i="3" s="1"/>
  <c r="N45" i="3"/>
  <c r="O45" i="3" s="1"/>
  <c r="N46" i="3"/>
  <c r="O46" i="3" s="1"/>
  <c r="N47" i="3"/>
  <c r="N48" i="3"/>
  <c r="O48" i="3" s="1"/>
  <c r="N49" i="3"/>
  <c r="O49" i="3" s="1"/>
  <c r="N50" i="3"/>
  <c r="O50" i="3" s="1"/>
  <c r="N51" i="3"/>
  <c r="N52" i="3"/>
  <c r="O52" i="3" s="1"/>
  <c r="N6" i="3"/>
  <c r="O6" i="3" s="1"/>
  <c r="N5" i="3"/>
  <c r="O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6" i="3"/>
  <c r="F5" i="3"/>
</calcChain>
</file>

<file path=xl/sharedStrings.xml><?xml version="1.0" encoding="utf-8"?>
<sst xmlns="http://schemas.openxmlformats.org/spreadsheetml/2006/main" count="139" uniqueCount="76">
  <si>
    <t>支給控除一覧表</t>
    <phoneticPr fontId="4"/>
  </si>
  <si>
    <t/>
  </si>
  <si>
    <t>2023年11月度給与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</si>
  <si>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</si>
  <si>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</si>
  <si>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</si>
  <si>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</si>
  <si>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</si>
  <si>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</si>
  <si>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</si>
  <si>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</si>
  <si>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</si>
  <si>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</si>
  <si>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</si>
  <si>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</si>
  <si>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</si>
  <si>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</si>
  <si>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</si>
  <si>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</si>
  <si>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</si>
  <si>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</si>
  <si>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</si>
  <si>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</si>
  <si>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</si>
  <si>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</si>
  <si>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</si>
  <si>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</si>
  <si>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</si>
  <si>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</si>
  <si>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</si>
  <si>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</si>
  <si>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</si>
  <si>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</si>
  <si>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</si>
  <si>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</si>
  <si>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</si>
  <si>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</si>
  <si>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</si>
  <si>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</si>
  <si>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</si>
  <si>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</si>
  <si>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</si>
  <si>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</si>
  <si>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</si>
  <si>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</si>
  <si>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</si>
  <si>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</si>
  <si>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</si>
  <si>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</si>
  <si>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</si>
  <si>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</si>
  <si>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</si>
  <si>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</si>
  <si>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</si>
  <si>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</si>
  <si>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</si>
  <si>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</si>
  <si>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</si>
  <si>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</si>
  <si>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</si>
  <si>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</si>
  <si>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</si>
  <si>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</si>
  <si>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</si>
  <si>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</si>
  <si>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</si>
  <si>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</si>
  <si>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</si>
  <si>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</si>
  <si>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</si>
  <si>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</si>
  <si>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</si>
  <si>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</si>
  <si>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</si>
  <si>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</si>
  <si>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１０名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</si>
</sst>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1" fontId="2" fillId="0" borderId="6" xfId="1" applyNumberFormat="1" applyFont="1" applyBorder="1" applyAlignment="1">
      <alignment horizontal="left"/>
    </xf>
    <xf numFmtId="41" fontId="2" fillId="0" borderId="7" xfId="1" applyNumberFormat="1" applyFont="1" applyBorder="1"/>
    <xf numFmtId="41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177" fontId="2" fillId="0" borderId="0" xfId="1" applyNumberFormat="1" applyFont="1"/>
    <xf numFmtId="177" fontId="2" fillId="0" borderId="4" xfId="1" applyNumberFormat="1" applyFont="1" applyBorder="1"/>
    <xf numFmtId="177" fontId="2" fillId="0" borderId="13" xfId="1" applyNumberFormat="1" applyFont="1" applyBorder="1"/>
    <xf numFmtId="177" fontId="2" fillId="0" borderId="12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177" fontId="2" fillId="0" borderId="20" xfId="1" applyNumberFormat="1" applyFont="1" applyBorder="1"/>
    <xf numFmtId="177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1" fontId="2" fillId="0" borderId="24" xfId="1" applyNumberFormat="1" applyFont="1" applyBorder="1"/>
    <xf numFmtId="41" fontId="2" fillId="0" borderId="25" xfId="1" applyNumberFormat="1" applyFont="1" applyBorder="1"/>
    <xf numFmtId="177" fontId="2" fillId="0" borderId="22" xfId="1" applyNumberFormat="1" applyFont="1" applyBorder="1"/>
    <xf numFmtId="177" fontId="2" fillId="0" borderId="23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177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1" fontId="2" fillId="0" borderId="33" xfId="1" applyNumberFormat="1" applyFont="1" applyBorder="1"/>
    <xf numFmtId="177" fontId="2" fillId="0" borderId="32" xfId="1" applyNumberFormat="1" applyFont="1" applyBorder="1"/>
    <xf numFmtId="49" fontId="2" fillId="0" borderId="29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center"/>
    </xf>
    <xf numFmtId="42" fontId="2" fillId="0" borderId="2" xfId="1" applyNumberFormat="1" applyFont="1" applyBorder="1" applyAlignment="1">
      <alignment horizontal="center"/>
    </xf>
    <xf numFmtId="0" fontId="2" fillId="0" borderId="5" xfId="1" applyFont="1" applyBorder="1"/>
  </cellXfs>
  <cellStyles count="2">
    <cellStyle name="標準" xfId="0" builtinId="0"/>
    <cellStyle name="標準 2" xfId="1" xr:uid="{4F5EE9A2-C62A-47BF-ACE0-A22B4F428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7786-2E3D-4287-BE5C-D0A013267382}">
  <sheetPr>
    <pageSetUpPr fitToPage="1"/>
  </sheetPr>
  <dimension ref="A1:O5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0.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2</v>
      </c>
    </row>
    <row r="3" spans="1:15">
      <c r="B3" s="13"/>
      <c r="C3" s="40" t="s">
        <v>6</v>
      </c>
      <c r="D3" s="40" t="s">
        <v>10</v>
      </c>
      <c r="E3" s="69" t="s">
        <v>8</v>
      </c>
      <c r="F3" s="84" t="s">
        <v>72</v>
      </c>
      <c r="G3" s="39" t="s">
        <v>3</v>
      </c>
      <c r="H3" s="40" t="s">
        <v>4</v>
      </c>
      <c r="I3" s="40" t="s">
        <v>5</v>
      </c>
      <c r="J3" s="40" t="s">
        <v>7</v>
      </c>
      <c r="K3" s="40" t="s">
        <v>9</v>
      </c>
      <c r="L3" s="40" t="s">
        <v>11</v>
      </c>
      <c r="M3" s="86" t="s">
        <v>12</v>
      </c>
      <c r="N3" s="84" t="s">
        <v>72</v>
      </c>
      <c r="O3" s="87" t="s">
        <v>22</v>
      </c>
    </row>
    <row r="4" spans="1:15" ht="19.5" thickBot="1">
      <c r="B4" s="4" t="s">
        <v>13</v>
      </c>
      <c r="C4" s="42" t="s">
        <v>17</v>
      </c>
      <c r="D4" s="42" t="s">
        <v>20</v>
      </c>
      <c r="E4" s="70" t="s">
        <v>71</v>
      </c>
      <c r="F4" s="85" t="s">
        <v>73</v>
      </c>
      <c r="G4" s="41" t="s">
        <v>14</v>
      </c>
      <c r="H4" s="42" t="s">
        <v>15</v>
      </c>
      <c r="I4" s="42" t="s">
        <v>16</v>
      </c>
      <c r="J4" s="42" t="s">
        <v>18</v>
      </c>
      <c r="K4" s="42" t="s">
        <v>19</v>
      </c>
      <c r="L4" s="42" t="s">
        <v>21</v>
      </c>
      <c r="M4" s="3" t="s">
        <v>70</v>
      </c>
      <c r="N4" s="85" t="s">
        <v>74</v>
      </c>
      <c r="O4" s="4" t="s">
        <v>75</v>
      </c>
    </row>
    <row r="5" spans="1:15">
      <c r="A5" s="1" t="s">
        <v>1</v>
      </c>
      <c r="B5" s="25" t="s">
        <v>23</v>
      </c>
      <c r="C5" s="44">
        <v>22</v>
      </c>
      <c r="D5" s="44">
        <v>21</v>
      </c>
      <c r="E5" s="71">
        <v>21</v>
      </c>
      <c r="F5" s="27">
        <f>SUM(C5:E5)</f>
        <v>64</v>
      </c>
      <c r="G5" s="43">
        <v>3</v>
      </c>
      <c r="H5" s="44">
        <v>20</v>
      </c>
      <c r="I5" s="44">
        <v>20</v>
      </c>
      <c r="J5" s="44">
        <v>22</v>
      </c>
      <c r="K5" s="44">
        <v>10</v>
      </c>
      <c r="L5" s="44">
        <v>20</v>
      </c>
      <c r="M5" s="26">
        <v>21</v>
      </c>
      <c r="N5" s="27">
        <f>SUM(G5:M5)</f>
        <v>116</v>
      </c>
      <c r="O5" s="27">
        <f>SUM(N5,F5)</f>
        <v>180</v>
      </c>
    </row>
    <row r="6" spans="1:15">
      <c r="A6" s="1" t="s">
        <v>1</v>
      </c>
      <c r="B6" s="28" t="s">
        <v>24</v>
      </c>
      <c r="C6" s="46">
        <v>0</v>
      </c>
      <c r="D6" s="46">
        <v>0</v>
      </c>
      <c r="E6" s="72">
        <v>2</v>
      </c>
      <c r="F6" s="30">
        <f>SUM(C6:E6)</f>
        <v>2</v>
      </c>
      <c r="G6" s="45">
        <v>1</v>
      </c>
      <c r="H6" s="46">
        <v>1</v>
      </c>
      <c r="I6" s="46">
        <v>1</v>
      </c>
      <c r="J6" s="46">
        <v>1</v>
      </c>
      <c r="K6" s="46">
        <v>1</v>
      </c>
      <c r="L6" s="46">
        <v>3</v>
      </c>
      <c r="M6" s="29">
        <v>1</v>
      </c>
      <c r="N6" s="30">
        <f>SUM(G6:M6)</f>
        <v>9</v>
      </c>
      <c r="O6" s="30">
        <f t="shared" ref="O6:O52" si="0">SUM(N6,F6)</f>
        <v>11</v>
      </c>
    </row>
    <row r="7" spans="1:15">
      <c r="A7" s="1" t="s">
        <v>1</v>
      </c>
      <c r="B7" s="28" t="s">
        <v>25</v>
      </c>
      <c r="C7" s="46">
        <v>0</v>
      </c>
      <c r="D7" s="46">
        <v>0</v>
      </c>
      <c r="E7" s="72">
        <v>1</v>
      </c>
      <c r="F7" s="30">
        <f t="shared" ref="F7:F52" si="1">SUM(C7:E7)</f>
        <v>1</v>
      </c>
      <c r="G7" s="45">
        <v>0</v>
      </c>
      <c r="H7" s="46">
        <v>2</v>
      </c>
      <c r="I7" s="46">
        <v>4</v>
      </c>
      <c r="J7" s="46">
        <v>1</v>
      </c>
      <c r="K7" s="46">
        <v>0</v>
      </c>
      <c r="L7" s="46">
        <v>3</v>
      </c>
      <c r="M7" s="29">
        <v>1</v>
      </c>
      <c r="N7" s="30">
        <f t="shared" ref="N7:N52" si="2">SUM(G7:M7)</f>
        <v>11</v>
      </c>
      <c r="O7" s="30">
        <f t="shared" si="0"/>
        <v>12</v>
      </c>
    </row>
    <row r="8" spans="1:15">
      <c r="A8" s="1" t="s">
        <v>1</v>
      </c>
      <c r="B8" s="28" t="s">
        <v>26</v>
      </c>
      <c r="C8" s="46">
        <v>0</v>
      </c>
      <c r="D8" s="46">
        <v>0</v>
      </c>
      <c r="E8" s="72">
        <v>0</v>
      </c>
      <c r="F8" s="30">
        <f t="shared" si="1"/>
        <v>0</v>
      </c>
      <c r="G8" s="45">
        <v>0</v>
      </c>
      <c r="H8" s="46">
        <v>0</v>
      </c>
      <c r="I8" s="46">
        <v>1</v>
      </c>
      <c r="J8" s="46">
        <v>0</v>
      </c>
      <c r="K8" s="46">
        <v>1</v>
      </c>
      <c r="L8" s="46">
        <v>1</v>
      </c>
      <c r="M8" s="29">
        <v>0</v>
      </c>
      <c r="N8" s="30">
        <f t="shared" si="2"/>
        <v>3</v>
      </c>
      <c r="O8" s="30">
        <f t="shared" si="0"/>
        <v>3</v>
      </c>
    </row>
    <row r="9" spans="1:15">
      <c r="A9" s="1" t="s">
        <v>1</v>
      </c>
      <c r="B9" s="28" t="s">
        <v>27</v>
      </c>
      <c r="C9" s="46">
        <v>0</v>
      </c>
      <c r="D9" s="46">
        <v>1</v>
      </c>
      <c r="E9" s="72">
        <v>1.5</v>
      </c>
      <c r="F9" s="30">
        <f t="shared" si="1"/>
        <v>2.5</v>
      </c>
      <c r="G9" s="45">
        <v>0</v>
      </c>
      <c r="H9" s="46">
        <v>2</v>
      </c>
      <c r="I9" s="46">
        <v>1</v>
      </c>
      <c r="J9" s="46">
        <v>0</v>
      </c>
      <c r="K9" s="46">
        <v>0</v>
      </c>
      <c r="L9" s="46">
        <v>1</v>
      </c>
      <c r="M9" s="29">
        <v>1</v>
      </c>
      <c r="N9" s="30">
        <f t="shared" si="2"/>
        <v>5</v>
      </c>
      <c r="O9" s="30">
        <f t="shared" si="0"/>
        <v>7.5</v>
      </c>
    </row>
    <row r="10" spans="1:15">
      <c r="A10" s="1" t="s">
        <v>1</v>
      </c>
      <c r="B10" s="28" t="s">
        <v>28</v>
      </c>
      <c r="C10" s="46">
        <v>0</v>
      </c>
      <c r="D10" s="46">
        <v>0</v>
      </c>
      <c r="E10" s="72">
        <v>0</v>
      </c>
      <c r="F10" s="30">
        <f t="shared" si="1"/>
        <v>0</v>
      </c>
      <c r="G10" s="45">
        <v>19</v>
      </c>
      <c r="H10" s="46">
        <v>0</v>
      </c>
      <c r="I10" s="46">
        <v>0</v>
      </c>
      <c r="J10" s="46">
        <v>0</v>
      </c>
      <c r="K10" s="46">
        <v>10</v>
      </c>
      <c r="L10" s="46">
        <v>0</v>
      </c>
      <c r="M10" s="29">
        <v>0</v>
      </c>
      <c r="N10" s="30">
        <f t="shared" si="2"/>
        <v>29</v>
      </c>
      <c r="O10" s="30">
        <f t="shared" si="0"/>
        <v>29</v>
      </c>
    </row>
    <row r="11" spans="1:15">
      <c r="A11" s="1" t="s">
        <v>1</v>
      </c>
      <c r="B11" s="28" t="s">
        <v>29</v>
      </c>
      <c r="C11" s="48">
        <v>0</v>
      </c>
      <c r="D11" s="48">
        <v>0</v>
      </c>
      <c r="E11" s="73">
        <v>4.1666666666666664E-2</v>
      </c>
      <c r="F11" s="32">
        <f t="shared" si="1"/>
        <v>4.1666666666666664E-2</v>
      </c>
      <c r="G11" s="47">
        <v>4.1666666666666664E-2</v>
      </c>
      <c r="H11" s="48">
        <v>0.33333333333333331</v>
      </c>
      <c r="I11" s="48">
        <v>0.95833333333333337</v>
      </c>
      <c r="J11" s="48">
        <v>1.7916666666666665</v>
      </c>
      <c r="K11" s="48">
        <v>0.20833333333333334</v>
      </c>
      <c r="L11" s="48">
        <v>1.5833333333333335</v>
      </c>
      <c r="M11" s="31">
        <v>3.375</v>
      </c>
      <c r="N11" s="32">
        <f t="shared" si="2"/>
        <v>8.2916666666666679</v>
      </c>
      <c r="O11" s="32">
        <f t="shared" si="0"/>
        <v>8.3333333333333339</v>
      </c>
    </row>
    <row r="12" spans="1:15">
      <c r="A12" s="1" t="s">
        <v>1</v>
      </c>
      <c r="B12" s="28" t="s">
        <v>30</v>
      </c>
      <c r="C12" s="48">
        <v>0</v>
      </c>
      <c r="D12" s="48">
        <v>0</v>
      </c>
      <c r="E12" s="73">
        <v>0.45833333333333331</v>
      </c>
      <c r="F12" s="32">
        <f t="shared" si="1"/>
        <v>0.45833333333333331</v>
      </c>
      <c r="G12" s="47">
        <v>0.20833333333333334</v>
      </c>
      <c r="H12" s="48">
        <v>0.33333333333333331</v>
      </c>
      <c r="I12" s="48">
        <v>0.375</v>
      </c>
      <c r="J12" s="48">
        <v>0.375</v>
      </c>
      <c r="K12" s="48">
        <v>0</v>
      </c>
      <c r="L12" s="48">
        <v>0.625</v>
      </c>
      <c r="M12" s="31">
        <v>0.5</v>
      </c>
      <c r="N12" s="32">
        <f t="shared" si="2"/>
        <v>2.4166666666666665</v>
      </c>
      <c r="O12" s="32">
        <f t="shared" si="0"/>
        <v>2.875</v>
      </c>
    </row>
    <row r="13" spans="1:15">
      <c r="A13" s="1" t="s">
        <v>1</v>
      </c>
      <c r="B13" s="28" t="s">
        <v>31</v>
      </c>
      <c r="C13" s="48">
        <v>0</v>
      </c>
      <c r="D13" s="48">
        <v>0</v>
      </c>
      <c r="E13" s="73">
        <v>0.16666666666666666</v>
      </c>
      <c r="F13" s="32">
        <f t="shared" si="1"/>
        <v>0.16666666666666666</v>
      </c>
      <c r="G13" s="47">
        <v>0</v>
      </c>
      <c r="H13" s="48">
        <v>0.66666666666666663</v>
      </c>
      <c r="I13" s="48">
        <v>1.0833333333333333</v>
      </c>
      <c r="J13" s="48">
        <v>0.33333333333333331</v>
      </c>
      <c r="K13" s="48">
        <v>0</v>
      </c>
      <c r="L13" s="48">
        <v>0.83333333333333337</v>
      </c>
      <c r="M13" s="31">
        <v>0.20833333333333334</v>
      </c>
      <c r="N13" s="32">
        <f t="shared" si="2"/>
        <v>3.1250000000000004</v>
      </c>
      <c r="O13" s="32">
        <f t="shared" si="0"/>
        <v>3.291666666666667</v>
      </c>
    </row>
    <row r="14" spans="1:15">
      <c r="A14" s="1" t="s">
        <v>1</v>
      </c>
      <c r="B14" s="28" t="s">
        <v>32</v>
      </c>
      <c r="C14" s="48">
        <v>0</v>
      </c>
      <c r="D14" s="48">
        <v>0</v>
      </c>
      <c r="E14" s="73">
        <v>0</v>
      </c>
      <c r="F14" s="32">
        <f t="shared" si="1"/>
        <v>0</v>
      </c>
      <c r="G14" s="47">
        <v>0</v>
      </c>
      <c r="H14" s="48">
        <v>0</v>
      </c>
      <c r="I14" s="48">
        <v>0</v>
      </c>
      <c r="J14" s="48">
        <v>0</v>
      </c>
      <c r="K14" s="48">
        <v>0.33333333333333331</v>
      </c>
      <c r="L14" s="48">
        <v>0.29166666666666669</v>
      </c>
      <c r="M14" s="31">
        <v>0</v>
      </c>
      <c r="N14" s="32">
        <f t="shared" si="2"/>
        <v>0.625</v>
      </c>
      <c r="O14" s="32">
        <f t="shared" si="0"/>
        <v>0.625</v>
      </c>
    </row>
    <row r="15" spans="1:15">
      <c r="A15" s="1" t="s">
        <v>1</v>
      </c>
      <c r="B15" s="28" t="s">
        <v>33</v>
      </c>
      <c r="C15" s="48">
        <v>0</v>
      </c>
      <c r="D15" s="48">
        <v>0</v>
      </c>
      <c r="E15" s="73">
        <v>0</v>
      </c>
      <c r="F15" s="32">
        <f t="shared" si="1"/>
        <v>0</v>
      </c>
      <c r="G15" s="47">
        <v>0</v>
      </c>
      <c r="H15" s="48">
        <v>0</v>
      </c>
      <c r="I15" s="48">
        <v>0.33333333333333331</v>
      </c>
      <c r="J15" s="48">
        <v>0</v>
      </c>
      <c r="K15" s="48">
        <v>0</v>
      </c>
      <c r="L15" s="48">
        <v>0</v>
      </c>
      <c r="M15" s="31">
        <v>0</v>
      </c>
      <c r="N15" s="32">
        <f t="shared" si="2"/>
        <v>0.33333333333333331</v>
      </c>
      <c r="O15" s="32">
        <f t="shared" si="0"/>
        <v>0.33333333333333331</v>
      </c>
    </row>
    <row r="16" spans="1:15">
      <c r="A16" s="1" t="s">
        <v>1</v>
      </c>
      <c r="B16" s="28" t="s">
        <v>34</v>
      </c>
      <c r="C16" s="48">
        <v>0</v>
      </c>
      <c r="D16" s="48">
        <v>0</v>
      </c>
      <c r="E16" s="73">
        <v>0</v>
      </c>
      <c r="F16" s="32">
        <f t="shared" si="1"/>
        <v>0</v>
      </c>
      <c r="G16" s="47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31">
        <v>0.875</v>
      </c>
      <c r="N16" s="32">
        <f t="shared" si="2"/>
        <v>0.875</v>
      </c>
      <c r="O16" s="32">
        <f t="shared" si="0"/>
        <v>0.875</v>
      </c>
    </row>
    <row r="17" spans="1:15">
      <c r="A17" s="1" t="s">
        <v>1</v>
      </c>
      <c r="B17" s="28" t="s">
        <v>35</v>
      </c>
      <c r="C17" s="48">
        <v>0</v>
      </c>
      <c r="D17" s="48">
        <v>0</v>
      </c>
      <c r="E17" s="73">
        <v>0.29166666666666669</v>
      </c>
      <c r="F17" s="32">
        <f t="shared" si="1"/>
        <v>0.29166666666666669</v>
      </c>
      <c r="G17" s="47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31">
        <v>0</v>
      </c>
      <c r="N17" s="32">
        <f t="shared" si="2"/>
        <v>0</v>
      </c>
      <c r="O17" s="32">
        <f t="shared" si="0"/>
        <v>0.29166666666666669</v>
      </c>
    </row>
    <row r="18" spans="1:15">
      <c r="A18" s="1" t="s">
        <v>1</v>
      </c>
      <c r="B18" s="5" t="s">
        <v>36</v>
      </c>
      <c r="C18" s="50">
        <v>0.25</v>
      </c>
      <c r="D18" s="50">
        <v>0</v>
      </c>
      <c r="E18" s="74">
        <v>0</v>
      </c>
      <c r="F18" s="7">
        <f t="shared" si="1"/>
        <v>0.25</v>
      </c>
      <c r="G18" s="49">
        <v>0</v>
      </c>
      <c r="H18" s="50">
        <v>1.4583333333333333</v>
      </c>
      <c r="I18" s="50">
        <v>1.3333333333333333</v>
      </c>
      <c r="J18" s="50">
        <v>1.2083333333333333</v>
      </c>
      <c r="K18" s="50">
        <v>1.3333333333333333</v>
      </c>
      <c r="L18" s="50">
        <v>1.0416666666666667</v>
      </c>
      <c r="M18" s="6">
        <v>1.5</v>
      </c>
      <c r="N18" s="7">
        <f t="shared" si="2"/>
        <v>7.875</v>
      </c>
      <c r="O18" s="7">
        <f t="shared" si="0"/>
        <v>8.125</v>
      </c>
    </row>
    <row r="19" spans="1:15">
      <c r="A19" s="1" t="s">
        <v>1</v>
      </c>
      <c r="B19" s="14" t="s">
        <v>37</v>
      </c>
      <c r="C19" s="52">
        <v>30</v>
      </c>
      <c r="D19" s="52">
        <v>21.5</v>
      </c>
      <c r="E19" s="75">
        <v>21</v>
      </c>
      <c r="F19" s="16">
        <f t="shared" si="1"/>
        <v>72.5</v>
      </c>
      <c r="G19" s="51">
        <v>25</v>
      </c>
      <c r="H19" s="52">
        <v>26</v>
      </c>
      <c r="I19" s="52">
        <v>28</v>
      </c>
      <c r="J19" s="52">
        <v>28</v>
      </c>
      <c r="K19" s="52">
        <v>10</v>
      </c>
      <c r="L19" s="52">
        <v>8</v>
      </c>
      <c r="M19" s="15">
        <v>7</v>
      </c>
      <c r="N19" s="16">
        <f t="shared" si="2"/>
        <v>132</v>
      </c>
      <c r="O19" s="16">
        <f t="shared" si="0"/>
        <v>204.5</v>
      </c>
    </row>
    <row r="20" spans="1:15">
      <c r="A20" s="1" t="s">
        <v>1</v>
      </c>
      <c r="B20" s="22" t="s">
        <v>38</v>
      </c>
      <c r="C20" s="54">
        <v>365000</v>
      </c>
      <c r="D20" s="54">
        <v>365000</v>
      </c>
      <c r="E20" s="76">
        <v>170000</v>
      </c>
      <c r="F20" s="24">
        <f t="shared" si="1"/>
        <v>900000</v>
      </c>
      <c r="G20" s="53">
        <v>182000</v>
      </c>
      <c r="H20" s="54">
        <v>177000</v>
      </c>
      <c r="I20" s="54">
        <v>177000</v>
      </c>
      <c r="J20" s="54">
        <v>187000</v>
      </c>
      <c r="K20" s="54">
        <v>177000</v>
      </c>
      <c r="L20" s="54">
        <v>170000</v>
      </c>
      <c r="M20" s="23">
        <v>170000</v>
      </c>
      <c r="N20" s="24">
        <f t="shared" si="2"/>
        <v>1240000</v>
      </c>
      <c r="O20" s="24">
        <f t="shared" si="0"/>
        <v>2140000</v>
      </c>
    </row>
    <row r="21" spans="1:15">
      <c r="A21" s="1" t="s">
        <v>1</v>
      </c>
      <c r="B21" s="28" t="s">
        <v>39</v>
      </c>
      <c r="C21" s="56">
        <v>0</v>
      </c>
      <c r="D21" s="56">
        <v>0</v>
      </c>
      <c r="E21" s="77">
        <v>0</v>
      </c>
      <c r="F21" s="34">
        <f t="shared" si="1"/>
        <v>0</v>
      </c>
      <c r="G21" s="55">
        <v>5000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33">
        <v>0</v>
      </c>
      <c r="N21" s="34">
        <f t="shared" si="2"/>
        <v>5000</v>
      </c>
      <c r="O21" s="34">
        <f t="shared" si="0"/>
        <v>5000</v>
      </c>
    </row>
    <row r="22" spans="1:15">
      <c r="A22" s="1" t="s">
        <v>1</v>
      </c>
      <c r="B22" s="28" t="s">
        <v>40</v>
      </c>
      <c r="C22" s="56">
        <v>0</v>
      </c>
      <c r="D22" s="56">
        <v>0</v>
      </c>
      <c r="E22" s="77">
        <v>6000</v>
      </c>
      <c r="F22" s="34">
        <f t="shared" si="1"/>
        <v>6000</v>
      </c>
      <c r="G22" s="55">
        <v>6000</v>
      </c>
      <c r="H22" s="56">
        <v>10000</v>
      </c>
      <c r="I22" s="56">
        <v>0</v>
      </c>
      <c r="J22" s="56">
        <v>0</v>
      </c>
      <c r="K22" s="56">
        <v>0</v>
      </c>
      <c r="L22" s="56">
        <v>0</v>
      </c>
      <c r="M22" s="33">
        <v>0</v>
      </c>
      <c r="N22" s="34">
        <f t="shared" si="2"/>
        <v>16000</v>
      </c>
      <c r="O22" s="34">
        <f t="shared" si="0"/>
        <v>22000</v>
      </c>
    </row>
    <row r="23" spans="1:15">
      <c r="A23" s="1" t="s">
        <v>1</v>
      </c>
      <c r="B23" s="28" t="s">
        <v>41</v>
      </c>
      <c r="C23" s="56">
        <v>0</v>
      </c>
      <c r="D23" s="56">
        <v>0</v>
      </c>
      <c r="E23" s="77">
        <v>0</v>
      </c>
      <c r="F23" s="34">
        <f t="shared" si="1"/>
        <v>0</v>
      </c>
      <c r="G23" s="55">
        <v>8928</v>
      </c>
      <c r="H23" s="56">
        <v>0</v>
      </c>
      <c r="I23" s="56">
        <v>0</v>
      </c>
      <c r="J23" s="56">
        <v>7845</v>
      </c>
      <c r="K23" s="56">
        <v>5756</v>
      </c>
      <c r="L23" s="56">
        <v>0</v>
      </c>
      <c r="M23" s="33">
        <v>0</v>
      </c>
      <c r="N23" s="34">
        <f t="shared" si="2"/>
        <v>22529</v>
      </c>
      <c r="O23" s="34">
        <f t="shared" si="0"/>
        <v>22529</v>
      </c>
    </row>
    <row r="24" spans="1:15">
      <c r="A24" s="1" t="s">
        <v>1</v>
      </c>
      <c r="B24" s="28" t="s">
        <v>42</v>
      </c>
      <c r="C24" s="56">
        <v>0</v>
      </c>
      <c r="D24" s="56">
        <v>0</v>
      </c>
      <c r="E24" s="77">
        <v>0</v>
      </c>
      <c r="F24" s="34">
        <f t="shared" si="1"/>
        <v>0</v>
      </c>
      <c r="G24" s="55">
        <v>28600</v>
      </c>
      <c r="H24" s="56">
        <v>28800</v>
      </c>
      <c r="I24" s="56">
        <v>28400</v>
      </c>
      <c r="J24" s="56">
        <v>26800</v>
      </c>
      <c r="K24" s="56">
        <v>0</v>
      </c>
      <c r="L24" s="56">
        <v>28200</v>
      </c>
      <c r="M24" s="33">
        <v>29000</v>
      </c>
      <c r="N24" s="34">
        <f t="shared" si="2"/>
        <v>169800</v>
      </c>
      <c r="O24" s="34">
        <f t="shared" si="0"/>
        <v>169800</v>
      </c>
    </row>
    <row r="25" spans="1:15">
      <c r="A25" s="1" t="s">
        <v>1</v>
      </c>
      <c r="B25" s="28" t="s">
        <v>43</v>
      </c>
      <c r="C25" s="56">
        <v>0</v>
      </c>
      <c r="D25" s="56">
        <v>0</v>
      </c>
      <c r="E25" s="77">
        <v>0</v>
      </c>
      <c r="F25" s="34">
        <f t="shared" si="1"/>
        <v>0</v>
      </c>
      <c r="G25" s="55">
        <v>3500</v>
      </c>
      <c r="H25" s="56">
        <v>3500</v>
      </c>
      <c r="I25" s="56">
        <v>3500</v>
      </c>
      <c r="J25" s="56">
        <v>3500</v>
      </c>
      <c r="K25" s="56">
        <v>0</v>
      </c>
      <c r="L25" s="56">
        <v>2000</v>
      </c>
      <c r="M25" s="33">
        <v>2000</v>
      </c>
      <c r="N25" s="34">
        <f t="shared" si="2"/>
        <v>18000</v>
      </c>
      <c r="O25" s="34">
        <f t="shared" si="0"/>
        <v>18000</v>
      </c>
    </row>
    <row r="26" spans="1:15">
      <c r="A26" s="1" t="s">
        <v>1</v>
      </c>
      <c r="B26" s="28" t="s">
        <v>44</v>
      </c>
      <c r="C26" s="56">
        <v>0</v>
      </c>
      <c r="D26" s="56">
        <v>0</v>
      </c>
      <c r="E26" s="77">
        <v>0</v>
      </c>
      <c r="F26" s="34">
        <f t="shared" si="1"/>
        <v>0</v>
      </c>
      <c r="G26" s="55">
        <v>0</v>
      </c>
      <c r="H26" s="56">
        <v>12600</v>
      </c>
      <c r="I26" s="56">
        <v>0</v>
      </c>
      <c r="J26" s="56">
        <v>0</v>
      </c>
      <c r="K26" s="56">
        <v>0</v>
      </c>
      <c r="L26" s="56">
        <v>0</v>
      </c>
      <c r="M26" s="33">
        <v>0</v>
      </c>
      <c r="N26" s="34">
        <f t="shared" si="2"/>
        <v>12600</v>
      </c>
      <c r="O26" s="34">
        <f t="shared" si="0"/>
        <v>12600</v>
      </c>
    </row>
    <row r="27" spans="1:15">
      <c r="A27" s="1" t="s">
        <v>1</v>
      </c>
      <c r="B27" s="28" t="s">
        <v>45</v>
      </c>
      <c r="C27" s="58">
        <v>0</v>
      </c>
      <c r="D27" s="58">
        <v>0</v>
      </c>
      <c r="E27" s="78">
        <v>0</v>
      </c>
      <c r="F27" s="38">
        <f t="shared" si="1"/>
        <v>0</v>
      </c>
      <c r="G27" s="57">
        <v>-178619</v>
      </c>
      <c r="H27" s="58">
        <v>0</v>
      </c>
      <c r="I27" s="58">
        <v>0</v>
      </c>
      <c r="J27" s="58">
        <v>0</v>
      </c>
      <c r="K27" s="58">
        <v>-84680</v>
      </c>
      <c r="L27" s="58">
        <v>0</v>
      </c>
      <c r="M27" s="37">
        <v>0</v>
      </c>
      <c r="N27" s="38">
        <f t="shared" si="2"/>
        <v>-263299</v>
      </c>
      <c r="O27" s="38">
        <f t="shared" si="0"/>
        <v>-263299</v>
      </c>
    </row>
    <row r="28" spans="1:15">
      <c r="A28" s="1" t="s">
        <v>1</v>
      </c>
      <c r="B28" s="28" t="s">
        <v>29</v>
      </c>
      <c r="C28" s="56">
        <v>0</v>
      </c>
      <c r="D28" s="56">
        <v>0</v>
      </c>
      <c r="E28" s="77">
        <v>1506</v>
      </c>
      <c r="F28" s="34">
        <f t="shared" si="1"/>
        <v>1506</v>
      </c>
      <c r="G28" s="55">
        <v>1471</v>
      </c>
      <c r="H28" s="56">
        <v>12160</v>
      </c>
      <c r="I28" s="56">
        <v>31073</v>
      </c>
      <c r="J28" s="56">
        <v>61318</v>
      </c>
      <c r="K28" s="56">
        <v>6625</v>
      </c>
      <c r="L28" s="56">
        <v>48944</v>
      </c>
      <c r="M28" s="33">
        <v>104328</v>
      </c>
      <c r="N28" s="34">
        <f t="shared" si="2"/>
        <v>265919</v>
      </c>
      <c r="O28" s="34">
        <f t="shared" si="0"/>
        <v>267425</v>
      </c>
    </row>
    <row r="29" spans="1:15">
      <c r="A29" s="1" t="s">
        <v>1</v>
      </c>
      <c r="B29" s="28" t="s">
        <v>46</v>
      </c>
      <c r="C29" s="56">
        <v>0</v>
      </c>
      <c r="D29" s="56">
        <v>0</v>
      </c>
      <c r="E29" s="77">
        <v>17897</v>
      </c>
      <c r="F29" s="34">
        <f t="shared" si="1"/>
        <v>17897</v>
      </c>
      <c r="G29" s="55">
        <v>7945</v>
      </c>
      <c r="H29" s="56">
        <v>13136</v>
      </c>
      <c r="I29" s="56">
        <v>13131</v>
      </c>
      <c r="J29" s="56">
        <v>13860</v>
      </c>
      <c r="K29" s="56">
        <v>0</v>
      </c>
      <c r="L29" s="56">
        <v>20865</v>
      </c>
      <c r="M29" s="33">
        <v>16692</v>
      </c>
      <c r="N29" s="34">
        <f t="shared" si="2"/>
        <v>85629</v>
      </c>
      <c r="O29" s="34">
        <f t="shared" si="0"/>
        <v>103526</v>
      </c>
    </row>
    <row r="30" spans="1:15">
      <c r="A30" s="1" t="s">
        <v>1</v>
      </c>
      <c r="B30" s="28" t="s">
        <v>47</v>
      </c>
      <c r="C30" s="56">
        <v>0</v>
      </c>
      <c r="D30" s="56">
        <v>0</v>
      </c>
      <c r="E30" s="77">
        <v>6508</v>
      </c>
      <c r="F30" s="34">
        <f t="shared" si="1"/>
        <v>6508</v>
      </c>
      <c r="G30" s="55">
        <v>0</v>
      </c>
      <c r="H30" s="56">
        <v>26272</v>
      </c>
      <c r="I30" s="56">
        <v>37934</v>
      </c>
      <c r="J30" s="56">
        <v>12320</v>
      </c>
      <c r="K30" s="56">
        <v>0</v>
      </c>
      <c r="L30" s="56">
        <v>27820</v>
      </c>
      <c r="M30" s="33">
        <v>6955</v>
      </c>
      <c r="N30" s="34">
        <f t="shared" si="2"/>
        <v>111301</v>
      </c>
      <c r="O30" s="34">
        <f t="shared" si="0"/>
        <v>117809</v>
      </c>
    </row>
    <row r="31" spans="1:15">
      <c r="A31" s="1" t="s">
        <v>1</v>
      </c>
      <c r="B31" s="28" t="s">
        <v>48</v>
      </c>
      <c r="C31" s="56">
        <v>0</v>
      </c>
      <c r="D31" s="56">
        <v>0</v>
      </c>
      <c r="E31" s="77">
        <v>0</v>
      </c>
      <c r="F31" s="34">
        <f t="shared" si="1"/>
        <v>0</v>
      </c>
      <c r="G31" s="55">
        <v>0</v>
      </c>
      <c r="H31" s="56">
        <v>0</v>
      </c>
      <c r="I31" s="56">
        <v>0</v>
      </c>
      <c r="J31" s="56">
        <v>0</v>
      </c>
      <c r="K31" s="56">
        <v>2968</v>
      </c>
      <c r="L31" s="56">
        <v>2527</v>
      </c>
      <c r="M31" s="33">
        <v>0</v>
      </c>
      <c r="N31" s="34">
        <f t="shared" si="2"/>
        <v>5495</v>
      </c>
      <c r="O31" s="34">
        <f t="shared" si="0"/>
        <v>5495</v>
      </c>
    </row>
    <row r="32" spans="1:15">
      <c r="A32" s="1" t="s">
        <v>1</v>
      </c>
      <c r="B32" s="28" t="s">
        <v>49</v>
      </c>
      <c r="C32" s="56">
        <v>0</v>
      </c>
      <c r="D32" s="56">
        <v>0</v>
      </c>
      <c r="E32" s="77">
        <v>0</v>
      </c>
      <c r="F32" s="34">
        <f t="shared" si="1"/>
        <v>0</v>
      </c>
      <c r="G32" s="55">
        <v>0</v>
      </c>
      <c r="H32" s="56">
        <v>0</v>
      </c>
      <c r="I32" s="56">
        <v>3024</v>
      </c>
      <c r="J32" s="56">
        <v>0</v>
      </c>
      <c r="K32" s="56">
        <v>0</v>
      </c>
      <c r="L32" s="56">
        <v>0</v>
      </c>
      <c r="M32" s="33">
        <v>0</v>
      </c>
      <c r="N32" s="34">
        <f t="shared" si="2"/>
        <v>3024</v>
      </c>
      <c r="O32" s="34">
        <f t="shared" si="0"/>
        <v>3024</v>
      </c>
    </row>
    <row r="33" spans="1:15">
      <c r="A33" s="1" t="s">
        <v>1</v>
      </c>
      <c r="B33" s="28" t="s">
        <v>34</v>
      </c>
      <c r="C33" s="56">
        <v>0</v>
      </c>
      <c r="D33" s="56">
        <v>0</v>
      </c>
      <c r="E33" s="77">
        <v>0</v>
      </c>
      <c r="F33" s="34">
        <f t="shared" si="1"/>
        <v>0</v>
      </c>
      <c r="G33" s="55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33">
        <v>5418</v>
      </c>
      <c r="N33" s="34">
        <f t="shared" si="2"/>
        <v>5418</v>
      </c>
      <c r="O33" s="34">
        <f t="shared" si="0"/>
        <v>5418</v>
      </c>
    </row>
    <row r="34" spans="1:15">
      <c r="A34" s="1" t="s">
        <v>1</v>
      </c>
      <c r="B34" s="28" t="s">
        <v>35</v>
      </c>
      <c r="C34" s="56">
        <v>0</v>
      </c>
      <c r="D34" s="56">
        <v>0</v>
      </c>
      <c r="E34" s="77">
        <v>8435</v>
      </c>
      <c r="F34" s="34">
        <f t="shared" si="1"/>
        <v>8435</v>
      </c>
      <c r="G34" s="55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33">
        <v>0</v>
      </c>
      <c r="N34" s="34">
        <f t="shared" si="2"/>
        <v>0</v>
      </c>
      <c r="O34" s="34">
        <f t="shared" si="0"/>
        <v>8435</v>
      </c>
    </row>
    <row r="35" spans="1:15">
      <c r="A35" s="1" t="s">
        <v>1</v>
      </c>
      <c r="B35" s="5" t="s">
        <v>36</v>
      </c>
      <c r="C35" s="60">
        <v>3282</v>
      </c>
      <c r="D35" s="60">
        <v>0</v>
      </c>
      <c r="E35" s="79">
        <v>0</v>
      </c>
      <c r="F35" s="9">
        <f t="shared" si="1"/>
        <v>3282</v>
      </c>
      <c r="G35" s="59">
        <v>0</v>
      </c>
      <c r="H35" s="60">
        <v>10640</v>
      </c>
      <c r="I35" s="60">
        <v>8640</v>
      </c>
      <c r="J35" s="60">
        <v>8265</v>
      </c>
      <c r="K35" s="60">
        <v>8480</v>
      </c>
      <c r="L35" s="60">
        <v>6450</v>
      </c>
      <c r="M35" s="8">
        <v>9288</v>
      </c>
      <c r="N35" s="9">
        <f t="shared" si="2"/>
        <v>51763</v>
      </c>
      <c r="O35" s="9">
        <f t="shared" si="0"/>
        <v>55045</v>
      </c>
    </row>
    <row r="36" spans="1:15">
      <c r="A36" s="1" t="s">
        <v>1</v>
      </c>
      <c r="B36" s="14" t="s">
        <v>50</v>
      </c>
      <c r="C36" s="62">
        <v>368282</v>
      </c>
      <c r="D36" s="62">
        <v>365000</v>
      </c>
      <c r="E36" s="80">
        <v>210346</v>
      </c>
      <c r="F36" s="18">
        <f t="shared" si="1"/>
        <v>943628</v>
      </c>
      <c r="G36" s="61">
        <v>64825</v>
      </c>
      <c r="H36" s="62">
        <v>294108</v>
      </c>
      <c r="I36" s="62">
        <v>302702</v>
      </c>
      <c r="J36" s="62">
        <v>320908</v>
      </c>
      <c r="K36" s="62">
        <v>116149</v>
      </c>
      <c r="L36" s="62">
        <v>306806</v>
      </c>
      <c r="M36" s="17">
        <v>343681</v>
      </c>
      <c r="N36" s="18">
        <f t="shared" si="2"/>
        <v>1749179</v>
      </c>
      <c r="O36" s="18">
        <f t="shared" si="0"/>
        <v>2692807</v>
      </c>
    </row>
    <row r="37" spans="1:15">
      <c r="A37" s="1" t="s">
        <v>1</v>
      </c>
      <c r="B37" s="22" t="s">
        <v>51</v>
      </c>
      <c r="C37" s="54">
        <v>7819</v>
      </c>
      <c r="D37" s="54">
        <v>13998</v>
      </c>
      <c r="E37" s="76">
        <v>657</v>
      </c>
      <c r="F37" s="24">
        <f t="shared" si="1"/>
        <v>22474</v>
      </c>
      <c r="G37" s="53">
        <v>1641</v>
      </c>
      <c r="H37" s="54">
        <v>2516</v>
      </c>
      <c r="I37" s="54">
        <v>2734</v>
      </c>
      <c r="J37" s="54">
        <v>12467</v>
      </c>
      <c r="K37" s="54">
        <v>2707</v>
      </c>
      <c r="L37" s="54">
        <v>8530</v>
      </c>
      <c r="M37" s="23">
        <v>1258</v>
      </c>
      <c r="N37" s="24">
        <f t="shared" si="2"/>
        <v>31853</v>
      </c>
      <c r="O37" s="24">
        <f t="shared" si="0"/>
        <v>54327</v>
      </c>
    </row>
    <row r="38" spans="1:15">
      <c r="A38" s="1" t="s">
        <v>1</v>
      </c>
      <c r="B38" s="5" t="s">
        <v>52</v>
      </c>
      <c r="C38" s="60">
        <v>7819</v>
      </c>
      <c r="D38" s="60">
        <v>13998</v>
      </c>
      <c r="E38" s="79">
        <v>657</v>
      </c>
      <c r="F38" s="9">
        <f t="shared" si="1"/>
        <v>22474</v>
      </c>
      <c r="G38" s="59">
        <v>1641</v>
      </c>
      <c r="H38" s="60">
        <v>2516</v>
      </c>
      <c r="I38" s="60">
        <v>2734</v>
      </c>
      <c r="J38" s="60">
        <v>12467</v>
      </c>
      <c r="K38" s="60">
        <v>2707</v>
      </c>
      <c r="L38" s="60">
        <v>8530</v>
      </c>
      <c r="M38" s="8">
        <v>1258</v>
      </c>
      <c r="N38" s="9">
        <f t="shared" si="2"/>
        <v>31853</v>
      </c>
      <c r="O38" s="9">
        <f t="shared" si="0"/>
        <v>54327</v>
      </c>
    </row>
    <row r="39" spans="1:15">
      <c r="A39" s="1" t="s">
        <v>1</v>
      </c>
      <c r="B39" s="19" t="s">
        <v>53</v>
      </c>
      <c r="C39" s="64">
        <v>376101</v>
      </c>
      <c r="D39" s="64">
        <v>378998</v>
      </c>
      <c r="E39" s="81">
        <v>211003</v>
      </c>
      <c r="F39" s="21">
        <f t="shared" si="1"/>
        <v>966102</v>
      </c>
      <c r="G39" s="63">
        <v>66466</v>
      </c>
      <c r="H39" s="64">
        <v>296624</v>
      </c>
      <c r="I39" s="64">
        <v>305436</v>
      </c>
      <c r="J39" s="64">
        <v>333375</v>
      </c>
      <c r="K39" s="64">
        <v>118856</v>
      </c>
      <c r="L39" s="64">
        <v>315336</v>
      </c>
      <c r="M39" s="20">
        <v>344939</v>
      </c>
      <c r="N39" s="21">
        <f t="shared" si="2"/>
        <v>1781032</v>
      </c>
      <c r="O39" s="21">
        <f t="shared" si="0"/>
        <v>2747134</v>
      </c>
    </row>
    <row r="40" spans="1:15">
      <c r="A40" s="1" t="s">
        <v>1</v>
      </c>
      <c r="B40" s="22" t="s">
        <v>54</v>
      </c>
      <c r="C40" s="54">
        <v>18360</v>
      </c>
      <c r="D40" s="54">
        <v>19380</v>
      </c>
      <c r="E40" s="76">
        <v>11220</v>
      </c>
      <c r="F40" s="24">
        <f t="shared" si="1"/>
        <v>48960</v>
      </c>
      <c r="G40" s="53">
        <v>16320</v>
      </c>
      <c r="H40" s="54">
        <v>15300</v>
      </c>
      <c r="I40" s="54">
        <v>14280</v>
      </c>
      <c r="J40" s="54">
        <v>17340</v>
      </c>
      <c r="K40" s="54">
        <v>0</v>
      </c>
      <c r="L40" s="54">
        <v>14280</v>
      </c>
      <c r="M40" s="23">
        <v>15300</v>
      </c>
      <c r="N40" s="24">
        <f t="shared" si="2"/>
        <v>92820</v>
      </c>
      <c r="O40" s="24">
        <f t="shared" si="0"/>
        <v>141780</v>
      </c>
    </row>
    <row r="41" spans="1:15">
      <c r="A41" s="1" t="s">
        <v>1</v>
      </c>
      <c r="B41" s="28" t="s">
        <v>55</v>
      </c>
      <c r="C41" s="56">
        <v>3240</v>
      </c>
      <c r="D41" s="56">
        <v>3420</v>
      </c>
      <c r="E41" s="77">
        <v>0</v>
      </c>
      <c r="F41" s="34">
        <f t="shared" si="1"/>
        <v>6660</v>
      </c>
      <c r="G41" s="55">
        <v>2880</v>
      </c>
      <c r="H41" s="56">
        <v>2700</v>
      </c>
      <c r="I41" s="56">
        <v>2520</v>
      </c>
      <c r="J41" s="56">
        <v>3060</v>
      </c>
      <c r="K41" s="56">
        <v>0</v>
      </c>
      <c r="L41" s="56">
        <v>2520</v>
      </c>
      <c r="M41" s="33">
        <v>2700</v>
      </c>
      <c r="N41" s="34">
        <f t="shared" si="2"/>
        <v>16380</v>
      </c>
      <c r="O41" s="34">
        <f t="shared" si="0"/>
        <v>23040</v>
      </c>
    </row>
    <row r="42" spans="1:15">
      <c r="A42" s="1" t="s">
        <v>1</v>
      </c>
      <c r="B42" s="28" t="s">
        <v>56</v>
      </c>
      <c r="C42" s="56">
        <v>32940</v>
      </c>
      <c r="D42" s="56">
        <v>34770</v>
      </c>
      <c r="E42" s="77">
        <v>20130</v>
      </c>
      <c r="F42" s="34">
        <f t="shared" si="1"/>
        <v>87840</v>
      </c>
      <c r="G42" s="55">
        <v>29280</v>
      </c>
      <c r="H42" s="56">
        <v>27450</v>
      </c>
      <c r="I42" s="56">
        <v>25620</v>
      </c>
      <c r="J42" s="56">
        <v>31110</v>
      </c>
      <c r="K42" s="56">
        <v>0</v>
      </c>
      <c r="L42" s="56">
        <v>25620</v>
      </c>
      <c r="M42" s="33">
        <v>27450</v>
      </c>
      <c r="N42" s="34">
        <f t="shared" si="2"/>
        <v>166530</v>
      </c>
      <c r="O42" s="34">
        <f t="shared" si="0"/>
        <v>254370</v>
      </c>
    </row>
    <row r="43" spans="1:15">
      <c r="A43" s="1" t="s">
        <v>1</v>
      </c>
      <c r="B43" s="28" t="s">
        <v>57</v>
      </c>
      <c r="C43" s="56">
        <v>2257</v>
      </c>
      <c r="D43" s="56">
        <v>2274</v>
      </c>
      <c r="E43" s="77">
        <v>1266</v>
      </c>
      <c r="F43" s="34">
        <f t="shared" si="1"/>
        <v>5797</v>
      </c>
      <c r="G43" s="55">
        <v>399</v>
      </c>
      <c r="H43" s="56">
        <v>1780</v>
      </c>
      <c r="I43" s="56">
        <v>1833</v>
      </c>
      <c r="J43" s="56">
        <v>2000</v>
      </c>
      <c r="K43" s="56">
        <v>713</v>
      </c>
      <c r="L43" s="56">
        <v>1892</v>
      </c>
      <c r="M43" s="33">
        <v>2070</v>
      </c>
      <c r="N43" s="34">
        <f t="shared" si="2"/>
        <v>10687</v>
      </c>
      <c r="O43" s="34">
        <f t="shared" si="0"/>
        <v>16484</v>
      </c>
    </row>
    <row r="44" spans="1:15">
      <c r="A44" s="1" t="s">
        <v>1</v>
      </c>
      <c r="B44" s="5" t="s">
        <v>58</v>
      </c>
      <c r="C44" s="66">
        <v>0</v>
      </c>
      <c r="D44" s="66">
        <v>0</v>
      </c>
      <c r="E44" s="82">
        <v>0</v>
      </c>
      <c r="F44" s="36">
        <f t="shared" si="1"/>
        <v>0</v>
      </c>
      <c r="G44" s="65">
        <v>-21213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35">
        <v>0</v>
      </c>
      <c r="N44" s="36">
        <f t="shared" si="2"/>
        <v>-21213</v>
      </c>
      <c r="O44" s="36">
        <f t="shared" si="0"/>
        <v>-21213</v>
      </c>
    </row>
    <row r="45" spans="1:15">
      <c r="A45" s="1" t="s">
        <v>1</v>
      </c>
      <c r="B45" s="14" t="s">
        <v>59</v>
      </c>
      <c r="C45" s="62">
        <v>56797</v>
      </c>
      <c r="D45" s="62">
        <v>59844</v>
      </c>
      <c r="E45" s="80">
        <v>32616</v>
      </c>
      <c r="F45" s="18">
        <f t="shared" si="1"/>
        <v>149257</v>
      </c>
      <c r="G45" s="61">
        <v>48879</v>
      </c>
      <c r="H45" s="62">
        <v>47230</v>
      </c>
      <c r="I45" s="62">
        <v>44253</v>
      </c>
      <c r="J45" s="62">
        <v>53510</v>
      </c>
      <c r="K45" s="62">
        <v>713</v>
      </c>
      <c r="L45" s="62">
        <v>44312</v>
      </c>
      <c r="M45" s="17">
        <v>47520</v>
      </c>
      <c r="N45" s="18">
        <f t="shared" si="2"/>
        <v>286417</v>
      </c>
      <c r="O45" s="18">
        <f t="shared" si="0"/>
        <v>435674</v>
      </c>
    </row>
    <row r="46" spans="1:15">
      <c r="A46" s="1" t="s">
        <v>1</v>
      </c>
      <c r="B46" s="22" t="s">
        <v>60</v>
      </c>
      <c r="C46" s="54">
        <v>9320</v>
      </c>
      <c r="D46" s="54">
        <v>8800</v>
      </c>
      <c r="E46" s="76">
        <v>3970</v>
      </c>
      <c r="F46" s="24">
        <f t="shared" si="1"/>
        <v>22090</v>
      </c>
      <c r="G46" s="53">
        <v>0</v>
      </c>
      <c r="H46" s="54">
        <v>3210</v>
      </c>
      <c r="I46" s="54">
        <v>6850</v>
      </c>
      <c r="J46" s="54">
        <v>7170</v>
      </c>
      <c r="K46" s="54">
        <v>0</v>
      </c>
      <c r="L46" s="54">
        <v>7000</v>
      </c>
      <c r="M46" s="23">
        <v>6580</v>
      </c>
      <c r="N46" s="24">
        <f t="shared" si="2"/>
        <v>30810</v>
      </c>
      <c r="O46" s="24">
        <f t="shared" si="0"/>
        <v>52900</v>
      </c>
    </row>
    <row r="47" spans="1:15">
      <c r="A47" s="1" t="s">
        <v>1</v>
      </c>
      <c r="B47" s="28" t="s">
        <v>61</v>
      </c>
      <c r="C47" s="56">
        <v>18900</v>
      </c>
      <c r="D47" s="56">
        <v>18400</v>
      </c>
      <c r="E47" s="77">
        <v>8200</v>
      </c>
      <c r="F47" s="34">
        <f t="shared" si="1"/>
        <v>45500</v>
      </c>
      <c r="G47" s="55">
        <v>10200</v>
      </c>
      <c r="H47" s="56">
        <v>7100</v>
      </c>
      <c r="I47" s="56">
        <v>12900</v>
      </c>
      <c r="J47" s="56">
        <v>15300</v>
      </c>
      <c r="K47" s="56">
        <v>5800</v>
      </c>
      <c r="L47" s="56">
        <v>11800</v>
      </c>
      <c r="M47" s="33">
        <v>11000</v>
      </c>
      <c r="N47" s="34">
        <f t="shared" si="2"/>
        <v>74100</v>
      </c>
      <c r="O47" s="34">
        <f t="shared" si="0"/>
        <v>119600</v>
      </c>
    </row>
    <row r="48" spans="1:15">
      <c r="A48" s="1" t="s">
        <v>1</v>
      </c>
      <c r="B48" s="5" t="s">
        <v>62</v>
      </c>
      <c r="C48" s="60">
        <v>0</v>
      </c>
      <c r="D48" s="60">
        <v>0</v>
      </c>
      <c r="E48" s="79">
        <v>0</v>
      </c>
      <c r="F48" s="9">
        <f t="shared" si="1"/>
        <v>0</v>
      </c>
      <c r="G48" s="59">
        <v>28600</v>
      </c>
      <c r="H48" s="60">
        <v>28800</v>
      </c>
      <c r="I48" s="60">
        <v>28400</v>
      </c>
      <c r="J48" s="60">
        <v>26800</v>
      </c>
      <c r="K48" s="60">
        <v>0</v>
      </c>
      <c r="L48" s="60">
        <v>28200</v>
      </c>
      <c r="M48" s="8">
        <v>29000</v>
      </c>
      <c r="N48" s="9">
        <f t="shared" si="2"/>
        <v>169800</v>
      </c>
      <c r="O48" s="9">
        <f t="shared" si="0"/>
        <v>169800</v>
      </c>
    </row>
    <row r="49" spans="1:15">
      <c r="A49" s="1" t="s">
        <v>1</v>
      </c>
      <c r="B49" s="14" t="s">
        <v>63</v>
      </c>
      <c r="C49" s="62">
        <v>85017</v>
      </c>
      <c r="D49" s="62">
        <v>87044</v>
      </c>
      <c r="E49" s="80">
        <v>44786</v>
      </c>
      <c r="F49" s="18">
        <f t="shared" si="1"/>
        <v>216847</v>
      </c>
      <c r="G49" s="61">
        <v>66466</v>
      </c>
      <c r="H49" s="62">
        <v>86340</v>
      </c>
      <c r="I49" s="62">
        <v>92403</v>
      </c>
      <c r="J49" s="62">
        <v>102780</v>
      </c>
      <c r="K49" s="62">
        <v>6513</v>
      </c>
      <c r="L49" s="62">
        <v>91312</v>
      </c>
      <c r="M49" s="17">
        <v>94100</v>
      </c>
      <c r="N49" s="18">
        <f t="shared" si="2"/>
        <v>539914</v>
      </c>
      <c r="O49" s="18">
        <f t="shared" si="0"/>
        <v>756761</v>
      </c>
    </row>
    <row r="50" spans="1:15">
      <c r="A50" s="1" t="s">
        <v>1</v>
      </c>
      <c r="B50" s="14" t="s">
        <v>64</v>
      </c>
      <c r="C50" s="62">
        <v>311485</v>
      </c>
      <c r="D50" s="62">
        <v>305156</v>
      </c>
      <c r="E50" s="80">
        <v>177730</v>
      </c>
      <c r="F50" s="18">
        <f t="shared" si="1"/>
        <v>794371</v>
      </c>
      <c r="G50" s="61">
        <v>15946</v>
      </c>
      <c r="H50" s="62">
        <v>246878</v>
      </c>
      <c r="I50" s="62">
        <v>258449</v>
      </c>
      <c r="J50" s="62">
        <v>267398</v>
      </c>
      <c r="K50" s="62">
        <v>115436</v>
      </c>
      <c r="L50" s="62">
        <v>262494</v>
      </c>
      <c r="M50" s="17">
        <v>296161</v>
      </c>
      <c r="N50" s="18">
        <f t="shared" si="2"/>
        <v>1462762</v>
      </c>
      <c r="O50" s="18">
        <f t="shared" si="0"/>
        <v>2257133</v>
      </c>
    </row>
    <row r="51" spans="1:15">
      <c r="A51" s="1" t="s">
        <v>1</v>
      </c>
      <c r="B51" s="14" t="s">
        <v>65</v>
      </c>
      <c r="C51" s="62">
        <v>291084</v>
      </c>
      <c r="D51" s="62">
        <v>291954</v>
      </c>
      <c r="E51" s="80">
        <v>166217</v>
      </c>
      <c r="F51" s="18">
        <f t="shared" si="1"/>
        <v>749255</v>
      </c>
      <c r="G51" s="61">
        <v>0</v>
      </c>
      <c r="H51" s="62">
        <v>210284</v>
      </c>
      <c r="I51" s="62">
        <v>213033</v>
      </c>
      <c r="J51" s="62">
        <v>230595</v>
      </c>
      <c r="K51" s="62">
        <v>112343</v>
      </c>
      <c r="L51" s="62">
        <v>224024</v>
      </c>
      <c r="M51" s="17">
        <v>250839</v>
      </c>
      <c r="N51" s="18">
        <f t="shared" si="2"/>
        <v>1241118</v>
      </c>
      <c r="O51" s="18">
        <f t="shared" si="0"/>
        <v>1990373</v>
      </c>
    </row>
    <row r="52" spans="1:15">
      <c r="A52" s="1" t="s">
        <v>1</v>
      </c>
      <c r="B52" s="14" t="s">
        <v>66</v>
      </c>
      <c r="C52" s="62">
        <v>291084</v>
      </c>
      <c r="D52" s="62">
        <v>291954</v>
      </c>
      <c r="E52" s="80">
        <v>166217</v>
      </c>
      <c r="F52" s="18">
        <f t="shared" si="1"/>
        <v>749255</v>
      </c>
      <c r="G52" s="61">
        <v>0</v>
      </c>
      <c r="H52" s="62">
        <v>210284</v>
      </c>
      <c r="I52" s="62">
        <v>213033</v>
      </c>
      <c r="J52" s="62">
        <v>230595</v>
      </c>
      <c r="K52" s="62">
        <v>112343</v>
      </c>
      <c r="L52" s="62">
        <v>224024</v>
      </c>
      <c r="M52" s="17">
        <v>250839</v>
      </c>
      <c r="N52" s="18">
        <f t="shared" si="2"/>
        <v>1241118</v>
      </c>
      <c r="O52" s="18">
        <f t="shared" si="0"/>
        <v>1990373</v>
      </c>
    </row>
    <row r="53" spans="1:15">
      <c r="A53" s="1" t="s">
        <v>1</v>
      </c>
      <c r="B53" s="14" t="s">
        <v>67</v>
      </c>
      <c r="C53" s="62">
        <v>0</v>
      </c>
      <c r="D53" s="62">
        <v>0</v>
      </c>
      <c r="E53" s="80">
        <v>0</v>
      </c>
      <c r="F53" s="18"/>
      <c r="G53" s="61">
        <v>2</v>
      </c>
      <c r="H53" s="62">
        <v>2</v>
      </c>
      <c r="I53" s="62">
        <v>0</v>
      </c>
      <c r="J53" s="62">
        <v>0</v>
      </c>
      <c r="K53" s="62">
        <v>2</v>
      </c>
      <c r="L53" s="62">
        <v>0</v>
      </c>
      <c r="M53" s="17">
        <v>1</v>
      </c>
      <c r="N53" s="18"/>
      <c r="O53" s="18"/>
    </row>
    <row r="54" spans="1:15" ht="19.5" thickBot="1">
      <c r="A54" s="1" t="s">
        <v>1</v>
      </c>
      <c r="B54" s="10" t="s">
        <v>68</v>
      </c>
      <c r="C54" s="68" t="s">
        <v>69</v>
      </c>
      <c r="D54" s="68" t="s">
        <v>69</v>
      </c>
      <c r="E54" s="83" t="s">
        <v>69</v>
      </c>
      <c r="F54" s="12"/>
      <c r="G54" s="67" t="s">
        <v>69</v>
      </c>
      <c r="H54" s="68" t="s">
        <v>69</v>
      </c>
      <c r="I54" s="68" t="s">
        <v>69</v>
      </c>
      <c r="J54" s="68" t="s">
        <v>69</v>
      </c>
      <c r="K54" s="68" t="s">
        <v>69</v>
      </c>
      <c r="L54" s="68" t="s">
        <v>69</v>
      </c>
      <c r="M54" s="11" t="s">
        <v>69</v>
      </c>
      <c r="N54" s="12"/>
      <c r="O54" s="12"/>
    </row>
  </sheetData>
  <phoneticPr fontId="4"/>
  <pageMargins left="0.31496062992125984" right="0.31496062992125984" top="0.35433070866141736" bottom="0.35433070866141736" header="0.11811023622047245" footer="0.11811023622047245"/>
  <pageSetup paperSize="12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2023年11月度給与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2023-11-07T05:58:24Z</cp:lastPrinted>
  <dcterms:created xsi:type="dcterms:W3CDTF">2023-11-07T05:46:30Z</dcterms:created>
  <dcterms:modified xsi:type="dcterms:W3CDTF">2023-11-07T06:12:16Z</dcterms:modified>
</cp:coreProperties>
</file>