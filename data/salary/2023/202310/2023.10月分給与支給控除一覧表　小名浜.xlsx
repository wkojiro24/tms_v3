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10\"/>
    </mc:Choice>
  </mc:AlternateContent>
  <xr:revisionPtr revIDLastSave="0" documentId="13_ncr:1_{C26C85FA-B82A-4874-B67F-82BBD59594FC}" xr6:coauthVersionLast="47" xr6:coauthVersionMax="47" xr10:uidLastSave="{00000000-0000-0000-0000-000000000000}"/>
  <bookViews>
    <workbookView xWindow="-120" yWindow="-120" windowWidth="20730" windowHeight="11040" xr2:uid="{FCF92C21-D548-4092-9D09-338DBBF9BE00}"/>
  </bookViews>
  <sheets>
    <sheet name="2023年10月度給与 (4)" sheetId="5" r:id="rId1"/>
    <sheet name="2023年10月度給与 (3)" sheetId="4" r:id="rId2"/>
  </sheets>
  <definedNames>
    <definedName name="_xlnm.Print_Area" localSheetId="0">'2023年10月度給与 (4)'!$A$1:$N$55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5" l="1"/>
  <c r="E57" i="5"/>
  <c r="M53" i="5"/>
  <c r="K53" i="5"/>
  <c r="M52" i="5"/>
  <c r="K52" i="5"/>
  <c r="M51" i="5"/>
  <c r="K51" i="5"/>
  <c r="M50" i="5"/>
  <c r="K50" i="5"/>
  <c r="M49" i="5"/>
  <c r="K49" i="5"/>
  <c r="M48" i="5"/>
  <c r="K48" i="5"/>
  <c r="M47" i="5"/>
  <c r="K47" i="5"/>
  <c r="M46" i="5"/>
  <c r="K46" i="5"/>
  <c r="M45" i="5"/>
  <c r="K45" i="5"/>
  <c r="M44" i="5"/>
  <c r="K44" i="5"/>
  <c r="M43" i="5"/>
  <c r="K43" i="5"/>
  <c r="M42" i="5"/>
  <c r="K42" i="5"/>
  <c r="M41" i="5"/>
  <c r="K41" i="5"/>
  <c r="M40" i="5"/>
  <c r="K40" i="5"/>
  <c r="M39" i="5"/>
  <c r="K39" i="5"/>
  <c r="M38" i="5"/>
  <c r="K38" i="5"/>
  <c r="M37" i="5"/>
  <c r="K37" i="5"/>
  <c r="M36" i="5"/>
  <c r="K36" i="5"/>
  <c r="M35" i="5"/>
  <c r="K35" i="5"/>
  <c r="M34" i="5"/>
  <c r="K34" i="5"/>
  <c r="M33" i="5"/>
  <c r="K33" i="5"/>
  <c r="M32" i="5"/>
  <c r="K32" i="5"/>
  <c r="M31" i="5"/>
  <c r="K31" i="5"/>
  <c r="M30" i="5"/>
  <c r="K30" i="5"/>
  <c r="M29" i="5"/>
  <c r="K29" i="5"/>
  <c r="M28" i="5"/>
  <c r="K28" i="5"/>
  <c r="M27" i="5"/>
  <c r="K27" i="5"/>
  <c r="M26" i="5"/>
  <c r="K26" i="5"/>
  <c r="M25" i="5"/>
  <c r="K25" i="5"/>
  <c r="M24" i="5"/>
  <c r="K24" i="5"/>
  <c r="M23" i="5"/>
  <c r="K23" i="5"/>
  <c r="M22" i="5"/>
  <c r="K22" i="5"/>
  <c r="M21" i="5"/>
  <c r="K21" i="5"/>
  <c r="M20" i="5"/>
  <c r="K20" i="5"/>
  <c r="M19" i="5"/>
  <c r="K19" i="5"/>
  <c r="M18" i="5"/>
  <c r="K18" i="5"/>
  <c r="M17" i="5"/>
  <c r="K17" i="5"/>
  <c r="M16" i="5"/>
  <c r="K16" i="5"/>
  <c r="M15" i="5"/>
  <c r="K15" i="5"/>
  <c r="M14" i="5"/>
  <c r="K14" i="5"/>
  <c r="M13" i="5"/>
  <c r="K13" i="5"/>
  <c r="M12" i="5"/>
  <c r="K12" i="5"/>
  <c r="M11" i="5"/>
  <c r="K11" i="5"/>
  <c r="M10" i="5"/>
  <c r="K10" i="5"/>
  <c r="M9" i="5"/>
  <c r="K9" i="5"/>
  <c r="M8" i="5"/>
  <c r="K8" i="5"/>
  <c r="M7" i="5"/>
  <c r="K7" i="5"/>
  <c r="M6" i="5"/>
  <c r="K6" i="5"/>
  <c r="M5" i="5"/>
  <c r="K5" i="5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</calcChain>
</file>

<file path=xl/sharedStrings.xml><?xml version="1.0" encoding="utf-8"?>
<sst xmlns="http://schemas.openxmlformats.org/spreadsheetml/2006/main" count="302" uniqueCount="115">
  <si>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</si>
  <si>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</si>
  <si>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</si>
  <si>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</si>
  <si>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</si>
  <si>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</si>
  <si>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</si>
  <si>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</si>
  <si>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</si>
  <si>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</si>
  <si>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</si>
  <si>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</si>
  <si>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</si>
  <si>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</si>
  <si>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</si>
  <si>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</si>
  <si>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</si>
  <si>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</si>
  <si>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</si>
  <si>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</si>
  <si>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</si>
  <si>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</si>
  <si>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</si>
  <si>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</si>
  <si>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</si>
  <si>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</si>
  <si>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</si>
  <si>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</si>
  <si>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</si>
  <si>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</si>
  <si>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</si>
  <si>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</si>
  <si>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</si>
  <si>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</si>
  <si>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</si>
  <si>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</si>
  <si>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</si>
  <si>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</si>
  <si>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</si>
  <si>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</si>
  <si>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</si>
  <si>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</si>
  <si>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</si>
  <si>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</si>
  <si>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</si>
  <si>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</si>
  <si>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</si>
  <si>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</si>
  <si>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</si>
  <si>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</si>
  <si>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</si>
  <si>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</si>
  <si>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</si>
  <si>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</si>
  <si>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</si>
  <si>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</si>
  <si>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</si>
  <si>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</si>
  <si>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</si>
  <si>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</si>
  <si>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</si>
  <si>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</si>
  <si>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</si>
  <si>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</si>
  <si>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</si>
  <si>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</si>
  <si>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</si>
  <si>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</si>
  <si>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</si>
  <si>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</si>
  <si>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</si>
  <si>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</si>
  <si>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</si>
  <si>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</si>
  <si>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</si>
  <si>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</si>
  <si>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</si>
  <si>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</si>
  <si>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</si>
  <si>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</si>
  <si>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</si>
  <si>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</si>
  <si>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</si>
  <si>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</si>
  <si>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</si>
  <si>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</si>
  <si>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</si>
  <si>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</si>
  <si>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</si>
  <si>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</si>
  <si>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</si>
  <si>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</si>
  <si>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</si>
  <si>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</si>
  <si>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</si>
  <si>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</si>
  <si>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</si>
  <si>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</si>
  <si>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</si>
  <si>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</si>
  <si>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</si>
  <si>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</si>
  <si>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</si>
  <si>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</si>
  <si>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</si>
  <si>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</si>
  <si>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</si>
  <si>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</si>
  <si>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</si>
  <si>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2023年10月度給与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</si>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</sst>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5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7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7" xfId="1" applyFont="1" applyBorder="1"/>
    <xf numFmtId="38" fontId="2" fillId="0" borderId="0" xfId="2" applyFont="1" applyAlignment="1"/>
  </cellXfs>
  <cellStyles count="3">
    <cellStyle name="桁区切り" xfId="2" builtinId="6"/>
    <cellStyle name="標準" xfId="0" builtinId="0"/>
    <cellStyle name="標準 2" xfId="1" xr:uid="{3732C6AF-44F6-41E1-B42B-33D4C8C19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C11D-B1B8-4C54-ABFE-92A1D5500D75}">
  <sheetPr>
    <pageSetUpPr fitToPage="1"/>
  </sheetPr>
  <dimension ref="A1:N57"/>
  <sheetViews>
    <sheetView tabSelected="1" workbookViewId="0">
      <pane xSplit="2" ySplit="4" topLeftCell="C47" activePane="bottomRight" state="frozen"/>
      <selection pane="topRight" activeCell="C1" sqref="C1"/>
      <selection pane="bottomLeft" activeCell="A9" sqref="A9"/>
      <selection pane="bottomRight" activeCell="H57" sqref="H57"/>
    </sheetView>
  </sheetViews>
  <sheetFormatPr defaultRowHeight="18.75"/>
  <cols>
    <col min="1" max="1" width="2.375" style="2" customWidth="1"/>
    <col min="2" max="2" width="13.25" style="2" bestFit="1" customWidth="1"/>
    <col min="3" max="14" width="11.7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109</v>
      </c>
    </row>
    <row r="3" spans="1:14">
      <c r="B3" s="19"/>
      <c r="C3" s="69" t="s">
        <v>17</v>
      </c>
      <c r="D3" s="34" t="s">
        <v>4</v>
      </c>
      <c r="E3" s="34" t="s">
        <v>26</v>
      </c>
      <c r="F3" s="34" t="s">
        <v>27</v>
      </c>
      <c r="G3" s="34" t="s">
        <v>24</v>
      </c>
      <c r="H3" s="34" t="s">
        <v>25</v>
      </c>
      <c r="I3" s="34" t="s">
        <v>28</v>
      </c>
      <c r="J3" s="4" t="s">
        <v>29</v>
      </c>
      <c r="K3" s="81" t="s">
        <v>110</v>
      </c>
      <c r="L3" s="4" t="s">
        <v>5</v>
      </c>
      <c r="M3" s="81" t="s">
        <v>110</v>
      </c>
      <c r="N3" s="83" t="s">
        <v>59</v>
      </c>
    </row>
    <row r="4" spans="1:14" ht="19.5" thickBot="1">
      <c r="B4" s="5" t="s">
        <v>30</v>
      </c>
      <c r="C4" s="70" t="s">
        <v>46</v>
      </c>
      <c r="D4" s="36" t="s">
        <v>33</v>
      </c>
      <c r="E4" s="36" t="s">
        <v>55</v>
      </c>
      <c r="F4" s="36" t="s">
        <v>56</v>
      </c>
      <c r="G4" s="36" t="s">
        <v>53</v>
      </c>
      <c r="H4" s="36" t="s">
        <v>54</v>
      </c>
      <c r="I4" s="36" t="s">
        <v>57</v>
      </c>
      <c r="J4" s="3" t="s">
        <v>58</v>
      </c>
      <c r="K4" s="82" t="s">
        <v>112</v>
      </c>
      <c r="L4" s="3" t="s">
        <v>34</v>
      </c>
      <c r="M4" s="82" t="s">
        <v>113</v>
      </c>
      <c r="N4" s="5" t="s">
        <v>114</v>
      </c>
    </row>
    <row r="5" spans="1:14">
      <c r="A5" s="1" t="s">
        <v>1</v>
      </c>
      <c r="B5" s="20" t="s">
        <v>60</v>
      </c>
      <c r="C5" s="71">
        <v>20</v>
      </c>
      <c r="D5" s="38">
        <v>21</v>
      </c>
      <c r="E5" s="38">
        <v>14</v>
      </c>
      <c r="F5" s="38">
        <v>17</v>
      </c>
      <c r="G5" s="38">
        <v>11</v>
      </c>
      <c r="H5" s="38">
        <v>10</v>
      </c>
      <c r="I5" s="38">
        <v>9</v>
      </c>
      <c r="J5" s="21">
        <v>21</v>
      </c>
      <c r="K5" s="22">
        <f>SUM(C5:J5)</f>
        <v>123</v>
      </c>
      <c r="L5" s="21">
        <v>20</v>
      </c>
      <c r="M5" s="22">
        <f>SUM(L5)</f>
        <v>20</v>
      </c>
      <c r="N5" s="22">
        <v>516</v>
      </c>
    </row>
    <row r="6" spans="1:14">
      <c r="A6" s="1" t="s">
        <v>1</v>
      </c>
      <c r="B6" s="23" t="s">
        <v>61</v>
      </c>
      <c r="C6" s="72">
        <v>0</v>
      </c>
      <c r="D6" s="40">
        <v>1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24">
        <v>0</v>
      </c>
      <c r="K6" s="25">
        <f>SUM(C6:J6)</f>
        <v>1</v>
      </c>
      <c r="L6" s="24">
        <v>0</v>
      </c>
      <c r="M6" s="25">
        <f>SUM(L6)</f>
        <v>0</v>
      </c>
      <c r="N6" s="25">
        <v>42</v>
      </c>
    </row>
    <row r="7" spans="1:14">
      <c r="A7" s="1" t="s">
        <v>1</v>
      </c>
      <c r="B7" s="23" t="s">
        <v>62</v>
      </c>
      <c r="C7" s="72">
        <v>0</v>
      </c>
      <c r="D7" s="40">
        <v>2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24">
        <v>0</v>
      </c>
      <c r="K7" s="25">
        <f t="shared" ref="K7:K53" si="0">SUM(C7:J7)</f>
        <v>2</v>
      </c>
      <c r="L7" s="24">
        <v>0</v>
      </c>
      <c r="M7" s="25">
        <f t="shared" ref="M7:M53" si="1">SUM(L7)</f>
        <v>0</v>
      </c>
      <c r="N7" s="25">
        <v>42</v>
      </c>
    </row>
    <row r="8" spans="1:14">
      <c r="A8" s="1" t="s">
        <v>1</v>
      </c>
      <c r="B8" s="23" t="s">
        <v>63</v>
      </c>
      <c r="C8" s="72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24">
        <v>0</v>
      </c>
      <c r="K8" s="25">
        <f t="shared" si="0"/>
        <v>0</v>
      </c>
      <c r="L8" s="24">
        <v>0</v>
      </c>
      <c r="M8" s="25">
        <f t="shared" si="1"/>
        <v>0</v>
      </c>
      <c r="N8" s="25">
        <v>13</v>
      </c>
    </row>
    <row r="9" spans="1:14">
      <c r="A9" s="1" t="s">
        <v>1</v>
      </c>
      <c r="B9" s="23" t="s">
        <v>64</v>
      </c>
      <c r="C9" s="72">
        <v>2</v>
      </c>
      <c r="D9" s="40">
        <v>1</v>
      </c>
      <c r="E9" s="40">
        <v>2</v>
      </c>
      <c r="F9" s="40">
        <v>0</v>
      </c>
      <c r="G9" s="40">
        <v>1</v>
      </c>
      <c r="H9" s="40">
        <v>1</v>
      </c>
      <c r="I9" s="40">
        <v>0</v>
      </c>
      <c r="J9" s="24">
        <v>0</v>
      </c>
      <c r="K9" s="25">
        <f t="shared" si="0"/>
        <v>7</v>
      </c>
      <c r="L9" s="24">
        <v>1</v>
      </c>
      <c r="M9" s="25">
        <f t="shared" si="1"/>
        <v>1</v>
      </c>
      <c r="N9" s="25">
        <v>38</v>
      </c>
    </row>
    <row r="10" spans="1:14">
      <c r="A10" s="1" t="s">
        <v>1</v>
      </c>
      <c r="B10" s="23" t="s">
        <v>65</v>
      </c>
      <c r="C10" s="72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24">
        <v>0</v>
      </c>
      <c r="K10" s="25">
        <f t="shared" si="0"/>
        <v>0</v>
      </c>
      <c r="L10" s="24">
        <v>0</v>
      </c>
      <c r="M10" s="25">
        <f t="shared" si="1"/>
        <v>0</v>
      </c>
      <c r="N10" s="25">
        <v>2</v>
      </c>
    </row>
    <row r="11" spans="1:14">
      <c r="A11" s="1" t="s">
        <v>1</v>
      </c>
      <c r="B11" s="23" t="s">
        <v>66</v>
      </c>
      <c r="C11" s="73">
        <v>0</v>
      </c>
      <c r="D11" s="42">
        <v>0</v>
      </c>
      <c r="E11" s="42">
        <v>3.4166666666666665</v>
      </c>
      <c r="F11" s="42">
        <v>4.125</v>
      </c>
      <c r="G11" s="42">
        <v>3.2083333333333335</v>
      </c>
      <c r="H11" s="42">
        <v>2.9166666666666665</v>
      </c>
      <c r="I11" s="42">
        <v>2.8333333333333335</v>
      </c>
      <c r="J11" s="26">
        <v>4.708333333333333</v>
      </c>
      <c r="K11" s="27">
        <f t="shared" si="0"/>
        <v>21.208333333333332</v>
      </c>
      <c r="L11" s="26">
        <v>0</v>
      </c>
      <c r="M11" s="27">
        <f t="shared" si="1"/>
        <v>0</v>
      </c>
      <c r="N11" s="27">
        <v>21.208333333333332</v>
      </c>
    </row>
    <row r="12" spans="1:14">
      <c r="A12" s="1" t="s">
        <v>1</v>
      </c>
      <c r="B12" s="23" t="s">
        <v>67</v>
      </c>
      <c r="C12" s="73">
        <v>0</v>
      </c>
      <c r="D12" s="42">
        <v>0.83333333333333337</v>
      </c>
      <c r="E12" s="42">
        <v>0</v>
      </c>
      <c r="F12" s="42">
        <v>0</v>
      </c>
      <c r="G12" s="42">
        <v>0</v>
      </c>
      <c r="H12" s="42">
        <v>0</v>
      </c>
      <c r="I12" s="42">
        <v>0.125</v>
      </c>
      <c r="J12" s="26">
        <v>0.125</v>
      </c>
      <c r="K12" s="27">
        <f t="shared" si="0"/>
        <v>1.0833333333333335</v>
      </c>
      <c r="L12" s="26">
        <v>0</v>
      </c>
      <c r="M12" s="27">
        <f t="shared" si="1"/>
        <v>0</v>
      </c>
      <c r="N12" s="27">
        <v>35.791666666666664</v>
      </c>
    </row>
    <row r="13" spans="1:14">
      <c r="A13" s="1" t="s">
        <v>1</v>
      </c>
      <c r="B13" s="23" t="s">
        <v>68</v>
      </c>
      <c r="C13" s="73">
        <v>0</v>
      </c>
      <c r="D13" s="42">
        <v>0.29166666666666669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26">
        <v>0</v>
      </c>
      <c r="K13" s="27">
        <f t="shared" si="0"/>
        <v>0.29166666666666669</v>
      </c>
      <c r="L13" s="26">
        <v>0</v>
      </c>
      <c r="M13" s="27">
        <f t="shared" si="1"/>
        <v>0</v>
      </c>
      <c r="N13" s="27">
        <v>13.33333333333333</v>
      </c>
    </row>
    <row r="14" spans="1:14">
      <c r="A14" s="1" t="s">
        <v>1</v>
      </c>
      <c r="B14" s="23" t="s">
        <v>69</v>
      </c>
      <c r="C14" s="73">
        <v>0</v>
      </c>
      <c r="D14" s="42">
        <v>0.375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26">
        <v>0</v>
      </c>
      <c r="K14" s="27">
        <f t="shared" si="0"/>
        <v>0.375</v>
      </c>
      <c r="L14" s="26">
        <v>0</v>
      </c>
      <c r="M14" s="27">
        <f t="shared" si="1"/>
        <v>0</v>
      </c>
      <c r="N14" s="27">
        <v>11.791666666666666</v>
      </c>
    </row>
    <row r="15" spans="1:14">
      <c r="A15" s="1" t="s">
        <v>1</v>
      </c>
      <c r="B15" s="23" t="s">
        <v>70</v>
      </c>
      <c r="C15" s="73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26">
        <v>0</v>
      </c>
      <c r="K15" s="27">
        <f t="shared" si="0"/>
        <v>0</v>
      </c>
      <c r="L15" s="26">
        <v>0</v>
      </c>
      <c r="M15" s="27">
        <f t="shared" si="1"/>
        <v>0</v>
      </c>
      <c r="N15" s="27">
        <v>1.2916666666666667</v>
      </c>
    </row>
    <row r="16" spans="1:14">
      <c r="A16" s="1" t="s">
        <v>1</v>
      </c>
      <c r="B16" s="23" t="s">
        <v>71</v>
      </c>
      <c r="C16" s="73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26">
        <v>0</v>
      </c>
      <c r="K16" s="27">
        <f t="shared" si="0"/>
        <v>0</v>
      </c>
      <c r="L16" s="26">
        <v>0</v>
      </c>
      <c r="M16" s="27">
        <f t="shared" si="1"/>
        <v>0</v>
      </c>
      <c r="N16" s="27">
        <v>3.7500000000000004</v>
      </c>
    </row>
    <row r="17" spans="1:14">
      <c r="A17" s="1" t="s">
        <v>1</v>
      </c>
      <c r="B17" s="23" t="s">
        <v>72</v>
      </c>
      <c r="C17" s="73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26">
        <v>0</v>
      </c>
      <c r="K17" s="27">
        <f t="shared" si="0"/>
        <v>0</v>
      </c>
      <c r="L17" s="26">
        <v>0</v>
      </c>
      <c r="M17" s="27">
        <f t="shared" si="1"/>
        <v>0</v>
      </c>
      <c r="N17" s="27">
        <v>1.4166666666666665</v>
      </c>
    </row>
    <row r="18" spans="1:14">
      <c r="A18" s="1" t="s">
        <v>1</v>
      </c>
      <c r="B18" s="23" t="s">
        <v>73</v>
      </c>
      <c r="C18" s="73">
        <v>0</v>
      </c>
      <c r="D18" s="42">
        <v>0</v>
      </c>
      <c r="E18" s="42">
        <v>0.5</v>
      </c>
      <c r="F18" s="42">
        <v>0</v>
      </c>
      <c r="G18" s="42">
        <v>0.29166666666666669</v>
      </c>
      <c r="H18" s="42">
        <v>0.29166666666666669</v>
      </c>
      <c r="I18" s="42">
        <v>0</v>
      </c>
      <c r="J18" s="26">
        <v>0</v>
      </c>
      <c r="K18" s="27">
        <f t="shared" si="0"/>
        <v>1.0833333333333335</v>
      </c>
      <c r="L18" s="26">
        <v>0</v>
      </c>
      <c r="M18" s="27">
        <f t="shared" si="1"/>
        <v>0</v>
      </c>
      <c r="N18" s="27">
        <v>1.0833333333333335</v>
      </c>
    </row>
    <row r="19" spans="1:14">
      <c r="A19" s="1" t="s">
        <v>1</v>
      </c>
      <c r="B19" s="6" t="s">
        <v>74</v>
      </c>
      <c r="C19" s="74">
        <v>0</v>
      </c>
      <c r="D19" s="44">
        <v>0</v>
      </c>
      <c r="E19" s="44">
        <v>0</v>
      </c>
      <c r="F19" s="44">
        <v>0</v>
      </c>
      <c r="G19" s="44">
        <v>2.2916666666666665</v>
      </c>
      <c r="H19" s="44">
        <v>2.0833333333333335</v>
      </c>
      <c r="I19" s="44">
        <v>0.83333333333333337</v>
      </c>
      <c r="J19" s="7">
        <v>1.25</v>
      </c>
      <c r="K19" s="8">
        <f t="shared" si="0"/>
        <v>6.458333333333333</v>
      </c>
      <c r="L19" s="7">
        <v>0</v>
      </c>
      <c r="M19" s="8">
        <f t="shared" si="1"/>
        <v>0</v>
      </c>
      <c r="N19" s="8">
        <v>18.625</v>
      </c>
    </row>
    <row r="20" spans="1:14">
      <c r="A20" s="1" t="s">
        <v>1</v>
      </c>
      <c r="B20" s="14" t="s">
        <v>75</v>
      </c>
      <c r="C20" s="75">
        <v>12</v>
      </c>
      <c r="D20" s="46">
        <v>34</v>
      </c>
      <c r="E20" s="46">
        <v>20</v>
      </c>
      <c r="F20" s="46">
        <v>19</v>
      </c>
      <c r="G20" s="46">
        <v>1</v>
      </c>
      <c r="H20" s="46">
        <v>0</v>
      </c>
      <c r="I20" s="46">
        <v>3</v>
      </c>
      <c r="J20" s="15">
        <v>17</v>
      </c>
      <c r="K20" s="16">
        <f t="shared" si="0"/>
        <v>106</v>
      </c>
      <c r="L20" s="15">
        <v>34</v>
      </c>
      <c r="M20" s="16">
        <f t="shared" si="1"/>
        <v>34</v>
      </c>
      <c r="N20" s="16">
        <v>440</v>
      </c>
    </row>
    <row r="21" spans="1:14">
      <c r="A21" s="1" t="s">
        <v>1</v>
      </c>
      <c r="B21" s="28" t="s">
        <v>76</v>
      </c>
      <c r="C21" s="76">
        <v>365000</v>
      </c>
      <c r="D21" s="48">
        <v>270000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29">
        <v>0</v>
      </c>
      <c r="K21" s="30">
        <f t="shared" si="0"/>
        <v>635000</v>
      </c>
      <c r="L21" s="29">
        <v>385000</v>
      </c>
      <c r="M21" s="30">
        <f t="shared" si="1"/>
        <v>385000</v>
      </c>
      <c r="N21" s="30">
        <v>4443000</v>
      </c>
    </row>
    <row r="22" spans="1:14">
      <c r="A22" s="1" t="s">
        <v>1</v>
      </c>
      <c r="B22" s="23" t="s">
        <v>77</v>
      </c>
      <c r="C22" s="77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31">
        <v>0</v>
      </c>
      <c r="K22" s="32">
        <f t="shared" si="0"/>
        <v>0</v>
      </c>
      <c r="L22" s="31">
        <v>0</v>
      </c>
      <c r="M22" s="32">
        <f t="shared" si="1"/>
        <v>0</v>
      </c>
      <c r="N22" s="32">
        <v>60000</v>
      </c>
    </row>
    <row r="23" spans="1:14">
      <c r="A23" s="1" t="s">
        <v>1</v>
      </c>
      <c r="B23" s="23" t="s">
        <v>78</v>
      </c>
      <c r="C23" s="77">
        <v>0</v>
      </c>
      <c r="D23" s="50">
        <v>3000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31">
        <v>0</v>
      </c>
      <c r="K23" s="32">
        <f t="shared" si="0"/>
        <v>3000</v>
      </c>
      <c r="L23" s="31">
        <v>0</v>
      </c>
      <c r="M23" s="32">
        <f t="shared" si="1"/>
        <v>0</v>
      </c>
      <c r="N23" s="32">
        <v>3000</v>
      </c>
    </row>
    <row r="24" spans="1:14">
      <c r="A24" s="1" t="s">
        <v>1</v>
      </c>
      <c r="B24" s="23" t="s">
        <v>79</v>
      </c>
      <c r="C24" s="77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31">
        <v>0</v>
      </c>
      <c r="K24" s="32">
        <f t="shared" si="0"/>
        <v>0</v>
      </c>
      <c r="L24" s="31">
        <v>0</v>
      </c>
      <c r="M24" s="32">
        <f t="shared" si="1"/>
        <v>0</v>
      </c>
      <c r="N24" s="32">
        <v>236764</v>
      </c>
    </row>
    <row r="25" spans="1:14">
      <c r="A25" s="1" t="s">
        <v>1</v>
      </c>
      <c r="B25" s="23" t="s">
        <v>80</v>
      </c>
      <c r="C25" s="77">
        <v>0</v>
      </c>
      <c r="D25" s="50">
        <v>2000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31">
        <v>0</v>
      </c>
      <c r="K25" s="32">
        <f t="shared" si="0"/>
        <v>2000</v>
      </c>
      <c r="L25" s="31">
        <v>0</v>
      </c>
      <c r="M25" s="32">
        <f t="shared" si="1"/>
        <v>0</v>
      </c>
      <c r="N25" s="32">
        <v>2000</v>
      </c>
    </row>
    <row r="26" spans="1:14">
      <c r="A26" s="1" t="s">
        <v>1</v>
      </c>
      <c r="B26" s="23" t="s">
        <v>81</v>
      </c>
      <c r="C26" s="77">
        <v>0</v>
      </c>
      <c r="D26" s="50">
        <v>0</v>
      </c>
      <c r="E26" s="50">
        <v>80360</v>
      </c>
      <c r="F26" s="50">
        <v>99000</v>
      </c>
      <c r="G26" s="50">
        <v>70840</v>
      </c>
      <c r="H26" s="50">
        <v>64400</v>
      </c>
      <c r="I26" s="50">
        <v>62560</v>
      </c>
      <c r="J26" s="31">
        <v>103960</v>
      </c>
      <c r="K26" s="32">
        <f t="shared" si="0"/>
        <v>481120</v>
      </c>
      <c r="L26" s="31">
        <v>0</v>
      </c>
      <c r="M26" s="32">
        <f t="shared" si="1"/>
        <v>0</v>
      </c>
      <c r="N26" s="32">
        <v>481120</v>
      </c>
    </row>
    <row r="27" spans="1:14">
      <c r="A27" s="1" t="s">
        <v>1</v>
      </c>
      <c r="B27" s="23" t="s">
        <v>82</v>
      </c>
      <c r="C27" s="77">
        <v>0</v>
      </c>
      <c r="D27" s="50">
        <v>28400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31">
        <v>0</v>
      </c>
      <c r="K27" s="32">
        <f t="shared" si="0"/>
        <v>28400</v>
      </c>
      <c r="L27" s="31">
        <v>0</v>
      </c>
      <c r="M27" s="32">
        <f t="shared" si="1"/>
        <v>0</v>
      </c>
      <c r="N27" s="32">
        <v>489400</v>
      </c>
    </row>
    <row r="28" spans="1:14">
      <c r="A28" s="1" t="s">
        <v>1</v>
      </c>
      <c r="B28" s="23" t="s">
        <v>83</v>
      </c>
      <c r="C28" s="77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31">
        <v>0</v>
      </c>
      <c r="K28" s="32">
        <f t="shared" si="0"/>
        <v>0</v>
      </c>
      <c r="L28" s="31">
        <v>0</v>
      </c>
      <c r="M28" s="32">
        <f t="shared" si="1"/>
        <v>0</v>
      </c>
      <c r="N28" s="32">
        <v>49000</v>
      </c>
    </row>
    <row r="29" spans="1:14">
      <c r="A29" s="1" t="s">
        <v>1</v>
      </c>
      <c r="B29" s="23" t="s">
        <v>84</v>
      </c>
      <c r="C29" s="77">
        <v>0</v>
      </c>
      <c r="D29" s="50">
        <v>0</v>
      </c>
      <c r="E29" s="50">
        <v>11760</v>
      </c>
      <c r="F29" s="50">
        <v>0</v>
      </c>
      <c r="G29" s="50">
        <v>6440</v>
      </c>
      <c r="H29" s="50">
        <v>6440</v>
      </c>
      <c r="I29" s="50">
        <v>0</v>
      </c>
      <c r="J29" s="31">
        <v>0</v>
      </c>
      <c r="K29" s="32">
        <f t="shared" si="0"/>
        <v>24640</v>
      </c>
      <c r="L29" s="31">
        <v>0</v>
      </c>
      <c r="M29" s="32">
        <f t="shared" si="1"/>
        <v>0</v>
      </c>
      <c r="N29" s="32">
        <v>24640</v>
      </c>
    </row>
    <row r="30" spans="1:14">
      <c r="A30" s="1" t="s">
        <v>1</v>
      </c>
      <c r="B30" s="23" t="s">
        <v>67</v>
      </c>
      <c r="C30" s="77">
        <v>0</v>
      </c>
      <c r="D30" s="50">
        <v>40880</v>
      </c>
      <c r="E30" s="50">
        <v>0</v>
      </c>
      <c r="F30" s="50">
        <v>0</v>
      </c>
      <c r="G30" s="50">
        <v>0</v>
      </c>
      <c r="H30" s="50">
        <v>0</v>
      </c>
      <c r="I30" s="50">
        <v>3450</v>
      </c>
      <c r="J30" s="31">
        <v>3450</v>
      </c>
      <c r="K30" s="32">
        <f t="shared" si="0"/>
        <v>47780</v>
      </c>
      <c r="L30" s="31">
        <v>0</v>
      </c>
      <c r="M30" s="32">
        <f t="shared" si="1"/>
        <v>0</v>
      </c>
      <c r="N30" s="32">
        <v>1206717</v>
      </c>
    </row>
    <row r="31" spans="1:14">
      <c r="A31" s="1" t="s">
        <v>1</v>
      </c>
      <c r="B31" s="23" t="s">
        <v>85</v>
      </c>
      <c r="C31" s="77">
        <v>0</v>
      </c>
      <c r="D31" s="50">
        <v>15449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31">
        <v>0</v>
      </c>
      <c r="K31" s="32">
        <f t="shared" si="0"/>
        <v>15449</v>
      </c>
      <c r="L31" s="31">
        <v>0</v>
      </c>
      <c r="M31" s="32">
        <f t="shared" si="1"/>
        <v>0</v>
      </c>
      <c r="N31" s="32">
        <v>480034</v>
      </c>
    </row>
    <row r="32" spans="1:14">
      <c r="A32" s="1" t="s">
        <v>1</v>
      </c>
      <c r="B32" s="23" t="s">
        <v>86</v>
      </c>
      <c r="C32" s="77">
        <v>0</v>
      </c>
      <c r="D32" s="50">
        <v>19863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31">
        <v>0</v>
      </c>
      <c r="K32" s="32">
        <f t="shared" si="0"/>
        <v>19863</v>
      </c>
      <c r="L32" s="31">
        <v>0</v>
      </c>
      <c r="M32" s="32">
        <f t="shared" si="1"/>
        <v>0</v>
      </c>
      <c r="N32" s="32">
        <v>423283</v>
      </c>
    </row>
    <row r="33" spans="1:14">
      <c r="A33" s="1" t="s">
        <v>1</v>
      </c>
      <c r="B33" s="23" t="s">
        <v>87</v>
      </c>
      <c r="C33" s="77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31">
        <v>0</v>
      </c>
      <c r="K33" s="32">
        <f t="shared" si="0"/>
        <v>0</v>
      </c>
      <c r="L33" s="31">
        <v>0</v>
      </c>
      <c r="M33" s="32">
        <f t="shared" si="1"/>
        <v>0</v>
      </c>
      <c r="N33" s="32">
        <v>11446</v>
      </c>
    </row>
    <row r="34" spans="1:14">
      <c r="A34" s="1" t="s">
        <v>1</v>
      </c>
      <c r="B34" s="23" t="s">
        <v>88</v>
      </c>
      <c r="C34" s="77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31">
        <v>0</v>
      </c>
      <c r="K34" s="32">
        <f t="shared" si="0"/>
        <v>0</v>
      </c>
      <c r="L34" s="31">
        <v>0</v>
      </c>
      <c r="M34" s="32">
        <f t="shared" si="1"/>
        <v>0</v>
      </c>
      <c r="N34" s="32">
        <v>35247</v>
      </c>
    </row>
    <row r="35" spans="1:14">
      <c r="A35" s="1" t="s">
        <v>1</v>
      </c>
      <c r="B35" s="23" t="s">
        <v>72</v>
      </c>
      <c r="C35" s="77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31">
        <v>0</v>
      </c>
      <c r="K35" s="32">
        <f t="shared" si="0"/>
        <v>0</v>
      </c>
      <c r="L35" s="31">
        <v>0</v>
      </c>
      <c r="M35" s="32">
        <f t="shared" si="1"/>
        <v>0</v>
      </c>
      <c r="N35" s="32">
        <v>9309</v>
      </c>
    </row>
    <row r="36" spans="1:14">
      <c r="A36" s="1" t="s">
        <v>1</v>
      </c>
      <c r="B36" s="6" t="s">
        <v>74</v>
      </c>
      <c r="C36" s="78">
        <v>0</v>
      </c>
      <c r="D36" s="52">
        <v>0</v>
      </c>
      <c r="E36" s="52">
        <v>0</v>
      </c>
      <c r="F36" s="52">
        <v>0</v>
      </c>
      <c r="G36" s="52">
        <v>12650</v>
      </c>
      <c r="H36" s="52">
        <v>11500</v>
      </c>
      <c r="I36" s="52">
        <v>4600</v>
      </c>
      <c r="J36" s="9">
        <v>6900</v>
      </c>
      <c r="K36" s="10">
        <f t="shared" si="0"/>
        <v>35650</v>
      </c>
      <c r="L36" s="9">
        <v>0</v>
      </c>
      <c r="M36" s="10">
        <f t="shared" si="1"/>
        <v>0</v>
      </c>
      <c r="N36" s="10">
        <v>115895</v>
      </c>
    </row>
    <row r="37" spans="1:14">
      <c r="A37" s="1" t="s">
        <v>1</v>
      </c>
      <c r="B37" s="14" t="s">
        <v>89</v>
      </c>
      <c r="C37" s="79">
        <v>365000</v>
      </c>
      <c r="D37" s="54">
        <v>379592</v>
      </c>
      <c r="E37" s="54">
        <v>92120</v>
      </c>
      <c r="F37" s="54">
        <v>99000</v>
      </c>
      <c r="G37" s="54">
        <v>89930</v>
      </c>
      <c r="H37" s="54">
        <v>82340</v>
      </c>
      <c r="I37" s="54">
        <v>70610</v>
      </c>
      <c r="J37" s="17">
        <v>114310</v>
      </c>
      <c r="K37" s="18">
        <f t="shared" si="0"/>
        <v>1292902</v>
      </c>
      <c r="L37" s="17">
        <v>385000</v>
      </c>
      <c r="M37" s="18">
        <f t="shared" si="1"/>
        <v>385000</v>
      </c>
      <c r="N37" s="18">
        <v>8070855</v>
      </c>
    </row>
    <row r="38" spans="1:14">
      <c r="A38" s="1" t="s">
        <v>1</v>
      </c>
      <c r="B38" s="28" t="s">
        <v>90</v>
      </c>
      <c r="C38" s="76">
        <v>3668</v>
      </c>
      <c r="D38" s="48">
        <v>6002</v>
      </c>
      <c r="E38" s="48">
        <v>3112</v>
      </c>
      <c r="F38" s="48">
        <v>2362</v>
      </c>
      <c r="G38" s="48">
        <v>3668</v>
      </c>
      <c r="H38" s="48">
        <v>4446</v>
      </c>
      <c r="I38" s="48">
        <v>3251</v>
      </c>
      <c r="J38" s="29">
        <v>8169</v>
      </c>
      <c r="K38" s="30">
        <f t="shared" si="0"/>
        <v>34678</v>
      </c>
      <c r="L38" s="29">
        <v>7586</v>
      </c>
      <c r="M38" s="30">
        <f t="shared" si="1"/>
        <v>7586</v>
      </c>
      <c r="N38" s="30">
        <v>164943</v>
      </c>
    </row>
    <row r="39" spans="1:14">
      <c r="A39" s="1" t="s">
        <v>1</v>
      </c>
      <c r="B39" s="6" t="s">
        <v>91</v>
      </c>
      <c r="C39" s="78">
        <v>3668</v>
      </c>
      <c r="D39" s="52">
        <v>6002</v>
      </c>
      <c r="E39" s="52">
        <v>3112</v>
      </c>
      <c r="F39" s="52">
        <v>2362</v>
      </c>
      <c r="G39" s="52">
        <v>3668</v>
      </c>
      <c r="H39" s="52">
        <v>4446</v>
      </c>
      <c r="I39" s="52">
        <v>3251</v>
      </c>
      <c r="J39" s="9">
        <v>8169</v>
      </c>
      <c r="K39" s="10">
        <f t="shared" si="0"/>
        <v>34678</v>
      </c>
      <c r="L39" s="9">
        <v>7586</v>
      </c>
      <c r="M39" s="10">
        <f t="shared" si="1"/>
        <v>7586</v>
      </c>
      <c r="N39" s="10">
        <v>164943</v>
      </c>
    </row>
    <row r="40" spans="1:14">
      <c r="A40" s="1" t="s">
        <v>1</v>
      </c>
      <c r="B40" s="14" t="s">
        <v>92</v>
      </c>
      <c r="C40" s="79">
        <v>368668</v>
      </c>
      <c r="D40" s="54">
        <v>385594</v>
      </c>
      <c r="E40" s="54">
        <v>95232</v>
      </c>
      <c r="F40" s="54">
        <v>101362</v>
      </c>
      <c r="G40" s="54">
        <v>93598</v>
      </c>
      <c r="H40" s="54">
        <v>86786</v>
      </c>
      <c r="I40" s="54">
        <v>73861</v>
      </c>
      <c r="J40" s="17">
        <v>122479</v>
      </c>
      <c r="K40" s="18">
        <f t="shared" si="0"/>
        <v>1327580</v>
      </c>
      <c r="L40" s="17">
        <v>392586</v>
      </c>
      <c r="M40" s="18">
        <f t="shared" si="1"/>
        <v>392586</v>
      </c>
      <c r="N40" s="18">
        <v>8235798</v>
      </c>
    </row>
    <row r="41" spans="1:14">
      <c r="A41" s="1" t="s">
        <v>1</v>
      </c>
      <c r="B41" s="28" t="s">
        <v>93</v>
      </c>
      <c r="C41" s="76">
        <v>18360</v>
      </c>
      <c r="D41" s="48">
        <v>19380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29">
        <v>0</v>
      </c>
      <c r="K41" s="30">
        <f t="shared" si="0"/>
        <v>37740</v>
      </c>
      <c r="L41" s="29">
        <v>19380</v>
      </c>
      <c r="M41" s="30">
        <f t="shared" si="1"/>
        <v>19380</v>
      </c>
      <c r="N41" s="30">
        <v>372810</v>
      </c>
    </row>
    <row r="42" spans="1:14">
      <c r="A42" s="1" t="s">
        <v>1</v>
      </c>
      <c r="B42" s="23" t="s">
        <v>94</v>
      </c>
      <c r="C42" s="77">
        <v>3240</v>
      </c>
      <c r="D42" s="50">
        <v>3420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31">
        <v>0</v>
      </c>
      <c r="K42" s="32">
        <f t="shared" si="0"/>
        <v>6660</v>
      </c>
      <c r="L42" s="31">
        <v>3420</v>
      </c>
      <c r="M42" s="32">
        <f t="shared" si="1"/>
        <v>3420</v>
      </c>
      <c r="N42" s="32">
        <v>65790</v>
      </c>
    </row>
    <row r="43" spans="1:14">
      <c r="A43" s="1" t="s">
        <v>1</v>
      </c>
      <c r="B43" s="23" t="s">
        <v>95</v>
      </c>
      <c r="C43" s="77">
        <v>32940</v>
      </c>
      <c r="D43" s="50">
        <v>34770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31">
        <v>0</v>
      </c>
      <c r="K43" s="32">
        <f t="shared" si="0"/>
        <v>67710</v>
      </c>
      <c r="L43" s="31">
        <v>34770</v>
      </c>
      <c r="M43" s="32">
        <f t="shared" si="1"/>
        <v>34770</v>
      </c>
      <c r="N43" s="32">
        <v>668865</v>
      </c>
    </row>
    <row r="44" spans="1:14">
      <c r="A44" s="1" t="s">
        <v>1</v>
      </c>
      <c r="B44" s="6" t="s">
        <v>96</v>
      </c>
      <c r="C44" s="78">
        <v>2212</v>
      </c>
      <c r="D44" s="52">
        <v>2314</v>
      </c>
      <c r="E44" s="52">
        <v>571</v>
      </c>
      <c r="F44" s="52">
        <v>608</v>
      </c>
      <c r="G44" s="52">
        <v>0</v>
      </c>
      <c r="H44" s="52">
        <v>0</v>
      </c>
      <c r="I44" s="52">
        <v>0</v>
      </c>
      <c r="J44" s="9">
        <v>735</v>
      </c>
      <c r="K44" s="10">
        <f t="shared" si="0"/>
        <v>6440</v>
      </c>
      <c r="L44" s="9">
        <v>2356</v>
      </c>
      <c r="M44" s="10">
        <f t="shared" si="1"/>
        <v>2356</v>
      </c>
      <c r="N44" s="10">
        <v>47890</v>
      </c>
    </row>
    <row r="45" spans="1:14">
      <c r="A45" s="1" t="s">
        <v>1</v>
      </c>
      <c r="B45" s="14" t="s">
        <v>97</v>
      </c>
      <c r="C45" s="79">
        <v>56752</v>
      </c>
      <c r="D45" s="54">
        <v>59884</v>
      </c>
      <c r="E45" s="54">
        <v>571</v>
      </c>
      <c r="F45" s="54">
        <v>608</v>
      </c>
      <c r="G45" s="54">
        <v>0</v>
      </c>
      <c r="H45" s="54">
        <v>0</v>
      </c>
      <c r="I45" s="54">
        <v>0</v>
      </c>
      <c r="J45" s="17">
        <v>735</v>
      </c>
      <c r="K45" s="18">
        <f t="shared" si="0"/>
        <v>118550</v>
      </c>
      <c r="L45" s="17">
        <v>59926</v>
      </c>
      <c r="M45" s="18">
        <f t="shared" si="1"/>
        <v>59926</v>
      </c>
      <c r="N45" s="18">
        <v>1155355</v>
      </c>
    </row>
    <row r="46" spans="1:14">
      <c r="A46" s="1" t="s">
        <v>1</v>
      </c>
      <c r="B46" s="28" t="s">
        <v>98</v>
      </c>
      <c r="C46" s="76">
        <v>9050</v>
      </c>
      <c r="D46" s="48">
        <v>7530</v>
      </c>
      <c r="E46" s="48">
        <v>290</v>
      </c>
      <c r="F46" s="48">
        <v>640</v>
      </c>
      <c r="G46" s="48">
        <v>0</v>
      </c>
      <c r="H46" s="48">
        <v>0</v>
      </c>
      <c r="I46" s="48">
        <v>0</v>
      </c>
      <c r="J46" s="29">
        <v>0</v>
      </c>
      <c r="K46" s="30">
        <f t="shared" si="0"/>
        <v>17510</v>
      </c>
      <c r="L46" s="29">
        <v>10430</v>
      </c>
      <c r="M46" s="30">
        <f t="shared" si="1"/>
        <v>10430</v>
      </c>
      <c r="N46" s="30">
        <v>169370</v>
      </c>
    </row>
    <row r="47" spans="1:14">
      <c r="A47" s="1" t="s">
        <v>1</v>
      </c>
      <c r="B47" s="23" t="s">
        <v>99</v>
      </c>
      <c r="C47" s="77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31">
        <v>0</v>
      </c>
      <c r="K47" s="32">
        <f t="shared" si="0"/>
        <v>0</v>
      </c>
      <c r="L47" s="31">
        <v>0</v>
      </c>
      <c r="M47" s="32">
        <f t="shared" si="1"/>
        <v>0</v>
      </c>
      <c r="N47" s="32">
        <v>19500</v>
      </c>
    </row>
    <row r="48" spans="1:14">
      <c r="A48" s="1" t="s">
        <v>1</v>
      </c>
      <c r="B48" s="23" t="s">
        <v>100</v>
      </c>
      <c r="C48" s="77">
        <v>16800</v>
      </c>
      <c r="D48" s="50">
        <v>16400</v>
      </c>
      <c r="E48" s="50">
        <v>600</v>
      </c>
      <c r="F48" s="50">
        <v>500</v>
      </c>
      <c r="G48" s="50">
        <v>0</v>
      </c>
      <c r="H48" s="50">
        <v>0</v>
      </c>
      <c r="I48" s="50">
        <v>0</v>
      </c>
      <c r="J48" s="31">
        <v>2300</v>
      </c>
      <c r="K48" s="32">
        <f t="shared" si="0"/>
        <v>36600</v>
      </c>
      <c r="L48" s="31">
        <v>17300</v>
      </c>
      <c r="M48" s="32">
        <f t="shared" si="1"/>
        <v>17300</v>
      </c>
      <c r="N48" s="32">
        <v>245400</v>
      </c>
    </row>
    <row r="49" spans="1:14">
      <c r="A49" s="1" t="s">
        <v>1</v>
      </c>
      <c r="B49" s="6" t="s">
        <v>101</v>
      </c>
      <c r="C49" s="78">
        <v>0</v>
      </c>
      <c r="D49" s="52">
        <v>28400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9">
        <v>0</v>
      </c>
      <c r="K49" s="10">
        <f t="shared" si="0"/>
        <v>28400</v>
      </c>
      <c r="L49" s="9">
        <v>0</v>
      </c>
      <c r="M49" s="10">
        <f t="shared" si="1"/>
        <v>0</v>
      </c>
      <c r="N49" s="10">
        <v>489400</v>
      </c>
    </row>
    <row r="50" spans="1:14">
      <c r="A50" s="1" t="s">
        <v>1</v>
      </c>
      <c r="B50" s="14" t="s">
        <v>102</v>
      </c>
      <c r="C50" s="79">
        <v>82602</v>
      </c>
      <c r="D50" s="54">
        <v>112214</v>
      </c>
      <c r="E50" s="54">
        <v>1461</v>
      </c>
      <c r="F50" s="54">
        <v>1748</v>
      </c>
      <c r="G50" s="54">
        <v>0</v>
      </c>
      <c r="H50" s="54">
        <v>0</v>
      </c>
      <c r="I50" s="54">
        <v>0</v>
      </c>
      <c r="J50" s="17">
        <v>3035</v>
      </c>
      <c r="K50" s="18">
        <f t="shared" si="0"/>
        <v>201060</v>
      </c>
      <c r="L50" s="17">
        <v>87656</v>
      </c>
      <c r="M50" s="18">
        <f t="shared" si="1"/>
        <v>87656</v>
      </c>
      <c r="N50" s="18">
        <v>2079025</v>
      </c>
    </row>
    <row r="51" spans="1:14">
      <c r="A51" s="1" t="s">
        <v>1</v>
      </c>
      <c r="B51" s="14" t="s">
        <v>103</v>
      </c>
      <c r="C51" s="79">
        <v>308248</v>
      </c>
      <c r="D51" s="54">
        <v>319708</v>
      </c>
      <c r="E51" s="54">
        <v>91549</v>
      </c>
      <c r="F51" s="54">
        <v>98392</v>
      </c>
      <c r="G51" s="54">
        <v>89930</v>
      </c>
      <c r="H51" s="54">
        <v>82340</v>
      </c>
      <c r="I51" s="54">
        <v>70610</v>
      </c>
      <c r="J51" s="17">
        <v>113575</v>
      </c>
      <c r="K51" s="18">
        <f t="shared" si="0"/>
        <v>1174352</v>
      </c>
      <c r="L51" s="17">
        <v>325074</v>
      </c>
      <c r="M51" s="18">
        <f t="shared" si="1"/>
        <v>325074</v>
      </c>
      <c r="N51" s="18">
        <v>6915500</v>
      </c>
    </row>
    <row r="52" spans="1:14">
      <c r="A52" s="1" t="s">
        <v>1</v>
      </c>
      <c r="B52" s="14" t="s">
        <v>104</v>
      </c>
      <c r="C52" s="79">
        <v>286066</v>
      </c>
      <c r="D52" s="54">
        <v>273380</v>
      </c>
      <c r="E52" s="54">
        <v>93771</v>
      </c>
      <c r="F52" s="54">
        <v>99614</v>
      </c>
      <c r="G52" s="54">
        <v>93598</v>
      </c>
      <c r="H52" s="54">
        <v>86786</v>
      </c>
      <c r="I52" s="54">
        <v>73861</v>
      </c>
      <c r="J52" s="17">
        <v>119444</v>
      </c>
      <c r="K52" s="18">
        <f t="shared" si="0"/>
        <v>1126520</v>
      </c>
      <c r="L52" s="17">
        <v>304930</v>
      </c>
      <c r="M52" s="18">
        <f t="shared" si="1"/>
        <v>304930</v>
      </c>
      <c r="N52" s="18">
        <v>6156773</v>
      </c>
    </row>
    <row r="53" spans="1:14">
      <c r="A53" s="1" t="s">
        <v>1</v>
      </c>
      <c r="B53" s="14" t="s">
        <v>105</v>
      </c>
      <c r="C53" s="79">
        <v>286066</v>
      </c>
      <c r="D53" s="54">
        <v>273380</v>
      </c>
      <c r="E53" s="54">
        <v>93771</v>
      </c>
      <c r="F53" s="54">
        <v>99614</v>
      </c>
      <c r="G53" s="54">
        <v>93598</v>
      </c>
      <c r="H53" s="54">
        <v>86786</v>
      </c>
      <c r="I53" s="54">
        <v>73861</v>
      </c>
      <c r="J53" s="17">
        <v>119444</v>
      </c>
      <c r="K53" s="18">
        <f t="shared" si="0"/>
        <v>1126520</v>
      </c>
      <c r="L53" s="17">
        <v>304930</v>
      </c>
      <c r="M53" s="18">
        <f t="shared" si="1"/>
        <v>304930</v>
      </c>
      <c r="N53" s="18">
        <v>6156773</v>
      </c>
    </row>
    <row r="54" spans="1:14">
      <c r="A54" s="1" t="s">
        <v>1</v>
      </c>
      <c r="B54" s="14" t="s">
        <v>106</v>
      </c>
      <c r="C54" s="79">
        <v>0</v>
      </c>
      <c r="D54" s="54">
        <v>1</v>
      </c>
      <c r="E54" s="54">
        <v>0</v>
      </c>
      <c r="F54" s="54">
        <v>0</v>
      </c>
      <c r="G54" s="54">
        <v>1</v>
      </c>
      <c r="H54" s="54">
        <v>1</v>
      </c>
      <c r="I54" s="54">
        <v>1</v>
      </c>
      <c r="J54" s="17">
        <v>1</v>
      </c>
      <c r="K54" s="18"/>
      <c r="L54" s="17">
        <v>0</v>
      </c>
      <c r="M54" s="18"/>
      <c r="N54" s="18"/>
    </row>
    <row r="55" spans="1:14" ht="19.5" thickBot="1">
      <c r="A55" s="1" t="s">
        <v>1</v>
      </c>
      <c r="B55" s="11" t="s">
        <v>107</v>
      </c>
      <c r="C55" s="80" t="s">
        <v>108</v>
      </c>
      <c r="D55" s="56" t="s">
        <v>108</v>
      </c>
      <c r="E55" s="56" t="s">
        <v>108</v>
      </c>
      <c r="F55" s="56" t="s">
        <v>108</v>
      </c>
      <c r="G55" s="56" t="s">
        <v>108</v>
      </c>
      <c r="H55" s="56" t="s">
        <v>108</v>
      </c>
      <c r="I55" s="56" t="s">
        <v>108</v>
      </c>
      <c r="J55" s="12" t="s">
        <v>108</v>
      </c>
      <c r="K55" s="13"/>
      <c r="L55" s="12" t="s">
        <v>108</v>
      </c>
      <c r="M55" s="13"/>
      <c r="N55" s="13"/>
    </row>
    <row r="57" spans="1:14">
      <c r="E57" s="84">
        <f>E26/82</f>
        <v>980</v>
      </c>
      <c r="F57" s="84">
        <f>F26/99</f>
        <v>1000</v>
      </c>
    </row>
  </sheetData>
  <phoneticPr fontId="3"/>
  <pageMargins left="0.31496062992125984" right="0.31496062992125984" top="0.15748031496062992" bottom="0.15748031496062992" header="0.11811023622047245" footer="0.11811023622047245"/>
  <pageSetup paperSize="12" scale="6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809F-E926-46A1-BE08-6F7F513718C5}">
  <sheetPr>
    <pageSetUpPr fitToPage="1"/>
  </sheetPr>
  <dimension ref="A1:V55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U4" sqref="U4"/>
    </sheetView>
  </sheetViews>
  <sheetFormatPr defaultRowHeight="18.75"/>
  <cols>
    <col min="1" max="1" width="2.375" style="2" customWidth="1"/>
    <col min="2" max="2" width="13.25" style="2" bestFit="1" customWidth="1"/>
    <col min="3" max="22" width="10.2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109</v>
      </c>
    </row>
    <row r="3" spans="1:22">
      <c r="B3" s="19"/>
      <c r="C3" s="33" t="s">
        <v>2</v>
      </c>
      <c r="D3" s="34" t="s">
        <v>3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16</v>
      </c>
      <c r="P3" s="34" t="s">
        <v>18</v>
      </c>
      <c r="Q3" s="34" t="s">
        <v>19</v>
      </c>
      <c r="R3" s="34" t="s">
        <v>20</v>
      </c>
      <c r="S3" s="34" t="s">
        <v>21</v>
      </c>
      <c r="T3" s="34" t="s">
        <v>22</v>
      </c>
      <c r="U3" s="57" t="s">
        <v>23</v>
      </c>
      <c r="V3" s="81" t="s">
        <v>110</v>
      </c>
    </row>
    <row r="4" spans="1:22" ht="19.5" thickBot="1">
      <c r="B4" s="5" t="s">
        <v>30</v>
      </c>
      <c r="C4" s="35" t="s">
        <v>31</v>
      </c>
      <c r="D4" s="36" t="s">
        <v>32</v>
      </c>
      <c r="E4" s="36" t="s">
        <v>35</v>
      </c>
      <c r="F4" s="36" t="s">
        <v>36</v>
      </c>
      <c r="G4" s="36" t="s">
        <v>37</v>
      </c>
      <c r="H4" s="36" t="s">
        <v>38</v>
      </c>
      <c r="I4" s="36" t="s">
        <v>39</v>
      </c>
      <c r="J4" s="36" t="s">
        <v>40</v>
      </c>
      <c r="K4" s="36" t="s">
        <v>41</v>
      </c>
      <c r="L4" s="36" t="s">
        <v>42</v>
      </c>
      <c r="M4" s="36" t="s">
        <v>43</v>
      </c>
      <c r="N4" s="36" t="s">
        <v>44</v>
      </c>
      <c r="O4" s="36" t="s">
        <v>45</v>
      </c>
      <c r="P4" s="36" t="s">
        <v>47</v>
      </c>
      <c r="Q4" s="36" t="s">
        <v>48</v>
      </c>
      <c r="R4" s="36" t="s">
        <v>49</v>
      </c>
      <c r="S4" s="36" t="s">
        <v>50</v>
      </c>
      <c r="T4" s="36" t="s">
        <v>51</v>
      </c>
      <c r="U4" s="58" t="s">
        <v>52</v>
      </c>
      <c r="V4" s="82" t="s">
        <v>111</v>
      </c>
    </row>
    <row r="5" spans="1:22">
      <c r="A5" s="1" t="s">
        <v>1</v>
      </c>
      <c r="B5" s="20" t="s">
        <v>60</v>
      </c>
      <c r="C5" s="37">
        <v>19</v>
      </c>
      <c r="D5" s="38">
        <v>19</v>
      </c>
      <c r="E5" s="38">
        <v>19</v>
      </c>
      <c r="F5" s="38">
        <v>19</v>
      </c>
      <c r="G5" s="38">
        <v>19</v>
      </c>
      <c r="H5" s="38">
        <v>18</v>
      </c>
      <c r="I5" s="38">
        <v>17</v>
      </c>
      <c r="J5" s="38">
        <v>22</v>
      </c>
      <c r="K5" s="38">
        <v>19</v>
      </c>
      <c r="L5" s="38">
        <v>21</v>
      </c>
      <c r="M5" s="38">
        <v>21</v>
      </c>
      <c r="N5" s="38">
        <v>19</v>
      </c>
      <c r="O5" s="38">
        <v>22</v>
      </c>
      <c r="P5" s="38">
        <v>19</v>
      </c>
      <c r="Q5" s="38">
        <v>20</v>
      </c>
      <c r="R5" s="38">
        <v>19</v>
      </c>
      <c r="S5" s="38">
        <v>17</v>
      </c>
      <c r="T5" s="38">
        <v>22</v>
      </c>
      <c r="U5" s="59">
        <v>22</v>
      </c>
      <c r="V5" s="22">
        <f>SUM(C5:U5)</f>
        <v>373</v>
      </c>
    </row>
    <row r="6" spans="1:22">
      <c r="A6" s="1" t="s">
        <v>1</v>
      </c>
      <c r="B6" s="23" t="s">
        <v>61</v>
      </c>
      <c r="C6" s="39">
        <v>1</v>
      </c>
      <c r="D6" s="40">
        <v>3</v>
      </c>
      <c r="E6" s="40">
        <v>2</v>
      </c>
      <c r="F6" s="40">
        <v>1</v>
      </c>
      <c r="G6" s="40">
        <v>0</v>
      </c>
      <c r="H6" s="40">
        <v>3</v>
      </c>
      <c r="I6" s="40">
        <v>3</v>
      </c>
      <c r="J6" s="40">
        <v>1</v>
      </c>
      <c r="K6" s="40">
        <v>3</v>
      </c>
      <c r="L6" s="40">
        <v>3</v>
      </c>
      <c r="M6" s="40">
        <v>3</v>
      </c>
      <c r="N6" s="40">
        <v>1</v>
      </c>
      <c r="O6" s="40">
        <v>3</v>
      </c>
      <c r="P6" s="40">
        <v>1</v>
      </c>
      <c r="Q6" s="40">
        <v>2</v>
      </c>
      <c r="R6" s="40">
        <v>3</v>
      </c>
      <c r="S6" s="40">
        <v>3</v>
      </c>
      <c r="T6" s="40">
        <v>2</v>
      </c>
      <c r="U6" s="60">
        <v>3</v>
      </c>
      <c r="V6" s="25">
        <f>SUM(C6:U6)</f>
        <v>41</v>
      </c>
    </row>
    <row r="7" spans="1:22">
      <c r="A7" s="1" t="s">
        <v>1</v>
      </c>
      <c r="B7" s="23" t="s">
        <v>62</v>
      </c>
      <c r="C7" s="39">
        <v>3</v>
      </c>
      <c r="D7" s="40">
        <v>4</v>
      </c>
      <c r="E7" s="40">
        <v>1</v>
      </c>
      <c r="F7" s="40">
        <v>2</v>
      </c>
      <c r="G7" s="40">
        <v>3</v>
      </c>
      <c r="H7" s="40">
        <v>2</v>
      </c>
      <c r="I7" s="40">
        <v>1</v>
      </c>
      <c r="J7" s="40">
        <v>0</v>
      </c>
      <c r="K7" s="40">
        <v>2</v>
      </c>
      <c r="L7" s="40">
        <v>0</v>
      </c>
      <c r="M7" s="40">
        <v>2</v>
      </c>
      <c r="N7" s="40">
        <v>2</v>
      </c>
      <c r="O7" s="40">
        <v>2</v>
      </c>
      <c r="P7" s="40">
        <v>4</v>
      </c>
      <c r="Q7" s="40">
        <v>2</v>
      </c>
      <c r="R7" s="40">
        <v>3</v>
      </c>
      <c r="S7" s="40">
        <v>3</v>
      </c>
      <c r="T7" s="40">
        <v>2</v>
      </c>
      <c r="U7" s="60">
        <v>2</v>
      </c>
      <c r="V7" s="25">
        <f t="shared" ref="V7:V53" si="0">SUM(C7:U7)</f>
        <v>40</v>
      </c>
    </row>
    <row r="8" spans="1:22">
      <c r="A8" s="1" t="s">
        <v>1</v>
      </c>
      <c r="B8" s="23" t="s">
        <v>63</v>
      </c>
      <c r="C8" s="39">
        <v>0</v>
      </c>
      <c r="D8" s="40">
        <v>0</v>
      </c>
      <c r="E8" s="40">
        <v>1</v>
      </c>
      <c r="F8" s="40">
        <v>1</v>
      </c>
      <c r="G8" s="40">
        <v>0</v>
      </c>
      <c r="H8" s="40">
        <v>1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3</v>
      </c>
      <c r="O8" s="40">
        <v>0</v>
      </c>
      <c r="P8" s="40">
        <v>2</v>
      </c>
      <c r="Q8" s="40">
        <v>2</v>
      </c>
      <c r="R8" s="40">
        <v>1</v>
      </c>
      <c r="S8" s="40">
        <v>2</v>
      </c>
      <c r="T8" s="40">
        <v>0</v>
      </c>
      <c r="U8" s="60">
        <v>0</v>
      </c>
      <c r="V8" s="25">
        <f t="shared" si="0"/>
        <v>13</v>
      </c>
    </row>
    <row r="9" spans="1:22">
      <c r="A9" s="1" t="s">
        <v>1</v>
      </c>
      <c r="B9" s="23" t="s">
        <v>64</v>
      </c>
      <c r="C9" s="39">
        <v>3</v>
      </c>
      <c r="D9" s="40">
        <v>3</v>
      </c>
      <c r="E9" s="40">
        <v>2</v>
      </c>
      <c r="F9" s="40">
        <v>2</v>
      </c>
      <c r="G9" s="40">
        <v>3</v>
      </c>
      <c r="H9" s="40">
        <v>3</v>
      </c>
      <c r="I9" s="40">
        <v>5</v>
      </c>
      <c r="J9" s="40">
        <v>0</v>
      </c>
      <c r="K9" s="40">
        <v>3</v>
      </c>
      <c r="L9" s="40">
        <v>1</v>
      </c>
      <c r="M9" s="40">
        <v>1</v>
      </c>
      <c r="N9" s="40">
        <v>0</v>
      </c>
      <c r="O9" s="40">
        <v>0</v>
      </c>
      <c r="P9" s="40">
        <v>1</v>
      </c>
      <c r="Q9" s="40">
        <v>0</v>
      </c>
      <c r="R9" s="40">
        <v>2</v>
      </c>
      <c r="S9" s="40">
        <v>1</v>
      </c>
      <c r="T9" s="40">
        <v>0</v>
      </c>
      <c r="U9" s="60">
        <v>0</v>
      </c>
      <c r="V9" s="25">
        <f t="shared" si="0"/>
        <v>30</v>
      </c>
    </row>
    <row r="10" spans="1:22">
      <c r="A10" s="1" t="s">
        <v>1</v>
      </c>
      <c r="B10" s="23" t="s">
        <v>65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2</v>
      </c>
      <c r="T10" s="40">
        <v>0</v>
      </c>
      <c r="U10" s="60">
        <v>0</v>
      </c>
      <c r="V10" s="25">
        <f t="shared" si="0"/>
        <v>2</v>
      </c>
    </row>
    <row r="11" spans="1:22">
      <c r="A11" s="1" t="s">
        <v>1</v>
      </c>
      <c r="B11" s="23" t="s">
        <v>66</v>
      </c>
      <c r="C11" s="41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61">
        <v>0</v>
      </c>
      <c r="V11" s="27">
        <f t="shared" si="0"/>
        <v>0</v>
      </c>
    </row>
    <row r="12" spans="1:22">
      <c r="A12" s="1" t="s">
        <v>1</v>
      </c>
      <c r="B12" s="23" t="s">
        <v>67</v>
      </c>
      <c r="C12" s="41">
        <v>1.1666666666666667</v>
      </c>
      <c r="D12" s="42">
        <v>1.4166666666666667</v>
      </c>
      <c r="E12" s="42">
        <v>1.2083333333333333</v>
      </c>
      <c r="F12" s="42">
        <v>2.6666666666666665</v>
      </c>
      <c r="G12" s="42">
        <v>1.4166666666666667</v>
      </c>
      <c r="H12" s="42">
        <v>2.25</v>
      </c>
      <c r="I12" s="42">
        <v>1.1666666666666667</v>
      </c>
      <c r="J12" s="42">
        <v>2</v>
      </c>
      <c r="K12" s="42">
        <v>1.75</v>
      </c>
      <c r="L12" s="42">
        <v>1.7083333333333335</v>
      </c>
      <c r="M12" s="42">
        <v>1.6666666666666665</v>
      </c>
      <c r="N12" s="42">
        <v>2.0833333333333335</v>
      </c>
      <c r="O12" s="42">
        <v>1.375</v>
      </c>
      <c r="P12" s="42">
        <v>2.7083333333333335</v>
      </c>
      <c r="Q12" s="42">
        <v>1.625</v>
      </c>
      <c r="R12" s="42">
        <v>1.9166666666666665</v>
      </c>
      <c r="S12" s="42">
        <v>2.8333333333333335</v>
      </c>
      <c r="T12" s="42">
        <v>1.875</v>
      </c>
      <c r="U12" s="61">
        <v>1.875</v>
      </c>
      <c r="V12" s="27">
        <f t="shared" si="0"/>
        <v>34.708333333333329</v>
      </c>
    </row>
    <row r="13" spans="1:22">
      <c r="A13" s="1" t="s">
        <v>1</v>
      </c>
      <c r="B13" s="23" t="s">
        <v>68</v>
      </c>
      <c r="C13" s="41">
        <v>0.45833333333333331</v>
      </c>
      <c r="D13" s="42">
        <v>1.1666666666666667</v>
      </c>
      <c r="E13" s="42">
        <v>0.625</v>
      </c>
      <c r="F13" s="42">
        <v>0.125</v>
      </c>
      <c r="G13" s="42">
        <v>0</v>
      </c>
      <c r="H13" s="42">
        <v>1.0833333333333333</v>
      </c>
      <c r="I13" s="42">
        <v>1.0416666666666667</v>
      </c>
      <c r="J13" s="42">
        <v>0.29166666666666669</v>
      </c>
      <c r="K13" s="42">
        <v>0.95833333333333337</v>
      </c>
      <c r="L13" s="42">
        <v>1.0416666666666667</v>
      </c>
      <c r="M13" s="42">
        <v>1.0833333333333333</v>
      </c>
      <c r="N13" s="42">
        <v>0</v>
      </c>
      <c r="O13" s="42">
        <v>0.625</v>
      </c>
      <c r="P13" s="42">
        <v>0.5</v>
      </c>
      <c r="Q13" s="42">
        <v>0.41666666666666669</v>
      </c>
      <c r="R13" s="42">
        <v>1</v>
      </c>
      <c r="S13" s="42">
        <v>0.91666666666666663</v>
      </c>
      <c r="T13" s="42">
        <v>0.79166666666666663</v>
      </c>
      <c r="U13" s="61">
        <v>0.91666666666666663</v>
      </c>
      <c r="V13" s="27">
        <f t="shared" si="0"/>
        <v>13.041666666666664</v>
      </c>
    </row>
    <row r="14" spans="1:22">
      <c r="A14" s="1" t="s">
        <v>1</v>
      </c>
      <c r="B14" s="23" t="s">
        <v>69</v>
      </c>
      <c r="C14" s="41">
        <v>0.875</v>
      </c>
      <c r="D14" s="42">
        <v>1.625</v>
      </c>
      <c r="E14" s="42">
        <v>0</v>
      </c>
      <c r="F14" s="42">
        <v>0.375</v>
      </c>
      <c r="G14" s="42">
        <v>0.75</v>
      </c>
      <c r="H14" s="42">
        <v>0.33333333333333331</v>
      </c>
      <c r="I14" s="42">
        <v>0.41666666666666669</v>
      </c>
      <c r="J14" s="42">
        <v>0</v>
      </c>
      <c r="K14" s="42">
        <v>0.625</v>
      </c>
      <c r="L14" s="42">
        <v>0</v>
      </c>
      <c r="M14" s="42">
        <v>1</v>
      </c>
      <c r="N14" s="42">
        <v>0</v>
      </c>
      <c r="O14" s="42">
        <v>0.70833333333333337</v>
      </c>
      <c r="P14" s="42">
        <v>0.95833333333333337</v>
      </c>
      <c r="Q14" s="42">
        <v>0.41666666666666669</v>
      </c>
      <c r="R14" s="42">
        <v>1.5</v>
      </c>
      <c r="S14" s="42">
        <v>0.33333333333333331</v>
      </c>
      <c r="T14" s="42">
        <v>0.79166666666666663</v>
      </c>
      <c r="U14" s="61">
        <v>0.70833333333333337</v>
      </c>
      <c r="V14" s="27">
        <f t="shared" si="0"/>
        <v>11.416666666666666</v>
      </c>
    </row>
    <row r="15" spans="1:22">
      <c r="A15" s="1" t="s">
        <v>1</v>
      </c>
      <c r="B15" s="23" t="s">
        <v>70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0.41666666666666669</v>
      </c>
      <c r="O15" s="42">
        <v>0</v>
      </c>
      <c r="P15" s="42">
        <v>0</v>
      </c>
      <c r="Q15" s="42">
        <v>0.41666666666666669</v>
      </c>
      <c r="R15" s="42">
        <v>0.45833333333333331</v>
      </c>
      <c r="S15" s="42">
        <v>0</v>
      </c>
      <c r="T15" s="42">
        <v>0</v>
      </c>
      <c r="U15" s="61">
        <v>0</v>
      </c>
      <c r="V15" s="27">
        <f t="shared" si="0"/>
        <v>1.2916666666666667</v>
      </c>
    </row>
    <row r="16" spans="1:22">
      <c r="A16" s="1" t="s">
        <v>1</v>
      </c>
      <c r="B16" s="23" t="s">
        <v>71</v>
      </c>
      <c r="C16" s="41">
        <v>0</v>
      </c>
      <c r="D16" s="42">
        <v>0</v>
      </c>
      <c r="E16" s="42">
        <v>0.375</v>
      </c>
      <c r="F16" s="42">
        <v>0.20833333333333334</v>
      </c>
      <c r="G16" s="42">
        <v>0</v>
      </c>
      <c r="H16" s="42">
        <v>0.33333333333333331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0.91666666666666663</v>
      </c>
      <c r="O16" s="42">
        <v>0</v>
      </c>
      <c r="P16" s="42">
        <v>0.70833333333333337</v>
      </c>
      <c r="Q16" s="42">
        <v>0.33333333333333331</v>
      </c>
      <c r="R16" s="42">
        <v>0</v>
      </c>
      <c r="S16" s="42">
        <v>0.875</v>
      </c>
      <c r="T16" s="42">
        <v>0</v>
      </c>
      <c r="U16" s="61">
        <v>0</v>
      </c>
      <c r="V16" s="27">
        <f t="shared" si="0"/>
        <v>3.7500000000000004</v>
      </c>
    </row>
    <row r="17" spans="1:22">
      <c r="A17" s="1" t="s">
        <v>1</v>
      </c>
      <c r="B17" s="23" t="s">
        <v>72</v>
      </c>
      <c r="C17" s="41">
        <v>0</v>
      </c>
      <c r="D17" s="42">
        <v>0</v>
      </c>
      <c r="E17" s="42">
        <v>0</v>
      </c>
      <c r="F17" s="42">
        <v>0.20833333333333334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0.54166666666666663</v>
      </c>
      <c r="Q17" s="42">
        <v>0</v>
      </c>
      <c r="R17" s="42">
        <v>0</v>
      </c>
      <c r="S17" s="42">
        <v>0.66666666666666663</v>
      </c>
      <c r="T17" s="42">
        <v>0</v>
      </c>
      <c r="U17" s="61">
        <v>0</v>
      </c>
      <c r="V17" s="27">
        <f t="shared" si="0"/>
        <v>1.4166666666666665</v>
      </c>
    </row>
    <row r="18" spans="1:22">
      <c r="A18" s="1" t="s">
        <v>1</v>
      </c>
      <c r="B18" s="23" t="s">
        <v>73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61">
        <v>0</v>
      </c>
      <c r="V18" s="27">
        <f t="shared" si="0"/>
        <v>0</v>
      </c>
    </row>
    <row r="19" spans="1:22">
      <c r="A19" s="1" t="s">
        <v>1</v>
      </c>
      <c r="B19" s="6" t="s">
        <v>74</v>
      </c>
      <c r="C19" s="43">
        <v>0.41666666666666669</v>
      </c>
      <c r="D19" s="44">
        <v>0.625</v>
      </c>
      <c r="E19" s="44">
        <v>4.1666666666666664E-2</v>
      </c>
      <c r="F19" s="44">
        <v>0.58333333333333337</v>
      </c>
      <c r="G19" s="44">
        <v>0.45833333333333331</v>
      </c>
      <c r="H19" s="44">
        <v>0.79166666666666663</v>
      </c>
      <c r="I19" s="44">
        <v>0.125</v>
      </c>
      <c r="J19" s="44">
        <v>0.5</v>
      </c>
      <c r="K19" s="44">
        <v>8.3333333333333329E-2</v>
      </c>
      <c r="L19" s="44">
        <v>0.75</v>
      </c>
      <c r="M19" s="44">
        <v>0.29166666666666669</v>
      </c>
      <c r="N19" s="44">
        <v>1.1666666666666667</v>
      </c>
      <c r="O19" s="44">
        <v>0.41666666666666669</v>
      </c>
      <c r="P19" s="44">
        <v>1.2916666666666667</v>
      </c>
      <c r="Q19" s="44">
        <v>1.75</v>
      </c>
      <c r="R19" s="44">
        <v>0.70833333333333337</v>
      </c>
      <c r="S19" s="44">
        <v>1.6666666666666665</v>
      </c>
      <c r="T19" s="44">
        <v>0.16666666666666666</v>
      </c>
      <c r="U19" s="62">
        <v>0.33333333333333331</v>
      </c>
      <c r="V19" s="8">
        <f t="shared" si="0"/>
        <v>12.166666666666668</v>
      </c>
    </row>
    <row r="20" spans="1:22">
      <c r="A20" s="1" t="s">
        <v>1</v>
      </c>
      <c r="B20" s="14" t="s">
        <v>75</v>
      </c>
      <c r="C20" s="45">
        <v>8</v>
      </c>
      <c r="D20" s="46">
        <v>5</v>
      </c>
      <c r="E20" s="46">
        <v>29</v>
      </c>
      <c r="F20" s="46">
        <v>26</v>
      </c>
      <c r="G20" s="46">
        <v>25</v>
      </c>
      <c r="H20" s="46">
        <v>20</v>
      </c>
      <c r="I20" s="46">
        <v>13</v>
      </c>
      <c r="J20" s="46">
        <v>21</v>
      </c>
      <c r="K20" s="46">
        <v>24</v>
      </c>
      <c r="L20" s="46">
        <v>32</v>
      </c>
      <c r="M20" s="46">
        <v>6</v>
      </c>
      <c r="N20" s="46">
        <v>4</v>
      </c>
      <c r="O20" s="46">
        <v>26</v>
      </c>
      <c r="P20" s="46">
        <v>5</v>
      </c>
      <c r="Q20" s="46">
        <v>23</v>
      </c>
      <c r="R20" s="46">
        <v>9</v>
      </c>
      <c r="S20" s="46">
        <v>6</v>
      </c>
      <c r="T20" s="46">
        <v>6</v>
      </c>
      <c r="U20" s="63">
        <v>12</v>
      </c>
      <c r="V20" s="16">
        <f t="shared" si="0"/>
        <v>300</v>
      </c>
    </row>
    <row r="21" spans="1:22">
      <c r="A21" s="1" t="s">
        <v>1</v>
      </c>
      <c r="B21" s="28" t="s">
        <v>76</v>
      </c>
      <c r="C21" s="47">
        <v>177000</v>
      </c>
      <c r="D21" s="48">
        <v>187000</v>
      </c>
      <c r="E21" s="48">
        <v>192000</v>
      </c>
      <c r="F21" s="48">
        <v>192000</v>
      </c>
      <c r="G21" s="48">
        <v>187000</v>
      </c>
      <c r="H21" s="48">
        <v>192000</v>
      </c>
      <c r="I21" s="48">
        <v>177000</v>
      </c>
      <c r="J21" s="48">
        <v>182000</v>
      </c>
      <c r="K21" s="48">
        <v>177000</v>
      </c>
      <c r="L21" s="48">
        <v>187000</v>
      </c>
      <c r="M21" s="48">
        <v>177000</v>
      </c>
      <c r="N21" s="48">
        <v>182000</v>
      </c>
      <c r="O21" s="48">
        <v>187000</v>
      </c>
      <c r="P21" s="48">
        <v>177000</v>
      </c>
      <c r="Q21" s="48">
        <v>170000</v>
      </c>
      <c r="R21" s="48">
        <v>170000</v>
      </c>
      <c r="S21" s="48">
        <v>170000</v>
      </c>
      <c r="T21" s="48">
        <v>170000</v>
      </c>
      <c r="U21" s="64">
        <v>170000</v>
      </c>
      <c r="V21" s="30">
        <f t="shared" si="0"/>
        <v>3423000</v>
      </c>
    </row>
    <row r="22" spans="1:22">
      <c r="A22" s="1" t="s">
        <v>1</v>
      </c>
      <c r="B22" s="23" t="s">
        <v>77</v>
      </c>
      <c r="C22" s="49">
        <v>0</v>
      </c>
      <c r="D22" s="50">
        <v>0</v>
      </c>
      <c r="E22" s="50">
        <v>20000</v>
      </c>
      <c r="F22" s="50">
        <v>20000</v>
      </c>
      <c r="G22" s="50">
        <v>5000</v>
      </c>
      <c r="H22" s="50">
        <v>5000</v>
      </c>
      <c r="I22" s="50">
        <v>0</v>
      </c>
      <c r="J22" s="50">
        <v>5000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5000</v>
      </c>
      <c r="Q22" s="50">
        <v>0</v>
      </c>
      <c r="R22" s="50">
        <v>0</v>
      </c>
      <c r="S22" s="50">
        <v>0</v>
      </c>
      <c r="T22" s="50">
        <v>0</v>
      </c>
      <c r="U22" s="65">
        <v>0</v>
      </c>
      <c r="V22" s="32">
        <f t="shared" si="0"/>
        <v>60000</v>
      </c>
    </row>
    <row r="23" spans="1:22">
      <c r="A23" s="1" t="s">
        <v>1</v>
      </c>
      <c r="B23" s="23" t="s">
        <v>78</v>
      </c>
      <c r="C23" s="49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65">
        <v>0</v>
      </c>
      <c r="V23" s="32">
        <f t="shared" si="0"/>
        <v>0</v>
      </c>
    </row>
    <row r="24" spans="1:22">
      <c r="A24" s="1" t="s">
        <v>1</v>
      </c>
      <c r="B24" s="23" t="s">
        <v>79</v>
      </c>
      <c r="C24" s="49">
        <v>0</v>
      </c>
      <c r="D24" s="50">
        <v>7640</v>
      </c>
      <c r="E24" s="50">
        <v>75423</v>
      </c>
      <c r="F24" s="50">
        <v>24135</v>
      </c>
      <c r="G24" s="50">
        <v>0</v>
      </c>
      <c r="H24" s="50">
        <v>22526</v>
      </c>
      <c r="I24" s="50">
        <v>5788</v>
      </c>
      <c r="J24" s="50">
        <v>0</v>
      </c>
      <c r="K24" s="50">
        <v>7235</v>
      </c>
      <c r="L24" s="50">
        <v>51848</v>
      </c>
      <c r="M24" s="50">
        <v>0</v>
      </c>
      <c r="N24" s="50">
        <v>0</v>
      </c>
      <c r="O24" s="50">
        <v>31086</v>
      </c>
      <c r="P24" s="50">
        <v>11083</v>
      </c>
      <c r="Q24" s="50">
        <v>0</v>
      </c>
      <c r="R24" s="50">
        <v>0</v>
      </c>
      <c r="S24" s="50">
        <v>0</v>
      </c>
      <c r="T24" s="50">
        <v>0</v>
      </c>
      <c r="U24" s="65">
        <v>0</v>
      </c>
      <c r="V24" s="32">
        <f t="shared" si="0"/>
        <v>236764</v>
      </c>
    </row>
    <row r="25" spans="1:22">
      <c r="A25" s="1" t="s">
        <v>1</v>
      </c>
      <c r="B25" s="23" t="s">
        <v>80</v>
      </c>
      <c r="C25" s="49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65">
        <v>0</v>
      </c>
      <c r="V25" s="32">
        <f t="shared" si="0"/>
        <v>0</v>
      </c>
    </row>
    <row r="26" spans="1:22">
      <c r="A26" s="1" t="s">
        <v>1</v>
      </c>
      <c r="B26" s="23" t="s">
        <v>81</v>
      </c>
      <c r="C26" s="49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65">
        <v>0</v>
      </c>
      <c r="V26" s="32">
        <f t="shared" si="0"/>
        <v>0</v>
      </c>
    </row>
    <row r="27" spans="1:22">
      <c r="A27" s="1" t="s">
        <v>1</v>
      </c>
      <c r="B27" s="23" t="s">
        <v>82</v>
      </c>
      <c r="C27" s="49">
        <v>29800</v>
      </c>
      <c r="D27" s="50">
        <v>30400</v>
      </c>
      <c r="E27" s="50">
        <v>27400</v>
      </c>
      <c r="F27" s="50">
        <v>28400</v>
      </c>
      <c r="G27" s="50">
        <v>14000</v>
      </c>
      <c r="H27" s="50">
        <v>27000</v>
      </c>
      <c r="I27" s="50">
        <v>28000</v>
      </c>
      <c r="J27" s="50">
        <v>29400</v>
      </c>
      <c r="K27" s="50">
        <v>29200</v>
      </c>
      <c r="L27" s="50">
        <v>29200</v>
      </c>
      <c r="M27" s="50">
        <v>29200</v>
      </c>
      <c r="N27" s="50">
        <v>29600</v>
      </c>
      <c r="O27" s="50">
        <v>28600</v>
      </c>
      <c r="P27" s="50">
        <v>28800</v>
      </c>
      <c r="Q27" s="50">
        <v>28000</v>
      </c>
      <c r="R27" s="50">
        <v>14300</v>
      </c>
      <c r="S27" s="50">
        <v>14300</v>
      </c>
      <c r="T27" s="50">
        <v>15400</v>
      </c>
      <c r="U27" s="65">
        <v>0</v>
      </c>
      <c r="V27" s="32">
        <f t="shared" si="0"/>
        <v>461000</v>
      </c>
    </row>
    <row r="28" spans="1:22">
      <c r="A28" s="1" t="s">
        <v>1</v>
      </c>
      <c r="B28" s="23" t="s">
        <v>83</v>
      </c>
      <c r="C28" s="49">
        <v>3500</v>
      </c>
      <c r="D28" s="50">
        <v>3500</v>
      </c>
      <c r="E28" s="50">
        <v>3500</v>
      </c>
      <c r="F28" s="50">
        <v>3500</v>
      </c>
      <c r="G28" s="50">
        <v>0</v>
      </c>
      <c r="H28" s="50">
        <v>3500</v>
      </c>
      <c r="I28" s="50">
        <v>3500</v>
      </c>
      <c r="J28" s="50">
        <v>3500</v>
      </c>
      <c r="K28" s="50">
        <v>3500</v>
      </c>
      <c r="L28" s="50">
        <v>3500</v>
      </c>
      <c r="M28" s="50">
        <v>3500</v>
      </c>
      <c r="N28" s="50">
        <v>3500</v>
      </c>
      <c r="O28" s="50">
        <v>3500</v>
      </c>
      <c r="P28" s="50">
        <v>3500</v>
      </c>
      <c r="Q28" s="50">
        <v>3500</v>
      </c>
      <c r="R28" s="50">
        <v>0</v>
      </c>
      <c r="S28" s="50">
        <v>0</v>
      </c>
      <c r="T28" s="50">
        <v>0</v>
      </c>
      <c r="U28" s="65">
        <v>0</v>
      </c>
      <c r="V28" s="32">
        <f t="shared" si="0"/>
        <v>49000</v>
      </c>
    </row>
    <row r="29" spans="1:22">
      <c r="A29" s="1" t="s">
        <v>1</v>
      </c>
      <c r="B29" s="23" t="s">
        <v>84</v>
      </c>
      <c r="C29" s="49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65">
        <v>0</v>
      </c>
      <c r="V29" s="32">
        <f t="shared" si="0"/>
        <v>0</v>
      </c>
    </row>
    <row r="30" spans="1:22">
      <c r="A30" s="1" t="s">
        <v>1</v>
      </c>
      <c r="B30" s="23" t="s">
        <v>67</v>
      </c>
      <c r="C30" s="49">
        <v>37828</v>
      </c>
      <c r="D30" s="50">
        <v>48484</v>
      </c>
      <c r="E30" s="50">
        <v>46777</v>
      </c>
      <c r="F30" s="50">
        <v>103232</v>
      </c>
      <c r="G30" s="50">
        <v>48892</v>
      </c>
      <c r="H30" s="50">
        <v>81054</v>
      </c>
      <c r="I30" s="50">
        <v>37828</v>
      </c>
      <c r="J30" s="50">
        <v>68448</v>
      </c>
      <c r="K30" s="50">
        <v>56742</v>
      </c>
      <c r="L30" s="50">
        <v>58466</v>
      </c>
      <c r="M30" s="50">
        <v>54040</v>
      </c>
      <c r="N30" s="50">
        <v>69450</v>
      </c>
      <c r="O30" s="50">
        <v>47058</v>
      </c>
      <c r="P30" s="50">
        <v>90285</v>
      </c>
      <c r="Q30" s="50">
        <v>50661</v>
      </c>
      <c r="R30" s="50">
        <v>58558</v>
      </c>
      <c r="S30" s="50">
        <v>86564</v>
      </c>
      <c r="T30" s="50">
        <v>57285</v>
      </c>
      <c r="U30" s="65">
        <v>57285</v>
      </c>
      <c r="V30" s="32">
        <f t="shared" si="0"/>
        <v>1158937</v>
      </c>
    </row>
    <row r="31" spans="1:22">
      <c r="A31" s="1" t="s">
        <v>1</v>
      </c>
      <c r="B31" s="23" t="s">
        <v>85</v>
      </c>
      <c r="C31" s="49">
        <v>16049</v>
      </c>
      <c r="D31" s="50">
        <v>43120</v>
      </c>
      <c r="E31" s="50">
        <v>26130</v>
      </c>
      <c r="F31" s="50">
        <v>5226</v>
      </c>
      <c r="G31" s="50">
        <v>0</v>
      </c>
      <c r="H31" s="50">
        <v>42146</v>
      </c>
      <c r="I31" s="50">
        <v>36475</v>
      </c>
      <c r="J31" s="50">
        <v>10780</v>
      </c>
      <c r="K31" s="50">
        <v>33557</v>
      </c>
      <c r="L31" s="50">
        <v>38500</v>
      </c>
      <c r="M31" s="50">
        <v>37934</v>
      </c>
      <c r="N31" s="50">
        <v>0</v>
      </c>
      <c r="O31" s="50">
        <v>23100</v>
      </c>
      <c r="P31" s="50">
        <v>18000</v>
      </c>
      <c r="Q31" s="50">
        <v>14030</v>
      </c>
      <c r="R31" s="50">
        <v>32976</v>
      </c>
      <c r="S31" s="50">
        <v>30228</v>
      </c>
      <c r="T31" s="50">
        <v>26106</v>
      </c>
      <c r="U31" s="65">
        <v>30228</v>
      </c>
      <c r="V31" s="32">
        <f t="shared" si="0"/>
        <v>464585</v>
      </c>
    </row>
    <row r="32" spans="1:22">
      <c r="A32" s="1" t="s">
        <v>1</v>
      </c>
      <c r="B32" s="23" t="s">
        <v>86</v>
      </c>
      <c r="C32" s="49">
        <v>30639</v>
      </c>
      <c r="D32" s="50">
        <v>60060</v>
      </c>
      <c r="E32" s="50">
        <v>0</v>
      </c>
      <c r="F32" s="50">
        <v>15678</v>
      </c>
      <c r="G32" s="50">
        <v>27954</v>
      </c>
      <c r="H32" s="50">
        <v>12968</v>
      </c>
      <c r="I32" s="50">
        <v>14590</v>
      </c>
      <c r="J32" s="50">
        <v>0</v>
      </c>
      <c r="K32" s="50">
        <v>21885</v>
      </c>
      <c r="L32" s="50">
        <v>0</v>
      </c>
      <c r="M32" s="50">
        <v>35016</v>
      </c>
      <c r="N32" s="50">
        <v>0</v>
      </c>
      <c r="O32" s="50">
        <v>26180</v>
      </c>
      <c r="P32" s="50">
        <v>34500</v>
      </c>
      <c r="Q32" s="50">
        <v>14030</v>
      </c>
      <c r="R32" s="50">
        <v>49464</v>
      </c>
      <c r="S32" s="50">
        <v>10992</v>
      </c>
      <c r="T32" s="50">
        <v>26106</v>
      </c>
      <c r="U32" s="65">
        <v>23358</v>
      </c>
      <c r="V32" s="32">
        <f t="shared" si="0"/>
        <v>403420</v>
      </c>
    </row>
    <row r="33" spans="1:22">
      <c r="A33" s="1" t="s">
        <v>1</v>
      </c>
      <c r="B33" s="23" t="s">
        <v>87</v>
      </c>
      <c r="C33" s="49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3890</v>
      </c>
      <c r="O33" s="50">
        <v>0</v>
      </c>
      <c r="P33" s="50">
        <v>0</v>
      </c>
      <c r="Q33" s="50">
        <v>3640</v>
      </c>
      <c r="R33" s="50">
        <v>3916</v>
      </c>
      <c r="S33" s="50">
        <v>0</v>
      </c>
      <c r="T33" s="50">
        <v>0</v>
      </c>
      <c r="U33" s="65">
        <v>0</v>
      </c>
      <c r="V33" s="32">
        <f t="shared" si="0"/>
        <v>11446</v>
      </c>
    </row>
    <row r="34" spans="1:22">
      <c r="A34" s="1" t="s">
        <v>1</v>
      </c>
      <c r="B34" s="23" t="s">
        <v>88</v>
      </c>
      <c r="C34" s="49">
        <v>0</v>
      </c>
      <c r="D34" s="50">
        <v>0</v>
      </c>
      <c r="E34" s="50">
        <v>4068</v>
      </c>
      <c r="F34" s="50">
        <v>2260</v>
      </c>
      <c r="G34" s="50">
        <v>0</v>
      </c>
      <c r="H34" s="50">
        <v>3360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8558</v>
      </c>
      <c r="O34" s="50">
        <v>0</v>
      </c>
      <c r="P34" s="50">
        <v>6613</v>
      </c>
      <c r="Q34" s="50">
        <v>2912</v>
      </c>
      <c r="R34" s="50">
        <v>0</v>
      </c>
      <c r="S34" s="50">
        <v>7476</v>
      </c>
      <c r="T34" s="50">
        <v>0</v>
      </c>
      <c r="U34" s="65">
        <v>0</v>
      </c>
      <c r="V34" s="32">
        <f t="shared" si="0"/>
        <v>35247</v>
      </c>
    </row>
    <row r="35" spans="1:22">
      <c r="A35" s="1" t="s">
        <v>1</v>
      </c>
      <c r="B35" s="23" t="s">
        <v>72</v>
      </c>
      <c r="C35" s="49">
        <v>0</v>
      </c>
      <c r="D35" s="50">
        <v>0</v>
      </c>
      <c r="E35" s="50">
        <v>0</v>
      </c>
      <c r="F35" s="50">
        <v>1615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3614</v>
      </c>
      <c r="Q35" s="50">
        <v>0</v>
      </c>
      <c r="R35" s="50">
        <v>0</v>
      </c>
      <c r="S35" s="50">
        <v>4080</v>
      </c>
      <c r="T35" s="50">
        <v>0</v>
      </c>
      <c r="U35" s="65">
        <v>0</v>
      </c>
      <c r="V35" s="32">
        <f t="shared" si="0"/>
        <v>9309</v>
      </c>
    </row>
    <row r="36" spans="1:22">
      <c r="A36" s="1" t="s">
        <v>1</v>
      </c>
      <c r="B36" s="6" t="s">
        <v>74</v>
      </c>
      <c r="C36" s="51">
        <v>2700</v>
      </c>
      <c r="D36" s="52">
        <v>4275</v>
      </c>
      <c r="E36" s="52">
        <v>323</v>
      </c>
      <c r="F36" s="52">
        <v>4522</v>
      </c>
      <c r="G36" s="52">
        <v>3168</v>
      </c>
      <c r="H36" s="52">
        <v>5700</v>
      </c>
      <c r="I36" s="52">
        <v>810</v>
      </c>
      <c r="J36" s="52">
        <v>3420</v>
      </c>
      <c r="K36" s="52">
        <v>540</v>
      </c>
      <c r="L36" s="52">
        <v>5130</v>
      </c>
      <c r="M36" s="52">
        <v>1890</v>
      </c>
      <c r="N36" s="52">
        <v>7784</v>
      </c>
      <c r="O36" s="52">
        <v>2850</v>
      </c>
      <c r="P36" s="52">
        <v>8618</v>
      </c>
      <c r="Q36" s="52">
        <v>10920</v>
      </c>
      <c r="R36" s="52">
        <v>4335</v>
      </c>
      <c r="S36" s="52">
        <v>10200</v>
      </c>
      <c r="T36" s="52">
        <v>1020</v>
      </c>
      <c r="U36" s="66">
        <v>2040</v>
      </c>
      <c r="V36" s="10">
        <f t="shared" si="0"/>
        <v>80245</v>
      </c>
    </row>
    <row r="37" spans="1:22">
      <c r="A37" s="1" t="s">
        <v>1</v>
      </c>
      <c r="B37" s="14" t="s">
        <v>89</v>
      </c>
      <c r="C37" s="53">
        <v>297516</v>
      </c>
      <c r="D37" s="54">
        <v>384479</v>
      </c>
      <c r="E37" s="54">
        <v>395621</v>
      </c>
      <c r="F37" s="54">
        <v>400568</v>
      </c>
      <c r="G37" s="54">
        <v>286014</v>
      </c>
      <c r="H37" s="54">
        <v>395254</v>
      </c>
      <c r="I37" s="54">
        <v>303991</v>
      </c>
      <c r="J37" s="54">
        <v>302548</v>
      </c>
      <c r="K37" s="54">
        <v>329659</v>
      </c>
      <c r="L37" s="54">
        <v>373644</v>
      </c>
      <c r="M37" s="54">
        <v>338580</v>
      </c>
      <c r="N37" s="54">
        <v>304782</v>
      </c>
      <c r="O37" s="54">
        <v>349374</v>
      </c>
      <c r="P37" s="54">
        <v>387013</v>
      </c>
      <c r="Q37" s="54">
        <v>297693</v>
      </c>
      <c r="R37" s="54">
        <v>333549</v>
      </c>
      <c r="S37" s="54">
        <v>333840</v>
      </c>
      <c r="T37" s="54">
        <v>295917</v>
      </c>
      <c r="U37" s="67">
        <v>282911</v>
      </c>
      <c r="V37" s="18">
        <f t="shared" si="0"/>
        <v>6392953</v>
      </c>
    </row>
    <row r="38" spans="1:22">
      <c r="A38" s="1" t="s">
        <v>1</v>
      </c>
      <c r="B38" s="28" t="s">
        <v>90</v>
      </c>
      <c r="C38" s="47">
        <v>12781</v>
      </c>
      <c r="D38" s="48">
        <v>3612</v>
      </c>
      <c r="E38" s="48">
        <v>5502</v>
      </c>
      <c r="F38" s="48">
        <v>3057</v>
      </c>
      <c r="G38" s="48">
        <v>14060</v>
      </c>
      <c r="H38" s="48">
        <v>2557</v>
      </c>
      <c r="I38" s="48">
        <v>2334</v>
      </c>
      <c r="J38" s="48">
        <v>1279</v>
      </c>
      <c r="K38" s="48">
        <v>3335</v>
      </c>
      <c r="L38" s="48">
        <v>5335</v>
      </c>
      <c r="M38" s="48">
        <v>7224</v>
      </c>
      <c r="N38" s="48">
        <v>4279</v>
      </c>
      <c r="O38" s="48">
        <v>9003</v>
      </c>
      <c r="P38" s="48">
        <v>6669</v>
      </c>
      <c r="Q38" s="48">
        <v>11337</v>
      </c>
      <c r="R38" s="48">
        <v>8336</v>
      </c>
      <c r="S38" s="48">
        <v>9586</v>
      </c>
      <c r="T38" s="48">
        <v>9392</v>
      </c>
      <c r="U38" s="64">
        <v>3001</v>
      </c>
      <c r="V38" s="30">
        <f t="shared" si="0"/>
        <v>122679</v>
      </c>
    </row>
    <row r="39" spans="1:22">
      <c r="A39" s="1" t="s">
        <v>1</v>
      </c>
      <c r="B39" s="6" t="s">
        <v>91</v>
      </c>
      <c r="C39" s="51">
        <v>12781</v>
      </c>
      <c r="D39" s="52">
        <v>3612</v>
      </c>
      <c r="E39" s="52">
        <v>5502</v>
      </c>
      <c r="F39" s="52">
        <v>3057</v>
      </c>
      <c r="G39" s="52">
        <v>14060</v>
      </c>
      <c r="H39" s="52">
        <v>2557</v>
      </c>
      <c r="I39" s="52">
        <v>2334</v>
      </c>
      <c r="J39" s="52">
        <v>1279</v>
      </c>
      <c r="K39" s="52">
        <v>3335</v>
      </c>
      <c r="L39" s="52">
        <v>5335</v>
      </c>
      <c r="M39" s="52">
        <v>7224</v>
      </c>
      <c r="N39" s="52">
        <v>4279</v>
      </c>
      <c r="O39" s="52">
        <v>9003</v>
      </c>
      <c r="P39" s="52">
        <v>6669</v>
      </c>
      <c r="Q39" s="52">
        <v>11337</v>
      </c>
      <c r="R39" s="52">
        <v>8336</v>
      </c>
      <c r="S39" s="52">
        <v>9586</v>
      </c>
      <c r="T39" s="52">
        <v>9392</v>
      </c>
      <c r="U39" s="66">
        <v>3001</v>
      </c>
      <c r="V39" s="10">
        <f t="shared" si="0"/>
        <v>122679</v>
      </c>
    </row>
    <row r="40" spans="1:22">
      <c r="A40" s="1" t="s">
        <v>1</v>
      </c>
      <c r="B40" s="14" t="s">
        <v>92</v>
      </c>
      <c r="C40" s="53">
        <v>310297</v>
      </c>
      <c r="D40" s="54">
        <v>388091</v>
      </c>
      <c r="E40" s="54">
        <v>401123</v>
      </c>
      <c r="F40" s="54">
        <v>403625</v>
      </c>
      <c r="G40" s="54">
        <v>300074</v>
      </c>
      <c r="H40" s="54">
        <v>397811</v>
      </c>
      <c r="I40" s="54">
        <v>306325</v>
      </c>
      <c r="J40" s="54">
        <v>303827</v>
      </c>
      <c r="K40" s="54">
        <v>332994</v>
      </c>
      <c r="L40" s="54">
        <v>378979</v>
      </c>
      <c r="M40" s="54">
        <v>345804</v>
      </c>
      <c r="N40" s="54">
        <v>309061</v>
      </c>
      <c r="O40" s="54">
        <v>358377</v>
      </c>
      <c r="P40" s="54">
        <v>393682</v>
      </c>
      <c r="Q40" s="54">
        <v>309030</v>
      </c>
      <c r="R40" s="54">
        <v>341885</v>
      </c>
      <c r="S40" s="54">
        <v>343426</v>
      </c>
      <c r="T40" s="54">
        <v>305309</v>
      </c>
      <c r="U40" s="67">
        <v>285912</v>
      </c>
      <c r="V40" s="18">
        <f t="shared" si="0"/>
        <v>6515632</v>
      </c>
    </row>
    <row r="41" spans="1:22">
      <c r="A41" s="1" t="s">
        <v>1</v>
      </c>
      <c r="B41" s="28" t="s">
        <v>93</v>
      </c>
      <c r="C41" s="47">
        <v>15300</v>
      </c>
      <c r="D41" s="48">
        <v>16320</v>
      </c>
      <c r="E41" s="48">
        <v>19380</v>
      </c>
      <c r="F41" s="48">
        <v>20910</v>
      </c>
      <c r="G41" s="48">
        <v>17340</v>
      </c>
      <c r="H41" s="48">
        <v>19380</v>
      </c>
      <c r="I41" s="48">
        <v>16320</v>
      </c>
      <c r="J41" s="48">
        <v>16320</v>
      </c>
      <c r="K41" s="48">
        <v>16320</v>
      </c>
      <c r="L41" s="48">
        <v>18360</v>
      </c>
      <c r="M41" s="48">
        <v>15300</v>
      </c>
      <c r="N41" s="48">
        <v>16320</v>
      </c>
      <c r="O41" s="48">
        <v>16320</v>
      </c>
      <c r="P41" s="48">
        <v>17340</v>
      </c>
      <c r="Q41" s="48">
        <v>14280</v>
      </c>
      <c r="R41" s="48">
        <v>14280</v>
      </c>
      <c r="S41" s="48">
        <v>16320</v>
      </c>
      <c r="T41" s="48">
        <v>14280</v>
      </c>
      <c r="U41" s="64">
        <v>15300</v>
      </c>
      <c r="V41" s="30">
        <f t="shared" si="0"/>
        <v>315690</v>
      </c>
    </row>
    <row r="42" spans="1:22">
      <c r="A42" s="1" t="s">
        <v>1</v>
      </c>
      <c r="B42" s="23" t="s">
        <v>94</v>
      </c>
      <c r="C42" s="49">
        <v>2700</v>
      </c>
      <c r="D42" s="50">
        <v>2880</v>
      </c>
      <c r="E42" s="50">
        <v>3420</v>
      </c>
      <c r="F42" s="50">
        <v>3690</v>
      </c>
      <c r="G42" s="50">
        <v>3060</v>
      </c>
      <c r="H42" s="50">
        <v>3420</v>
      </c>
      <c r="I42" s="50">
        <v>2880</v>
      </c>
      <c r="J42" s="50">
        <v>2880</v>
      </c>
      <c r="K42" s="50">
        <v>2880</v>
      </c>
      <c r="L42" s="50">
        <v>3240</v>
      </c>
      <c r="M42" s="50">
        <v>2700</v>
      </c>
      <c r="N42" s="50">
        <v>2880</v>
      </c>
      <c r="O42" s="50">
        <v>2880</v>
      </c>
      <c r="P42" s="50">
        <v>3060</v>
      </c>
      <c r="Q42" s="50">
        <v>2520</v>
      </c>
      <c r="R42" s="50">
        <v>2520</v>
      </c>
      <c r="S42" s="50">
        <v>2880</v>
      </c>
      <c r="T42" s="50">
        <v>2520</v>
      </c>
      <c r="U42" s="65">
        <v>2700</v>
      </c>
      <c r="V42" s="32">
        <f t="shared" si="0"/>
        <v>55710</v>
      </c>
    </row>
    <row r="43" spans="1:22">
      <c r="A43" s="1" t="s">
        <v>1</v>
      </c>
      <c r="B43" s="23" t="s">
        <v>95</v>
      </c>
      <c r="C43" s="49">
        <v>27450</v>
      </c>
      <c r="D43" s="50">
        <v>29280</v>
      </c>
      <c r="E43" s="50">
        <v>34770</v>
      </c>
      <c r="F43" s="50">
        <v>37515</v>
      </c>
      <c r="G43" s="50">
        <v>31110</v>
      </c>
      <c r="H43" s="50">
        <v>34770</v>
      </c>
      <c r="I43" s="50">
        <v>29280</v>
      </c>
      <c r="J43" s="50">
        <v>29280</v>
      </c>
      <c r="K43" s="50">
        <v>29280</v>
      </c>
      <c r="L43" s="50">
        <v>32940</v>
      </c>
      <c r="M43" s="50">
        <v>27450</v>
      </c>
      <c r="N43" s="50">
        <v>29280</v>
      </c>
      <c r="O43" s="50">
        <v>29280</v>
      </c>
      <c r="P43" s="50">
        <v>31110</v>
      </c>
      <c r="Q43" s="50">
        <v>25620</v>
      </c>
      <c r="R43" s="50">
        <v>25620</v>
      </c>
      <c r="S43" s="50">
        <v>29280</v>
      </c>
      <c r="T43" s="50">
        <v>25620</v>
      </c>
      <c r="U43" s="65">
        <v>27450</v>
      </c>
      <c r="V43" s="32">
        <f t="shared" si="0"/>
        <v>566385</v>
      </c>
    </row>
    <row r="44" spans="1:22">
      <c r="A44" s="1" t="s">
        <v>1</v>
      </c>
      <c r="B44" s="6" t="s">
        <v>96</v>
      </c>
      <c r="C44" s="51">
        <v>1862</v>
      </c>
      <c r="D44" s="52">
        <v>2329</v>
      </c>
      <c r="E44" s="52">
        <v>2407</v>
      </c>
      <c r="F44" s="52">
        <v>2422</v>
      </c>
      <c r="G44" s="52">
        <v>1800</v>
      </c>
      <c r="H44" s="52">
        <v>2387</v>
      </c>
      <c r="I44" s="52">
        <v>1838</v>
      </c>
      <c r="J44" s="52">
        <v>1823</v>
      </c>
      <c r="K44" s="52">
        <v>1998</v>
      </c>
      <c r="L44" s="52">
        <v>2274</v>
      </c>
      <c r="M44" s="52">
        <v>2075</v>
      </c>
      <c r="N44" s="52">
        <v>1854</v>
      </c>
      <c r="O44" s="52">
        <v>2150</v>
      </c>
      <c r="P44" s="52">
        <v>2362</v>
      </c>
      <c r="Q44" s="52">
        <v>1854</v>
      </c>
      <c r="R44" s="52">
        <v>2051</v>
      </c>
      <c r="S44" s="52">
        <v>2061</v>
      </c>
      <c r="T44" s="52">
        <v>1832</v>
      </c>
      <c r="U44" s="66">
        <v>1715</v>
      </c>
      <c r="V44" s="10">
        <f t="shared" si="0"/>
        <v>39094</v>
      </c>
    </row>
    <row r="45" spans="1:22">
      <c r="A45" s="1" t="s">
        <v>1</v>
      </c>
      <c r="B45" s="14" t="s">
        <v>97</v>
      </c>
      <c r="C45" s="53">
        <v>47312</v>
      </c>
      <c r="D45" s="54">
        <v>50809</v>
      </c>
      <c r="E45" s="54">
        <v>59977</v>
      </c>
      <c r="F45" s="54">
        <v>64537</v>
      </c>
      <c r="G45" s="54">
        <v>53310</v>
      </c>
      <c r="H45" s="54">
        <v>59957</v>
      </c>
      <c r="I45" s="54">
        <v>50318</v>
      </c>
      <c r="J45" s="54">
        <v>50303</v>
      </c>
      <c r="K45" s="54">
        <v>50478</v>
      </c>
      <c r="L45" s="54">
        <v>56814</v>
      </c>
      <c r="M45" s="54">
        <v>47525</v>
      </c>
      <c r="N45" s="54">
        <v>50334</v>
      </c>
      <c r="O45" s="54">
        <v>50630</v>
      </c>
      <c r="P45" s="54">
        <v>53872</v>
      </c>
      <c r="Q45" s="54">
        <v>44274</v>
      </c>
      <c r="R45" s="54">
        <v>44471</v>
      </c>
      <c r="S45" s="54">
        <v>50541</v>
      </c>
      <c r="T45" s="54">
        <v>44252</v>
      </c>
      <c r="U45" s="67">
        <v>47165</v>
      </c>
      <c r="V45" s="18">
        <f t="shared" si="0"/>
        <v>976879</v>
      </c>
    </row>
    <row r="46" spans="1:22">
      <c r="A46" s="1" t="s">
        <v>1</v>
      </c>
      <c r="B46" s="28" t="s">
        <v>98</v>
      </c>
      <c r="C46" s="47">
        <v>4940</v>
      </c>
      <c r="D46" s="48">
        <v>11130</v>
      </c>
      <c r="E46" s="48">
        <v>8180</v>
      </c>
      <c r="F46" s="48">
        <v>11320</v>
      </c>
      <c r="G46" s="48">
        <v>4320</v>
      </c>
      <c r="H46" s="48">
        <v>11260</v>
      </c>
      <c r="I46" s="48">
        <v>6680</v>
      </c>
      <c r="J46" s="48">
        <v>5010</v>
      </c>
      <c r="K46" s="48">
        <v>7590</v>
      </c>
      <c r="L46" s="48">
        <v>9750</v>
      </c>
      <c r="M46" s="48">
        <v>8020</v>
      </c>
      <c r="N46" s="48">
        <v>6710</v>
      </c>
      <c r="O46" s="48">
        <v>8290</v>
      </c>
      <c r="P46" s="48">
        <v>4840</v>
      </c>
      <c r="Q46" s="48">
        <v>6670</v>
      </c>
      <c r="R46" s="48">
        <v>7950</v>
      </c>
      <c r="S46" s="48">
        <v>6120</v>
      </c>
      <c r="T46" s="48">
        <v>6610</v>
      </c>
      <c r="U46" s="64">
        <v>6040</v>
      </c>
      <c r="V46" s="30">
        <f t="shared" si="0"/>
        <v>141430</v>
      </c>
    </row>
    <row r="47" spans="1:22">
      <c r="A47" s="1" t="s">
        <v>1</v>
      </c>
      <c r="B47" s="23" t="s">
        <v>99</v>
      </c>
      <c r="C47" s="49">
        <v>1300</v>
      </c>
      <c r="D47" s="50">
        <v>1300</v>
      </c>
      <c r="E47" s="50">
        <v>1300</v>
      </c>
      <c r="F47" s="50">
        <v>0</v>
      </c>
      <c r="G47" s="50">
        <v>1300</v>
      </c>
      <c r="H47" s="50">
        <v>1300</v>
      </c>
      <c r="I47" s="50">
        <v>1300</v>
      </c>
      <c r="J47" s="50">
        <v>1300</v>
      </c>
      <c r="K47" s="50">
        <v>1300</v>
      </c>
      <c r="L47" s="50">
        <v>1300</v>
      </c>
      <c r="M47" s="50">
        <v>0</v>
      </c>
      <c r="N47" s="50">
        <v>0</v>
      </c>
      <c r="O47" s="50">
        <v>1300</v>
      </c>
      <c r="P47" s="50">
        <v>1300</v>
      </c>
      <c r="Q47" s="50">
        <v>1300</v>
      </c>
      <c r="R47" s="50">
        <v>1300</v>
      </c>
      <c r="S47" s="50">
        <v>1300</v>
      </c>
      <c r="T47" s="50">
        <v>1300</v>
      </c>
      <c r="U47" s="65">
        <v>0</v>
      </c>
      <c r="V47" s="32">
        <f t="shared" si="0"/>
        <v>19500</v>
      </c>
    </row>
    <row r="48" spans="1:22">
      <c r="A48" s="1" t="s">
        <v>1</v>
      </c>
      <c r="B48" s="23" t="s">
        <v>100</v>
      </c>
      <c r="C48" s="49">
        <v>8800</v>
      </c>
      <c r="D48" s="50">
        <v>1500</v>
      </c>
      <c r="E48" s="50">
        <v>14600</v>
      </c>
      <c r="F48" s="50">
        <v>17100</v>
      </c>
      <c r="G48" s="50">
        <v>9500</v>
      </c>
      <c r="H48" s="50">
        <v>13800</v>
      </c>
      <c r="I48" s="50">
        <v>15100</v>
      </c>
      <c r="J48" s="50">
        <v>10100</v>
      </c>
      <c r="K48" s="50">
        <v>13400</v>
      </c>
      <c r="L48" s="50">
        <v>16100</v>
      </c>
      <c r="M48" s="50">
        <v>10500</v>
      </c>
      <c r="N48" s="50">
        <v>11300</v>
      </c>
      <c r="O48" s="50">
        <v>13200</v>
      </c>
      <c r="P48" s="50">
        <v>5600</v>
      </c>
      <c r="Q48" s="50">
        <v>0</v>
      </c>
      <c r="R48" s="50">
        <v>8500</v>
      </c>
      <c r="S48" s="50">
        <v>3100</v>
      </c>
      <c r="T48" s="50">
        <v>2000</v>
      </c>
      <c r="U48" s="65">
        <v>17300</v>
      </c>
      <c r="V48" s="32">
        <f t="shared" si="0"/>
        <v>191500</v>
      </c>
    </row>
    <row r="49" spans="1:22">
      <c r="A49" s="1" t="s">
        <v>1</v>
      </c>
      <c r="B49" s="6" t="s">
        <v>101</v>
      </c>
      <c r="C49" s="51">
        <v>29800</v>
      </c>
      <c r="D49" s="52">
        <v>30400</v>
      </c>
      <c r="E49" s="52">
        <v>27400</v>
      </c>
      <c r="F49" s="52">
        <v>28400</v>
      </c>
      <c r="G49" s="52">
        <v>14000</v>
      </c>
      <c r="H49" s="52">
        <v>27000</v>
      </c>
      <c r="I49" s="52">
        <v>28000</v>
      </c>
      <c r="J49" s="52">
        <v>29400</v>
      </c>
      <c r="K49" s="52">
        <v>29200</v>
      </c>
      <c r="L49" s="52">
        <v>29200</v>
      </c>
      <c r="M49" s="52">
        <v>29200</v>
      </c>
      <c r="N49" s="52">
        <v>29600</v>
      </c>
      <c r="O49" s="52">
        <v>28600</v>
      </c>
      <c r="P49" s="52">
        <v>28800</v>
      </c>
      <c r="Q49" s="52">
        <v>28000</v>
      </c>
      <c r="R49" s="52">
        <v>14300</v>
      </c>
      <c r="S49" s="52">
        <v>14300</v>
      </c>
      <c r="T49" s="52">
        <v>15400</v>
      </c>
      <c r="U49" s="66">
        <v>0</v>
      </c>
      <c r="V49" s="10">
        <f t="shared" si="0"/>
        <v>461000</v>
      </c>
    </row>
    <row r="50" spans="1:22">
      <c r="A50" s="1" t="s">
        <v>1</v>
      </c>
      <c r="B50" s="14" t="s">
        <v>102</v>
      </c>
      <c r="C50" s="53">
        <v>92152</v>
      </c>
      <c r="D50" s="54">
        <v>95139</v>
      </c>
      <c r="E50" s="54">
        <v>111457</v>
      </c>
      <c r="F50" s="54">
        <v>121357</v>
      </c>
      <c r="G50" s="54">
        <v>82430</v>
      </c>
      <c r="H50" s="54">
        <v>113317</v>
      </c>
      <c r="I50" s="54">
        <v>101398</v>
      </c>
      <c r="J50" s="54">
        <v>96113</v>
      </c>
      <c r="K50" s="54">
        <v>101968</v>
      </c>
      <c r="L50" s="54">
        <v>113164</v>
      </c>
      <c r="M50" s="54">
        <v>95245</v>
      </c>
      <c r="N50" s="54">
        <v>97944</v>
      </c>
      <c r="O50" s="54">
        <v>102020</v>
      </c>
      <c r="P50" s="54">
        <v>94412</v>
      </c>
      <c r="Q50" s="54">
        <v>80244</v>
      </c>
      <c r="R50" s="54">
        <v>76521</v>
      </c>
      <c r="S50" s="54">
        <v>75361</v>
      </c>
      <c r="T50" s="54">
        <v>69562</v>
      </c>
      <c r="U50" s="67">
        <v>70505</v>
      </c>
      <c r="V50" s="18">
        <f t="shared" si="0"/>
        <v>1790309</v>
      </c>
    </row>
    <row r="51" spans="1:22">
      <c r="A51" s="1" t="s">
        <v>1</v>
      </c>
      <c r="B51" s="14" t="s">
        <v>103</v>
      </c>
      <c r="C51" s="53">
        <v>250204</v>
      </c>
      <c r="D51" s="54">
        <v>333670</v>
      </c>
      <c r="E51" s="54">
        <v>335644</v>
      </c>
      <c r="F51" s="54">
        <v>336031</v>
      </c>
      <c r="G51" s="54">
        <v>232704</v>
      </c>
      <c r="H51" s="54">
        <v>335297</v>
      </c>
      <c r="I51" s="54">
        <v>253673</v>
      </c>
      <c r="J51" s="54">
        <v>252245</v>
      </c>
      <c r="K51" s="54">
        <v>279181</v>
      </c>
      <c r="L51" s="54">
        <v>316830</v>
      </c>
      <c r="M51" s="54">
        <v>291055</v>
      </c>
      <c r="N51" s="54">
        <v>254448</v>
      </c>
      <c r="O51" s="54">
        <v>298744</v>
      </c>
      <c r="P51" s="54">
        <v>333141</v>
      </c>
      <c r="Q51" s="54">
        <v>253419</v>
      </c>
      <c r="R51" s="54">
        <v>289078</v>
      </c>
      <c r="S51" s="54">
        <v>283299</v>
      </c>
      <c r="T51" s="54">
        <v>251665</v>
      </c>
      <c r="U51" s="67">
        <v>235746</v>
      </c>
      <c r="V51" s="18">
        <f t="shared" si="0"/>
        <v>5416074</v>
      </c>
    </row>
    <row r="52" spans="1:22">
      <c r="A52" s="1" t="s">
        <v>1</v>
      </c>
      <c r="B52" s="14" t="s">
        <v>104</v>
      </c>
      <c r="C52" s="53">
        <v>218145</v>
      </c>
      <c r="D52" s="54">
        <v>292952</v>
      </c>
      <c r="E52" s="54">
        <v>289666</v>
      </c>
      <c r="F52" s="54">
        <v>282268</v>
      </c>
      <c r="G52" s="54">
        <v>217644</v>
      </c>
      <c r="H52" s="54">
        <v>284494</v>
      </c>
      <c r="I52" s="54">
        <v>204927</v>
      </c>
      <c r="J52" s="54">
        <v>207714</v>
      </c>
      <c r="K52" s="54">
        <v>231026</v>
      </c>
      <c r="L52" s="54">
        <v>265815</v>
      </c>
      <c r="M52" s="54">
        <v>250559</v>
      </c>
      <c r="N52" s="54">
        <v>211117</v>
      </c>
      <c r="O52" s="54">
        <v>256357</v>
      </c>
      <c r="P52" s="54">
        <v>299270</v>
      </c>
      <c r="Q52" s="54">
        <v>228786</v>
      </c>
      <c r="R52" s="54">
        <v>265364</v>
      </c>
      <c r="S52" s="54">
        <v>268065</v>
      </c>
      <c r="T52" s="54">
        <v>235747</v>
      </c>
      <c r="U52" s="67">
        <v>215407</v>
      </c>
      <c r="V52" s="18">
        <f t="shared" si="0"/>
        <v>4725323</v>
      </c>
    </row>
    <row r="53" spans="1:22">
      <c r="A53" s="1" t="s">
        <v>1</v>
      </c>
      <c r="B53" s="14" t="s">
        <v>105</v>
      </c>
      <c r="C53" s="53">
        <v>218145</v>
      </c>
      <c r="D53" s="54">
        <v>292952</v>
      </c>
      <c r="E53" s="54">
        <v>289666</v>
      </c>
      <c r="F53" s="54">
        <v>282268</v>
      </c>
      <c r="G53" s="54">
        <v>217644</v>
      </c>
      <c r="H53" s="54">
        <v>284494</v>
      </c>
      <c r="I53" s="54">
        <v>204927</v>
      </c>
      <c r="J53" s="54">
        <v>207714</v>
      </c>
      <c r="K53" s="54">
        <v>231026</v>
      </c>
      <c r="L53" s="54">
        <v>265815</v>
      </c>
      <c r="M53" s="54">
        <v>250559</v>
      </c>
      <c r="N53" s="54">
        <v>211117</v>
      </c>
      <c r="O53" s="54">
        <v>256357</v>
      </c>
      <c r="P53" s="54">
        <v>299270</v>
      </c>
      <c r="Q53" s="54">
        <v>228786</v>
      </c>
      <c r="R53" s="54">
        <v>265364</v>
      </c>
      <c r="S53" s="54">
        <v>268065</v>
      </c>
      <c r="T53" s="54">
        <v>235747</v>
      </c>
      <c r="U53" s="67">
        <v>215407</v>
      </c>
      <c r="V53" s="18">
        <f t="shared" si="0"/>
        <v>4725323</v>
      </c>
    </row>
    <row r="54" spans="1:22">
      <c r="A54" s="1" t="s">
        <v>1</v>
      </c>
      <c r="B54" s="14" t="s">
        <v>106</v>
      </c>
      <c r="C54" s="53">
        <v>1</v>
      </c>
      <c r="D54" s="54">
        <v>0</v>
      </c>
      <c r="E54" s="54">
        <v>1</v>
      </c>
      <c r="F54" s="54">
        <v>0</v>
      </c>
      <c r="G54" s="54">
        <v>1</v>
      </c>
      <c r="H54" s="54">
        <v>0</v>
      </c>
      <c r="I54" s="54">
        <v>0</v>
      </c>
      <c r="J54" s="54">
        <v>1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3</v>
      </c>
      <c r="Q54" s="54">
        <v>0</v>
      </c>
      <c r="R54" s="54">
        <v>0</v>
      </c>
      <c r="S54" s="54">
        <v>1</v>
      </c>
      <c r="T54" s="54">
        <v>0</v>
      </c>
      <c r="U54" s="67">
        <v>0</v>
      </c>
      <c r="V54" s="18"/>
    </row>
    <row r="55" spans="1:22" ht="19.5" thickBot="1">
      <c r="A55" s="1" t="s">
        <v>1</v>
      </c>
      <c r="B55" s="11" t="s">
        <v>107</v>
      </c>
      <c r="C55" s="55" t="s">
        <v>108</v>
      </c>
      <c r="D55" s="56" t="s">
        <v>108</v>
      </c>
      <c r="E55" s="56" t="s">
        <v>108</v>
      </c>
      <c r="F55" s="56" t="s">
        <v>108</v>
      </c>
      <c r="G55" s="56" t="s">
        <v>108</v>
      </c>
      <c r="H55" s="56" t="s">
        <v>108</v>
      </c>
      <c r="I55" s="56" t="s">
        <v>108</v>
      </c>
      <c r="J55" s="56" t="s">
        <v>108</v>
      </c>
      <c r="K55" s="56" t="s">
        <v>108</v>
      </c>
      <c r="L55" s="56" t="s">
        <v>108</v>
      </c>
      <c r="M55" s="56" t="s">
        <v>108</v>
      </c>
      <c r="N55" s="56" t="s">
        <v>108</v>
      </c>
      <c r="O55" s="56" t="s">
        <v>108</v>
      </c>
      <c r="P55" s="56" t="s">
        <v>108</v>
      </c>
      <c r="Q55" s="56" t="s">
        <v>108</v>
      </c>
      <c r="R55" s="56" t="s">
        <v>108</v>
      </c>
      <c r="S55" s="56" t="s">
        <v>108</v>
      </c>
      <c r="T55" s="56" t="s">
        <v>108</v>
      </c>
      <c r="U55" s="68" t="s">
        <v>108</v>
      </c>
      <c r="V55" s="13"/>
    </row>
  </sheetData>
  <phoneticPr fontId="3"/>
  <pageMargins left="0.31496062992125984" right="0.31496062992125984" top="0.15748031496062992" bottom="0.15748031496062992" header="0.11811023622047245" footer="0.11811023622047245"/>
  <pageSetup paperSize="12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2023年10月度給与 (4)</vt:lpstr>
      <vt:lpstr>2023年10月度給与 (3)</vt:lpstr>
      <vt:lpstr>'2023年10月度給与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2023-11-09T07:20:55Z</cp:lastPrinted>
  <dcterms:created xsi:type="dcterms:W3CDTF">2023-11-04T07:38:13Z</dcterms:created>
  <dcterms:modified xsi:type="dcterms:W3CDTF">2024-09-26T07:02:40Z</dcterms:modified>
</cp:coreProperties>
</file>