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0\"/>
    </mc:Choice>
  </mc:AlternateContent>
  <xr:revisionPtr revIDLastSave="0" documentId="13_ncr:1_{29CCFF77-2252-4561-B326-0AA6526FF7AC}" xr6:coauthVersionLast="47" xr6:coauthVersionMax="47" xr10:uidLastSave="{00000000-0000-0000-0000-000000000000}"/>
  <bookViews>
    <workbookView xWindow="-120" yWindow="-120" windowWidth="20730" windowHeight="11160" xr2:uid="{E9509B37-7ED1-4D13-903D-82A5404282FA}"/>
  </bookViews>
  <sheets>
    <sheet name="2023年10月度給与 (2)" sheetId="3" r:id="rId1"/>
  </sheets>
  <definedNames>
    <definedName name="_xlnm.Print_Area" localSheetId="0">'2023年10月度給与 (2)'!$A$1:$M$46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3" l="1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5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6" i="3"/>
  <c r="L5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6" i="3"/>
  <c r="E5" i="3"/>
</calcChain>
</file>

<file path=xl/sharedStrings.xml><?xml version="1.0" encoding="utf-8"?>
<sst xmlns="http://schemas.openxmlformats.org/spreadsheetml/2006/main" count="117" uniqueCount="66">
  <si>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</si>
  <si>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</si>
  <si>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</si>
  <si>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</si>
  <si>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</si>
  <si>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</si>
  <si>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</si>
  <si>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</si>
  <si>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</si>
  <si>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</si>
  <si>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</si>
  <si>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</si>
  <si>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</si>
  <si>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</si>
  <si>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</si>
  <si>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</si>
  <si>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</si>
  <si>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</si>
  <si>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</si>
  <si>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</si>
  <si>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</si>
  <si>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</si>
  <si>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</si>
  <si>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</si>
  <si>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</si>
  <si>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</si>
  <si>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</si>
  <si>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</si>
  <si>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法定外代時間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</si>
  <si>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</si>
  <si>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</si>
  <si>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</si>
  <si>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</si>
  <si>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</si>
  <si>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</si>
  <si>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</si>
  <si>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</si>
  <si>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</si>
  <si>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</si>
  <si>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過不足調整</t>
    <phoneticPr fontId="4"/>
  </si>
  <si>
    <t>法定休日残業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</si>
  <si>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</si>
  <si>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</si>
  <si>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</si>
  <si>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</si>
  <si>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</si>
  <si>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</si>
  <si>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</si>
  <si>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</si>
  <si>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</si>
  <si>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</si>
  <si>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</si>
  <si>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</si>
  <si>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</si>
  <si>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</si>
  <si>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</si>
  <si>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</si>
  <si>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</si>
  <si>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</si>
  <si>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</si>
  <si>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</si>
  <si>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2023年10月度給与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</si>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</sst>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176" fontId="2" fillId="0" borderId="12" xfId="1" applyNumberFormat="1" applyFont="1" applyBorder="1"/>
    <xf numFmtId="176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16" xfId="1" applyNumberFormat="1" applyFont="1" applyBorder="1"/>
    <xf numFmtId="49" fontId="2" fillId="0" borderId="20" xfId="1" applyNumberFormat="1" applyFont="1" applyBorder="1" applyAlignment="1">
      <alignment horizontal="left"/>
    </xf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0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4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0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0" fontId="2" fillId="0" borderId="5" xfId="1" applyFont="1" applyBorder="1"/>
  </cellXfs>
  <cellStyles count="2">
    <cellStyle name="標準" xfId="0" builtinId="0"/>
    <cellStyle name="標準 2" xfId="1" xr:uid="{57D3A5C3-9C0C-43BB-A9C7-78FF26CB2B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71F7-BDA8-450E-9D5E-76DB51B20971}">
  <sheetPr>
    <pageSetUpPr fitToPage="1"/>
  </sheetPr>
  <dimension ref="A1:O46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I4" sqref="I4"/>
    </sheetView>
  </sheetViews>
  <sheetFormatPr defaultRowHeight="18.75"/>
  <cols>
    <col min="1" max="1" width="2.375" style="2" customWidth="1"/>
    <col min="2" max="2" width="13.25" style="2" bestFit="1" customWidth="1"/>
    <col min="3" max="13" width="11.625" style="2" customWidth="1"/>
    <col min="14" max="14" width="9" style="2"/>
    <col min="16" max="258" width="9" style="2"/>
    <col min="259" max="259" width="2.375" style="2" customWidth="1"/>
    <col min="260" max="260" width="13.25" style="2" bestFit="1" customWidth="1"/>
    <col min="261" max="263" width="11.125" style="2" bestFit="1" customWidth="1"/>
    <col min="264" max="264" width="9" style="2"/>
    <col min="265" max="268" width="11.125" style="2" bestFit="1" customWidth="1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9" width="11.125" style="2" bestFit="1" customWidth="1"/>
    <col min="520" max="520" width="9" style="2"/>
    <col min="521" max="524" width="11.125" style="2" bestFit="1" customWidth="1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5" width="11.125" style="2" bestFit="1" customWidth="1"/>
    <col min="776" max="776" width="9" style="2"/>
    <col min="777" max="780" width="11.125" style="2" bestFit="1" customWidth="1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1" width="11.125" style="2" bestFit="1" customWidth="1"/>
    <col min="1032" max="1032" width="9" style="2"/>
    <col min="1033" max="1036" width="11.125" style="2" bestFit="1" customWidth="1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7" width="11.125" style="2" bestFit="1" customWidth="1"/>
    <col min="1288" max="1288" width="9" style="2"/>
    <col min="1289" max="1292" width="11.125" style="2" bestFit="1" customWidth="1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3" width="11.125" style="2" bestFit="1" customWidth="1"/>
    <col min="1544" max="1544" width="9" style="2"/>
    <col min="1545" max="1548" width="11.125" style="2" bestFit="1" customWidth="1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9" width="11.125" style="2" bestFit="1" customWidth="1"/>
    <col min="1800" max="1800" width="9" style="2"/>
    <col min="1801" max="1804" width="11.125" style="2" bestFit="1" customWidth="1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5" width="11.125" style="2" bestFit="1" customWidth="1"/>
    <col min="2056" max="2056" width="9" style="2"/>
    <col min="2057" max="2060" width="11.125" style="2" bestFit="1" customWidth="1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1" width="11.125" style="2" bestFit="1" customWidth="1"/>
    <col min="2312" max="2312" width="9" style="2"/>
    <col min="2313" max="2316" width="11.125" style="2" bestFit="1" customWidth="1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7" width="11.125" style="2" bestFit="1" customWidth="1"/>
    <col min="2568" max="2568" width="9" style="2"/>
    <col min="2569" max="2572" width="11.125" style="2" bestFit="1" customWidth="1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3" width="11.125" style="2" bestFit="1" customWidth="1"/>
    <col min="2824" max="2824" width="9" style="2"/>
    <col min="2825" max="2828" width="11.125" style="2" bestFit="1" customWidth="1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9" width="11.125" style="2" bestFit="1" customWidth="1"/>
    <col min="3080" max="3080" width="9" style="2"/>
    <col min="3081" max="3084" width="11.125" style="2" bestFit="1" customWidth="1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5" width="11.125" style="2" bestFit="1" customWidth="1"/>
    <col min="3336" max="3336" width="9" style="2"/>
    <col min="3337" max="3340" width="11.125" style="2" bestFit="1" customWidth="1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1" width="11.125" style="2" bestFit="1" customWidth="1"/>
    <col min="3592" max="3592" width="9" style="2"/>
    <col min="3593" max="3596" width="11.125" style="2" bestFit="1" customWidth="1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7" width="11.125" style="2" bestFit="1" customWidth="1"/>
    <col min="3848" max="3848" width="9" style="2"/>
    <col min="3849" max="3852" width="11.125" style="2" bestFit="1" customWidth="1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3" width="11.125" style="2" bestFit="1" customWidth="1"/>
    <col min="4104" max="4104" width="9" style="2"/>
    <col min="4105" max="4108" width="11.125" style="2" bestFit="1" customWidth="1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9" width="11.125" style="2" bestFit="1" customWidth="1"/>
    <col min="4360" max="4360" width="9" style="2"/>
    <col min="4361" max="4364" width="11.125" style="2" bestFit="1" customWidth="1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5" width="11.125" style="2" bestFit="1" customWidth="1"/>
    <col min="4616" max="4616" width="9" style="2"/>
    <col min="4617" max="4620" width="11.125" style="2" bestFit="1" customWidth="1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1" width="11.125" style="2" bestFit="1" customWidth="1"/>
    <col min="4872" max="4872" width="9" style="2"/>
    <col min="4873" max="4876" width="11.125" style="2" bestFit="1" customWidth="1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7" width="11.125" style="2" bestFit="1" customWidth="1"/>
    <col min="5128" max="5128" width="9" style="2"/>
    <col min="5129" max="5132" width="11.125" style="2" bestFit="1" customWidth="1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3" width="11.125" style="2" bestFit="1" customWidth="1"/>
    <col min="5384" max="5384" width="9" style="2"/>
    <col min="5385" max="5388" width="11.125" style="2" bestFit="1" customWidth="1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9" width="11.125" style="2" bestFit="1" customWidth="1"/>
    <col min="5640" max="5640" width="9" style="2"/>
    <col min="5641" max="5644" width="11.125" style="2" bestFit="1" customWidth="1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5" width="11.125" style="2" bestFit="1" customWidth="1"/>
    <col min="5896" max="5896" width="9" style="2"/>
    <col min="5897" max="5900" width="11.125" style="2" bestFit="1" customWidth="1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1" width="11.125" style="2" bestFit="1" customWidth="1"/>
    <col min="6152" max="6152" width="9" style="2"/>
    <col min="6153" max="6156" width="11.125" style="2" bestFit="1" customWidth="1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7" width="11.125" style="2" bestFit="1" customWidth="1"/>
    <col min="6408" max="6408" width="9" style="2"/>
    <col min="6409" max="6412" width="11.125" style="2" bestFit="1" customWidth="1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3" width="11.125" style="2" bestFit="1" customWidth="1"/>
    <col min="6664" max="6664" width="9" style="2"/>
    <col min="6665" max="6668" width="11.125" style="2" bestFit="1" customWidth="1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9" width="11.125" style="2" bestFit="1" customWidth="1"/>
    <col min="6920" max="6920" width="9" style="2"/>
    <col min="6921" max="6924" width="11.125" style="2" bestFit="1" customWidth="1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5" width="11.125" style="2" bestFit="1" customWidth="1"/>
    <col min="7176" max="7176" width="9" style="2"/>
    <col min="7177" max="7180" width="11.125" style="2" bestFit="1" customWidth="1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1" width="11.125" style="2" bestFit="1" customWidth="1"/>
    <col min="7432" max="7432" width="9" style="2"/>
    <col min="7433" max="7436" width="11.125" style="2" bestFit="1" customWidth="1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7" width="11.125" style="2" bestFit="1" customWidth="1"/>
    <col min="7688" max="7688" width="9" style="2"/>
    <col min="7689" max="7692" width="11.125" style="2" bestFit="1" customWidth="1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3" width="11.125" style="2" bestFit="1" customWidth="1"/>
    <col min="7944" max="7944" width="9" style="2"/>
    <col min="7945" max="7948" width="11.125" style="2" bestFit="1" customWidth="1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9" width="11.125" style="2" bestFit="1" customWidth="1"/>
    <col min="8200" max="8200" width="9" style="2"/>
    <col min="8201" max="8204" width="11.125" style="2" bestFit="1" customWidth="1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5" width="11.125" style="2" bestFit="1" customWidth="1"/>
    <col min="8456" max="8456" width="9" style="2"/>
    <col min="8457" max="8460" width="11.125" style="2" bestFit="1" customWidth="1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1" width="11.125" style="2" bestFit="1" customWidth="1"/>
    <col min="8712" max="8712" width="9" style="2"/>
    <col min="8713" max="8716" width="11.125" style="2" bestFit="1" customWidth="1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7" width="11.125" style="2" bestFit="1" customWidth="1"/>
    <col min="8968" max="8968" width="9" style="2"/>
    <col min="8969" max="8972" width="11.125" style="2" bestFit="1" customWidth="1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3" width="11.125" style="2" bestFit="1" customWidth="1"/>
    <col min="9224" max="9224" width="9" style="2"/>
    <col min="9225" max="9228" width="11.125" style="2" bestFit="1" customWidth="1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9" width="11.125" style="2" bestFit="1" customWidth="1"/>
    <col min="9480" max="9480" width="9" style="2"/>
    <col min="9481" max="9484" width="11.125" style="2" bestFit="1" customWidth="1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5" width="11.125" style="2" bestFit="1" customWidth="1"/>
    <col min="9736" max="9736" width="9" style="2"/>
    <col min="9737" max="9740" width="11.125" style="2" bestFit="1" customWidth="1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1" width="11.125" style="2" bestFit="1" customWidth="1"/>
    <col min="9992" max="9992" width="9" style="2"/>
    <col min="9993" max="9996" width="11.125" style="2" bestFit="1" customWidth="1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7" width="11.125" style="2" bestFit="1" customWidth="1"/>
    <col min="10248" max="10248" width="9" style="2"/>
    <col min="10249" max="10252" width="11.125" style="2" bestFit="1" customWidth="1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3" width="11.125" style="2" bestFit="1" customWidth="1"/>
    <col min="10504" max="10504" width="9" style="2"/>
    <col min="10505" max="10508" width="11.125" style="2" bestFit="1" customWidth="1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9" width="11.125" style="2" bestFit="1" customWidth="1"/>
    <col min="10760" max="10760" width="9" style="2"/>
    <col min="10761" max="10764" width="11.125" style="2" bestFit="1" customWidth="1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5" width="11.125" style="2" bestFit="1" customWidth="1"/>
    <col min="11016" max="11016" width="9" style="2"/>
    <col min="11017" max="11020" width="11.125" style="2" bestFit="1" customWidth="1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1" width="11.125" style="2" bestFit="1" customWidth="1"/>
    <col min="11272" max="11272" width="9" style="2"/>
    <col min="11273" max="11276" width="11.125" style="2" bestFit="1" customWidth="1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7" width="11.125" style="2" bestFit="1" customWidth="1"/>
    <col min="11528" max="11528" width="9" style="2"/>
    <col min="11529" max="11532" width="11.125" style="2" bestFit="1" customWidth="1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3" width="11.125" style="2" bestFit="1" customWidth="1"/>
    <col min="11784" max="11784" width="9" style="2"/>
    <col min="11785" max="11788" width="11.125" style="2" bestFit="1" customWidth="1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9" width="11.125" style="2" bestFit="1" customWidth="1"/>
    <col min="12040" max="12040" width="9" style="2"/>
    <col min="12041" max="12044" width="11.125" style="2" bestFit="1" customWidth="1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5" width="11.125" style="2" bestFit="1" customWidth="1"/>
    <col min="12296" max="12296" width="9" style="2"/>
    <col min="12297" max="12300" width="11.125" style="2" bestFit="1" customWidth="1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1" width="11.125" style="2" bestFit="1" customWidth="1"/>
    <col min="12552" max="12552" width="9" style="2"/>
    <col min="12553" max="12556" width="11.125" style="2" bestFit="1" customWidth="1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7" width="11.125" style="2" bestFit="1" customWidth="1"/>
    <col min="12808" max="12808" width="9" style="2"/>
    <col min="12809" max="12812" width="11.125" style="2" bestFit="1" customWidth="1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3" width="11.125" style="2" bestFit="1" customWidth="1"/>
    <col min="13064" max="13064" width="9" style="2"/>
    <col min="13065" max="13068" width="11.125" style="2" bestFit="1" customWidth="1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9" width="11.125" style="2" bestFit="1" customWidth="1"/>
    <col min="13320" max="13320" width="9" style="2"/>
    <col min="13321" max="13324" width="11.125" style="2" bestFit="1" customWidth="1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5" width="11.125" style="2" bestFit="1" customWidth="1"/>
    <col min="13576" max="13576" width="9" style="2"/>
    <col min="13577" max="13580" width="11.125" style="2" bestFit="1" customWidth="1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1" width="11.125" style="2" bestFit="1" customWidth="1"/>
    <col min="13832" max="13832" width="9" style="2"/>
    <col min="13833" max="13836" width="11.125" style="2" bestFit="1" customWidth="1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7" width="11.125" style="2" bestFit="1" customWidth="1"/>
    <col min="14088" max="14088" width="9" style="2"/>
    <col min="14089" max="14092" width="11.125" style="2" bestFit="1" customWidth="1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3" width="11.125" style="2" bestFit="1" customWidth="1"/>
    <col min="14344" max="14344" width="9" style="2"/>
    <col min="14345" max="14348" width="11.125" style="2" bestFit="1" customWidth="1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9" width="11.125" style="2" bestFit="1" customWidth="1"/>
    <col min="14600" max="14600" width="9" style="2"/>
    <col min="14601" max="14604" width="11.125" style="2" bestFit="1" customWidth="1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5" width="11.125" style="2" bestFit="1" customWidth="1"/>
    <col min="14856" max="14856" width="9" style="2"/>
    <col min="14857" max="14860" width="11.125" style="2" bestFit="1" customWidth="1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1" width="11.125" style="2" bestFit="1" customWidth="1"/>
    <col min="15112" max="15112" width="9" style="2"/>
    <col min="15113" max="15116" width="11.125" style="2" bestFit="1" customWidth="1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7" width="11.125" style="2" bestFit="1" customWidth="1"/>
    <col min="15368" max="15368" width="9" style="2"/>
    <col min="15369" max="15372" width="11.125" style="2" bestFit="1" customWidth="1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3" width="11.125" style="2" bestFit="1" customWidth="1"/>
    <col min="15624" max="15624" width="9" style="2"/>
    <col min="15625" max="15628" width="11.125" style="2" bestFit="1" customWidth="1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9" width="11.125" style="2" bestFit="1" customWidth="1"/>
    <col min="15880" max="15880" width="9" style="2"/>
    <col min="15881" max="15884" width="11.125" style="2" bestFit="1" customWidth="1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5" width="11.125" style="2" bestFit="1" customWidth="1"/>
    <col min="16136" max="16136" width="9" style="2"/>
    <col min="16137" max="16140" width="11.125" style="2" bestFit="1" customWidth="1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 ht="19.5" thickBot="1">
      <c r="A2" s="1" t="s">
        <v>61</v>
      </c>
    </row>
    <row r="3" spans="1:13">
      <c r="B3" s="14"/>
      <c r="C3" s="21" t="s">
        <v>3</v>
      </c>
      <c r="D3" s="4" t="s">
        <v>9</v>
      </c>
      <c r="E3" s="57" t="s">
        <v>62</v>
      </c>
      <c r="F3" s="20" t="s">
        <v>2</v>
      </c>
      <c r="G3" s="21" t="s">
        <v>4</v>
      </c>
      <c r="H3" s="21" t="s">
        <v>5</v>
      </c>
      <c r="I3" s="21" t="s">
        <v>6</v>
      </c>
      <c r="J3" s="21" t="s">
        <v>7</v>
      </c>
      <c r="K3" s="59" t="s">
        <v>8</v>
      </c>
      <c r="L3" s="57" t="s">
        <v>62</v>
      </c>
      <c r="M3" s="71" t="s">
        <v>19</v>
      </c>
    </row>
    <row r="4" spans="1:13" ht="19.5" thickBot="1">
      <c r="B4" s="5" t="s">
        <v>10</v>
      </c>
      <c r="C4" s="23" t="s">
        <v>12</v>
      </c>
      <c r="D4" s="3" t="s">
        <v>18</v>
      </c>
      <c r="E4" s="58" t="s">
        <v>63</v>
      </c>
      <c r="F4" s="22" t="s">
        <v>11</v>
      </c>
      <c r="G4" s="23" t="s">
        <v>13</v>
      </c>
      <c r="H4" s="23" t="s">
        <v>14</v>
      </c>
      <c r="I4" s="23" t="s">
        <v>15</v>
      </c>
      <c r="J4" s="23" t="s">
        <v>16</v>
      </c>
      <c r="K4" s="60" t="s">
        <v>17</v>
      </c>
      <c r="L4" s="58" t="s">
        <v>64</v>
      </c>
      <c r="M4" s="5" t="s">
        <v>65</v>
      </c>
    </row>
    <row r="5" spans="1:13">
      <c r="A5" s="1" t="s">
        <v>1</v>
      </c>
      <c r="B5" s="34" t="s">
        <v>20</v>
      </c>
      <c r="C5" s="36">
        <v>22</v>
      </c>
      <c r="D5" s="37">
        <v>17</v>
      </c>
      <c r="E5" s="38">
        <f>SUM(C5:D5)</f>
        <v>39</v>
      </c>
      <c r="F5" s="35">
        <v>19</v>
      </c>
      <c r="G5" s="36">
        <v>21</v>
      </c>
      <c r="H5" s="36">
        <v>19</v>
      </c>
      <c r="I5" s="36">
        <v>19</v>
      </c>
      <c r="J5" s="36">
        <v>21</v>
      </c>
      <c r="K5" s="61">
        <v>19</v>
      </c>
      <c r="L5" s="38">
        <f>SUM(F5:K5)</f>
        <v>118</v>
      </c>
      <c r="M5" s="38">
        <f>SUM(L5,E5)</f>
        <v>157</v>
      </c>
    </row>
    <row r="6" spans="1:13">
      <c r="A6" s="1" t="s">
        <v>1</v>
      </c>
      <c r="B6" s="39" t="s">
        <v>21</v>
      </c>
      <c r="C6" s="41">
        <v>0</v>
      </c>
      <c r="D6" s="42">
        <v>0</v>
      </c>
      <c r="E6" s="43">
        <f>SUM(C6:D6)</f>
        <v>0</v>
      </c>
      <c r="F6" s="40">
        <v>1</v>
      </c>
      <c r="G6" s="41">
        <v>1</v>
      </c>
      <c r="H6" s="41">
        <v>3</v>
      </c>
      <c r="I6" s="41">
        <v>1</v>
      </c>
      <c r="J6" s="41">
        <v>1</v>
      </c>
      <c r="K6" s="62">
        <v>2</v>
      </c>
      <c r="L6" s="43">
        <f>SUM(F6:K6)</f>
        <v>9</v>
      </c>
      <c r="M6" s="43">
        <f t="shared" ref="M6:M44" si="0">SUM(L6,E6)</f>
        <v>9</v>
      </c>
    </row>
    <row r="7" spans="1:13">
      <c r="A7" s="1" t="s">
        <v>1</v>
      </c>
      <c r="B7" s="39" t="s">
        <v>22</v>
      </c>
      <c r="C7" s="41">
        <v>0</v>
      </c>
      <c r="D7" s="42">
        <v>0</v>
      </c>
      <c r="E7" s="43">
        <f t="shared" ref="E7:E44" si="1">SUM(C7:D7)</f>
        <v>0</v>
      </c>
      <c r="F7" s="40">
        <v>1</v>
      </c>
      <c r="G7" s="41">
        <v>1</v>
      </c>
      <c r="H7" s="41">
        <v>1</v>
      </c>
      <c r="I7" s="41">
        <v>1</v>
      </c>
      <c r="J7" s="41">
        <v>0</v>
      </c>
      <c r="K7" s="62">
        <v>1</v>
      </c>
      <c r="L7" s="43">
        <f t="shared" ref="L7:L44" si="2">SUM(F7:K7)</f>
        <v>5</v>
      </c>
      <c r="M7" s="43">
        <f t="shared" si="0"/>
        <v>5</v>
      </c>
    </row>
    <row r="8" spans="1:13">
      <c r="A8" s="1" t="s">
        <v>1</v>
      </c>
      <c r="B8" s="39" t="s">
        <v>23</v>
      </c>
      <c r="C8" s="41">
        <v>0</v>
      </c>
      <c r="D8" s="42">
        <v>0</v>
      </c>
      <c r="E8" s="43">
        <f t="shared" si="1"/>
        <v>0</v>
      </c>
      <c r="F8" s="40">
        <v>1</v>
      </c>
      <c r="G8" s="41">
        <v>1</v>
      </c>
      <c r="H8" s="41">
        <v>1</v>
      </c>
      <c r="I8" s="41">
        <v>1</v>
      </c>
      <c r="J8" s="41">
        <v>0</v>
      </c>
      <c r="K8" s="62">
        <v>1</v>
      </c>
      <c r="L8" s="43">
        <f t="shared" si="2"/>
        <v>5</v>
      </c>
      <c r="M8" s="43">
        <f t="shared" si="0"/>
        <v>5</v>
      </c>
    </row>
    <row r="9" spans="1:13">
      <c r="A9" s="1" t="s">
        <v>1</v>
      </c>
      <c r="B9" s="39" t="s">
        <v>24</v>
      </c>
      <c r="C9" s="41">
        <v>0</v>
      </c>
      <c r="D9" s="42">
        <v>1</v>
      </c>
      <c r="E9" s="43">
        <f t="shared" si="1"/>
        <v>1</v>
      </c>
      <c r="F9" s="40">
        <v>2</v>
      </c>
      <c r="G9" s="41">
        <v>0</v>
      </c>
      <c r="H9" s="41">
        <v>2</v>
      </c>
      <c r="I9" s="41">
        <v>2</v>
      </c>
      <c r="J9" s="41">
        <v>1</v>
      </c>
      <c r="K9" s="62">
        <v>2</v>
      </c>
      <c r="L9" s="43">
        <f t="shared" si="2"/>
        <v>9</v>
      </c>
      <c r="M9" s="43">
        <f t="shared" si="0"/>
        <v>10</v>
      </c>
    </row>
    <row r="10" spans="1:13">
      <c r="A10" s="1" t="s">
        <v>1</v>
      </c>
      <c r="B10" s="39" t="s">
        <v>25</v>
      </c>
      <c r="C10" s="45">
        <v>0</v>
      </c>
      <c r="D10" s="46">
        <v>3.25</v>
      </c>
      <c r="E10" s="47">
        <f t="shared" si="1"/>
        <v>3.25</v>
      </c>
      <c r="F10" s="44">
        <v>0</v>
      </c>
      <c r="G10" s="45">
        <v>0</v>
      </c>
      <c r="H10" s="45">
        <v>0</v>
      </c>
      <c r="I10" s="45">
        <v>0</v>
      </c>
      <c r="J10" s="45">
        <v>0</v>
      </c>
      <c r="K10" s="63">
        <v>0</v>
      </c>
      <c r="L10" s="47">
        <f t="shared" si="2"/>
        <v>0</v>
      </c>
      <c r="M10" s="47">
        <f t="shared" si="0"/>
        <v>3.25</v>
      </c>
    </row>
    <row r="11" spans="1:13">
      <c r="A11" s="1" t="s">
        <v>1</v>
      </c>
      <c r="B11" s="39" t="s">
        <v>26</v>
      </c>
      <c r="C11" s="45">
        <v>0</v>
      </c>
      <c r="D11" s="46">
        <v>0</v>
      </c>
      <c r="E11" s="47">
        <f t="shared" si="1"/>
        <v>0</v>
      </c>
      <c r="F11" s="44">
        <v>0.875</v>
      </c>
      <c r="G11" s="45">
        <v>1.25</v>
      </c>
      <c r="H11" s="45">
        <v>0.54166666666666663</v>
      </c>
      <c r="I11" s="45">
        <v>0.83333333333333337</v>
      </c>
      <c r="J11" s="45">
        <v>1.0416666666666667</v>
      </c>
      <c r="K11" s="63">
        <v>0.70833333333333337</v>
      </c>
      <c r="L11" s="47">
        <f t="shared" si="2"/>
        <v>5.25</v>
      </c>
      <c r="M11" s="47">
        <f t="shared" si="0"/>
        <v>5.25</v>
      </c>
    </row>
    <row r="12" spans="1:13">
      <c r="A12" s="1" t="s">
        <v>1</v>
      </c>
      <c r="B12" s="39" t="s">
        <v>27</v>
      </c>
      <c r="C12" s="45">
        <v>0</v>
      </c>
      <c r="D12" s="46">
        <v>0</v>
      </c>
      <c r="E12" s="47">
        <f t="shared" si="1"/>
        <v>0</v>
      </c>
      <c r="F12" s="44">
        <v>0.41666666666666669</v>
      </c>
      <c r="G12" s="45">
        <v>0.5</v>
      </c>
      <c r="H12" s="45">
        <v>1.5</v>
      </c>
      <c r="I12" s="45">
        <v>0.41666666666666669</v>
      </c>
      <c r="J12" s="45">
        <v>0.33333333333333331</v>
      </c>
      <c r="K12" s="63">
        <v>0.875</v>
      </c>
      <c r="L12" s="47">
        <f t="shared" si="2"/>
        <v>4.041666666666667</v>
      </c>
      <c r="M12" s="47">
        <f t="shared" si="0"/>
        <v>4.041666666666667</v>
      </c>
    </row>
    <row r="13" spans="1:13">
      <c r="A13" s="1" t="s">
        <v>1</v>
      </c>
      <c r="B13" s="39" t="s">
        <v>28</v>
      </c>
      <c r="C13" s="45">
        <v>0</v>
      </c>
      <c r="D13" s="46">
        <v>0</v>
      </c>
      <c r="E13" s="47">
        <f t="shared" si="1"/>
        <v>0</v>
      </c>
      <c r="F13" s="44">
        <v>0.375</v>
      </c>
      <c r="G13" s="45">
        <v>0.375</v>
      </c>
      <c r="H13" s="45">
        <v>0.29166666666666669</v>
      </c>
      <c r="I13" s="45">
        <v>0.29166666666666669</v>
      </c>
      <c r="J13" s="45">
        <v>0</v>
      </c>
      <c r="K13" s="63">
        <v>0.29166666666666669</v>
      </c>
      <c r="L13" s="47">
        <f t="shared" si="2"/>
        <v>1.6250000000000002</v>
      </c>
      <c r="M13" s="47">
        <f t="shared" si="0"/>
        <v>1.6250000000000002</v>
      </c>
    </row>
    <row r="14" spans="1:13">
      <c r="A14" s="1" t="s">
        <v>1</v>
      </c>
      <c r="B14" s="39" t="s">
        <v>29</v>
      </c>
      <c r="C14" s="45">
        <v>0</v>
      </c>
      <c r="D14" s="46">
        <v>0.20833333333333334</v>
      </c>
      <c r="E14" s="47">
        <f t="shared" si="1"/>
        <v>0.20833333333333334</v>
      </c>
      <c r="F14" s="44">
        <v>0</v>
      </c>
      <c r="G14" s="45">
        <v>0</v>
      </c>
      <c r="H14" s="45">
        <v>0</v>
      </c>
      <c r="I14" s="45">
        <v>0</v>
      </c>
      <c r="J14" s="45">
        <v>0</v>
      </c>
      <c r="K14" s="63">
        <v>0</v>
      </c>
      <c r="L14" s="47">
        <f t="shared" si="2"/>
        <v>0</v>
      </c>
      <c r="M14" s="47">
        <f t="shared" si="0"/>
        <v>0.20833333333333334</v>
      </c>
    </row>
    <row r="15" spans="1:13">
      <c r="A15" s="1" t="s">
        <v>1</v>
      </c>
      <c r="B15" s="6" t="s">
        <v>30</v>
      </c>
      <c r="C15" s="25">
        <v>0</v>
      </c>
      <c r="D15" s="7">
        <v>0</v>
      </c>
      <c r="E15" s="8">
        <f t="shared" si="1"/>
        <v>0</v>
      </c>
      <c r="F15" s="24">
        <v>0.20833333333333334</v>
      </c>
      <c r="G15" s="25">
        <v>0.16666666666666666</v>
      </c>
      <c r="H15" s="25">
        <v>0.25</v>
      </c>
      <c r="I15" s="25">
        <v>8.3333333333333329E-2</v>
      </c>
      <c r="J15" s="25">
        <v>0</v>
      </c>
      <c r="K15" s="64">
        <v>8.3333333333333329E-2</v>
      </c>
      <c r="L15" s="8">
        <f t="shared" si="2"/>
        <v>0.79166666666666674</v>
      </c>
      <c r="M15" s="8">
        <f t="shared" si="0"/>
        <v>0.79166666666666674</v>
      </c>
    </row>
    <row r="16" spans="1:13">
      <c r="A16" s="1" t="s">
        <v>1</v>
      </c>
      <c r="B16" s="15" t="s">
        <v>31</v>
      </c>
      <c r="C16" s="27">
        <v>35</v>
      </c>
      <c r="D16" s="16">
        <v>29</v>
      </c>
      <c r="E16" s="17">
        <f t="shared" si="1"/>
        <v>64</v>
      </c>
      <c r="F16" s="26">
        <v>9</v>
      </c>
      <c r="G16" s="27">
        <v>20</v>
      </c>
      <c r="H16" s="27">
        <v>22</v>
      </c>
      <c r="I16" s="27">
        <v>20</v>
      </c>
      <c r="J16" s="27">
        <v>14</v>
      </c>
      <c r="K16" s="65">
        <v>2</v>
      </c>
      <c r="L16" s="17">
        <f t="shared" si="2"/>
        <v>87</v>
      </c>
      <c r="M16" s="17">
        <f t="shared" si="0"/>
        <v>151</v>
      </c>
    </row>
    <row r="17" spans="1:13">
      <c r="A17" s="1" t="s">
        <v>1</v>
      </c>
      <c r="B17" s="48" t="s">
        <v>32</v>
      </c>
      <c r="C17" s="50">
        <v>365000</v>
      </c>
      <c r="D17" s="51">
        <v>0</v>
      </c>
      <c r="E17" s="52">
        <f t="shared" si="1"/>
        <v>365000</v>
      </c>
      <c r="F17" s="49">
        <v>187000</v>
      </c>
      <c r="G17" s="50">
        <v>187000</v>
      </c>
      <c r="H17" s="50">
        <v>182000</v>
      </c>
      <c r="I17" s="50">
        <v>187000</v>
      </c>
      <c r="J17" s="50">
        <v>170000</v>
      </c>
      <c r="K17" s="66">
        <v>187000</v>
      </c>
      <c r="L17" s="52">
        <f t="shared" si="2"/>
        <v>1100000</v>
      </c>
      <c r="M17" s="52">
        <f t="shared" si="0"/>
        <v>1465000</v>
      </c>
    </row>
    <row r="18" spans="1:13">
      <c r="A18" s="1" t="s">
        <v>1</v>
      </c>
      <c r="B18" s="39" t="s">
        <v>33</v>
      </c>
      <c r="C18" s="54">
        <v>0</v>
      </c>
      <c r="D18" s="55">
        <v>0</v>
      </c>
      <c r="E18" s="56">
        <f t="shared" si="1"/>
        <v>0</v>
      </c>
      <c r="F18" s="53">
        <v>6000</v>
      </c>
      <c r="G18" s="54">
        <v>0</v>
      </c>
      <c r="H18" s="54">
        <v>6000</v>
      </c>
      <c r="I18" s="54">
        <v>0</v>
      </c>
      <c r="J18" s="54">
        <v>0</v>
      </c>
      <c r="K18" s="67">
        <v>0</v>
      </c>
      <c r="L18" s="56">
        <f t="shared" si="2"/>
        <v>12000</v>
      </c>
      <c r="M18" s="56">
        <f t="shared" si="0"/>
        <v>12000</v>
      </c>
    </row>
    <row r="19" spans="1:13">
      <c r="A19" s="1" t="s">
        <v>1</v>
      </c>
      <c r="B19" s="39" t="s">
        <v>34</v>
      </c>
      <c r="C19" s="54">
        <v>0</v>
      </c>
      <c r="D19" s="55">
        <v>0</v>
      </c>
      <c r="E19" s="56">
        <f t="shared" si="1"/>
        <v>0</v>
      </c>
      <c r="F19" s="53">
        <v>73254</v>
      </c>
      <c r="G19" s="54">
        <v>58179</v>
      </c>
      <c r="H19" s="54">
        <v>86329</v>
      </c>
      <c r="I19" s="54">
        <v>72439</v>
      </c>
      <c r="J19" s="54">
        <v>44555</v>
      </c>
      <c r="K19" s="67">
        <v>60544</v>
      </c>
      <c r="L19" s="56">
        <f t="shared" si="2"/>
        <v>395300</v>
      </c>
      <c r="M19" s="56">
        <f t="shared" si="0"/>
        <v>395300</v>
      </c>
    </row>
    <row r="20" spans="1:13">
      <c r="A20" s="1" t="s">
        <v>1</v>
      </c>
      <c r="B20" s="39" t="s">
        <v>35</v>
      </c>
      <c r="C20" s="54">
        <v>0</v>
      </c>
      <c r="D20" s="55">
        <v>79560</v>
      </c>
      <c r="E20" s="56">
        <f t="shared" si="1"/>
        <v>79560</v>
      </c>
      <c r="F20" s="53">
        <v>0</v>
      </c>
      <c r="G20" s="54">
        <v>0</v>
      </c>
      <c r="H20" s="54">
        <v>0</v>
      </c>
      <c r="I20" s="54">
        <v>0</v>
      </c>
      <c r="J20" s="54">
        <v>0</v>
      </c>
      <c r="K20" s="67">
        <v>0</v>
      </c>
      <c r="L20" s="56">
        <f t="shared" si="2"/>
        <v>0</v>
      </c>
      <c r="M20" s="56">
        <f t="shared" si="0"/>
        <v>79560</v>
      </c>
    </row>
    <row r="21" spans="1:13">
      <c r="A21" s="1" t="s">
        <v>1</v>
      </c>
      <c r="B21" s="39" t="s">
        <v>36</v>
      </c>
      <c r="C21" s="54">
        <v>0</v>
      </c>
      <c r="D21" s="55">
        <v>0</v>
      </c>
      <c r="E21" s="56">
        <f t="shared" si="1"/>
        <v>0</v>
      </c>
      <c r="F21" s="53">
        <v>22400</v>
      </c>
      <c r="G21" s="54">
        <v>21000</v>
      </c>
      <c r="H21" s="54">
        <v>23200</v>
      </c>
      <c r="I21" s="54">
        <v>21400</v>
      </c>
      <c r="J21" s="54">
        <v>11800</v>
      </c>
      <c r="K21" s="67">
        <v>11800</v>
      </c>
      <c r="L21" s="56">
        <f t="shared" si="2"/>
        <v>111600</v>
      </c>
      <c r="M21" s="56">
        <f t="shared" si="0"/>
        <v>111600</v>
      </c>
    </row>
    <row r="22" spans="1:13">
      <c r="A22" s="1" t="s">
        <v>1</v>
      </c>
      <c r="B22" s="39" t="s">
        <v>37</v>
      </c>
      <c r="C22" s="54">
        <v>0</v>
      </c>
      <c r="D22" s="55">
        <v>0</v>
      </c>
      <c r="E22" s="56">
        <f t="shared" si="1"/>
        <v>0</v>
      </c>
      <c r="F22" s="53">
        <v>3500</v>
      </c>
      <c r="G22" s="54">
        <v>3500</v>
      </c>
      <c r="H22" s="54">
        <v>3500</v>
      </c>
      <c r="I22" s="54">
        <v>3500</v>
      </c>
      <c r="J22" s="54">
        <v>0</v>
      </c>
      <c r="K22" s="67">
        <v>1000</v>
      </c>
      <c r="L22" s="56">
        <f t="shared" si="2"/>
        <v>15000</v>
      </c>
      <c r="M22" s="56">
        <f t="shared" si="0"/>
        <v>15000</v>
      </c>
    </row>
    <row r="23" spans="1:13">
      <c r="A23" s="1" t="s">
        <v>1</v>
      </c>
      <c r="B23" s="39" t="s">
        <v>38</v>
      </c>
      <c r="C23" s="54">
        <v>0</v>
      </c>
      <c r="D23" s="55">
        <v>5100</v>
      </c>
      <c r="E23" s="56">
        <f t="shared" si="1"/>
        <v>5100</v>
      </c>
      <c r="F23" s="53">
        <v>0</v>
      </c>
      <c r="G23" s="54">
        <v>0</v>
      </c>
      <c r="H23" s="54">
        <v>0</v>
      </c>
      <c r="I23" s="54">
        <v>0</v>
      </c>
      <c r="J23" s="54">
        <v>0</v>
      </c>
      <c r="K23" s="67">
        <v>0</v>
      </c>
      <c r="L23" s="56">
        <f t="shared" si="2"/>
        <v>0</v>
      </c>
      <c r="M23" s="56">
        <f t="shared" si="0"/>
        <v>5100</v>
      </c>
    </row>
    <row r="24" spans="1:13">
      <c r="A24" s="1" t="s">
        <v>1</v>
      </c>
      <c r="B24" s="39" t="s">
        <v>39</v>
      </c>
      <c r="C24" s="54">
        <v>0</v>
      </c>
      <c r="D24" s="55">
        <v>0</v>
      </c>
      <c r="E24" s="56">
        <f t="shared" si="1"/>
        <v>0</v>
      </c>
      <c r="F24" s="53">
        <v>0</v>
      </c>
      <c r="G24" s="54">
        <v>0</v>
      </c>
      <c r="H24" s="54">
        <v>0</v>
      </c>
      <c r="I24" s="54">
        <v>0</v>
      </c>
      <c r="J24" s="54">
        <v>0</v>
      </c>
      <c r="K24" s="67">
        <v>17990</v>
      </c>
      <c r="L24" s="56">
        <f t="shared" si="2"/>
        <v>17990</v>
      </c>
      <c r="M24" s="56">
        <f t="shared" si="0"/>
        <v>17990</v>
      </c>
    </row>
    <row r="25" spans="1:13">
      <c r="A25" s="1" t="s">
        <v>1</v>
      </c>
      <c r="B25" s="39" t="s">
        <v>26</v>
      </c>
      <c r="C25" s="54">
        <v>0</v>
      </c>
      <c r="D25" s="55">
        <v>0</v>
      </c>
      <c r="E25" s="56">
        <f t="shared" si="1"/>
        <v>0</v>
      </c>
      <c r="F25" s="53">
        <v>30891</v>
      </c>
      <c r="G25" s="54">
        <v>42780</v>
      </c>
      <c r="H25" s="54">
        <v>18642</v>
      </c>
      <c r="I25" s="54">
        <v>28520</v>
      </c>
      <c r="J25" s="54">
        <v>31825</v>
      </c>
      <c r="K25" s="67">
        <v>23936</v>
      </c>
      <c r="L25" s="56">
        <f t="shared" si="2"/>
        <v>176594</v>
      </c>
      <c r="M25" s="56">
        <f t="shared" si="0"/>
        <v>176594</v>
      </c>
    </row>
    <row r="26" spans="1:13">
      <c r="A26" s="1" t="s">
        <v>1</v>
      </c>
      <c r="B26" s="39" t="s">
        <v>40</v>
      </c>
      <c r="C26" s="54">
        <v>0</v>
      </c>
      <c r="D26" s="55">
        <v>0</v>
      </c>
      <c r="E26" s="56">
        <f t="shared" si="1"/>
        <v>0</v>
      </c>
      <c r="F26" s="53">
        <v>15890</v>
      </c>
      <c r="G26" s="54">
        <v>18480</v>
      </c>
      <c r="H26" s="54">
        <v>55728</v>
      </c>
      <c r="I26" s="54">
        <v>15400</v>
      </c>
      <c r="J26" s="54">
        <v>10992</v>
      </c>
      <c r="K26" s="67">
        <v>31920</v>
      </c>
      <c r="L26" s="56">
        <f t="shared" si="2"/>
        <v>148410</v>
      </c>
      <c r="M26" s="56">
        <f t="shared" si="0"/>
        <v>148410</v>
      </c>
    </row>
    <row r="27" spans="1:13">
      <c r="A27" s="1" t="s">
        <v>1</v>
      </c>
      <c r="B27" s="39" t="s">
        <v>41</v>
      </c>
      <c r="C27" s="54">
        <v>0</v>
      </c>
      <c r="D27" s="55">
        <v>0</v>
      </c>
      <c r="E27" s="56">
        <f t="shared" si="1"/>
        <v>0</v>
      </c>
      <c r="F27" s="53">
        <v>3708</v>
      </c>
      <c r="G27" s="54">
        <v>3591</v>
      </c>
      <c r="H27" s="54">
        <v>2807</v>
      </c>
      <c r="I27" s="54">
        <v>2793</v>
      </c>
      <c r="J27" s="54">
        <v>0</v>
      </c>
      <c r="K27" s="67">
        <v>2758</v>
      </c>
      <c r="L27" s="56">
        <f t="shared" si="2"/>
        <v>15657</v>
      </c>
      <c r="M27" s="56">
        <f t="shared" si="0"/>
        <v>15657</v>
      </c>
    </row>
    <row r="28" spans="1:13">
      <c r="A28" s="1" t="s">
        <v>1</v>
      </c>
      <c r="B28" s="6" t="s">
        <v>30</v>
      </c>
      <c r="C28" s="29">
        <v>0</v>
      </c>
      <c r="D28" s="9">
        <v>0</v>
      </c>
      <c r="E28" s="10">
        <f t="shared" si="1"/>
        <v>0</v>
      </c>
      <c r="F28" s="28">
        <v>1470</v>
      </c>
      <c r="G28" s="29">
        <v>1140</v>
      </c>
      <c r="H28" s="29">
        <v>1722</v>
      </c>
      <c r="I28" s="29">
        <v>570</v>
      </c>
      <c r="J28" s="29">
        <v>0</v>
      </c>
      <c r="K28" s="68">
        <v>564</v>
      </c>
      <c r="L28" s="10">
        <f t="shared" si="2"/>
        <v>5466</v>
      </c>
      <c r="M28" s="10">
        <f t="shared" si="0"/>
        <v>5466</v>
      </c>
    </row>
    <row r="29" spans="1:13">
      <c r="A29" s="1" t="s">
        <v>1</v>
      </c>
      <c r="B29" s="15" t="s">
        <v>42</v>
      </c>
      <c r="C29" s="31">
        <v>365000</v>
      </c>
      <c r="D29" s="18">
        <v>84660</v>
      </c>
      <c r="E29" s="19">
        <f t="shared" si="1"/>
        <v>449660</v>
      </c>
      <c r="F29" s="30">
        <v>344113</v>
      </c>
      <c r="G29" s="31">
        <v>335670</v>
      </c>
      <c r="H29" s="31">
        <v>379928</v>
      </c>
      <c r="I29" s="31">
        <v>331622</v>
      </c>
      <c r="J29" s="31">
        <v>269172</v>
      </c>
      <c r="K29" s="69">
        <v>337512</v>
      </c>
      <c r="L29" s="19">
        <f t="shared" si="2"/>
        <v>1998017</v>
      </c>
      <c r="M29" s="19">
        <f t="shared" si="0"/>
        <v>2447677</v>
      </c>
    </row>
    <row r="30" spans="1:13">
      <c r="A30" s="1" t="s">
        <v>1</v>
      </c>
      <c r="B30" s="48" t="s">
        <v>43</v>
      </c>
      <c r="C30" s="50">
        <v>4988</v>
      </c>
      <c r="D30" s="51">
        <v>3226</v>
      </c>
      <c r="E30" s="52">
        <f t="shared" si="1"/>
        <v>8214</v>
      </c>
      <c r="F30" s="49">
        <v>1708</v>
      </c>
      <c r="G30" s="50">
        <v>5612</v>
      </c>
      <c r="H30" s="50">
        <v>10600</v>
      </c>
      <c r="I30" s="50">
        <v>1708</v>
      </c>
      <c r="J30" s="50">
        <v>7157</v>
      </c>
      <c r="K30" s="66">
        <v>8946</v>
      </c>
      <c r="L30" s="52">
        <f t="shared" si="2"/>
        <v>35731</v>
      </c>
      <c r="M30" s="52">
        <f t="shared" si="0"/>
        <v>43945</v>
      </c>
    </row>
    <row r="31" spans="1:13">
      <c r="A31" s="1" t="s">
        <v>1</v>
      </c>
      <c r="B31" s="6" t="s">
        <v>44</v>
      </c>
      <c r="C31" s="29">
        <v>4988</v>
      </c>
      <c r="D31" s="9">
        <v>3226</v>
      </c>
      <c r="E31" s="10">
        <f t="shared" si="1"/>
        <v>8214</v>
      </c>
      <c r="F31" s="28">
        <v>1708</v>
      </c>
      <c r="G31" s="29">
        <v>5612</v>
      </c>
      <c r="H31" s="29">
        <v>10600</v>
      </c>
      <c r="I31" s="29">
        <v>1708</v>
      </c>
      <c r="J31" s="29">
        <v>7157</v>
      </c>
      <c r="K31" s="68">
        <v>8946</v>
      </c>
      <c r="L31" s="10">
        <f t="shared" si="2"/>
        <v>35731</v>
      </c>
      <c r="M31" s="10">
        <f t="shared" si="0"/>
        <v>43945</v>
      </c>
    </row>
    <row r="32" spans="1:13">
      <c r="A32" s="1" t="s">
        <v>1</v>
      </c>
      <c r="B32" s="15" t="s">
        <v>45</v>
      </c>
      <c r="C32" s="31">
        <v>369988</v>
      </c>
      <c r="D32" s="18">
        <v>87886</v>
      </c>
      <c r="E32" s="19">
        <f t="shared" si="1"/>
        <v>457874</v>
      </c>
      <c r="F32" s="30">
        <v>345821</v>
      </c>
      <c r="G32" s="31">
        <v>341282</v>
      </c>
      <c r="H32" s="31">
        <v>390528</v>
      </c>
      <c r="I32" s="31">
        <v>333330</v>
      </c>
      <c r="J32" s="31">
        <v>276329</v>
      </c>
      <c r="K32" s="69">
        <v>346458</v>
      </c>
      <c r="L32" s="19">
        <f t="shared" si="2"/>
        <v>2033748</v>
      </c>
      <c r="M32" s="19">
        <f t="shared" si="0"/>
        <v>2491622</v>
      </c>
    </row>
    <row r="33" spans="1:13">
      <c r="A33" s="1" t="s">
        <v>1</v>
      </c>
      <c r="B33" s="48" t="s">
        <v>46</v>
      </c>
      <c r="C33" s="50">
        <v>19380</v>
      </c>
      <c r="D33" s="51">
        <v>0</v>
      </c>
      <c r="E33" s="52">
        <f t="shared" si="1"/>
        <v>19380</v>
      </c>
      <c r="F33" s="49">
        <v>17340</v>
      </c>
      <c r="G33" s="50">
        <v>17340</v>
      </c>
      <c r="H33" s="50">
        <v>17340</v>
      </c>
      <c r="I33" s="50">
        <v>16320</v>
      </c>
      <c r="J33" s="50">
        <v>14280</v>
      </c>
      <c r="K33" s="66">
        <v>15300</v>
      </c>
      <c r="L33" s="52">
        <f t="shared" si="2"/>
        <v>97920</v>
      </c>
      <c r="M33" s="52">
        <f t="shared" si="0"/>
        <v>117300</v>
      </c>
    </row>
    <row r="34" spans="1:13">
      <c r="A34" s="1" t="s">
        <v>1</v>
      </c>
      <c r="B34" s="39" t="s">
        <v>47</v>
      </c>
      <c r="C34" s="54">
        <v>3420</v>
      </c>
      <c r="D34" s="55">
        <v>0</v>
      </c>
      <c r="E34" s="56">
        <f t="shared" si="1"/>
        <v>3420</v>
      </c>
      <c r="F34" s="53">
        <v>0</v>
      </c>
      <c r="G34" s="54">
        <v>3060</v>
      </c>
      <c r="H34" s="54">
        <v>3060</v>
      </c>
      <c r="I34" s="54">
        <v>2880</v>
      </c>
      <c r="J34" s="54">
        <v>2520</v>
      </c>
      <c r="K34" s="67">
        <v>0</v>
      </c>
      <c r="L34" s="56">
        <f t="shared" si="2"/>
        <v>11520</v>
      </c>
      <c r="M34" s="56">
        <f t="shared" si="0"/>
        <v>14940</v>
      </c>
    </row>
    <row r="35" spans="1:13">
      <c r="A35" s="1" t="s">
        <v>1</v>
      </c>
      <c r="B35" s="39" t="s">
        <v>48</v>
      </c>
      <c r="C35" s="54">
        <v>34770</v>
      </c>
      <c r="D35" s="55">
        <v>0</v>
      </c>
      <c r="E35" s="56">
        <f t="shared" si="1"/>
        <v>34770</v>
      </c>
      <c r="F35" s="53">
        <v>31110</v>
      </c>
      <c r="G35" s="54">
        <v>31110</v>
      </c>
      <c r="H35" s="54">
        <v>31110</v>
      </c>
      <c r="I35" s="54">
        <v>29280</v>
      </c>
      <c r="J35" s="54">
        <v>25620</v>
      </c>
      <c r="K35" s="67">
        <v>27450</v>
      </c>
      <c r="L35" s="56">
        <f t="shared" si="2"/>
        <v>175680</v>
      </c>
      <c r="M35" s="56">
        <f t="shared" si="0"/>
        <v>210450</v>
      </c>
    </row>
    <row r="36" spans="1:13">
      <c r="A36" s="1" t="s">
        <v>1</v>
      </c>
      <c r="B36" s="6" t="s">
        <v>49</v>
      </c>
      <c r="C36" s="29">
        <v>2220</v>
      </c>
      <c r="D36" s="9">
        <v>527</v>
      </c>
      <c r="E36" s="10">
        <f t="shared" si="1"/>
        <v>2747</v>
      </c>
      <c r="F36" s="28">
        <v>2075</v>
      </c>
      <c r="G36" s="29">
        <v>2048</v>
      </c>
      <c r="H36" s="29">
        <v>2343</v>
      </c>
      <c r="I36" s="29">
        <v>2000</v>
      </c>
      <c r="J36" s="29">
        <v>1658</v>
      </c>
      <c r="K36" s="68">
        <v>2079</v>
      </c>
      <c r="L36" s="10">
        <f t="shared" si="2"/>
        <v>12203</v>
      </c>
      <c r="M36" s="10">
        <f t="shared" si="0"/>
        <v>14950</v>
      </c>
    </row>
    <row r="37" spans="1:13">
      <c r="A37" s="1" t="s">
        <v>1</v>
      </c>
      <c r="B37" s="15" t="s">
        <v>50</v>
      </c>
      <c r="C37" s="31">
        <v>59790</v>
      </c>
      <c r="D37" s="18">
        <v>527</v>
      </c>
      <c r="E37" s="19">
        <f t="shared" si="1"/>
        <v>60317</v>
      </c>
      <c r="F37" s="30">
        <v>50525</v>
      </c>
      <c r="G37" s="31">
        <v>53558</v>
      </c>
      <c r="H37" s="31">
        <v>53853</v>
      </c>
      <c r="I37" s="31">
        <v>50480</v>
      </c>
      <c r="J37" s="31">
        <v>44078</v>
      </c>
      <c r="K37" s="69">
        <v>44829</v>
      </c>
      <c r="L37" s="19">
        <f t="shared" si="2"/>
        <v>297323</v>
      </c>
      <c r="M37" s="19">
        <f t="shared" si="0"/>
        <v>357640</v>
      </c>
    </row>
    <row r="38" spans="1:13">
      <c r="A38" s="1" t="s">
        <v>1</v>
      </c>
      <c r="B38" s="48" t="s">
        <v>51</v>
      </c>
      <c r="C38" s="50">
        <v>8810</v>
      </c>
      <c r="D38" s="51">
        <v>0</v>
      </c>
      <c r="E38" s="52">
        <f t="shared" si="1"/>
        <v>8810</v>
      </c>
      <c r="F38" s="49">
        <v>8110</v>
      </c>
      <c r="G38" s="50">
        <v>6080</v>
      </c>
      <c r="H38" s="50">
        <v>10510</v>
      </c>
      <c r="I38" s="50">
        <v>6050</v>
      </c>
      <c r="J38" s="50">
        <v>5660</v>
      </c>
      <c r="K38" s="66">
        <v>8080</v>
      </c>
      <c r="L38" s="52">
        <f t="shared" si="2"/>
        <v>44490</v>
      </c>
      <c r="M38" s="52">
        <f t="shared" si="0"/>
        <v>53300</v>
      </c>
    </row>
    <row r="39" spans="1:13">
      <c r="A39" s="1" t="s">
        <v>1</v>
      </c>
      <c r="B39" s="39" t="s">
        <v>52</v>
      </c>
      <c r="C39" s="54">
        <v>20000</v>
      </c>
      <c r="D39" s="55">
        <v>500</v>
      </c>
      <c r="E39" s="56">
        <f t="shared" si="1"/>
        <v>20500</v>
      </c>
      <c r="F39" s="53">
        <v>11800</v>
      </c>
      <c r="G39" s="54">
        <v>10200</v>
      </c>
      <c r="H39" s="54">
        <v>3500</v>
      </c>
      <c r="I39" s="54">
        <v>4000</v>
      </c>
      <c r="J39" s="54">
        <v>11900</v>
      </c>
      <c r="K39" s="67">
        <v>19000</v>
      </c>
      <c r="L39" s="56">
        <f t="shared" si="2"/>
        <v>60400</v>
      </c>
      <c r="M39" s="56">
        <f t="shared" si="0"/>
        <v>80900</v>
      </c>
    </row>
    <row r="40" spans="1:13">
      <c r="A40" s="1" t="s">
        <v>1</v>
      </c>
      <c r="B40" s="6" t="s">
        <v>53</v>
      </c>
      <c r="C40" s="29">
        <v>0</v>
      </c>
      <c r="D40" s="9">
        <v>0</v>
      </c>
      <c r="E40" s="10">
        <f t="shared" si="1"/>
        <v>0</v>
      </c>
      <c r="F40" s="28">
        <v>22400</v>
      </c>
      <c r="G40" s="29">
        <v>21000</v>
      </c>
      <c r="H40" s="29">
        <v>23200</v>
      </c>
      <c r="I40" s="29">
        <v>21400</v>
      </c>
      <c r="J40" s="29">
        <v>11800</v>
      </c>
      <c r="K40" s="68">
        <v>11800</v>
      </c>
      <c r="L40" s="10">
        <f t="shared" si="2"/>
        <v>111600</v>
      </c>
      <c r="M40" s="10">
        <f t="shared" si="0"/>
        <v>111600</v>
      </c>
    </row>
    <row r="41" spans="1:13">
      <c r="A41" s="1" t="s">
        <v>1</v>
      </c>
      <c r="B41" s="15" t="s">
        <v>54</v>
      </c>
      <c r="C41" s="31">
        <v>88600</v>
      </c>
      <c r="D41" s="18">
        <v>1027</v>
      </c>
      <c r="E41" s="19">
        <f t="shared" si="1"/>
        <v>89627</v>
      </c>
      <c r="F41" s="30">
        <v>92835</v>
      </c>
      <c r="G41" s="31">
        <v>90838</v>
      </c>
      <c r="H41" s="31">
        <v>91063</v>
      </c>
      <c r="I41" s="31">
        <v>81930</v>
      </c>
      <c r="J41" s="31">
        <v>73438</v>
      </c>
      <c r="K41" s="69">
        <v>83709</v>
      </c>
      <c r="L41" s="19">
        <f t="shared" si="2"/>
        <v>513813</v>
      </c>
      <c r="M41" s="19">
        <f t="shared" si="0"/>
        <v>603440</v>
      </c>
    </row>
    <row r="42" spans="1:13">
      <c r="A42" s="1" t="s">
        <v>1</v>
      </c>
      <c r="B42" s="15" t="s">
        <v>55</v>
      </c>
      <c r="C42" s="31">
        <v>305210</v>
      </c>
      <c r="D42" s="18">
        <v>84133</v>
      </c>
      <c r="E42" s="19">
        <f t="shared" si="1"/>
        <v>389343</v>
      </c>
      <c r="F42" s="30">
        <v>293588</v>
      </c>
      <c r="G42" s="31">
        <v>282112</v>
      </c>
      <c r="H42" s="31">
        <v>326075</v>
      </c>
      <c r="I42" s="31">
        <v>281142</v>
      </c>
      <c r="J42" s="31">
        <v>225094</v>
      </c>
      <c r="K42" s="69">
        <v>292683</v>
      </c>
      <c r="L42" s="19">
        <f t="shared" si="2"/>
        <v>1700694</v>
      </c>
      <c r="M42" s="19">
        <f t="shared" si="0"/>
        <v>2090037</v>
      </c>
    </row>
    <row r="43" spans="1:13">
      <c r="A43" s="1" t="s">
        <v>1</v>
      </c>
      <c r="B43" s="15" t="s">
        <v>56</v>
      </c>
      <c r="C43" s="31">
        <v>281388</v>
      </c>
      <c r="D43" s="18">
        <v>86859</v>
      </c>
      <c r="E43" s="19">
        <f t="shared" si="1"/>
        <v>368247</v>
      </c>
      <c r="F43" s="30">
        <v>252986</v>
      </c>
      <c r="G43" s="31">
        <v>250444</v>
      </c>
      <c r="H43" s="31">
        <v>299465</v>
      </c>
      <c r="I43" s="31">
        <v>251400</v>
      </c>
      <c r="J43" s="31">
        <v>202891</v>
      </c>
      <c r="K43" s="69">
        <v>262749</v>
      </c>
      <c r="L43" s="19">
        <f t="shared" si="2"/>
        <v>1519935</v>
      </c>
      <c r="M43" s="19">
        <f t="shared" si="0"/>
        <v>1888182</v>
      </c>
    </row>
    <row r="44" spans="1:13">
      <c r="A44" s="1" t="s">
        <v>1</v>
      </c>
      <c r="B44" s="15" t="s">
        <v>57</v>
      </c>
      <c r="C44" s="31">
        <v>281388</v>
      </c>
      <c r="D44" s="18">
        <v>86859</v>
      </c>
      <c r="E44" s="19">
        <f t="shared" si="1"/>
        <v>368247</v>
      </c>
      <c r="F44" s="30">
        <v>252986</v>
      </c>
      <c r="G44" s="31">
        <v>250444</v>
      </c>
      <c r="H44" s="31">
        <v>299465</v>
      </c>
      <c r="I44" s="31">
        <v>251400</v>
      </c>
      <c r="J44" s="31">
        <v>202891</v>
      </c>
      <c r="K44" s="69">
        <v>262749</v>
      </c>
      <c r="L44" s="19">
        <f t="shared" si="2"/>
        <v>1519935</v>
      </c>
      <c r="M44" s="19">
        <f t="shared" si="0"/>
        <v>1888182</v>
      </c>
    </row>
    <row r="45" spans="1:13">
      <c r="A45" s="1" t="s">
        <v>1</v>
      </c>
      <c r="B45" s="15" t="s">
        <v>58</v>
      </c>
      <c r="C45" s="31">
        <v>0</v>
      </c>
      <c r="D45" s="18">
        <v>0</v>
      </c>
      <c r="E45" s="19"/>
      <c r="F45" s="30">
        <v>0</v>
      </c>
      <c r="G45" s="31">
        <v>1</v>
      </c>
      <c r="H45" s="31">
        <v>0</v>
      </c>
      <c r="I45" s="31">
        <v>1</v>
      </c>
      <c r="J45" s="31">
        <v>0</v>
      </c>
      <c r="K45" s="69">
        <v>0</v>
      </c>
      <c r="L45" s="19"/>
      <c r="M45" s="19"/>
    </row>
    <row r="46" spans="1:13" ht="19.5" thickBot="1">
      <c r="A46" s="1" t="s">
        <v>1</v>
      </c>
      <c r="B46" s="11" t="s">
        <v>59</v>
      </c>
      <c r="C46" s="33" t="s">
        <v>60</v>
      </c>
      <c r="D46" s="12" t="s">
        <v>60</v>
      </c>
      <c r="E46" s="13"/>
      <c r="F46" s="32" t="s">
        <v>60</v>
      </c>
      <c r="G46" s="33" t="s">
        <v>60</v>
      </c>
      <c r="H46" s="33" t="s">
        <v>60</v>
      </c>
      <c r="I46" s="33" t="s">
        <v>60</v>
      </c>
      <c r="J46" s="33" t="s">
        <v>60</v>
      </c>
      <c r="K46" s="70" t="s">
        <v>60</v>
      </c>
      <c r="L46" s="13"/>
      <c r="M46" s="13"/>
    </row>
  </sheetData>
  <phoneticPr fontId="4"/>
  <pageMargins left="0.31496062992125984" right="0.31496062992125984" top="0.35433070866141736" bottom="0.35433070866141736" header="0.11811023622047245" footer="0.11811023622047245"/>
  <pageSetup paperSize="12" scale="81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2023年10月度給与 (2)</vt:lpstr>
      <vt:lpstr>'2023年10月度給与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2023-11-06T05:54:52Z</cp:lastPrinted>
  <dcterms:created xsi:type="dcterms:W3CDTF">2023-11-06T04:21:03Z</dcterms:created>
  <dcterms:modified xsi:type="dcterms:W3CDTF">2023-11-24T03:06:44Z</dcterms:modified>
</cp:coreProperties>
</file>