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0\"/>
    </mc:Choice>
  </mc:AlternateContent>
  <xr:revisionPtr revIDLastSave="0" documentId="13_ncr:1_{4C1F58D2-8BCE-4F84-BBE8-DE06753B1024}" xr6:coauthVersionLast="47" xr6:coauthVersionMax="47" xr10:uidLastSave="{00000000-0000-0000-0000-000000000000}"/>
  <bookViews>
    <workbookView xWindow="-120" yWindow="-120" windowWidth="20730" windowHeight="11160" xr2:uid="{A58DC325-3566-4C2F-8D79-28337438304F}"/>
  </bookViews>
  <sheets>
    <sheet name="2023年10月度給与 (2)" sheetId="3" r:id="rId1"/>
  </sheets>
  <definedNames>
    <definedName name="_xlnm.Print_Area" localSheetId="0">'2023年10月度給与 (2)'!$A$1:$L$32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3" l="1"/>
  <c r="L13" i="3"/>
  <c r="L17" i="3"/>
  <c r="L21" i="3"/>
  <c r="L25" i="3"/>
  <c r="L29" i="3"/>
  <c r="K7" i="3"/>
  <c r="L7" i="3" s="1"/>
  <c r="K8" i="3"/>
  <c r="L8" i="3" s="1"/>
  <c r="K9" i="3"/>
  <c r="K10" i="3"/>
  <c r="L10" i="3" s="1"/>
  <c r="K11" i="3"/>
  <c r="L11" i="3" s="1"/>
  <c r="K12" i="3"/>
  <c r="L12" i="3" s="1"/>
  <c r="K13" i="3"/>
  <c r="K14" i="3"/>
  <c r="L14" i="3" s="1"/>
  <c r="K15" i="3"/>
  <c r="L15" i="3" s="1"/>
  <c r="K16" i="3"/>
  <c r="L16" i="3" s="1"/>
  <c r="K17" i="3"/>
  <c r="K18" i="3"/>
  <c r="L18" i="3" s="1"/>
  <c r="K19" i="3"/>
  <c r="L19" i="3" s="1"/>
  <c r="K20" i="3"/>
  <c r="L20" i="3" s="1"/>
  <c r="K21" i="3"/>
  <c r="K22" i="3"/>
  <c r="L22" i="3" s="1"/>
  <c r="K23" i="3"/>
  <c r="L23" i="3" s="1"/>
  <c r="K24" i="3"/>
  <c r="L24" i="3" s="1"/>
  <c r="K25" i="3"/>
  <c r="K26" i="3"/>
  <c r="L26" i="3" s="1"/>
  <c r="K27" i="3"/>
  <c r="L27" i="3" s="1"/>
  <c r="K28" i="3"/>
  <c r="L28" i="3" s="1"/>
  <c r="K29" i="3"/>
  <c r="K30" i="3"/>
  <c r="L30" i="3" s="1"/>
  <c r="K6" i="3"/>
  <c r="L6" i="3" s="1"/>
  <c r="K5" i="3"/>
  <c r="L5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6" i="3"/>
  <c r="G5" i="3"/>
</calcChain>
</file>

<file path=xl/sharedStrings.xml><?xml version="1.0" encoding="utf-8"?>
<sst xmlns="http://schemas.openxmlformats.org/spreadsheetml/2006/main" count="86" uniqueCount="53">
  <si>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</si>
  <si>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</si>
  <si>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</si>
  <si>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</si>
  <si>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</si>
  <si>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</si>
  <si>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</si>
  <si>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</si>
  <si>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</si>
  <si>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</si>
  <si>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</si>
  <si>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</si>
  <si>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</si>
  <si>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</si>
  <si>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</si>
  <si>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</si>
  <si>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</si>
  <si>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</si>
  <si>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有休残日数</t>
    <phoneticPr fontId="4"/>
  </si>
  <si>
    <t>基本給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</si>
  <si>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</si>
  <si>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</si>
  <si>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</si>
  <si>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</si>
  <si>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</si>
  <si>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</si>
  <si>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</si>
  <si>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</si>
  <si>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</si>
  <si>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</si>
  <si>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</si>
  <si>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</si>
  <si>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</si>
  <si>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</si>
  <si>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</si>
  <si>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</si>
  <si>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</si>
  <si>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</si>
  <si>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</si>
  <si>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</si>
  <si>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</si>
  <si>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</si>
  <si>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</si>
  <si>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</si>
  <si>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</si>
  <si>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2023年10月度給与</t>
    <phoneticPr fontId="4"/>
  </si>
  <si>
    <t>若林権太郎</t>
    <phoneticPr fontId="4"/>
  </si>
  <si>
    <t>若林孝次郎</t>
    <phoneticPr fontId="4"/>
  </si>
  <si>
    <t>浅田恵美子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</si>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</sst>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176" fontId="2" fillId="0" borderId="11" xfId="1" applyNumberFormat="1" applyFont="1" applyBorder="1"/>
    <xf numFmtId="176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5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49" fontId="2" fillId="0" borderId="23" xfId="1" applyNumberFormat="1" applyFont="1" applyBorder="1" applyAlignment="1">
      <alignment horizontal="left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19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8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3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center"/>
    </xf>
    <xf numFmtId="0" fontId="2" fillId="0" borderId="4" xfId="1" applyFont="1" applyBorder="1"/>
  </cellXfs>
  <cellStyles count="2">
    <cellStyle name="標準" xfId="0" builtinId="0"/>
    <cellStyle name="標準 2" xfId="1" xr:uid="{046436BB-66ED-452C-8E0A-7E2FE82AAA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9E06-88AC-4F4E-8047-51DB593E68DD}">
  <sheetPr>
    <pageSetUpPr fitToPage="1"/>
  </sheetPr>
  <dimension ref="A1:L3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10" sqref="B10"/>
    </sheetView>
  </sheetViews>
  <sheetFormatPr defaultRowHeight="18.75"/>
  <cols>
    <col min="1" max="1" width="2.375" style="2" customWidth="1"/>
    <col min="2" max="2" width="13.25" style="2" bestFit="1" customWidth="1"/>
    <col min="3" max="12" width="11.62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45</v>
      </c>
    </row>
    <row r="3" spans="1:12">
      <c r="B3" s="13"/>
      <c r="C3" s="19" t="s">
        <v>2</v>
      </c>
      <c r="D3" s="20" t="s">
        <v>3</v>
      </c>
      <c r="E3" s="20" t="s">
        <v>4</v>
      </c>
      <c r="F3" s="52" t="s">
        <v>5</v>
      </c>
      <c r="G3" s="74" t="s">
        <v>49</v>
      </c>
      <c r="H3" s="63" t="s">
        <v>6</v>
      </c>
      <c r="I3" s="20" t="s">
        <v>7</v>
      </c>
      <c r="J3" s="52" t="s">
        <v>8</v>
      </c>
      <c r="K3" s="74" t="s">
        <v>49</v>
      </c>
      <c r="L3" s="76" t="s">
        <v>14</v>
      </c>
    </row>
    <row r="4" spans="1:12" ht="19.5" thickBot="1">
      <c r="B4" s="4" t="s">
        <v>9</v>
      </c>
      <c r="C4" s="21" t="s">
        <v>46</v>
      </c>
      <c r="D4" s="22" t="s">
        <v>47</v>
      </c>
      <c r="E4" s="22" t="s">
        <v>10</v>
      </c>
      <c r="F4" s="53" t="s">
        <v>11</v>
      </c>
      <c r="G4" s="75" t="s">
        <v>50</v>
      </c>
      <c r="H4" s="64" t="s">
        <v>12</v>
      </c>
      <c r="I4" s="22" t="s">
        <v>48</v>
      </c>
      <c r="J4" s="3" t="s">
        <v>13</v>
      </c>
      <c r="K4" s="75" t="s">
        <v>51</v>
      </c>
      <c r="L4" s="4" t="s">
        <v>52</v>
      </c>
    </row>
    <row r="5" spans="1:12">
      <c r="A5" s="1" t="s">
        <v>1</v>
      </c>
      <c r="B5" s="43" t="s">
        <v>15</v>
      </c>
      <c r="C5" s="44">
        <v>0</v>
      </c>
      <c r="D5" s="45">
        <v>0</v>
      </c>
      <c r="E5" s="45">
        <v>0</v>
      </c>
      <c r="F5" s="54">
        <v>0</v>
      </c>
      <c r="G5" s="47">
        <f>SUM(C5:F5)</f>
        <v>0</v>
      </c>
      <c r="H5" s="65">
        <v>21</v>
      </c>
      <c r="I5" s="45">
        <v>20</v>
      </c>
      <c r="J5" s="46">
        <v>17</v>
      </c>
      <c r="K5" s="47">
        <f>SUM(H5:J5)</f>
        <v>58</v>
      </c>
      <c r="L5" s="47">
        <f>SUM(K5,G5)</f>
        <v>58</v>
      </c>
    </row>
    <row r="6" spans="1:12">
      <c r="A6" s="1" t="s">
        <v>1</v>
      </c>
      <c r="B6" s="38" t="s">
        <v>16</v>
      </c>
      <c r="C6" s="48">
        <v>0</v>
      </c>
      <c r="D6" s="49">
        <v>0</v>
      </c>
      <c r="E6" s="49">
        <v>0</v>
      </c>
      <c r="F6" s="55">
        <v>0</v>
      </c>
      <c r="G6" s="51">
        <f>SUM(C6:F6)</f>
        <v>0</v>
      </c>
      <c r="H6" s="66">
        <v>0</v>
      </c>
      <c r="I6" s="49">
        <v>1</v>
      </c>
      <c r="J6" s="50">
        <v>0</v>
      </c>
      <c r="K6" s="51">
        <f>SUM(H6:J6)</f>
        <v>1</v>
      </c>
      <c r="L6" s="51">
        <f t="shared" ref="L6:L30" si="0">SUM(K6,G6)</f>
        <v>1</v>
      </c>
    </row>
    <row r="7" spans="1:12">
      <c r="A7" s="1" t="s">
        <v>1</v>
      </c>
      <c r="B7" s="5" t="s">
        <v>17</v>
      </c>
      <c r="C7" s="23">
        <v>0</v>
      </c>
      <c r="D7" s="24">
        <v>0</v>
      </c>
      <c r="E7" s="24">
        <v>0</v>
      </c>
      <c r="F7" s="56">
        <v>0</v>
      </c>
      <c r="G7" s="7">
        <f t="shared" ref="G7:G31" si="1">SUM(C7:F7)</f>
        <v>0</v>
      </c>
      <c r="H7" s="67">
        <v>0</v>
      </c>
      <c r="I7" s="24">
        <v>0</v>
      </c>
      <c r="J7" s="6">
        <v>3.5833333333333335</v>
      </c>
      <c r="K7" s="7">
        <f t="shared" ref="K7:K30" si="2">SUM(H7:J7)</f>
        <v>3.5833333333333335</v>
      </c>
      <c r="L7" s="7">
        <f t="shared" si="0"/>
        <v>3.5833333333333335</v>
      </c>
    </row>
    <row r="8" spans="1:12">
      <c r="A8" s="1" t="s">
        <v>1</v>
      </c>
      <c r="B8" s="14" t="s">
        <v>18</v>
      </c>
      <c r="C8" s="25">
        <v>0</v>
      </c>
      <c r="D8" s="26">
        <v>0</v>
      </c>
      <c r="E8" s="26">
        <v>0</v>
      </c>
      <c r="F8" s="57">
        <v>0</v>
      </c>
      <c r="G8" s="16">
        <f t="shared" si="1"/>
        <v>0</v>
      </c>
      <c r="H8" s="68">
        <v>30</v>
      </c>
      <c r="I8" s="26">
        <v>35</v>
      </c>
      <c r="J8" s="15">
        <v>33</v>
      </c>
      <c r="K8" s="16">
        <f t="shared" si="2"/>
        <v>98</v>
      </c>
      <c r="L8" s="16">
        <f t="shared" si="0"/>
        <v>98</v>
      </c>
    </row>
    <row r="9" spans="1:12">
      <c r="A9" s="1" t="s">
        <v>1</v>
      </c>
      <c r="B9" s="33" t="s">
        <v>19</v>
      </c>
      <c r="C9" s="34">
        <v>0</v>
      </c>
      <c r="D9" s="35">
        <v>0</v>
      </c>
      <c r="E9" s="35">
        <v>0</v>
      </c>
      <c r="F9" s="58">
        <v>0</v>
      </c>
      <c r="G9" s="37">
        <f t="shared" si="1"/>
        <v>0</v>
      </c>
      <c r="H9" s="69">
        <v>300000</v>
      </c>
      <c r="I9" s="35">
        <v>375000</v>
      </c>
      <c r="J9" s="36">
        <v>0</v>
      </c>
      <c r="K9" s="37">
        <f t="shared" si="2"/>
        <v>675000</v>
      </c>
      <c r="L9" s="37">
        <f t="shared" si="0"/>
        <v>675000</v>
      </c>
    </row>
    <row r="10" spans="1:12">
      <c r="A10" s="1" t="s">
        <v>1</v>
      </c>
      <c r="B10" s="38" t="s">
        <v>20</v>
      </c>
      <c r="C10" s="39">
        <v>0</v>
      </c>
      <c r="D10" s="40">
        <v>0</v>
      </c>
      <c r="E10" s="40">
        <v>0</v>
      </c>
      <c r="F10" s="59">
        <v>0</v>
      </c>
      <c r="G10" s="42">
        <f t="shared" si="1"/>
        <v>0</v>
      </c>
      <c r="H10" s="70">
        <v>50000</v>
      </c>
      <c r="I10" s="40">
        <v>50000</v>
      </c>
      <c r="J10" s="41">
        <v>0</v>
      </c>
      <c r="K10" s="42">
        <f t="shared" si="2"/>
        <v>100000</v>
      </c>
      <c r="L10" s="42">
        <f t="shared" si="0"/>
        <v>100000</v>
      </c>
    </row>
    <row r="11" spans="1:12">
      <c r="A11" s="1" t="s">
        <v>1</v>
      </c>
      <c r="B11" s="38" t="s">
        <v>21</v>
      </c>
      <c r="C11" s="39">
        <v>0</v>
      </c>
      <c r="D11" s="40">
        <v>0</v>
      </c>
      <c r="E11" s="40">
        <v>0</v>
      </c>
      <c r="F11" s="59">
        <v>0</v>
      </c>
      <c r="G11" s="42">
        <f t="shared" si="1"/>
        <v>0</v>
      </c>
      <c r="H11" s="70">
        <v>65000</v>
      </c>
      <c r="I11" s="40">
        <v>0</v>
      </c>
      <c r="J11" s="41">
        <v>0</v>
      </c>
      <c r="K11" s="42">
        <f t="shared" si="2"/>
        <v>65000</v>
      </c>
      <c r="L11" s="42">
        <f t="shared" si="0"/>
        <v>65000</v>
      </c>
    </row>
    <row r="12" spans="1:12">
      <c r="A12" s="1" t="s">
        <v>1</v>
      </c>
      <c r="B12" s="38" t="s">
        <v>22</v>
      </c>
      <c r="C12" s="39">
        <v>0</v>
      </c>
      <c r="D12" s="40">
        <v>0</v>
      </c>
      <c r="E12" s="40">
        <v>0</v>
      </c>
      <c r="F12" s="59">
        <v>0</v>
      </c>
      <c r="G12" s="42">
        <f t="shared" si="1"/>
        <v>0</v>
      </c>
      <c r="H12" s="70">
        <v>0</v>
      </c>
      <c r="I12" s="40">
        <v>0</v>
      </c>
      <c r="J12" s="41">
        <v>106640</v>
      </c>
      <c r="K12" s="42">
        <f t="shared" si="2"/>
        <v>106640</v>
      </c>
      <c r="L12" s="42">
        <f t="shared" si="0"/>
        <v>106640</v>
      </c>
    </row>
    <row r="13" spans="1:12">
      <c r="A13" s="1" t="s">
        <v>1</v>
      </c>
      <c r="B13" s="5" t="s">
        <v>23</v>
      </c>
      <c r="C13" s="27">
        <v>1000000</v>
      </c>
      <c r="D13" s="28">
        <v>200000</v>
      </c>
      <c r="E13" s="28">
        <v>100000</v>
      </c>
      <c r="F13" s="60">
        <v>200000</v>
      </c>
      <c r="G13" s="9">
        <f t="shared" si="1"/>
        <v>1500000</v>
      </c>
      <c r="H13" s="71">
        <v>0</v>
      </c>
      <c r="I13" s="28">
        <v>0</v>
      </c>
      <c r="J13" s="8">
        <v>0</v>
      </c>
      <c r="K13" s="9">
        <f t="shared" si="2"/>
        <v>0</v>
      </c>
      <c r="L13" s="9">
        <f t="shared" si="0"/>
        <v>1500000</v>
      </c>
    </row>
    <row r="14" spans="1:12">
      <c r="A14" s="1" t="s">
        <v>1</v>
      </c>
      <c r="B14" s="14" t="s">
        <v>24</v>
      </c>
      <c r="C14" s="29">
        <v>1000000</v>
      </c>
      <c r="D14" s="30">
        <v>200000</v>
      </c>
      <c r="E14" s="30">
        <v>100000</v>
      </c>
      <c r="F14" s="61">
        <v>200000</v>
      </c>
      <c r="G14" s="18">
        <f t="shared" si="1"/>
        <v>1500000</v>
      </c>
      <c r="H14" s="72">
        <v>415000</v>
      </c>
      <c r="I14" s="30">
        <v>425000</v>
      </c>
      <c r="J14" s="17">
        <v>106640</v>
      </c>
      <c r="K14" s="18">
        <f t="shared" si="2"/>
        <v>946640</v>
      </c>
      <c r="L14" s="18">
        <f t="shared" si="0"/>
        <v>2446640</v>
      </c>
    </row>
    <row r="15" spans="1:12">
      <c r="A15" s="1" t="s">
        <v>1</v>
      </c>
      <c r="B15" s="33" t="s">
        <v>25</v>
      </c>
      <c r="C15" s="34">
        <v>0</v>
      </c>
      <c r="D15" s="35">
        <v>0</v>
      </c>
      <c r="E15" s="35">
        <v>0</v>
      </c>
      <c r="F15" s="58">
        <v>0</v>
      </c>
      <c r="G15" s="37">
        <f t="shared" si="1"/>
        <v>0</v>
      </c>
      <c r="H15" s="69">
        <v>1764</v>
      </c>
      <c r="I15" s="35">
        <v>10560</v>
      </c>
      <c r="J15" s="36">
        <v>0</v>
      </c>
      <c r="K15" s="37">
        <f t="shared" si="2"/>
        <v>12324</v>
      </c>
      <c r="L15" s="37">
        <f t="shared" si="0"/>
        <v>12324</v>
      </c>
    </row>
    <row r="16" spans="1:12">
      <c r="A16" s="1" t="s">
        <v>1</v>
      </c>
      <c r="B16" s="5" t="s">
        <v>26</v>
      </c>
      <c r="C16" s="27">
        <v>0</v>
      </c>
      <c r="D16" s="28">
        <v>0</v>
      </c>
      <c r="E16" s="28">
        <v>0</v>
      </c>
      <c r="F16" s="60">
        <v>0</v>
      </c>
      <c r="G16" s="9">
        <f t="shared" si="1"/>
        <v>0</v>
      </c>
      <c r="H16" s="71">
        <v>1764</v>
      </c>
      <c r="I16" s="28">
        <v>10560</v>
      </c>
      <c r="J16" s="8">
        <v>0</v>
      </c>
      <c r="K16" s="9">
        <f t="shared" si="2"/>
        <v>12324</v>
      </c>
      <c r="L16" s="9">
        <f t="shared" si="0"/>
        <v>12324</v>
      </c>
    </row>
    <row r="17" spans="1:12">
      <c r="A17" s="1" t="s">
        <v>1</v>
      </c>
      <c r="B17" s="14" t="s">
        <v>27</v>
      </c>
      <c r="C17" s="29">
        <v>1000000</v>
      </c>
      <c r="D17" s="30">
        <v>200000</v>
      </c>
      <c r="E17" s="30">
        <v>100000</v>
      </c>
      <c r="F17" s="61">
        <v>200000</v>
      </c>
      <c r="G17" s="18">
        <f t="shared" si="1"/>
        <v>1500000</v>
      </c>
      <c r="H17" s="72">
        <v>416764</v>
      </c>
      <c r="I17" s="30">
        <v>435560</v>
      </c>
      <c r="J17" s="17">
        <v>106640</v>
      </c>
      <c r="K17" s="18">
        <f t="shared" si="2"/>
        <v>958964</v>
      </c>
      <c r="L17" s="18">
        <f t="shared" si="0"/>
        <v>2458964</v>
      </c>
    </row>
    <row r="18" spans="1:12">
      <c r="A18" s="1" t="s">
        <v>1</v>
      </c>
      <c r="B18" s="33" t="s">
        <v>28</v>
      </c>
      <c r="C18" s="34">
        <v>49980</v>
      </c>
      <c r="D18" s="35">
        <v>0</v>
      </c>
      <c r="E18" s="35">
        <v>0</v>
      </c>
      <c r="F18" s="58">
        <v>0</v>
      </c>
      <c r="G18" s="37">
        <f t="shared" si="1"/>
        <v>49980</v>
      </c>
      <c r="H18" s="69">
        <v>20910</v>
      </c>
      <c r="I18" s="35">
        <v>22440</v>
      </c>
      <c r="J18" s="36">
        <v>0</v>
      </c>
      <c r="K18" s="37">
        <f t="shared" si="2"/>
        <v>43350</v>
      </c>
      <c r="L18" s="37">
        <f t="shared" si="0"/>
        <v>93330</v>
      </c>
    </row>
    <row r="19" spans="1:12">
      <c r="A19" s="1" t="s">
        <v>1</v>
      </c>
      <c r="B19" s="38" t="s">
        <v>29</v>
      </c>
      <c r="C19" s="39">
        <v>8820</v>
      </c>
      <c r="D19" s="40">
        <v>0</v>
      </c>
      <c r="E19" s="40">
        <v>0</v>
      </c>
      <c r="F19" s="59">
        <v>0</v>
      </c>
      <c r="G19" s="42">
        <f t="shared" si="1"/>
        <v>8820</v>
      </c>
      <c r="H19" s="70">
        <v>3690</v>
      </c>
      <c r="I19" s="40">
        <v>3960</v>
      </c>
      <c r="J19" s="41">
        <v>0</v>
      </c>
      <c r="K19" s="42">
        <f t="shared" si="2"/>
        <v>7650</v>
      </c>
      <c r="L19" s="42">
        <f t="shared" si="0"/>
        <v>16470</v>
      </c>
    </row>
    <row r="20" spans="1:12">
      <c r="A20" s="1" t="s">
        <v>1</v>
      </c>
      <c r="B20" s="38" t="s">
        <v>30</v>
      </c>
      <c r="C20" s="39">
        <v>59475</v>
      </c>
      <c r="D20" s="40">
        <v>0</v>
      </c>
      <c r="E20" s="40">
        <v>0</v>
      </c>
      <c r="F20" s="59">
        <v>0</v>
      </c>
      <c r="G20" s="42">
        <f t="shared" si="1"/>
        <v>59475</v>
      </c>
      <c r="H20" s="70">
        <v>37515</v>
      </c>
      <c r="I20" s="40">
        <v>40260</v>
      </c>
      <c r="J20" s="41">
        <v>0</v>
      </c>
      <c r="K20" s="42">
        <f t="shared" si="2"/>
        <v>77775</v>
      </c>
      <c r="L20" s="42">
        <f t="shared" si="0"/>
        <v>137250</v>
      </c>
    </row>
    <row r="21" spans="1:12">
      <c r="A21" s="1" t="s">
        <v>1</v>
      </c>
      <c r="B21" s="5" t="s">
        <v>31</v>
      </c>
      <c r="C21" s="27">
        <v>0</v>
      </c>
      <c r="D21" s="28">
        <v>0</v>
      </c>
      <c r="E21" s="28">
        <v>0</v>
      </c>
      <c r="F21" s="60">
        <v>0</v>
      </c>
      <c r="G21" s="9">
        <f t="shared" si="1"/>
        <v>0</v>
      </c>
      <c r="H21" s="71">
        <v>2501</v>
      </c>
      <c r="I21" s="28">
        <v>2613</v>
      </c>
      <c r="J21" s="8">
        <v>640</v>
      </c>
      <c r="K21" s="9">
        <f t="shared" si="2"/>
        <v>5754</v>
      </c>
      <c r="L21" s="9">
        <f t="shared" si="0"/>
        <v>5754</v>
      </c>
    </row>
    <row r="22" spans="1:12">
      <c r="A22" s="1" t="s">
        <v>1</v>
      </c>
      <c r="B22" s="14" t="s">
        <v>32</v>
      </c>
      <c r="C22" s="29">
        <v>118275</v>
      </c>
      <c r="D22" s="30">
        <v>0</v>
      </c>
      <c r="E22" s="30">
        <v>0</v>
      </c>
      <c r="F22" s="61">
        <v>0</v>
      </c>
      <c r="G22" s="18">
        <f t="shared" si="1"/>
        <v>118275</v>
      </c>
      <c r="H22" s="72">
        <v>64616</v>
      </c>
      <c r="I22" s="30">
        <v>69273</v>
      </c>
      <c r="J22" s="17">
        <v>640</v>
      </c>
      <c r="K22" s="18">
        <f t="shared" si="2"/>
        <v>134529</v>
      </c>
      <c r="L22" s="18">
        <f t="shared" si="0"/>
        <v>252804</v>
      </c>
    </row>
    <row r="23" spans="1:12">
      <c r="A23" s="1" t="s">
        <v>1</v>
      </c>
      <c r="B23" s="33" t="s">
        <v>33</v>
      </c>
      <c r="C23" s="34">
        <v>97950</v>
      </c>
      <c r="D23" s="35">
        <v>20900</v>
      </c>
      <c r="E23" s="35">
        <v>720</v>
      </c>
      <c r="F23" s="58">
        <v>20900</v>
      </c>
      <c r="G23" s="37">
        <f t="shared" si="1"/>
        <v>140470</v>
      </c>
      <c r="H23" s="69">
        <v>12500</v>
      </c>
      <c r="I23" s="35">
        <v>12930</v>
      </c>
      <c r="J23" s="36">
        <v>1030</v>
      </c>
      <c r="K23" s="37">
        <f t="shared" si="2"/>
        <v>26460</v>
      </c>
      <c r="L23" s="37">
        <f t="shared" si="0"/>
        <v>166930</v>
      </c>
    </row>
    <row r="24" spans="1:12">
      <c r="A24" s="1" t="s">
        <v>1</v>
      </c>
      <c r="B24" s="38" t="s">
        <v>34</v>
      </c>
      <c r="C24" s="39">
        <v>84700</v>
      </c>
      <c r="D24" s="40">
        <v>0</v>
      </c>
      <c r="E24" s="40">
        <v>900</v>
      </c>
      <c r="F24" s="59">
        <v>0</v>
      </c>
      <c r="G24" s="42">
        <f t="shared" si="1"/>
        <v>85600</v>
      </c>
      <c r="H24" s="70">
        <v>23300</v>
      </c>
      <c r="I24" s="40">
        <v>23600</v>
      </c>
      <c r="J24" s="41">
        <v>2300</v>
      </c>
      <c r="K24" s="42">
        <f t="shared" si="2"/>
        <v>49200</v>
      </c>
      <c r="L24" s="42">
        <f t="shared" si="0"/>
        <v>134800</v>
      </c>
    </row>
    <row r="25" spans="1:12">
      <c r="A25" s="1" t="s">
        <v>1</v>
      </c>
      <c r="B25" s="5" t="s">
        <v>35</v>
      </c>
      <c r="C25" s="27">
        <v>32000</v>
      </c>
      <c r="D25" s="28">
        <v>0</v>
      </c>
      <c r="E25" s="28">
        <v>0</v>
      </c>
      <c r="F25" s="60">
        <v>0</v>
      </c>
      <c r="G25" s="9">
        <f t="shared" si="1"/>
        <v>32000</v>
      </c>
      <c r="H25" s="71">
        <v>0</v>
      </c>
      <c r="I25" s="28">
        <v>0</v>
      </c>
      <c r="J25" s="8">
        <v>0</v>
      </c>
      <c r="K25" s="9">
        <f t="shared" si="2"/>
        <v>0</v>
      </c>
      <c r="L25" s="9">
        <f t="shared" si="0"/>
        <v>32000</v>
      </c>
    </row>
    <row r="26" spans="1:12">
      <c r="A26" s="1" t="s">
        <v>1</v>
      </c>
      <c r="B26" s="14" t="s">
        <v>36</v>
      </c>
      <c r="C26" s="29">
        <v>332925</v>
      </c>
      <c r="D26" s="30">
        <v>20900</v>
      </c>
      <c r="E26" s="30">
        <v>1620</v>
      </c>
      <c r="F26" s="61">
        <v>20900</v>
      </c>
      <c r="G26" s="18">
        <f t="shared" si="1"/>
        <v>376345</v>
      </c>
      <c r="H26" s="72">
        <v>100416</v>
      </c>
      <c r="I26" s="30">
        <v>105803</v>
      </c>
      <c r="J26" s="17">
        <v>3970</v>
      </c>
      <c r="K26" s="18">
        <f t="shared" si="2"/>
        <v>210189</v>
      </c>
      <c r="L26" s="18">
        <f t="shared" si="0"/>
        <v>586534</v>
      </c>
    </row>
    <row r="27" spans="1:12">
      <c r="A27" s="1" t="s">
        <v>1</v>
      </c>
      <c r="B27" s="14" t="s">
        <v>37</v>
      </c>
      <c r="C27" s="29">
        <v>881725</v>
      </c>
      <c r="D27" s="30">
        <v>200000</v>
      </c>
      <c r="E27" s="30">
        <v>100000</v>
      </c>
      <c r="F27" s="61">
        <v>200000</v>
      </c>
      <c r="G27" s="18">
        <f t="shared" si="1"/>
        <v>1381725</v>
      </c>
      <c r="H27" s="72">
        <v>350384</v>
      </c>
      <c r="I27" s="30">
        <v>355727</v>
      </c>
      <c r="J27" s="17">
        <v>106000</v>
      </c>
      <c r="K27" s="18">
        <f t="shared" si="2"/>
        <v>812111</v>
      </c>
      <c r="L27" s="18">
        <f t="shared" si="0"/>
        <v>2193836</v>
      </c>
    </row>
    <row r="28" spans="1:12">
      <c r="A28" s="1" t="s">
        <v>1</v>
      </c>
      <c r="B28" s="14" t="s">
        <v>38</v>
      </c>
      <c r="C28" s="29">
        <v>667075</v>
      </c>
      <c r="D28" s="30">
        <v>179100</v>
      </c>
      <c r="E28" s="30">
        <v>98380</v>
      </c>
      <c r="F28" s="61">
        <v>179100</v>
      </c>
      <c r="G28" s="18">
        <f t="shared" si="1"/>
        <v>1123655</v>
      </c>
      <c r="H28" s="72">
        <v>316348</v>
      </c>
      <c r="I28" s="30">
        <v>329757</v>
      </c>
      <c r="J28" s="17">
        <v>102670</v>
      </c>
      <c r="K28" s="18">
        <f t="shared" si="2"/>
        <v>748775</v>
      </c>
      <c r="L28" s="18">
        <f t="shared" si="0"/>
        <v>1872430</v>
      </c>
    </row>
    <row r="29" spans="1:12">
      <c r="A29" s="1" t="s">
        <v>1</v>
      </c>
      <c r="B29" s="14" t="s">
        <v>39</v>
      </c>
      <c r="C29" s="29">
        <v>0</v>
      </c>
      <c r="D29" s="30">
        <v>0</v>
      </c>
      <c r="E29" s="30">
        <v>98380</v>
      </c>
      <c r="F29" s="61">
        <v>0</v>
      </c>
      <c r="G29" s="18">
        <f t="shared" si="1"/>
        <v>98380</v>
      </c>
      <c r="H29" s="72">
        <v>0</v>
      </c>
      <c r="I29" s="30">
        <v>0</v>
      </c>
      <c r="J29" s="17">
        <v>0</v>
      </c>
      <c r="K29" s="18">
        <f t="shared" si="2"/>
        <v>0</v>
      </c>
      <c r="L29" s="18">
        <f t="shared" si="0"/>
        <v>98380</v>
      </c>
    </row>
    <row r="30" spans="1:12">
      <c r="A30" s="1" t="s">
        <v>1</v>
      </c>
      <c r="B30" s="14" t="s">
        <v>40</v>
      </c>
      <c r="C30" s="29">
        <v>667075</v>
      </c>
      <c r="D30" s="30">
        <v>179100</v>
      </c>
      <c r="E30" s="30">
        <v>0</v>
      </c>
      <c r="F30" s="61">
        <v>179100</v>
      </c>
      <c r="G30" s="18">
        <f t="shared" si="1"/>
        <v>1025275</v>
      </c>
      <c r="H30" s="72">
        <v>316348</v>
      </c>
      <c r="I30" s="30">
        <v>329757</v>
      </c>
      <c r="J30" s="17">
        <v>102670</v>
      </c>
      <c r="K30" s="18">
        <f t="shared" si="2"/>
        <v>748775</v>
      </c>
      <c r="L30" s="18">
        <f t="shared" si="0"/>
        <v>1774050</v>
      </c>
    </row>
    <row r="31" spans="1:12">
      <c r="A31" s="1" t="s">
        <v>1</v>
      </c>
      <c r="B31" s="14" t="s">
        <v>41</v>
      </c>
      <c r="C31" s="29">
        <v>1</v>
      </c>
      <c r="D31" s="30">
        <v>0</v>
      </c>
      <c r="E31" s="30">
        <v>0</v>
      </c>
      <c r="F31" s="61">
        <v>0</v>
      </c>
      <c r="G31" s="18">
        <f t="shared" si="1"/>
        <v>1</v>
      </c>
      <c r="H31" s="72">
        <v>0</v>
      </c>
      <c r="I31" s="30">
        <v>0</v>
      </c>
      <c r="J31" s="17">
        <v>0</v>
      </c>
      <c r="K31" s="18"/>
      <c r="L31" s="18"/>
    </row>
    <row r="32" spans="1:12" ht="19.5" thickBot="1">
      <c r="A32" s="1" t="s">
        <v>1</v>
      </c>
      <c r="B32" s="10" t="s">
        <v>42</v>
      </c>
      <c r="C32" s="31" t="s">
        <v>43</v>
      </c>
      <c r="D32" s="32" t="s">
        <v>44</v>
      </c>
      <c r="E32" s="32" t="s">
        <v>43</v>
      </c>
      <c r="F32" s="62" t="s">
        <v>44</v>
      </c>
      <c r="G32" s="12"/>
      <c r="H32" s="73" t="s">
        <v>43</v>
      </c>
      <c r="I32" s="32" t="s">
        <v>43</v>
      </c>
      <c r="J32" s="11" t="s">
        <v>43</v>
      </c>
      <c r="K32" s="12"/>
      <c r="L32" s="12"/>
    </row>
  </sheetData>
  <phoneticPr fontId="4"/>
  <pageMargins left="0.31496062992125984" right="0.31496062992125984" top="0.35433070866141736" bottom="0.35433070866141736" header="0.11811023622047245" footer="0.11811023622047245"/>
  <pageSetup paperSize="1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2023年10月度給与 (2)</vt:lpstr>
      <vt:lpstr>'2023年10月度給与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2023-11-06T05:59:26Z</cp:lastPrinted>
  <dcterms:created xsi:type="dcterms:W3CDTF">2023-11-06T02:26:03Z</dcterms:created>
  <dcterms:modified xsi:type="dcterms:W3CDTF">2023-11-07T02:31:08Z</dcterms:modified>
</cp:coreProperties>
</file>