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6\"/>
    </mc:Choice>
  </mc:AlternateContent>
  <xr:revisionPtr revIDLastSave="0" documentId="13_ncr:1_{F0944C12-D158-4BBC-BA8E-FDA9B97BB272}" xr6:coauthVersionLast="47" xr6:coauthVersionMax="47" xr10:uidLastSave="{00000000-0000-0000-0000-000000000000}"/>
  <bookViews>
    <workbookView xWindow="-120" yWindow="-120" windowWidth="20730" windowHeight="11160" xr2:uid="{D9B779AC-AA12-4500-A558-3D5DF2766A41}"/>
  </bookViews>
  <sheets>
    <sheet name="2023年 6月度給与 (2)" sheetId="3" r:id="rId1"/>
  </sheets>
  <definedNames>
    <definedName name="_xlnm.Print_Area" localSheetId="0">'2023年 6月度給与 (2)'!$B$1:$K$43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3" l="1"/>
  <c r="K22" i="3"/>
  <c r="K26" i="3"/>
  <c r="K30" i="3"/>
  <c r="K34" i="3"/>
  <c r="K38" i="3"/>
  <c r="J16" i="3"/>
  <c r="K16" i="3" s="1"/>
  <c r="J17" i="3"/>
  <c r="K17" i="3" s="1"/>
  <c r="J18" i="3"/>
  <c r="J19" i="3"/>
  <c r="K19" i="3" s="1"/>
  <c r="J20" i="3"/>
  <c r="K20" i="3" s="1"/>
  <c r="J21" i="3"/>
  <c r="K21" i="3" s="1"/>
  <c r="J22" i="3"/>
  <c r="J23" i="3"/>
  <c r="K23" i="3" s="1"/>
  <c r="J24" i="3"/>
  <c r="K24" i="3" s="1"/>
  <c r="J25" i="3"/>
  <c r="K25" i="3" s="1"/>
  <c r="J26" i="3"/>
  <c r="J27" i="3"/>
  <c r="K27" i="3" s="1"/>
  <c r="J28" i="3"/>
  <c r="K28" i="3" s="1"/>
  <c r="J29" i="3"/>
  <c r="K29" i="3" s="1"/>
  <c r="J30" i="3"/>
  <c r="J31" i="3"/>
  <c r="K31" i="3" s="1"/>
  <c r="J32" i="3"/>
  <c r="K32" i="3" s="1"/>
  <c r="J33" i="3"/>
  <c r="K33" i="3" s="1"/>
  <c r="J34" i="3"/>
  <c r="J35" i="3"/>
  <c r="K35" i="3" s="1"/>
  <c r="J36" i="3"/>
  <c r="K36" i="3" s="1"/>
  <c r="J37" i="3"/>
  <c r="K37" i="3" s="1"/>
  <c r="J38" i="3"/>
  <c r="J39" i="3"/>
  <c r="K39" i="3" s="1"/>
  <c r="J40" i="3"/>
  <c r="K40" i="3" s="1"/>
  <c r="J41" i="3"/>
  <c r="K41" i="3" s="1"/>
  <c r="J15" i="3"/>
  <c r="K15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5" i="3"/>
  <c r="K5" i="3" s="1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15" i="3"/>
  <c r="E6" i="3"/>
  <c r="E7" i="3"/>
  <c r="E8" i="3"/>
  <c r="E9" i="3"/>
  <c r="E10" i="3"/>
  <c r="E11" i="3"/>
  <c r="E12" i="3"/>
  <c r="E13" i="3"/>
  <c r="E5" i="3"/>
</calcChain>
</file>

<file path=xl/sharedStrings.xml><?xml version="1.0" encoding="utf-8"?>
<sst xmlns="http://schemas.openxmlformats.org/spreadsheetml/2006/main" count="105" uniqueCount="58">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</sst>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176" fontId="2" fillId="0" borderId="15" xfId="1" applyNumberFormat="1" applyFont="1" applyBorder="1"/>
    <xf numFmtId="176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 applyAlignment="1">
      <alignment horizontal="center"/>
    </xf>
    <xf numFmtId="2" fontId="2" fillId="0" borderId="6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2" fontId="2" fillId="0" borderId="5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176" fontId="2" fillId="0" borderId="27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4" xfId="1" applyFont="1" applyBorder="1"/>
    <xf numFmtId="49" fontId="2" fillId="0" borderId="31" xfId="1" applyNumberFormat="1" applyFont="1" applyBorder="1"/>
    <xf numFmtId="176" fontId="2" fillId="0" borderId="32" xfId="1" applyNumberFormat="1" applyFont="1" applyBorder="1"/>
    <xf numFmtId="49" fontId="2" fillId="0" borderId="33" xfId="1" applyNumberFormat="1" applyFont="1" applyBorder="1" applyAlignment="1">
      <alignment horizontal="left"/>
    </xf>
    <xf numFmtId="2" fontId="2" fillId="0" borderId="34" xfId="1" applyNumberFormat="1" applyFont="1" applyBorder="1"/>
    <xf numFmtId="2" fontId="2" fillId="0" borderId="35" xfId="1" applyNumberFormat="1" applyFont="1" applyBorder="1"/>
    <xf numFmtId="2" fontId="2" fillId="0" borderId="33" xfId="1" applyNumberFormat="1" applyFont="1" applyBorder="1"/>
    <xf numFmtId="2" fontId="2" fillId="0" borderId="36" xfId="1" applyNumberFormat="1" applyFont="1" applyBorder="1"/>
    <xf numFmtId="2" fontId="2" fillId="0" borderId="37" xfId="1" applyNumberFormat="1" applyFont="1" applyBorder="1"/>
    <xf numFmtId="2" fontId="2" fillId="0" borderId="22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2" fontId="2" fillId="0" borderId="21" xfId="1" applyNumberFormat="1" applyFont="1" applyBorder="1"/>
    <xf numFmtId="2" fontId="2" fillId="0" borderId="30" xfId="1" applyNumberFormat="1" applyFont="1" applyBorder="1"/>
    <xf numFmtId="176" fontId="2" fillId="0" borderId="22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176" fontId="2" fillId="0" borderId="21" xfId="1" applyNumberFormat="1" applyFont="1" applyBorder="1"/>
    <xf numFmtId="176" fontId="2" fillId="0" borderId="30" xfId="1" applyNumberFormat="1" applyFont="1" applyBorder="1"/>
  </cellXfs>
  <cellStyles count="2">
    <cellStyle name="標準" xfId="0" builtinId="0"/>
    <cellStyle name="標準 2" xfId="1" xr:uid="{6459A12B-FBAD-4802-9E2B-0C256E1F1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EF7A-B4AA-4243-AED0-69FF36066039}">
  <sheetPr>
    <pageSetUpPr fitToPage="1"/>
  </sheetPr>
  <dimension ref="A1:K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53</v>
      </c>
    </row>
    <row r="3" spans="1:11">
      <c r="B3" s="13"/>
      <c r="C3" s="24" t="s">
        <v>5</v>
      </c>
      <c r="D3" s="42" t="s">
        <v>7</v>
      </c>
      <c r="E3" s="45" t="s">
        <v>54</v>
      </c>
      <c r="F3" s="23" t="s">
        <v>2</v>
      </c>
      <c r="G3" s="24" t="s">
        <v>3</v>
      </c>
      <c r="H3" s="24" t="s">
        <v>4</v>
      </c>
      <c r="I3" s="48" t="s">
        <v>6</v>
      </c>
      <c r="J3" s="45" t="s">
        <v>54</v>
      </c>
      <c r="K3" s="56" t="s">
        <v>15</v>
      </c>
    </row>
    <row r="4" spans="1:11" ht="19.5" thickBot="1">
      <c r="B4" s="4" t="s">
        <v>8</v>
      </c>
      <c r="C4" s="26" t="s">
        <v>12</v>
      </c>
      <c r="D4" s="3" t="s">
        <v>14</v>
      </c>
      <c r="E4" s="46" t="s">
        <v>55</v>
      </c>
      <c r="F4" s="25" t="s">
        <v>9</v>
      </c>
      <c r="G4" s="26" t="s">
        <v>10</v>
      </c>
      <c r="H4" s="26" t="s">
        <v>11</v>
      </c>
      <c r="I4" s="49" t="s">
        <v>13</v>
      </c>
      <c r="J4" s="46" t="s">
        <v>56</v>
      </c>
      <c r="K4" s="44" t="s">
        <v>57</v>
      </c>
    </row>
    <row r="5" spans="1:11">
      <c r="A5" s="1" t="s">
        <v>1</v>
      </c>
      <c r="B5" s="59" t="s">
        <v>16</v>
      </c>
      <c r="C5" s="60">
        <v>22</v>
      </c>
      <c r="D5" s="61">
        <v>21</v>
      </c>
      <c r="E5" s="62">
        <f>SUM(C5:D5)</f>
        <v>43</v>
      </c>
      <c r="F5" s="63">
        <v>21</v>
      </c>
      <c r="G5" s="60">
        <v>22</v>
      </c>
      <c r="H5" s="60">
        <v>21</v>
      </c>
      <c r="I5" s="64">
        <v>22</v>
      </c>
      <c r="J5" s="62">
        <f>SUM(F5:I5)</f>
        <v>86</v>
      </c>
      <c r="K5" s="62">
        <f>SUM(J5,E5)</f>
        <v>129</v>
      </c>
    </row>
    <row r="6" spans="1:11">
      <c r="A6" s="1" t="s">
        <v>1</v>
      </c>
      <c r="B6" s="20" t="s">
        <v>17</v>
      </c>
      <c r="C6" s="65">
        <v>0</v>
      </c>
      <c r="D6" s="66">
        <v>0</v>
      </c>
      <c r="E6" s="67">
        <f t="shared" ref="E6:E13" si="0">SUM(C6:D6)</f>
        <v>0</v>
      </c>
      <c r="F6" s="68">
        <v>1</v>
      </c>
      <c r="G6" s="65">
        <v>1</v>
      </c>
      <c r="H6" s="65">
        <v>2</v>
      </c>
      <c r="I6" s="69">
        <v>2</v>
      </c>
      <c r="J6" s="67">
        <f t="shared" ref="J6:J13" si="1">SUM(F6:I6)</f>
        <v>6</v>
      </c>
      <c r="K6" s="67">
        <f t="shared" ref="K6:K41" si="2">SUM(J6,E6)</f>
        <v>6</v>
      </c>
    </row>
    <row r="7" spans="1:11">
      <c r="A7" s="1" t="s">
        <v>1</v>
      </c>
      <c r="B7" s="20" t="s">
        <v>18</v>
      </c>
      <c r="C7" s="65">
        <v>0</v>
      </c>
      <c r="D7" s="66">
        <v>1</v>
      </c>
      <c r="E7" s="67">
        <f t="shared" si="0"/>
        <v>1</v>
      </c>
      <c r="F7" s="68">
        <v>1</v>
      </c>
      <c r="G7" s="65">
        <v>0</v>
      </c>
      <c r="H7" s="65">
        <v>1</v>
      </c>
      <c r="I7" s="69">
        <v>0</v>
      </c>
      <c r="J7" s="67">
        <f t="shared" si="1"/>
        <v>2</v>
      </c>
      <c r="K7" s="67">
        <f t="shared" si="2"/>
        <v>3</v>
      </c>
    </row>
    <row r="8" spans="1:11">
      <c r="A8" s="1" t="s">
        <v>1</v>
      </c>
      <c r="B8" s="20" t="s">
        <v>19</v>
      </c>
      <c r="C8" s="70">
        <v>0</v>
      </c>
      <c r="D8" s="71">
        <v>3.4583333333333335</v>
      </c>
      <c r="E8" s="72">
        <f t="shared" si="0"/>
        <v>3.4583333333333335</v>
      </c>
      <c r="F8" s="73">
        <v>0</v>
      </c>
      <c r="G8" s="70">
        <v>0</v>
      </c>
      <c r="H8" s="70">
        <v>0</v>
      </c>
      <c r="I8" s="74">
        <v>0</v>
      </c>
      <c r="J8" s="72">
        <f t="shared" si="1"/>
        <v>0</v>
      </c>
      <c r="K8" s="72">
        <f t="shared" si="2"/>
        <v>3.4583333333333335</v>
      </c>
    </row>
    <row r="9" spans="1:11">
      <c r="A9" s="1" t="s">
        <v>1</v>
      </c>
      <c r="B9" s="20" t="s">
        <v>20</v>
      </c>
      <c r="C9" s="70">
        <v>0</v>
      </c>
      <c r="D9" s="71">
        <v>0</v>
      </c>
      <c r="E9" s="72">
        <f t="shared" si="0"/>
        <v>0</v>
      </c>
      <c r="F9" s="73">
        <v>2.2083333333333335</v>
      </c>
      <c r="G9" s="70">
        <v>3.1666666666666665</v>
      </c>
      <c r="H9" s="70">
        <v>2.5833333333333335</v>
      </c>
      <c r="I9" s="74">
        <v>1.7916666666666665</v>
      </c>
      <c r="J9" s="72">
        <f t="shared" si="1"/>
        <v>9.75</v>
      </c>
      <c r="K9" s="72">
        <f t="shared" si="2"/>
        <v>9.75</v>
      </c>
    </row>
    <row r="10" spans="1:11">
      <c r="A10" s="1" t="s">
        <v>1</v>
      </c>
      <c r="B10" s="20" t="s">
        <v>21</v>
      </c>
      <c r="C10" s="70">
        <v>0</v>
      </c>
      <c r="D10" s="71">
        <v>0</v>
      </c>
      <c r="E10" s="72">
        <f t="shared" si="0"/>
        <v>0</v>
      </c>
      <c r="F10" s="73">
        <v>8.3333333333333329E-2</v>
      </c>
      <c r="G10" s="70">
        <v>0.29166666666666669</v>
      </c>
      <c r="H10" s="70">
        <v>0.58333333333333337</v>
      </c>
      <c r="I10" s="74">
        <v>0.16666666666666666</v>
      </c>
      <c r="J10" s="72">
        <f t="shared" si="1"/>
        <v>1.125</v>
      </c>
      <c r="K10" s="72">
        <f t="shared" si="2"/>
        <v>1.125</v>
      </c>
    </row>
    <row r="11" spans="1:11">
      <c r="A11" s="1" t="s">
        <v>1</v>
      </c>
      <c r="B11" s="20" t="s">
        <v>22</v>
      </c>
      <c r="C11" s="70">
        <v>0</v>
      </c>
      <c r="D11" s="71">
        <v>0</v>
      </c>
      <c r="E11" s="72">
        <f t="shared" si="0"/>
        <v>0</v>
      </c>
      <c r="F11" s="73">
        <v>0</v>
      </c>
      <c r="G11" s="70">
        <v>0.66666666666666663</v>
      </c>
      <c r="H11" s="70">
        <v>8.3333333333333329E-2</v>
      </c>
      <c r="I11" s="74">
        <v>0</v>
      </c>
      <c r="J11" s="72">
        <f t="shared" si="1"/>
        <v>0.75</v>
      </c>
      <c r="K11" s="72">
        <f t="shared" si="2"/>
        <v>0.75</v>
      </c>
    </row>
    <row r="12" spans="1:11">
      <c r="A12" s="1" t="s">
        <v>1</v>
      </c>
      <c r="B12" s="20" t="s">
        <v>23</v>
      </c>
      <c r="C12" s="70">
        <v>0</v>
      </c>
      <c r="D12" s="71">
        <v>0.16666666666666666</v>
      </c>
      <c r="E12" s="72">
        <f t="shared" si="0"/>
        <v>0.16666666666666666</v>
      </c>
      <c r="F12" s="73">
        <v>0</v>
      </c>
      <c r="G12" s="70">
        <v>0</v>
      </c>
      <c r="H12" s="70">
        <v>0</v>
      </c>
      <c r="I12" s="74">
        <v>0</v>
      </c>
      <c r="J12" s="72">
        <f t="shared" si="1"/>
        <v>0</v>
      </c>
      <c r="K12" s="72">
        <f t="shared" si="2"/>
        <v>0.16666666666666666</v>
      </c>
    </row>
    <row r="13" spans="1:11">
      <c r="A13" s="1" t="s">
        <v>1</v>
      </c>
      <c r="B13" s="5" t="s">
        <v>24</v>
      </c>
      <c r="C13" s="28">
        <v>4.1666666666666664E-2</v>
      </c>
      <c r="D13" s="6">
        <v>0</v>
      </c>
      <c r="E13" s="7">
        <f t="shared" si="0"/>
        <v>4.1666666666666664E-2</v>
      </c>
      <c r="F13" s="27">
        <v>0.375</v>
      </c>
      <c r="G13" s="28">
        <v>0.20833333333333334</v>
      </c>
      <c r="H13" s="28">
        <v>0.25</v>
      </c>
      <c r="I13" s="50">
        <v>0.16666666666666666</v>
      </c>
      <c r="J13" s="7">
        <f t="shared" si="1"/>
        <v>1</v>
      </c>
      <c r="K13" s="58">
        <f t="shared" si="2"/>
        <v>1.0416666666666667</v>
      </c>
    </row>
    <row r="14" spans="1:11">
      <c r="A14" s="1" t="s">
        <v>1</v>
      </c>
      <c r="B14" s="14" t="s">
        <v>25</v>
      </c>
      <c r="C14" s="30">
        <v>34</v>
      </c>
      <c r="D14" s="43">
        <v>20</v>
      </c>
      <c r="E14" s="47"/>
      <c r="F14" s="29">
        <v>36</v>
      </c>
      <c r="G14" s="30">
        <v>39</v>
      </c>
      <c r="H14" s="30">
        <v>28</v>
      </c>
      <c r="I14" s="51">
        <v>17</v>
      </c>
      <c r="J14" s="47"/>
      <c r="K14" s="7"/>
    </row>
    <row r="15" spans="1:11">
      <c r="A15" s="1" t="s">
        <v>1</v>
      </c>
      <c r="B15" s="17" t="s">
        <v>26</v>
      </c>
      <c r="C15" s="36">
        <v>355000</v>
      </c>
      <c r="D15" s="18">
        <v>0</v>
      </c>
      <c r="E15" s="19">
        <f>SUM(C15:D15)</f>
        <v>355000</v>
      </c>
      <c r="F15" s="35">
        <v>182000</v>
      </c>
      <c r="G15" s="36">
        <v>192000</v>
      </c>
      <c r="H15" s="36">
        <v>177000</v>
      </c>
      <c r="I15" s="52">
        <v>182000</v>
      </c>
      <c r="J15" s="19">
        <f>SUM(F15:I15)</f>
        <v>733000</v>
      </c>
      <c r="K15" s="19">
        <f t="shared" si="2"/>
        <v>1088000</v>
      </c>
    </row>
    <row r="16" spans="1:11">
      <c r="A16" s="1" t="s">
        <v>1</v>
      </c>
      <c r="B16" s="20" t="s">
        <v>27</v>
      </c>
      <c r="C16" s="38">
        <v>0</v>
      </c>
      <c r="D16" s="21">
        <v>0</v>
      </c>
      <c r="E16" s="22">
        <f t="shared" ref="E16:E41" si="3">SUM(C16:D16)</f>
        <v>0</v>
      </c>
      <c r="F16" s="37">
        <v>5000</v>
      </c>
      <c r="G16" s="38">
        <v>0</v>
      </c>
      <c r="H16" s="38">
        <v>5000</v>
      </c>
      <c r="I16" s="53">
        <v>0</v>
      </c>
      <c r="J16" s="22">
        <f t="shared" ref="J16:J41" si="4">SUM(F16:I16)</f>
        <v>10000</v>
      </c>
      <c r="K16" s="22">
        <f t="shared" si="2"/>
        <v>10000</v>
      </c>
    </row>
    <row r="17" spans="1:11">
      <c r="A17" s="1" t="s">
        <v>1</v>
      </c>
      <c r="B17" s="20" t="s">
        <v>28</v>
      </c>
      <c r="C17" s="38">
        <v>0</v>
      </c>
      <c r="D17" s="21">
        <v>0</v>
      </c>
      <c r="E17" s="22">
        <f t="shared" si="3"/>
        <v>0</v>
      </c>
      <c r="F17" s="37">
        <v>3000</v>
      </c>
      <c r="G17" s="38">
        <v>3000</v>
      </c>
      <c r="H17" s="38">
        <v>6000</v>
      </c>
      <c r="I17" s="53">
        <v>0</v>
      </c>
      <c r="J17" s="22">
        <f t="shared" si="4"/>
        <v>12000</v>
      </c>
      <c r="K17" s="22">
        <f t="shared" si="2"/>
        <v>12000</v>
      </c>
    </row>
    <row r="18" spans="1:11">
      <c r="A18" s="1" t="s">
        <v>1</v>
      </c>
      <c r="B18" s="20" t="s">
        <v>29</v>
      </c>
      <c r="C18" s="38">
        <v>50000</v>
      </c>
      <c r="D18" s="21">
        <v>0</v>
      </c>
      <c r="E18" s="22">
        <f t="shared" si="3"/>
        <v>50000</v>
      </c>
      <c r="F18" s="37">
        <v>50000</v>
      </c>
      <c r="G18" s="38">
        <v>50000</v>
      </c>
      <c r="H18" s="38">
        <v>50000</v>
      </c>
      <c r="I18" s="53">
        <v>50000</v>
      </c>
      <c r="J18" s="22">
        <f t="shared" si="4"/>
        <v>200000</v>
      </c>
      <c r="K18" s="22">
        <f t="shared" si="2"/>
        <v>250000</v>
      </c>
    </row>
    <row r="19" spans="1:11">
      <c r="A19" s="1" t="s">
        <v>1</v>
      </c>
      <c r="B19" s="20" t="s">
        <v>30</v>
      </c>
      <c r="C19" s="38">
        <v>0</v>
      </c>
      <c r="D19" s="21">
        <v>89640</v>
      </c>
      <c r="E19" s="22">
        <f t="shared" si="3"/>
        <v>89640</v>
      </c>
      <c r="F19" s="37">
        <v>0</v>
      </c>
      <c r="G19" s="38">
        <v>0</v>
      </c>
      <c r="H19" s="38">
        <v>0</v>
      </c>
      <c r="I19" s="53">
        <v>0</v>
      </c>
      <c r="J19" s="22">
        <f t="shared" si="4"/>
        <v>0</v>
      </c>
      <c r="K19" s="22">
        <f t="shared" si="2"/>
        <v>89640</v>
      </c>
    </row>
    <row r="20" spans="1:11">
      <c r="A20" s="1" t="s">
        <v>1</v>
      </c>
      <c r="B20" s="20" t="s">
        <v>31</v>
      </c>
      <c r="C20" s="38">
        <v>0</v>
      </c>
      <c r="D20" s="21">
        <v>0</v>
      </c>
      <c r="E20" s="22">
        <f t="shared" si="3"/>
        <v>0</v>
      </c>
      <c r="F20" s="37">
        <v>2000</v>
      </c>
      <c r="G20" s="38">
        <v>2000</v>
      </c>
      <c r="H20" s="38">
        <v>0</v>
      </c>
      <c r="I20" s="53">
        <v>2000</v>
      </c>
      <c r="J20" s="22">
        <f t="shared" si="4"/>
        <v>6000</v>
      </c>
      <c r="K20" s="22">
        <f t="shared" si="2"/>
        <v>6000</v>
      </c>
    </row>
    <row r="21" spans="1:11">
      <c r="A21" s="1" t="s">
        <v>1</v>
      </c>
      <c r="B21" s="20" t="s">
        <v>32</v>
      </c>
      <c r="C21" s="38">
        <v>0</v>
      </c>
      <c r="D21" s="21">
        <v>4320</v>
      </c>
      <c r="E21" s="22">
        <f t="shared" si="3"/>
        <v>4320</v>
      </c>
      <c r="F21" s="37">
        <v>0</v>
      </c>
      <c r="G21" s="38">
        <v>0</v>
      </c>
      <c r="H21" s="38">
        <v>0</v>
      </c>
      <c r="I21" s="53">
        <v>0</v>
      </c>
      <c r="J21" s="22">
        <f t="shared" si="4"/>
        <v>0</v>
      </c>
      <c r="K21" s="22">
        <f t="shared" si="2"/>
        <v>4320</v>
      </c>
    </row>
    <row r="22" spans="1:11">
      <c r="A22" s="1" t="s">
        <v>1</v>
      </c>
      <c r="B22" s="20" t="s">
        <v>33</v>
      </c>
      <c r="C22" s="38">
        <v>0</v>
      </c>
      <c r="D22" s="21">
        <v>0</v>
      </c>
      <c r="E22" s="22">
        <f t="shared" si="3"/>
        <v>0</v>
      </c>
      <c r="F22" s="37">
        <v>0</v>
      </c>
      <c r="G22" s="38">
        <v>13000</v>
      </c>
      <c r="H22" s="38">
        <v>15000</v>
      </c>
      <c r="I22" s="53">
        <v>13000</v>
      </c>
      <c r="J22" s="22">
        <f t="shared" si="4"/>
        <v>41000</v>
      </c>
      <c r="K22" s="22">
        <f t="shared" si="2"/>
        <v>41000</v>
      </c>
    </row>
    <row r="23" spans="1:11">
      <c r="A23" s="1" t="s">
        <v>1</v>
      </c>
      <c r="B23" s="20" t="s">
        <v>20</v>
      </c>
      <c r="C23" s="38">
        <v>0</v>
      </c>
      <c r="D23" s="21">
        <v>0</v>
      </c>
      <c r="E23" s="22">
        <f t="shared" si="3"/>
        <v>0</v>
      </c>
      <c r="F23" s="37">
        <v>95983</v>
      </c>
      <c r="G23" s="38">
        <v>147896</v>
      </c>
      <c r="H23" s="38">
        <v>117428</v>
      </c>
      <c r="I23" s="53">
        <v>79507</v>
      </c>
      <c r="J23" s="22">
        <f t="shared" si="4"/>
        <v>440814</v>
      </c>
      <c r="K23" s="22">
        <f t="shared" si="2"/>
        <v>440814</v>
      </c>
    </row>
    <row r="24" spans="1:11">
      <c r="A24" s="1" t="s">
        <v>1</v>
      </c>
      <c r="B24" s="20" t="s">
        <v>34</v>
      </c>
      <c r="C24" s="38">
        <v>0</v>
      </c>
      <c r="D24" s="21">
        <v>0</v>
      </c>
      <c r="E24" s="22">
        <f t="shared" si="3"/>
        <v>0</v>
      </c>
      <c r="F24" s="37">
        <v>3912</v>
      </c>
      <c r="G24" s="38">
        <v>14714</v>
      </c>
      <c r="H24" s="38">
        <v>28630</v>
      </c>
      <c r="I24" s="53">
        <v>7988</v>
      </c>
      <c r="J24" s="22">
        <f t="shared" si="4"/>
        <v>55244</v>
      </c>
      <c r="K24" s="22">
        <f t="shared" si="2"/>
        <v>55244</v>
      </c>
    </row>
    <row r="25" spans="1:11">
      <c r="A25" s="1" t="s">
        <v>1</v>
      </c>
      <c r="B25" s="20" t="s">
        <v>22</v>
      </c>
      <c r="C25" s="38">
        <v>0</v>
      </c>
      <c r="D25" s="21">
        <v>0</v>
      </c>
      <c r="E25" s="22">
        <f t="shared" si="3"/>
        <v>0</v>
      </c>
      <c r="F25" s="37">
        <v>0</v>
      </c>
      <c r="G25" s="38">
        <v>6224</v>
      </c>
      <c r="H25" s="38">
        <v>758</v>
      </c>
      <c r="I25" s="53">
        <v>0</v>
      </c>
      <c r="J25" s="22">
        <f t="shared" si="4"/>
        <v>6982</v>
      </c>
      <c r="K25" s="22">
        <f t="shared" si="2"/>
        <v>6982</v>
      </c>
    </row>
    <row r="26" spans="1:11">
      <c r="A26" s="1" t="s">
        <v>1</v>
      </c>
      <c r="B26" s="5" t="s">
        <v>24</v>
      </c>
      <c r="C26" s="32">
        <v>606</v>
      </c>
      <c r="D26" s="8">
        <v>0</v>
      </c>
      <c r="E26" s="9">
        <f t="shared" si="3"/>
        <v>606</v>
      </c>
      <c r="F26" s="31">
        <v>3258</v>
      </c>
      <c r="G26" s="32">
        <v>1945</v>
      </c>
      <c r="H26" s="32">
        <v>2274</v>
      </c>
      <c r="I26" s="54">
        <v>1480</v>
      </c>
      <c r="J26" s="9">
        <f t="shared" si="4"/>
        <v>8957</v>
      </c>
      <c r="K26" s="9">
        <f t="shared" si="2"/>
        <v>9563</v>
      </c>
    </row>
    <row r="27" spans="1:11">
      <c r="A27" s="1" t="s">
        <v>1</v>
      </c>
      <c r="B27" s="14" t="s">
        <v>35</v>
      </c>
      <c r="C27" s="34">
        <v>405606</v>
      </c>
      <c r="D27" s="15">
        <v>93960</v>
      </c>
      <c r="E27" s="16">
        <f t="shared" si="3"/>
        <v>499566</v>
      </c>
      <c r="F27" s="33">
        <v>345153</v>
      </c>
      <c r="G27" s="34">
        <v>430779</v>
      </c>
      <c r="H27" s="34">
        <v>402090</v>
      </c>
      <c r="I27" s="55">
        <v>335975</v>
      </c>
      <c r="J27" s="16">
        <f t="shared" si="4"/>
        <v>1513997</v>
      </c>
      <c r="K27" s="16">
        <f t="shared" si="2"/>
        <v>2013563</v>
      </c>
    </row>
    <row r="28" spans="1:11">
      <c r="A28" s="1" t="s">
        <v>1</v>
      </c>
      <c r="B28" s="17" t="s">
        <v>36</v>
      </c>
      <c r="C28" s="36">
        <v>10865</v>
      </c>
      <c r="D28" s="18">
        <v>0</v>
      </c>
      <c r="E28" s="19">
        <f t="shared" si="3"/>
        <v>10865</v>
      </c>
      <c r="F28" s="35">
        <v>6242</v>
      </c>
      <c r="G28" s="36">
        <v>1716</v>
      </c>
      <c r="H28" s="36">
        <v>3814</v>
      </c>
      <c r="I28" s="52">
        <v>0</v>
      </c>
      <c r="J28" s="19">
        <f t="shared" si="4"/>
        <v>11772</v>
      </c>
      <c r="K28" s="19">
        <f t="shared" si="2"/>
        <v>22637</v>
      </c>
    </row>
    <row r="29" spans="1:11">
      <c r="A29" s="1" t="s">
        <v>1</v>
      </c>
      <c r="B29" s="5" t="s">
        <v>37</v>
      </c>
      <c r="C29" s="32">
        <v>10865</v>
      </c>
      <c r="D29" s="8">
        <v>0</v>
      </c>
      <c r="E29" s="9">
        <f t="shared" si="3"/>
        <v>10865</v>
      </c>
      <c r="F29" s="31">
        <v>6242</v>
      </c>
      <c r="G29" s="32">
        <v>1716</v>
      </c>
      <c r="H29" s="32">
        <v>3814</v>
      </c>
      <c r="I29" s="54">
        <v>0</v>
      </c>
      <c r="J29" s="9">
        <f t="shared" si="4"/>
        <v>11772</v>
      </c>
      <c r="K29" s="9">
        <f t="shared" si="2"/>
        <v>22637</v>
      </c>
    </row>
    <row r="30" spans="1:11">
      <c r="A30" s="1" t="s">
        <v>1</v>
      </c>
      <c r="B30" s="14" t="s">
        <v>38</v>
      </c>
      <c r="C30" s="34">
        <v>416471</v>
      </c>
      <c r="D30" s="15">
        <v>93960</v>
      </c>
      <c r="E30" s="16">
        <f t="shared" si="3"/>
        <v>510431</v>
      </c>
      <c r="F30" s="33">
        <v>351395</v>
      </c>
      <c r="G30" s="34">
        <v>432495</v>
      </c>
      <c r="H30" s="34">
        <v>405904</v>
      </c>
      <c r="I30" s="55">
        <v>335975</v>
      </c>
      <c r="J30" s="16">
        <f t="shared" si="4"/>
        <v>1525769</v>
      </c>
      <c r="K30" s="16">
        <f t="shared" si="2"/>
        <v>2036200</v>
      </c>
    </row>
    <row r="31" spans="1:11">
      <c r="A31" s="1" t="s">
        <v>1</v>
      </c>
      <c r="B31" s="17" t="s">
        <v>39</v>
      </c>
      <c r="C31" s="36">
        <v>20910</v>
      </c>
      <c r="D31" s="18">
        <v>0</v>
      </c>
      <c r="E31" s="19">
        <f t="shared" si="3"/>
        <v>20910</v>
      </c>
      <c r="F31" s="35">
        <v>17340</v>
      </c>
      <c r="G31" s="36">
        <v>22440</v>
      </c>
      <c r="H31" s="36">
        <v>18360</v>
      </c>
      <c r="I31" s="52">
        <v>18360</v>
      </c>
      <c r="J31" s="19">
        <f t="shared" si="4"/>
        <v>76500</v>
      </c>
      <c r="K31" s="19">
        <f t="shared" si="2"/>
        <v>97410</v>
      </c>
    </row>
    <row r="32" spans="1:11">
      <c r="A32" s="1" t="s">
        <v>1</v>
      </c>
      <c r="B32" s="20" t="s">
        <v>40</v>
      </c>
      <c r="C32" s="38">
        <v>3690</v>
      </c>
      <c r="D32" s="21">
        <v>0</v>
      </c>
      <c r="E32" s="22">
        <f t="shared" si="3"/>
        <v>3690</v>
      </c>
      <c r="F32" s="37">
        <v>3060</v>
      </c>
      <c r="G32" s="38">
        <v>3960</v>
      </c>
      <c r="H32" s="38">
        <v>3240</v>
      </c>
      <c r="I32" s="53">
        <v>3240</v>
      </c>
      <c r="J32" s="22">
        <f t="shared" si="4"/>
        <v>13500</v>
      </c>
      <c r="K32" s="22">
        <f t="shared" si="2"/>
        <v>17190</v>
      </c>
    </row>
    <row r="33" spans="1:11">
      <c r="A33" s="1" t="s">
        <v>1</v>
      </c>
      <c r="B33" s="20" t="s">
        <v>41</v>
      </c>
      <c r="C33" s="38">
        <v>37515</v>
      </c>
      <c r="D33" s="21">
        <v>0</v>
      </c>
      <c r="E33" s="22">
        <f t="shared" si="3"/>
        <v>37515</v>
      </c>
      <c r="F33" s="37">
        <v>31110</v>
      </c>
      <c r="G33" s="38">
        <v>40260</v>
      </c>
      <c r="H33" s="38">
        <v>32940</v>
      </c>
      <c r="I33" s="53">
        <v>32940</v>
      </c>
      <c r="J33" s="22">
        <f t="shared" si="4"/>
        <v>137250</v>
      </c>
      <c r="K33" s="22">
        <f t="shared" si="2"/>
        <v>174765</v>
      </c>
    </row>
    <row r="34" spans="1:11">
      <c r="A34" s="1" t="s">
        <v>1</v>
      </c>
      <c r="B34" s="5" t="s">
        <v>42</v>
      </c>
      <c r="C34" s="32">
        <v>2499</v>
      </c>
      <c r="D34" s="8">
        <v>564</v>
      </c>
      <c r="E34" s="9">
        <f t="shared" si="3"/>
        <v>3063</v>
      </c>
      <c r="F34" s="31">
        <v>2108</v>
      </c>
      <c r="G34" s="32">
        <v>2595</v>
      </c>
      <c r="H34" s="32">
        <v>2435</v>
      </c>
      <c r="I34" s="54">
        <v>2016</v>
      </c>
      <c r="J34" s="9">
        <f t="shared" si="4"/>
        <v>9154</v>
      </c>
      <c r="K34" s="9">
        <f t="shared" si="2"/>
        <v>12217</v>
      </c>
    </row>
    <row r="35" spans="1:11">
      <c r="A35" s="1" t="s">
        <v>1</v>
      </c>
      <c r="B35" s="14" t="s">
        <v>43</v>
      </c>
      <c r="C35" s="34">
        <v>64614</v>
      </c>
      <c r="D35" s="15">
        <v>564</v>
      </c>
      <c r="E35" s="16">
        <f t="shared" si="3"/>
        <v>65178</v>
      </c>
      <c r="F35" s="33">
        <v>53618</v>
      </c>
      <c r="G35" s="34">
        <v>69255</v>
      </c>
      <c r="H35" s="34">
        <v>56975</v>
      </c>
      <c r="I35" s="55">
        <v>56556</v>
      </c>
      <c r="J35" s="16">
        <f t="shared" si="4"/>
        <v>236404</v>
      </c>
      <c r="K35" s="16">
        <f t="shared" si="2"/>
        <v>301582</v>
      </c>
    </row>
    <row r="36" spans="1:11">
      <c r="A36" s="1" t="s">
        <v>1</v>
      </c>
      <c r="B36" s="17" t="s">
        <v>44</v>
      </c>
      <c r="C36" s="36">
        <v>8500</v>
      </c>
      <c r="D36" s="18">
        <v>390</v>
      </c>
      <c r="E36" s="19">
        <f t="shared" si="3"/>
        <v>8890</v>
      </c>
      <c r="F36" s="35">
        <v>6420</v>
      </c>
      <c r="G36" s="36">
        <v>13410</v>
      </c>
      <c r="H36" s="36">
        <v>8830</v>
      </c>
      <c r="I36" s="52">
        <v>5990</v>
      </c>
      <c r="J36" s="19">
        <f t="shared" si="4"/>
        <v>34650</v>
      </c>
      <c r="K36" s="19">
        <f t="shared" si="2"/>
        <v>43540</v>
      </c>
    </row>
    <row r="37" spans="1:11">
      <c r="A37" s="1" t="s">
        <v>1</v>
      </c>
      <c r="B37" s="5" t="s">
        <v>45</v>
      </c>
      <c r="C37" s="32">
        <v>20100</v>
      </c>
      <c r="D37" s="8">
        <v>0</v>
      </c>
      <c r="E37" s="9">
        <f t="shared" si="3"/>
        <v>20100</v>
      </c>
      <c r="F37" s="31">
        <v>12700</v>
      </c>
      <c r="G37" s="32">
        <v>20400</v>
      </c>
      <c r="H37" s="32">
        <v>17700</v>
      </c>
      <c r="I37" s="54">
        <v>5500</v>
      </c>
      <c r="J37" s="9">
        <f t="shared" si="4"/>
        <v>56300</v>
      </c>
      <c r="K37" s="9">
        <f t="shared" si="2"/>
        <v>76400</v>
      </c>
    </row>
    <row r="38" spans="1:11">
      <c r="A38" s="1" t="s">
        <v>1</v>
      </c>
      <c r="B38" s="14" t="s">
        <v>46</v>
      </c>
      <c r="C38" s="34">
        <v>93214</v>
      </c>
      <c r="D38" s="15">
        <v>954</v>
      </c>
      <c r="E38" s="16">
        <f t="shared" si="3"/>
        <v>94168</v>
      </c>
      <c r="F38" s="33">
        <v>72738</v>
      </c>
      <c r="G38" s="34">
        <v>103065</v>
      </c>
      <c r="H38" s="34">
        <v>83505</v>
      </c>
      <c r="I38" s="55">
        <v>68046</v>
      </c>
      <c r="J38" s="16">
        <f t="shared" si="4"/>
        <v>327354</v>
      </c>
      <c r="K38" s="16">
        <f t="shared" si="2"/>
        <v>421522</v>
      </c>
    </row>
    <row r="39" spans="1:11">
      <c r="A39" s="1" t="s">
        <v>1</v>
      </c>
      <c r="B39" s="14" t="s">
        <v>47</v>
      </c>
      <c r="C39" s="34">
        <v>340992</v>
      </c>
      <c r="D39" s="15">
        <v>93396</v>
      </c>
      <c r="E39" s="16">
        <f t="shared" si="3"/>
        <v>434388</v>
      </c>
      <c r="F39" s="33">
        <v>291535</v>
      </c>
      <c r="G39" s="34">
        <v>361524</v>
      </c>
      <c r="H39" s="34">
        <v>345115</v>
      </c>
      <c r="I39" s="55">
        <v>279419</v>
      </c>
      <c r="J39" s="16">
        <f t="shared" si="4"/>
        <v>1277593</v>
      </c>
      <c r="K39" s="16">
        <f t="shared" si="2"/>
        <v>1711981</v>
      </c>
    </row>
    <row r="40" spans="1:11">
      <c r="A40" s="1" t="s">
        <v>1</v>
      </c>
      <c r="B40" s="14" t="s">
        <v>48</v>
      </c>
      <c r="C40" s="34">
        <v>323257</v>
      </c>
      <c r="D40" s="15">
        <v>93006</v>
      </c>
      <c r="E40" s="16">
        <f t="shared" si="3"/>
        <v>416263</v>
      </c>
      <c r="F40" s="33">
        <v>278657</v>
      </c>
      <c r="G40" s="34">
        <v>329430</v>
      </c>
      <c r="H40" s="34">
        <v>322399</v>
      </c>
      <c r="I40" s="55">
        <v>267929</v>
      </c>
      <c r="J40" s="16">
        <f t="shared" si="4"/>
        <v>1198415</v>
      </c>
      <c r="K40" s="16">
        <f t="shared" si="2"/>
        <v>1614678</v>
      </c>
    </row>
    <row r="41" spans="1:11">
      <c r="A41" s="1" t="s">
        <v>1</v>
      </c>
      <c r="B41" s="14" t="s">
        <v>49</v>
      </c>
      <c r="C41" s="34">
        <v>323257</v>
      </c>
      <c r="D41" s="15">
        <v>93006</v>
      </c>
      <c r="E41" s="16">
        <f t="shared" si="3"/>
        <v>416263</v>
      </c>
      <c r="F41" s="33">
        <v>278657</v>
      </c>
      <c r="G41" s="34">
        <v>329430</v>
      </c>
      <c r="H41" s="34">
        <v>322399</v>
      </c>
      <c r="I41" s="55">
        <v>267929</v>
      </c>
      <c r="J41" s="16">
        <f t="shared" si="4"/>
        <v>1198415</v>
      </c>
      <c r="K41" s="16">
        <f t="shared" si="2"/>
        <v>1614678</v>
      </c>
    </row>
    <row r="42" spans="1:11">
      <c r="A42" s="1" t="s">
        <v>1</v>
      </c>
      <c r="B42" s="14" t="s">
        <v>50</v>
      </c>
      <c r="C42" s="34">
        <v>1</v>
      </c>
      <c r="D42" s="15">
        <v>0</v>
      </c>
      <c r="E42" s="16"/>
      <c r="F42" s="33">
        <v>1</v>
      </c>
      <c r="G42" s="34">
        <v>0</v>
      </c>
      <c r="H42" s="34">
        <v>1</v>
      </c>
      <c r="I42" s="55">
        <v>1</v>
      </c>
      <c r="J42" s="16"/>
      <c r="K42" s="16"/>
    </row>
    <row r="43" spans="1:11" ht="19.5" thickBot="1">
      <c r="A43" s="1" t="s">
        <v>1</v>
      </c>
      <c r="B43" s="10" t="s">
        <v>51</v>
      </c>
      <c r="C43" s="40" t="s">
        <v>52</v>
      </c>
      <c r="D43" s="11" t="s">
        <v>52</v>
      </c>
      <c r="E43" s="12"/>
      <c r="F43" s="39" t="s">
        <v>52</v>
      </c>
      <c r="G43" s="40" t="s">
        <v>52</v>
      </c>
      <c r="H43" s="40" t="s">
        <v>52</v>
      </c>
      <c r="I43" s="57" t="s">
        <v>52</v>
      </c>
      <c r="J43" s="41"/>
      <c r="K43" s="12"/>
    </row>
  </sheetData>
  <phoneticPr fontId="4"/>
  <pageMargins left="0.31496062992125984" right="0.31496062992125984" top="0.35433070866141736" bottom="0.35433070866141736" header="0.31496062992125984" footer="0.31496062992125984"/>
  <pageSetup paperSize="12" scale="86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6月度給与 (2)</vt:lpstr>
      <vt:lpstr>'2023年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2023-07-10T06:42:52Z</cp:lastPrinted>
  <dcterms:created xsi:type="dcterms:W3CDTF">2023-07-10T04:02:56Z</dcterms:created>
  <dcterms:modified xsi:type="dcterms:W3CDTF">2023-07-11T05:23:29Z</dcterms:modified>
</cp:coreProperties>
</file>