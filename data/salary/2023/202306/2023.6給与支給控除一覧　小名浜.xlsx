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3\202306\"/>
    </mc:Choice>
  </mc:AlternateContent>
  <xr:revisionPtr revIDLastSave="0" documentId="13_ncr:1_{494FFEE2-D5B5-4572-B582-BC95E5CF7912}" xr6:coauthVersionLast="47" xr6:coauthVersionMax="47" xr10:uidLastSave="{00000000-0000-0000-0000-000000000000}"/>
  <bookViews>
    <workbookView xWindow="-120" yWindow="-120" windowWidth="20730" windowHeight="11040" activeTab="1" xr2:uid="{388D1305-E372-491C-B6DD-70BC570467C9}"/>
  </bookViews>
  <sheets>
    <sheet name="2023年6月度給与 (2)" sheetId="3" r:id="rId1"/>
    <sheet name="2023年6月度給与 (3)" sheetId="4" r:id="rId2"/>
    <sheet name="2023年6月度給与 (4)" sheetId="5" r:id="rId3"/>
  </sheets>
  <definedNames>
    <definedName name="_xlnm.Print_Area" localSheetId="1">'2023年6月度給与 (3)'!$A$1:$N$52</definedName>
    <definedName name="_xlnm.Print_Area" localSheetId="2">'2023年6月度給与 (4)'!$A$1:$V$52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4" l="1"/>
  <c r="E54" i="4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V44" i="3"/>
  <c r="V45" i="3"/>
  <c r="V46" i="3"/>
  <c r="V47" i="3"/>
  <c r="V48" i="3"/>
  <c r="V49" i="3"/>
  <c r="V50" i="3"/>
  <c r="AH26" i="3"/>
  <c r="AG6" i="3"/>
  <c r="AG7" i="3"/>
  <c r="AG8" i="3"/>
  <c r="AG9" i="3"/>
  <c r="AH9" i="3" s="1"/>
  <c r="AG10" i="3"/>
  <c r="AG11" i="3"/>
  <c r="AH11" i="3" s="1"/>
  <c r="AG12" i="3"/>
  <c r="AH12" i="3" s="1"/>
  <c r="AG13" i="3"/>
  <c r="AH13" i="3" s="1"/>
  <c r="AG14" i="3"/>
  <c r="AG15" i="3"/>
  <c r="AG16" i="3"/>
  <c r="AG17" i="3"/>
  <c r="AH17" i="3" s="1"/>
  <c r="AG18" i="3"/>
  <c r="AG19" i="3"/>
  <c r="AG21" i="3"/>
  <c r="AH21" i="3" s="1"/>
  <c r="AG22" i="3"/>
  <c r="AH22" i="3" s="1"/>
  <c r="AG23" i="3"/>
  <c r="AG24" i="3"/>
  <c r="AH24" i="3" s="1"/>
  <c r="AG25" i="3"/>
  <c r="AH25" i="3" s="1"/>
  <c r="AG26" i="3"/>
  <c r="AG27" i="3"/>
  <c r="AG28" i="3"/>
  <c r="AG29" i="3"/>
  <c r="AG30" i="3"/>
  <c r="AH30" i="3" s="1"/>
  <c r="AG31" i="3"/>
  <c r="AG32" i="3"/>
  <c r="AG33" i="3"/>
  <c r="AG34" i="3"/>
  <c r="AH34" i="3" s="1"/>
  <c r="AG35" i="3"/>
  <c r="AG36" i="3"/>
  <c r="AH36" i="3" s="1"/>
  <c r="AG37" i="3"/>
  <c r="AH37" i="3" s="1"/>
  <c r="AG38" i="3"/>
  <c r="AH38" i="3" s="1"/>
  <c r="AG39" i="3"/>
  <c r="AG40" i="3"/>
  <c r="AG41" i="3"/>
  <c r="AG42" i="3"/>
  <c r="AH42" i="3" s="1"/>
  <c r="AG43" i="3"/>
  <c r="AG44" i="3"/>
  <c r="AG45" i="3"/>
  <c r="AG46" i="3"/>
  <c r="AG47" i="3"/>
  <c r="AG48" i="3"/>
  <c r="AG49" i="3"/>
  <c r="AG50" i="3"/>
  <c r="AG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5" i="3"/>
  <c r="AH33" i="3" l="1"/>
  <c r="AH8" i="3"/>
  <c r="AH50" i="3"/>
  <c r="AH7" i="3"/>
  <c r="AH6" i="3"/>
  <c r="AH19" i="3"/>
  <c r="AH43" i="3"/>
  <c r="AH31" i="3"/>
  <c r="AH18" i="3"/>
  <c r="AH46" i="3"/>
  <c r="AH41" i="3"/>
  <c r="AH29" i="3"/>
  <c r="AH40" i="3"/>
  <c r="AH28" i="3"/>
  <c r="AH15" i="3"/>
  <c r="AH32" i="3"/>
  <c r="AH16" i="3"/>
  <c r="AH5" i="3"/>
  <c r="AH39" i="3"/>
  <c r="AH27" i="3"/>
  <c r="AH14" i="3"/>
  <c r="AH35" i="3"/>
  <c r="AH23" i="3"/>
  <c r="AH10" i="3"/>
  <c r="AH44" i="3"/>
  <c r="AH45" i="3"/>
  <c r="AH48" i="3"/>
  <c r="AH49" i="3"/>
  <c r="AH47" i="3"/>
</calcChain>
</file>

<file path=xl/sharedStrings.xml><?xml version="1.0" encoding="utf-8"?>
<sst xmlns="http://schemas.openxmlformats.org/spreadsheetml/2006/main" count="481" uniqueCount="112">
  <si>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</si>
  <si>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</si>
  <si>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</si>
  <si>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</si>
  <si>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</si>
  <si>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</si>
  <si>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</si>
  <si>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</si>
  <si>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</si>
  <si>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</si>
  <si>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</si>
  <si>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</si>
  <si>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</si>
  <si>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</si>
  <si>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</si>
  <si>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</si>
  <si>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</si>
  <si>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</si>
  <si>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</si>
  <si>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</si>
  <si>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</si>
  <si>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</si>
  <si>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</si>
  <si>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</si>
  <si>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</si>
  <si>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</si>
  <si>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</si>
  <si>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</si>
  <si>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</si>
  <si>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</si>
  <si>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</si>
  <si>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</si>
  <si>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</si>
  <si>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</si>
  <si>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</si>
  <si>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</si>
  <si>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</si>
  <si>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</si>
  <si>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</si>
  <si>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</si>
  <si>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</si>
  <si>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</si>
  <si>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</si>
  <si>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</si>
  <si>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</si>
  <si>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</si>
  <si>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</si>
  <si>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</si>
  <si>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</si>
  <si>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</si>
  <si>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</si>
  <si>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</si>
  <si>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</si>
  <si>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</si>
  <si>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</si>
  <si>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</si>
  <si>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</si>
  <si>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</si>
  <si>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</si>
  <si>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</si>
  <si>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</si>
  <si>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</si>
  <si>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</si>
  <si>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</si>
  <si>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</si>
  <si>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</si>
  <si>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</si>
  <si>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</si>
  <si>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</si>
  <si>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</si>
  <si>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</si>
  <si>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</si>
  <si>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</si>
  <si>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</si>
  <si>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</si>
  <si>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</si>
  <si>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</si>
  <si>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</si>
  <si>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</si>
  <si>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</si>
  <si>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</si>
  <si>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</si>
  <si>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</si>
  <si>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</si>
  <si>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</si>
  <si>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</si>
  <si>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</si>
  <si>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</si>
  <si>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</si>
  <si>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</si>
  <si>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</si>
  <si>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</si>
  <si>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</si>
  <si>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</si>
  <si>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</si>
  <si>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</si>
  <si>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</si>
  <si>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</si>
  <si>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</si>
  <si>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</si>
  <si>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</si>
  <si>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</si>
  <si>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</si>
  <si>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</si>
  <si>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</si>
  <si>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6月度給与</t>
    <phoneticPr fontId="4"/>
  </si>
  <si>
    <t>下山田英治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</si>
  <si>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</si>
  <si>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</si>
  <si>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８名</t>
    <rPh sb="1" eb="2">
      <t>メイ</t>
    </rPh>
    <phoneticPr fontId="3"/>
  </si>
  <si>
    <t>1名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</si>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</sst>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176" fontId="2" fillId="0" borderId="11" xfId="1" applyNumberFormat="1" applyFont="1" applyBorder="1"/>
    <xf numFmtId="176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5" xfId="1" applyNumberFormat="1" applyFont="1" applyBorder="1"/>
    <xf numFmtId="49" fontId="2" fillId="0" borderId="19" xfId="1" applyNumberFormat="1" applyFont="1" applyBorder="1" applyAlignment="1">
      <alignment horizontal="left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19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0" fontId="2" fillId="0" borderId="2" xfId="1" applyFont="1" applyBorder="1" applyAlignment="1">
      <alignment horizontal="right"/>
    </xf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176" fontId="2" fillId="0" borderId="38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3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49" fontId="2" fillId="0" borderId="41" xfId="1" applyNumberFormat="1" applyFont="1" applyBorder="1" applyAlignment="1">
      <alignment horizontal="center"/>
    </xf>
    <xf numFmtId="0" fontId="2" fillId="0" borderId="4" xfId="1" applyFont="1" applyBorder="1"/>
  </cellXfs>
  <cellStyles count="2">
    <cellStyle name="標準" xfId="0" builtinId="0"/>
    <cellStyle name="標準 2" xfId="1" xr:uid="{D6D89E65-6292-470F-8F03-29483D6E5B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B302-03A3-4FA5-BEB1-46982865554E}">
  <dimension ref="A1:AH52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34" width="11.5" style="2" customWidth="1"/>
    <col min="35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80" width="11.125" style="2" bestFit="1" customWidth="1"/>
    <col min="281" max="281" width="9" style="2"/>
    <col min="282" max="288" width="11.125" style="2" bestFit="1" customWidth="1"/>
    <col min="289" max="289" width="9.625" style="2" bestFit="1" customWidth="1"/>
    <col min="29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6" width="11.125" style="2" bestFit="1" customWidth="1"/>
    <col min="537" max="537" width="9" style="2"/>
    <col min="538" max="544" width="11.125" style="2" bestFit="1" customWidth="1"/>
    <col min="545" max="545" width="9.625" style="2" bestFit="1" customWidth="1"/>
    <col min="54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2" width="11.125" style="2" bestFit="1" customWidth="1"/>
    <col min="793" max="793" width="9" style="2"/>
    <col min="794" max="800" width="11.125" style="2" bestFit="1" customWidth="1"/>
    <col min="801" max="801" width="9.625" style="2" bestFit="1" customWidth="1"/>
    <col min="80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8" width="11.125" style="2" bestFit="1" customWidth="1"/>
    <col min="1049" max="1049" width="9" style="2"/>
    <col min="1050" max="1056" width="11.125" style="2" bestFit="1" customWidth="1"/>
    <col min="1057" max="1057" width="9.625" style="2" bestFit="1" customWidth="1"/>
    <col min="105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4" width="11.125" style="2" bestFit="1" customWidth="1"/>
    <col min="1305" max="1305" width="9" style="2"/>
    <col min="1306" max="1312" width="11.125" style="2" bestFit="1" customWidth="1"/>
    <col min="1313" max="1313" width="9.625" style="2" bestFit="1" customWidth="1"/>
    <col min="131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60" width="11.125" style="2" bestFit="1" customWidth="1"/>
    <col min="1561" max="1561" width="9" style="2"/>
    <col min="1562" max="1568" width="11.125" style="2" bestFit="1" customWidth="1"/>
    <col min="1569" max="1569" width="9.625" style="2" bestFit="1" customWidth="1"/>
    <col min="157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6" width="11.125" style="2" bestFit="1" customWidth="1"/>
    <col min="1817" max="1817" width="9" style="2"/>
    <col min="1818" max="1824" width="11.125" style="2" bestFit="1" customWidth="1"/>
    <col min="1825" max="1825" width="9.625" style="2" bestFit="1" customWidth="1"/>
    <col min="182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2" width="11.125" style="2" bestFit="1" customWidth="1"/>
    <col min="2073" max="2073" width="9" style="2"/>
    <col min="2074" max="2080" width="11.125" style="2" bestFit="1" customWidth="1"/>
    <col min="2081" max="2081" width="9.625" style="2" bestFit="1" customWidth="1"/>
    <col min="208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8" width="11.125" style="2" bestFit="1" customWidth="1"/>
    <col min="2329" max="2329" width="9" style="2"/>
    <col min="2330" max="2336" width="11.125" style="2" bestFit="1" customWidth="1"/>
    <col min="2337" max="2337" width="9.625" style="2" bestFit="1" customWidth="1"/>
    <col min="233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4" width="11.125" style="2" bestFit="1" customWidth="1"/>
    <col min="2585" max="2585" width="9" style="2"/>
    <col min="2586" max="2592" width="11.125" style="2" bestFit="1" customWidth="1"/>
    <col min="2593" max="2593" width="9.625" style="2" bestFit="1" customWidth="1"/>
    <col min="259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40" width="11.125" style="2" bestFit="1" customWidth="1"/>
    <col min="2841" max="2841" width="9" style="2"/>
    <col min="2842" max="2848" width="11.125" style="2" bestFit="1" customWidth="1"/>
    <col min="2849" max="2849" width="9.625" style="2" bestFit="1" customWidth="1"/>
    <col min="285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6" width="11.125" style="2" bestFit="1" customWidth="1"/>
    <col min="3097" max="3097" width="9" style="2"/>
    <col min="3098" max="3104" width="11.125" style="2" bestFit="1" customWidth="1"/>
    <col min="3105" max="3105" width="9.625" style="2" bestFit="1" customWidth="1"/>
    <col min="310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2" width="11.125" style="2" bestFit="1" customWidth="1"/>
    <col min="3353" max="3353" width="9" style="2"/>
    <col min="3354" max="3360" width="11.125" style="2" bestFit="1" customWidth="1"/>
    <col min="3361" max="3361" width="9.625" style="2" bestFit="1" customWidth="1"/>
    <col min="336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8" width="11.125" style="2" bestFit="1" customWidth="1"/>
    <col min="3609" max="3609" width="9" style="2"/>
    <col min="3610" max="3616" width="11.125" style="2" bestFit="1" customWidth="1"/>
    <col min="3617" max="3617" width="9.625" style="2" bestFit="1" customWidth="1"/>
    <col min="361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4" width="11.125" style="2" bestFit="1" customWidth="1"/>
    <col min="3865" max="3865" width="9" style="2"/>
    <col min="3866" max="3872" width="11.125" style="2" bestFit="1" customWidth="1"/>
    <col min="3873" max="3873" width="9.625" style="2" bestFit="1" customWidth="1"/>
    <col min="387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20" width="11.125" style="2" bestFit="1" customWidth="1"/>
    <col min="4121" max="4121" width="9" style="2"/>
    <col min="4122" max="4128" width="11.125" style="2" bestFit="1" customWidth="1"/>
    <col min="4129" max="4129" width="9.625" style="2" bestFit="1" customWidth="1"/>
    <col min="413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6" width="11.125" style="2" bestFit="1" customWidth="1"/>
    <col min="4377" max="4377" width="9" style="2"/>
    <col min="4378" max="4384" width="11.125" style="2" bestFit="1" customWidth="1"/>
    <col min="4385" max="4385" width="9.625" style="2" bestFit="1" customWidth="1"/>
    <col min="438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2" width="11.125" style="2" bestFit="1" customWidth="1"/>
    <col min="4633" max="4633" width="9" style="2"/>
    <col min="4634" max="4640" width="11.125" style="2" bestFit="1" customWidth="1"/>
    <col min="4641" max="4641" width="9.625" style="2" bestFit="1" customWidth="1"/>
    <col min="464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8" width="11.125" style="2" bestFit="1" customWidth="1"/>
    <col min="4889" max="4889" width="9" style="2"/>
    <col min="4890" max="4896" width="11.125" style="2" bestFit="1" customWidth="1"/>
    <col min="4897" max="4897" width="9.625" style="2" bestFit="1" customWidth="1"/>
    <col min="489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4" width="11.125" style="2" bestFit="1" customWidth="1"/>
    <col min="5145" max="5145" width="9" style="2"/>
    <col min="5146" max="5152" width="11.125" style="2" bestFit="1" customWidth="1"/>
    <col min="5153" max="5153" width="9.625" style="2" bestFit="1" customWidth="1"/>
    <col min="515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400" width="11.125" style="2" bestFit="1" customWidth="1"/>
    <col min="5401" max="5401" width="9" style="2"/>
    <col min="5402" max="5408" width="11.125" style="2" bestFit="1" customWidth="1"/>
    <col min="5409" max="5409" width="9.625" style="2" bestFit="1" customWidth="1"/>
    <col min="541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6" width="11.125" style="2" bestFit="1" customWidth="1"/>
    <col min="5657" max="5657" width="9" style="2"/>
    <col min="5658" max="5664" width="11.125" style="2" bestFit="1" customWidth="1"/>
    <col min="5665" max="5665" width="9.625" style="2" bestFit="1" customWidth="1"/>
    <col min="566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2" width="11.125" style="2" bestFit="1" customWidth="1"/>
    <col min="5913" max="5913" width="9" style="2"/>
    <col min="5914" max="5920" width="11.125" style="2" bestFit="1" customWidth="1"/>
    <col min="5921" max="5921" width="9.625" style="2" bestFit="1" customWidth="1"/>
    <col min="592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8" width="11.125" style="2" bestFit="1" customWidth="1"/>
    <col min="6169" max="6169" width="9" style="2"/>
    <col min="6170" max="6176" width="11.125" style="2" bestFit="1" customWidth="1"/>
    <col min="6177" max="6177" width="9.625" style="2" bestFit="1" customWidth="1"/>
    <col min="617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4" width="11.125" style="2" bestFit="1" customWidth="1"/>
    <col min="6425" max="6425" width="9" style="2"/>
    <col min="6426" max="6432" width="11.125" style="2" bestFit="1" customWidth="1"/>
    <col min="6433" max="6433" width="9.625" style="2" bestFit="1" customWidth="1"/>
    <col min="643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80" width="11.125" style="2" bestFit="1" customWidth="1"/>
    <col min="6681" max="6681" width="9" style="2"/>
    <col min="6682" max="6688" width="11.125" style="2" bestFit="1" customWidth="1"/>
    <col min="6689" max="6689" width="9.625" style="2" bestFit="1" customWidth="1"/>
    <col min="669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6" width="11.125" style="2" bestFit="1" customWidth="1"/>
    <col min="6937" max="6937" width="9" style="2"/>
    <col min="6938" max="6944" width="11.125" style="2" bestFit="1" customWidth="1"/>
    <col min="6945" max="6945" width="9.625" style="2" bestFit="1" customWidth="1"/>
    <col min="694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2" width="11.125" style="2" bestFit="1" customWidth="1"/>
    <col min="7193" max="7193" width="9" style="2"/>
    <col min="7194" max="7200" width="11.125" style="2" bestFit="1" customWidth="1"/>
    <col min="7201" max="7201" width="9.625" style="2" bestFit="1" customWidth="1"/>
    <col min="720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8" width="11.125" style="2" bestFit="1" customWidth="1"/>
    <col min="7449" max="7449" width="9" style="2"/>
    <col min="7450" max="7456" width="11.125" style="2" bestFit="1" customWidth="1"/>
    <col min="7457" max="7457" width="9.625" style="2" bestFit="1" customWidth="1"/>
    <col min="745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4" width="11.125" style="2" bestFit="1" customWidth="1"/>
    <col min="7705" max="7705" width="9" style="2"/>
    <col min="7706" max="7712" width="11.125" style="2" bestFit="1" customWidth="1"/>
    <col min="7713" max="7713" width="9.625" style="2" bestFit="1" customWidth="1"/>
    <col min="771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60" width="11.125" style="2" bestFit="1" customWidth="1"/>
    <col min="7961" max="7961" width="9" style="2"/>
    <col min="7962" max="7968" width="11.125" style="2" bestFit="1" customWidth="1"/>
    <col min="7969" max="7969" width="9.625" style="2" bestFit="1" customWidth="1"/>
    <col min="797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6" width="11.125" style="2" bestFit="1" customWidth="1"/>
    <col min="8217" max="8217" width="9" style="2"/>
    <col min="8218" max="8224" width="11.125" style="2" bestFit="1" customWidth="1"/>
    <col min="8225" max="8225" width="9.625" style="2" bestFit="1" customWidth="1"/>
    <col min="822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2" width="11.125" style="2" bestFit="1" customWidth="1"/>
    <col min="8473" max="8473" width="9" style="2"/>
    <col min="8474" max="8480" width="11.125" style="2" bestFit="1" customWidth="1"/>
    <col min="8481" max="8481" width="9.625" style="2" bestFit="1" customWidth="1"/>
    <col min="848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8" width="11.125" style="2" bestFit="1" customWidth="1"/>
    <col min="8729" max="8729" width="9" style="2"/>
    <col min="8730" max="8736" width="11.125" style="2" bestFit="1" customWidth="1"/>
    <col min="8737" max="8737" width="9.625" style="2" bestFit="1" customWidth="1"/>
    <col min="873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4" width="11.125" style="2" bestFit="1" customWidth="1"/>
    <col min="8985" max="8985" width="9" style="2"/>
    <col min="8986" max="8992" width="11.125" style="2" bestFit="1" customWidth="1"/>
    <col min="8993" max="8993" width="9.625" style="2" bestFit="1" customWidth="1"/>
    <col min="899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40" width="11.125" style="2" bestFit="1" customWidth="1"/>
    <col min="9241" max="9241" width="9" style="2"/>
    <col min="9242" max="9248" width="11.125" style="2" bestFit="1" customWidth="1"/>
    <col min="9249" max="9249" width="9.625" style="2" bestFit="1" customWidth="1"/>
    <col min="925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6" width="11.125" style="2" bestFit="1" customWidth="1"/>
    <col min="9497" max="9497" width="9" style="2"/>
    <col min="9498" max="9504" width="11.125" style="2" bestFit="1" customWidth="1"/>
    <col min="9505" max="9505" width="9.625" style="2" bestFit="1" customWidth="1"/>
    <col min="950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2" width="11.125" style="2" bestFit="1" customWidth="1"/>
    <col min="9753" max="9753" width="9" style="2"/>
    <col min="9754" max="9760" width="11.125" style="2" bestFit="1" customWidth="1"/>
    <col min="9761" max="9761" width="9.625" style="2" bestFit="1" customWidth="1"/>
    <col min="976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8" width="11.125" style="2" bestFit="1" customWidth="1"/>
    <col min="10009" max="10009" width="9" style="2"/>
    <col min="10010" max="10016" width="11.125" style="2" bestFit="1" customWidth="1"/>
    <col min="10017" max="10017" width="9.625" style="2" bestFit="1" customWidth="1"/>
    <col min="1001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4" width="11.125" style="2" bestFit="1" customWidth="1"/>
    <col min="10265" max="10265" width="9" style="2"/>
    <col min="10266" max="10272" width="11.125" style="2" bestFit="1" customWidth="1"/>
    <col min="10273" max="10273" width="9.625" style="2" bestFit="1" customWidth="1"/>
    <col min="1027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20" width="11.125" style="2" bestFit="1" customWidth="1"/>
    <col min="10521" max="10521" width="9" style="2"/>
    <col min="10522" max="10528" width="11.125" style="2" bestFit="1" customWidth="1"/>
    <col min="10529" max="10529" width="9.625" style="2" bestFit="1" customWidth="1"/>
    <col min="1053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6" width="11.125" style="2" bestFit="1" customWidth="1"/>
    <col min="10777" max="10777" width="9" style="2"/>
    <col min="10778" max="10784" width="11.125" style="2" bestFit="1" customWidth="1"/>
    <col min="10785" max="10785" width="9.625" style="2" bestFit="1" customWidth="1"/>
    <col min="1078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2" width="11.125" style="2" bestFit="1" customWidth="1"/>
    <col min="11033" max="11033" width="9" style="2"/>
    <col min="11034" max="11040" width="11.125" style="2" bestFit="1" customWidth="1"/>
    <col min="11041" max="11041" width="9.625" style="2" bestFit="1" customWidth="1"/>
    <col min="1104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8" width="11.125" style="2" bestFit="1" customWidth="1"/>
    <col min="11289" max="11289" width="9" style="2"/>
    <col min="11290" max="11296" width="11.125" style="2" bestFit="1" customWidth="1"/>
    <col min="11297" max="11297" width="9.625" style="2" bestFit="1" customWidth="1"/>
    <col min="1129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4" width="11.125" style="2" bestFit="1" customWidth="1"/>
    <col min="11545" max="11545" width="9" style="2"/>
    <col min="11546" max="11552" width="11.125" style="2" bestFit="1" customWidth="1"/>
    <col min="11553" max="11553" width="9.625" style="2" bestFit="1" customWidth="1"/>
    <col min="1155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800" width="11.125" style="2" bestFit="1" customWidth="1"/>
    <col min="11801" max="11801" width="9" style="2"/>
    <col min="11802" max="11808" width="11.125" style="2" bestFit="1" customWidth="1"/>
    <col min="11809" max="11809" width="9.625" style="2" bestFit="1" customWidth="1"/>
    <col min="1181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6" width="11.125" style="2" bestFit="1" customWidth="1"/>
    <col min="12057" max="12057" width="9" style="2"/>
    <col min="12058" max="12064" width="11.125" style="2" bestFit="1" customWidth="1"/>
    <col min="12065" max="12065" width="9.625" style="2" bestFit="1" customWidth="1"/>
    <col min="1206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2" width="11.125" style="2" bestFit="1" customWidth="1"/>
    <col min="12313" max="12313" width="9" style="2"/>
    <col min="12314" max="12320" width="11.125" style="2" bestFit="1" customWidth="1"/>
    <col min="12321" max="12321" width="9.625" style="2" bestFit="1" customWidth="1"/>
    <col min="1232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8" width="11.125" style="2" bestFit="1" customWidth="1"/>
    <col min="12569" max="12569" width="9" style="2"/>
    <col min="12570" max="12576" width="11.125" style="2" bestFit="1" customWidth="1"/>
    <col min="12577" max="12577" width="9.625" style="2" bestFit="1" customWidth="1"/>
    <col min="1257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4" width="11.125" style="2" bestFit="1" customWidth="1"/>
    <col min="12825" max="12825" width="9" style="2"/>
    <col min="12826" max="12832" width="11.125" style="2" bestFit="1" customWidth="1"/>
    <col min="12833" max="12833" width="9.625" style="2" bestFit="1" customWidth="1"/>
    <col min="1283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80" width="11.125" style="2" bestFit="1" customWidth="1"/>
    <col min="13081" max="13081" width="9" style="2"/>
    <col min="13082" max="13088" width="11.125" style="2" bestFit="1" customWidth="1"/>
    <col min="13089" max="13089" width="9.625" style="2" bestFit="1" customWidth="1"/>
    <col min="1309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6" width="11.125" style="2" bestFit="1" customWidth="1"/>
    <col min="13337" max="13337" width="9" style="2"/>
    <col min="13338" max="13344" width="11.125" style="2" bestFit="1" customWidth="1"/>
    <col min="13345" max="13345" width="9.625" style="2" bestFit="1" customWidth="1"/>
    <col min="1334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2" width="11.125" style="2" bestFit="1" customWidth="1"/>
    <col min="13593" max="13593" width="9" style="2"/>
    <col min="13594" max="13600" width="11.125" style="2" bestFit="1" customWidth="1"/>
    <col min="13601" max="13601" width="9.625" style="2" bestFit="1" customWidth="1"/>
    <col min="1360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8" width="11.125" style="2" bestFit="1" customWidth="1"/>
    <col min="13849" max="13849" width="9" style="2"/>
    <col min="13850" max="13856" width="11.125" style="2" bestFit="1" customWidth="1"/>
    <col min="13857" max="13857" width="9.625" style="2" bestFit="1" customWidth="1"/>
    <col min="1385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4" width="11.125" style="2" bestFit="1" customWidth="1"/>
    <col min="14105" max="14105" width="9" style="2"/>
    <col min="14106" max="14112" width="11.125" style="2" bestFit="1" customWidth="1"/>
    <col min="14113" max="14113" width="9.625" style="2" bestFit="1" customWidth="1"/>
    <col min="1411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60" width="11.125" style="2" bestFit="1" customWidth="1"/>
    <col min="14361" max="14361" width="9" style="2"/>
    <col min="14362" max="14368" width="11.125" style="2" bestFit="1" customWidth="1"/>
    <col min="14369" max="14369" width="9.625" style="2" bestFit="1" customWidth="1"/>
    <col min="1437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6" width="11.125" style="2" bestFit="1" customWidth="1"/>
    <col min="14617" max="14617" width="9" style="2"/>
    <col min="14618" max="14624" width="11.125" style="2" bestFit="1" customWidth="1"/>
    <col min="14625" max="14625" width="9.625" style="2" bestFit="1" customWidth="1"/>
    <col min="1462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2" width="11.125" style="2" bestFit="1" customWidth="1"/>
    <col min="14873" max="14873" width="9" style="2"/>
    <col min="14874" max="14880" width="11.125" style="2" bestFit="1" customWidth="1"/>
    <col min="14881" max="14881" width="9.625" style="2" bestFit="1" customWidth="1"/>
    <col min="1488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8" width="11.125" style="2" bestFit="1" customWidth="1"/>
    <col min="15129" max="15129" width="9" style="2"/>
    <col min="15130" max="15136" width="11.125" style="2" bestFit="1" customWidth="1"/>
    <col min="15137" max="15137" width="9.625" style="2" bestFit="1" customWidth="1"/>
    <col min="1513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4" width="11.125" style="2" bestFit="1" customWidth="1"/>
    <col min="15385" max="15385" width="9" style="2"/>
    <col min="15386" max="15392" width="11.125" style="2" bestFit="1" customWidth="1"/>
    <col min="15393" max="15393" width="9.625" style="2" bestFit="1" customWidth="1"/>
    <col min="1539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40" width="11.125" style="2" bestFit="1" customWidth="1"/>
    <col min="15641" max="15641" width="9" style="2"/>
    <col min="15642" max="15648" width="11.125" style="2" bestFit="1" customWidth="1"/>
    <col min="15649" max="15649" width="9.625" style="2" bestFit="1" customWidth="1"/>
    <col min="1565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6" width="11.125" style="2" bestFit="1" customWidth="1"/>
    <col min="15897" max="15897" width="9" style="2"/>
    <col min="15898" max="15904" width="11.125" style="2" bestFit="1" customWidth="1"/>
    <col min="15905" max="15905" width="9.625" style="2" bestFit="1" customWidth="1"/>
    <col min="1590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2" width="11.125" style="2" bestFit="1" customWidth="1"/>
    <col min="16153" max="16153" width="9" style="2"/>
    <col min="16154" max="16160" width="11.125" style="2" bestFit="1" customWidth="1"/>
    <col min="16161" max="16161" width="9.625" style="2" bestFit="1" customWidth="1"/>
    <col min="16162" max="16384" width="9" style="2"/>
  </cols>
  <sheetData>
    <row r="1" spans="1:34">
      <c r="A1" s="1" t="s">
        <v>0</v>
      </c>
    </row>
    <row r="2" spans="1:34" ht="19.5" thickBot="1">
      <c r="A2" s="1" t="s">
        <v>105</v>
      </c>
    </row>
    <row r="3" spans="1:34">
      <c r="B3" s="13"/>
      <c r="C3" s="19" t="s">
        <v>2</v>
      </c>
      <c r="D3" s="20" t="s">
        <v>3</v>
      </c>
      <c r="E3" s="20" t="s">
        <v>6</v>
      </c>
      <c r="F3" s="20" t="s">
        <v>7</v>
      </c>
      <c r="G3" s="20" t="s">
        <v>8</v>
      </c>
      <c r="H3" s="20" t="s">
        <v>9</v>
      </c>
      <c r="I3" s="20" t="s">
        <v>10</v>
      </c>
      <c r="J3" s="20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18</v>
      </c>
      <c r="Q3" s="20" t="s">
        <v>19</v>
      </c>
      <c r="R3" s="20" t="s">
        <v>20</v>
      </c>
      <c r="S3" s="20" t="s">
        <v>21</v>
      </c>
      <c r="T3" s="20" t="s">
        <v>22</v>
      </c>
      <c r="U3" s="57" t="s">
        <v>23</v>
      </c>
      <c r="V3" s="81" t="s">
        <v>107</v>
      </c>
      <c r="W3" s="69" t="s">
        <v>17</v>
      </c>
      <c r="X3" s="20" t="s">
        <v>4</v>
      </c>
      <c r="Y3" s="20" t="s">
        <v>26</v>
      </c>
      <c r="Z3" s="20" t="s">
        <v>27</v>
      </c>
      <c r="AA3" s="20" t="s">
        <v>24</v>
      </c>
      <c r="AB3" s="20" t="s">
        <v>25</v>
      </c>
      <c r="AC3" s="20" t="s">
        <v>28</v>
      </c>
      <c r="AD3" s="83" t="s">
        <v>29</v>
      </c>
      <c r="AE3" s="81" t="s">
        <v>107</v>
      </c>
      <c r="AF3" s="83" t="s">
        <v>5</v>
      </c>
      <c r="AG3" s="81" t="s">
        <v>107</v>
      </c>
      <c r="AH3" s="84" t="s">
        <v>58</v>
      </c>
    </row>
    <row r="4" spans="1:34" ht="19.5" thickBot="1">
      <c r="B4" s="4" t="s">
        <v>30</v>
      </c>
      <c r="C4" s="21" t="s">
        <v>31</v>
      </c>
      <c r="D4" s="22" t="s">
        <v>32</v>
      </c>
      <c r="E4" s="22" t="s">
        <v>34</v>
      </c>
      <c r="F4" s="22" t="s">
        <v>35</v>
      </c>
      <c r="G4" s="22" t="s">
        <v>36</v>
      </c>
      <c r="H4" s="22" t="s">
        <v>37</v>
      </c>
      <c r="I4" s="22" t="s">
        <v>38</v>
      </c>
      <c r="J4" s="22" t="s">
        <v>39</v>
      </c>
      <c r="K4" s="22" t="s">
        <v>40</v>
      </c>
      <c r="L4" s="22" t="s">
        <v>41</v>
      </c>
      <c r="M4" s="22" t="s">
        <v>42</v>
      </c>
      <c r="N4" s="22" t="s">
        <v>43</v>
      </c>
      <c r="O4" s="22" t="s">
        <v>44</v>
      </c>
      <c r="P4" s="22" t="s">
        <v>46</v>
      </c>
      <c r="Q4" s="22" t="s">
        <v>47</v>
      </c>
      <c r="R4" s="22" t="s">
        <v>48</v>
      </c>
      <c r="S4" s="22" t="s">
        <v>49</v>
      </c>
      <c r="T4" s="22" t="s">
        <v>50</v>
      </c>
      <c r="U4" s="58" t="s">
        <v>51</v>
      </c>
      <c r="V4" s="82" t="s">
        <v>108</v>
      </c>
      <c r="W4" s="70" t="s">
        <v>45</v>
      </c>
      <c r="X4" s="22" t="s">
        <v>106</v>
      </c>
      <c r="Y4" s="22" t="s">
        <v>54</v>
      </c>
      <c r="Z4" s="22" t="s">
        <v>55</v>
      </c>
      <c r="AA4" s="22" t="s">
        <v>52</v>
      </c>
      <c r="AB4" s="22" t="s">
        <v>53</v>
      </c>
      <c r="AC4" s="22" t="s">
        <v>56</v>
      </c>
      <c r="AD4" s="3" t="s">
        <v>57</v>
      </c>
      <c r="AE4" s="82" t="s">
        <v>109</v>
      </c>
      <c r="AF4" s="3" t="s">
        <v>33</v>
      </c>
      <c r="AG4" s="82" t="s">
        <v>110</v>
      </c>
      <c r="AH4" s="56" t="s">
        <v>111</v>
      </c>
    </row>
    <row r="5" spans="1:34">
      <c r="A5" s="1" t="s">
        <v>1</v>
      </c>
      <c r="B5" s="33" t="s">
        <v>59</v>
      </c>
      <c r="C5" s="34">
        <v>22</v>
      </c>
      <c r="D5" s="35">
        <v>21</v>
      </c>
      <c r="E5" s="35">
        <v>20</v>
      </c>
      <c r="F5" s="35">
        <v>20</v>
      </c>
      <c r="G5" s="35">
        <v>19</v>
      </c>
      <c r="H5" s="35">
        <v>18</v>
      </c>
      <c r="I5" s="35">
        <v>21</v>
      </c>
      <c r="J5" s="35">
        <v>20</v>
      </c>
      <c r="K5" s="35">
        <v>20</v>
      </c>
      <c r="L5" s="35">
        <v>21</v>
      </c>
      <c r="M5" s="35">
        <v>20</v>
      </c>
      <c r="N5" s="35">
        <v>21</v>
      </c>
      <c r="O5" s="35">
        <v>22</v>
      </c>
      <c r="P5" s="35">
        <v>17</v>
      </c>
      <c r="Q5" s="35">
        <v>18</v>
      </c>
      <c r="R5" s="35">
        <v>21</v>
      </c>
      <c r="S5" s="35">
        <v>19</v>
      </c>
      <c r="T5" s="35">
        <v>21</v>
      </c>
      <c r="U5" s="59">
        <v>22</v>
      </c>
      <c r="V5" s="37">
        <f>SUM(C5:U5)</f>
        <v>383</v>
      </c>
      <c r="W5" s="71">
        <v>14</v>
      </c>
      <c r="X5" s="35">
        <v>22</v>
      </c>
      <c r="Y5" s="35">
        <v>15</v>
      </c>
      <c r="Z5" s="35">
        <v>14</v>
      </c>
      <c r="AA5" s="35">
        <v>10</v>
      </c>
      <c r="AB5" s="35">
        <v>10</v>
      </c>
      <c r="AC5" s="35">
        <v>9</v>
      </c>
      <c r="AD5" s="36">
        <v>21</v>
      </c>
      <c r="AE5" s="37">
        <f>SUM(W5:AD5)</f>
        <v>115</v>
      </c>
      <c r="AF5" s="36">
        <v>22</v>
      </c>
      <c r="AG5" s="37">
        <f>SUM(AF5)</f>
        <v>22</v>
      </c>
      <c r="AH5" s="37">
        <f>SUM(AG5,AE5,V5)</f>
        <v>520</v>
      </c>
    </row>
    <row r="6" spans="1:34">
      <c r="A6" s="1" t="s">
        <v>1</v>
      </c>
      <c r="B6" s="38" t="s">
        <v>60</v>
      </c>
      <c r="C6" s="39">
        <v>2</v>
      </c>
      <c r="D6" s="40">
        <v>1</v>
      </c>
      <c r="E6" s="40">
        <v>1</v>
      </c>
      <c r="F6" s="40">
        <v>1</v>
      </c>
      <c r="G6" s="40">
        <v>3</v>
      </c>
      <c r="H6" s="40">
        <v>4</v>
      </c>
      <c r="I6" s="40">
        <v>4</v>
      </c>
      <c r="J6" s="40">
        <v>4</v>
      </c>
      <c r="K6" s="40">
        <v>2</v>
      </c>
      <c r="L6" s="40">
        <v>2</v>
      </c>
      <c r="M6" s="40">
        <v>2</v>
      </c>
      <c r="N6" s="40">
        <v>2</v>
      </c>
      <c r="O6" s="40">
        <v>2</v>
      </c>
      <c r="P6" s="40">
        <v>4</v>
      </c>
      <c r="Q6" s="40">
        <v>1</v>
      </c>
      <c r="R6" s="40">
        <v>2</v>
      </c>
      <c r="S6" s="40">
        <v>4</v>
      </c>
      <c r="T6" s="40">
        <v>3</v>
      </c>
      <c r="U6" s="60">
        <v>2</v>
      </c>
      <c r="V6" s="42">
        <f t="shared" ref="V6:V43" si="0">SUM(C6:U6)</f>
        <v>46</v>
      </c>
      <c r="W6" s="72">
        <v>0</v>
      </c>
      <c r="X6" s="40">
        <v>4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1">
        <v>0</v>
      </c>
      <c r="AE6" s="42">
        <f t="shared" ref="AE6:AE50" si="1">SUM(W6:AD6)</f>
        <v>4</v>
      </c>
      <c r="AF6" s="41">
        <v>0</v>
      </c>
      <c r="AG6" s="42">
        <f t="shared" ref="AG6:AG50" si="2">SUM(AF6)</f>
        <v>0</v>
      </c>
      <c r="AH6" s="42">
        <f t="shared" ref="AH6:AH50" si="3">SUM(AG6,AE6,V6)</f>
        <v>50</v>
      </c>
    </row>
    <row r="7" spans="1:34">
      <c r="A7" s="1" t="s">
        <v>1</v>
      </c>
      <c r="B7" s="38" t="s">
        <v>61</v>
      </c>
      <c r="C7" s="39">
        <v>2</v>
      </c>
      <c r="D7" s="40">
        <v>3</v>
      </c>
      <c r="E7" s="40">
        <v>1</v>
      </c>
      <c r="F7" s="40">
        <v>2</v>
      </c>
      <c r="G7" s="40">
        <v>3</v>
      </c>
      <c r="H7" s="40">
        <v>2</v>
      </c>
      <c r="I7" s="40">
        <v>0</v>
      </c>
      <c r="J7" s="40">
        <v>0</v>
      </c>
      <c r="K7" s="40">
        <v>3</v>
      </c>
      <c r="L7" s="40">
        <v>2</v>
      </c>
      <c r="M7" s="40">
        <v>2</v>
      </c>
      <c r="N7" s="40">
        <v>3</v>
      </c>
      <c r="O7" s="40">
        <v>2</v>
      </c>
      <c r="P7" s="40">
        <v>4</v>
      </c>
      <c r="Q7" s="40">
        <v>2</v>
      </c>
      <c r="R7" s="40">
        <v>1</v>
      </c>
      <c r="S7" s="40">
        <v>2</v>
      </c>
      <c r="T7" s="40">
        <v>2</v>
      </c>
      <c r="U7" s="60">
        <v>2</v>
      </c>
      <c r="V7" s="42">
        <f t="shared" si="0"/>
        <v>38</v>
      </c>
      <c r="W7" s="72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1">
        <v>0</v>
      </c>
      <c r="AE7" s="42">
        <f t="shared" si="1"/>
        <v>0</v>
      </c>
      <c r="AF7" s="41">
        <v>0</v>
      </c>
      <c r="AG7" s="42">
        <f t="shared" si="2"/>
        <v>0</v>
      </c>
      <c r="AH7" s="42">
        <f t="shared" si="3"/>
        <v>38</v>
      </c>
    </row>
    <row r="8" spans="1:34">
      <c r="A8" s="1" t="s">
        <v>1</v>
      </c>
      <c r="B8" s="38" t="s">
        <v>62</v>
      </c>
      <c r="C8" s="39">
        <v>0</v>
      </c>
      <c r="D8" s="40">
        <v>0</v>
      </c>
      <c r="E8" s="40">
        <v>0</v>
      </c>
      <c r="F8" s="40">
        <v>1</v>
      </c>
      <c r="G8" s="40">
        <v>1</v>
      </c>
      <c r="H8" s="40">
        <v>1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2</v>
      </c>
      <c r="Q8" s="40">
        <v>3</v>
      </c>
      <c r="R8" s="40">
        <v>1</v>
      </c>
      <c r="S8" s="40">
        <v>2</v>
      </c>
      <c r="T8" s="40">
        <v>0</v>
      </c>
      <c r="U8" s="60">
        <v>0</v>
      </c>
      <c r="V8" s="42">
        <f t="shared" si="0"/>
        <v>11</v>
      </c>
      <c r="W8" s="72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1">
        <v>0</v>
      </c>
      <c r="AE8" s="42">
        <f t="shared" si="1"/>
        <v>0</v>
      </c>
      <c r="AF8" s="41">
        <v>0</v>
      </c>
      <c r="AG8" s="42">
        <f t="shared" si="2"/>
        <v>0</v>
      </c>
      <c r="AH8" s="42">
        <f t="shared" si="3"/>
        <v>11</v>
      </c>
    </row>
    <row r="9" spans="1:34">
      <c r="A9" s="1" t="s">
        <v>1</v>
      </c>
      <c r="B9" s="38" t="s">
        <v>63</v>
      </c>
      <c r="C9" s="39">
        <v>0</v>
      </c>
      <c r="D9" s="40">
        <v>1</v>
      </c>
      <c r="E9" s="40">
        <v>2</v>
      </c>
      <c r="F9" s="40">
        <v>1</v>
      </c>
      <c r="G9" s="40">
        <v>2</v>
      </c>
      <c r="H9" s="40">
        <v>3</v>
      </c>
      <c r="I9" s="40">
        <v>1</v>
      </c>
      <c r="J9" s="40">
        <v>2</v>
      </c>
      <c r="K9" s="40">
        <v>2</v>
      </c>
      <c r="L9" s="40">
        <v>1</v>
      </c>
      <c r="M9" s="40">
        <v>2</v>
      </c>
      <c r="N9" s="40">
        <v>1</v>
      </c>
      <c r="O9" s="40">
        <v>0</v>
      </c>
      <c r="P9" s="40">
        <v>3</v>
      </c>
      <c r="Q9" s="40">
        <v>1</v>
      </c>
      <c r="R9" s="40">
        <v>0</v>
      </c>
      <c r="S9" s="40">
        <v>0</v>
      </c>
      <c r="T9" s="40">
        <v>1</v>
      </c>
      <c r="U9" s="60">
        <v>0</v>
      </c>
      <c r="V9" s="42">
        <f t="shared" si="0"/>
        <v>23</v>
      </c>
      <c r="W9" s="72">
        <v>8</v>
      </c>
      <c r="X9" s="40">
        <v>0</v>
      </c>
      <c r="Y9" s="40">
        <v>0</v>
      </c>
      <c r="Z9" s="40">
        <v>1</v>
      </c>
      <c r="AA9" s="40">
        <v>1</v>
      </c>
      <c r="AB9" s="40">
        <v>1</v>
      </c>
      <c r="AC9" s="40">
        <v>0</v>
      </c>
      <c r="AD9" s="41">
        <v>1</v>
      </c>
      <c r="AE9" s="42">
        <f t="shared" si="1"/>
        <v>12</v>
      </c>
      <c r="AF9" s="41">
        <v>0</v>
      </c>
      <c r="AG9" s="42">
        <f t="shared" si="2"/>
        <v>0</v>
      </c>
      <c r="AH9" s="42">
        <f t="shared" si="3"/>
        <v>35</v>
      </c>
    </row>
    <row r="10" spans="1:34">
      <c r="A10" s="1" t="s">
        <v>1</v>
      </c>
      <c r="B10" s="38" t="s">
        <v>64</v>
      </c>
      <c r="C10" s="39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1</v>
      </c>
      <c r="T10" s="40">
        <v>0</v>
      </c>
      <c r="U10" s="60">
        <v>0</v>
      </c>
      <c r="V10" s="42">
        <f t="shared" si="0"/>
        <v>1</v>
      </c>
      <c r="W10" s="72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1">
        <v>0</v>
      </c>
      <c r="AE10" s="42">
        <f t="shared" si="1"/>
        <v>0</v>
      </c>
      <c r="AF10" s="41">
        <v>0</v>
      </c>
      <c r="AG10" s="42">
        <f t="shared" si="2"/>
        <v>0</v>
      </c>
      <c r="AH10" s="42">
        <f t="shared" si="3"/>
        <v>1</v>
      </c>
    </row>
    <row r="11" spans="1:34">
      <c r="A11" s="1" t="s">
        <v>1</v>
      </c>
      <c r="B11" s="38" t="s">
        <v>65</v>
      </c>
      <c r="C11" s="43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61">
        <v>0</v>
      </c>
      <c r="V11" s="46">
        <f t="shared" si="0"/>
        <v>0</v>
      </c>
      <c r="W11" s="73">
        <v>0</v>
      </c>
      <c r="X11" s="44">
        <v>0</v>
      </c>
      <c r="Y11" s="44">
        <v>3.875</v>
      </c>
      <c r="Z11" s="44">
        <v>3.4166666666666665</v>
      </c>
      <c r="AA11" s="44">
        <v>2.9166666666666665</v>
      </c>
      <c r="AB11" s="44">
        <v>2.9166666666666665</v>
      </c>
      <c r="AC11" s="44">
        <v>2.7916666666666665</v>
      </c>
      <c r="AD11" s="45">
        <v>4.5</v>
      </c>
      <c r="AE11" s="46">
        <f t="shared" si="1"/>
        <v>20.416666666666664</v>
      </c>
      <c r="AF11" s="45">
        <v>0</v>
      </c>
      <c r="AG11" s="46">
        <f t="shared" si="2"/>
        <v>0</v>
      </c>
      <c r="AH11" s="46">
        <f t="shared" si="3"/>
        <v>20.416666666666664</v>
      </c>
    </row>
    <row r="12" spans="1:34">
      <c r="A12" s="1" t="s">
        <v>1</v>
      </c>
      <c r="B12" s="38" t="s">
        <v>66</v>
      </c>
      <c r="C12" s="43">
        <v>1.4583333333333333</v>
      </c>
      <c r="D12" s="44">
        <v>1.9583333333333335</v>
      </c>
      <c r="E12" s="44">
        <v>0.625</v>
      </c>
      <c r="F12" s="44">
        <v>2.8333333333333335</v>
      </c>
      <c r="G12" s="44">
        <v>1.9166666666666665</v>
      </c>
      <c r="H12" s="44">
        <v>2.5416666666666665</v>
      </c>
      <c r="I12" s="44">
        <v>2.5833333333333335</v>
      </c>
      <c r="J12" s="44">
        <v>2.0416666666666665</v>
      </c>
      <c r="K12" s="44">
        <v>2.1666666666666665</v>
      </c>
      <c r="L12" s="44">
        <v>1.875</v>
      </c>
      <c r="M12" s="44">
        <v>1.7916666666666665</v>
      </c>
      <c r="N12" s="44">
        <v>2.4583333333333335</v>
      </c>
      <c r="O12" s="44">
        <v>1.5833333333333335</v>
      </c>
      <c r="P12" s="44">
        <v>2.5416666666666665</v>
      </c>
      <c r="Q12" s="44">
        <v>1.3333333333333333</v>
      </c>
      <c r="R12" s="44">
        <v>1.2083333333333333</v>
      </c>
      <c r="S12" s="44">
        <v>2.8333333333333335</v>
      </c>
      <c r="T12" s="44">
        <v>2.125</v>
      </c>
      <c r="U12" s="61">
        <v>1.75</v>
      </c>
      <c r="V12" s="46">
        <f t="shared" si="0"/>
        <v>37.625</v>
      </c>
      <c r="W12" s="73">
        <v>0</v>
      </c>
      <c r="X12" s="44">
        <v>2.0416666666666665</v>
      </c>
      <c r="Y12" s="44">
        <v>0</v>
      </c>
      <c r="Z12" s="44">
        <v>0</v>
      </c>
      <c r="AA12" s="44">
        <v>0</v>
      </c>
      <c r="AB12" s="44">
        <v>0</v>
      </c>
      <c r="AC12" s="44">
        <v>8.3333333333333329E-2</v>
      </c>
      <c r="AD12" s="45">
        <v>0</v>
      </c>
      <c r="AE12" s="46">
        <f t="shared" si="1"/>
        <v>2.125</v>
      </c>
      <c r="AF12" s="45">
        <v>0</v>
      </c>
      <c r="AG12" s="46">
        <f t="shared" si="2"/>
        <v>0</v>
      </c>
      <c r="AH12" s="46">
        <f t="shared" si="3"/>
        <v>39.75</v>
      </c>
    </row>
    <row r="13" spans="1:34">
      <c r="A13" s="1" t="s">
        <v>1</v>
      </c>
      <c r="B13" s="38" t="s">
        <v>67</v>
      </c>
      <c r="C13" s="43">
        <v>0.66666666666666663</v>
      </c>
      <c r="D13" s="44">
        <v>0.41666666666666669</v>
      </c>
      <c r="E13" s="44">
        <v>0.375</v>
      </c>
      <c r="F13" s="44">
        <v>0.20833333333333334</v>
      </c>
      <c r="G13" s="44">
        <v>0.875</v>
      </c>
      <c r="H13" s="44">
        <v>1.625</v>
      </c>
      <c r="I13" s="44">
        <v>1.5833333333333335</v>
      </c>
      <c r="J13" s="44">
        <v>1.4583333333333333</v>
      </c>
      <c r="K13" s="44">
        <v>0.875</v>
      </c>
      <c r="L13" s="44">
        <v>0.79166666666666663</v>
      </c>
      <c r="M13" s="44">
        <v>0.95833333333333337</v>
      </c>
      <c r="N13" s="44">
        <v>0.625</v>
      </c>
      <c r="O13" s="44">
        <v>0.75</v>
      </c>
      <c r="P13" s="44">
        <v>1.6666666666666665</v>
      </c>
      <c r="Q13" s="44">
        <v>0</v>
      </c>
      <c r="R13" s="44">
        <v>0.79166666666666663</v>
      </c>
      <c r="S13" s="44">
        <v>1.75</v>
      </c>
      <c r="T13" s="44">
        <v>1.2916666666666667</v>
      </c>
      <c r="U13" s="61">
        <v>0.875</v>
      </c>
      <c r="V13" s="46">
        <f t="shared" si="0"/>
        <v>17.583333333333332</v>
      </c>
      <c r="W13" s="73">
        <v>0</v>
      </c>
      <c r="X13" s="44">
        <v>1.125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5">
        <v>0</v>
      </c>
      <c r="AE13" s="46">
        <f t="shared" si="1"/>
        <v>1.125</v>
      </c>
      <c r="AF13" s="45">
        <v>0</v>
      </c>
      <c r="AG13" s="46">
        <f t="shared" si="2"/>
        <v>0</v>
      </c>
      <c r="AH13" s="46">
        <f t="shared" si="3"/>
        <v>18.708333333333332</v>
      </c>
    </row>
    <row r="14" spans="1:34">
      <c r="A14" s="1" t="s">
        <v>1</v>
      </c>
      <c r="B14" s="38" t="s">
        <v>68</v>
      </c>
      <c r="C14" s="43">
        <v>0.58333333333333337</v>
      </c>
      <c r="D14" s="44">
        <v>0.95833333333333337</v>
      </c>
      <c r="E14" s="44">
        <v>0.33333333333333331</v>
      </c>
      <c r="F14" s="44">
        <v>0.41666666666666669</v>
      </c>
      <c r="G14" s="44">
        <v>0.66666666666666663</v>
      </c>
      <c r="H14" s="44">
        <v>0.33333333333333331</v>
      </c>
      <c r="I14" s="44">
        <v>0</v>
      </c>
      <c r="J14" s="44">
        <v>0</v>
      </c>
      <c r="K14" s="44">
        <v>1.0416666666666667</v>
      </c>
      <c r="L14" s="44">
        <v>0.83333333333333337</v>
      </c>
      <c r="M14" s="44">
        <v>0.95833333333333337</v>
      </c>
      <c r="N14" s="44">
        <v>1</v>
      </c>
      <c r="O14" s="44">
        <v>0.54166666666666663</v>
      </c>
      <c r="P14" s="44">
        <v>0.70833333333333337</v>
      </c>
      <c r="Q14" s="44">
        <v>0</v>
      </c>
      <c r="R14" s="44">
        <v>0</v>
      </c>
      <c r="S14" s="44">
        <v>0</v>
      </c>
      <c r="T14" s="44">
        <v>0.66666666666666663</v>
      </c>
      <c r="U14" s="61">
        <v>0.58333333333333337</v>
      </c>
      <c r="V14" s="46">
        <f t="shared" si="0"/>
        <v>9.625</v>
      </c>
      <c r="W14" s="73">
        <v>0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5">
        <v>0</v>
      </c>
      <c r="AE14" s="46">
        <f t="shared" si="1"/>
        <v>0</v>
      </c>
      <c r="AF14" s="45">
        <v>0</v>
      </c>
      <c r="AG14" s="46">
        <f t="shared" si="2"/>
        <v>0</v>
      </c>
      <c r="AH14" s="46">
        <f t="shared" si="3"/>
        <v>9.625</v>
      </c>
    </row>
    <row r="15" spans="1:34">
      <c r="A15" s="1" t="s">
        <v>1</v>
      </c>
      <c r="B15" s="38" t="s">
        <v>69</v>
      </c>
      <c r="C15" s="43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0.41666666666666669</v>
      </c>
      <c r="R15" s="44">
        <v>0</v>
      </c>
      <c r="S15" s="44">
        <v>0</v>
      </c>
      <c r="T15" s="44">
        <v>0</v>
      </c>
      <c r="U15" s="61">
        <v>0</v>
      </c>
      <c r="V15" s="46">
        <f t="shared" si="0"/>
        <v>0.41666666666666669</v>
      </c>
      <c r="W15" s="73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5">
        <v>0</v>
      </c>
      <c r="AE15" s="46">
        <f t="shared" si="1"/>
        <v>0</v>
      </c>
      <c r="AF15" s="45">
        <v>0</v>
      </c>
      <c r="AG15" s="46">
        <f t="shared" si="2"/>
        <v>0</v>
      </c>
      <c r="AH15" s="46">
        <f t="shared" si="3"/>
        <v>0.41666666666666669</v>
      </c>
    </row>
    <row r="16" spans="1:34">
      <c r="A16" s="1" t="s">
        <v>1</v>
      </c>
      <c r="B16" s="38" t="s">
        <v>70</v>
      </c>
      <c r="C16" s="43">
        <v>0</v>
      </c>
      <c r="D16" s="44">
        <v>0</v>
      </c>
      <c r="E16" s="44">
        <v>0</v>
      </c>
      <c r="F16" s="44">
        <v>0.5</v>
      </c>
      <c r="G16" s="44">
        <v>0.125</v>
      </c>
      <c r="H16" s="44">
        <v>0.5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0.75</v>
      </c>
      <c r="Q16" s="44">
        <v>0.70833333333333337</v>
      </c>
      <c r="R16" s="44">
        <v>0.41666666666666669</v>
      </c>
      <c r="S16" s="44">
        <v>0.66666666666666663</v>
      </c>
      <c r="T16" s="44">
        <v>0</v>
      </c>
      <c r="U16" s="61">
        <v>0</v>
      </c>
      <c r="V16" s="46">
        <f t="shared" si="0"/>
        <v>3.6666666666666665</v>
      </c>
      <c r="W16" s="73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5">
        <v>0</v>
      </c>
      <c r="AE16" s="46">
        <f t="shared" si="1"/>
        <v>0</v>
      </c>
      <c r="AF16" s="45">
        <v>0</v>
      </c>
      <c r="AG16" s="46">
        <f t="shared" si="2"/>
        <v>0</v>
      </c>
      <c r="AH16" s="46">
        <f t="shared" si="3"/>
        <v>3.6666666666666665</v>
      </c>
    </row>
    <row r="17" spans="1:34">
      <c r="A17" s="1" t="s">
        <v>1</v>
      </c>
      <c r="B17" s="38" t="s">
        <v>71</v>
      </c>
      <c r="C17" s="43">
        <v>0</v>
      </c>
      <c r="D17" s="44">
        <v>0</v>
      </c>
      <c r="E17" s="44">
        <v>0</v>
      </c>
      <c r="F17" s="44">
        <v>0.58333333333333337</v>
      </c>
      <c r="G17" s="44">
        <v>0</v>
      </c>
      <c r="H17" s="44">
        <v>0.20833333333333334</v>
      </c>
      <c r="I17" s="44">
        <v>8.3333333333333329E-2</v>
      </c>
      <c r="J17" s="44">
        <v>0</v>
      </c>
      <c r="K17" s="44">
        <v>0</v>
      </c>
      <c r="L17" s="44">
        <v>0</v>
      </c>
      <c r="M17" s="44">
        <v>0</v>
      </c>
      <c r="N17" s="44">
        <v>0.20833333333333334</v>
      </c>
      <c r="O17" s="44">
        <v>0</v>
      </c>
      <c r="P17" s="44">
        <v>0.16666666666666666</v>
      </c>
      <c r="Q17" s="44">
        <v>0</v>
      </c>
      <c r="R17" s="44">
        <v>0</v>
      </c>
      <c r="S17" s="44">
        <v>0.33333333333333331</v>
      </c>
      <c r="T17" s="44">
        <v>0</v>
      </c>
      <c r="U17" s="61">
        <v>0</v>
      </c>
      <c r="V17" s="46">
        <f t="shared" si="0"/>
        <v>1.5833333333333335</v>
      </c>
      <c r="W17" s="73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5">
        <v>0</v>
      </c>
      <c r="AE17" s="46">
        <f t="shared" si="1"/>
        <v>0</v>
      </c>
      <c r="AF17" s="45">
        <v>0</v>
      </c>
      <c r="AG17" s="46">
        <f t="shared" si="2"/>
        <v>0</v>
      </c>
      <c r="AH17" s="46">
        <f t="shared" si="3"/>
        <v>1.5833333333333335</v>
      </c>
    </row>
    <row r="18" spans="1:34">
      <c r="A18" s="1" t="s">
        <v>1</v>
      </c>
      <c r="B18" s="38" t="s">
        <v>72</v>
      </c>
      <c r="C18" s="43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61">
        <v>0</v>
      </c>
      <c r="V18" s="46">
        <f t="shared" si="0"/>
        <v>0</v>
      </c>
      <c r="W18" s="73">
        <v>0</v>
      </c>
      <c r="X18" s="44">
        <v>0</v>
      </c>
      <c r="Y18" s="44">
        <v>0</v>
      </c>
      <c r="Z18" s="44">
        <v>0.29166666666666669</v>
      </c>
      <c r="AA18" s="44">
        <v>0.29166666666666669</v>
      </c>
      <c r="AB18" s="44">
        <v>0.29166666666666669</v>
      </c>
      <c r="AC18" s="44">
        <v>0</v>
      </c>
      <c r="AD18" s="45">
        <v>0.16666666666666666</v>
      </c>
      <c r="AE18" s="46">
        <f t="shared" si="1"/>
        <v>1.0416666666666667</v>
      </c>
      <c r="AF18" s="45">
        <v>0</v>
      </c>
      <c r="AG18" s="46">
        <f t="shared" si="2"/>
        <v>0</v>
      </c>
      <c r="AH18" s="46">
        <f t="shared" si="3"/>
        <v>1.0416666666666667</v>
      </c>
    </row>
    <row r="19" spans="1:34">
      <c r="A19" s="1" t="s">
        <v>1</v>
      </c>
      <c r="B19" s="5" t="s">
        <v>73</v>
      </c>
      <c r="C19" s="23">
        <v>8.3333333333333329E-2</v>
      </c>
      <c r="D19" s="24">
        <v>0</v>
      </c>
      <c r="E19" s="24">
        <v>0.20833333333333334</v>
      </c>
      <c r="F19" s="24">
        <v>0.54166666666666663</v>
      </c>
      <c r="G19" s="24">
        <v>0.91666666666666663</v>
      </c>
      <c r="H19" s="24">
        <v>1.3333333333333333</v>
      </c>
      <c r="I19" s="24">
        <v>0.33333333333333331</v>
      </c>
      <c r="J19" s="24">
        <v>1.0416666666666667</v>
      </c>
      <c r="K19" s="24">
        <v>0</v>
      </c>
      <c r="L19" s="24">
        <v>0.41666666666666669</v>
      </c>
      <c r="M19" s="24">
        <v>0.625</v>
      </c>
      <c r="N19" s="24">
        <v>0.45833333333333331</v>
      </c>
      <c r="O19" s="24">
        <v>0.54166666666666663</v>
      </c>
      <c r="P19" s="24">
        <v>0.95833333333333337</v>
      </c>
      <c r="Q19" s="24">
        <v>2</v>
      </c>
      <c r="R19" s="24">
        <v>0</v>
      </c>
      <c r="S19" s="24">
        <v>1.375</v>
      </c>
      <c r="T19" s="24">
        <v>0.25</v>
      </c>
      <c r="U19" s="62">
        <v>0.375</v>
      </c>
      <c r="V19" s="7">
        <f t="shared" si="0"/>
        <v>11.458333333333332</v>
      </c>
      <c r="W19" s="74">
        <v>0</v>
      </c>
      <c r="X19" s="24">
        <v>0</v>
      </c>
      <c r="Y19" s="24">
        <v>0</v>
      </c>
      <c r="Z19" s="24">
        <v>0</v>
      </c>
      <c r="AA19" s="24">
        <v>2.0833333333333335</v>
      </c>
      <c r="AB19" s="24">
        <v>2.0833333333333335</v>
      </c>
      <c r="AC19" s="24">
        <v>1.0416666666666667</v>
      </c>
      <c r="AD19" s="6">
        <v>1.0416666666666667</v>
      </c>
      <c r="AE19" s="7">
        <f t="shared" si="1"/>
        <v>6.2500000000000009</v>
      </c>
      <c r="AF19" s="6">
        <v>0</v>
      </c>
      <c r="AG19" s="7">
        <f t="shared" si="2"/>
        <v>0</v>
      </c>
      <c r="AH19" s="7">
        <f t="shared" si="3"/>
        <v>17.708333333333332</v>
      </c>
    </row>
    <row r="20" spans="1:34">
      <c r="A20" s="1" t="s">
        <v>1</v>
      </c>
      <c r="B20" s="14" t="s">
        <v>74</v>
      </c>
      <c r="C20" s="25">
        <v>19</v>
      </c>
      <c r="D20" s="26">
        <v>17</v>
      </c>
      <c r="E20" s="26">
        <v>37</v>
      </c>
      <c r="F20" s="26">
        <v>34</v>
      </c>
      <c r="G20" s="26">
        <v>35</v>
      </c>
      <c r="H20" s="26">
        <v>32</v>
      </c>
      <c r="I20" s="26">
        <v>33</v>
      </c>
      <c r="J20" s="26">
        <v>25</v>
      </c>
      <c r="K20" s="26">
        <v>34</v>
      </c>
      <c r="L20" s="26">
        <v>38</v>
      </c>
      <c r="M20" s="26">
        <v>16</v>
      </c>
      <c r="N20" s="26">
        <v>16</v>
      </c>
      <c r="O20" s="26">
        <v>32</v>
      </c>
      <c r="P20" s="26">
        <v>13</v>
      </c>
      <c r="Q20" s="26">
        <v>25</v>
      </c>
      <c r="R20" s="26">
        <v>14</v>
      </c>
      <c r="S20" s="26">
        <v>11</v>
      </c>
      <c r="T20" s="26">
        <v>14</v>
      </c>
      <c r="U20" s="63">
        <v>0</v>
      </c>
      <c r="V20" s="16"/>
      <c r="W20" s="75">
        <v>21</v>
      </c>
      <c r="X20" s="26">
        <v>39</v>
      </c>
      <c r="Y20" s="26">
        <v>22</v>
      </c>
      <c r="Z20" s="26">
        <v>21</v>
      </c>
      <c r="AA20" s="26">
        <v>5</v>
      </c>
      <c r="AB20" s="26">
        <v>4</v>
      </c>
      <c r="AC20" s="26">
        <v>5</v>
      </c>
      <c r="AD20" s="15">
        <v>19</v>
      </c>
      <c r="AE20" s="16"/>
      <c r="AF20" s="15">
        <v>39</v>
      </c>
      <c r="AG20" s="16"/>
      <c r="AH20" s="16"/>
    </row>
    <row r="21" spans="1:34">
      <c r="A21" s="1" t="s">
        <v>1</v>
      </c>
      <c r="B21" s="47" t="s">
        <v>75</v>
      </c>
      <c r="C21" s="48">
        <v>177000</v>
      </c>
      <c r="D21" s="49">
        <v>187000</v>
      </c>
      <c r="E21" s="49">
        <v>187000</v>
      </c>
      <c r="F21" s="49">
        <v>192000</v>
      </c>
      <c r="G21" s="49">
        <v>187000</v>
      </c>
      <c r="H21" s="49">
        <v>192000</v>
      </c>
      <c r="I21" s="49">
        <v>177000</v>
      </c>
      <c r="J21" s="49">
        <v>177000</v>
      </c>
      <c r="K21" s="49">
        <v>177000</v>
      </c>
      <c r="L21" s="49">
        <v>187000</v>
      </c>
      <c r="M21" s="49">
        <v>177000</v>
      </c>
      <c r="N21" s="49">
        <v>177000</v>
      </c>
      <c r="O21" s="49">
        <v>187000</v>
      </c>
      <c r="P21" s="49">
        <v>170000</v>
      </c>
      <c r="Q21" s="49">
        <v>175000</v>
      </c>
      <c r="R21" s="49">
        <v>170000</v>
      </c>
      <c r="S21" s="49">
        <v>170000</v>
      </c>
      <c r="T21" s="49">
        <v>170000</v>
      </c>
      <c r="U21" s="64">
        <v>170000</v>
      </c>
      <c r="V21" s="51">
        <f t="shared" si="0"/>
        <v>3406000</v>
      </c>
      <c r="W21" s="76">
        <v>355000</v>
      </c>
      <c r="X21" s="49">
        <v>270000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50">
        <v>0</v>
      </c>
      <c r="AE21" s="51">
        <f t="shared" si="1"/>
        <v>625000</v>
      </c>
      <c r="AF21" s="50">
        <v>365000</v>
      </c>
      <c r="AG21" s="51">
        <f t="shared" si="2"/>
        <v>365000</v>
      </c>
      <c r="AH21" s="51">
        <f>SUM(AG21,AE21,V21)</f>
        <v>4396000</v>
      </c>
    </row>
    <row r="22" spans="1:34">
      <c r="A22" s="1" t="s">
        <v>1</v>
      </c>
      <c r="B22" s="38" t="s">
        <v>76</v>
      </c>
      <c r="C22" s="52">
        <v>0</v>
      </c>
      <c r="D22" s="53">
        <v>0</v>
      </c>
      <c r="E22" s="53">
        <v>20000</v>
      </c>
      <c r="F22" s="53">
        <v>20000</v>
      </c>
      <c r="G22" s="53">
        <v>5000</v>
      </c>
      <c r="H22" s="53">
        <v>5000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65">
        <v>0</v>
      </c>
      <c r="V22" s="55">
        <f t="shared" si="0"/>
        <v>50000</v>
      </c>
      <c r="W22" s="77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4">
        <v>0</v>
      </c>
      <c r="AE22" s="55">
        <f t="shared" si="1"/>
        <v>0</v>
      </c>
      <c r="AF22" s="54">
        <v>0</v>
      </c>
      <c r="AG22" s="55">
        <f t="shared" si="2"/>
        <v>0</v>
      </c>
      <c r="AH22" s="55">
        <f t="shared" si="3"/>
        <v>50000</v>
      </c>
    </row>
    <row r="23" spans="1:34">
      <c r="A23" s="1" t="s">
        <v>1</v>
      </c>
      <c r="B23" s="38" t="s">
        <v>77</v>
      </c>
      <c r="C23" s="52">
        <v>0</v>
      </c>
      <c r="D23" s="53">
        <v>0</v>
      </c>
      <c r="E23" s="53">
        <v>3000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0</v>
      </c>
      <c r="U23" s="65">
        <v>0</v>
      </c>
      <c r="V23" s="55">
        <f t="shared" si="0"/>
        <v>3000</v>
      </c>
      <c r="W23" s="77">
        <v>0</v>
      </c>
      <c r="X23" s="53">
        <v>3000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4">
        <v>0</v>
      </c>
      <c r="AE23" s="55">
        <f t="shared" si="1"/>
        <v>3000</v>
      </c>
      <c r="AF23" s="54">
        <v>0</v>
      </c>
      <c r="AG23" s="55">
        <f t="shared" si="2"/>
        <v>0</v>
      </c>
      <c r="AH23" s="55">
        <f t="shared" si="3"/>
        <v>6000</v>
      </c>
    </row>
    <row r="24" spans="1:34">
      <c r="A24" s="1" t="s">
        <v>1</v>
      </c>
      <c r="B24" s="38" t="s">
        <v>78</v>
      </c>
      <c r="C24" s="52">
        <v>0</v>
      </c>
      <c r="D24" s="53">
        <v>0</v>
      </c>
      <c r="E24" s="53">
        <v>92626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32034</v>
      </c>
      <c r="M24" s="53">
        <v>0</v>
      </c>
      <c r="N24" s="53">
        <v>0</v>
      </c>
      <c r="O24" s="53">
        <v>25298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65">
        <v>0</v>
      </c>
      <c r="V24" s="55">
        <f t="shared" si="0"/>
        <v>149958</v>
      </c>
      <c r="W24" s="77">
        <v>0</v>
      </c>
      <c r="X24" s="53">
        <v>0</v>
      </c>
      <c r="Y24" s="53">
        <v>0</v>
      </c>
      <c r="Z24" s="53">
        <v>0</v>
      </c>
      <c r="AA24" s="53">
        <v>0</v>
      </c>
      <c r="AB24" s="53">
        <v>0</v>
      </c>
      <c r="AC24" s="53">
        <v>0</v>
      </c>
      <c r="AD24" s="54">
        <v>0</v>
      </c>
      <c r="AE24" s="55">
        <f t="shared" si="1"/>
        <v>0</v>
      </c>
      <c r="AF24" s="54">
        <v>0</v>
      </c>
      <c r="AG24" s="55">
        <f t="shared" si="2"/>
        <v>0</v>
      </c>
      <c r="AH24" s="55">
        <f t="shared" si="3"/>
        <v>149958</v>
      </c>
    </row>
    <row r="25" spans="1:34">
      <c r="A25" s="1" t="s">
        <v>1</v>
      </c>
      <c r="B25" s="38" t="s">
        <v>79</v>
      </c>
      <c r="C25" s="52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65">
        <v>0</v>
      </c>
      <c r="V25" s="55">
        <f t="shared" si="0"/>
        <v>0</v>
      </c>
      <c r="W25" s="77">
        <v>0</v>
      </c>
      <c r="X25" s="53">
        <v>0</v>
      </c>
      <c r="Y25" s="53">
        <v>87420</v>
      </c>
      <c r="Z25" s="53">
        <v>78720</v>
      </c>
      <c r="AA25" s="53">
        <v>60200</v>
      </c>
      <c r="AB25" s="53">
        <v>60200</v>
      </c>
      <c r="AC25" s="53">
        <v>57620</v>
      </c>
      <c r="AD25" s="54">
        <v>92880</v>
      </c>
      <c r="AE25" s="55">
        <f t="shared" si="1"/>
        <v>437040</v>
      </c>
      <c r="AF25" s="54">
        <v>0</v>
      </c>
      <c r="AG25" s="55">
        <f t="shared" si="2"/>
        <v>0</v>
      </c>
      <c r="AH25" s="55">
        <f t="shared" si="3"/>
        <v>437040</v>
      </c>
    </row>
    <row r="26" spans="1:34">
      <c r="A26" s="1" t="s">
        <v>1</v>
      </c>
      <c r="B26" s="38" t="s">
        <v>80</v>
      </c>
      <c r="C26" s="52">
        <v>2000</v>
      </c>
      <c r="D26" s="53">
        <v>2000</v>
      </c>
      <c r="E26" s="53">
        <v>2000</v>
      </c>
      <c r="F26" s="53">
        <v>2000</v>
      </c>
      <c r="G26" s="53">
        <v>0</v>
      </c>
      <c r="H26" s="53">
        <v>2000</v>
      </c>
      <c r="I26" s="53">
        <v>2000</v>
      </c>
      <c r="J26" s="53">
        <v>2000</v>
      </c>
      <c r="K26" s="53">
        <v>2000</v>
      </c>
      <c r="L26" s="53">
        <v>2000</v>
      </c>
      <c r="M26" s="53">
        <v>1000</v>
      </c>
      <c r="N26" s="53">
        <v>2000</v>
      </c>
      <c r="O26" s="53">
        <v>2000</v>
      </c>
      <c r="P26" s="53">
        <v>2000</v>
      </c>
      <c r="Q26" s="53">
        <v>2000</v>
      </c>
      <c r="R26" s="53">
        <v>0</v>
      </c>
      <c r="S26" s="53">
        <v>0</v>
      </c>
      <c r="T26" s="53">
        <v>0</v>
      </c>
      <c r="U26" s="65">
        <v>0</v>
      </c>
      <c r="V26" s="55">
        <f t="shared" si="0"/>
        <v>27000</v>
      </c>
      <c r="W26" s="77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4">
        <v>0</v>
      </c>
      <c r="AE26" s="55">
        <f t="shared" si="1"/>
        <v>0</v>
      </c>
      <c r="AF26" s="54">
        <v>0</v>
      </c>
      <c r="AG26" s="55">
        <f t="shared" si="2"/>
        <v>0</v>
      </c>
      <c r="AH26" s="55">
        <f t="shared" si="3"/>
        <v>27000</v>
      </c>
    </row>
    <row r="27" spans="1:34">
      <c r="A27" s="1" t="s">
        <v>1</v>
      </c>
      <c r="B27" s="38" t="s">
        <v>81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65">
        <v>0</v>
      </c>
      <c r="V27" s="55">
        <f t="shared" si="0"/>
        <v>0</v>
      </c>
      <c r="W27" s="77">
        <v>0</v>
      </c>
      <c r="X27" s="53">
        <v>0</v>
      </c>
      <c r="Y27" s="53">
        <v>0</v>
      </c>
      <c r="Z27" s="53">
        <v>6720</v>
      </c>
      <c r="AA27" s="53">
        <v>6020</v>
      </c>
      <c r="AB27" s="53">
        <v>6020</v>
      </c>
      <c r="AC27" s="53">
        <v>0</v>
      </c>
      <c r="AD27" s="54">
        <v>3440</v>
      </c>
      <c r="AE27" s="55">
        <f t="shared" si="1"/>
        <v>22200</v>
      </c>
      <c r="AF27" s="54">
        <v>0</v>
      </c>
      <c r="AG27" s="55">
        <f t="shared" si="2"/>
        <v>0</v>
      </c>
      <c r="AH27" s="55">
        <f t="shared" si="3"/>
        <v>22200</v>
      </c>
    </row>
    <row r="28" spans="1:34">
      <c r="A28" s="1" t="s">
        <v>1</v>
      </c>
      <c r="B28" s="38" t="s">
        <v>66</v>
      </c>
      <c r="C28" s="52">
        <v>46900</v>
      </c>
      <c r="D28" s="53">
        <v>66505</v>
      </c>
      <c r="E28" s="53">
        <v>23790</v>
      </c>
      <c r="F28" s="53">
        <v>108868</v>
      </c>
      <c r="G28" s="53">
        <v>66148</v>
      </c>
      <c r="H28" s="53">
        <v>90890</v>
      </c>
      <c r="I28" s="53">
        <v>83080</v>
      </c>
      <c r="J28" s="53">
        <v>65660</v>
      </c>
      <c r="K28" s="53">
        <v>69680</v>
      </c>
      <c r="L28" s="53">
        <v>63675</v>
      </c>
      <c r="M28" s="53">
        <v>57319</v>
      </c>
      <c r="N28" s="53">
        <v>79060</v>
      </c>
      <c r="O28" s="53">
        <v>53770</v>
      </c>
      <c r="P28" s="53">
        <v>78568</v>
      </c>
      <c r="Q28" s="53">
        <v>42400</v>
      </c>
      <c r="R28" s="53">
        <v>36917</v>
      </c>
      <c r="S28" s="53">
        <v>86564</v>
      </c>
      <c r="T28" s="53">
        <v>64923</v>
      </c>
      <c r="U28" s="65">
        <v>53466</v>
      </c>
      <c r="V28" s="55">
        <f t="shared" si="0"/>
        <v>1238183</v>
      </c>
      <c r="W28" s="77">
        <v>0</v>
      </c>
      <c r="X28" s="53">
        <v>100156</v>
      </c>
      <c r="Y28" s="53">
        <v>0</v>
      </c>
      <c r="Z28" s="53">
        <v>0</v>
      </c>
      <c r="AA28" s="53">
        <v>0</v>
      </c>
      <c r="AB28" s="53">
        <v>0</v>
      </c>
      <c r="AC28" s="53">
        <v>2150</v>
      </c>
      <c r="AD28" s="54">
        <v>0</v>
      </c>
      <c r="AE28" s="55">
        <f t="shared" si="1"/>
        <v>102306</v>
      </c>
      <c r="AF28" s="54">
        <v>0</v>
      </c>
      <c r="AG28" s="55">
        <f t="shared" si="2"/>
        <v>0</v>
      </c>
      <c r="AH28" s="55">
        <f t="shared" si="3"/>
        <v>1340489</v>
      </c>
    </row>
    <row r="29" spans="1:34">
      <c r="A29" s="1" t="s">
        <v>1</v>
      </c>
      <c r="B29" s="38" t="s">
        <v>82</v>
      </c>
      <c r="C29" s="52">
        <v>23152</v>
      </c>
      <c r="D29" s="53">
        <v>15280</v>
      </c>
      <c r="E29" s="53">
        <v>15417</v>
      </c>
      <c r="F29" s="53">
        <v>8645</v>
      </c>
      <c r="G29" s="53">
        <v>32613</v>
      </c>
      <c r="H29" s="53">
        <v>62751</v>
      </c>
      <c r="I29" s="53">
        <v>54986</v>
      </c>
      <c r="J29" s="53">
        <v>50645</v>
      </c>
      <c r="K29" s="53">
        <v>30387</v>
      </c>
      <c r="L29" s="53">
        <v>29032</v>
      </c>
      <c r="M29" s="53">
        <v>33097</v>
      </c>
      <c r="N29" s="53">
        <v>21705</v>
      </c>
      <c r="O29" s="53">
        <v>27504</v>
      </c>
      <c r="P29" s="53">
        <v>55640</v>
      </c>
      <c r="Q29" s="53">
        <v>0</v>
      </c>
      <c r="R29" s="53">
        <v>26106</v>
      </c>
      <c r="S29" s="53">
        <v>57708</v>
      </c>
      <c r="T29" s="53">
        <v>42594</v>
      </c>
      <c r="U29" s="65">
        <v>28854</v>
      </c>
      <c r="V29" s="55">
        <f t="shared" si="0"/>
        <v>616116</v>
      </c>
      <c r="W29" s="77">
        <v>0</v>
      </c>
      <c r="X29" s="53">
        <v>59589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4">
        <v>0</v>
      </c>
      <c r="AE29" s="55">
        <f t="shared" si="1"/>
        <v>59589</v>
      </c>
      <c r="AF29" s="54">
        <v>0</v>
      </c>
      <c r="AG29" s="55">
        <f t="shared" si="2"/>
        <v>0</v>
      </c>
      <c r="AH29" s="55">
        <f t="shared" si="3"/>
        <v>675705</v>
      </c>
    </row>
    <row r="30" spans="1:34">
      <c r="A30" s="1" t="s">
        <v>1</v>
      </c>
      <c r="B30" s="38" t="s">
        <v>83</v>
      </c>
      <c r="C30" s="52">
        <v>20258</v>
      </c>
      <c r="D30" s="53">
        <v>35144</v>
      </c>
      <c r="E30" s="53">
        <v>13704</v>
      </c>
      <c r="F30" s="53">
        <v>17290</v>
      </c>
      <c r="G30" s="53">
        <v>24848</v>
      </c>
      <c r="H30" s="53">
        <v>12872</v>
      </c>
      <c r="I30" s="53">
        <v>0</v>
      </c>
      <c r="J30" s="53">
        <v>0</v>
      </c>
      <c r="K30" s="53">
        <v>36175</v>
      </c>
      <c r="L30" s="53">
        <v>30560</v>
      </c>
      <c r="M30" s="53">
        <v>33097</v>
      </c>
      <c r="N30" s="53">
        <v>34728</v>
      </c>
      <c r="O30" s="53">
        <v>19864</v>
      </c>
      <c r="P30" s="53">
        <v>23647</v>
      </c>
      <c r="Q30" s="53">
        <v>0</v>
      </c>
      <c r="R30" s="53">
        <v>0</v>
      </c>
      <c r="S30" s="53">
        <v>0</v>
      </c>
      <c r="T30" s="53">
        <v>21984</v>
      </c>
      <c r="U30" s="65">
        <v>19236</v>
      </c>
      <c r="V30" s="55">
        <f t="shared" si="0"/>
        <v>343407</v>
      </c>
      <c r="W30" s="77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4">
        <v>0</v>
      </c>
      <c r="AE30" s="55">
        <f t="shared" si="1"/>
        <v>0</v>
      </c>
      <c r="AF30" s="54">
        <v>0</v>
      </c>
      <c r="AG30" s="55">
        <f t="shared" si="2"/>
        <v>0</v>
      </c>
      <c r="AH30" s="55">
        <f t="shared" si="3"/>
        <v>343407</v>
      </c>
    </row>
    <row r="31" spans="1:34">
      <c r="A31" s="1" t="s">
        <v>1</v>
      </c>
      <c r="B31" s="38" t="s">
        <v>84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3710</v>
      </c>
      <c r="R31" s="53">
        <v>0</v>
      </c>
      <c r="S31" s="53">
        <v>0</v>
      </c>
      <c r="T31" s="53">
        <v>0</v>
      </c>
      <c r="U31" s="65">
        <v>0</v>
      </c>
      <c r="V31" s="55">
        <f t="shared" si="0"/>
        <v>3710</v>
      </c>
      <c r="W31" s="77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4">
        <v>0</v>
      </c>
      <c r="AE31" s="55">
        <f t="shared" si="1"/>
        <v>0</v>
      </c>
      <c r="AF31" s="54">
        <v>0</v>
      </c>
      <c r="AG31" s="55">
        <f t="shared" si="2"/>
        <v>0</v>
      </c>
      <c r="AH31" s="55">
        <f t="shared" si="3"/>
        <v>3710</v>
      </c>
    </row>
    <row r="32" spans="1:34">
      <c r="A32" s="1" t="s">
        <v>1</v>
      </c>
      <c r="B32" s="38" t="s">
        <v>85</v>
      </c>
      <c r="C32" s="52">
        <v>0</v>
      </c>
      <c r="D32" s="53">
        <v>0</v>
      </c>
      <c r="E32" s="53">
        <v>0</v>
      </c>
      <c r="F32" s="53">
        <v>5376</v>
      </c>
      <c r="G32" s="53">
        <v>1209</v>
      </c>
      <c r="H32" s="53">
        <v>5004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6498</v>
      </c>
      <c r="Q32" s="53">
        <v>6307</v>
      </c>
      <c r="R32" s="53">
        <v>3560</v>
      </c>
      <c r="S32" s="53">
        <v>5696</v>
      </c>
      <c r="T32" s="53">
        <v>0</v>
      </c>
      <c r="U32" s="65">
        <v>0</v>
      </c>
      <c r="V32" s="55">
        <f t="shared" si="0"/>
        <v>33650</v>
      </c>
      <c r="W32" s="77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53">
        <v>0</v>
      </c>
      <c r="AD32" s="54">
        <v>0</v>
      </c>
      <c r="AE32" s="55">
        <f t="shared" si="1"/>
        <v>0</v>
      </c>
      <c r="AF32" s="54">
        <v>0</v>
      </c>
      <c r="AG32" s="55">
        <f t="shared" si="2"/>
        <v>0</v>
      </c>
      <c r="AH32" s="55">
        <f t="shared" si="3"/>
        <v>33650</v>
      </c>
    </row>
    <row r="33" spans="1:34">
      <c r="A33" s="1" t="s">
        <v>1</v>
      </c>
      <c r="B33" s="38" t="s">
        <v>71</v>
      </c>
      <c r="C33" s="52">
        <v>0</v>
      </c>
      <c r="D33" s="53">
        <v>0</v>
      </c>
      <c r="E33" s="53">
        <v>0</v>
      </c>
      <c r="F33" s="53">
        <v>4480</v>
      </c>
      <c r="G33" s="53">
        <v>0</v>
      </c>
      <c r="H33" s="53">
        <v>1490</v>
      </c>
      <c r="I33" s="53">
        <v>536</v>
      </c>
      <c r="J33" s="53">
        <v>0</v>
      </c>
      <c r="K33" s="53">
        <v>0</v>
      </c>
      <c r="L33" s="53">
        <v>0</v>
      </c>
      <c r="M33" s="53">
        <v>0</v>
      </c>
      <c r="N33" s="53">
        <v>1340</v>
      </c>
      <c r="O33" s="53">
        <v>0</v>
      </c>
      <c r="P33" s="53">
        <v>1032</v>
      </c>
      <c r="Q33" s="53">
        <v>0</v>
      </c>
      <c r="R33" s="53">
        <v>0</v>
      </c>
      <c r="S33" s="53">
        <v>2040</v>
      </c>
      <c r="T33" s="53">
        <v>0</v>
      </c>
      <c r="U33" s="65">
        <v>0</v>
      </c>
      <c r="V33" s="55">
        <f t="shared" si="0"/>
        <v>10918</v>
      </c>
      <c r="W33" s="77">
        <v>0</v>
      </c>
      <c r="X33" s="53">
        <v>0</v>
      </c>
      <c r="Y33" s="53">
        <v>0</v>
      </c>
      <c r="Z33" s="53">
        <v>0</v>
      </c>
      <c r="AA33" s="53">
        <v>0</v>
      </c>
      <c r="AB33" s="53">
        <v>0</v>
      </c>
      <c r="AC33" s="53">
        <v>0</v>
      </c>
      <c r="AD33" s="54">
        <v>0</v>
      </c>
      <c r="AE33" s="55">
        <f t="shared" si="1"/>
        <v>0</v>
      </c>
      <c r="AF33" s="54">
        <v>0</v>
      </c>
      <c r="AG33" s="55">
        <f t="shared" si="2"/>
        <v>0</v>
      </c>
      <c r="AH33" s="55">
        <f t="shared" si="3"/>
        <v>10918</v>
      </c>
    </row>
    <row r="34" spans="1:34">
      <c r="A34" s="1" t="s">
        <v>1</v>
      </c>
      <c r="B34" s="5" t="s">
        <v>73</v>
      </c>
      <c r="C34" s="27">
        <v>536</v>
      </c>
      <c r="D34" s="28">
        <v>0</v>
      </c>
      <c r="E34" s="28">
        <v>1585</v>
      </c>
      <c r="F34" s="28">
        <v>4160</v>
      </c>
      <c r="G34" s="28">
        <v>6336</v>
      </c>
      <c r="H34" s="28">
        <v>9536</v>
      </c>
      <c r="I34" s="28">
        <v>2144</v>
      </c>
      <c r="J34" s="28">
        <v>6700</v>
      </c>
      <c r="K34" s="28">
        <v>0</v>
      </c>
      <c r="L34" s="28">
        <v>2830</v>
      </c>
      <c r="M34" s="28">
        <v>4005</v>
      </c>
      <c r="N34" s="28">
        <v>2948</v>
      </c>
      <c r="O34" s="28">
        <v>3679</v>
      </c>
      <c r="P34" s="28">
        <v>5934</v>
      </c>
      <c r="Q34" s="28">
        <v>12720</v>
      </c>
      <c r="R34" s="28">
        <v>0</v>
      </c>
      <c r="S34" s="28">
        <v>8415</v>
      </c>
      <c r="T34" s="28">
        <v>1530</v>
      </c>
      <c r="U34" s="66">
        <v>2295</v>
      </c>
      <c r="V34" s="9">
        <f t="shared" si="0"/>
        <v>75353</v>
      </c>
      <c r="W34" s="78">
        <v>0</v>
      </c>
      <c r="X34" s="28">
        <v>0</v>
      </c>
      <c r="Y34" s="28">
        <v>0</v>
      </c>
      <c r="Z34" s="28">
        <v>0</v>
      </c>
      <c r="AA34" s="28">
        <v>10750</v>
      </c>
      <c r="AB34" s="28">
        <v>10750</v>
      </c>
      <c r="AC34" s="28">
        <v>5375</v>
      </c>
      <c r="AD34" s="8">
        <v>5375</v>
      </c>
      <c r="AE34" s="9">
        <f t="shared" si="1"/>
        <v>32250</v>
      </c>
      <c r="AF34" s="8">
        <v>0</v>
      </c>
      <c r="AG34" s="9">
        <f t="shared" si="2"/>
        <v>0</v>
      </c>
      <c r="AH34" s="9">
        <f t="shared" si="3"/>
        <v>107603</v>
      </c>
    </row>
    <row r="35" spans="1:34">
      <c r="A35" s="1" t="s">
        <v>1</v>
      </c>
      <c r="B35" s="14" t="s">
        <v>86</v>
      </c>
      <c r="C35" s="29">
        <v>269846</v>
      </c>
      <c r="D35" s="30">
        <v>305929</v>
      </c>
      <c r="E35" s="30">
        <v>359122</v>
      </c>
      <c r="F35" s="30">
        <v>362819</v>
      </c>
      <c r="G35" s="30">
        <v>323154</v>
      </c>
      <c r="H35" s="30">
        <v>381543</v>
      </c>
      <c r="I35" s="30">
        <v>319746</v>
      </c>
      <c r="J35" s="30">
        <v>302005</v>
      </c>
      <c r="K35" s="30">
        <v>315242</v>
      </c>
      <c r="L35" s="30">
        <v>347131</v>
      </c>
      <c r="M35" s="30">
        <v>305518</v>
      </c>
      <c r="N35" s="30">
        <v>318781</v>
      </c>
      <c r="O35" s="30">
        <v>319115</v>
      </c>
      <c r="P35" s="30">
        <v>343319</v>
      </c>
      <c r="Q35" s="30">
        <v>242137</v>
      </c>
      <c r="R35" s="30">
        <v>236583</v>
      </c>
      <c r="S35" s="30">
        <v>330423</v>
      </c>
      <c r="T35" s="30">
        <v>301031</v>
      </c>
      <c r="U35" s="67">
        <v>273851</v>
      </c>
      <c r="V35" s="18">
        <f t="shared" si="0"/>
        <v>5957295</v>
      </c>
      <c r="W35" s="79">
        <v>355000</v>
      </c>
      <c r="X35" s="30">
        <v>432745</v>
      </c>
      <c r="Y35" s="30">
        <v>87420</v>
      </c>
      <c r="Z35" s="30">
        <v>85440</v>
      </c>
      <c r="AA35" s="30">
        <v>76970</v>
      </c>
      <c r="AB35" s="30">
        <v>76970</v>
      </c>
      <c r="AC35" s="30">
        <v>65145</v>
      </c>
      <c r="AD35" s="17">
        <v>101695</v>
      </c>
      <c r="AE35" s="18">
        <f t="shared" si="1"/>
        <v>1281385</v>
      </c>
      <c r="AF35" s="17">
        <v>365000</v>
      </c>
      <c r="AG35" s="18">
        <f t="shared" si="2"/>
        <v>365000</v>
      </c>
      <c r="AH35" s="18">
        <f t="shared" si="3"/>
        <v>7603680</v>
      </c>
    </row>
    <row r="36" spans="1:34">
      <c r="A36" s="1" t="s">
        <v>1</v>
      </c>
      <c r="B36" s="47" t="s">
        <v>87</v>
      </c>
      <c r="C36" s="48">
        <v>13360</v>
      </c>
      <c r="D36" s="49">
        <v>3212</v>
      </c>
      <c r="E36" s="49">
        <v>5088</v>
      </c>
      <c r="F36" s="49">
        <v>2955</v>
      </c>
      <c r="G36" s="49">
        <v>14774</v>
      </c>
      <c r="H36" s="49">
        <v>2467</v>
      </c>
      <c r="I36" s="49">
        <v>2570</v>
      </c>
      <c r="J36" s="49">
        <v>1234</v>
      </c>
      <c r="K36" s="49">
        <v>3212</v>
      </c>
      <c r="L36" s="49">
        <v>5139</v>
      </c>
      <c r="M36" s="49">
        <v>6167</v>
      </c>
      <c r="N36" s="49">
        <v>4676</v>
      </c>
      <c r="O36" s="49">
        <v>8016</v>
      </c>
      <c r="P36" s="49">
        <v>6424</v>
      </c>
      <c r="Q36" s="49">
        <v>9173</v>
      </c>
      <c r="R36" s="49">
        <v>7400</v>
      </c>
      <c r="S36" s="49">
        <v>9250</v>
      </c>
      <c r="T36" s="49">
        <v>8350</v>
      </c>
      <c r="U36" s="64">
        <v>2672</v>
      </c>
      <c r="V36" s="51">
        <f t="shared" si="0"/>
        <v>116139</v>
      </c>
      <c r="W36" s="76">
        <v>2313</v>
      </c>
      <c r="X36" s="49">
        <v>6012</v>
      </c>
      <c r="Y36" s="49">
        <v>3084</v>
      </c>
      <c r="Z36" s="49">
        <v>1799</v>
      </c>
      <c r="AA36" s="49">
        <v>3084</v>
      </c>
      <c r="AB36" s="49">
        <v>4111</v>
      </c>
      <c r="AC36" s="49">
        <v>3006</v>
      </c>
      <c r="AD36" s="50">
        <v>7554</v>
      </c>
      <c r="AE36" s="51">
        <f t="shared" si="1"/>
        <v>30963</v>
      </c>
      <c r="AF36" s="50">
        <v>8016</v>
      </c>
      <c r="AG36" s="51">
        <f t="shared" si="2"/>
        <v>8016</v>
      </c>
      <c r="AH36" s="51">
        <f t="shared" si="3"/>
        <v>155118</v>
      </c>
    </row>
    <row r="37" spans="1:34">
      <c r="A37" s="1" t="s">
        <v>1</v>
      </c>
      <c r="B37" s="5" t="s">
        <v>88</v>
      </c>
      <c r="C37" s="27">
        <v>13360</v>
      </c>
      <c r="D37" s="28">
        <v>3212</v>
      </c>
      <c r="E37" s="28">
        <v>5088</v>
      </c>
      <c r="F37" s="28">
        <v>2955</v>
      </c>
      <c r="G37" s="28">
        <v>14774</v>
      </c>
      <c r="H37" s="28">
        <v>2467</v>
      </c>
      <c r="I37" s="28">
        <v>2570</v>
      </c>
      <c r="J37" s="28">
        <v>1234</v>
      </c>
      <c r="K37" s="28">
        <v>3212</v>
      </c>
      <c r="L37" s="28">
        <v>5139</v>
      </c>
      <c r="M37" s="28">
        <v>6167</v>
      </c>
      <c r="N37" s="28">
        <v>4676</v>
      </c>
      <c r="O37" s="28">
        <v>8016</v>
      </c>
      <c r="P37" s="28">
        <v>6424</v>
      </c>
      <c r="Q37" s="28">
        <v>9173</v>
      </c>
      <c r="R37" s="28">
        <v>7400</v>
      </c>
      <c r="S37" s="28">
        <v>9250</v>
      </c>
      <c r="T37" s="28">
        <v>8350</v>
      </c>
      <c r="U37" s="66">
        <v>2672</v>
      </c>
      <c r="V37" s="9">
        <f t="shared" si="0"/>
        <v>116139</v>
      </c>
      <c r="W37" s="78">
        <v>2313</v>
      </c>
      <c r="X37" s="28">
        <v>6012</v>
      </c>
      <c r="Y37" s="28">
        <v>3084</v>
      </c>
      <c r="Z37" s="28">
        <v>1799</v>
      </c>
      <c r="AA37" s="28">
        <v>3084</v>
      </c>
      <c r="AB37" s="28">
        <v>4111</v>
      </c>
      <c r="AC37" s="28">
        <v>3006</v>
      </c>
      <c r="AD37" s="8">
        <v>7554</v>
      </c>
      <c r="AE37" s="9">
        <f t="shared" si="1"/>
        <v>30963</v>
      </c>
      <c r="AF37" s="8">
        <v>8016</v>
      </c>
      <c r="AG37" s="9">
        <f t="shared" si="2"/>
        <v>8016</v>
      </c>
      <c r="AH37" s="9">
        <f t="shared" si="3"/>
        <v>155118</v>
      </c>
    </row>
    <row r="38" spans="1:34">
      <c r="A38" s="1" t="s">
        <v>1</v>
      </c>
      <c r="B38" s="14" t="s">
        <v>89</v>
      </c>
      <c r="C38" s="29">
        <v>283206</v>
      </c>
      <c r="D38" s="30">
        <v>309141</v>
      </c>
      <c r="E38" s="30">
        <v>364210</v>
      </c>
      <c r="F38" s="30">
        <v>365774</v>
      </c>
      <c r="G38" s="30">
        <v>337928</v>
      </c>
      <c r="H38" s="30">
        <v>384010</v>
      </c>
      <c r="I38" s="30">
        <v>322316</v>
      </c>
      <c r="J38" s="30">
        <v>303239</v>
      </c>
      <c r="K38" s="30">
        <v>318454</v>
      </c>
      <c r="L38" s="30">
        <v>352270</v>
      </c>
      <c r="M38" s="30">
        <v>311685</v>
      </c>
      <c r="N38" s="30">
        <v>323457</v>
      </c>
      <c r="O38" s="30">
        <v>327131</v>
      </c>
      <c r="P38" s="30">
        <v>349743</v>
      </c>
      <c r="Q38" s="30">
        <v>251310</v>
      </c>
      <c r="R38" s="30">
        <v>243983</v>
      </c>
      <c r="S38" s="30">
        <v>339673</v>
      </c>
      <c r="T38" s="30">
        <v>309381</v>
      </c>
      <c r="U38" s="67">
        <v>276523</v>
      </c>
      <c r="V38" s="18">
        <f t="shared" si="0"/>
        <v>6073434</v>
      </c>
      <c r="W38" s="79">
        <v>357313</v>
      </c>
      <c r="X38" s="30">
        <v>438757</v>
      </c>
      <c r="Y38" s="30">
        <v>90504</v>
      </c>
      <c r="Z38" s="30">
        <v>87239</v>
      </c>
      <c r="AA38" s="30">
        <v>80054</v>
      </c>
      <c r="AB38" s="30">
        <v>81081</v>
      </c>
      <c r="AC38" s="30">
        <v>68151</v>
      </c>
      <c r="AD38" s="17">
        <v>109249</v>
      </c>
      <c r="AE38" s="18">
        <f t="shared" si="1"/>
        <v>1312348</v>
      </c>
      <c r="AF38" s="17">
        <v>373016</v>
      </c>
      <c r="AG38" s="18">
        <f t="shared" si="2"/>
        <v>373016</v>
      </c>
      <c r="AH38" s="18">
        <f t="shared" si="3"/>
        <v>7758798</v>
      </c>
    </row>
    <row r="39" spans="1:34">
      <c r="A39" s="1" t="s">
        <v>1</v>
      </c>
      <c r="B39" s="47" t="s">
        <v>90</v>
      </c>
      <c r="C39" s="48">
        <v>16320</v>
      </c>
      <c r="D39" s="49">
        <v>19380</v>
      </c>
      <c r="E39" s="49">
        <v>19380</v>
      </c>
      <c r="F39" s="49">
        <v>18360</v>
      </c>
      <c r="G39" s="49">
        <v>16320</v>
      </c>
      <c r="H39" s="49">
        <v>19380</v>
      </c>
      <c r="I39" s="49">
        <v>17340</v>
      </c>
      <c r="J39" s="49">
        <v>16320</v>
      </c>
      <c r="K39" s="49">
        <v>16320</v>
      </c>
      <c r="L39" s="49">
        <v>18360</v>
      </c>
      <c r="M39" s="49">
        <v>15300</v>
      </c>
      <c r="N39" s="49">
        <v>17340</v>
      </c>
      <c r="O39" s="49">
        <v>15300</v>
      </c>
      <c r="P39" s="49">
        <v>17340</v>
      </c>
      <c r="Q39" s="49">
        <v>14280</v>
      </c>
      <c r="R39" s="49">
        <v>13260</v>
      </c>
      <c r="S39" s="49">
        <v>13260</v>
      </c>
      <c r="T39" s="49">
        <v>13260</v>
      </c>
      <c r="U39" s="64">
        <v>13260</v>
      </c>
      <c r="V39" s="51">
        <f t="shared" si="0"/>
        <v>310080</v>
      </c>
      <c r="W39" s="76">
        <v>19380</v>
      </c>
      <c r="X39" s="49">
        <v>20910</v>
      </c>
      <c r="Y39" s="49">
        <v>0</v>
      </c>
      <c r="Z39" s="49">
        <v>0</v>
      </c>
      <c r="AA39" s="49">
        <v>0</v>
      </c>
      <c r="AB39" s="49">
        <v>0</v>
      </c>
      <c r="AC39" s="49">
        <v>0</v>
      </c>
      <c r="AD39" s="50">
        <v>0</v>
      </c>
      <c r="AE39" s="51">
        <f t="shared" si="1"/>
        <v>40290</v>
      </c>
      <c r="AF39" s="50">
        <v>19380</v>
      </c>
      <c r="AG39" s="51">
        <f t="shared" si="2"/>
        <v>19380</v>
      </c>
      <c r="AH39" s="51">
        <f t="shared" si="3"/>
        <v>369750</v>
      </c>
    </row>
    <row r="40" spans="1:34">
      <c r="A40" s="1" t="s">
        <v>1</v>
      </c>
      <c r="B40" s="38" t="s">
        <v>91</v>
      </c>
      <c r="C40" s="52">
        <v>2880</v>
      </c>
      <c r="D40" s="53">
        <v>3420</v>
      </c>
      <c r="E40" s="53">
        <v>3420</v>
      </c>
      <c r="F40" s="53">
        <v>3240</v>
      </c>
      <c r="G40" s="53">
        <v>2880</v>
      </c>
      <c r="H40" s="53">
        <v>3420</v>
      </c>
      <c r="I40" s="53">
        <v>3060</v>
      </c>
      <c r="J40" s="53">
        <v>2880</v>
      </c>
      <c r="K40" s="53">
        <v>2880</v>
      </c>
      <c r="L40" s="53">
        <v>3240</v>
      </c>
      <c r="M40" s="53">
        <v>2700</v>
      </c>
      <c r="N40" s="53">
        <v>3060</v>
      </c>
      <c r="O40" s="53">
        <v>2700</v>
      </c>
      <c r="P40" s="53">
        <v>3060</v>
      </c>
      <c r="Q40" s="53">
        <v>2520</v>
      </c>
      <c r="R40" s="53">
        <v>2340</v>
      </c>
      <c r="S40" s="53">
        <v>2340</v>
      </c>
      <c r="T40" s="53">
        <v>2340</v>
      </c>
      <c r="U40" s="65">
        <v>2340</v>
      </c>
      <c r="V40" s="55">
        <f t="shared" si="0"/>
        <v>54720</v>
      </c>
      <c r="W40" s="77">
        <v>3420</v>
      </c>
      <c r="X40" s="53">
        <v>3690</v>
      </c>
      <c r="Y40" s="53">
        <v>0</v>
      </c>
      <c r="Z40" s="53">
        <v>0</v>
      </c>
      <c r="AA40" s="53">
        <v>0</v>
      </c>
      <c r="AB40" s="53">
        <v>0</v>
      </c>
      <c r="AC40" s="53">
        <v>0</v>
      </c>
      <c r="AD40" s="54">
        <v>0</v>
      </c>
      <c r="AE40" s="55">
        <f t="shared" si="1"/>
        <v>7110</v>
      </c>
      <c r="AF40" s="54">
        <v>3420</v>
      </c>
      <c r="AG40" s="55">
        <f t="shared" si="2"/>
        <v>3420</v>
      </c>
      <c r="AH40" s="55">
        <f t="shared" si="3"/>
        <v>65250</v>
      </c>
    </row>
    <row r="41" spans="1:34">
      <c r="A41" s="1" t="s">
        <v>1</v>
      </c>
      <c r="B41" s="38" t="s">
        <v>92</v>
      </c>
      <c r="C41" s="52">
        <v>29280</v>
      </c>
      <c r="D41" s="53">
        <v>34770</v>
      </c>
      <c r="E41" s="53">
        <v>34770</v>
      </c>
      <c r="F41" s="53">
        <v>32940</v>
      </c>
      <c r="G41" s="53">
        <v>29280</v>
      </c>
      <c r="H41" s="53">
        <v>34770</v>
      </c>
      <c r="I41" s="53">
        <v>31110</v>
      </c>
      <c r="J41" s="53">
        <v>29280</v>
      </c>
      <c r="K41" s="53">
        <v>29280</v>
      </c>
      <c r="L41" s="53">
        <v>32940</v>
      </c>
      <c r="M41" s="53">
        <v>27450</v>
      </c>
      <c r="N41" s="53">
        <v>31110</v>
      </c>
      <c r="O41" s="53">
        <v>27450</v>
      </c>
      <c r="P41" s="53">
        <v>31110</v>
      </c>
      <c r="Q41" s="53">
        <v>25620</v>
      </c>
      <c r="R41" s="53">
        <v>23790</v>
      </c>
      <c r="S41" s="53">
        <v>23790</v>
      </c>
      <c r="T41" s="53">
        <v>23790</v>
      </c>
      <c r="U41" s="65">
        <v>23790</v>
      </c>
      <c r="V41" s="55">
        <f t="shared" si="0"/>
        <v>556320</v>
      </c>
      <c r="W41" s="77">
        <v>34770</v>
      </c>
      <c r="X41" s="53">
        <v>37515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4">
        <v>0</v>
      </c>
      <c r="AE41" s="55">
        <f t="shared" si="1"/>
        <v>72285</v>
      </c>
      <c r="AF41" s="54">
        <v>34770</v>
      </c>
      <c r="AG41" s="55">
        <f t="shared" si="2"/>
        <v>34770</v>
      </c>
      <c r="AH41" s="55">
        <f t="shared" si="3"/>
        <v>663375</v>
      </c>
    </row>
    <row r="42" spans="1:34">
      <c r="A42" s="1" t="s">
        <v>1</v>
      </c>
      <c r="B42" s="5" t="s">
        <v>93</v>
      </c>
      <c r="C42" s="27">
        <v>1699</v>
      </c>
      <c r="D42" s="28">
        <v>1855</v>
      </c>
      <c r="E42" s="28">
        <v>2185</v>
      </c>
      <c r="F42" s="28">
        <v>2195</v>
      </c>
      <c r="G42" s="28">
        <v>2028</v>
      </c>
      <c r="H42" s="28">
        <v>2304</v>
      </c>
      <c r="I42" s="28">
        <v>1934</v>
      </c>
      <c r="J42" s="28">
        <v>1819</v>
      </c>
      <c r="K42" s="28">
        <v>1911</v>
      </c>
      <c r="L42" s="28">
        <v>2114</v>
      </c>
      <c r="M42" s="28">
        <v>1870</v>
      </c>
      <c r="N42" s="28">
        <v>1941</v>
      </c>
      <c r="O42" s="28">
        <v>1963</v>
      </c>
      <c r="P42" s="28">
        <v>2098</v>
      </c>
      <c r="Q42" s="28">
        <v>1508</v>
      </c>
      <c r="R42" s="28">
        <v>1464</v>
      </c>
      <c r="S42" s="28">
        <v>2038</v>
      </c>
      <c r="T42" s="28">
        <v>1856</v>
      </c>
      <c r="U42" s="66">
        <v>1659</v>
      </c>
      <c r="V42" s="9">
        <f t="shared" si="0"/>
        <v>36441</v>
      </c>
      <c r="W42" s="78">
        <v>2144</v>
      </c>
      <c r="X42" s="28">
        <v>2633</v>
      </c>
      <c r="Y42" s="28">
        <v>543</v>
      </c>
      <c r="Z42" s="28">
        <v>523</v>
      </c>
      <c r="AA42" s="28">
        <v>0</v>
      </c>
      <c r="AB42" s="28">
        <v>0</v>
      </c>
      <c r="AC42" s="28">
        <v>0</v>
      </c>
      <c r="AD42" s="8">
        <v>655</v>
      </c>
      <c r="AE42" s="9">
        <f t="shared" si="1"/>
        <v>6498</v>
      </c>
      <c r="AF42" s="8">
        <v>2238</v>
      </c>
      <c r="AG42" s="9">
        <f t="shared" si="2"/>
        <v>2238</v>
      </c>
      <c r="AH42" s="9">
        <f t="shared" si="3"/>
        <v>45177</v>
      </c>
    </row>
    <row r="43" spans="1:34">
      <c r="A43" s="1" t="s">
        <v>1</v>
      </c>
      <c r="B43" s="14" t="s">
        <v>94</v>
      </c>
      <c r="C43" s="29">
        <v>50179</v>
      </c>
      <c r="D43" s="30">
        <v>59425</v>
      </c>
      <c r="E43" s="30">
        <v>59755</v>
      </c>
      <c r="F43" s="30">
        <v>56735</v>
      </c>
      <c r="G43" s="30">
        <v>50508</v>
      </c>
      <c r="H43" s="30">
        <v>59874</v>
      </c>
      <c r="I43" s="30">
        <v>53444</v>
      </c>
      <c r="J43" s="30">
        <v>50299</v>
      </c>
      <c r="K43" s="30">
        <v>50391</v>
      </c>
      <c r="L43" s="30">
        <v>56654</v>
      </c>
      <c r="M43" s="30">
        <v>47320</v>
      </c>
      <c r="N43" s="30">
        <v>53451</v>
      </c>
      <c r="O43" s="30">
        <v>47413</v>
      </c>
      <c r="P43" s="30">
        <v>53608</v>
      </c>
      <c r="Q43" s="30">
        <v>43928</v>
      </c>
      <c r="R43" s="30">
        <v>40854</v>
      </c>
      <c r="S43" s="30">
        <v>41428</v>
      </c>
      <c r="T43" s="30">
        <v>41246</v>
      </c>
      <c r="U43" s="67">
        <v>41049</v>
      </c>
      <c r="V43" s="18">
        <f t="shared" si="0"/>
        <v>957561</v>
      </c>
      <c r="W43" s="79">
        <v>59714</v>
      </c>
      <c r="X43" s="30">
        <v>64748</v>
      </c>
      <c r="Y43" s="30">
        <v>543</v>
      </c>
      <c r="Z43" s="30">
        <v>523</v>
      </c>
      <c r="AA43" s="30">
        <v>0</v>
      </c>
      <c r="AB43" s="30">
        <v>0</v>
      </c>
      <c r="AC43" s="30">
        <v>0</v>
      </c>
      <c r="AD43" s="17">
        <v>655</v>
      </c>
      <c r="AE43" s="18">
        <f t="shared" si="1"/>
        <v>126183</v>
      </c>
      <c r="AF43" s="17">
        <v>59808</v>
      </c>
      <c r="AG43" s="18">
        <f t="shared" si="2"/>
        <v>59808</v>
      </c>
      <c r="AH43" s="18">
        <f t="shared" si="3"/>
        <v>1143552</v>
      </c>
    </row>
    <row r="44" spans="1:34">
      <c r="A44" s="1" t="s">
        <v>1</v>
      </c>
      <c r="B44" s="47" t="s">
        <v>95</v>
      </c>
      <c r="C44" s="48">
        <v>3850</v>
      </c>
      <c r="D44" s="49">
        <v>6430</v>
      </c>
      <c r="E44" s="49">
        <v>6700</v>
      </c>
      <c r="F44" s="49">
        <v>8880</v>
      </c>
      <c r="G44" s="49">
        <v>5740</v>
      </c>
      <c r="H44" s="49">
        <v>10150</v>
      </c>
      <c r="I44" s="49">
        <v>7130</v>
      </c>
      <c r="J44" s="49">
        <v>5000</v>
      </c>
      <c r="K44" s="49">
        <v>7080</v>
      </c>
      <c r="L44" s="49">
        <v>8000</v>
      </c>
      <c r="M44" s="49">
        <v>6840</v>
      </c>
      <c r="N44" s="49">
        <v>7100</v>
      </c>
      <c r="O44" s="49">
        <v>7330</v>
      </c>
      <c r="P44" s="49">
        <v>3120</v>
      </c>
      <c r="Q44" s="49">
        <v>4700</v>
      </c>
      <c r="R44" s="49">
        <v>4610</v>
      </c>
      <c r="S44" s="49">
        <v>6330</v>
      </c>
      <c r="T44" s="49">
        <v>6900</v>
      </c>
      <c r="U44" s="64">
        <v>5940</v>
      </c>
      <c r="V44" s="51">
        <f t="shared" ref="V44:V50" si="4">SUM(C44:U44)</f>
        <v>121830</v>
      </c>
      <c r="W44" s="76">
        <v>8170</v>
      </c>
      <c r="X44" s="49">
        <v>10700</v>
      </c>
      <c r="Y44" s="49">
        <v>50</v>
      </c>
      <c r="Z44" s="49">
        <v>0</v>
      </c>
      <c r="AA44" s="49">
        <v>0</v>
      </c>
      <c r="AB44" s="49">
        <v>0</v>
      </c>
      <c r="AC44" s="49">
        <v>0</v>
      </c>
      <c r="AD44" s="50">
        <v>0</v>
      </c>
      <c r="AE44" s="51">
        <f t="shared" si="1"/>
        <v>18920</v>
      </c>
      <c r="AF44" s="50">
        <v>8800</v>
      </c>
      <c r="AG44" s="51">
        <f t="shared" si="2"/>
        <v>8800</v>
      </c>
      <c r="AH44" s="51">
        <f t="shared" si="3"/>
        <v>149550</v>
      </c>
    </row>
    <row r="45" spans="1:34">
      <c r="A45" s="1" t="s">
        <v>1</v>
      </c>
      <c r="B45" s="38" t="s">
        <v>96</v>
      </c>
      <c r="C45" s="52">
        <v>1300</v>
      </c>
      <c r="D45" s="53">
        <v>1300</v>
      </c>
      <c r="E45" s="53">
        <v>1300</v>
      </c>
      <c r="F45" s="53">
        <v>0</v>
      </c>
      <c r="G45" s="53">
        <v>1300</v>
      </c>
      <c r="H45" s="53">
        <v>1300</v>
      </c>
      <c r="I45" s="53">
        <v>1300</v>
      </c>
      <c r="J45" s="53">
        <v>1300</v>
      </c>
      <c r="K45" s="53">
        <v>1300</v>
      </c>
      <c r="L45" s="53">
        <v>1300</v>
      </c>
      <c r="M45" s="53">
        <v>0</v>
      </c>
      <c r="N45" s="53">
        <v>0</v>
      </c>
      <c r="O45" s="53">
        <v>1300</v>
      </c>
      <c r="P45" s="53">
        <v>1300</v>
      </c>
      <c r="Q45" s="53">
        <v>1300</v>
      </c>
      <c r="R45" s="53">
        <v>0</v>
      </c>
      <c r="S45" s="53">
        <v>1300</v>
      </c>
      <c r="T45" s="53">
        <v>1300</v>
      </c>
      <c r="U45" s="65">
        <v>0</v>
      </c>
      <c r="V45" s="55">
        <f t="shared" si="4"/>
        <v>18200</v>
      </c>
      <c r="W45" s="77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4">
        <v>0</v>
      </c>
      <c r="AE45" s="55">
        <f t="shared" si="1"/>
        <v>0</v>
      </c>
      <c r="AF45" s="54">
        <v>0</v>
      </c>
      <c r="AG45" s="55">
        <f t="shared" si="2"/>
        <v>0</v>
      </c>
      <c r="AH45" s="55">
        <f t="shared" si="3"/>
        <v>18200</v>
      </c>
    </row>
    <row r="46" spans="1:34">
      <c r="A46" s="1" t="s">
        <v>1</v>
      </c>
      <c r="B46" s="5" t="s">
        <v>97</v>
      </c>
      <c r="C46" s="27">
        <v>8900</v>
      </c>
      <c r="D46" s="28">
        <v>1700</v>
      </c>
      <c r="E46" s="28">
        <v>14900</v>
      </c>
      <c r="F46" s="28">
        <v>17400</v>
      </c>
      <c r="G46" s="28">
        <v>10100</v>
      </c>
      <c r="H46" s="28">
        <v>18400</v>
      </c>
      <c r="I46" s="28">
        <v>15400</v>
      </c>
      <c r="J46" s="28">
        <v>10100</v>
      </c>
      <c r="K46" s="28">
        <v>14400</v>
      </c>
      <c r="L46" s="28">
        <v>16400</v>
      </c>
      <c r="M46" s="28">
        <v>10700</v>
      </c>
      <c r="N46" s="28">
        <v>11900</v>
      </c>
      <c r="O46" s="28">
        <v>13500</v>
      </c>
      <c r="P46" s="28">
        <v>5600</v>
      </c>
      <c r="Q46" s="28">
        <v>0</v>
      </c>
      <c r="R46" s="28">
        <v>8700</v>
      </c>
      <c r="S46" s="28">
        <v>3100</v>
      </c>
      <c r="T46" s="28">
        <v>2000</v>
      </c>
      <c r="U46" s="66">
        <v>17400</v>
      </c>
      <c r="V46" s="9">
        <f t="shared" si="4"/>
        <v>200600</v>
      </c>
      <c r="W46" s="78">
        <v>17500</v>
      </c>
      <c r="X46" s="28">
        <v>16400</v>
      </c>
      <c r="Y46" s="28">
        <v>600</v>
      </c>
      <c r="Z46" s="28">
        <v>700</v>
      </c>
      <c r="AA46" s="28">
        <v>6000</v>
      </c>
      <c r="AB46" s="28">
        <v>6000</v>
      </c>
      <c r="AC46" s="28">
        <v>0</v>
      </c>
      <c r="AD46" s="8">
        <v>2700</v>
      </c>
      <c r="AE46" s="9">
        <f t="shared" si="1"/>
        <v>49900</v>
      </c>
      <c r="AF46" s="8">
        <v>17300</v>
      </c>
      <c r="AG46" s="9">
        <f t="shared" si="2"/>
        <v>17300</v>
      </c>
      <c r="AH46" s="9">
        <f t="shared" si="3"/>
        <v>267800</v>
      </c>
    </row>
    <row r="47" spans="1:34">
      <c r="A47" s="1" t="s">
        <v>1</v>
      </c>
      <c r="B47" s="14" t="s">
        <v>98</v>
      </c>
      <c r="C47" s="29">
        <v>64229</v>
      </c>
      <c r="D47" s="30">
        <v>68855</v>
      </c>
      <c r="E47" s="30">
        <v>82655</v>
      </c>
      <c r="F47" s="30">
        <v>83015</v>
      </c>
      <c r="G47" s="30">
        <v>67648</v>
      </c>
      <c r="H47" s="30">
        <v>89724</v>
      </c>
      <c r="I47" s="30">
        <v>77274</v>
      </c>
      <c r="J47" s="30">
        <v>66699</v>
      </c>
      <c r="K47" s="30">
        <v>73171</v>
      </c>
      <c r="L47" s="30">
        <v>82354</v>
      </c>
      <c r="M47" s="30">
        <v>64860</v>
      </c>
      <c r="N47" s="30">
        <v>72451</v>
      </c>
      <c r="O47" s="30">
        <v>69543</v>
      </c>
      <c r="P47" s="30">
        <v>63628</v>
      </c>
      <c r="Q47" s="30">
        <v>49928</v>
      </c>
      <c r="R47" s="30">
        <v>54164</v>
      </c>
      <c r="S47" s="30">
        <v>52158</v>
      </c>
      <c r="T47" s="30">
        <v>51446</v>
      </c>
      <c r="U47" s="67">
        <v>64389</v>
      </c>
      <c r="V47" s="18">
        <f t="shared" si="4"/>
        <v>1298191</v>
      </c>
      <c r="W47" s="79">
        <v>85384</v>
      </c>
      <c r="X47" s="30">
        <v>91848</v>
      </c>
      <c r="Y47" s="30">
        <v>1193</v>
      </c>
      <c r="Z47" s="30">
        <v>1223</v>
      </c>
      <c r="AA47" s="30">
        <v>6000</v>
      </c>
      <c r="AB47" s="30">
        <v>6000</v>
      </c>
      <c r="AC47" s="30">
        <v>0</v>
      </c>
      <c r="AD47" s="17">
        <v>3355</v>
      </c>
      <c r="AE47" s="18">
        <f t="shared" si="1"/>
        <v>195003</v>
      </c>
      <c r="AF47" s="17">
        <v>85908</v>
      </c>
      <c r="AG47" s="18">
        <f t="shared" si="2"/>
        <v>85908</v>
      </c>
      <c r="AH47" s="18">
        <f t="shared" si="3"/>
        <v>1579102</v>
      </c>
    </row>
    <row r="48" spans="1:34">
      <c r="A48" s="1" t="s">
        <v>1</v>
      </c>
      <c r="B48" s="14" t="s">
        <v>99</v>
      </c>
      <c r="C48" s="29">
        <v>219667</v>
      </c>
      <c r="D48" s="30">
        <v>246504</v>
      </c>
      <c r="E48" s="30">
        <v>299367</v>
      </c>
      <c r="F48" s="30">
        <v>306084</v>
      </c>
      <c r="G48" s="30">
        <v>272646</v>
      </c>
      <c r="H48" s="30">
        <v>321669</v>
      </c>
      <c r="I48" s="30">
        <v>266302</v>
      </c>
      <c r="J48" s="30">
        <v>251706</v>
      </c>
      <c r="K48" s="30">
        <v>264851</v>
      </c>
      <c r="L48" s="30">
        <v>290477</v>
      </c>
      <c r="M48" s="30">
        <v>258198</v>
      </c>
      <c r="N48" s="30">
        <v>265330</v>
      </c>
      <c r="O48" s="30">
        <v>271702</v>
      </c>
      <c r="P48" s="30">
        <v>289711</v>
      </c>
      <c r="Q48" s="30">
        <v>198209</v>
      </c>
      <c r="R48" s="30">
        <v>195729</v>
      </c>
      <c r="S48" s="30">
        <v>288995</v>
      </c>
      <c r="T48" s="30">
        <v>259785</v>
      </c>
      <c r="U48" s="67">
        <v>232802</v>
      </c>
      <c r="V48" s="18">
        <f t="shared" si="4"/>
        <v>4999734</v>
      </c>
      <c r="W48" s="79">
        <v>295286</v>
      </c>
      <c r="X48" s="30">
        <v>367997</v>
      </c>
      <c r="Y48" s="30">
        <v>86877</v>
      </c>
      <c r="Z48" s="30">
        <v>84917</v>
      </c>
      <c r="AA48" s="30">
        <v>76970</v>
      </c>
      <c r="AB48" s="30">
        <v>76970</v>
      </c>
      <c r="AC48" s="30">
        <v>65145</v>
      </c>
      <c r="AD48" s="17">
        <v>101040</v>
      </c>
      <c r="AE48" s="18">
        <f t="shared" si="1"/>
        <v>1155202</v>
      </c>
      <c r="AF48" s="17">
        <v>305192</v>
      </c>
      <c r="AG48" s="18">
        <f t="shared" si="2"/>
        <v>305192</v>
      </c>
      <c r="AH48" s="18">
        <f t="shared" si="3"/>
        <v>6460128</v>
      </c>
    </row>
    <row r="49" spans="1:34">
      <c r="A49" s="1" t="s">
        <v>1</v>
      </c>
      <c r="B49" s="14" t="s">
        <v>100</v>
      </c>
      <c r="C49" s="29">
        <v>218977</v>
      </c>
      <c r="D49" s="30">
        <v>240286</v>
      </c>
      <c r="E49" s="30">
        <v>281555</v>
      </c>
      <c r="F49" s="30">
        <v>282759</v>
      </c>
      <c r="G49" s="30">
        <v>270280</v>
      </c>
      <c r="H49" s="30">
        <v>294286</v>
      </c>
      <c r="I49" s="30">
        <v>245042</v>
      </c>
      <c r="J49" s="30">
        <v>236540</v>
      </c>
      <c r="K49" s="30">
        <v>245283</v>
      </c>
      <c r="L49" s="30">
        <v>269916</v>
      </c>
      <c r="M49" s="30">
        <v>246825</v>
      </c>
      <c r="N49" s="30">
        <v>251006</v>
      </c>
      <c r="O49" s="30">
        <v>257588</v>
      </c>
      <c r="P49" s="30">
        <v>286115</v>
      </c>
      <c r="Q49" s="30">
        <v>201382</v>
      </c>
      <c r="R49" s="30">
        <v>189819</v>
      </c>
      <c r="S49" s="30">
        <v>287515</v>
      </c>
      <c r="T49" s="30">
        <v>257935</v>
      </c>
      <c r="U49" s="67">
        <v>212134</v>
      </c>
      <c r="V49" s="18">
        <f t="shared" si="4"/>
        <v>4775243</v>
      </c>
      <c r="W49" s="79">
        <v>271929</v>
      </c>
      <c r="X49" s="30">
        <v>346909</v>
      </c>
      <c r="Y49" s="30">
        <v>89311</v>
      </c>
      <c r="Z49" s="30">
        <v>86016</v>
      </c>
      <c r="AA49" s="30">
        <v>74054</v>
      </c>
      <c r="AB49" s="30">
        <v>75081</v>
      </c>
      <c r="AC49" s="30">
        <v>68151</v>
      </c>
      <c r="AD49" s="17">
        <v>105894</v>
      </c>
      <c r="AE49" s="18">
        <f t="shared" si="1"/>
        <v>1117345</v>
      </c>
      <c r="AF49" s="17">
        <v>287108</v>
      </c>
      <c r="AG49" s="18">
        <f t="shared" si="2"/>
        <v>287108</v>
      </c>
      <c r="AH49" s="18">
        <f t="shared" si="3"/>
        <v>6179696</v>
      </c>
    </row>
    <row r="50" spans="1:34">
      <c r="A50" s="1" t="s">
        <v>1</v>
      </c>
      <c r="B50" s="14" t="s">
        <v>101</v>
      </c>
      <c r="C50" s="29">
        <v>218977</v>
      </c>
      <c r="D50" s="30">
        <v>240286</v>
      </c>
      <c r="E50" s="30">
        <v>281555</v>
      </c>
      <c r="F50" s="30">
        <v>282759</v>
      </c>
      <c r="G50" s="30">
        <v>270280</v>
      </c>
      <c r="H50" s="30">
        <v>294286</v>
      </c>
      <c r="I50" s="30">
        <v>245042</v>
      </c>
      <c r="J50" s="30">
        <v>236540</v>
      </c>
      <c r="K50" s="30">
        <v>245283</v>
      </c>
      <c r="L50" s="30">
        <v>269916</v>
      </c>
      <c r="M50" s="30">
        <v>246825</v>
      </c>
      <c r="N50" s="30">
        <v>251006</v>
      </c>
      <c r="O50" s="30">
        <v>257588</v>
      </c>
      <c r="P50" s="30">
        <v>286115</v>
      </c>
      <c r="Q50" s="30">
        <v>201382</v>
      </c>
      <c r="R50" s="30">
        <v>189819</v>
      </c>
      <c r="S50" s="30">
        <v>287515</v>
      </c>
      <c r="T50" s="30">
        <v>257935</v>
      </c>
      <c r="U50" s="67">
        <v>212134</v>
      </c>
      <c r="V50" s="18">
        <f t="shared" si="4"/>
        <v>4775243</v>
      </c>
      <c r="W50" s="79">
        <v>271929</v>
      </c>
      <c r="X50" s="30">
        <v>346909</v>
      </c>
      <c r="Y50" s="30">
        <v>89311</v>
      </c>
      <c r="Z50" s="30">
        <v>86016</v>
      </c>
      <c r="AA50" s="30">
        <v>74054</v>
      </c>
      <c r="AB50" s="30">
        <v>75081</v>
      </c>
      <c r="AC50" s="30">
        <v>68151</v>
      </c>
      <c r="AD50" s="17">
        <v>105894</v>
      </c>
      <c r="AE50" s="18">
        <f t="shared" si="1"/>
        <v>1117345</v>
      </c>
      <c r="AF50" s="17">
        <v>287108</v>
      </c>
      <c r="AG50" s="18">
        <f t="shared" si="2"/>
        <v>287108</v>
      </c>
      <c r="AH50" s="18">
        <f t="shared" si="3"/>
        <v>6179696</v>
      </c>
    </row>
    <row r="51" spans="1:34">
      <c r="A51" s="1" t="s">
        <v>1</v>
      </c>
      <c r="B51" s="14" t="s">
        <v>102</v>
      </c>
      <c r="C51" s="29">
        <v>1</v>
      </c>
      <c r="D51" s="30">
        <v>0</v>
      </c>
      <c r="E51" s="30">
        <v>1</v>
      </c>
      <c r="F51" s="30">
        <v>0</v>
      </c>
      <c r="G51" s="30">
        <v>1</v>
      </c>
      <c r="H51" s="30">
        <v>0</v>
      </c>
      <c r="I51" s="30">
        <v>0</v>
      </c>
      <c r="J51" s="30">
        <v>1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3</v>
      </c>
      <c r="Q51" s="30">
        <v>0</v>
      </c>
      <c r="R51" s="30">
        <v>0</v>
      </c>
      <c r="S51" s="30">
        <v>1</v>
      </c>
      <c r="T51" s="30">
        <v>0</v>
      </c>
      <c r="U51" s="67">
        <v>0</v>
      </c>
      <c r="V51" s="18"/>
      <c r="W51" s="79">
        <v>0</v>
      </c>
      <c r="X51" s="30">
        <v>1</v>
      </c>
      <c r="Y51" s="30">
        <v>0</v>
      </c>
      <c r="Z51" s="30">
        <v>0</v>
      </c>
      <c r="AA51" s="30">
        <v>1</v>
      </c>
      <c r="AB51" s="30">
        <v>1</v>
      </c>
      <c r="AC51" s="30">
        <v>1</v>
      </c>
      <c r="AD51" s="17">
        <v>1</v>
      </c>
      <c r="AE51" s="18"/>
      <c r="AF51" s="17">
        <v>0</v>
      </c>
      <c r="AG51" s="18"/>
      <c r="AH51" s="18"/>
    </row>
    <row r="52" spans="1:34" ht="19.5" thickBot="1">
      <c r="A52" s="1" t="s">
        <v>1</v>
      </c>
      <c r="B52" s="10" t="s">
        <v>103</v>
      </c>
      <c r="C52" s="31" t="s">
        <v>104</v>
      </c>
      <c r="D52" s="32" t="s">
        <v>104</v>
      </c>
      <c r="E52" s="32" t="s">
        <v>104</v>
      </c>
      <c r="F52" s="32" t="s">
        <v>104</v>
      </c>
      <c r="G52" s="32" t="s">
        <v>104</v>
      </c>
      <c r="H52" s="32" t="s">
        <v>104</v>
      </c>
      <c r="I52" s="32" t="s">
        <v>104</v>
      </c>
      <c r="J52" s="32" t="s">
        <v>104</v>
      </c>
      <c r="K52" s="32" t="s">
        <v>104</v>
      </c>
      <c r="L52" s="32" t="s">
        <v>104</v>
      </c>
      <c r="M52" s="32" t="s">
        <v>104</v>
      </c>
      <c r="N52" s="32" t="s">
        <v>104</v>
      </c>
      <c r="O52" s="32" t="s">
        <v>104</v>
      </c>
      <c r="P52" s="32" t="s">
        <v>104</v>
      </c>
      <c r="Q52" s="32" t="s">
        <v>104</v>
      </c>
      <c r="R52" s="32" t="s">
        <v>104</v>
      </c>
      <c r="S52" s="32" t="s">
        <v>104</v>
      </c>
      <c r="T52" s="32" t="s">
        <v>104</v>
      </c>
      <c r="U52" s="68" t="s">
        <v>104</v>
      </c>
      <c r="V52" s="12"/>
      <c r="W52" s="80" t="s">
        <v>104</v>
      </c>
      <c r="X52" s="32" t="s">
        <v>104</v>
      </c>
      <c r="Y52" s="32" t="s">
        <v>104</v>
      </c>
      <c r="Z52" s="32" t="s">
        <v>104</v>
      </c>
      <c r="AA52" s="32" t="s">
        <v>104</v>
      </c>
      <c r="AB52" s="32" t="s">
        <v>104</v>
      </c>
      <c r="AC52" s="32" t="s">
        <v>104</v>
      </c>
      <c r="AD52" s="11" t="s">
        <v>104</v>
      </c>
      <c r="AE52" s="12"/>
      <c r="AF52" s="11" t="s">
        <v>104</v>
      </c>
      <c r="AG52" s="12"/>
      <c r="AH52" s="12"/>
    </row>
  </sheetData>
  <phoneticPr fontId="4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F2B8-A68A-43C5-92B3-4A0F5AD52D41}">
  <sheetPr>
    <pageSetUpPr fitToPage="1"/>
  </sheetPr>
  <dimension ref="A1:N54"/>
  <sheetViews>
    <sheetView tabSelected="1" workbookViewId="0">
      <pane xSplit="2" ySplit="4" topLeftCell="C44" activePane="bottomRight" state="frozen"/>
      <selection pane="topRight" activeCell="C1" sqref="C1"/>
      <selection pane="bottomLeft" activeCell="A9" sqref="A9"/>
      <selection pane="bottomRight" activeCell="F55" sqref="F55"/>
    </sheetView>
  </sheetViews>
  <sheetFormatPr defaultRowHeight="18.75"/>
  <cols>
    <col min="1" max="1" width="2.375" style="2" customWidth="1"/>
    <col min="2" max="2" width="13.25" style="2" bestFit="1" customWidth="1"/>
    <col min="3" max="14" width="11.5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105</v>
      </c>
    </row>
    <row r="3" spans="1:14">
      <c r="B3" s="13"/>
      <c r="C3" s="69" t="s">
        <v>17</v>
      </c>
      <c r="D3" s="20" t="s">
        <v>4</v>
      </c>
      <c r="E3" s="20" t="s">
        <v>26</v>
      </c>
      <c r="F3" s="20" t="s">
        <v>27</v>
      </c>
      <c r="G3" s="20" t="s">
        <v>24</v>
      </c>
      <c r="H3" s="20" t="s">
        <v>25</v>
      </c>
      <c r="I3" s="20" t="s">
        <v>28</v>
      </c>
      <c r="J3" s="83" t="s">
        <v>29</v>
      </c>
      <c r="K3" s="81" t="s">
        <v>107</v>
      </c>
      <c r="L3" s="83" t="s">
        <v>5</v>
      </c>
      <c r="M3" s="81" t="s">
        <v>107</v>
      </c>
      <c r="N3" s="84" t="s">
        <v>58</v>
      </c>
    </row>
    <row r="4" spans="1:14" ht="19.5" thickBot="1">
      <c r="B4" s="4" t="s">
        <v>30</v>
      </c>
      <c r="C4" s="70" t="s">
        <v>45</v>
      </c>
      <c r="D4" s="22" t="s">
        <v>106</v>
      </c>
      <c r="E4" s="22" t="s">
        <v>54</v>
      </c>
      <c r="F4" s="22" t="s">
        <v>55</v>
      </c>
      <c r="G4" s="22" t="s">
        <v>52</v>
      </c>
      <c r="H4" s="22" t="s">
        <v>53</v>
      </c>
      <c r="I4" s="22" t="s">
        <v>56</v>
      </c>
      <c r="J4" s="3" t="s">
        <v>57</v>
      </c>
      <c r="K4" s="82" t="s">
        <v>109</v>
      </c>
      <c r="L4" s="3" t="s">
        <v>33</v>
      </c>
      <c r="M4" s="82" t="s">
        <v>110</v>
      </c>
      <c r="N4" s="56" t="s">
        <v>111</v>
      </c>
    </row>
    <row r="5" spans="1:14">
      <c r="A5" s="1" t="s">
        <v>1</v>
      </c>
      <c r="B5" s="33" t="s">
        <v>59</v>
      </c>
      <c r="C5" s="71">
        <v>14</v>
      </c>
      <c r="D5" s="35">
        <v>22</v>
      </c>
      <c r="E5" s="35">
        <v>15</v>
      </c>
      <c r="F5" s="35">
        <v>14</v>
      </c>
      <c r="G5" s="35">
        <v>10</v>
      </c>
      <c r="H5" s="35">
        <v>10</v>
      </c>
      <c r="I5" s="35">
        <v>9</v>
      </c>
      <c r="J5" s="36">
        <v>21</v>
      </c>
      <c r="K5" s="37">
        <f>SUM(C5:J5)</f>
        <v>115</v>
      </c>
      <c r="L5" s="36">
        <v>22</v>
      </c>
      <c r="M5" s="37">
        <f>SUM(L5)</f>
        <v>22</v>
      </c>
      <c r="N5" s="37">
        <v>520</v>
      </c>
    </row>
    <row r="6" spans="1:14">
      <c r="A6" s="1" t="s">
        <v>1</v>
      </c>
      <c r="B6" s="38" t="s">
        <v>60</v>
      </c>
      <c r="C6" s="72">
        <v>0</v>
      </c>
      <c r="D6" s="40">
        <v>4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1">
        <v>0</v>
      </c>
      <c r="K6" s="42">
        <f t="shared" ref="K6:K50" si="0">SUM(C6:J6)</f>
        <v>4</v>
      </c>
      <c r="L6" s="41">
        <v>0</v>
      </c>
      <c r="M6" s="42">
        <f t="shared" ref="M6:M50" si="1">SUM(L6)</f>
        <v>0</v>
      </c>
      <c r="N6" s="42">
        <v>50</v>
      </c>
    </row>
    <row r="7" spans="1:14">
      <c r="A7" s="1" t="s">
        <v>1</v>
      </c>
      <c r="B7" s="38" t="s">
        <v>61</v>
      </c>
      <c r="C7" s="72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1">
        <v>0</v>
      </c>
      <c r="K7" s="42">
        <f t="shared" si="0"/>
        <v>0</v>
      </c>
      <c r="L7" s="41">
        <v>0</v>
      </c>
      <c r="M7" s="42">
        <f t="shared" si="1"/>
        <v>0</v>
      </c>
      <c r="N7" s="42">
        <v>38</v>
      </c>
    </row>
    <row r="8" spans="1:14">
      <c r="A8" s="1" t="s">
        <v>1</v>
      </c>
      <c r="B8" s="38" t="s">
        <v>62</v>
      </c>
      <c r="C8" s="72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1">
        <v>0</v>
      </c>
      <c r="K8" s="42">
        <f t="shared" si="0"/>
        <v>0</v>
      </c>
      <c r="L8" s="41">
        <v>0</v>
      </c>
      <c r="M8" s="42">
        <f t="shared" si="1"/>
        <v>0</v>
      </c>
      <c r="N8" s="42">
        <v>11</v>
      </c>
    </row>
    <row r="9" spans="1:14">
      <c r="A9" s="1" t="s">
        <v>1</v>
      </c>
      <c r="B9" s="38" t="s">
        <v>63</v>
      </c>
      <c r="C9" s="72">
        <v>8</v>
      </c>
      <c r="D9" s="40">
        <v>0</v>
      </c>
      <c r="E9" s="40">
        <v>0</v>
      </c>
      <c r="F9" s="40">
        <v>1</v>
      </c>
      <c r="G9" s="40">
        <v>1</v>
      </c>
      <c r="H9" s="40">
        <v>1</v>
      </c>
      <c r="I9" s="40">
        <v>0</v>
      </c>
      <c r="J9" s="41">
        <v>1</v>
      </c>
      <c r="K9" s="42">
        <f t="shared" si="0"/>
        <v>12</v>
      </c>
      <c r="L9" s="41">
        <v>0</v>
      </c>
      <c r="M9" s="42">
        <f t="shared" si="1"/>
        <v>0</v>
      </c>
      <c r="N9" s="42">
        <v>35</v>
      </c>
    </row>
    <row r="10" spans="1:14">
      <c r="A10" s="1" t="s">
        <v>1</v>
      </c>
      <c r="B10" s="38" t="s">
        <v>64</v>
      </c>
      <c r="C10" s="72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1">
        <v>0</v>
      </c>
      <c r="K10" s="42">
        <f t="shared" si="0"/>
        <v>0</v>
      </c>
      <c r="L10" s="41">
        <v>0</v>
      </c>
      <c r="M10" s="42">
        <f t="shared" si="1"/>
        <v>0</v>
      </c>
      <c r="N10" s="42">
        <v>1</v>
      </c>
    </row>
    <row r="11" spans="1:14">
      <c r="A11" s="1" t="s">
        <v>1</v>
      </c>
      <c r="B11" s="38" t="s">
        <v>65</v>
      </c>
      <c r="C11" s="73">
        <v>0</v>
      </c>
      <c r="D11" s="44">
        <v>0</v>
      </c>
      <c r="E11" s="44">
        <v>3.875</v>
      </c>
      <c r="F11" s="44">
        <v>3.4166666666666665</v>
      </c>
      <c r="G11" s="44">
        <v>2.9166666666666665</v>
      </c>
      <c r="H11" s="44">
        <v>2.9166666666666665</v>
      </c>
      <c r="I11" s="44">
        <v>2.7916666666666665</v>
      </c>
      <c r="J11" s="45">
        <v>4.5</v>
      </c>
      <c r="K11" s="46">
        <f t="shared" si="0"/>
        <v>20.416666666666664</v>
      </c>
      <c r="L11" s="45">
        <v>0</v>
      </c>
      <c r="M11" s="46">
        <f t="shared" si="1"/>
        <v>0</v>
      </c>
      <c r="N11" s="46">
        <v>20.416666666666664</v>
      </c>
    </row>
    <row r="12" spans="1:14">
      <c r="A12" s="1" t="s">
        <v>1</v>
      </c>
      <c r="B12" s="38" t="s">
        <v>66</v>
      </c>
      <c r="C12" s="73">
        <v>0</v>
      </c>
      <c r="D12" s="44">
        <v>2.0416666666666665</v>
      </c>
      <c r="E12" s="44">
        <v>0</v>
      </c>
      <c r="F12" s="44">
        <v>0</v>
      </c>
      <c r="G12" s="44">
        <v>0</v>
      </c>
      <c r="H12" s="44">
        <v>0</v>
      </c>
      <c r="I12" s="44">
        <v>8.3333333333333329E-2</v>
      </c>
      <c r="J12" s="45">
        <v>0</v>
      </c>
      <c r="K12" s="46">
        <f t="shared" si="0"/>
        <v>2.125</v>
      </c>
      <c r="L12" s="45">
        <v>0</v>
      </c>
      <c r="M12" s="46">
        <f t="shared" si="1"/>
        <v>0</v>
      </c>
      <c r="N12" s="46">
        <v>39.75</v>
      </c>
    </row>
    <row r="13" spans="1:14">
      <c r="A13" s="1" t="s">
        <v>1</v>
      </c>
      <c r="B13" s="38" t="s">
        <v>67</v>
      </c>
      <c r="C13" s="73">
        <v>0</v>
      </c>
      <c r="D13" s="44">
        <v>1.125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5">
        <v>0</v>
      </c>
      <c r="K13" s="46">
        <f t="shared" si="0"/>
        <v>1.125</v>
      </c>
      <c r="L13" s="45">
        <v>0</v>
      </c>
      <c r="M13" s="46">
        <f t="shared" si="1"/>
        <v>0</v>
      </c>
      <c r="N13" s="46">
        <v>18.708333333333332</v>
      </c>
    </row>
    <row r="14" spans="1:14">
      <c r="A14" s="1" t="s">
        <v>1</v>
      </c>
      <c r="B14" s="38" t="s">
        <v>68</v>
      </c>
      <c r="C14" s="73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5">
        <v>0</v>
      </c>
      <c r="K14" s="46">
        <f t="shared" si="0"/>
        <v>0</v>
      </c>
      <c r="L14" s="45">
        <v>0</v>
      </c>
      <c r="M14" s="46">
        <f t="shared" si="1"/>
        <v>0</v>
      </c>
      <c r="N14" s="46">
        <v>9.625</v>
      </c>
    </row>
    <row r="15" spans="1:14">
      <c r="A15" s="1" t="s">
        <v>1</v>
      </c>
      <c r="B15" s="38" t="s">
        <v>69</v>
      </c>
      <c r="C15" s="73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5">
        <v>0</v>
      </c>
      <c r="K15" s="46">
        <f t="shared" si="0"/>
        <v>0</v>
      </c>
      <c r="L15" s="45">
        <v>0</v>
      </c>
      <c r="M15" s="46">
        <f t="shared" si="1"/>
        <v>0</v>
      </c>
      <c r="N15" s="46">
        <v>0.41666666666666669</v>
      </c>
    </row>
    <row r="16" spans="1:14">
      <c r="A16" s="1" t="s">
        <v>1</v>
      </c>
      <c r="B16" s="38" t="s">
        <v>70</v>
      </c>
      <c r="C16" s="73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5">
        <v>0</v>
      </c>
      <c r="K16" s="46">
        <f t="shared" si="0"/>
        <v>0</v>
      </c>
      <c r="L16" s="45">
        <v>0</v>
      </c>
      <c r="M16" s="46">
        <f t="shared" si="1"/>
        <v>0</v>
      </c>
      <c r="N16" s="46">
        <v>3.6666666666666665</v>
      </c>
    </row>
    <row r="17" spans="1:14">
      <c r="A17" s="1" t="s">
        <v>1</v>
      </c>
      <c r="B17" s="38" t="s">
        <v>71</v>
      </c>
      <c r="C17" s="73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5">
        <v>0</v>
      </c>
      <c r="K17" s="46">
        <f t="shared" si="0"/>
        <v>0</v>
      </c>
      <c r="L17" s="45">
        <v>0</v>
      </c>
      <c r="M17" s="46">
        <f t="shared" si="1"/>
        <v>0</v>
      </c>
      <c r="N17" s="46">
        <v>1.5833333333333335</v>
      </c>
    </row>
    <row r="18" spans="1:14">
      <c r="A18" s="1" t="s">
        <v>1</v>
      </c>
      <c r="B18" s="38" t="s">
        <v>72</v>
      </c>
      <c r="C18" s="73">
        <v>0</v>
      </c>
      <c r="D18" s="44">
        <v>0</v>
      </c>
      <c r="E18" s="44">
        <v>0</v>
      </c>
      <c r="F18" s="44">
        <v>0.29166666666666669</v>
      </c>
      <c r="G18" s="44">
        <v>0.29166666666666669</v>
      </c>
      <c r="H18" s="44">
        <v>0.29166666666666669</v>
      </c>
      <c r="I18" s="44">
        <v>0</v>
      </c>
      <c r="J18" s="45">
        <v>0.16666666666666666</v>
      </c>
      <c r="K18" s="46">
        <f t="shared" si="0"/>
        <v>1.0416666666666667</v>
      </c>
      <c r="L18" s="45">
        <v>0</v>
      </c>
      <c r="M18" s="46">
        <f t="shared" si="1"/>
        <v>0</v>
      </c>
      <c r="N18" s="46">
        <v>1.0416666666666667</v>
      </c>
    </row>
    <row r="19" spans="1:14">
      <c r="A19" s="1" t="s">
        <v>1</v>
      </c>
      <c r="B19" s="5" t="s">
        <v>73</v>
      </c>
      <c r="C19" s="74">
        <v>0</v>
      </c>
      <c r="D19" s="24">
        <v>0</v>
      </c>
      <c r="E19" s="24">
        <v>0</v>
      </c>
      <c r="F19" s="24">
        <v>0</v>
      </c>
      <c r="G19" s="24">
        <v>2.0833333333333335</v>
      </c>
      <c r="H19" s="24">
        <v>2.0833333333333335</v>
      </c>
      <c r="I19" s="24">
        <v>1.0416666666666667</v>
      </c>
      <c r="J19" s="6">
        <v>1.0416666666666667</v>
      </c>
      <c r="K19" s="7">
        <f t="shared" si="0"/>
        <v>6.2500000000000009</v>
      </c>
      <c r="L19" s="6">
        <v>0</v>
      </c>
      <c r="M19" s="7">
        <f t="shared" si="1"/>
        <v>0</v>
      </c>
      <c r="N19" s="7">
        <v>17.708333333333332</v>
      </c>
    </row>
    <row r="20" spans="1:14">
      <c r="A20" s="1" t="s">
        <v>1</v>
      </c>
      <c r="B20" s="14" t="s">
        <v>74</v>
      </c>
      <c r="C20" s="75">
        <v>21</v>
      </c>
      <c r="D20" s="26">
        <v>39</v>
      </c>
      <c r="E20" s="26">
        <v>22</v>
      </c>
      <c r="F20" s="26">
        <v>21</v>
      </c>
      <c r="G20" s="26">
        <v>5</v>
      </c>
      <c r="H20" s="26">
        <v>4</v>
      </c>
      <c r="I20" s="26">
        <v>5</v>
      </c>
      <c r="J20" s="15">
        <v>19</v>
      </c>
      <c r="K20" s="16"/>
      <c r="L20" s="15">
        <v>39</v>
      </c>
      <c r="M20" s="16"/>
      <c r="N20" s="16"/>
    </row>
    <row r="21" spans="1:14">
      <c r="A21" s="1" t="s">
        <v>1</v>
      </c>
      <c r="B21" s="47" t="s">
        <v>75</v>
      </c>
      <c r="C21" s="76">
        <v>355000</v>
      </c>
      <c r="D21" s="49">
        <v>270000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50">
        <v>0</v>
      </c>
      <c r="K21" s="51">
        <f t="shared" si="0"/>
        <v>625000</v>
      </c>
      <c r="L21" s="50">
        <v>365000</v>
      </c>
      <c r="M21" s="51">
        <f t="shared" si="1"/>
        <v>365000</v>
      </c>
      <c r="N21" s="51">
        <v>4396000</v>
      </c>
    </row>
    <row r="22" spans="1:14">
      <c r="A22" s="1" t="s">
        <v>1</v>
      </c>
      <c r="B22" s="38" t="s">
        <v>76</v>
      </c>
      <c r="C22" s="77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4">
        <v>0</v>
      </c>
      <c r="K22" s="55">
        <f t="shared" si="0"/>
        <v>0</v>
      </c>
      <c r="L22" s="54">
        <v>0</v>
      </c>
      <c r="M22" s="55">
        <f t="shared" si="1"/>
        <v>0</v>
      </c>
      <c r="N22" s="55">
        <v>50000</v>
      </c>
    </row>
    <row r="23" spans="1:14">
      <c r="A23" s="1" t="s">
        <v>1</v>
      </c>
      <c r="B23" s="38" t="s">
        <v>77</v>
      </c>
      <c r="C23" s="77">
        <v>0</v>
      </c>
      <c r="D23" s="53">
        <v>3000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4">
        <v>0</v>
      </c>
      <c r="K23" s="55">
        <f t="shared" si="0"/>
        <v>3000</v>
      </c>
      <c r="L23" s="54">
        <v>0</v>
      </c>
      <c r="M23" s="55">
        <f t="shared" si="1"/>
        <v>0</v>
      </c>
      <c r="N23" s="55">
        <v>6000</v>
      </c>
    </row>
    <row r="24" spans="1:14">
      <c r="A24" s="1" t="s">
        <v>1</v>
      </c>
      <c r="B24" s="38" t="s">
        <v>78</v>
      </c>
      <c r="C24" s="77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4">
        <v>0</v>
      </c>
      <c r="K24" s="55">
        <f t="shared" si="0"/>
        <v>0</v>
      </c>
      <c r="L24" s="54">
        <v>0</v>
      </c>
      <c r="M24" s="55">
        <f t="shared" si="1"/>
        <v>0</v>
      </c>
      <c r="N24" s="55">
        <v>149958</v>
      </c>
    </row>
    <row r="25" spans="1:14">
      <c r="A25" s="1" t="s">
        <v>1</v>
      </c>
      <c r="B25" s="38" t="s">
        <v>79</v>
      </c>
      <c r="C25" s="77">
        <v>0</v>
      </c>
      <c r="D25" s="53">
        <v>0</v>
      </c>
      <c r="E25" s="53">
        <v>87420</v>
      </c>
      <c r="F25" s="53">
        <v>78720</v>
      </c>
      <c r="G25" s="53">
        <v>60200</v>
      </c>
      <c r="H25" s="53">
        <v>60200</v>
      </c>
      <c r="I25" s="53">
        <v>57620</v>
      </c>
      <c r="J25" s="54">
        <v>92880</v>
      </c>
      <c r="K25" s="55">
        <f t="shared" si="0"/>
        <v>437040</v>
      </c>
      <c r="L25" s="54">
        <v>0</v>
      </c>
      <c r="M25" s="55">
        <f t="shared" si="1"/>
        <v>0</v>
      </c>
      <c r="N25" s="55">
        <v>437040</v>
      </c>
    </row>
    <row r="26" spans="1:14">
      <c r="A26" s="1" t="s">
        <v>1</v>
      </c>
      <c r="B26" s="38" t="s">
        <v>80</v>
      </c>
      <c r="C26" s="77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4">
        <v>0</v>
      </c>
      <c r="K26" s="55">
        <f t="shared" si="0"/>
        <v>0</v>
      </c>
      <c r="L26" s="54">
        <v>0</v>
      </c>
      <c r="M26" s="55">
        <f t="shared" si="1"/>
        <v>0</v>
      </c>
      <c r="N26" s="55">
        <v>27000</v>
      </c>
    </row>
    <row r="27" spans="1:14">
      <c r="A27" s="1" t="s">
        <v>1</v>
      </c>
      <c r="B27" s="38" t="s">
        <v>81</v>
      </c>
      <c r="C27" s="77">
        <v>0</v>
      </c>
      <c r="D27" s="53">
        <v>0</v>
      </c>
      <c r="E27" s="53">
        <v>0</v>
      </c>
      <c r="F27" s="53">
        <v>6720</v>
      </c>
      <c r="G27" s="53">
        <v>6020</v>
      </c>
      <c r="H27" s="53">
        <v>6020</v>
      </c>
      <c r="I27" s="53">
        <v>0</v>
      </c>
      <c r="J27" s="54">
        <v>3440</v>
      </c>
      <c r="K27" s="55">
        <f t="shared" si="0"/>
        <v>22200</v>
      </c>
      <c r="L27" s="54">
        <v>0</v>
      </c>
      <c r="M27" s="55">
        <f t="shared" si="1"/>
        <v>0</v>
      </c>
      <c r="N27" s="55">
        <v>22200</v>
      </c>
    </row>
    <row r="28" spans="1:14">
      <c r="A28" s="1" t="s">
        <v>1</v>
      </c>
      <c r="B28" s="38" t="s">
        <v>66</v>
      </c>
      <c r="C28" s="77">
        <v>0</v>
      </c>
      <c r="D28" s="53">
        <v>100156</v>
      </c>
      <c r="E28" s="53">
        <v>0</v>
      </c>
      <c r="F28" s="53">
        <v>0</v>
      </c>
      <c r="G28" s="53">
        <v>0</v>
      </c>
      <c r="H28" s="53">
        <v>0</v>
      </c>
      <c r="I28" s="53">
        <v>2150</v>
      </c>
      <c r="J28" s="54">
        <v>0</v>
      </c>
      <c r="K28" s="55">
        <f t="shared" si="0"/>
        <v>102306</v>
      </c>
      <c r="L28" s="54">
        <v>0</v>
      </c>
      <c r="M28" s="55">
        <f t="shared" si="1"/>
        <v>0</v>
      </c>
      <c r="N28" s="55">
        <v>1340489</v>
      </c>
    </row>
    <row r="29" spans="1:14">
      <c r="A29" s="1" t="s">
        <v>1</v>
      </c>
      <c r="B29" s="38" t="s">
        <v>82</v>
      </c>
      <c r="C29" s="77">
        <v>0</v>
      </c>
      <c r="D29" s="53">
        <v>59589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4">
        <v>0</v>
      </c>
      <c r="K29" s="55">
        <f t="shared" si="0"/>
        <v>59589</v>
      </c>
      <c r="L29" s="54">
        <v>0</v>
      </c>
      <c r="M29" s="55">
        <f t="shared" si="1"/>
        <v>0</v>
      </c>
      <c r="N29" s="55">
        <v>675705</v>
      </c>
    </row>
    <row r="30" spans="1:14">
      <c r="A30" s="1" t="s">
        <v>1</v>
      </c>
      <c r="B30" s="38" t="s">
        <v>83</v>
      </c>
      <c r="C30" s="77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4">
        <v>0</v>
      </c>
      <c r="K30" s="55">
        <f t="shared" si="0"/>
        <v>0</v>
      </c>
      <c r="L30" s="54">
        <v>0</v>
      </c>
      <c r="M30" s="55">
        <f t="shared" si="1"/>
        <v>0</v>
      </c>
      <c r="N30" s="55">
        <v>343407</v>
      </c>
    </row>
    <row r="31" spans="1:14">
      <c r="A31" s="1" t="s">
        <v>1</v>
      </c>
      <c r="B31" s="38" t="s">
        <v>84</v>
      </c>
      <c r="C31" s="77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4">
        <v>0</v>
      </c>
      <c r="K31" s="55">
        <f t="shared" si="0"/>
        <v>0</v>
      </c>
      <c r="L31" s="54">
        <v>0</v>
      </c>
      <c r="M31" s="55">
        <f t="shared" si="1"/>
        <v>0</v>
      </c>
      <c r="N31" s="55">
        <v>3710</v>
      </c>
    </row>
    <row r="32" spans="1:14">
      <c r="A32" s="1" t="s">
        <v>1</v>
      </c>
      <c r="B32" s="38" t="s">
        <v>85</v>
      </c>
      <c r="C32" s="77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4">
        <v>0</v>
      </c>
      <c r="K32" s="55">
        <f t="shared" si="0"/>
        <v>0</v>
      </c>
      <c r="L32" s="54">
        <v>0</v>
      </c>
      <c r="M32" s="55">
        <f t="shared" si="1"/>
        <v>0</v>
      </c>
      <c r="N32" s="55">
        <v>33650</v>
      </c>
    </row>
    <row r="33" spans="1:14">
      <c r="A33" s="1" t="s">
        <v>1</v>
      </c>
      <c r="B33" s="38" t="s">
        <v>71</v>
      </c>
      <c r="C33" s="77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4">
        <v>0</v>
      </c>
      <c r="K33" s="55">
        <f t="shared" si="0"/>
        <v>0</v>
      </c>
      <c r="L33" s="54">
        <v>0</v>
      </c>
      <c r="M33" s="55">
        <f t="shared" si="1"/>
        <v>0</v>
      </c>
      <c r="N33" s="55">
        <v>10918</v>
      </c>
    </row>
    <row r="34" spans="1:14">
      <c r="A34" s="1" t="s">
        <v>1</v>
      </c>
      <c r="B34" s="5" t="s">
        <v>73</v>
      </c>
      <c r="C34" s="78">
        <v>0</v>
      </c>
      <c r="D34" s="28">
        <v>0</v>
      </c>
      <c r="E34" s="28">
        <v>0</v>
      </c>
      <c r="F34" s="28">
        <v>0</v>
      </c>
      <c r="G34" s="28">
        <v>10750</v>
      </c>
      <c r="H34" s="28">
        <v>10750</v>
      </c>
      <c r="I34" s="28">
        <v>5375</v>
      </c>
      <c r="J34" s="8">
        <v>5375</v>
      </c>
      <c r="K34" s="9">
        <f t="shared" si="0"/>
        <v>32250</v>
      </c>
      <c r="L34" s="8">
        <v>0</v>
      </c>
      <c r="M34" s="9">
        <f t="shared" si="1"/>
        <v>0</v>
      </c>
      <c r="N34" s="9">
        <v>107603</v>
      </c>
    </row>
    <row r="35" spans="1:14">
      <c r="A35" s="1" t="s">
        <v>1</v>
      </c>
      <c r="B35" s="14" t="s">
        <v>86</v>
      </c>
      <c r="C35" s="79">
        <v>355000</v>
      </c>
      <c r="D35" s="30">
        <v>432745</v>
      </c>
      <c r="E35" s="30">
        <v>87420</v>
      </c>
      <c r="F35" s="30">
        <v>85440</v>
      </c>
      <c r="G35" s="30">
        <v>76970</v>
      </c>
      <c r="H35" s="30">
        <v>76970</v>
      </c>
      <c r="I35" s="30">
        <v>65145</v>
      </c>
      <c r="J35" s="17">
        <v>101695</v>
      </c>
      <c r="K35" s="18">
        <f t="shared" si="0"/>
        <v>1281385</v>
      </c>
      <c r="L35" s="17">
        <v>365000</v>
      </c>
      <c r="M35" s="18">
        <f t="shared" si="1"/>
        <v>365000</v>
      </c>
      <c r="N35" s="18">
        <v>7603680</v>
      </c>
    </row>
    <row r="36" spans="1:14">
      <c r="A36" s="1" t="s">
        <v>1</v>
      </c>
      <c r="B36" s="47" t="s">
        <v>87</v>
      </c>
      <c r="C36" s="76">
        <v>2313</v>
      </c>
      <c r="D36" s="49">
        <v>6012</v>
      </c>
      <c r="E36" s="49">
        <v>3084</v>
      </c>
      <c r="F36" s="49">
        <v>1799</v>
      </c>
      <c r="G36" s="49">
        <v>3084</v>
      </c>
      <c r="H36" s="49">
        <v>4111</v>
      </c>
      <c r="I36" s="49">
        <v>3006</v>
      </c>
      <c r="J36" s="50">
        <v>7554</v>
      </c>
      <c r="K36" s="51">
        <f t="shared" si="0"/>
        <v>30963</v>
      </c>
      <c r="L36" s="50">
        <v>8016</v>
      </c>
      <c r="M36" s="51">
        <f t="shared" si="1"/>
        <v>8016</v>
      </c>
      <c r="N36" s="51">
        <v>155118</v>
      </c>
    </row>
    <row r="37" spans="1:14">
      <c r="A37" s="1" t="s">
        <v>1</v>
      </c>
      <c r="B37" s="5" t="s">
        <v>88</v>
      </c>
      <c r="C37" s="78">
        <v>2313</v>
      </c>
      <c r="D37" s="28">
        <v>6012</v>
      </c>
      <c r="E37" s="28">
        <v>3084</v>
      </c>
      <c r="F37" s="28">
        <v>1799</v>
      </c>
      <c r="G37" s="28">
        <v>3084</v>
      </c>
      <c r="H37" s="28">
        <v>4111</v>
      </c>
      <c r="I37" s="28">
        <v>3006</v>
      </c>
      <c r="J37" s="8">
        <v>7554</v>
      </c>
      <c r="K37" s="9">
        <f t="shared" si="0"/>
        <v>30963</v>
      </c>
      <c r="L37" s="8">
        <v>8016</v>
      </c>
      <c r="M37" s="9">
        <f t="shared" si="1"/>
        <v>8016</v>
      </c>
      <c r="N37" s="9">
        <v>155118</v>
      </c>
    </row>
    <row r="38" spans="1:14">
      <c r="A38" s="1" t="s">
        <v>1</v>
      </c>
      <c r="B38" s="14" t="s">
        <v>89</v>
      </c>
      <c r="C38" s="79">
        <v>357313</v>
      </c>
      <c r="D38" s="30">
        <v>438757</v>
      </c>
      <c r="E38" s="30">
        <v>90504</v>
      </c>
      <c r="F38" s="30">
        <v>87239</v>
      </c>
      <c r="G38" s="30">
        <v>80054</v>
      </c>
      <c r="H38" s="30">
        <v>81081</v>
      </c>
      <c r="I38" s="30">
        <v>68151</v>
      </c>
      <c r="J38" s="17">
        <v>109249</v>
      </c>
      <c r="K38" s="18">
        <f t="shared" si="0"/>
        <v>1312348</v>
      </c>
      <c r="L38" s="17">
        <v>373016</v>
      </c>
      <c r="M38" s="18">
        <f t="shared" si="1"/>
        <v>373016</v>
      </c>
      <c r="N38" s="18">
        <v>7758798</v>
      </c>
    </row>
    <row r="39" spans="1:14">
      <c r="A39" s="1" t="s">
        <v>1</v>
      </c>
      <c r="B39" s="47" t="s">
        <v>90</v>
      </c>
      <c r="C39" s="76">
        <v>19380</v>
      </c>
      <c r="D39" s="49">
        <v>20910</v>
      </c>
      <c r="E39" s="49">
        <v>0</v>
      </c>
      <c r="F39" s="49">
        <v>0</v>
      </c>
      <c r="G39" s="49">
        <v>0</v>
      </c>
      <c r="H39" s="49">
        <v>0</v>
      </c>
      <c r="I39" s="49">
        <v>0</v>
      </c>
      <c r="J39" s="50">
        <v>0</v>
      </c>
      <c r="K39" s="51">
        <f t="shared" si="0"/>
        <v>40290</v>
      </c>
      <c r="L39" s="50">
        <v>19380</v>
      </c>
      <c r="M39" s="51">
        <f t="shared" si="1"/>
        <v>19380</v>
      </c>
      <c r="N39" s="51">
        <v>369750</v>
      </c>
    </row>
    <row r="40" spans="1:14">
      <c r="A40" s="1" t="s">
        <v>1</v>
      </c>
      <c r="B40" s="38" t="s">
        <v>91</v>
      </c>
      <c r="C40" s="77">
        <v>3420</v>
      </c>
      <c r="D40" s="53">
        <v>3690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4">
        <v>0</v>
      </c>
      <c r="K40" s="55">
        <f t="shared" si="0"/>
        <v>7110</v>
      </c>
      <c r="L40" s="54">
        <v>3420</v>
      </c>
      <c r="M40" s="55">
        <f t="shared" si="1"/>
        <v>3420</v>
      </c>
      <c r="N40" s="55">
        <v>65250</v>
      </c>
    </row>
    <row r="41" spans="1:14">
      <c r="A41" s="1" t="s">
        <v>1</v>
      </c>
      <c r="B41" s="38" t="s">
        <v>92</v>
      </c>
      <c r="C41" s="77">
        <v>34770</v>
      </c>
      <c r="D41" s="53">
        <v>37515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4">
        <v>0</v>
      </c>
      <c r="K41" s="55">
        <f t="shared" si="0"/>
        <v>72285</v>
      </c>
      <c r="L41" s="54">
        <v>34770</v>
      </c>
      <c r="M41" s="55">
        <f t="shared" si="1"/>
        <v>34770</v>
      </c>
      <c r="N41" s="55">
        <v>663375</v>
      </c>
    </row>
    <row r="42" spans="1:14">
      <c r="A42" s="1" t="s">
        <v>1</v>
      </c>
      <c r="B42" s="5" t="s">
        <v>93</v>
      </c>
      <c r="C42" s="78">
        <v>2144</v>
      </c>
      <c r="D42" s="28">
        <v>2633</v>
      </c>
      <c r="E42" s="28">
        <v>543</v>
      </c>
      <c r="F42" s="28">
        <v>523</v>
      </c>
      <c r="G42" s="28">
        <v>0</v>
      </c>
      <c r="H42" s="28">
        <v>0</v>
      </c>
      <c r="I42" s="28">
        <v>0</v>
      </c>
      <c r="J42" s="8">
        <v>655</v>
      </c>
      <c r="K42" s="9">
        <f t="shared" si="0"/>
        <v>6498</v>
      </c>
      <c r="L42" s="8">
        <v>2238</v>
      </c>
      <c r="M42" s="9">
        <f t="shared" si="1"/>
        <v>2238</v>
      </c>
      <c r="N42" s="9">
        <v>45177</v>
      </c>
    </row>
    <row r="43" spans="1:14">
      <c r="A43" s="1" t="s">
        <v>1</v>
      </c>
      <c r="B43" s="14" t="s">
        <v>94</v>
      </c>
      <c r="C43" s="79">
        <v>59714</v>
      </c>
      <c r="D43" s="30">
        <v>64748</v>
      </c>
      <c r="E43" s="30">
        <v>543</v>
      </c>
      <c r="F43" s="30">
        <v>523</v>
      </c>
      <c r="G43" s="30">
        <v>0</v>
      </c>
      <c r="H43" s="30">
        <v>0</v>
      </c>
      <c r="I43" s="30">
        <v>0</v>
      </c>
      <c r="J43" s="17">
        <v>655</v>
      </c>
      <c r="K43" s="18">
        <f t="shared" si="0"/>
        <v>126183</v>
      </c>
      <c r="L43" s="17">
        <v>59808</v>
      </c>
      <c r="M43" s="18">
        <f t="shared" si="1"/>
        <v>59808</v>
      </c>
      <c r="N43" s="18">
        <v>1143552</v>
      </c>
    </row>
    <row r="44" spans="1:14">
      <c r="A44" s="1" t="s">
        <v>1</v>
      </c>
      <c r="B44" s="47" t="s">
        <v>95</v>
      </c>
      <c r="C44" s="76">
        <v>8170</v>
      </c>
      <c r="D44" s="49">
        <v>10700</v>
      </c>
      <c r="E44" s="49">
        <v>50</v>
      </c>
      <c r="F44" s="49">
        <v>0</v>
      </c>
      <c r="G44" s="49">
        <v>0</v>
      </c>
      <c r="H44" s="49">
        <v>0</v>
      </c>
      <c r="I44" s="49">
        <v>0</v>
      </c>
      <c r="J44" s="50">
        <v>0</v>
      </c>
      <c r="K44" s="51">
        <f t="shared" si="0"/>
        <v>18920</v>
      </c>
      <c r="L44" s="50">
        <v>8800</v>
      </c>
      <c r="M44" s="51">
        <f t="shared" si="1"/>
        <v>8800</v>
      </c>
      <c r="N44" s="51">
        <v>149550</v>
      </c>
    </row>
    <row r="45" spans="1:14">
      <c r="A45" s="1" t="s">
        <v>1</v>
      </c>
      <c r="B45" s="38" t="s">
        <v>96</v>
      </c>
      <c r="C45" s="77">
        <v>0</v>
      </c>
      <c r="D45" s="53">
        <v>0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4">
        <v>0</v>
      </c>
      <c r="K45" s="55">
        <f t="shared" si="0"/>
        <v>0</v>
      </c>
      <c r="L45" s="54">
        <v>0</v>
      </c>
      <c r="M45" s="55">
        <f t="shared" si="1"/>
        <v>0</v>
      </c>
      <c r="N45" s="55">
        <v>18200</v>
      </c>
    </row>
    <row r="46" spans="1:14">
      <c r="A46" s="1" t="s">
        <v>1</v>
      </c>
      <c r="B46" s="5" t="s">
        <v>97</v>
      </c>
      <c r="C46" s="78">
        <v>17500</v>
      </c>
      <c r="D46" s="28">
        <v>16400</v>
      </c>
      <c r="E46" s="28">
        <v>600</v>
      </c>
      <c r="F46" s="28">
        <v>700</v>
      </c>
      <c r="G46" s="28">
        <v>6000</v>
      </c>
      <c r="H46" s="28">
        <v>6000</v>
      </c>
      <c r="I46" s="28">
        <v>0</v>
      </c>
      <c r="J46" s="8">
        <v>2700</v>
      </c>
      <c r="K46" s="9">
        <f t="shared" si="0"/>
        <v>49900</v>
      </c>
      <c r="L46" s="8">
        <v>17300</v>
      </c>
      <c r="M46" s="9">
        <f t="shared" si="1"/>
        <v>17300</v>
      </c>
      <c r="N46" s="9">
        <v>267800</v>
      </c>
    </row>
    <row r="47" spans="1:14">
      <c r="A47" s="1" t="s">
        <v>1</v>
      </c>
      <c r="B47" s="14" t="s">
        <v>98</v>
      </c>
      <c r="C47" s="79">
        <v>85384</v>
      </c>
      <c r="D47" s="30">
        <v>91848</v>
      </c>
      <c r="E47" s="30">
        <v>1193</v>
      </c>
      <c r="F47" s="30">
        <v>1223</v>
      </c>
      <c r="G47" s="30">
        <v>6000</v>
      </c>
      <c r="H47" s="30">
        <v>6000</v>
      </c>
      <c r="I47" s="30">
        <v>0</v>
      </c>
      <c r="J47" s="17">
        <v>3355</v>
      </c>
      <c r="K47" s="18">
        <f t="shared" si="0"/>
        <v>195003</v>
      </c>
      <c r="L47" s="17">
        <v>85908</v>
      </c>
      <c r="M47" s="18">
        <f t="shared" si="1"/>
        <v>85908</v>
      </c>
      <c r="N47" s="18">
        <v>1579102</v>
      </c>
    </row>
    <row r="48" spans="1:14">
      <c r="A48" s="1" t="s">
        <v>1</v>
      </c>
      <c r="B48" s="14" t="s">
        <v>99</v>
      </c>
      <c r="C48" s="79">
        <v>295286</v>
      </c>
      <c r="D48" s="30">
        <v>367997</v>
      </c>
      <c r="E48" s="30">
        <v>86877</v>
      </c>
      <c r="F48" s="30">
        <v>84917</v>
      </c>
      <c r="G48" s="30">
        <v>76970</v>
      </c>
      <c r="H48" s="30">
        <v>76970</v>
      </c>
      <c r="I48" s="30">
        <v>65145</v>
      </c>
      <c r="J48" s="17">
        <v>101040</v>
      </c>
      <c r="K48" s="18">
        <f t="shared" si="0"/>
        <v>1155202</v>
      </c>
      <c r="L48" s="17">
        <v>305192</v>
      </c>
      <c r="M48" s="18">
        <f t="shared" si="1"/>
        <v>305192</v>
      </c>
      <c r="N48" s="18">
        <v>6460128</v>
      </c>
    </row>
    <row r="49" spans="1:14">
      <c r="A49" s="1" t="s">
        <v>1</v>
      </c>
      <c r="B49" s="14" t="s">
        <v>100</v>
      </c>
      <c r="C49" s="79">
        <v>271929</v>
      </c>
      <c r="D49" s="30">
        <v>346909</v>
      </c>
      <c r="E49" s="30">
        <v>89311</v>
      </c>
      <c r="F49" s="30">
        <v>86016</v>
      </c>
      <c r="G49" s="30">
        <v>74054</v>
      </c>
      <c r="H49" s="30">
        <v>75081</v>
      </c>
      <c r="I49" s="30">
        <v>68151</v>
      </c>
      <c r="J49" s="17">
        <v>105894</v>
      </c>
      <c r="K49" s="18">
        <f t="shared" si="0"/>
        <v>1117345</v>
      </c>
      <c r="L49" s="17">
        <v>287108</v>
      </c>
      <c r="M49" s="18">
        <f t="shared" si="1"/>
        <v>287108</v>
      </c>
      <c r="N49" s="18">
        <v>6179696</v>
      </c>
    </row>
    <row r="50" spans="1:14">
      <c r="A50" s="1" t="s">
        <v>1</v>
      </c>
      <c r="B50" s="14" t="s">
        <v>101</v>
      </c>
      <c r="C50" s="79">
        <v>271929</v>
      </c>
      <c r="D50" s="30">
        <v>346909</v>
      </c>
      <c r="E50" s="30">
        <v>89311</v>
      </c>
      <c r="F50" s="30">
        <v>86016</v>
      </c>
      <c r="G50" s="30">
        <v>74054</v>
      </c>
      <c r="H50" s="30">
        <v>75081</v>
      </c>
      <c r="I50" s="30">
        <v>68151</v>
      </c>
      <c r="J50" s="17">
        <v>105894</v>
      </c>
      <c r="K50" s="18">
        <f t="shared" si="0"/>
        <v>1117345</v>
      </c>
      <c r="L50" s="17">
        <v>287108</v>
      </c>
      <c r="M50" s="18">
        <f t="shared" si="1"/>
        <v>287108</v>
      </c>
      <c r="N50" s="18">
        <v>6179696</v>
      </c>
    </row>
    <row r="51" spans="1:14">
      <c r="A51" s="1" t="s">
        <v>1</v>
      </c>
      <c r="B51" s="14" t="s">
        <v>102</v>
      </c>
      <c r="C51" s="79">
        <v>0</v>
      </c>
      <c r="D51" s="30">
        <v>1</v>
      </c>
      <c r="E51" s="30">
        <v>0</v>
      </c>
      <c r="F51" s="30">
        <v>0</v>
      </c>
      <c r="G51" s="30">
        <v>1</v>
      </c>
      <c r="H51" s="30">
        <v>1</v>
      </c>
      <c r="I51" s="30">
        <v>1</v>
      </c>
      <c r="J51" s="17">
        <v>1</v>
      </c>
      <c r="K51" s="18"/>
      <c r="L51" s="17">
        <v>0</v>
      </c>
      <c r="M51" s="18"/>
      <c r="N51" s="18"/>
    </row>
    <row r="52" spans="1:14" ht="19.5" thickBot="1">
      <c r="A52" s="1" t="s">
        <v>1</v>
      </c>
      <c r="B52" s="10" t="s">
        <v>103</v>
      </c>
      <c r="C52" s="80" t="s">
        <v>104</v>
      </c>
      <c r="D52" s="32" t="s">
        <v>104</v>
      </c>
      <c r="E52" s="32" t="s">
        <v>104</v>
      </c>
      <c r="F52" s="32" t="s">
        <v>104</v>
      </c>
      <c r="G52" s="32" t="s">
        <v>104</v>
      </c>
      <c r="H52" s="32" t="s">
        <v>104</v>
      </c>
      <c r="I52" s="32" t="s">
        <v>104</v>
      </c>
      <c r="J52" s="11" t="s">
        <v>104</v>
      </c>
      <c r="K52" s="12"/>
      <c r="L52" s="11" t="s">
        <v>104</v>
      </c>
      <c r="M52" s="12"/>
      <c r="N52" s="12"/>
    </row>
    <row r="54" spans="1:14">
      <c r="E54" s="2">
        <f>E25/93</f>
        <v>940</v>
      </c>
      <c r="F54" s="2">
        <f>F25/82</f>
        <v>960</v>
      </c>
    </row>
  </sheetData>
  <phoneticPr fontId="3"/>
  <pageMargins left="0.70866141732283472" right="0.70866141732283472" top="0.74803149606299213" bottom="0.74803149606299213" header="0.31496062992125984" footer="0.31496062992125984"/>
  <pageSetup paperSize="12" scale="65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F328-7F39-4AC4-82E6-7C93C9BB260E}">
  <sheetPr>
    <pageSetUpPr fitToPage="1"/>
  </sheetPr>
  <dimension ref="A1:V52"/>
  <sheetViews>
    <sheetView workbookViewId="0">
      <pane xSplit="2" ySplit="4" topLeftCell="K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2" width="11.5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105</v>
      </c>
    </row>
    <row r="3" spans="1:22">
      <c r="B3" s="13"/>
      <c r="C3" s="19" t="s">
        <v>2</v>
      </c>
      <c r="D3" s="20" t="s">
        <v>3</v>
      </c>
      <c r="E3" s="20" t="s">
        <v>6</v>
      </c>
      <c r="F3" s="20" t="s">
        <v>7</v>
      </c>
      <c r="G3" s="20" t="s">
        <v>8</v>
      </c>
      <c r="H3" s="20" t="s">
        <v>9</v>
      </c>
      <c r="I3" s="20" t="s">
        <v>10</v>
      </c>
      <c r="J3" s="20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18</v>
      </c>
      <c r="Q3" s="20" t="s">
        <v>19</v>
      </c>
      <c r="R3" s="20" t="s">
        <v>20</v>
      </c>
      <c r="S3" s="20" t="s">
        <v>21</v>
      </c>
      <c r="T3" s="20" t="s">
        <v>22</v>
      </c>
      <c r="U3" s="57" t="s">
        <v>23</v>
      </c>
      <c r="V3" s="81" t="s">
        <v>107</v>
      </c>
    </row>
    <row r="4" spans="1:22" ht="19.5" thickBot="1">
      <c r="B4" s="4" t="s">
        <v>30</v>
      </c>
      <c r="C4" s="21" t="s">
        <v>31</v>
      </c>
      <c r="D4" s="22" t="s">
        <v>32</v>
      </c>
      <c r="E4" s="22" t="s">
        <v>34</v>
      </c>
      <c r="F4" s="22" t="s">
        <v>35</v>
      </c>
      <c r="G4" s="22" t="s">
        <v>36</v>
      </c>
      <c r="H4" s="22" t="s">
        <v>37</v>
      </c>
      <c r="I4" s="22" t="s">
        <v>38</v>
      </c>
      <c r="J4" s="22" t="s">
        <v>39</v>
      </c>
      <c r="K4" s="22" t="s">
        <v>40</v>
      </c>
      <c r="L4" s="22" t="s">
        <v>41</v>
      </c>
      <c r="M4" s="22" t="s">
        <v>42</v>
      </c>
      <c r="N4" s="22" t="s">
        <v>43</v>
      </c>
      <c r="O4" s="22" t="s">
        <v>44</v>
      </c>
      <c r="P4" s="22" t="s">
        <v>46</v>
      </c>
      <c r="Q4" s="22" t="s">
        <v>47</v>
      </c>
      <c r="R4" s="22" t="s">
        <v>48</v>
      </c>
      <c r="S4" s="22" t="s">
        <v>49</v>
      </c>
      <c r="T4" s="22" t="s">
        <v>50</v>
      </c>
      <c r="U4" s="58" t="s">
        <v>51</v>
      </c>
      <c r="V4" s="82" t="s">
        <v>108</v>
      </c>
    </row>
    <row r="5" spans="1:22">
      <c r="A5" s="1" t="s">
        <v>1</v>
      </c>
      <c r="B5" s="33" t="s">
        <v>59</v>
      </c>
      <c r="C5" s="34">
        <v>22</v>
      </c>
      <c r="D5" s="35">
        <v>21</v>
      </c>
      <c r="E5" s="35">
        <v>20</v>
      </c>
      <c r="F5" s="35">
        <v>20</v>
      </c>
      <c r="G5" s="35">
        <v>19</v>
      </c>
      <c r="H5" s="35">
        <v>18</v>
      </c>
      <c r="I5" s="35">
        <v>21</v>
      </c>
      <c r="J5" s="35">
        <v>20</v>
      </c>
      <c r="K5" s="35">
        <v>20</v>
      </c>
      <c r="L5" s="35">
        <v>21</v>
      </c>
      <c r="M5" s="35">
        <v>20</v>
      </c>
      <c r="N5" s="35">
        <v>21</v>
      </c>
      <c r="O5" s="35">
        <v>22</v>
      </c>
      <c r="P5" s="35">
        <v>17</v>
      </c>
      <c r="Q5" s="35">
        <v>18</v>
      </c>
      <c r="R5" s="35">
        <v>21</v>
      </c>
      <c r="S5" s="35">
        <v>19</v>
      </c>
      <c r="T5" s="35">
        <v>21</v>
      </c>
      <c r="U5" s="59">
        <v>22</v>
      </c>
      <c r="V5" s="37">
        <f>SUM(C5:U5)</f>
        <v>383</v>
      </c>
    </row>
    <row r="6" spans="1:22">
      <c r="A6" s="1" t="s">
        <v>1</v>
      </c>
      <c r="B6" s="38" t="s">
        <v>60</v>
      </c>
      <c r="C6" s="39">
        <v>2</v>
      </c>
      <c r="D6" s="40">
        <v>1</v>
      </c>
      <c r="E6" s="40">
        <v>1</v>
      </c>
      <c r="F6" s="40">
        <v>1</v>
      </c>
      <c r="G6" s="40">
        <v>3</v>
      </c>
      <c r="H6" s="40">
        <v>4</v>
      </c>
      <c r="I6" s="40">
        <v>4</v>
      </c>
      <c r="J6" s="40">
        <v>4</v>
      </c>
      <c r="K6" s="40">
        <v>2</v>
      </c>
      <c r="L6" s="40">
        <v>2</v>
      </c>
      <c r="M6" s="40">
        <v>2</v>
      </c>
      <c r="N6" s="40">
        <v>2</v>
      </c>
      <c r="O6" s="40">
        <v>2</v>
      </c>
      <c r="P6" s="40">
        <v>4</v>
      </c>
      <c r="Q6" s="40">
        <v>1</v>
      </c>
      <c r="R6" s="40">
        <v>2</v>
      </c>
      <c r="S6" s="40">
        <v>4</v>
      </c>
      <c r="T6" s="40">
        <v>3</v>
      </c>
      <c r="U6" s="60">
        <v>2</v>
      </c>
      <c r="V6" s="42">
        <f t="shared" ref="V6:V50" si="0">SUM(C6:U6)</f>
        <v>46</v>
      </c>
    </row>
    <row r="7" spans="1:22">
      <c r="A7" s="1" t="s">
        <v>1</v>
      </c>
      <c r="B7" s="38" t="s">
        <v>61</v>
      </c>
      <c r="C7" s="39">
        <v>2</v>
      </c>
      <c r="D7" s="40">
        <v>3</v>
      </c>
      <c r="E7" s="40">
        <v>1</v>
      </c>
      <c r="F7" s="40">
        <v>2</v>
      </c>
      <c r="G7" s="40">
        <v>3</v>
      </c>
      <c r="H7" s="40">
        <v>2</v>
      </c>
      <c r="I7" s="40">
        <v>0</v>
      </c>
      <c r="J7" s="40">
        <v>0</v>
      </c>
      <c r="K7" s="40">
        <v>3</v>
      </c>
      <c r="L7" s="40">
        <v>2</v>
      </c>
      <c r="M7" s="40">
        <v>2</v>
      </c>
      <c r="N7" s="40">
        <v>3</v>
      </c>
      <c r="O7" s="40">
        <v>2</v>
      </c>
      <c r="P7" s="40">
        <v>4</v>
      </c>
      <c r="Q7" s="40">
        <v>2</v>
      </c>
      <c r="R7" s="40">
        <v>1</v>
      </c>
      <c r="S7" s="40">
        <v>2</v>
      </c>
      <c r="T7" s="40">
        <v>2</v>
      </c>
      <c r="U7" s="60">
        <v>2</v>
      </c>
      <c r="V7" s="42">
        <f t="shared" si="0"/>
        <v>38</v>
      </c>
    </row>
    <row r="8" spans="1:22">
      <c r="A8" s="1" t="s">
        <v>1</v>
      </c>
      <c r="B8" s="38" t="s">
        <v>62</v>
      </c>
      <c r="C8" s="39">
        <v>0</v>
      </c>
      <c r="D8" s="40">
        <v>0</v>
      </c>
      <c r="E8" s="40">
        <v>0</v>
      </c>
      <c r="F8" s="40">
        <v>1</v>
      </c>
      <c r="G8" s="40">
        <v>1</v>
      </c>
      <c r="H8" s="40">
        <v>1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2</v>
      </c>
      <c r="Q8" s="40">
        <v>3</v>
      </c>
      <c r="R8" s="40">
        <v>1</v>
      </c>
      <c r="S8" s="40">
        <v>2</v>
      </c>
      <c r="T8" s="40">
        <v>0</v>
      </c>
      <c r="U8" s="60">
        <v>0</v>
      </c>
      <c r="V8" s="42">
        <f t="shared" si="0"/>
        <v>11</v>
      </c>
    </row>
    <row r="9" spans="1:22">
      <c r="A9" s="1" t="s">
        <v>1</v>
      </c>
      <c r="B9" s="38" t="s">
        <v>63</v>
      </c>
      <c r="C9" s="39">
        <v>0</v>
      </c>
      <c r="D9" s="40">
        <v>1</v>
      </c>
      <c r="E9" s="40">
        <v>2</v>
      </c>
      <c r="F9" s="40">
        <v>1</v>
      </c>
      <c r="G9" s="40">
        <v>2</v>
      </c>
      <c r="H9" s="40">
        <v>3</v>
      </c>
      <c r="I9" s="40">
        <v>1</v>
      </c>
      <c r="J9" s="40">
        <v>2</v>
      </c>
      <c r="K9" s="40">
        <v>2</v>
      </c>
      <c r="L9" s="40">
        <v>1</v>
      </c>
      <c r="M9" s="40">
        <v>2</v>
      </c>
      <c r="N9" s="40">
        <v>1</v>
      </c>
      <c r="O9" s="40">
        <v>0</v>
      </c>
      <c r="P9" s="40">
        <v>3</v>
      </c>
      <c r="Q9" s="40">
        <v>1</v>
      </c>
      <c r="R9" s="40">
        <v>0</v>
      </c>
      <c r="S9" s="40">
        <v>0</v>
      </c>
      <c r="T9" s="40">
        <v>1</v>
      </c>
      <c r="U9" s="60">
        <v>0</v>
      </c>
      <c r="V9" s="42">
        <f t="shared" si="0"/>
        <v>23</v>
      </c>
    </row>
    <row r="10" spans="1:22">
      <c r="A10" s="1" t="s">
        <v>1</v>
      </c>
      <c r="B10" s="38" t="s">
        <v>64</v>
      </c>
      <c r="C10" s="39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1</v>
      </c>
      <c r="T10" s="40">
        <v>0</v>
      </c>
      <c r="U10" s="60">
        <v>0</v>
      </c>
      <c r="V10" s="42">
        <f t="shared" si="0"/>
        <v>1</v>
      </c>
    </row>
    <row r="11" spans="1:22">
      <c r="A11" s="1" t="s">
        <v>1</v>
      </c>
      <c r="B11" s="38" t="s">
        <v>65</v>
      </c>
      <c r="C11" s="43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61">
        <v>0</v>
      </c>
      <c r="V11" s="46">
        <f t="shared" si="0"/>
        <v>0</v>
      </c>
    </row>
    <row r="12" spans="1:22">
      <c r="A12" s="1" t="s">
        <v>1</v>
      </c>
      <c r="B12" s="38" t="s">
        <v>66</v>
      </c>
      <c r="C12" s="43">
        <v>1.4583333333333333</v>
      </c>
      <c r="D12" s="44">
        <v>1.9583333333333335</v>
      </c>
      <c r="E12" s="44">
        <v>0.625</v>
      </c>
      <c r="F12" s="44">
        <v>2.8333333333333335</v>
      </c>
      <c r="G12" s="44">
        <v>1.9166666666666665</v>
      </c>
      <c r="H12" s="44">
        <v>2.5416666666666665</v>
      </c>
      <c r="I12" s="44">
        <v>2.5833333333333335</v>
      </c>
      <c r="J12" s="44">
        <v>2.0416666666666665</v>
      </c>
      <c r="K12" s="44">
        <v>2.1666666666666665</v>
      </c>
      <c r="L12" s="44">
        <v>1.875</v>
      </c>
      <c r="M12" s="44">
        <v>1.7916666666666665</v>
      </c>
      <c r="N12" s="44">
        <v>2.4583333333333335</v>
      </c>
      <c r="O12" s="44">
        <v>1.5833333333333335</v>
      </c>
      <c r="P12" s="44">
        <v>2.5416666666666665</v>
      </c>
      <c r="Q12" s="44">
        <v>1.3333333333333333</v>
      </c>
      <c r="R12" s="44">
        <v>1.2083333333333333</v>
      </c>
      <c r="S12" s="44">
        <v>2.8333333333333335</v>
      </c>
      <c r="T12" s="44">
        <v>2.125</v>
      </c>
      <c r="U12" s="61">
        <v>1.75</v>
      </c>
      <c r="V12" s="46">
        <f t="shared" si="0"/>
        <v>37.625</v>
      </c>
    </row>
    <row r="13" spans="1:22">
      <c r="A13" s="1" t="s">
        <v>1</v>
      </c>
      <c r="B13" s="38" t="s">
        <v>67</v>
      </c>
      <c r="C13" s="43">
        <v>0.66666666666666663</v>
      </c>
      <c r="D13" s="44">
        <v>0.41666666666666669</v>
      </c>
      <c r="E13" s="44">
        <v>0.375</v>
      </c>
      <c r="F13" s="44">
        <v>0.20833333333333334</v>
      </c>
      <c r="G13" s="44">
        <v>0.875</v>
      </c>
      <c r="H13" s="44">
        <v>1.625</v>
      </c>
      <c r="I13" s="44">
        <v>1.5833333333333335</v>
      </c>
      <c r="J13" s="44">
        <v>1.4583333333333333</v>
      </c>
      <c r="K13" s="44">
        <v>0.875</v>
      </c>
      <c r="L13" s="44">
        <v>0.79166666666666663</v>
      </c>
      <c r="M13" s="44">
        <v>0.95833333333333337</v>
      </c>
      <c r="N13" s="44">
        <v>0.625</v>
      </c>
      <c r="O13" s="44">
        <v>0.75</v>
      </c>
      <c r="P13" s="44">
        <v>1.6666666666666665</v>
      </c>
      <c r="Q13" s="44">
        <v>0</v>
      </c>
      <c r="R13" s="44">
        <v>0.79166666666666663</v>
      </c>
      <c r="S13" s="44">
        <v>1.75</v>
      </c>
      <c r="T13" s="44">
        <v>1.2916666666666667</v>
      </c>
      <c r="U13" s="61">
        <v>0.875</v>
      </c>
      <c r="V13" s="46">
        <f t="shared" si="0"/>
        <v>17.583333333333332</v>
      </c>
    </row>
    <row r="14" spans="1:22">
      <c r="A14" s="1" t="s">
        <v>1</v>
      </c>
      <c r="B14" s="38" t="s">
        <v>68</v>
      </c>
      <c r="C14" s="43">
        <v>0.58333333333333337</v>
      </c>
      <c r="D14" s="44">
        <v>0.95833333333333337</v>
      </c>
      <c r="E14" s="44">
        <v>0.33333333333333331</v>
      </c>
      <c r="F14" s="44">
        <v>0.41666666666666669</v>
      </c>
      <c r="G14" s="44">
        <v>0.66666666666666663</v>
      </c>
      <c r="H14" s="44">
        <v>0.33333333333333331</v>
      </c>
      <c r="I14" s="44">
        <v>0</v>
      </c>
      <c r="J14" s="44">
        <v>0</v>
      </c>
      <c r="K14" s="44">
        <v>1.0416666666666667</v>
      </c>
      <c r="L14" s="44">
        <v>0.83333333333333337</v>
      </c>
      <c r="M14" s="44">
        <v>0.95833333333333337</v>
      </c>
      <c r="N14" s="44">
        <v>1</v>
      </c>
      <c r="O14" s="44">
        <v>0.54166666666666663</v>
      </c>
      <c r="P14" s="44">
        <v>0.70833333333333337</v>
      </c>
      <c r="Q14" s="44">
        <v>0</v>
      </c>
      <c r="R14" s="44">
        <v>0</v>
      </c>
      <c r="S14" s="44">
        <v>0</v>
      </c>
      <c r="T14" s="44">
        <v>0.66666666666666663</v>
      </c>
      <c r="U14" s="61">
        <v>0.58333333333333337</v>
      </c>
      <c r="V14" s="46">
        <f t="shared" si="0"/>
        <v>9.625</v>
      </c>
    </row>
    <row r="15" spans="1:22">
      <c r="A15" s="1" t="s">
        <v>1</v>
      </c>
      <c r="B15" s="38" t="s">
        <v>69</v>
      </c>
      <c r="C15" s="43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0.41666666666666669</v>
      </c>
      <c r="R15" s="44">
        <v>0</v>
      </c>
      <c r="S15" s="44">
        <v>0</v>
      </c>
      <c r="T15" s="44">
        <v>0</v>
      </c>
      <c r="U15" s="61">
        <v>0</v>
      </c>
      <c r="V15" s="46">
        <f t="shared" si="0"/>
        <v>0.41666666666666669</v>
      </c>
    </row>
    <row r="16" spans="1:22">
      <c r="A16" s="1" t="s">
        <v>1</v>
      </c>
      <c r="B16" s="38" t="s">
        <v>70</v>
      </c>
      <c r="C16" s="43">
        <v>0</v>
      </c>
      <c r="D16" s="44">
        <v>0</v>
      </c>
      <c r="E16" s="44">
        <v>0</v>
      </c>
      <c r="F16" s="44">
        <v>0.5</v>
      </c>
      <c r="G16" s="44">
        <v>0.125</v>
      </c>
      <c r="H16" s="44">
        <v>0.5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0.75</v>
      </c>
      <c r="Q16" s="44">
        <v>0.70833333333333337</v>
      </c>
      <c r="R16" s="44">
        <v>0.41666666666666669</v>
      </c>
      <c r="S16" s="44">
        <v>0.66666666666666663</v>
      </c>
      <c r="T16" s="44">
        <v>0</v>
      </c>
      <c r="U16" s="61">
        <v>0</v>
      </c>
      <c r="V16" s="46">
        <f t="shared" si="0"/>
        <v>3.6666666666666665</v>
      </c>
    </row>
    <row r="17" spans="1:22">
      <c r="A17" s="1" t="s">
        <v>1</v>
      </c>
      <c r="B17" s="38" t="s">
        <v>71</v>
      </c>
      <c r="C17" s="43">
        <v>0</v>
      </c>
      <c r="D17" s="44">
        <v>0</v>
      </c>
      <c r="E17" s="44">
        <v>0</v>
      </c>
      <c r="F17" s="44">
        <v>0.58333333333333337</v>
      </c>
      <c r="G17" s="44">
        <v>0</v>
      </c>
      <c r="H17" s="44">
        <v>0.20833333333333334</v>
      </c>
      <c r="I17" s="44">
        <v>8.3333333333333329E-2</v>
      </c>
      <c r="J17" s="44">
        <v>0</v>
      </c>
      <c r="K17" s="44">
        <v>0</v>
      </c>
      <c r="L17" s="44">
        <v>0</v>
      </c>
      <c r="M17" s="44">
        <v>0</v>
      </c>
      <c r="N17" s="44">
        <v>0.20833333333333334</v>
      </c>
      <c r="O17" s="44">
        <v>0</v>
      </c>
      <c r="P17" s="44">
        <v>0.16666666666666666</v>
      </c>
      <c r="Q17" s="44">
        <v>0</v>
      </c>
      <c r="R17" s="44">
        <v>0</v>
      </c>
      <c r="S17" s="44">
        <v>0.33333333333333331</v>
      </c>
      <c r="T17" s="44">
        <v>0</v>
      </c>
      <c r="U17" s="61">
        <v>0</v>
      </c>
      <c r="V17" s="46">
        <f t="shared" si="0"/>
        <v>1.5833333333333335</v>
      </c>
    </row>
    <row r="18" spans="1:22">
      <c r="A18" s="1" t="s">
        <v>1</v>
      </c>
      <c r="B18" s="38" t="s">
        <v>72</v>
      </c>
      <c r="C18" s="43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61">
        <v>0</v>
      </c>
      <c r="V18" s="46">
        <f t="shared" si="0"/>
        <v>0</v>
      </c>
    </row>
    <row r="19" spans="1:22">
      <c r="A19" s="1" t="s">
        <v>1</v>
      </c>
      <c r="B19" s="5" t="s">
        <v>73</v>
      </c>
      <c r="C19" s="23">
        <v>8.3333333333333329E-2</v>
      </c>
      <c r="D19" s="24">
        <v>0</v>
      </c>
      <c r="E19" s="24">
        <v>0.20833333333333334</v>
      </c>
      <c r="F19" s="24">
        <v>0.54166666666666663</v>
      </c>
      <c r="G19" s="24">
        <v>0.91666666666666663</v>
      </c>
      <c r="H19" s="24">
        <v>1.3333333333333333</v>
      </c>
      <c r="I19" s="24">
        <v>0.33333333333333331</v>
      </c>
      <c r="J19" s="24">
        <v>1.0416666666666667</v>
      </c>
      <c r="K19" s="24">
        <v>0</v>
      </c>
      <c r="L19" s="24">
        <v>0.41666666666666669</v>
      </c>
      <c r="M19" s="24">
        <v>0.625</v>
      </c>
      <c r="N19" s="24">
        <v>0.45833333333333331</v>
      </c>
      <c r="O19" s="24">
        <v>0.54166666666666663</v>
      </c>
      <c r="P19" s="24">
        <v>0.95833333333333337</v>
      </c>
      <c r="Q19" s="24">
        <v>2</v>
      </c>
      <c r="R19" s="24">
        <v>0</v>
      </c>
      <c r="S19" s="24">
        <v>1.375</v>
      </c>
      <c r="T19" s="24">
        <v>0.25</v>
      </c>
      <c r="U19" s="62">
        <v>0.375</v>
      </c>
      <c r="V19" s="7">
        <f t="shared" si="0"/>
        <v>11.458333333333332</v>
      </c>
    </row>
    <row r="20" spans="1:22">
      <c r="A20" s="1" t="s">
        <v>1</v>
      </c>
      <c r="B20" s="14" t="s">
        <v>74</v>
      </c>
      <c r="C20" s="25">
        <v>19</v>
      </c>
      <c r="D20" s="26">
        <v>17</v>
      </c>
      <c r="E20" s="26">
        <v>37</v>
      </c>
      <c r="F20" s="26">
        <v>34</v>
      </c>
      <c r="G20" s="26">
        <v>35</v>
      </c>
      <c r="H20" s="26">
        <v>32</v>
      </c>
      <c r="I20" s="26">
        <v>33</v>
      </c>
      <c r="J20" s="26">
        <v>25</v>
      </c>
      <c r="K20" s="26">
        <v>34</v>
      </c>
      <c r="L20" s="26">
        <v>38</v>
      </c>
      <c r="M20" s="26">
        <v>16</v>
      </c>
      <c r="N20" s="26">
        <v>16</v>
      </c>
      <c r="O20" s="26">
        <v>32</v>
      </c>
      <c r="P20" s="26">
        <v>13</v>
      </c>
      <c r="Q20" s="26">
        <v>25</v>
      </c>
      <c r="R20" s="26">
        <v>14</v>
      </c>
      <c r="S20" s="26">
        <v>11</v>
      </c>
      <c r="T20" s="26">
        <v>14</v>
      </c>
      <c r="U20" s="63">
        <v>0</v>
      </c>
      <c r="V20" s="16"/>
    </row>
    <row r="21" spans="1:22">
      <c r="A21" s="1" t="s">
        <v>1</v>
      </c>
      <c r="B21" s="47" t="s">
        <v>75</v>
      </c>
      <c r="C21" s="48">
        <v>177000</v>
      </c>
      <c r="D21" s="49">
        <v>187000</v>
      </c>
      <c r="E21" s="49">
        <v>187000</v>
      </c>
      <c r="F21" s="49">
        <v>192000</v>
      </c>
      <c r="G21" s="49">
        <v>187000</v>
      </c>
      <c r="H21" s="49">
        <v>192000</v>
      </c>
      <c r="I21" s="49">
        <v>177000</v>
      </c>
      <c r="J21" s="49">
        <v>177000</v>
      </c>
      <c r="K21" s="49">
        <v>177000</v>
      </c>
      <c r="L21" s="49">
        <v>187000</v>
      </c>
      <c r="M21" s="49">
        <v>177000</v>
      </c>
      <c r="N21" s="49">
        <v>177000</v>
      </c>
      <c r="O21" s="49">
        <v>187000</v>
      </c>
      <c r="P21" s="49">
        <v>170000</v>
      </c>
      <c r="Q21" s="49">
        <v>175000</v>
      </c>
      <c r="R21" s="49">
        <v>170000</v>
      </c>
      <c r="S21" s="49">
        <v>170000</v>
      </c>
      <c r="T21" s="49">
        <v>170000</v>
      </c>
      <c r="U21" s="64">
        <v>170000</v>
      </c>
      <c r="V21" s="51">
        <f t="shared" si="0"/>
        <v>3406000</v>
      </c>
    </row>
    <row r="22" spans="1:22">
      <c r="A22" s="1" t="s">
        <v>1</v>
      </c>
      <c r="B22" s="38" t="s">
        <v>76</v>
      </c>
      <c r="C22" s="52">
        <v>0</v>
      </c>
      <c r="D22" s="53">
        <v>0</v>
      </c>
      <c r="E22" s="53">
        <v>20000</v>
      </c>
      <c r="F22" s="53">
        <v>20000</v>
      </c>
      <c r="G22" s="53">
        <v>5000</v>
      </c>
      <c r="H22" s="53">
        <v>5000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65">
        <v>0</v>
      </c>
      <c r="V22" s="55">
        <f t="shared" si="0"/>
        <v>50000</v>
      </c>
    </row>
    <row r="23" spans="1:22">
      <c r="A23" s="1" t="s">
        <v>1</v>
      </c>
      <c r="B23" s="38" t="s">
        <v>77</v>
      </c>
      <c r="C23" s="52">
        <v>0</v>
      </c>
      <c r="D23" s="53">
        <v>0</v>
      </c>
      <c r="E23" s="53">
        <v>3000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0</v>
      </c>
      <c r="U23" s="65">
        <v>0</v>
      </c>
      <c r="V23" s="55">
        <f t="shared" si="0"/>
        <v>3000</v>
      </c>
    </row>
    <row r="24" spans="1:22">
      <c r="A24" s="1" t="s">
        <v>1</v>
      </c>
      <c r="B24" s="38" t="s">
        <v>78</v>
      </c>
      <c r="C24" s="52">
        <v>0</v>
      </c>
      <c r="D24" s="53">
        <v>0</v>
      </c>
      <c r="E24" s="53">
        <v>92626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32034</v>
      </c>
      <c r="M24" s="53">
        <v>0</v>
      </c>
      <c r="N24" s="53">
        <v>0</v>
      </c>
      <c r="O24" s="53">
        <v>25298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65">
        <v>0</v>
      </c>
      <c r="V24" s="55">
        <f t="shared" si="0"/>
        <v>149958</v>
      </c>
    </row>
    <row r="25" spans="1:22">
      <c r="A25" s="1" t="s">
        <v>1</v>
      </c>
      <c r="B25" s="38" t="s">
        <v>79</v>
      </c>
      <c r="C25" s="52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65">
        <v>0</v>
      </c>
      <c r="V25" s="55">
        <f t="shared" si="0"/>
        <v>0</v>
      </c>
    </row>
    <row r="26" spans="1:22">
      <c r="A26" s="1" t="s">
        <v>1</v>
      </c>
      <c r="B26" s="38" t="s">
        <v>80</v>
      </c>
      <c r="C26" s="52">
        <v>2000</v>
      </c>
      <c r="D26" s="53">
        <v>2000</v>
      </c>
      <c r="E26" s="53">
        <v>2000</v>
      </c>
      <c r="F26" s="53">
        <v>2000</v>
      </c>
      <c r="G26" s="53">
        <v>0</v>
      </c>
      <c r="H26" s="53">
        <v>2000</v>
      </c>
      <c r="I26" s="53">
        <v>2000</v>
      </c>
      <c r="J26" s="53">
        <v>2000</v>
      </c>
      <c r="K26" s="53">
        <v>2000</v>
      </c>
      <c r="L26" s="53">
        <v>2000</v>
      </c>
      <c r="M26" s="53">
        <v>1000</v>
      </c>
      <c r="N26" s="53">
        <v>2000</v>
      </c>
      <c r="O26" s="53">
        <v>2000</v>
      </c>
      <c r="P26" s="53">
        <v>2000</v>
      </c>
      <c r="Q26" s="53">
        <v>2000</v>
      </c>
      <c r="R26" s="53">
        <v>0</v>
      </c>
      <c r="S26" s="53">
        <v>0</v>
      </c>
      <c r="T26" s="53">
        <v>0</v>
      </c>
      <c r="U26" s="65">
        <v>0</v>
      </c>
      <c r="V26" s="55">
        <f t="shared" si="0"/>
        <v>27000</v>
      </c>
    </row>
    <row r="27" spans="1:22">
      <c r="A27" s="1" t="s">
        <v>1</v>
      </c>
      <c r="B27" s="38" t="s">
        <v>81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65">
        <v>0</v>
      </c>
      <c r="V27" s="55">
        <f t="shared" si="0"/>
        <v>0</v>
      </c>
    </row>
    <row r="28" spans="1:22">
      <c r="A28" s="1" t="s">
        <v>1</v>
      </c>
      <c r="B28" s="38" t="s">
        <v>66</v>
      </c>
      <c r="C28" s="52">
        <v>46900</v>
      </c>
      <c r="D28" s="53">
        <v>66505</v>
      </c>
      <c r="E28" s="53">
        <v>23790</v>
      </c>
      <c r="F28" s="53">
        <v>108868</v>
      </c>
      <c r="G28" s="53">
        <v>66148</v>
      </c>
      <c r="H28" s="53">
        <v>90890</v>
      </c>
      <c r="I28" s="53">
        <v>83080</v>
      </c>
      <c r="J28" s="53">
        <v>65660</v>
      </c>
      <c r="K28" s="53">
        <v>69680</v>
      </c>
      <c r="L28" s="53">
        <v>63675</v>
      </c>
      <c r="M28" s="53">
        <v>57319</v>
      </c>
      <c r="N28" s="53">
        <v>79060</v>
      </c>
      <c r="O28" s="53">
        <v>53770</v>
      </c>
      <c r="P28" s="53">
        <v>78568</v>
      </c>
      <c r="Q28" s="53">
        <v>42400</v>
      </c>
      <c r="R28" s="53">
        <v>36917</v>
      </c>
      <c r="S28" s="53">
        <v>86564</v>
      </c>
      <c r="T28" s="53">
        <v>64923</v>
      </c>
      <c r="U28" s="65">
        <v>53466</v>
      </c>
      <c r="V28" s="55">
        <f t="shared" si="0"/>
        <v>1238183</v>
      </c>
    </row>
    <row r="29" spans="1:22">
      <c r="A29" s="1" t="s">
        <v>1</v>
      </c>
      <c r="B29" s="38" t="s">
        <v>82</v>
      </c>
      <c r="C29" s="52">
        <v>23152</v>
      </c>
      <c r="D29" s="53">
        <v>15280</v>
      </c>
      <c r="E29" s="53">
        <v>15417</v>
      </c>
      <c r="F29" s="53">
        <v>8645</v>
      </c>
      <c r="G29" s="53">
        <v>32613</v>
      </c>
      <c r="H29" s="53">
        <v>62751</v>
      </c>
      <c r="I29" s="53">
        <v>54986</v>
      </c>
      <c r="J29" s="53">
        <v>50645</v>
      </c>
      <c r="K29" s="53">
        <v>30387</v>
      </c>
      <c r="L29" s="53">
        <v>29032</v>
      </c>
      <c r="M29" s="53">
        <v>33097</v>
      </c>
      <c r="N29" s="53">
        <v>21705</v>
      </c>
      <c r="O29" s="53">
        <v>27504</v>
      </c>
      <c r="P29" s="53">
        <v>55640</v>
      </c>
      <c r="Q29" s="53">
        <v>0</v>
      </c>
      <c r="R29" s="53">
        <v>26106</v>
      </c>
      <c r="S29" s="53">
        <v>57708</v>
      </c>
      <c r="T29" s="53">
        <v>42594</v>
      </c>
      <c r="U29" s="65">
        <v>28854</v>
      </c>
      <c r="V29" s="55">
        <f t="shared" si="0"/>
        <v>616116</v>
      </c>
    </row>
    <row r="30" spans="1:22">
      <c r="A30" s="1" t="s">
        <v>1</v>
      </c>
      <c r="B30" s="38" t="s">
        <v>83</v>
      </c>
      <c r="C30" s="52">
        <v>20258</v>
      </c>
      <c r="D30" s="53">
        <v>35144</v>
      </c>
      <c r="E30" s="53">
        <v>13704</v>
      </c>
      <c r="F30" s="53">
        <v>17290</v>
      </c>
      <c r="G30" s="53">
        <v>24848</v>
      </c>
      <c r="H30" s="53">
        <v>12872</v>
      </c>
      <c r="I30" s="53">
        <v>0</v>
      </c>
      <c r="J30" s="53">
        <v>0</v>
      </c>
      <c r="K30" s="53">
        <v>36175</v>
      </c>
      <c r="L30" s="53">
        <v>30560</v>
      </c>
      <c r="M30" s="53">
        <v>33097</v>
      </c>
      <c r="N30" s="53">
        <v>34728</v>
      </c>
      <c r="O30" s="53">
        <v>19864</v>
      </c>
      <c r="P30" s="53">
        <v>23647</v>
      </c>
      <c r="Q30" s="53">
        <v>0</v>
      </c>
      <c r="R30" s="53">
        <v>0</v>
      </c>
      <c r="S30" s="53">
        <v>0</v>
      </c>
      <c r="T30" s="53">
        <v>21984</v>
      </c>
      <c r="U30" s="65">
        <v>19236</v>
      </c>
      <c r="V30" s="55">
        <f t="shared" si="0"/>
        <v>343407</v>
      </c>
    </row>
    <row r="31" spans="1:22">
      <c r="A31" s="1" t="s">
        <v>1</v>
      </c>
      <c r="B31" s="38" t="s">
        <v>84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3710</v>
      </c>
      <c r="R31" s="53">
        <v>0</v>
      </c>
      <c r="S31" s="53">
        <v>0</v>
      </c>
      <c r="T31" s="53">
        <v>0</v>
      </c>
      <c r="U31" s="65">
        <v>0</v>
      </c>
      <c r="V31" s="55">
        <f t="shared" si="0"/>
        <v>3710</v>
      </c>
    </row>
    <row r="32" spans="1:22">
      <c r="A32" s="1" t="s">
        <v>1</v>
      </c>
      <c r="B32" s="38" t="s">
        <v>85</v>
      </c>
      <c r="C32" s="52">
        <v>0</v>
      </c>
      <c r="D32" s="53">
        <v>0</v>
      </c>
      <c r="E32" s="53">
        <v>0</v>
      </c>
      <c r="F32" s="53">
        <v>5376</v>
      </c>
      <c r="G32" s="53">
        <v>1209</v>
      </c>
      <c r="H32" s="53">
        <v>5004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6498</v>
      </c>
      <c r="Q32" s="53">
        <v>6307</v>
      </c>
      <c r="R32" s="53">
        <v>3560</v>
      </c>
      <c r="S32" s="53">
        <v>5696</v>
      </c>
      <c r="T32" s="53">
        <v>0</v>
      </c>
      <c r="U32" s="65">
        <v>0</v>
      </c>
      <c r="V32" s="55">
        <f t="shared" si="0"/>
        <v>33650</v>
      </c>
    </row>
    <row r="33" spans="1:22">
      <c r="A33" s="1" t="s">
        <v>1</v>
      </c>
      <c r="B33" s="38" t="s">
        <v>71</v>
      </c>
      <c r="C33" s="52">
        <v>0</v>
      </c>
      <c r="D33" s="53">
        <v>0</v>
      </c>
      <c r="E33" s="53">
        <v>0</v>
      </c>
      <c r="F33" s="53">
        <v>4480</v>
      </c>
      <c r="G33" s="53">
        <v>0</v>
      </c>
      <c r="H33" s="53">
        <v>1490</v>
      </c>
      <c r="I33" s="53">
        <v>536</v>
      </c>
      <c r="J33" s="53">
        <v>0</v>
      </c>
      <c r="K33" s="53">
        <v>0</v>
      </c>
      <c r="L33" s="53">
        <v>0</v>
      </c>
      <c r="M33" s="53">
        <v>0</v>
      </c>
      <c r="N33" s="53">
        <v>1340</v>
      </c>
      <c r="O33" s="53">
        <v>0</v>
      </c>
      <c r="P33" s="53">
        <v>1032</v>
      </c>
      <c r="Q33" s="53">
        <v>0</v>
      </c>
      <c r="R33" s="53">
        <v>0</v>
      </c>
      <c r="S33" s="53">
        <v>2040</v>
      </c>
      <c r="T33" s="53">
        <v>0</v>
      </c>
      <c r="U33" s="65">
        <v>0</v>
      </c>
      <c r="V33" s="55">
        <f t="shared" si="0"/>
        <v>10918</v>
      </c>
    </row>
    <row r="34" spans="1:22">
      <c r="A34" s="1" t="s">
        <v>1</v>
      </c>
      <c r="B34" s="5" t="s">
        <v>73</v>
      </c>
      <c r="C34" s="27">
        <v>536</v>
      </c>
      <c r="D34" s="28">
        <v>0</v>
      </c>
      <c r="E34" s="28">
        <v>1585</v>
      </c>
      <c r="F34" s="28">
        <v>4160</v>
      </c>
      <c r="G34" s="28">
        <v>6336</v>
      </c>
      <c r="H34" s="28">
        <v>9536</v>
      </c>
      <c r="I34" s="28">
        <v>2144</v>
      </c>
      <c r="J34" s="28">
        <v>6700</v>
      </c>
      <c r="K34" s="28">
        <v>0</v>
      </c>
      <c r="L34" s="28">
        <v>2830</v>
      </c>
      <c r="M34" s="28">
        <v>4005</v>
      </c>
      <c r="N34" s="28">
        <v>2948</v>
      </c>
      <c r="O34" s="28">
        <v>3679</v>
      </c>
      <c r="P34" s="28">
        <v>5934</v>
      </c>
      <c r="Q34" s="28">
        <v>12720</v>
      </c>
      <c r="R34" s="28">
        <v>0</v>
      </c>
      <c r="S34" s="28">
        <v>8415</v>
      </c>
      <c r="T34" s="28">
        <v>1530</v>
      </c>
      <c r="U34" s="66">
        <v>2295</v>
      </c>
      <c r="V34" s="9">
        <f t="shared" si="0"/>
        <v>75353</v>
      </c>
    </row>
    <row r="35" spans="1:22">
      <c r="A35" s="1" t="s">
        <v>1</v>
      </c>
      <c r="B35" s="14" t="s">
        <v>86</v>
      </c>
      <c r="C35" s="29">
        <v>269846</v>
      </c>
      <c r="D35" s="30">
        <v>305929</v>
      </c>
      <c r="E35" s="30">
        <v>359122</v>
      </c>
      <c r="F35" s="30">
        <v>362819</v>
      </c>
      <c r="G35" s="30">
        <v>323154</v>
      </c>
      <c r="H35" s="30">
        <v>381543</v>
      </c>
      <c r="I35" s="30">
        <v>319746</v>
      </c>
      <c r="J35" s="30">
        <v>302005</v>
      </c>
      <c r="K35" s="30">
        <v>315242</v>
      </c>
      <c r="L35" s="30">
        <v>347131</v>
      </c>
      <c r="M35" s="30">
        <v>305518</v>
      </c>
      <c r="N35" s="30">
        <v>318781</v>
      </c>
      <c r="O35" s="30">
        <v>319115</v>
      </c>
      <c r="P35" s="30">
        <v>343319</v>
      </c>
      <c r="Q35" s="30">
        <v>242137</v>
      </c>
      <c r="R35" s="30">
        <v>236583</v>
      </c>
      <c r="S35" s="30">
        <v>330423</v>
      </c>
      <c r="T35" s="30">
        <v>301031</v>
      </c>
      <c r="U35" s="67">
        <v>273851</v>
      </c>
      <c r="V35" s="18">
        <f t="shared" si="0"/>
        <v>5957295</v>
      </c>
    </row>
    <row r="36" spans="1:22">
      <c r="A36" s="1" t="s">
        <v>1</v>
      </c>
      <c r="B36" s="47" t="s">
        <v>87</v>
      </c>
      <c r="C36" s="48">
        <v>13360</v>
      </c>
      <c r="D36" s="49">
        <v>3212</v>
      </c>
      <c r="E36" s="49">
        <v>5088</v>
      </c>
      <c r="F36" s="49">
        <v>2955</v>
      </c>
      <c r="G36" s="49">
        <v>14774</v>
      </c>
      <c r="H36" s="49">
        <v>2467</v>
      </c>
      <c r="I36" s="49">
        <v>2570</v>
      </c>
      <c r="J36" s="49">
        <v>1234</v>
      </c>
      <c r="K36" s="49">
        <v>3212</v>
      </c>
      <c r="L36" s="49">
        <v>5139</v>
      </c>
      <c r="M36" s="49">
        <v>6167</v>
      </c>
      <c r="N36" s="49">
        <v>4676</v>
      </c>
      <c r="O36" s="49">
        <v>8016</v>
      </c>
      <c r="P36" s="49">
        <v>6424</v>
      </c>
      <c r="Q36" s="49">
        <v>9173</v>
      </c>
      <c r="R36" s="49">
        <v>7400</v>
      </c>
      <c r="S36" s="49">
        <v>9250</v>
      </c>
      <c r="T36" s="49">
        <v>8350</v>
      </c>
      <c r="U36" s="64">
        <v>2672</v>
      </c>
      <c r="V36" s="51">
        <f t="shared" si="0"/>
        <v>116139</v>
      </c>
    </row>
    <row r="37" spans="1:22">
      <c r="A37" s="1" t="s">
        <v>1</v>
      </c>
      <c r="B37" s="5" t="s">
        <v>88</v>
      </c>
      <c r="C37" s="27">
        <v>13360</v>
      </c>
      <c r="D37" s="28">
        <v>3212</v>
      </c>
      <c r="E37" s="28">
        <v>5088</v>
      </c>
      <c r="F37" s="28">
        <v>2955</v>
      </c>
      <c r="G37" s="28">
        <v>14774</v>
      </c>
      <c r="H37" s="28">
        <v>2467</v>
      </c>
      <c r="I37" s="28">
        <v>2570</v>
      </c>
      <c r="J37" s="28">
        <v>1234</v>
      </c>
      <c r="K37" s="28">
        <v>3212</v>
      </c>
      <c r="L37" s="28">
        <v>5139</v>
      </c>
      <c r="M37" s="28">
        <v>6167</v>
      </c>
      <c r="N37" s="28">
        <v>4676</v>
      </c>
      <c r="O37" s="28">
        <v>8016</v>
      </c>
      <c r="P37" s="28">
        <v>6424</v>
      </c>
      <c r="Q37" s="28">
        <v>9173</v>
      </c>
      <c r="R37" s="28">
        <v>7400</v>
      </c>
      <c r="S37" s="28">
        <v>9250</v>
      </c>
      <c r="T37" s="28">
        <v>8350</v>
      </c>
      <c r="U37" s="66">
        <v>2672</v>
      </c>
      <c r="V37" s="9">
        <f t="shared" si="0"/>
        <v>116139</v>
      </c>
    </row>
    <row r="38" spans="1:22">
      <c r="A38" s="1" t="s">
        <v>1</v>
      </c>
      <c r="B38" s="14" t="s">
        <v>89</v>
      </c>
      <c r="C38" s="29">
        <v>283206</v>
      </c>
      <c r="D38" s="30">
        <v>309141</v>
      </c>
      <c r="E38" s="30">
        <v>364210</v>
      </c>
      <c r="F38" s="30">
        <v>365774</v>
      </c>
      <c r="G38" s="30">
        <v>337928</v>
      </c>
      <c r="H38" s="30">
        <v>384010</v>
      </c>
      <c r="I38" s="30">
        <v>322316</v>
      </c>
      <c r="J38" s="30">
        <v>303239</v>
      </c>
      <c r="K38" s="30">
        <v>318454</v>
      </c>
      <c r="L38" s="30">
        <v>352270</v>
      </c>
      <c r="M38" s="30">
        <v>311685</v>
      </c>
      <c r="N38" s="30">
        <v>323457</v>
      </c>
      <c r="O38" s="30">
        <v>327131</v>
      </c>
      <c r="P38" s="30">
        <v>349743</v>
      </c>
      <c r="Q38" s="30">
        <v>251310</v>
      </c>
      <c r="R38" s="30">
        <v>243983</v>
      </c>
      <c r="S38" s="30">
        <v>339673</v>
      </c>
      <c r="T38" s="30">
        <v>309381</v>
      </c>
      <c r="U38" s="67">
        <v>276523</v>
      </c>
      <c r="V38" s="18">
        <f t="shared" si="0"/>
        <v>6073434</v>
      </c>
    </row>
    <row r="39" spans="1:22">
      <c r="A39" s="1" t="s">
        <v>1</v>
      </c>
      <c r="B39" s="47" t="s">
        <v>90</v>
      </c>
      <c r="C39" s="48">
        <v>16320</v>
      </c>
      <c r="D39" s="49">
        <v>19380</v>
      </c>
      <c r="E39" s="49">
        <v>19380</v>
      </c>
      <c r="F39" s="49">
        <v>18360</v>
      </c>
      <c r="G39" s="49">
        <v>16320</v>
      </c>
      <c r="H39" s="49">
        <v>19380</v>
      </c>
      <c r="I39" s="49">
        <v>17340</v>
      </c>
      <c r="J39" s="49">
        <v>16320</v>
      </c>
      <c r="K39" s="49">
        <v>16320</v>
      </c>
      <c r="L39" s="49">
        <v>18360</v>
      </c>
      <c r="M39" s="49">
        <v>15300</v>
      </c>
      <c r="N39" s="49">
        <v>17340</v>
      </c>
      <c r="O39" s="49">
        <v>15300</v>
      </c>
      <c r="P39" s="49">
        <v>17340</v>
      </c>
      <c r="Q39" s="49">
        <v>14280</v>
      </c>
      <c r="R39" s="49">
        <v>13260</v>
      </c>
      <c r="S39" s="49">
        <v>13260</v>
      </c>
      <c r="T39" s="49">
        <v>13260</v>
      </c>
      <c r="U39" s="64">
        <v>13260</v>
      </c>
      <c r="V39" s="51">
        <f t="shared" si="0"/>
        <v>310080</v>
      </c>
    </row>
    <row r="40" spans="1:22">
      <c r="A40" s="1" t="s">
        <v>1</v>
      </c>
      <c r="B40" s="38" t="s">
        <v>91</v>
      </c>
      <c r="C40" s="52">
        <v>2880</v>
      </c>
      <c r="D40" s="53">
        <v>3420</v>
      </c>
      <c r="E40" s="53">
        <v>3420</v>
      </c>
      <c r="F40" s="53">
        <v>3240</v>
      </c>
      <c r="G40" s="53">
        <v>2880</v>
      </c>
      <c r="H40" s="53">
        <v>3420</v>
      </c>
      <c r="I40" s="53">
        <v>3060</v>
      </c>
      <c r="J40" s="53">
        <v>2880</v>
      </c>
      <c r="K40" s="53">
        <v>2880</v>
      </c>
      <c r="L40" s="53">
        <v>3240</v>
      </c>
      <c r="M40" s="53">
        <v>2700</v>
      </c>
      <c r="N40" s="53">
        <v>3060</v>
      </c>
      <c r="O40" s="53">
        <v>2700</v>
      </c>
      <c r="P40" s="53">
        <v>3060</v>
      </c>
      <c r="Q40" s="53">
        <v>2520</v>
      </c>
      <c r="R40" s="53">
        <v>2340</v>
      </c>
      <c r="S40" s="53">
        <v>2340</v>
      </c>
      <c r="T40" s="53">
        <v>2340</v>
      </c>
      <c r="U40" s="65">
        <v>2340</v>
      </c>
      <c r="V40" s="55">
        <f t="shared" si="0"/>
        <v>54720</v>
      </c>
    </row>
    <row r="41" spans="1:22">
      <c r="A41" s="1" t="s">
        <v>1</v>
      </c>
      <c r="B41" s="38" t="s">
        <v>92</v>
      </c>
      <c r="C41" s="52">
        <v>29280</v>
      </c>
      <c r="D41" s="53">
        <v>34770</v>
      </c>
      <c r="E41" s="53">
        <v>34770</v>
      </c>
      <c r="F41" s="53">
        <v>32940</v>
      </c>
      <c r="G41" s="53">
        <v>29280</v>
      </c>
      <c r="H41" s="53">
        <v>34770</v>
      </c>
      <c r="I41" s="53">
        <v>31110</v>
      </c>
      <c r="J41" s="53">
        <v>29280</v>
      </c>
      <c r="K41" s="53">
        <v>29280</v>
      </c>
      <c r="L41" s="53">
        <v>32940</v>
      </c>
      <c r="M41" s="53">
        <v>27450</v>
      </c>
      <c r="N41" s="53">
        <v>31110</v>
      </c>
      <c r="O41" s="53">
        <v>27450</v>
      </c>
      <c r="P41" s="53">
        <v>31110</v>
      </c>
      <c r="Q41" s="53">
        <v>25620</v>
      </c>
      <c r="R41" s="53">
        <v>23790</v>
      </c>
      <c r="S41" s="53">
        <v>23790</v>
      </c>
      <c r="T41" s="53">
        <v>23790</v>
      </c>
      <c r="U41" s="65">
        <v>23790</v>
      </c>
      <c r="V41" s="55">
        <f t="shared" si="0"/>
        <v>556320</v>
      </c>
    </row>
    <row r="42" spans="1:22">
      <c r="A42" s="1" t="s">
        <v>1</v>
      </c>
      <c r="B42" s="5" t="s">
        <v>93</v>
      </c>
      <c r="C42" s="27">
        <v>1699</v>
      </c>
      <c r="D42" s="28">
        <v>1855</v>
      </c>
      <c r="E42" s="28">
        <v>2185</v>
      </c>
      <c r="F42" s="28">
        <v>2195</v>
      </c>
      <c r="G42" s="28">
        <v>2028</v>
      </c>
      <c r="H42" s="28">
        <v>2304</v>
      </c>
      <c r="I42" s="28">
        <v>1934</v>
      </c>
      <c r="J42" s="28">
        <v>1819</v>
      </c>
      <c r="K42" s="28">
        <v>1911</v>
      </c>
      <c r="L42" s="28">
        <v>2114</v>
      </c>
      <c r="M42" s="28">
        <v>1870</v>
      </c>
      <c r="N42" s="28">
        <v>1941</v>
      </c>
      <c r="O42" s="28">
        <v>1963</v>
      </c>
      <c r="P42" s="28">
        <v>2098</v>
      </c>
      <c r="Q42" s="28">
        <v>1508</v>
      </c>
      <c r="R42" s="28">
        <v>1464</v>
      </c>
      <c r="S42" s="28">
        <v>2038</v>
      </c>
      <c r="T42" s="28">
        <v>1856</v>
      </c>
      <c r="U42" s="66">
        <v>1659</v>
      </c>
      <c r="V42" s="9">
        <f t="shared" si="0"/>
        <v>36441</v>
      </c>
    </row>
    <row r="43" spans="1:22">
      <c r="A43" s="1" t="s">
        <v>1</v>
      </c>
      <c r="B43" s="14" t="s">
        <v>94</v>
      </c>
      <c r="C43" s="29">
        <v>50179</v>
      </c>
      <c r="D43" s="30">
        <v>59425</v>
      </c>
      <c r="E43" s="30">
        <v>59755</v>
      </c>
      <c r="F43" s="30">
        <v>56735</v>
      </c>
      <c r="G43" s="30">
        <v>50508</v>
      </c>
      <c r="H43" s="30">
        <v>59874</v>
      </c>
      <c r="I43" s="30">
        <v>53444</v>
      </c>
      <c r="J43" s="30">
        <v>50299</v>
      </c>
      <c r="K43" s="30">
        <v>50391</v>
      </c>
      <c r="L43" s="30">
        <v>56654</v>
      </c>
      <c r="M43" s="30">
        <v>47320</v>
      </c>
      <c r="N43" s="30">
        <v>53451</v>
      </c>
      <c r="O43" s="30">
        <v>47413</v>
      </c>
      <c r="P43" s="30">
        <v>53608</v>
      </c>
      <c r="Q43" s="30">
        <v>43928</v>
      </c>
      <c r="R43" s="30">
        <v>40854</v>
      </c>
      <c r="S43" s="30">
        <v>41428</v>
      </c>
      <c r="T43" s="30">
        <v>41246</v>
      </c>
      <c r="U43" s="67">
        <v>41049</v>
      </c>
      <c r="V43" s="18">
        <f t="shared" si="0"/>
        <v>957561</v>
      </c>
    </row>
    <row r="44" spans="1:22">
      <c r="A44" s="1" t="s">
        <v>1</v>
      </c>
      <c r="B44" s="47" t="s">
        <v>95</v>
      </c>
      <c r="C44" s="48">
        <v>3850</v>
      </c>
      <c r="D44" s="49">
        <v>6430</v>
      </c>
      <c r="E44" s="49">
        <v>6700</v>
      </c>
      <c r="F44" s="49">
        <v>8880</v>
      </c>
      <c r="G44" s="49">
        <v>5740</v>
      </c>
      <c r="H44" s="49">
        <v>10150</v>
      </c>
      <c r="I44" s="49">
        <v>7130</v>
      </c>
      <c r="J44" s="49">
        <v>5000</v>
      </c>
      <c r="K44" s="49">
        <v>7080</v>
      </c>
      <c r="L44" s="49">
        <v>8000</v>
      </c>
      <c r="M44" s="49">
        <v>6840</v>
      </c>
      <c r="N44" s="49">
        <v>7100</v>
      </c>
      <c r="O44" s="49">
        <v>7330</v>
      </c>
      <c r="P44" s="49">
        <v>3120</v>
      </c>
      <c r="Q44" s="49">
        <v>4700</v>
      </c>
      <c r="R44" s="49">
        <v>4610</v>
      </c>
      <c r="S44" s="49">
        <v>6330</v>
      </c>
      <c r="T44" s="49">
        <v>6900</v>
      </c>
      <c r="U44" s="64">
        <v>5940</v>
      </c>
      <c r="V44" s="51">
        <f t="shared" si="0"/>
        <v>121830</v>
      </c>
    </row>
    <row r="45" spans="1:22">
      <c r="A45" s="1" t="s">
        <v>1</v>
      </c>
      <c r="B45" s="38" t="s">
        <v>96</v>
      </c>
      <c r="C45" s="52">
        <v>1300</v>
      </c>
      <c r="D45" s="53">
        <v>1300</v>
      </c>
      <c r="E45" s="53">
        <v>1300</v>
      </c>
      <c r="F45" s="53">
        <v>0</v>
      </c>
      <c r="G45" s="53">
        <v>1300</v>
      </c>
      <c r="H45" s="53">
        <v>1300</v>
      </c>
      <c r="I45" s="53">
        <v>1300</v>
      </c>
      <c r="J45" s="53">
        <v>1300</v>
      </c>
      <c r="K45" s="53">
        <v>1300</v>
      </c>
      <c r="L45" s="53">
        <v>1300</v>
      </c>
      <c r="M45" s="53">
        <v>0</v>
      </c>
      <c r="N45" s="53">
        <v>0</v>
      </c>
      <c r="O45" s="53">
        <v>1300</v>
      </c>
      <c r="P45" s="53">
        <v>1300</v>
      </c>
      <c r="Q45" s="53">
        <v>1300</v>
      </c>
      <c r="R45" s="53">
        <v>0</v>
      </c>
      <c r="S45" s="53">
        <v>1300</v>
      </c>
      <c r="T45" s="53">
        <v>1300</v>
      </c>
      <c r="U45" s="65">
        <v>0</v>
      </c>
      <c r="V45" s="55">
        <f t="shared" si="0"/>
        <v>18200</v>
      </c>
    </row>
    <row r="46" spans="1:22">
      <c r="A46" s="1" t="s">
        <v>1</v>
      </c>
      <c r="B46" s="5" t="s">
        <v>97</v>
      </c>
      <c r="C46" s="27">
        <v>8900</v>
      </c>
      <c r="D46" s="28">
        <v>1700</v>
      </c>
      <c r="E46" s="28">
        <v>14900</v>
      </c>
      <c r="F46" s="28">
        <v>17400</v>
      </c>
      <c r="G46" s="28">
        <v>10100</v>
      </c>
      <c r="H46" s="28">
        <v>18400</v>
      </c>
      <c r="I46" s="28">
        <v>15400</v>
      </c>
      <c r="J46" s="28">
        <v>10100</v>
      </c>
      <c r="K46" s="28">
        <v>14400</v>
      </c>
      <c r="L46" s="28">
        <v>16400</v>
      </c>
      <c r="M46" s="28">
        <v>10700</v>
      </c>
      <c r="N46" s="28">
        <v>11900</v>
      </c>
      <c r="O46" s="28">
        <v>13500</v>
      </c>
      <c r="P46" s="28">
        <v>5600</v>
      </c>
      <c r="Q46" s="28">
        <v>0</v>
      </c>
      <c r="R46" s="28">
        <v>8700</v>
      </c>
      <c r="S46" s="28">
        <v>3100</v>
      </c>
      <c r="T46" s="28">
        <v>2000</v>
      </c>
      <c r="U46" s="66">
        <v>17400</v>
      </c>
      <c r="V46" s="9">
        <f t="shared" si="0"/>
        <v>200600</v>
      </c>
    </row>
    <row r="47" spans="1:22">
      <c r="A47" s="1" t="s">
        <v>1</v>
      </c>
      <c r="B47" s="14" t="s">
        <v>98</v>
      </c>
      <c r="C47" s="29">
        <v>64229</v>
      </c>
      <c r="D47" s="30">
        <v>68855</v>
      </c>
      <c r="E47" s="30">
        <v>82655</v>
      </c>
      <c r="F47" s="30">
        <v>83015</v>
      </c>
      <c r="G47" s="30">
        <v>67648</v>
      </c>
      <c r="H47" s="30">
        <v>89724</v>
      </c>
      <c r="I47" s="30">
        <v>77274</v>
      </c>
      <c r="J47" s="30">
        <v>66699</v>
      </c>
      <c r="K47" s="30">
        <v>73171</v>
      </c>
      <c r="L47" s="30">
        <v>82354</v>
      </c>
      <c r="M47" s="30">
        <v>64860</v>
      </c>
      <c r="N47" s="30">
        <v>72451</v>
      </c>
      <c r="O47" s="30">
        <v>69543</v>
      </c>
      <c r="P47" s="30">
        <v>63628</v>
      </c>
      <c r="Q47" s="30">
        <v>49928</v>
      </c>
      <c r="R47" s="30">
        <v>54164</v>
      </c>
      <c r="S47" s="30">
        <v>52158</v>
      </c>
      <c r="T47" s="30">
        <v>51446</v>
      </c>
      <c r="U47" s="67">
        <v>64389</v>
      </c>
      <c r="V47" s="18">
        <f t="shared" si="0"/>
        <v>1298191</v>
      </c>
    </row>
    <row r="48" spans="1:22">
      <c r="A48" s="1" t="s">
        <v>1</v>
      </c>
      <c r="B48" s="14" t="s">
        <v>99</v>
      </c>
      <c r="C48" s="29">
        <v>219667</v>
      </c>
      <c r="D48" s="30">
        <v>246504</v>
      </c>
      <c r="E48" s="30">
        <v>299367</v>
      </c>
      <c r="F48" s="30">
        <v>306084</v>
      </c>
      <c r="G48" s="30">
        <v>272646</v>
      </c>
      <c r="H48" s="30">
        <v>321669</v>
      </c>
      <c r="I48" s="30">
        <v>266302</v>
      </c>
      <c r="J48" s="30">
        <v>251706</v>
      </c>
      <c r="K48" s="30">
        <v>264851</v>
      </c>
      <c r="L48" s="30">
        <v>290477</v>
      </c>
      <c r="M48" s="30">
        <v>258198</v>
      </c>
      <c r="N48" s="30">
        <v>265330</v>
      </c>
      <c r="O48" s="30">
        <v>271702</v>
      </c>
      <c r="P48" s="30">
        <v>289711</v>
      </c>
      <c r="Q48" s="30">
        <v>198209</v>
      </c>
      <c r="R48" s="30">
        <v>195729</v>
      </c>
      <c r="S48" s="30">
        <v>288995</v>
      </c>
      <c r="T48" s="30">
        <v>259785</v>
      </c>
      <c r="U48" s="67">
        <v>232802</v>
      </c>
      <c r="V48" s="18">
        <f t="shared" si="0"/>
        <v>4999734</v>
      </c>
    </row>
    <row r="49" spans="1:22">
      <c r="A49" s="1" t="s">
        <v>1</v>
      </c>
      <c r="B49" s="14" t="s">
        <v>100</v>
      </c>
      <c r="C49" s="29">
        <v>218977</v>
      </c>
      <c r="D49" s="30">
        <v>240286</v>
      </c>
      <c r="E49" s="30">
        <v>281555</v>
      </c>
      <c r="F49" s="30">
        <v>282759</v>
      </c>
      <c r="G49" s="30">
        <v>270280</v>
      </c>
      <c r="H49" s="30">
        <v>294286</v>
      </c>
      <c r="I49" s="30">
        <v>245042</v>
      </c>
      <c r="J49" s="30">
        <v>236540</v>
      </c>
      <c r="K49" s="30">
        <v>245283</v>
      </c>
      <c r="L49" s="30">
        <v>269916</v>
      </c>
      <c r="M49" s="30">
        <v>246825</v>
      </c>
      <c r="N49" s="30">
        <v>251006</v>
      </c>
      <c r="O49" s="30">
        <v>257588</v>
      </c>
      <c r="P49" s="30">
        <v>286115</v>
      </c>
      <c r="Q49" s="30">
        <v>201382</v>
      </c>
      <c r="R49" s="30">
        <v>189819</v>
      </c>
      <c r="S49" s="30">
        <v>287515</v>
      </c>
      <c r="T49" s="30">
        <v>257935</v>
      </c>
      <c r="U49" s="67">
        <v>212134</v>
      </c>
      <c r="V49" s="18">
        <f t="shared" si="0"/>
        <v>4775243</v>
      </c>
    </row>
    <row r="50" spans="1:22">
      <c r="A50" s="1" t="s">
        <v>1</v>
      </c>
      <c r="B50" s="14" t="s">
        <v>101</v>
      </c>
      <c r="C50" s="29">
        <v>218977</v>
      </c>
      <c r="D50" s="30">
        <v>240286</v>
      </c>
      <c r="E50" s="30">
        <v>281555</v>
      </c>
      <c r="F50" s="30">
        <v>282759</v>
      </c>
      <c r="G50" s="30">
        <v>270280</v>
      </c>
      <c r="H50" s="30">
        <v>294286</v>
      </c>
      <c r="I50" s="30">
        <v>245042</v>
      </c>
      <c r="J50" s="30">
        <v>236540</v>
      </c>
      <c r="K50" s="30">
        <v>245283</v>
      </c>
      <c r="L50" s="30">
        <v>269916</v>
      </c>
      <c r="M50" s="30">
        <v>246825</v>
      </c>
      <c r="N50" s="30">
        <v>251006</v>
      </c>
      <c r="O50" s="30">
        <v>257588</v>
      </c>
      <c r="P50" s="30">
        <v>286115</v>
      </c>
      <c r="Q50" s="30">
        <v>201382</v>
      </c>
      <c r="R50" s="30">
        <v>189819</v>
      </c>
      <c r="S50" s="30">
        <v>287515</v>
      </c>
      <c r="T50" s="30">
        <v>257935</v>
      </c>
      <c r="U50" s="67">
        <v>212134</v>
      </c>
      <c r="V50" s="18">
        <f t="shared" si="0"/>
        <v>4775243</v>
      </c>
    </row>
    <row r="51" spans="1:22">
      <c r="A51" s="1" t="s">
        <v>1</v>
      </c>
      <c r="B51" s="14" t="s">
        <v>102</v>
      </c>
      <c r="C51" s="29">
        <v>1</v>
      </c>
      <c r="D51" s="30">
        <v>0</v>
      </c>
      <c r="E51" s="30">
        <v>1</v>
      </c>
      <c r="F51" s="30">
        <v>0</v>
      </c>
      <c r="G51" s="30">
        <v>1</v>
      </c>
      <c r="H51" s="30">
        <v>0</v>
      </c>
      <c r="I51" s="30">
        <v>0</v>
      </c>
      <c r="J51" s="30">
        <v>1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3</v>
      </c>
      <c r="Q51" s="30">
        <v>0</v>
      </c>
      <c r="R51" s="30">
        <v>0</v>
      </c>
      <c r="S51" s="30">
        <v>1</v>
      </c>
      <c r="T51" s="30">
        <v>0</v>
      </c>
      <c r="U51" s="67">
        <v>0</v>
      </c>
      <c r="V51" s="18"/>
    </row>
    <row r="52" spans="1:22" ht="19.5" thickBot="1">
      <c r="A52" s="1" t="s">
        <v>1</v>
      </c>
      <c r="B52" s="10" t="s">
        <v>103</v>
      </c>
      <c r="C52" s="31" t="s">
        <v>104</v>
      </c>
      <c r="D52" s="32" t="s">
        <v>104</v>
      </c>
      <c r="E52" s="32" t="s">
        <v>104</v>
      </c>
      <c r="F52" s="32" t="s">
        <v>104</v>
      </c>
      <c r="G52" s="32" t="s">
        <v>104</v>
      </c>
      <c r="H52" s="32" t="s">
        <v>104</v>
      </c>
      <c r="I52" s="32" t="s">
        <v>104</v>
      </c>
      <c r="J52" s="32" t="s">
        <v>104</v>
      </c>
      <c r="K52" s="32" t="s">
        <v>104</v>
      </c>
      <c r="L52" s="32" t="s">
        <v>104</v>
      </c>
      <c r="M52" s="32" t="s">
        <v>104</v>
      </c>
      <c r="N52" s="32" t="s">
        <v>104</v>
      </c>
      <c r="O52" s="32" t="s">
        <v>104</v>
      </c>
      <c r="P52" s="32" t="s">
        <v>104</v>
      </c>
      <c r="Q52" s="32" t="s">
        <v>104</v>
      </c>
      <c r="R52" s="32" t="s">
        <v>104</v>
      </c>
      <c r="S52" s="32" t="s">
        <v>104</v>
      </c>
      <c r="T52" s="32" t="s">
        <v>104</v>
      </c>
      <c r="U52" s="68" t="s">
        <v>104</v>
      </c>
      <c r="V52" s="12"/>
    </row>
  </sheetData>
  <phoneticPr fontId="3"/>
  <pageMargins left="0.11811023622047245" right="0.11811023622047245" top="0.15748031496062992" bottom="0.15748031496062992" header="0.11811023622047245" footer="0.11811023622047245"/>
  <pageSetup paperSize="12" scale="6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2023年6月度給与 (2)</vt:lpstr>
      <vt:lpstr>2023年6月度給与 (3)</vt:lpstr>
      <vt:lpstr>2023年6月度給与 (4)</vt:lpstr>
      <vt:lpstr>'2023年6月度給与 (3)'!Print_Area</vt:lpstr>
      <vt:lpstr>'2023年6月度給与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道夫 深沢</cp:lastModifiedBy>
  <cp:lastPrinted>2023-08-08T05:02:27Z</cp:lastPrinted>
  <dcterms:created xsi:type="dcterms:W3CDTF">2023-07-10T04:08:34Z</dcterms:created>
  <dcterms:modified xsi:type="dcterms:W3CDTF">2024-09-26T07:12:18Z</dcterms:modified>
</cp:coreProperties>
</file>