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09\"/>
    </mc:Choice>
  </mc:AlternateContent>
  <xr:revisionPtr revIDLastSave="0" documentId="13_ncr:1_{919AF5ED-930E-48D8-86D5-F6D6A8F89242}" xr6:coauthVersionLast="47" xr6:coauthVersionMax="47" xr10:uidLastSave="{00000000-0000-0000-0000-000000000000}"/>
  <bookViews>
    <workbookView xWindow="-120" yWindow="-120" windowWidth="20730" windowHeight="11160" xr2:uid="{3114E2EF-0E26-4C67-A049-6FB9072A771A}"/>
  </bookViews>
  <sheets>
    <sheet name="2023年9月度給与 (2)" sheetId="3" r:id="rId1"/>
  </sheets>
  <definedNames>
    <definedName name="_xlnm.Print_Area" localSheetId="0">'2023年9月度給与 (2)'!$A$1:$O$47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7" i="3" l="1"/>
  <c r="O7" i="3" s="1"/>
  <c r="N8" i="3"/>
  <c r="O8" i="3" s="1"/>
  <c r="N9" i="3"/>
  <c r="O9" i="3" s="1"/>
  <c r="N10" i="3"/>
  <c r="O10" i="3" s="1"/>
  <c r="N11" i="3"/>
  <c r="O11" i="3" s="1"/>
  <c r="N12" i="3"/>
  <c r="O12" i="3" s="1"/>
  <c r="N13" i="3"/>
  <c r="O13" i="3" s="1"/>
  <c r="N14" i="3"/>
  <c r="O14" i="3" s="1"/>
  <c r="N15" i="3"/>
  <c r="O15" i="3" s="1"/>
  <c r="N16" i="3"/>
  <c r="O16" i="3" s="1"/>
  <c r="N17" i="3"/>
  <c r="O17" i="3" s="1"/>
  <c r="N18" i="3"/>
  <c r="O18" i="3" s="1"/>
  <c r="N19" i="3"/>
  <c r="O19" i="3" s="1"/>
  <c r="N20" i="3"/>
  <c r="O20" i="3" s="1"/>
  <c r="N21" i="3"/>
  <c r="O21" i="3" s="1"/>
  <c r="N22" i="3"/>
  <c r="O22" i="3" s="1"/>
  <c r="N23" i="3"/>
  <c r="O23" i="3" s="1"/>
  <c r="N24" i="3"/>
  <c r="O24" i="3" s="1"/>
  <c r="N25" i="3"/>
  <c r="O25" i="3" s="1"/>
  <c r="N26" i="3"/>
  <c r="O26" i="3" s="1"/>
  <c r="N27" i="3"/>
  <c r="O27" i="3" s="1"/>
  <c r="N28" i="3"/>
  <c r="O28" i="3" s="1"/>
  <c r="N29" i="3"/>
  <c r="O29" i="3" s="1"/>
  <c r="N30" i="3"/>
  <c r="O30" i="3" s="1"/>
  <c r="N31" i="3"/>
  <c r="O31" i="3" s="1"/>
  <c r="N32" i="3"/>
  <c r="O32" i="3" s="1"/>
  <c r="N33" i="3"/>
  <c r="O33" i="3" s="1"/>
  <c r="N34" i="3"/>
  <c r="O34" i="3" s="1"/>
  <c r="N35" i="3"/>
  <c r="O35" i="3" s="1"/>
  <c r="N36" i="3"/>
  <c r="O36" i="3" s="1"/>
  <c r="N37" i="3"/>
  <c r="O37" i="3" s="1"/>
  <c r="N38" i="3"/>
  <c r="O38" i="3" s="1"/>
  <c r="N39" i="3"/>
  <c r="O39" i="3" s="1"/>
  <c r="N40" i="3"/>
  <c r="O40" i="3" s="1"/>
  <c r="N41" i="3"/>
  <c r="O41" i="3" s="1"/>
  <c r="N42" i="3"/>
  <c r="O42" i="3" s="1"/>
  <c r="N43" i="3"/>
  <c r="O43" i="3" s="1"/>
  <c r="N44" i="3"/>
  <c r="O44" i="3" s="1"/>
  <c r="N45" i="3"/>
  <c r="O45" i="3" s="1"/>
  <c r="N6" i="3"/>
  <c r="O6" i="3" s="1"/>
  <c r="N5" i="3"/>
  <c r="O5" i="3" s="1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6" i="3"/>
  <c r="F5" i="3"/>
</calcChain>
</file>

<file path=xl/sharedStrings.xml><?xml version="1.0" encoding="utf-8"?>
<sst xmlns="http://schemas.openxmlformats.org/spreadsheetml/2006/main" count="125" uniqueCount="70">
  <si>
    <t>支給控除一覧表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</si>
  <si>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</si>
  <si>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</si>
  <si>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</si>
  <si>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</si>
  <si>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</si>
  <si>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</si>
  <si>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</si>
  <si>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1084</t>
    <phoneticPr fontId="4"/>
  </si>
  <si>
    <t>1093</t>
    <phoneticPr fontId="4"/>
  </si>
  <si>
    <t>1099</t>
    <phoneticPr fontId="4"/>
  </si>
  <si>
    <t>1102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</si>
  <si>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</si>
  <si>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</si>
  <si>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</si>
  <si>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</si>
  <si>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</si>
  <si>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井上　隆良</t>
    <phoneticPr fontId="4"/>
  </si>
  <si>
    <t>大沼　幸夫</t>
    <phoneticPr fontId="4"/>
  </si>
  <si>
    <t>佐藤　禎尚</t>
    <phoneticPr fontId="4"/>
  </si>
  <si>
    <t>土谷　栄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</si>
  <si>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</si>
  <si>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</si>
  <si>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</si>
  <si>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</si>
  <si>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</si>
  <si>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</si>
  <si>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欠勤日数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</si>
  <si>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</si>
  <si>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</si>
  <si>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</si>
  <si>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</si>
  <si>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所定内残業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</si>
  <si>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</si>
  <si>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</si>
  <si>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</si>
  <si>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</si>
  <si>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</si>
  <si>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</si>
  <si>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無事故加算</t>
    <phoneticPr fontId="4"/>
  </si>
  <si>
    <t>調整加算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</si>
  <si>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</si>
  <si>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</si>
  <si>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</si>
  <si>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</si>
  <si>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</si>
  <si>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</si>
  <si>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</si>
  <si>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</si>
  <si>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</si>
  <si>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</si>
  <si>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</si>
  <si>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</si>
  <si>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</si>
  <si>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</si>
  <si>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</si>
  <si>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</si>
  <si>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</si>
  <si>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</si>
  <si>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</si>
  <si>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</si>
  <si>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</si>
  <si>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</si>
  <si>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2023年9月度給与</t>
    <phoneticPr fontId="4"/>
  </si>
  <si>
    <t>小田島健司</t>
    <phoneticPr fontId="4"/>
  </si>
  <si>
    <t>佐藤ゆうこ</t>
    <phoneticPr fontId="4"/>
  </si>
  <si>
    <t>小計</t>
    <rPh sb="0" eb="2">
      <t>ショウケイ</t>
    </rPh>
    <phoneticPr fontId="3"/>
  </si>
  <si>
    <t>3名</t>
    <rPh sb="1" eb="2">
      <t>メイ</t>
    </rPh>
    <phoneticPr fontId="3"/>
  </si>
  <si>
    <t>7名</t>
    <rPh sb="1" eb="2">
      <t>メイ</t>
    </rPh>
    <phoneticPr fontId="3"/>
  </si>
  <si>
    <t>10名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</si>
</sst>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5" xfId="1" applyNumberFormat="1" applyFont="1" applyBorder="1"/>
    <xf numFmtId="3" fontId="2" fillId="0" borderId="0" xfId="1" applyNumberFormat="1" applyFont="1"/>
    <xf numFmtId="3" fontId="2" fillId="0" borderId="5" xfId="1" applyNumberFormat="1" applyFont="1" applyBorder="1"/>
    <xf numFmtId="49" fontId="2" fillId="0" borderId="4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4" xfId="1" applyNumberFormat="1" applyFont="1" applyBorder="1"/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177" fontId="2" fillId="0" borderId="11" xfId="1" applyNumberFormat="1" applyFont="1" applyBorder="1"/>
    <xf numFmtId="177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2" fontId="2" fillId="0" borderId="13" xfId="1" applyNumberFormat="1" applyFont="1" applyBorder="1"/>
    <xf numFmtId="2" fontId="2" fillId="0" borderId="12" xfId="1" applyNumberFormat="1" applyFont="1" applyBorder="1"/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177" fontId="2" fillId="0" borderId="20" xfId="1" applyNumberFormat="1" applyFont="1" applyBorder="1"/>
    <xf numFmtId="177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177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29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right"/>
    </xf>
    <xf numFmtId="0" fontId="2" fillId="0" borderId="2" xfId="1" applyFont="1" applyBorder="1"/>
    <xf numFmtId="0" fontId="2" fillId="0" borderId="4" xfId="1" applyFont="1" applyBorder="1" applyAlignment="1">
      <alignment horizontal="right"/>
    </xf>
  </cellXfs>
  <cellStyles count="2">
    <cellStyle name="標準" xfId="0" builtinId="0"/>
    <cellStyle name="標準 2" xfId="1" xr:uid="{ED2EAC57-3351-49CD-B9BC-9F4E8AEDE9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BCE85-38A5-4CDD-A8D6-63B060B08FFB}">
  <sheetPr>
    <pageSetUpPr fitToPage="1"/>
  </sheetPr>
  <dimension ref="A1:O47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5" width="10.875" style="2" customWidth="1"/>
    <col min="16" max="257" width="9" style="2"/>
    <col min="258" max="258" width="2.375" style="2" customWidth="1"/>
    <col min="259" max="259" width="13.25" style="2" bestFit="1" customWidth="1"/>
    <col min="260" max="261" width="9" style="2"/>
    <col min="262" max="264" width="11.125" style="2" bestFit="1" customWidth="1"/>
    <col min="265" max="265" width="13.25" style="2" bestFit="1" customWidth="1"/>
    <col min="266" max="267" width="11.125" style="2" bestFit="1" customWidth="1"/>
    <col min="268" max="268" width="9" style="2"/>
    <col min="269" max="269" width="13.25" style="2" bestFit="1" customWidth="1"/>
    <col min="270" max="270" width="9.625" style="2" bestFit="1" customWidth="1"/>
    <col min="271" max="513" width="9" style="2"/>
    <col min="514" max="514" width="2.375" style="2" customWidth="1"/>
    <col min="515" max="515" width="13.25" style="2" bestFit="1" customWidth="1"/>
    <col min="516" max="517" width="9" style="2"/>
    <col min="518" max="520" width="11.125" style="2" bestFit="1" customWidth="1"/>
    <col min="521" max="521" width="13.25" style="2" bestFit="1" customWidth="1"/>
    <col min="522" max="523" width="11.125" style="2" bestFit="1" customWidth="1"/>
    <col min="524" max="524" width="9" style="2"/>
    <col min="525" max="525" width="13.25" style="2" bestFit="1" customWidth="1"/>
    <col min="526" max="526" width="9.625" style="2" bestFit="1" customWidth="1"/>
    <col min="527" max="769" width="9" style="2"/>
    <col min="770" max="770" width="2.375" style="2" customWidth="1"/>
    <col min="771" max="771" width="13.25" style="2" bestFit="1" customWidth="1"/>
    <col min="772" max="773" width="9" style="2"/>
    <col min="774" max="776" width="11.125" style="2" bestFit="1" customWidth="1"/>
    <col min="777" max="777" width="13.25" style="2" bestFit="1" customWidth="1"/>
    <col min="778" max="779" width="11.125" style="2" bestFit="1" customWidth="1"/>
    <col min="780" max="780" width="9" style="2"/>
    <col min="781" max="781" width="13.25" style="2" bestFit="1" customWidth="1"/>
    <col min="782" max="782" width="9.625" style="2" bestFit="1" customWidth="1"/>
    <col min="783" max="1025" width="9" style="2"/>
    <col min="1026" max="1026" width="2.375" style="2" customWidth="1"/>
    <col min="1027" max="1027" width="13.25" style="2" bestFit="1" customWidth="1"/>
    <col min="1028" max="1029" width="9" style="2"/>
    <col min="1030" max="1032" width="11.125" style="2" bestFit="1" customWidth="1"/>
    <col min="1033" max="1033" width="13.25" style="2" bestFit="1" customWidth="1"/>
    <col min="1034" max="1035" width="11.125" style="2" bestFit="1" customWidth="1"/>
    <col min="1036" max="1036" width="9" style="2"/>
    <col min="1037" max="1037" width="13.25" style="2" bestFit="1" customWidth="1"/>
    <col min="1038" max="1038" width="9.625" style="2" bestFit="1" customWidth="1"/>
    <col min="1039" max="1281" width="9" style="2"/>
    <col min="1282" max="1282" width="2.375" style="2" customWidth="1"/>
    <col min="1283" max="1283" width="13.25" style="2" bestFit="1" customWidth="1"/>
    <col min="1284" max="1285" width="9" style="2"/>
    <col min="1286" max="1288" width="11.125" style="2" bestFit="1" customWidth="1"/>
    <col min="1289" max="1289" width="13.25" style="2" bestFit="1" customWidth="1"/>
    <col min="1290" max="1291" width="11.125" style="2" bestFit="1" customWidth="1"/>
    <col min="1292" max="1292" width="9" style="2"/>
    <col min="1293" max="1293" width="13.25" style="2" bestFit="1" customWidth="1"/>
    <col min="1294" max="1294" width="9.625" style="2" bestFit="1" customWidth="1"/>
    <col min="1295" max="1537" width="9" style="2"/>
    <col min="1538" max="1538" width="2.375" style="2" customWidth="1"/>
    <col min="1539" max="1539" width="13.25" style="2" bestFit="1" customWidth="1"/>
    <col min="1540" max="1541" width="9" style="2"/>
    <col min="1542" max="1544" width="11.125" style="2" bestFit="1" customWidth="1"/>
    <col min="1545" max="1545" width="13.25" style="2" bestFit="1" customWidth="1"/>
    <col min="1546" max="1547" width="11.125" style="2" bestFit="1" customWidth="1"/>
    <col min="1548" max="1548" width="9" style="2"/>
    <col min="1549" max="1549" width="13.25" style="2" bestFit="1" customWidth="1"/>
    <col min="1550" max="1550" width="9.625" style="2" bestFit="1" customWidth="1"/>
    <col min="1551" max="1793" width="9" style="2"/>
    <col min="1794" max="1794" width="2.375" style="2" customWidth="1"/>
    <col min="1795" max="1795" width="13.25" style="2" bestFit="1" customWidth="1"/>
    <col min="1796" max="1797" width="9" style="2"/>
    <col min="1798" max="1800" width="11.125" style="2" bestFit="1" customWidth="1"/>
    <col min="1801" max="1801" width="13.25" style="2" bestFit="1" customWidth="1"/>
    <col min="1802" max="1803" width="11.125" style="2" bestFit="1" customWidth="1"/>
    <col min="1804" max="1804" width="9" style="2"/>
    <col min="1805" max="1805" width="13.25" style="2" bestFit="1" customWidth="1"/>
    <col min="1806" max="1806" width="9.625" style="2" bestFit="1" customWidth="1"/>
    <col min="1807" max="2049" width="9" style="2"/>
    <col min="2050" max="2050" width="2.375" style="2" customWidth="1"/>
    <col min="2051" max="2051" width="13.25" style="2" bestFit="1" customWidth="1"/>
    <col min="2052" max="2053" width="9" style="2"/>
    <col min="2054" max="2056" width="11.125" style="2" bestFit="1" customWidth="1"/>
    <col min="2057" max="2057" width="13.25" style="2" bestFit="1" customWidth="1"/>
    <col min="2058" max="2059" width="11.125" style="2" bestFit="1" customWidth="1"/>
    <col min="2060" max="2060" width="9" style="2"/>
    <col min="2061" max="2061" width="13.25" style="2" bestFit="1" customWidth="1"/>
    <col min="2062" max="2062" width="9.625" style="2" bestFit="1" customWidth="1"/>
    <col min="2063" max="2305" width="9" style="2"/>
    <col min="2306" max="2306" width="2.375" style="2" customWidth="1"/>
    <col min="2307" max="2307" width="13.25" style="2" bestFit="1" customWidth="1"/>
    <col min="2308" max="2309" width="9" style="2"/>
    <col min="2310" max="2312" width="11.125" style="2" bestFit="1" customWidth="1"/>
    <col min="2313" max="2313" width="13.25" style="2" bestFit="1" customWidth="1"/>
    <col min="2314" max="2315" width="11.125" style="2" bestFit="1" customWidth="1"/>
    <col min="2316" max="2316" width="9" style="2"/>
    <col min="2317" max="2317" width="13.25" style="2" bestFit="1" customWidth="1"/>
    <col min="2318" max="2318" width="9.625" style="2" bestFit="1" customWidth="1"/>
    <col min="2319" max="2561" width="9" style="2"/>
    <col min="2562" max="2562" width="2.375" style="2" customWidth="1"/>
    <col min="2563" max="2563" width="13.25" style="2" bestFit="1" customWidth="1"/>
    <col min="2564" max="2565" width="9" style="2"/>
    <col min="2566" max="2568" width="11.125" style="2" bestFit="1" customWidth="1"/>
    <col min="2569" max="2569" width="13.25" style="2" bestFit="1" customWidth="1"/>
    <col min="2570" max="2571" width="11.125" style="2" bestFit="1" customWidth="1"/>
    <col min="2572" max="2572" width="9" style="2"/>
    <col min="2573" max="2573" width="13.25" style="2" bestFit="1" customWidth="1"/>
    <col min="2574" max="2574" width="9.625" style="2" bestFit="1" customWidth="1"/>
    <col min="2575" max="2817" width="9" style="2"/>
    <col min="2818" max="2818" width="2.375" style="2" customWidth="1"/>
    <col min="2819" max="2819" width="13.25" style="2" bestFit="1" customWidth="1"/>
    <col min="2820" max="2821" width="9" style="2"/>
    <col min="2822" max="2824" width="11.125" style="2" bestFit="1" customWidth="1"/>
    <col min="2825" max="2825" width="13.25" style="2" bestFit="1" customWidth="1"/>
    <col min="2826" max="2827" width="11.125" style="2" bestFit="1" customWidth="1"/>
    <col min="2828" max="2828" width="9" style="2"/>
    <col min="2829" max="2829" width="13.25" style="2" bestFit="1" customWidth="1"/>
    <col min="2830" max="2830" width="9.625" style="2" bestFit="1" customWidth="1"/>
    <col min="2831" max="3073" width="9" style="2"/>
    <col min="3074" max="3074" width="2.375" style="2" customWidth="1"/>
    <col min="3075" max="3075" width="13.25" style="2" bestFit="1" customWidth="1"/>
    <col min="3076" max="3077" width="9" style="2"/>
    <col min="3078" max="3080" width="11.125" style="2" bestFit="1" customWidth="1"/>
    <col min="3081" max="3081" width="13.25" style="2" bestFit="1" customWidth="1"/>
    <col min="3082" max="3083" width="11.125" style="2" bestFit="1" customWidth="1"/>
    <col min="3084" max="3084" width="9" style="2"/>
    <col min="3085" max="3085" width="13.25" style="2" bestFit="1" customWidth="1"/>
    <col min="3086" max="3086" width="9.625" style="2" bestFit="1" customWidth="1"/>
    <col min="3087" max="3329" width="9" style="2"/>
    <col min="3330" max="3330" width="2.375" style="2" customWidth="1"/>
    <col min="3331" max="3331" width="13.25" style="2" bestFit="1" customWidth="1"/>
    <col min="3332" max="3333" width="9" style="2"/>
    <col min="3334" max="3336" width="11.125" style="2" bestFit="1" customWidth="1"/>
    <col min="3337" max="3337" width="13.25" style="2" bestFit="1" customWidth="1"/>
    <col min="3338" max="3339" width="11.125" style="2" bestFit="1" customWidth="1"/>
    <col min="3340" max="3340" width="9" style="2"/>
    <col min="3341" max="3341" width="13.25" style="2" bestFit="1" customWidth="1"/>
    <col min="3342" max="3342" width="9.625" style="2" bestFit="1" customWidth="1"/>
    <col min="3343" max="3585" width="9" style="2"/>
    <col min="3586" max="3586" width="2.375" style="2" customWidth="1"/>
    <col min="3587" max="3587" width="13.25" style="2" bestFit="1" customWidth="1"/>
    <col min="3588" max="3589" width="9" style="2"/>
    <col min="3590" max="3592" width="11.125" style="2" bestFit="1" customWidth="1"/>
    <col min="3593" max="3593" width="13.25" style="2" bestFit="1" customWidth="1"/>
    <col min="3594" max="3595" width="11.125" style="2" bestFit="1" customWidth="1"/>
    <col min="3596" max="3596" width="9" style="2"/>
    <col min="3597" max="3597" width="13.25" style="2" bestFit="1" customWidth="1"/>
    <col min="3598" max="3598" width="9.625" style="2" bestFit="1" customWidth="1"/>
    <col min="3599" max="3841" width="9" style="2"/>
    <col min="3842" max="3842" width="2.375" style="2" customWidth="1"/>
    <col min="3843" max="3843" width="13.25" style="2" bestFit="1" customWidth="1"/>
    <col min="3844" max="3845" width="9" style="2"/>
    <col min="3846" max="3848" width="11.125" style="2" bestFit="1" customWidth="1"/>
    <col min="3849" max="3849" width="13.25" style="2" bestFit="1" customWidth="1"/>
    <col min="3850" max="3851" width="11.125" style="2" bestFit="1" customWidth="1"/>
    <col min="3852" max="3852" width="9" style="2"/>
    <col min="3853" max="3853" width="13.25" style="2" bestFit="1" customWidth="1"/>
    <col min="3854" max="3854" width="9.625" style="2" bestFit="1" customWidth="1"/>
    <col min="3855" max="4097" width="9" style="2"/>
    <col min="4098" max="4098" width="2.375" style="2" customWidth="1"/>
    <col min="4099" max="4099" width="13.25" style="2" bestFit="1" customWidth="1"/>
    <col min="4100" max="4101" width="9" style="2"/>
    <col min="4102" max="4104" width="11.125" style="2" bestFit="1" customWidth="1"/>
    <col min="4105" max="4105" width="13.25" style="2" bestFit="1" customWidth="1"/>
    <col min="4106" max="4107" width="11.125" style="2" bestFit="1" customWidth="1"/>
    <col min="4108" max="4108" width="9" style="2"/>
    <col min="4109" max="4109" width="13.25" style="2" bestFit="1" customWidth="1"/>
    <col min="4110" max="4110" width="9.625" style="2" bestFit="1" customWidth="1"/>
    <col min="4111" max="4353" width="9" style="2"/>
    <col min="4354" max="4354" width="2.375" style="2" customWidth="1"/>
    <col min="4355" max="4355" width="13.25" style="2" bestFit="1" customWidth="1"/>
    <col min="4356" max="4357" width="9" style="2"/>
    <col min="4358" max="4360" width="11.125" style="2" bestFit="1" customWidth="1"/>
    <col min="4361" max="4361" width="13.25" style="2" bestFit="1" customWidth="1"/>
    <col min="4362" max="4363" width="11.125" style="2" bestFit="1" customWidth="1"/>
    <col min="4364" max="4364" width="9" style="2"/>
    <col min="4365" max="4365" width="13.25" style="2" bestFit="1" customWidth="1"/>
    <col min="4366" max="4366" width="9.625" style="2" bestFit="1" customWidth="1"/>
    <col min="4367" max="4609" width="9" style="2"/>
    <col min="4610" max="4610" width="2.375" style="2" customWidth="1"/>
    <col min="4611" max="4611" width="13.25" style="2" bestFit="1" customWidth="1"/>
    <col min="4612" max="4613" width="9" style="2"/>
    <col min="4614" max="4616" width="11.125" style="2" bestFit="1" customWidth="1"/>
    <col min="4617" max="4617" width="13.25" style="2" bestFit="1" customWidth="1"/>
    <col min="4618" max="4619" width="11.125" style="2" bestFit="1" customWidth="1"/>
    <col min="4620" max="4620" width="9" style="2"/>
    <col min="4621" max="4621" width="13.25" style="2" bestFit="1" customWidth="1"/>
    <col min="4622" max="4622" width="9.625" style="2" bestFit="1" customWidth="1"/>
    <col min="4623" max="4865" width="9" style="2"/>
    <col min="4866" max="4866" width="2.375" style="2" customWidth="1"/>
    <col min="4867" max="4867" width="13.25" style="2" bestFit="1" customWidth="1"/>
    <col min="4868" max="4869" width="9" style="2"/>
    <col min="4870" max="4872" width="11.125" style="2" bestFit="1" customWidth="1"/>
    <col min="4873" max="4873" width="13.25" style="2" bestFit="1" customWidth="1"/>
    <col min="4874" max="4875" width="11.125" style="2" bestFit="1" customWidth="1"/>
    <col min="4876" max="4876" width="9" style="2"/>
    <col min="4877" max="4877" width="13.25" style="2" bestFit="1" customWidth="1"/>
    <col min="4878" max="4878" width="9.625" style="2" bestFit="1" customWidth="1"/>
    <col min="4879" max="5121" width="9" style="2"/>
    <col min="5122" max="5122" width="2.375" style="2" customWidth="1"/>
    <col min="5123" max="5123" width="13.25" style="2" bestFit="1" customWidth="1"/>
    <col min="5124" max="5125" width="9" style="2"/>
    <col min="5126" max="5128" width="11.125" style="2" bestFit="1" customWidth="1"/>
    <col min="5129" max="5129" width="13.25" style="2" bestFit="1" customWidth="1"/>
    <col min="5130" max="5131" width="11.125" style="2" bestFit="1" customWidth="1"/>
    <col min="5132" max="5132" width="9" style="2"/>
    <col min="5133" max="5133" width="13.25" style="2" bestFit="1" customWidth="1"/>
    <col min="5134" max="5134" width="9.625" style="2" bestFit="1" customWidth="1"/>
    <col min="5135" max="5377" width="9" style="2"/>
    <col min="5378" max="5378" width="2.375" style="2" customWidth="1"/>
    <col min="5379" max="5379" width="13.25" style="2" bestFit="1" customWidth="1"/>
    <col min="5380" max="5381" width="9" style="2"/>
    <col min="5382" max="5384" width="11.125" style="2" bestFit="1" customWidth="1"/>
    <col min="5385" max="5385" width="13.25" style="2" bestFit="1" customWidth="1"/>
    <col min="5386" max="5387" width="11.125" style="2" bestFit="1" customWidth="1"/>
    <col min="5388" max="5388" width="9" style="2"/>
    <col min="5389" max="5389" width="13.25" style="2" bestFit="1" customWidth="1"/>
    <col min="5390" max="5390" width="9.625" style="2" bestFit="1" customWidth="1"/>
    <col min="5391" max="5633" width="9" style="2"/>
    <col min="5634" max="5634" width="2.375" style="2" customWidth="1"/>
    <col min="5635" max="5635" width="13.25" style="2" bestFit="1" customWidth="1"/>
    <col min="5636" max="5637" width="9" style="2"/>
    <col min="5638" max="5640" width="11.125" style="2" bestFit="1" customWidth="1"/>
    <col min="5641" max="5641" width="13.25" style="2" bestFit="1" customWidth="1"/>
    <col min="5642" max="5643" width="11.125" style="2" bestFit="1" customWidth="1"/>
    <col min="5644" max="5644" width="9" style="2"/>
    <col min="5645" max="5645" width="13.25" style="2" bestFit="1" customWidth="1"/>
    <col min="5646" max="5646" width="9.625" style="2" bestFit="1" customWidth="1"/>
    <col min="5647" max="5889" width="9" style="2"/>
    <col min="5890" max="5890" width="2.375" style="2" customWidth="1"/>
    <col min="5891" max="5891" width="13.25" style="2" bestFit="1" customWidth="1"/>
    <col min="5892" max="5893" width="9" style="2"/>
    <col min="5894" max="5896" width="11.125" style="2" bestFit="1" customWidth="1"/>
    <col min="5897" max="5897" width="13.25" style="2" bestFit="1" customWidth="1"/>
    <col min="5898" max="5899" width="11.125" style="2" bestFit="1" customWidth="1"/>
    <col min="5900" max="5900" width="9" style="2"/>
    <col min="5901" max="5901" width="13.25" style="2" bestFit="1" customWidth="1"/>
    <col min="5902" max="5902" width="9.625" style="2" bestFit="1" customWidth="1"/>
    <col min="5903" max="6145" width="9" style="2"/>
    <col min="6146" max="6146" width="2.375" style="2" customWidth="1"/>
    <col min="6147" max="6147" width="13.25" style="2" bestFit="1" customWidth="1"/>
    <col min="6148" max="6149" width="9" style="2"/>
    <col min="6150" max="6152" width="11.125" style="2" bestFit="1" customWidth="1"/>
    <col min="6153" max="6153" width="13.25" style="2" bestFit="1" customWidth="1"/>
    <col min="6154" max="6155" width="11.125" style="2" bestFit="1" customWidth="1"/>
    <col min="6156" max="6156" width="9" style="2"/>
    <col min="6157" max="6157" width="13.25" style="2" bestFit="1" customWidth="1"/>
    <col min="6158" max="6158" width="9.625" style="2" bestFit="1" customWidth="1"/>
    <col min="6159" max="6401" width="9" style="2"/>
    <col min="6402" max="6402" width="2.375" style="2" customWidth="1"/>
    <col min="6403" max="6403" width="13.25" style="2" bestFit="1" customWidth="1"/>
    <col min="6404" max="6405" width="9" style="2"/>
    <col min="6406" max="6408" width="11.125" style="2" bestFit="1" customWidth="1"/>
    <col min="6409" max="6409" width="13.25" style="2" bestFit="1" customWidth="1"/>
    <col min="6410" max="6411" width="11.125" style="2" bestFit="1" customWidth="1"/>
    <col min="6412" max="6412" width="9" style="2"/>
    <col min="6413" max="6413" width="13.25" style="2" bestFit="1" customWidth="1"/>
    <col min="6414" max="6414" width="9.625" style="2" bestFit="1" customWidth="1"/>
    <col min="6415" max="6657" width="9" style="2"/>
    <col min="6658" max="6658" width="2.375" style="2" customWidth="1"/>
    <col min="6659" max="6659" width="13.25" style="2" bestFit="1" customWidth="1"/>
    <col min="6660" max="6661" width="9" style="2"/>
    <col min="6662" max="6664" width="11.125" style="2" bestFit="1" customWidth="1"/>
    <col min="6665" max="6665" width="13.25" style="2" bestFit="1" customWidth="1"/>
    <col min="6666" max="6667" width="11.125" style="2" bestFit="1" customWidth="1"/>
    <col min="6668" max="6668" width="9" style="2"/>
    <col min="6669" max="6669" width="13.25" style="2" bestFit="1" customWidth="1"/>
    <col min="6670" max="6670" width="9.625" style="2" bestFit="1" customWidth="1"/>
    <col min="6671" max="6913" width="9" style="2"/>
    <col min="6914" max="6914" width="2.375" style="2" customWidth="1"/>
    <col min="6915" max="6915" width="13.25" style="2" bestFit="1" customWidth="1"/>
    <col min="6916" max="6917" width="9" style="2"/>
    <col min="6918" max="6920" width="11.125" style="2" bestFit="1" customWidth="1"/>
    <col min="6921" max="6921" width="13.25" style="2" bestFit="1" customWidth="1"/>
    <col min="6922" max="6923" width="11.125" style="2" bestFit="1" customWidth="1"/>
    <col min="6924" max="6924" width="9" style="2"/>
    <col min="6925" max="6925" width="13.25" style="2" bestFit="1" customWidth="1"/>
    <col min="6926" max="6926" width="9.625" style="2" bestFit="1" customWidth="1"/>
    <col min="6927" max="7169" width="9" style="2"/>
    <col min="7170" max="7170" width="2.375" style="2" customWidth="1"/>
    <col min="7171" max="7171" width="13.25" style="2" bestFit="1" customWidth="1"/>
    <col min="7172" max="7173" width="9" style="2"/>
    <col min="7174" max="7176" width="11.125" style="2" bestFit="1" customWidth="1"/>
    <col min="7177" max="7177" width="13.25" style="2" bestFit="1" customWidth="1"/>
    <col min="7178" max="7179" width="11.125" style="2" bestFit="1" customWidth="1"/>
    <col min="7180" max="7180" width="9" style="2"/>
    <col min="7181" max="7181" width="13.25" style="2" bestFit="1" customWidth="1"/>
    <col min="7182" max="7182" width="9.625" style="2" bestFit="1" customWidth="1"/>
    <col min="7183" max="7425" width="9" style="2"/>
    <col min="7426" max="7426" width="2.375" style="2" customWidth="1"/>
    <col min="7427" max="7427" width="13.25" style="2" bestFit="1" customWidth="1"/>
    <col min="7428" max="7429" width="9" style="2"/>
    <col min="7430" max="7432" width="11.125" style="2" bestFit="1" customWidth="1"/>
    <col min="7433" max="7433" width="13.25" style="2" bestFit="1" customWidth="1"/>
    <col min="7434" max="7435" width="11.125" style="2" bestFit="1" customWidth="1"/>
    <col min="7436" max="7436" width="9" style="2"/>
    <col min="7437" max="7437" width="13.25" style="2" bestFit="1" customWidth="1"/>
    <col min="7438" max="7438" width="9.625" style="2" bestFit="1" customWidth="1"/>
    <col min="7439" max="7681" width="9" style="2"/>
    <col min="7682" max="7682" width="2.375" style="2" customWidth="1"/>
    <col min="7683" max="7683" width="13.25" style="2" bestFit="1" customWidth="1"/>
    <col min="7684" max="7685" width="9" style="2"/>
    <col min="7686" max="7688" width="11.125" style="2" bestFit="1" customWidth="1"/>
    <col min="7689" max="7689" width="13.25" style="2" bestFit="1" customWidth="1"/>
    <col min="7690" max="7691" width="11.125" style="2" bestFit="1" customWidth="1"/>
    <col min="7692" max="7692" width="9" style="2"/>
    <col min="7693" max="7693" width="13.25" style="2" bestFit="1" customWidth="1"/>
    <col min="7694" max="7694" width="9.625" style="2" bestFit="1" customWidth="1"/>
    <col min="7695" max="7937" width="9" style="2"/>
    <col min="7938" max="7938" width="2.375" style="2" customWidth="1"/>
    <col min="7939" max="7939" width="13.25" style="2" bestFit="1" customWidth="1"/>
    <col min="7940" max="7941" width="9" style="2"/>
    <col min="7942" max="7944" width="11.125" style="2" bestFit="1" customWidth="1"/>
    <col min="7945" max="7945" width="13.25" style="2" bestFit="1" customWidth="1"/>
    <col min="7946" max="7947" width="11.125" style="2" bestFit="1" customWidth="1"/>
    <col min="7948" max="7948" width="9" style="2"/>
    <col min="7949" max="7949" width="13.25" style="2" bestFit="1" customWidth="1"/>
    <col min="7950" max="7950" width="9.625" style="2" bestFit="1" customWidth="1"/>
    <col min="7951" max="8193" width="9" style="2"/>
    <col min="8194" max="8194" width="2.375" style="2" customWidth="1"/>
    <col min="8195" max="8195" width="13.25" style="2" bestFit="1" customWidth="1"/>
    <col min="8196" max="8197" width="9" style="2"/>
    <col min="8198" max="8200" width="11.125" style="2" bestFit="1" customWidth="1"/>
    <col min="8201" max="8201" width="13.25" style="2" bestFit="1" customWidth="1"/>
    <col min="8202" max="8203" width="11.125" style="2" bestFit="1" customWidth="1"/>
    <col min="8204" max="8204" width="9" style="2"/>
    <col min="8205" max="8205" width="13.25" style="2" bestFit="1" customWidth="1"/>
    <col min="8206" max="8206" width="9.625" style="2" bestFit="1" customWidth="1"/>
    <col min="8207" max="8449" width="9" style="2"/>
    <col min="8450" max="8450" width="2.375" style="2" customWidth="1"/>
    <col min="8451" max="8451" width="13.25" style="2" bestFit="1" customWidth="1"/>
    <col min="8452" max="8453" width="9" style="2"/>
    <col min="8454" max="8456" width="11.125" style="2" bestFit="1" customWidth="1"/>
    <col min="8457" max="8457" width="13.25" style="2" bestFit="1" customWidth="1"/>
    <col min="8458" max="8459" width="11.125" style="2" bestFit="1" customWidth="1"/>
    <col min="8460" max="8460" width="9" style="2"/>
    <col min="8461" max="8461" width="13.25" style="2" bestFit="1" customWidth="1"/>
    <col min="8462" max="8462" width="9.625" style="2" bestFit="1" customWidth="1"/>
    <col min="8463" max="8705" width="9" style="2"/>
    <col min="8706" max="8706" width="2.375" style="2" customWidth="1"/>
    <col min="8707" max="8707" width="13.25" style="2" bestFit="1" customWidth="1"/>
    <col min="8708" max="8709" width="9" style="2"/>
    <col min="8710" max="8712" width="11.125" style="2" bestFit="1" customWidth="1"/>
    <col min="8713" max="8713" width="13.25" style="2" bestFit="1" customWidth="1"/>
    <col min="8714" max="8715" width="11.125" style="2" bestFit="1" customWidth="1"/>
    <col min="8716" max="8716" width="9" style="2"/>
    <col min="8717" max="8717" width="13.25" style="2" bestFit="1" customWidth="1"/>
    <col min="8718" max="8718" width="9.625" style="2" bestFit="1" customWidth="1"/>
    <col min="8719" max="8961" width="9" style="2"/>
    <col min="8962" max="8962" width="2.375" style="2" customWidth="1"/>
    <col min="8963" max="8963" width="13.25" style="2" bestFit="1" customWidth="1"/>
    <col min="8964" max="8965" width="9" style="2"/>
    <col min="8966" max="8968" width="11.125" style="2" bestFit="1" customWidth="1"/>
    <col min="8969" max="8969" width="13.25" style="2" bestFit="1" customWidth="1"/>
    <col min="8970" max="8971" width="11.125" style="2" bestFit="1" customWidth="1"/>
    <col min="8972" max="8972" width="9" style="2"/>
    <col min="8973" max="8973" width="13.25" style="2" bestFit="1" customWidth="1"/>
    <col min="8974" max="8974" width="9.625" style="2" bestFit="1" customWidth="1"/>
    <col min="8975" max="9217" width="9" style="2"/>
    <col min="9218" max="9218" width="2.375" style="2" customWidth="1"/>
    <col min="9219" max="9219" width="13.25" style="2" bestFit="1" customWidth="1"/>
    <col min="9220" max="9221" width="9" style="2"/>
    <col min="9222" max="9224" width="11.125" style="2" bestFit="1" customWidth="1"/>
    <col min="9225" max="9225" width="13.25" style="2" bestFit="1" customWidth="1"/>
    <col min="9226" max="9227" width="11.125" style="2" bestFit="1" customWidth="1"/>
    <col min="9228" max="9228" width="9" style="2"/>
    <col min="9229" max="9229" width="13.25" style="2" bestFit="1" customWidth="1"/>
    <col min="9230" max="9230" width="9.625" style="2" bestFit="1" customWidth="1"/>
    <col min="9231" max="9473" width="9" style="2"/>
    <col min="9474" max="9474" width="2.375" style="2" customWidth="1"/>
    <col min="9475" max="9475" width="13.25" style="2" bestFit="1" customWidth="1"/>
    <col min="9476" max="9477" width="9" style="2"/>
    <col min="9478" max="9480" width="11.125" style="2" bestFit="1" customWidth="1"/>
    <col min="9481" max="9481" width="13.25" style="2" bestFit="1" customWidth="1"/>
    <col min="9482" max="9483" width="11.125" style="2" bestFit="1" customWidth="1"/>
    <col min="9484" max="9484" width="9" style="2"/>
    <col min="9485" max="9485" width="13.25" style="2" bestFit="1" customWidth="1"/>
    <col min="9486" max="9486" width="9.625" style="2" bestFit="1" customWidth="1"/>
    <col min="9487" max="9729" width="9" style="2"/>
    <col min="9730" max="9730" width="2.375" style="2" customWidth="1"/>
    <col min="9731" max="9731" width="13.25" style="2" bestFit="1" customWidth="1"/>
    <col min="9732" max="9733" width="9" style="2"/>
    <col min="9734" max="9736" width="11.125" style="2" bestFit="1" customWidth="1"/>
    <col min="9737" max="9737" width="13.25" style="2" bestFit="1" customWidth="1"/>
    <col min="9738" max="9739" width="11.125" style="2" bestFit="1" customWidth="1"/>
    <col min="9740" max="9740" width="9" style="2"/>
    <col min="9741" max="9741" width="13.25" style="2" bestFit="1" customWidth="1"/>
    <col min="9742" max="9742" width="9.625" style="2" bestFit="1" customWidth="1"/>
    <col min="9743" max="9985" width="9" style="2"/>
    <col min="9986" max="9986" width="2.375" style="2" customWidth="1"/>
    <col min="9987" max="9987" width="13.25" style="2" bestFit="1" customWidth="1"/>
    <col min="9988" max="9989" width="9" style="2"/>
    <col min="9990" max="9992" width="11.125" style="2" bestFit="1" customWidth="1"/>
    <col min="9993" max="9993" width="13.25" style="2" bestFit="1" customWidth="1"/>
    <col min="9994" max="9995" width="11.125" style="2" bestFit="1" customWidth="1"/>
    <col min="9996" max="9996" width="9" style="2"/>
    <col min="9997" max="9997" width="13.25" style="2" bestFit="1" customWidth="1"/>
    <col min="9998" max="9998" width="9.625" style="2" bestFit="1" customWidth="1"/>
    <col min="9999" max="10241" width="9" style="2"/>
    <col min="10242" max="10242" width="2.375" style="2" customWidth="1"/>
    <col min="10243" max="10243" width="13.25" style="2" bestFit="1" customWidth="1"/>
    <col min="10244" max="10245" width="9" style="2"/>
    <col min="10246" max="10248" width="11.125" style="2" bestFit="1" customWidth="1"/>
    <col min="10249" max="10249" width="13.25" style="2" bestFit="1" customWidth="1"/>
    <col min="10250" max="10251" width="11.125" style="2" bestFit="1" customWidth="1"/>
    <col min="10252" max="10252" width="9" style="2"/>
    <col min="10253" max="10253" width="13.25" style="2" bestFit="1" customWidth="1"/>
    <col min="10254" max="10254" width="9.625" style="2" bestFit="1" customWidth="1"/>
    <col min="10255" max="10497" width="9" style="2"/>
    <col min="10498" max="10498" width="2.375" style="2" customWidth="1"/>
    <col min="10499" max="10499" width="13.25" style="2" bestFit="1" customWidth="1"/>
    <col min="10500" max="10501" width="9" style="2"/>
    <col min="10502" max="10504" width="11.125" style="2" bestFit="1" customWidth="1"/>
    <col min="10505" max="10505" width="13.25" style="2" bestFit="1" customWidth="1"/>
    <col min="10506" max="10507" width="11.125" style="2" bestFit="1" customWidth="1"/>
    <col min="10508" max="10508" width="9" style="2"/>
    <col min="10509" max="10509" width="13.25" style="2" bestFit="1" customWidth="1"/>
    <col min="10510" max="10510" width="9.625" style="2" bestFit="1" customWidth="1"/>
    <col min="10511" max="10753" width="9" style="2"/>
    <col min="10754" max="10754" width="2.375" style="2" customWidth="1"/>
    <col min="10755" max="10755" width="13.25" style="2" bestFit="1" customWidth="1"/>
    <col min="10756" max="10757" width="9" style="2"/>
    <col min="10758" max="10760" width="11.125" style="2" bestFit="1" customWidth="1"/>
    <col min="10761" max="10761" width="13.25" style="2" bestFit="1" customWidth="1"/>
    <col min="10762" max="10763" width="11.125" style="2" bestFit="1" customWidth="1"/>
    <col min="10764" max="10764" width="9" style="2"/>
    <col min="10765" max="10765" width="13.25" style="2" bestFit="1" customWidth="1"/>
    <col min="10766" max="10766" width="9.625" style="2" bestFit="1" customWidth="1"/>
    <col min="10767" max="11009" width="9" style="2"/>
    <col min="11010" max="11010" width="2.375" style="2" customWidth="1"/>
    <col min="11011" max="11011" width="13.25" style="2" bestFit="1" customWidth="1"/>
    <col min="11012" max="11013" width="9" style="2"/>
    <col min="11014" max="11016" width="11.125" style="2" bestFit="1" customWidth="1"/>
    <col min="11017" max="11017" width="13.25" style="2" bestFit="1" customWidth="1"/>
    <col min="11018" max="11019" width="11.125" style="2" bestFit="1" customWidth="1"/>
    <col min="11020" max="11020" width="9" style="2"/>
    <col min="11021" max="11021" width="13.25" style="2" bestFit="1" customWidth="1"/>
    <col min="11022" max="11022" width="9.625" style="2" bestFit="1" customWidth="1"/>
    <col min="11023" max="11265" width="9" style="2"/>
    <col min="11266" max="11266" width="2.375" style="2" customWidth="1"/>
    <col min="11267" max="11267" width="13.25" style="2" bestFit="1" customWidth="1"/>
    <col min="11268" max="11269" width="9" style="2"/>
    <col min="11270" max="11272" width="11.125" style="2" bestFit="1" customWidth="1"/>
    <col min="11273" max="11273" width="13.25" style="2" bestFit="1" customWidth="1"/>
    <col min="11274" max="11275" width="11.125" style="2" bestFit="1" customWidth="1"/>
    <col min="11276" max="11276" width="9" style="2"/>
    <col min="11277" max="11277" width="13.25" style="2" bestFit="1" customWidth="1"/>
    <col min="11278" max="11278" width="9.625" style="2" bestFit="1" customWidth="1"/>
    <col min="11279" max="11521" width="9" style="2"/>
    <col min="11522" max="11522" width="2.375" style="2" customWidth="1"/>
    <col min="11523" max="11523" width="13.25" style="2" bestFit="1" customWidth="1"/>
    <col min="11524" max="11525" width="9" style="2"/>
    <col min="11526" max="11528" width="11.125" style="2" bestFit="1" customWidth="1"/>
    <col min="11529" max="11529" width="13.25" style="2" bestFit="1" customWidth="1"/>
    <col min="11530" max="11531" width="11.125" style="2" bestFit="1" customWidth="1"/>
    <col min="11532" max="11532" width="9" style="2"/>
    <col min="11533" max="11533" width="13.25" style="2" bestFit="1" customWidth="1"/>
    <col min="11534" max="11534" width="9.625" style="2" bestFit="1" customWidth="1"/>
    <col min="11535" max="11777" width="9" style="2"/>
    <col min="11778" max="11778" width="2.375" style="2" customWidth="1"/>
    <col min="11779" max="11779" width="13.25" style="2" bestFit="1" customWidth="1"/>
    <col min="11780" max="11781" width="9" style="2"/>
    <col min="11782" max="11784" width="11.125" style="2" bestFit="1" customWidth="1"/>
    <col min="11785" max="11785" width="13.25" style="2" bestFit="1" customWidth="1"/>
    <col min="11786" max="11787" width="11.125" style="2" bestFit="1" customWidth="1"/>
    <col min="11788" max="11788" width="9" style="2"/>
    <col min="11789" max="11789" width="13.25" style="2" bestFit="1" customWidth="1"/>
    <col min="11790" max="11790" width="9.625" style="2" bestFit="1" customWidth="1"/>
    <col min="11791" max="12033" width="9" style="2"/>
    <col min="12034" max="12034" width="2.375" style="2" customWidth="1"/>
    <col min="12035" max="12035" width="13.25" style="2" bestFit="1" customWidth="1"/>
    <col min="12036" max="12037" width="9" style="2"/>
    <col min="12038" max="12040" width="11.125" style="2" bestFit="1" customWidth="1"/>
    <col min="12041" max="12041" width="13.25" style="2" bestFit="1" customWidth="1"/>
    <col min="12042" max="12043" width="11.125" style="2" bestFit="1" customWidth="1"/>
    <col min="12044" max="12044" width="9" style="2"/>
    <col min="12045" max="12045" width="13.25" style="2" bestFit="1" customWidth="1"/>
    <col min="12046" max="12046" width="9.625" style="2" bestFit="1" customWidth="1"/>
    <col min="12047" max="12289" width="9" style="2"/>
    <col min="12290" max="12290" width="2.375" style="2" customWidth="1"/>
    <col min="12291" max="12291" width="13.25" style="2" bestFit="1" customWidth="1"/>
    <col min="12292" max="12293" width="9" style="2"/>
    <col min="12294" max="12296" width="11.125" style="2" bestFit="1" customWidth="1"/>
    <col min="12297" max="12297" width="13.25" style="2" bestFit="1" customWidth="1"/>
    <col min="12298" max="12299" width="11.125" style="2" bestFit="1" customWidth="1"/>
    <col min="12300" max="12300" width="9" style="2"/>
    <col min="12301" max="12301" width="13.25" style="2" bestFit="1" customWidth="1"/>
    <col min="12302" max="12302" width="9.625" style="2" bestFit="1" customWidth="1"/>
    <col min="12303" max="12545" width="9" style="2"/>
    <col min="12546" max="12546" width="2.375" style="2" customWidth="1"/>
    <col min="12547" max="12547" width="13.25" style="2" bestFit="1" customWidth="1"/>
    <col min="12548" max="12549" width="9" style="2"/>
    <col min="12550" max="12552" width="11.125" style="2" bestFit="1" customWidth="1"/>
    <col min="12553" max="12553" width="13.25" style="2" bestFit="1" customWidth="1"/>
    <col min="12554" max="12555" width="11.125" style="2" bestFit="1" customWidth="1"/>
    <col min="12556" max="12556" width="9" style="2"/>
    <col min="12557" max="12557" width="13.25" style="2" bestFit="1" customWidth="1"/>
    <col min="12558" max="12558" width="9.625" style="2" bestFit="1" customWidth="1"/>
    <col min="12559" max="12801" width="9" style="2"/>
    <col min="12802" max="12802" width="2.375" style="2" customWidth="1"/>
    <col min="12803" max="12803" width="13.25" style="2" bestFit="1" customWidth="1"/>
    <col min="12804" max="12805" width="9" style="2"/>
    <col min="12806" max="12808" width="11.125" style="2" bestFit="1" customWidth="1"/>
    <col min="12809" max="12809" width="13.25" style="2" bestFit="1" customWidth="1"/>
    <col min="12810" max="12811" width="11.125" style="2" bestFit="1" customWidth="1"/>
    <col min="12812" max="12812" width="9" style="2"/>
    <col min="12813" max="12813" width="13.25" style="2" bestFit="1" customWidth="1"/>
    <col min="12814" max="12814" width="9.625" style="2" bestFit="1" customWidth="1"/>
    <col min="12815" max="13057" width="9" style="2"/>
    <col min="13058" max="13058" width="2.375" style="2" customWidth="1"/>
    <col min="13059" max="13059" width="13.25" style="2" bestFit="1" customWidth="1"/>
    <col min="13060" max="13061" width="9" style="2"/>
    <col min="13062" max="13064" width="11.125" style="2" bestFit="1" customWidth="1"/>
    <col min="13065" max="13065" width="13.25" style="2" bestFit="1" customWidth="1"/>
    <col min="13066" max="13067" width="11.125" style="2" bestFit="1" customWidth="1"/>
    <col min="13068" max="13068" width="9" style="2"/>
    <col min="13069" max="13069" width="13.25" style="2" bestFit="1" customWidth="1"/>
    <col min="13070" max="13070" width="9.625" style="2" bestFit="1" customWidth="1"/>
    <col min="13071" max="13313" width="9" style="2"/>
    <col min="13314" max="13314" width="2.375" style="2" customWidth="1"/>
    <col min="13315" max="13315" width="13.25" style="2" bestFit="1" customWidth="1"/>
    <col min="13316" max="13317" width="9" style="2"/>
    <col min="13318" max="13320" width="11.125" style="2" bestFit="1" customWidth="1"/>
    <col min="13321" max="13321" width="13.25" style="2" bestFit="1" customWidth="1"/>
    <col min="13322" max="13323" width="11.125" style="2" bestFit="1" customWidth="1"/>
    <col min="13324" max="13324" width="9" style="2"/>
    <col min="13325" max="13325" width="13.25" style="2" bestFit="1" customWidth="1"/>
    <col min="13326" max="13326" width="9.625" style="2" bestFit="1" customWidth="1"/>
    <col min="13327" max="13569" width="9" style="2"/>
    <col min="13570" max="13570" width="2.375" style="2" customWidth="1"/>
    <col min="13571" max="13571" width="13.25" style="2" bestFit="1" customWidth="1"/>
    <col min="13572" max="13573" width="9" style="2"/>
    <col min="13574" max="13576" width="11.125" style="2" bestFit="1" customWidth="1"/>
    <col min="13577" max="13577" width="13.25" style="2" bestFit="1" customWidth="1"/>
    <col min="13578" max="13579" width="11.125" style="2" bestFit="1" customWidth="1"/>
    <col min="13580" max="13580" width="9" style="2"/>
    <col min="13581" max="13581" width="13.25" style="2" bestFit="1" customWidth="1"/>
    <col min="13582" max="13582" width="9.625" style="2" bestFit="1" customWidth="1"/>
    <col min="13583" max="13825" width="9" style="2"/>
    <col min="13826" max="13826" width="2.375" style="2" customWidth="1"/>
    <col min="13827" max="13827" width="13.25" style="2" bestFit="1" customWidth="1"/>
    <col min="13828" max="13829" width="9" style="2"/>
    <col min="13830" max="13832" width="11.125" style="2" bestFit="1" customWidth="1"/>
    <col min="13833" max="13833" width="13.25" style="2" bestFit="1" customWidth="1"/>
    <col min="13834" max="13835" width="11.125" style="2" bestFit="1" customWidth="1"/>
    <col min="13836" max="13836" width="9" style="2"/>
    <col min="13837" max="13837" width="13.25" style="2" bestFit="1" customWidth="1"/>
    <col min="13838" max="13838" width="9.625" style="2" bestFit="1" customWidth="1"/>
    <col min="13839" max="14081" width="9" style="2"/>
    <col min="14082" max="14082" width="2.375" style="2" customWidth="1"/>
    <col min="14083" max="14083" width="13.25" style="2" bestFit="1" customWidth="1"/>
    <col min="14084" max="14085" width="9" style="2"/>
    <col min="14086" max="14088" width="11.125" style="2" bestFit="1" customWidth="1"/>
    <col min="14089" max="14089" width="13.25" style="2" bestFit="1" customWidth="1"/>
    <col min="14090" max="14091" width="11.125" style="2" bestFit="1" customWidth="1"/>
    <col min="14092" max="14092" width="9" style="2"/>
    <col min="14093" max="14093" width="13.25" style="2" bestFit="1" customWidth="1"/>
    <col min="14094" max="14094" width="9.625" style="2" bestFit="1" customWidth="1"/>
    <col min="14095" max="14337" width="9" style="2"/>
    <col min="14338" max="14338" width="2.375" style="2" customWidth="1"/>
    <col min="14339" max="14339" width="13.25" style="2" bestFit="1" customWidth="1"/>
    <col min="14340" max="14341" width="9" style="2"/>
    <col min="14342" max="14344" width="11.125" style="2" bestFit="1" customWidth="1"/>
    <col min="14345" max="14345" width="13.25" style="2" bestFit="1" customWidth="1"/>
    <col min="14346" max="14347" width="11.125" style="2" bestFit="1" customWidth="1"/>
    <col min="14348" max="14348" width="9" style="2"/>
    <col min="14349" max="14349" width="13.25" style="2" bestFit="1" customWidth="1"/>
    <col min="14350" max="14350" width="9.625" style="2" bestFit="1" customWidth="1"/>
    <col min="14351" max="14593" width="9" style="2"/>
    <col min="14594" max="14594" width="2.375" style="2" customWidth="1"/>
    <col min="14595" max="14595" width="13.25" style="2" bestFit="1" customWidth="1"/>
    <col min="14596" max="14597" width="9" style="2"/>
    <col min="14598" max="14600" width="11.125" style="2" bestFit="1" customWidth="1"/>
    <col min="14601" max="14601" width="13.25" style="2" bestFit="1" customWidth="1"/>
    <col min="14602" max="14603" width="11.125" style="2" bestFit="1" customWidth="1"/>
    <col min="14604" max="14604" width="9" style="2"/>
    <col min="14605" max="14605" width="13.25" style="2" bestFit="1" customWidth="1"/>
    <col min="14606" max="14606" width="9.625" style="2" bestFit="1" customWidth="1"/>
    <col min="14607" max="14849" width="9" style="2"/>
    <col min="14850" max="14850" width="2.375" style="2" customWidth="1"/>
    <col min="14851" max="14851" width="13.25" style="2" bestFit="1" customWidth="1"/>
    <col min="14852" max="14853" width="9" style="2"/>
    <col min="14854" max="14856" width="11.125" style="2" bestFit="1" customWidth="1"/>
    <col min="14857" max="14857" width="13.25" style="2" bestFit="1" customWidth="1"/>
    <col min="14858" max="14859" width="11.125" style="2" bestFit="1" customWidth="1"/>
    <col min="14860" max="14860" width="9" style="2"/>
    <col min="14861" max="14861" width="13.25" style="2" bestFit="1" customWidth="1"/>
    <col min="14862" max="14862" width="9.625" style="2" bestFit="1" customWidth="1"/>
    <col min="14863" max="15105" width="9" style="2"/>
    <col min="15106" max="15106" width="2.375" style="2" customWidth="1"/>
    <col min="15107" max="15107" width="13.25" style="2" bestFit="1" customWidth="1"/>
    <col min="15108" max="15109" width="9" style="2"/>
    <col min="15110" max="15112" width="11.125" style="2" bestFit="1" customWidth="1"/>
    <col min="15113" max="15113" width="13.25" style="2" bestFit="1" customWidth="1"/>
    <col min="15114" max="15115" width="11.125" style="2" bestFit="1" customWidth="1"/>
    <col min="15116" max="15116" width="9" style="2"/>
    <col min="15117" max="15117" width="13.25" style="2" bestFit="1" customWidth="1"/>
    <col min="15118" max="15118" width="9.625" style="2" bestFit="1" customWidth="1"/>
    <col min="15119" max="15361" width="9" style="2"/>
    <col min="15362" max="15362" width="2.375" style="2" customWidth="1"/>
    <col min="15363" max="15363" width="13.25" style="2" bestFit="1" customWidth="1"/>
    <col min="15364" max="15365" width="9" style="2"/>
    <col min="15366" max="15368" width="11.125" style="2" bestFit="1" customWidth="1"/>
    <col min="15369" max="15369" width="13.25" style="2" bestFit="1" customWidth="1"/>
    <col min="15370" max="15371" width="11.125" style="2" bestFit="1" customWidth="1"/>
    <col min="15372" max="15372" width="9" style="2"/>
    <col min="15373" max="15373" width="13.25" style="2" bestFit="1" customWidth="1"/>
    <col min="15374" max="15374" width="9.625" style="2" bestFit="1" customWidth="1"/>
    <col min="15375" max="15617" width="9" style="2"/>
    <col min="15618" max="15618" width="2.375" style="2" customWidth="1"/>
    <col min="15619" max="15619" width="13.25" style="2" bestFit="1" customWidth="1"/>
    <col min="15620" max="15621" width="9" style="2"/>
    <col min="15622" max="15624" width="11.125" style="2" bestFit="1" customWidth="1"/>
    <col min="15625" max="15625" width="13.25" style="2" bestFit="1" customWidth="1"/>
    <col min="15626" max="15627" width="11.125" style="2" bestFit="1" customWidth="1"/>
    <col min="15628" max="15628" width="9" style="2"/>
    <col min="15629" max="15629" width="13.25" style="2" bestFit="1" customWidth="1"/>
    <col min="15630" max="15630" width="9.625" style="2" bestFit="1" customWidth="1"/>
    <col min="15631" max="15873" width="9" style="2"/>
    <col min="15874" max="15874" width="2.375" style="2" customWidth="1"/>
    <col min="15875" max="15875" width="13.25" style="2" bestFit="1" customWidth="1"/>
    <col min="15876" max="15877" width="9" style="2"/>
    <col min="15878" max="15880" width="11.125" style="2" bestFit="1" customWidth="1"/>
    <col min="15881" max="15881" width="13.25" style="2" bestFit="1" customWidth="1"/>
    <col min="15882" max="15883" width="11.125" style="2" bestFit="1" customWidth="1"/>
    <col min="15884" max="15884" width="9" style="2"/>
    <col min="15885" max="15885" width="13.25" style="2" bestFit="1" customWidth="1"/>
    <col min="15886" max="15886" width="9.625" style="2" bestFit="1" customWidth="1"/>
    <col min="15887" max="16129" width="9" style="2"/>
    <col min="16130" max="16130" width="2.375" style="2" customWidth="1"/>
    <col min="16131" max="16131" width="13.25" style="2" bestFit="1" customWidth="1"/>
    <col min="16132" max="16133" width="9" style="2"/>
    <col min="16134" max="16136" width="11.125" style="2" bestFit="1" customWidth="1"/>
    <col min="16137" max="16137" width="13.25" style="2" bestFit="1" customWidth="1"/>
    <col min="16138" max="16139" width="11.125" style="2" bestFit="1" customWidth="1"/>
    <col min="16140" max="16140" width="9" style="2"/>
    <col min="16141" max="16141" width="13.25" style="2" bestFit="1" customWidth="1"/>
    <col min="16142" max="16142" width="9.625" style="2" bestFit="1" customWidth="1"/>
    <col min="16143" max="16384" width="9" style="2"/>
  </cols>
  <sheetData>
    <row r="1" spans="1:15">
      <c r="A1" s="1" t="s">
        <v>0</v>
      </c>
    </row>
    <row r="2" spans="1:15" ht="19.5" thickBot="1">
      <c r="A2" s="1" t="s">
        <v>63</v>
      </c>
    </row>
    <row r="3" spans="1:15">
      <c r="B3" s="4"/>
      <c r="C3" s="36" t="s">
        <v>5</v>
      </c>
      <c r="D3" s="36" t="s">
        <v>9</v>
      </c>
      <c r="E3" s="61" t="s">
        <v>7</v>
      </c>
      <c r="F3" s="74" t="s">
        <v>66</v>
      </c>
      <c r="G3" s="35" t="s">
        <v>2</v>
      </c>
      <c r="H3" s="36" t="s">
        <v>3</v>
      </c>
      <c r="I3" s="36" t="s">
        <v>4</v>
      </c>
      <c r="J3" s="36" t="s">
        <v>6</v>
      </c>
      <c r="K3" s="36" t="s">
        <v>8</v>
      </c>
      <c r="L3" s="36" t="s">
        <v>10</v>
      </c>
      <c r="M3" s="5" t="s">
        <v>11</v>
      </c>
      <c r="N3" s="74" t="s">
        <v>66</v>
      </c>
      <c r="O3" s="76" t="s">
        <v>21</v>
      </c>
    </row>
    <row r="4" spans="1:15" ht="19.5" thickBot="1">
      <c r="B4" s="6" t="s">
        <v>12</v>
      </c>
      <c r="C4" s="38" t="s">
        <v>16</v>
      </c>
      <c r="D4" s="38" t="s">
        <v>19</v>
      </c>
      <c r="E4" s="62" t="s">
        <v>65</v>
      </c>
      <c r="F4" s="75" t="s">
        <v>67</v>
      </c>
      <c r="G4" s="37" t="s">
        <v>13</v>
      </c>
      <c r="H4" s="38" t="s">
        <v>14</v>
      </c>
      <c r="I4" s="38" t="s">
        <v>15</v>
      </c>
      <c r="J4" s="38" t="s">
        <v>17</v>
      </c>
      <c r="K4" s="38" t="s">
        <v>18</v>
      </c>
      <c r="L4" s="38" t="s">
        <v>20</v>
      </c>
      <c r="M4" s="3" t="s">
        <v>64</v>
      </c>
      <c r="N4" s="75" t="s">
        <v>68</v>
      </c>
      <c r="O4" s="77" t="s">
        <v>69</v>
      </c>
    </row>
    <row r="5" spans="1:15">
      <c r="A5" s="1" t="s">
        <v>1</v>
      </c>
      <c r="B5" s="28" t="s">
        <v>22</v>
      </c>
      <c r="C5" s="40">
        <v>17</v>
      </c>
      <c r="D5" s="40">
        <v>21</v>
      </c>
      <c r="E5" s="63">
        <v>21</v>
      </c>
      <c r="F5" s="30">
        <f>SUM(C5:E5)</f>
        <v>59</v>
      </c>
      <c r="G5" s="39">
        <v>12</v>
      </c>
      <c r="H5" s="40">
        <v>20</v>
      </c>
      <c r="I5" s="40">
        <v>18</v>
      </c>
      <c r="J5" s="40">
        <v>21</v>
      </c>
      <c r="K5" s="40">
        <v>17</v>
      </c>
      <c r="L5" s="40">
        <v>19</v>
      </c>
      <c r="M5" s="29">
        <v>17</v>
      </c>
      <c r="N5" s="30">
        <f>SUM(G5:M5)</f>
        <v>124</v>
      </c>
      <c r="O5" s="30">
        <f>SUM(N5,F5)</f>
        <v>183</v>
      </c>
    </row>
    <row r="6" spans="1:15">
      <c r="A6" s="1" t="s">
        <v>1</v>
      </c>
      <c r="B6" s="23" t="s">
        <v>23</v>
      </c>
      <c r="C6" s="42">
        <v>0</v>
      </c>
      <c r="D6" s="42">
        <v>0</v>
      </c>
      <c r="E6" s="64">
        <v>3</v>
      </c>
      <c r="F6" s="32">
        <f>SUM(C6:E6)</f>
        <v>3</v>
      </c>
      <c r="G6" s="41">
        <v>0</v>
      </c>
      <c r="H6" s="42">
        <v>0</v>
      </c>
      <c r="I6" s="42">
        <v>5</v>
      </c>
      <c r="J6" s="42">
        <v>2</v>
      </c>
      <c r="K6" s="42">
        <v>1</v>
      </c>
      <c r="L6" s="42">
        <v>4</v>
      </c>
      <c r="M6" s="31">
        <v>2</v>
      </c>
      <c r="N6" s="32">
        <f>SUM(G6:M6)</f>
        <v>14</v>
      </c>
      <c r="O6" s="32">
        <f t="shared" ref="O6:O45" si="0">SUM(N6,F6)</f>
        <v>17</v>
      </c>
    </row>
    <row r="7" spans="1:15">
      <c r="A7" s="1" t="s">
        <v>1</v>
      </c>
      <c r="B7" s="23" t="s">
        <v>24</v>
      </c>
      <c r="C7" s="42">
        <v>0</v>
      </c>
      <c r="D7" s="42">
        <v>0</v>
      </c>
      <c r="E7" s="64">
        <v>0</v>
      </c>
      <c r="F7" s="32">
        <f t="shared" ref="F7:F45" si="1">SUM(C7:E7)</f>
        <v>0</v>
      </c>
      <c r="G7" s="41">
        <v>4</v>
      </c>
      <c r="H7" s="42">
        <v>4</v>
      </c>
      <c r="I7" s="42">
        <v>0</v>
      </c>
      <c r="J7" s="42">
        <v>1</v>
      </c>
      <c r="K7" s="42">
        <v>0</v>
      </c>
      <c r="L7" s="42">
        <v>1</v>
      </c>
      <c r="M7" s="31">
        <v>1</v>
      </c>
      <c r="N7" s="32">
        <f t="shared" ref="N7:N45" si="2">SUM(G7:M7)</f>
        <v>11</v>
      </c>
      <c r="O7" s="32">
        <f t="shared" si="0"/>
        <v>11</v>
      </c>
    </row>
    <row r="8" spans="1:15">
      <c r="A8" s="1" t="s">
        <v>1</v>
      </c>
      <c r="B8" s="23" t="s">
        <v>25</v>
      </c>
      <c r="C8" s="42">
        <v>0</v>
      </c>
      <c r="D8" s="42">
        <v>0</v>
      </c>
      <c r="E8" s="64">
        <v>0</v>
      </c>
      <c r="F8" s="32">
        <f t="shared" si="1"/>
        <v>0</v>
      </c>
      <c r="G8" s="41">
        <v>0</v>
      </c>
      <c r="H8" s="42">
        <v>0</v>
      </c>
      <c r="I8" s="42">
        <v>2</v>
      </c>
      <c r="J8" s="42">
        <v>0</v>
      </c>
      <c r="K8" s="42">
        <v>0</v>
      </c>
      <c r="L8" s="42">
        <v>2</v>
      </c>
      <c r="M8" s="31">
        <v>1</v>
      </c>
      <c r="N8" s="32">
        <f t="shared" si="2"/>
        <v>5</v>
      </c>
      <c r="O8" s="32">
        <f t="shared" si="0"/>
        <v>5</v>
      </c>
    </row>
    <row r="9" spans="1:15">
      <c r="A9" s="1" t="s">
        <v>1</v>
      </c>
      <c r="B9" s="23" t="s">
        <v>26</v>
      </c>
      <c r="C9" s="42">
        <v>4</v>
      </c>
      <c r="D9" s="42">
        <v>0</v>
      </c>
      <c r="E9" s="64">
        <v>0</v>
      </c>
      <c r="F9" s="32">
        <f t="shared" si="1"/>
        <v>4</v>
      </c>
      <c r="G9" s="41">
        <v>6</v>
      </c>
      <c r="H9" s="42">
        <v>1</v>
      </c>
      <c r="I9" s="42">
        <v>1</v>
      </c>
      <c r="J9" s="42">
        <v>0</v>
      </c>
      <c r="K9" s="42">
        <v>4</v>
      </c>
      <c r="L9" s="42">
        <v>0</v>
      </c>
      <c r="M9" s="31">
        <v>3</v>
      </c>
      <c r="N9" s="32">
        <f t="shared" si="2"/>
        <v>15</v>
      </c>
      <c r="O9" s="32">
        <f t="shared" si="0"/>
        <v>19</v>
      </c>
    </row>
    <row r="10" spans="1:15">
      <c r="A10" s="1" t="s">
        <v>1</v>
      </c>
      <c r="B10" s="23" t="s">
        <v>27</v>
      </c>
      <c r="C10" s="42">
        <v>0</v>
      </c>
      <c r="D10" s="42">
        <v>0</v>
      </c>
      <c r="E10" s="64">
        <v>0</v>
      </c>
      <c r="F10" s="32">
        <f t="shared" si="1"/>
        <v>0</v>
      </c>
      <c r="G10" s="41">
        <v>3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31">
        <v>0</v>
      </c>
      <c r="N10" s="32">
        <f t="shared" si="2"/>
        <v>3</v>
      </c>
      <c r="O10" s="32">
        <f t="shared" si="0"/>
        <v>3</v>
      </c>
    </row>
    <row r="11" spans="1:15">
      <c r="A11" s="1" t="s">
        <v>1</v>
      </c>
      <c r="B11" s="23" t="s">
        <v>28</v>
      </c>
      <c r="C11" s="44">
        <v>0</v>
      </c>
      <c r="D11" s="44">
        <v>0</v>
      </c>
      <c r="E11" s="65">
        <v>0.16666666666666666</v>
      </c>
      <c r="F11" s="34">
        <f t="shared" si="1"/>
        <v>0.16666666666666666</v>
      </c>
      <c r="G11" s="43">
        <v>0.83333333333333337</v>
      </c>
      <c r="H11" s="44">
        <v>1.0833333333333333</v>
      </c>
      <c r="I11" s="44">
        <v>0.91666666666666663</v>
      </c>
      <c r="J11" s="44">
        <v>1.875</v>
      </c>
      <c r="K11" s="44">
        <v>1.2916666666666667</v>
      </c>
      <c r="L11" s="44">
        <v>1.5</v>
      </c>
      <c r="M11" s="33">
        <v>2.3333333333333335</v>
      </c>
      <c r="N11" s="34">
        <f t="shared" si="2"/>
        <v>9.8333333333333339</v>
      </c>
      <c r="O11" s="34">
        <f t="shared" si="0"/>
        <v>10</v>
      </c>
    </row>
    <row r="12" spans="1:15">
      <c r="A12" s="1" t="s">
        <v>1</v>
      </c>
      <c r="B12" s="23" t="s">
        <v>29</v>
      </c>
      <c r="C12" s="44">
        <v>0</v>
      </c>
      <c r="D12" s="44">
        <v>0</v>
      </c>
      <c r="E12" s="65">
        <v>0.79166666666666663</v>
      </c>
      <c r="F12" s="34">
        <f t="shared" si="1"/>
        <v>0.79166666666666663</v>
      </c>
      <c r="G12" s="43">
        <v>0</v>
      </c>
      <c r="H12" s="44">
        <v>0</v>
      </c>
      <c r="I12" s="44">
        <v>1.125</v>
      </c>
      <c r="J12" s="44">
        <v>0.79166666666666663</v>
      </c>
      <c r="K12" s="44">
        <v>0.29166666666666669</v>
      </c>
      <c r="L12" s="44">
        <v>0.625</v>
      </c>
      <c r="M12" s="33">
        <v>0.45833333333333331</v>
      </c>
      <c r="N12" s="34">
        <f t="shared" si="2"/>
        <v>3.2916666666666665</v>
      </c>
      <c r="O12" s="34">
        <f t="shared" si="0"/>
        <v>4.083333333333333</v>
      </c>
    </row>
    <row r="13" spans="1:15">
      <c r="A13" s="1" t="s">
        <v>1</v>
      </c>
      <c r="B13" s="23" t="s">
        <v>30</v>
      </c>
      <c r="C13" s="44">
        <v>0</v>
      </c>
      <c r="D13" s="44">
        <v>0</v>
      </c>
      <c r="E13" s="65">
        <v>0</v>
      </c>
      <c r="F13" s="34">
        <f t="shared" si="1"/>
        <v>0</v>
      </c>
      <c r="G13" s="43">
        <v>1.375</v>
      </c>
      <c r="H13" s="44">
        <v>1.3333333333333333</v>
      </c>
      <c r="I13" s="44">
        <v>0</v>
      </c>
      <c r="J13" s="44">
        <v>0.25</v>
      </c>
      <c r="K13" s="44">
        <v>0</v>
      </c>
      <c r="L13" s="44">
        <v>0.29166666666666669</v>
      </c>
      <c r="M13" s="33">
        <v>0.45833333333333331</v>
      </c>
      <c r="N13" s="34">
        <f t="shared" si="2"/>
        <v>3.708333333333333</v>
      </c>
      <c r="O13" s="34">
        <f t="shared" si="0"/>
        <v>3.708333333333333</v>
      </c>
    </row>
    <row r="14" spans="1:15">
      <c r="A14" s="1" t="s">
        <v>1</v>
      </c>
      <c r="B14" s="23" t="s">
        <v>31</v>
      </c>
      <c r="C14" s="44">
        <v>0</v>
      </c>
      <c r="D14" s="44">
        <v>0</v>
      </c>
      <c r="E14" s="65">
        <v>0</v>
      </c>
      <c r="F14" s="34">
        <f t="shared" si="1"/>
        <v>0</v>
      </c>
      <c r="G14" s="43">
        <v>0</v>
      </c>
      <c r="H14" s="44">
        <v>0</v>
      </c>
      <c r="I14" s="44">
        <v>0.66666666666666663</v>
      </c>
      <c r="J14" s="44">
        <v>0</v>
      </c>
      <c r="K14" s="44">
        <v>0</v>
      </c>
      <c r="L14" s="44">
        <v>0.58333333333333337</v>
      </c>
      <c r="M14" s="33">
        <v>0.29166666666666669</v>
      </c>
      <c r="N14" s="34">
        <f t="shared" si="2"/>
        <v>1.5416666666666667</v>
      </c>
      <c r="O14" s="34">
        <f t="shared" si="0"/>
        <v>1.5416666666666667</v>
      </c>
    </row>
    <row r="15" spans="1:15">
      <c r="A15" s="1" t="s">
        <v>1</v>
      </c>
      <c r="B15" s="23" t="s">
        <v>32</v>
      </c>
      <c r="C15" s="44">
        <v>0</v>
      </c>
      <c r="D15" s="44">
        <v>0</v>
      </c>
      <c r="E15" s="65">
        <v>0.41666666666666669</v>
      </c>
      <c r="F15" s="34">
        <f t="shared" si="1"/>
        <v>0.41666666666666669</v>
      </c>
      <c r="G15" s="43">
        <v>0</v>
      </c>
      <c r="H15" s="44">
        <v>0</v>
      </c>
      <c r="I15" s="44">
        <v>0</v>
      </c>
      <c r="J15" s="44">
        <v>0</v>
      </c>
      <c r="K15" s="44">
        <v>0</v>
      </c>
      <c r="L15" s="44">
        <v>0</v>
      </c>
      <c r="M15" s="33">
        <v>0</v>
      </c>
      <c r="N15" s="34">
        <f t="shared" si="2"/>
        <v>0</v>
      </c>
      <c r="O15" s="34">
        <f t="shared" si="0"/>
        <v>0.41666666666666669</v>
      </c>
    </row>
    <row r="16" spans="1:15">
      <c r="A16" s="1" t="s">
        <v>1</v>
      </c>
      <c r="B16" s="7" t="s">
        <v>33</v>
      </c>
      <c r="C16" s="46">
        <v>4.1666666666666664E-2</v>
      </c>
      <c r="D16" s="46">
        <v>0</v>
      </c>
      <c r="E16" s="66">
        <v>0</v>
      </c>
      <c r="F16" s="9">
        <f t="shared" si="1"/>
        <v>4.1666666666666664E-2</v>
      </c>
      <c r="G16" s="45">
        <v>0.75</v>
      </c>
      <c r="H16" s="46">
        <v>1.75</v>
      </c>
      <c r="I16" s="46">
        <v>1.8333333333333335</v>
      </c>
      <c r="J16" s="46">
        <v>1.3333333333333333</v>
      </c>
      <c r="K16" s="46">
        <v>0.66666666666666663</v>
      </c>
      <c r="L16" s="46">
        <v>0.79166666666666663</v>
      </c>
      <c r="M16" s="8">
        <v>1.0416666666666667</v>
      </c>
      <c r="N16" s="9">
        <f t="shared" si="2"/>
        <v>8.1666666666666679</v>
      </c>
      <c r="O16" s="9">
        <f t="shared" si="0"/>
        <v>8.2083333333333339</v>
      </c>
    </row>
    <row r="17" spans="1:15">
      <c r="A17" s="1" t="s">
        <v>1</v>
      </c>
      <c r="B17" s="15" t="s">
        <v>34</v>
      </c>
      <c r="C17" s="48">
        <v>30</v>
      </c>
      <c r="D17" s="48">
        <v>22.5</v>
      </c>
      <c r="E17" s="67">
        <v>22.5</v>
      </c>
      <c r="F17" s="17">
        <f t="shared" si="1"/>
        <v>75</v>
      </c>
      <c r="G17" s="47">
        <v>25</v>
      </c>
      <c r="H17" s="48">
        <v>28</v>
      </c>
      <c r="I17" s="48">
        <v>29</v>
      </c>
      <c r="J17" s="48">
        <v>28</v>
      </c>
      <c r="K17" s="48">
        <v>10</v>
      </c>
      <c r="L17" s="48">
        <v>9</v>
      </c>
      <c r="M17" s="16">
        <v>8</v>
      </c>
      <c r="N17" s="17">
        <f t="shared" si="2"/>
        <v>137</v>
      </c>
      <c r="O17" s="17">
        <f t="shared" si="0"/>
        <v>212</v>
      </c>
    </row>
    <row r="18" spans="1:15">
      <c r="A18" s="1" t="s">
        <v>1</v>
      </c>
      <c r="B18" s="20" t="s">
        <v>35</v>
      </c>
      <c r="C18" s="50">
        <v>365000</v>
      </c>
      <c r="D18" s="50">
        <v>365000</v>
      </c>
      <c r="E18" s="68">
        <v>170000</v>
      </c>
      <c r="F18" s="22">
        <f t="shared" si="1"/>
        <v>900000</v>
      </c>
      <c r="G18" s="49">
        <v>182000</v>
      </c>
      <c r="H18" s="50">
        <v>177000</v>
      </c>
      <c r="I18" s="50">
        <v>177000</v>
      </c>
      <c r="J18" s="50">
        <v>187000</v>
      </c>
      <c r="K18" s="50">
        <v>177000</v>
      </c>
      <c r="L18" s="50">
        <v>170000</v>
      </c>
      <c r="M18" s="21">
        <v>170000</v>
      </c>
      <c r="N18" s="22">
        <f t="shared" si="2"/>
        <v>1240000</v>
      </c>
      <c r="O18" s="22">
        <f t="shared" si="0"/>
        <v>2140000</v>
      </c>
    </row>
    <row r="19" spans="1:15">
      <c r="A19" s="1" t="s">
        <v>1</v>
      </c>
      <c r="B19" s="23" t="s">
        <v>36</v>
      </c>
      <c r="C19" s="52">
        <v>0</v>
      </c>
      <c r="D19" s="52">
        <v>0</v>
      </c>
      <c r="E19" s="69">
        <v>0</v>
      </c>
      <c r="F19" s="25">
        <f t="shared" si="1"/>
        <v>0</v>
      </c>
      <c r="G19" s="51">
        <v>5000</v>
      </c>
      <c r="H19" s="52">
        <v>0</v>
      </c>
      <c r="I19" s="52">
        <v>0</v>
      </c>
      <c r="J19" s="52">
        <v>0</v>
      </c>
      <c r="K19" s="52">
        <v>0</v>
      </c>
      <c r="L19" s="52">
        <v>0</v>
      </c>
      <c r="M19" s="24">
        <v>0</v>
      </c>
      <c r="N19" s="25">
        <f t="shared" si="2"/>
        <v>5000</v>
      </c>
      <c r="O19" s="25">
        <f t="shared" si="0"/>
        <v>5000</v>
      </c>
    </row>
    <row r="20" spans="1:15">
      <c r="A20" s="1" t="s">
        <v>1</v>
      </c>
      <c r="B20" s="23" t="s">
        <v>37</v>
      </c>
      <c r="C20" s="52">
        <v>0</v>
      </c>
      <c r="D20" s="52">
        <v>0</v>
      </c>
      <c r="E20" s="69">
        <v>6000</v>
      </c>
      <c r="F20" s="25">
        <f t="shared" si="1"/>
        <v>6000</v>
      </c>
      <c r="G20" s="51">
        <v>6000</v>
      </c>
      <c r="H20" s="52">
        <v>10000</v>
      </c>
      <c r="I20" s="52">
        <v>0</v>
      </c>
      <c r="J20" s="52">
        <v>0</v>
      </c>
      <c r="K20" s="52">
        <v>0</v>
      </c>
      <c r="L20" s="52">
        <v>0</v>
      </c>
      <c r="M20" s="24">
        <v>0</v>
      </c>
      <c r="N20" s="25">
        <f t="shared" si="2"/>
        <v>16000</v>
      </c>
      <c r="O20" s="25">
        <f t="shared" si="0"/>
        <v>22000</v>
      </c>
    </row>
    <row r="21" spans="1:15">
      <c r="A21" s="1" t="s">
        <v>1</v>
      </c>
      <c r="B21" s="23" t="s">
        <v>38</v>
      </c>
      <c r="C21" s="52">
        <v>0</v>
      </c>
      <c r="D21" s="52">
        <v>0</v>
      </c>
      <c r="E21" s="69">
        <v>0</v>
      </c>
      <c r="F21" s="25">
        <f t="shared" si="1"/>
        <v>0</v>
      </c>
      <c r="G21" s="51">
        <v>8928</v>
      </c>
      <c r="H21" s="52">
        <v>0</v>
      </c>
      <c r="I21" s="52">
        <v>0</v>
      </c>
      <c r="J21" s="52">
        <v>7845</v>
      </c>
      <c r="K21" s="52">
        <v>5756</v>
      </c>
      <c r="L21" s="52">
        <v>0</v>
      </c>
      <c r="M21" s="24">
        <v>0</v>
      </c>
      <c r="N21" s="25">
        <f t="shared" si="2"/>
        <v>22529</v>
      </c>
      <c r="O21" s="25">
        <f t="shared" si="0"/>
        <v>22529</v>
      </c>
    </row>
    <row r="22" spans="1:15">
      <c r="A22" s="1" t="s">
        <v>1</v>
      </c>
      <c r="B22" s="23" t="s">
        <v>39</v>
      </c>
      <c r="C22" s="52">
        <v>0</v>
      </c>
      <c r="D22" s="52">
        <v>0</v>
      </c>
      <c r="E22" s="69">
        <v>0</v>
      </c>
      <c r="F22" s="25">
        <f t="shared" si="1"/>
        <v>0</v>
      </c>
      <c r="G22" s="51">
        <v>3500</v>
      </c>
      <c r="H22" s="52">
        <v>3500</v>
      </c>
      <c r="I22" s="52">
        <v>3500</v>
      </c>
      <c r="J22" s="52">
        <v>3500</v>
      </c>
      <c r="K22" s="52">
        <v>0</v>
      </c>
      <c r="L22" s="52">
        <v>2000</v>
      </c>
      <c r="M22" s="24">
        <v>2000</v>
      </c>
      <c r="N22" s="25">
        <f t="shared" si="2"/>
        <v>18000</v>
      </c>
      <c r="O22" s="25">
        <f t="shared" si="0"/>
        <v>18000</v>
      </c>
    </row>
    <row r="23" spans="1:15">
      <c r="A23" s="1" t="s">
        <v>1</v>
      </c>
      <c r="B23" s="23" t="s">
        <v>40</v>
      </c>
      <c r="C23" s="52">
        <v>0</v>
      </c>
      <c r="D23" s="52">
        <v>0</v>
      </c>
      <c r="E23" s="69">
        <v>0</v>
      </c>
      <c r="F23" s="25">
        <f t="shared" si="1"/>
        <v>0</v>
      </c>
      <c r="G23" s="51">
        <v>0</v>
      </c>
      <c r="H23" s="52">
        <v>12600</v>
      </c>
      <c r="I23" s="52">
        <v>0</v>
      </c>
      <c r="J23" s="52">
        <v>0</v>
      </c>
      <c r="K23" s="52">
        <v>0</v>
      </c>
      <c r="L23" s="52">
        <v>0</v>
      </c>
      <c r="M23" s="24">
        <v>0</v>
      </c>
      <c r="N23" s="25">
        <f t="shared" si="2"/>
        <v>12600</v>
      </c>
      <c r="O23" s="25">
        <f t="shared" si="0"/>
        <v>12600</v>
      </c>
    </row>
    <row r="24" spans="1:15">
      <c r="A24" s="1" t="s">
        <v>1</v>
      </c>
      <c r="B24" s="23" t="s">
        <v>41</v>
      </c>
      <c r="C24" s="54">
        <v>0</v>
      </c>
      <c r="D24" s="54">
        <v>0</v>
      </c>
      <c r="E24" s="70">
        <v>0</v>
      </c>
      <c r="F24" s="27">
        <f t="shared" si="1"/>
        <v>0</v>
      </c>
      <c r="G24" s="53">
        <v>-28203</v>
      </c>
      <c r="H24" s="54">
        <v>0</v>
      </c>
      <c r="I24" s="54">
        <v>0</v>
      </c>
      <c r="J24" s="54">
        <v>0</v>
      </c>
      <c r="K24" s="54">
        <v>0</v>
      </c>
      <c r="L24" s="54">
        <v>0</v>
      </c>
      <c r="M24" s="26">
        <v>0</v>
      </c>
      <c r="N24" s="27">
        <f t="shared" si="2"/>
        <v>-28203</v>
      </c>
      <c r="O24" s="27">
        <f t="shared" si="0"/>
        <v>-28203</v>
      </c>
    </row>
    <row r="25" spans="1:15">
      <c r="A25" s="1" t="s">
        <v>1</v>
      </c>
      <c r="B25" s="23" t="s">
        <v>28</v>
      </c>
      <c r="C25" s="52">
        <v>0</v>
      </c>
      <c r="D25" s="52">
        <v>0</v>
      </c>
      <c r="E25" s="69">
        <v>6024</v>
      </c>
      <c r="F25" s="25">
        <f t="shared" si="1"/>
        <v>6024</v>
      </c>
      <c r="G25" s="51">
        <v>29420</v>
      </c>
      <c r="H25" s="52">
        <v>39520</v>
      </c>
      <c r="I25" s="52">
        <v>29722</v>
      </c>
      <c r="J25" s="52">
        <v>64170</v>
      </c>
      <c r="K25" s="52">
        <v>41075</v>
      </c>
      <c r="L25" s="52">
        <v>46368</v>
      </c>
      <c r="M25" s="24">
        <v>72128</v>
      </c>
      <c r="N25" s="25">
        <f t="shared" si="2"/>
        <v>322403</v>
      </c>
      <c r="O25" s="25">
        <f t="shared" si="0"/>
        <v>328427</v>
      </c>
    </row>
    <row r="26" spans="1:15">
      <c r="A26" s="1" t="s">
        <v>1</v>
      </c>
      <c r="B26" s="23" t="s">
        <v>42</v>
      </c>
      <c r="C26" s="52">
        <v>0</v>
      </c>
      <c r="D26" s="52">
        <v>0</v>
      </c>
      <c r="E26" s="69">
        <v>30913</v>
      </c>
      <c r="F26" s="25">
        <f t="shared" si="1"/>
        <v>30913</v>
      </c>
      <c r="G26" s="51">
        <v>0</v>
      </c>
      <c r="H26" s="52">
        <v>0</v>
      </c>
      <c r="I26" s="52">
        <v>39393</v>
      </c>
      <c r="J26" s="52">
        <v>29260</v>
      </c>
      <c r="K26" s="52">
        <v>10017</v>
      </c>
      <c r="L26" s="52">
        <v>20865</v>
      </c>
      <c r="M26" s="24">
        <v>15301</v>
      </c>
      <c r="N26" s="25">
        <f t="shared" si="2"/>
        <v>114836</v>
      </c>
      <c r="O26" s="25">
        <f t="shared" si="0"/>
        <v>145749</v>
      </c>
    </row>
    <row r="27" spans="1:15">
      <c r="A27" s="1" t="s">
        <v>1</v>
      </c>
      <c r="B27" s="23" t="s">
        <v>43</v>
      </c>
      <c r="C27" s="52">
        <v>0</v>
      </c>
      <c r="D27" s="52">
        <v>0</v>
      </c>
      <c r="E27" s="69">
        <v>0</v>
      </c>
      <c r="F27" s="25">
        <f t="shared" si="1"/>
        <v>0</v>
      </c>
      <c r="G27" s="51">
        <v>52437</v>
      </c>
      <c r="H27" s="52">
        <v>52544</v>
      </c>
      <c r="I27" s="52">
        <v>0</v>
      </c>
      <c r="J27" s="52">
        <v>9240</v>
      </c>
      <c r="K27" s="52">
        <v>0</v>
      </c>
      <c r="L27" s="52">
        <v>9737</v>
      </c>
      <c r="M27" s="24">
        <v>15301</v>
      </c>
      <c r="N27" s="25">
        <f t="shared" si="2"/>
        <v>139259</v>
      </c>
      <c r="O27" s="25">
        <f t="shared" si="0"/>
        <v>139259</v>
      </c>
    </row>
    <row r="28" spans="1:15">
      <c r="A28" s="1" t="s">
        <v>1</v>
      </c>
      <c r="B28" s="23" t="s">
        <v>44</v>
      </c>
      <c r="C28" s="52">
        <v>0</v>
      </c>
      <c r="D28" s="52">
        <v>0</v>
      </c>
      <c r="E28" s="69">
        <v>0</v>
      </c>
      <c r="F28" s="25">
        <f t="shared" si="1"/>
        <v>0</v>
      </c>
      <c r="G28" s="51">
        <v>0</v>
      </c>
      <c r="H28" s="52">
        <v>0</v>
      </c>
      <c r="I28" s="52">
        <v>6048</v>
      </c>
      <c r="J28" s="52">
        <v>0</v>
      </c>
      <c r="K28" s="52">
        <v>0</v>
      </c>
      <c r="L28" s="52">
        <v>5054</v>
      </c>
      <c r="M28" s="24">
        <v>2527</v>
      </c>
      <c r="N28" s="25">
        <f t="shared" si="2"/>
        <v>13629</v>
      </c>
      <c r="O28" s="25">
        <f t="shared" si="0"/>
        <v>13629</v>
      </c>
    </row>
    <row r="29" spans="1:15">
      <c r="A29" s="1" t="s">
        <v>1</v>
      </c>
      <c r="B29" s="23" t="s">
        <v>32</v>
      </c>
      <c r="C29" s="52">
        <v>0</v>
      </c>
      <c r="D29" s="52">
        <v>0</v>
      </c>
      <c r="E29" s="69">
        <v>12050</v>
      </c>
      <c r="F29" s="25">
        <f t="shared" si="1"/>
        <v>12050</v>
      </c>
      <c r="G29" s="51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24">
        <v>0</v>
      </c>
      <c r="N29" s="25">
        <f t="shared" si="2"/>
        <v>0</v>
      </c>
      <c r="O29" s="25">
        <f t="shared" si="0"/>
        <v>12050</v>
      </c>
    </row>
    <row r="30" spans="1:15">
      <c r="A30" s="1" t="s">
        <v>1</v>
      </c>
      <c r="B30" s="7" t="s">
        <v>33</v>
      </c>
      <c r="C30" s="56">
        <v>547</v>
      </c>
      <c r="D30" s="56">
        <v>0</v>
      </c>
      <c r="E30" s="71">
        <v>0</v>
      </c>
      <c r="F30" s="11">
        <f t="shared" si="1"/>
        <v>547</v>
      </c>
      <c r="G30" s="55">
        <v>5292</v>
      </c>
      <c r="H30" s="56">
        <v>12768</v>
      </c>
      <c r="I30" s="56">
        <v>11880</v>
      </c>
      <c r="J30" s="56">
        <v>9120</v>
      </c>
      <c r="K30" s="56">
        <v>4240</v>
      </c>
      <c r="L30" s="56">
        <v>4902</v>
      </c>
      <c r="M30" s="10">
        <v>6450</v>
      </c>
      <c r="N30" s="11">
        <f t="shared" si="2"/>
        <v>54652</v>
      </c>
      <c r="O30" s="11">
        <f t="shared" si="0"/>
        <v>55199</v>
      </c>
    </row>
    <row r="31" spans="1:15">
      <c r="A31" s="1" t="s">
        <v>1</v>
      </c>
      <c r="B31" s="15" t="s">
        <v>45</v>
      </c>
      <c r="C31" s="58">
        <v>365547</v>
      </c>
      <c r="D31" s="58">
        <v>365000</v>
      </c>
      <c r="E31" s="72">
        <v>224987</v>
      </c>
      <c r="F31" s="19">
        <f t="shared" si="1"/>
        <v>955534</v>
      </c>
      <c r="G31" s="57">
        <v>264374</v>
      </c>
      <c r="H31" s="58">
        <v>307932</v>
      </c>
      <c r="I31" s="58">
        <v>267543</v>
      </c>
      <c r="J31" s="58">
        <v>310135</v>
      </c>
      <c r="K31" s="58">
        <v>238088</v>
      </c>
      <c r="L31" s="58">
        <v>258926</v>
      </c>
      <c r="M31" s="18">
        <v>283707</v>
      </c>
      <c r="N31" s="19">
        <f t="shared" si="2"/>
        <v>1930705</v>
      </c>
      <c r="O31" s="19">
        <f t="shared" si="0"/>
        <v>2886239</v>
      </c>
    </row>
    <row r="32" spans="1:15">
      <c r="A32" s="1" t="s">
        <v>1</v>
      </c>
      <c r="B32" s="20" t="s">
        <v>46</v>
      </c>
      <c r="C32" s="50">
        <v>5104</v>
      </c>
      <c r="D32" s="50">
        <v>13349</v>
      </c>
      <c r="E32" s="68">
        <v>589</v>
      </c>
      <c r="F32" s="22">
        <f t="shared" si="1"/>
        <v>19042</v>
      </c>
      <c r="G32" s="49">
        <v>5890</v>
      </c>
      <c r="H32" s="50">
        <v>2356</v>
      </c>
      <c r="I32" s="50">
        <v>2258</v>
      </c>
      <c r="J32" s="50">
        <v>11190</v>
      </c>
      <c r="K32" s="50">
        <v>3976</v>
      </c>
      <c r="L32" s="50">
        <v>7068</v>
      </c>
      <c r="M32" s="21">
        <v>982</v>
      </c>
      <c r="N32" s="22">
        <f t="shared" si="2"/>
        <v>33720</v>
      </c>
      <c r="O32" s="22">
        <f t="shared" si="0"/>
        <v>52762</v>
      </c>
    </row>
    <row r="33" spans="1:15">
      <c r="A33" s="1" t="s">
        <v>1</v>
      </c>
      <c r="B33" s="7" t="s">
        <v>47</v>
      </c>
      <c r="C33" s="56">
        <v>5104</v>
      </c>
      <c r="D33" s="56">
        <v>13349</v>
      </c>
      <c r="E33" s="71">
        <v>589</v>
      </c>
      <c r="F33" s="11">
        <f t="shared" si="1"/>
        <v>19042</v>
      </c>
      <c r="G33" s="55">
        <v>5890</v>
      </c>
      <c r="H33" s="56">
        <v>2356</v>
      </c>
      <c r="I33" s="56">
        <v>2258</v>
      </c>
      <c r="J33" s="56">
        <v>11190</v>
      </c>
      <c r="K33" s="56">
        <v>3976</v>
      </c>
      <c r="L33" s="56">
        <v>7068</v>
      </c>
      <c r="M33" s="10">
        <v>982</v>
      </c>
      <c r="N33" s="11">
        <f t="shared" si="2"/>
        <v>33720</v>
      </c>
      <c r="O33" s="11">
        <f t="shared" si="0"/>
        <v>52762</v>
      </c>
    </row>
    <row r="34" spans="1:15">
      <c r="A34" s="1" t="s">
        <v>1</v>
      </c>
      <c r="B34" s="15" t="s">
        <v>48</v>
      </c>
      <c r="C34" s="58">
        <v>370651</v>
      </c>
      <c r="D34" s="58">
        <v>378349</v>
      </c>
      <c r="E34" s="72">
        <v>225576</v>
      </c>
      <c r="F34" s="19">
        <f t="shared" si="1"/>
        <v>974576</v>
      </c>
      <c r="G34" s="57">
        <v>270264</v>
      </c>
      <c r="H34" s="58">
        <v>310288</v>
      </c>
      <c r="I34" s="58">
        <v>269801</v>
      </c>
      <c r="J34" s="58">
        <v>321325</v>
      </c>
      <c r="K34" s="58">
        <v>242064</v>
      </c>
      <c r="L34" s="58">
        <v>265994</v>
      </c>
      <c r="M34" s="18">
        <v>284689</v>
      </c>
      <c r="N34" s="19">
        <f t="shared" si="2"/>
        <v>1964425</v>
      </c>
      <c r="O34" s="19">
        <f t="shared" si="0"/>
        <v>2939001</v>
      </c>
    </row>
    <row r="35" spans="1:15">
      <c r="A35" s="1" t="s">
        <v>1</v>
      </c>
      <c r="B35" s="20" t="s">
        <v>49</v>
      </c>
      <c r="C35" s="50">
        <v>18360</v>
      </c>
      <c r="D35" s="50">
        <v>19380</v>
      </c>
      <c r="E35" s="68">
        <v>11220</v>
      </c>
      <c r="F35" s="22">
        <f t="shared" si="1"/>
        <v>48960</v>
      </c>
      <c r="G35" s="49">
        <v>16320</v>
      </c>
      <c r="H35" s="50">
        <v>15300</v>
      </c>
      <c r="I35" s="50">
        <v>14280</v>
      </c>
      <c r="J35" s="50">
        <v>17340</v>
      </c>
      <c r="K35" s="50">
        <v>15300</v>
      </c>
      <c r="L35" s="50">
        <v>14280</v>
      </c>
      <c r="M35" s="21">
        <v>15300</v>
      </c>
      <c r="N35" s="22">
        <f t="shared" si="2"/>
        <v>108120</v>
      </c>
      <c r="O35" s="22">
        <f t="shared" si="0"/>
        <v>157080</v>
      </c>
    </row>
    <row r="36" spans="1:15">
      <c r="A36" s="1" t="s">
        <v>1</v>
      </c>
      <c r="B36" s="23" t="s">
        <v>50</v>
      </c>
      <c r="C36" s="52">
        <v>3240</v>
      </c>
      <c r="D36" s="52">
        <v>3420</v>
      </c>
      <c r="E36" s="69">
        <v>0</v>
      </c>
      <c r="F36" s="25">
        <f t="shared" si="1"/>
        <v>6660</v>
      </c>
      <c r="G36" s="51">
        <v>2880</v>
      </c>
      <c r="H36" s="52">
        <v>2700</v>
      </c>
      <c r="I36" s="52">
        <v>2520</v>
      </c>
      <c r="J36" s="52">
        <v>3060</v>
      </c>
      <c r="K36" s="52">
        <v>2700</v>
      </c>
      <c r="L36" s="52">
        <v>2520</v>
      </c>
      <c r="M36" s="24">
        <v>2700</v>
      </c>
      <c r="N36" s="25">
        <f t="shared" si="2"/>
        <v>19080</v>
      </c>
      <c r="O36" s="25">
        <f t="shared" si="0"/>
        <v>25740</v>
      </c>
    </row>
    <row r="37" spans="1:15">
      <c r="A37" s="1" t="s">
        <v>1</v>
      </c>
      <c r="B37" s="23" t="s">
        <v>51</v>
      </c>
      <c r="C37" s="52">
        <v>32940</v>
      </c>
      <c r="D37" s="52">
        <v>34770</v>
      </c>
      <c r="E37" s="69">
        <v>20130</v>
      </c>
      <c r="F37" s="25">
        <f t="shared" si="1"/>
        <v>87840</v>
      </c>
      <c r="G37" s="51">
        <v>29280</v>
      </c>
      <c r="H37" s="52">
        <v>27450</v>
      </c>
      <c r="I37" s="52">
        <v>25620</v>
      </c>
      <c r="J37" s="52">
        <v>31110</v>
      </c>
      <c r="K37" s="52">
        <v>27450</v>
      </c>
      <c r="L37" s="52">
        <v>25620</v>
      </c>
      <c r="M37" s="24">
        <v>27450</v>
      </c>
      <c r="N37" s="25">
        <f t="shared" si="2"/>
        <v>193980</v>
      </c>
      <c r="O37" s="25">
        <f t="shared" si="0"/>
        <v>281820</v>
      </c>
    </row>
    <row r="38" spans="1:15">
      <c r="A38" s="1" t="s">
        <v>1</v>
      </c>
      <c r="B38" s="7" t="s">
        <v>52</v>
      </c>
      <c r="C38" s="56">
        <v>2224</v>
      </c>
      <c r="D38" s="56">
        <v>2270</v>
      </c>
      <c r="E38" s="71">
        <v>1353</v>
      </c>
      <c r="F38" s="11">
        <f t="shared" si="1"/>
        <v>5847</v>
      </c>
      <c r="G38" s="55">
        <v>1622</v>
      </c>
      <c r="H38" s="56">
        <v>1862</v>
      </c>
      <c r="I38" s="56">
        <v>1619</v>
      </c>
      <c r="J38" s="56">
        <v>1928</v>
      </c>
      <c r="K38" s="56">
        <v>1452</v>
      </c>
      <c r="L38" s="56">
        <v>1596</v>
      </c>
      <c r="M38" s="10">
        <v>1708</v>
      </c>
      <c r="N38" s="11">
        <f t="shared" si="2"/>
        <v>11787</v>
      </c>
      <c r="O38" s="11">
        <f t="shared" si="0"/>
        <v>17634</v>
      </c>
    </row>
    <row r="39" spans="1:15">
      <c r="A39" s="1" t="s">
        <v>1</v>
      </c>
      <c r="B39" s="15" t="s">
        <v>53</v>
      </c>
      <c r="C39" s="58">
        <v>56764</v>
      </c>
      <c r="D39" s="58">
        <v>59840</v>
      </c>
      <c r="E39" s="72">
        <v>32703</v>
      </c>
      <c r="F39" s="19">
        <f t="shared" si="1"/>
        <v>149307</v>
      </c>
      <c r="G39" s="57">
        <v>50102</v>
      </c>
      <c r="H39" s="58">
        <v>47312</v>
      </c>
      <c r="I39" s="58">
        <v>44039</v>
      </c>
      <c r="J39" s="58">
        <v>53438</v>
      </c>
      <c r="K39" s="58">
        <v>46902</v>
      </c>
      <c r="L39" s="58">
        <v>44016</v>
      </c>
      <c r="M39" s="18">
        <v>47158</v>
      </c>
      <c r="N39" s="19">
        <f t="shared" si="2"/>
        <v>332967</v>
      </c>
      <c r="O39" s="19">
        <f t="shared" si="0"/>
        <v>482274</v>
      </c>
    </row>
    <row r="40" spans="1:15">
      <c r="A40" s="1" t="s">
        <v>1</v>
      </c>
      <c r="B40" s="20" t="s">
        <v>54</v>
      </c>
      <c r="C40" s="50">
        <v>9100</v>
      </c>
      <c r="D40" s="50">
        <v>8800</v>
      </c>
      <c r="E40" s="68">
        <v>4490</v>
      </c>
      <c r="F40" s="22">
        <f t="shared" si="1"/>
        <v>22390</v>
      </c>
      <c r="G40" s="49">
        <v>2040</v>
      </c>
      <c r="H40" s="50">
        <v>3700</v>
      </c>
      <c r="I40" s="50">
        <v>5600</v>
      </c>
      <c r="J40" s="50">
        <v>6790</v>
      </c>
      <c r="K40" s="50">
        <v>1220</v>
      </c>
      <c r="L40" s="50">
        <v>5300</v>
      </c>
      <c r="M40" s="21">
        <v>4450</v>
      </c>
      <c r="N40" s="22">
        <f t="shared" si="2"/>
        <v>29100</v>
      </c>
      <c r="O40" s="22">
        <f t="shared" si="0"/>
        <v>51490</v>
      </c>
    </row>
    <row r="41" spans="1:15">
      <c r="A41" s="1" t="s">
        <v>1</v>
      </c>
      <c r="B41" s="7" t="s">
        <v>55</v>
      </c>
      <c r="C41" s="56">
        <v>18900</v>
      </c>
      <c r="D41" s="56">
        <v>18400</v>
      </c>
      <c r="E41" s="71">
        <v>8200</v>
      </c>
      <c r="F41" s="11">
        <f t="shared" si="1"/>
        <v>45500</v>
      </c>
      <c r="G41" s="55">
        <v>10200</v>
      </c>
      <c r="H41" s="56">
        <v>7100</v>
      </c>
      <c r="I41" s="56">
        <v>12900</v>
      </c>
      <c r="J41" s="56">
        <v>15300</v>
      </c>
      <c r="K41" s="56">
        <v>5800</v>
      </c>
      <c r="L41" s="56">
        <v>11800</v>
      </c>
      <c r="M41" s="10">
        <v>11000</v>
      </c>
      <c r="N41" s="11">
        <f t="shared" si="2"/>
        <v>74100</v>
      </c>
      <c r="O41" s="11">
        <f t="shared" si="0"/>
        <v>119600</v>
      </c>
    </row>
    <row r="42" spans="1:15">
      <c r="A42" s="1" t="s">
        <v>1</v>
      </c>
      <c r="B42" s="15" t="s">
        <v>56</v>
      </c>
      <c r="C42" s="58">
        <v>84764</v>
      </c>
      <c r="D42" s="58">
        <v>87040</v>
      </c>
      <c r="E42" s="72">
        <v>45393</v>
      </c>
      <c r="F42" s="19">
        <f t="shared" si="1"/>
        <v>217197</v>
      </c>
      <c r="G42" s="57">
        <v>62342</v>
      </c>
      <c r="H42" s="58">
        <v>58112</v>
      </c>
      <c r="I42" s="58">
        <v>62539</v>
      </c>
      <c r="J42" s="58">
        <v>75528</v>
      </c>
      <c r="K42" s="58">
        <v>53922</v>
      </c>
      <c r="L42" s="58">
        <v>61116</v>
      </c>
      <c r="M42" s="18">
        <v>62608</v>
      </c>
      <c r="N42" s="19">
        <f t="shared" si="2"/>
        <v>436167</v>
      </c>
      <c r="O42" s="19">
        <f t="shared" si="0"/>
        <v>653364</v>
      </c>
    </row>
    <row r="43" spans="1:15">
      <c r="A43" s="1" t="s">
        <v>1</v>
      </c>
      <c r="B43" s="15" t="s">
        <v>57</v>
      </c>
      <c r="C43" s="58">
        <v>308783</v>
      </c>
      <c r="D43" s="58">
        <v>305160</v>
      </c>
      <c r="E43" s="72">
        <v>192284</v>
      </c>
      <c r="F43" s="19">
        <f t="shared" si="1"/>
        <v>806227</v>
      </c>
      <c r="G43" s="57">
        <v>214272</v>
      </c>
      <c r="H43" s="58">
        <v>260620</v>
      </c>
      <c r="I43" s="58">
        <v>223504</v>
      </c>
      <c r="J43" s="58">
        <v>256697</v>
      </c>
      <c r="K43" s="58">
        <v>191186</v>
      </c>
      <c r="L43" s="58">
        <v>214910</v>
      </c>
      <c r="M43" s="18">
        <v>236549</v>
      </c>
      <c r="N43" s="19">
        <f t="shared" si="2"/>
        <v>1597738</v>
      </c>
      <c r="O43" s="19">
        <f t="shared" si="0"/>
        <v>2403965</v>
      </c>
    </row>
    <row r="44" spans="1:15">
      <c r="A44" s="1" t="s">
        <v>1</v>
      </c>
      <c r="B44" s="15" t="s">
        <v>58</v>
      </c>
      <c r="C44" s="58">
        <v>285887</v>
      </c>
      <c r="D44" s="58">
        <v>291309</v>
      </c>
      <c r="E44" s="72">
        <v>180183</v>
      </c>
      <c r="F44" s="19">
        <f t="shared" si="1"/>
        <v>757379</v>
      </c>
      <c r="G44" s="57">
        <v>207922</v>
      </c>
      <c r="H44" s="58">
        <v>252176</v>
      </c>
      <c r="I44" s="58">
        <v>207262</v>
      </c>
      <c r="J44" s="58">
        <v>245797</v>
      </c>
      <c r="K44" s="58">
        <v>188142</v>
      </c>
      <c r="L44" s="58">
        <v>204878</v>
      </c>
      <c r="M44" s="18">
        <v>222081</v>
      </c>
      <c r="N44" s="19">
        <f t="shared" si="2"/>
        <v>1528258</v>
      </c>
      <c r="O44" s="19">
        <f t="shared" si="0"/>
        <v>2285637</v>
      </c>
    </row>
    <row r="45" spans="1:15">
      <c r="A45" s="1" t="s">
        <v>1</v>
      </c>
      <c r="B45" s="15" t="s">
        <v>59</v>
      </c>
      <c r="C45" s="58">
        <v>285887</v>
      </c>
      <c r="D45" s="58">
        <v>291309</v>
      </c>
      <c r="E45" s="72">
        <v>180183</v>
      </c>
      <c r="F45" s="19">
        <f t="shared" si="1"/>
        <v>757379</v>
      </c>
      <c r="G45" s="57">
        <v>207922</v>
      </c>
      <c r="H45" s="58">
        <v>252176</v>
      </c>
      <c r="I45" s="58">
        <v>207262</v>
      </c>
      <c r="J45" s="58">
        <v>245797</v>
      </c>
      <c r="K45" s="58">
        <v>188142</v>
      </c>
      <c r="L45" s="58">
        <v>204878</v>
      </c>
      <c r="M45" s="18">
        <v>222081</v>
      </c>
      <c r="N45" s="19">
        <f t="shared" si="2"/>
        <v>1528258</v>
      </c>
      <c r="O45" s="19">
        <f t="shared" si="0"/>
        <v>2285637</v>
      </c>
    </row>
    <row r="46" spans="1:15">
      <c r="A46" s="1" t="s">
        <v>1</v>
      </c>
      <c r="B46" s="15" t="s">
        <v>60</v>
      </c>
      <c r="C46" s="58">
        <v>0</v>
      </c>
      <c r="D46" s="58">
        <v>0</v>
      </c>
      <c r="E46" s="72">
        <v>0</v>
      </c>
      <c r="F46" s="19"/>
      <c r="G46" s="57">
        <v>2</v>
      </c>
      <c r="H46" s="58">
        <v>2</v>
      </c>
      <c r="I46" s="58">
        <v>0</v>
      </c>
      <c r="J46" s="58">
        <v>0</v>
      </c>
      <c r="K46" s="58">
        <v>2</v>
      </c>
      <c r="L46" s="58">
        <v>0</v>
      </c>
      <c r="M46" s="18">
        <v>1</v>
      </c>
      <c r="N46" s="19"/>
      <c r="O46" s="19"/>
    </row>
    <row r="47" spans="1:15" ht="19.5" thickBot="1">
      <c r="A47" s="1" t="s">
        <v>1</v>
      </c>
      <c r="B47" s="12" t="s">
        <v>61</v>
      </c>
      <c r="C47" s="60" t="s">
        <v>62</v>
      </c>
      <c r="D47" s="60" t="s">
        <v>62</v>
      </c>
      <c r="E47" s="73" t="s">
        <v>62</v>
      </c>
      <c r="F47" s="14"/>
      <c r="G47" s="59" t="s">
        <v>62</v>
      </c>
      <c r="H47" s="60" t="s">
        <v>62</v>
      </c>
      <c r="I47" s="60" t="s">
        <v>62</v>
      </c>
      <c r="J47" s="60" t="s">
        <v>62</v>
      </c>
      <c r="K47" s="60" t="s">
        <v>62</v>
      </c>
      <c r="L47" s="60" t="s">
        <v>62</v>
      </c>
      <c r="M47" s="13" t="s">
        <v>62</v>
      </c>
      <c r="N47" s="14"/>
      <c r="O47" s="14"/>
    </row>
  </sheetData>
  <phoneticPr fontId="3"/>
  <pageMargins left="0.31496062992125984" right="0.70866141732283472" top="0.15748031496062992" bottom="0.15748031496062992" header="0.31496062992125984" footer="0.31496062992125984"/>
  <pageSetup paperSize="12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2023年9月度給与 (2)</vt:lpstr>
      <vt:lpstr>'2023年9月度給与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2023-10-06T04:50:34Z</cp:lastPrinted>
  <dcterms:created xsi:type="dcterms:W3CDTF">2023-10-06T04:37:13Z</dcterms:created>
  <dcterms:modified xsi:type="dcterms:W3CDTF">2023-10-07T04:55:01Z</dcterms:modified>
</cp:coreProperties>
</file>