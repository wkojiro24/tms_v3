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3\202303\"/>
    </mc:Choice>
  </mc:AlternateContent>
  <xr:revisionPtr revIDLastSave="0" documentId="13_ncr:1_{4CE84C98-8B18-4EF7-8A2B-CB72711A05EE}" xr6:coauthVersionLast="47" xr6:coauthVersionMax="47" xr10:uidLastSave="{00000000-0000-0000-0000-000000000000}"/>
  <bookViews>
    <workbookView xWindow="-120" yWindow="-120" windowWidth="20730" windowHeight="11160" xr2:uid="{B279BE60-8AF1-4DDC-AA4E-F13F4129B01E}"/>
  </bookViews>
  <sheets>
    <sheet name="2023年3月度給与 (2)" sheetId="3" r:id="rId1"/>
  </sheets>
  <definedNames>
    <definedName name="_xlnm.Print_Area" localSheetId="0">'2023年3月度給与 (2)'!$A$1:$K$41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3" l="1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14" i="3"/>
  <c r="J7" i="3"/>
  <c r="J8" i="3"/>
  <c r="J9" i="3"/>
  <c r="J10" i="3"/>
  <c r="J11" i="3"/>
  <c r="K11" i="3" s="1"/>
  <c r="J12" i="3"/>
  <c r="J13" i="3"/>
  <c r="J6" i="3"/>
  <c r="J5" i="3"/>
  <c r="E15" i="3"/>
  <c r="E16" i="3"/>
  <c r="K16" i="3" s="1"/>
  <c r="E17" i="3"/>
  <c r="E18" i="3"/>
  <c r="E19" i="3"/>
  <c r="E20" i="3"/>
  <c r="K20" i="3" s="1"/>
  <c r="E21" i="3"/>
  <c r="E22" i="3"/>
  <c r="E23" i="3"/>
  <c r="E24" i="3"/>
  <c r="K24" i="3" s="1"/>
  <c r="E25" i="3"/>
  <c r="E26" i="3"/>
  <c r="E27" i="3"/>
  <c r="E28" i="3"/>
  <c r="K28" i="3" s="1"/>
  <c r="E29" i="3"/>
  <c r="E30" i="3"/>
  <c r="E31" i="3"/>
  <c r="E32" i="3"/>
  <c r="K32" i="3" s="1"/>
  <c r="E33" i="3"/>
  <c r="E34" i="3"/>
  <c r="E35" i="3"/>
  <c r="E36" i="3"/>
  <c r="K36" i="3" s="1"/>
  <c r="E37" i="3"/>
  <c r="E38" i="3"/>
  <c r="E39" i="3"/>
  <c r="E14" i="3"/>
  <c r="K14" i="3" s="1"/>
  <c r="E7" i="3"/>
  <c r="E8" i="3"/>
  <c r="E9" i="3"/>
  <c r="E10" i="3"/>
  <c r="K10" i="3" s="1"/>
  <c r="E11" i="3"/>
  <c r="E12" i="3"/>
  <c r="E13" i="3"/>
  <c r="E6" i="3"/>
  <c r="K6" i="3" s="1"/>
  <c r="E5" i="3"/>
  <c r="K8" i="3" l="1"/>
  <c r="K34" i="3"/>
  <c r="K26" i="3"/>
  <c r="K18" i="3"/>
  <c r="K7" i="3"/>
  <c r="K37" i="3"/>
  <c r="K33" i="3"/>
  <c r="K29" i="3"/>
  <c r="K25" i="3"/>
  <c r="K21" i="3"/>
  <c r="K17" i="3"/>
  <c r="K12" i="3"/>
  <c r="K38" i="3"/>
  <c r="K30" i="3"/>
  <c r="K22" i="3"/>
  <c r="K5" i="3"/>
  <c r="K13" i="3"/>
  <c r="K9" i="3"/>
  <c r="K39" i="3"/>
  <c r="K35" i="3"/>
  <c r="K31" i="3"/>
  <c r="K27" i="3"/>
  <c r="K23" i="3"/>
  <c r="K19" i="3"/>
  <c r="K15" i="3"/>
</calcChain>
</file>

<file path=xl/sharedStrings.xml><?xml version="1.0" encoding="utf-8"?>
<sst xmlns="http://schemas.openxmlformats.org/spreadsheetml/2006/main" count="101" uniqueCount="57">
  <si>
    <t>支給控除一覧表</t>
    <phoneticPr fontId="4"/>
  </si>
  <si>
    <t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</si>
  <si>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</si>
  <si>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</si>
  <si>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</si>
  <si>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</si>
  <si>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</si>
  <si>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</si>
  <si>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</si>
  <si>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</si>
  <si>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</si>
  <si>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</si>
  <si>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</si>
  <si>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</si>
  <si>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</si>
  <si>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</si>
  <si>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</si>
  <si>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</si>
  <si>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</si>
  <si>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</si>
  <si>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</si>
  <si>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</si>
  <si>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</si>
  <si>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</si>
  <si>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</si>
  <si>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</si>
  <si>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</si>
  <si>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</si>
  <si>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</si>
  <si>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</si>
  <si>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基本給3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</si>
  <si>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</si>
  <si>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</si>
  <si>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</si>
  <si>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</si>
  <si>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</si>
  <si>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</si>
  <si>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</si>
  <si>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</si>
  <si>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</si>
  <si>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</si>
  <si>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</si>
  <si>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</si>
  <si>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</si>
  <si>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</si>
  <si>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</si>
  <si>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</si>
  <si>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</si>
  <si>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</si>
  <si>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</si>
  <si>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</si>
  <si>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</si>
  <si>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3月度給与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</si>
  <si>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</si>
  <si>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</si>
  <si>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</si>
  <si>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6名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</si>
</sst>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2" xfId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49" fontId="2" fillId="0" borderId="18" xfId="1" applyNumberFormat="1" applyFont="1" applyBorder="1" applyAlignment="1">
      <alignment horizontal="left"/>
    </xf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18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2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8" xfId="1" applyNumberFormat="1" applyFont="1" applyBorder="1"/>
    <xf numFmtId="2" fontId="2" fillId="0" borderId="9" xfId="1" applyNumberFormat="1" applyFont="1" applyBorder="1"/>
    <xf numFmtId="2" fontId="2" fillId="0" borderId="6" xfId="1" applyNumberFormat="1" applyFont="1" applyBorder="1"/>
    <xf numFmtId="49" fontId="2" fillId="0" borderId="26" xfId="1" applyNumberFormat="1" applyFont="1" applyBorder="1" applyAlignment="1">
      <alignment horizontal="left"/>
    </xf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26" xfId="1" applyNumberFormat="1" applyFont="1" applyBorder="1"/>
    <xf numFmtId="176" fontId="2" fillId="0" borderId="27" xfId="1" applyNumberFormat="1" applyFont="1" applyBorder="1"/>
    <xf numFmtId="176" fontId="2" fillId="0" borderId="28" xfId="1" applyNumberFormat="1" applyFont="1" applyBorder="1"/>
    <xf numFmtId="176" fontId="2" fillId="0" borderId="29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6" xfId="1" applyNumberFormat="1" applyFont="1" applyBorder="1"/>
    <xf numFmtId="49" fontId="2" fillId="0" borderId="3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2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1" xfId="1" applyNumberFormat="1" applyFont="1" applyBorder="1"/>
    <xf numFmtId="0" fontId="2" fillId="0" borderId="6" xfId="1" applyFont="1" applyBorder="1"/>
    <xf numFmtId="0" fontId="2" fillId="0" borderId="5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176" fontId="2" fillId="0" borderId="26" xfId="1" applyNumberFormat="1" applyFont="1" applyBorder="1"/>
    <xf numFmtId="2" fontId="2" fillId="0" borderId="41" xfId="1" applyNumberFormat="1" applyFont="1" applyBorder="1"/>
  </cellXfs>
  <cellStyles count="2">
    <cellStyle name="標準" xfId="0" builtinId="0"/>
    <cellStyle name="標準 2" xfId="1" xr:uid="{2E53C057-6F57-4BAB-B189-B50FA95E68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2985-E916-4877-8976-5F2EA9369E7D}">
  <sheetPr>
    <pageSetUpPr fitToPage="1"/>
  </sheetPr>
  <dimension ref="A1:K4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M12" sqref="M12"/>
    </sheetView>
  </sheetViews>
  <sheetFormatPr defaultRowHeight="18.75"/>
  <cols>
    <col min="1" max="1" width="2.375" style="2" customWidth="1"/>
    <col min="2" max="2" width="13.25" style="2" bestFit="1" customWidth="1"/>
    <col min="3" max="6" width="11.125" style="2" customWidth="1"/>
    <col min="7" max="8" width="11.125" style="2" bestFit="1" customWidth="1"/>
    <col min="9" max="10" width="11.125" style="2" customWidth="1"/>
    <col min="11" max="11" width="9.625" style="2" bestFit="1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52</v>
      </c>
    </row>
    <row r="3" spans="1:11">
      <c r="B3" s="63" t="s">
        <v>8</v>
      </c>
      <c r="C3" s="13" t="s">
        <v>5</v>
      </c>
      <c r="D3" s="11" t="s">
        <v>7</v>
      </c>
      <c r="E3" s="34" t="s">
        <v>53</v>
      </c>
      <c r="F3" s="12" t="s">
        <v>2</v>
      </c>
      <c r="G3" s="13" t="s">
        <v>3</v>
      </c>
      <c r="H3" s="13" t="s">
        <v>4</v>
      </c>
      <c r="I3" s="51" t="s">
        <v>6</v>
      </c>
      <c r="J3" s="34" t="s">
        <v>53</v>
      </c>
      <c r="K3" s="62" t="s">
        <v>15</v>
      </c>
    </row>
    <row r="4" spans="1:11" ht="19.5" thickBot="1">
      <c r="A4" s="10"/>
      <c r="B4" s="64"/>
      <c r="C4" s="15" t="s">
        <v>12</v>
      </c>
      <c r="D4" s="3" t="s">
        <v>14</v>
      </c>
      <c r="E4" s="50" t="s">
        <v>54</v>
      </c>
      <c r="F4" s="14" t="s">
        <v>9</v>
      </c>
      <c r="G4" s="15" t="s">
        <v>10</v>
      </c>
      <c r="H4" s="15" t="s">
        <v>11</v>
      </c>
      <c r="I4" s="52" t="s">
        <v>13</v>
      </c>
      <c r="J4" s="50" t="s">
        <v>55</v>
      </c>
      <c r="K4" s="50" t="s">
        <v>56</v>
      </c>
    </row>
    <row r="5" spans="1:11">
      <c r="A5" s="1" t="s">
        <v>1</v>
      </c>
      <c r="B5" s="34" t="s">
        <v>16</v>
      </c>
      <c r="C5" s="36">
        <v>21</v>
      </c>
      <c r="D5" s="66">
        <v>21</v>
      </c>
      <c r="E5" s="65">
        <f>SUM(C5:D5)</f>
        <v>42</v>
      </c>
      <c r="F5" s="35">
        <v>20</v>
      </c>
      <c r="G5" s="36">
        <v>22</v>
      </c>
      <c r="H5" s="36">
        <v>20</v>
      </c>
      <c r="I5" s="53">
        <v>22</v>
      </c>
      <c r="J5" s="37">
        <f>SUM(F5:I5)</f>
        <v>84</v>
      </c>
      <c r="K5" s="37">
        <f>E5+J5</f>
        <v>126</v>
      </c>
    </row>
    <row r="6" spans="1:11">
      <c r="A6" s="1" t="s">
        <v>1</v>
      </c>
      <c r="B6" s="38" t="s">
        <v>17</v>
      </c>
      <c r="C6" s="40">
        <v>0</v>
      </c>
      <c r="D6" s="67">
        <v>0</v>
      </c>
      <c r="E6" s="41">
        <f>SUM(C6:D6)</f>
        <v>0</v>
      </c>
      <c r="F6" s="39">
        <v>1</v>
      </c>
      <c r="G6" s="40">
        <v>1</v>
      </c>
      <c r="H6" s="40">
        <v>1</v>
      </c>
      <c r="I6" s="54">
        <v>1</v>
      </c>
      <c r="J6" s="42">
        <f>SUM(F6:I6)</f>
        <v>4</v>
      </c>
      <c r="K6" s="42">
        <f t="shared" ref="K6:K39" si="0">E6+J6</f>
        <v>4</v>
      </c>
    </row>
    <row r="7" spans="1:11">
      <c r="A7" s="1" t="s">
        <v>1</v>
      </c>
      <c r="B7" s="38" t="s">
        <v>18</v>
      </c>
      <c r="C7" s="40">
        <v>2</v>
      </c>
      <c r="D7" s="67">
        <v>0</v>
      </c>
      <c r="E7" s="41">
        <f t="shared" ref="E7:E13" si="1">SUM(C7:D7)</f>
        <v>2</v>
      </c>
      <c r="F7" s="39">
        <v>3</v>
      </c>
      <c r="G7" s="40">
        <v>1</v>
      </c>
      <c r="H7" s="40">
        <v>3</v>
      </c>
      <c r="I7" s="54">
        <v>1</v>
      </c>
      <c r="J7" s="42">
        <f t="shared" ref="J7:J13" si="2">SUM(F7:I7)</f>
        <v>8</v>
      </c>
      <c r="K7" s="42">
        <f t="shared" si="0"/>
        <v>10</v>
      </c>
    </row>
    <row r="8" spans="1:11">
      <c r="A8" s="1" t="s">
        <v>1</v>
      </c>
      <c r="B8" s="38" t="s">
        <v>19</v>
      </c>
      <c r="C8" s="44">
        <v>0</v>
      </c>
      <c r="D8" s="68">
        <v>1.5</v>
      </c>
      <c r="E8" s="45">
        <f t="shared" si="1"/>
        <v>1.5</v>
      </c>
      <c r="F8" s="43">
        <v>0</v>
      </c>
      <c r="G8" s="44">
        <v>0</v>
      </c>
      <c r="H8" s="44">
        <v>0</v>
      </c>
      <c r="I8" s="55">
        <v>0</v>
      </c>
      <c r="J8" s="42">
        <f t="shared" si="2"/>
        <v>0</v>
      </c>
      <c r="K8" s="70">
        <f t="shared" si="0"/>
        <v>1.5</v>
      </c>
    </row>
    <row r="9" spans="1:11">
      <c r="A9" s="1" t="s">
        <v>1</v>
      </c>
      <c r="B9" s="38" t="s">
        <v>20</v>
      </c>
      <c r="C9" s="44">
        <v>0</v>
      </c>
      <c r="D9" s="68">
        <v>2</v>
      </c>
      <c r="E9" s="45">
        <f t="shared" si="1"/>
        <v>2</v>
      </c>
      <c r="F9" s="43">
        <v>0</v>
      </c>
      <c r="G9" s="44">
        <v>0</v>
      </c>
      <c r="H9" s="44">
        <v>0</v>
      </c>
      <c r="I9" s="55">
        <v>0</v>
      </c>
      <c r="J9" s="42">
        <f t="shared" si="2"/>
        <v>0</v>
      </c>
      <c r="K9" s="70">
        <f t="shared" si="0"/>
        <v>2</v>
      </c>
    </row>
    <row r="10" spans="1:11">
      <c r="A10" s="1" t="s">
        <v>1</v>
      </c>
      <c r="B10" s="38" t="s">
        <v>21</v>
      </c>
      <c r="C10" s="44">
        <v>0</v>
      </c>
      <c r="D10" s="68">
        <v>0</v>
      </c>
      <c r="E10" s="45">
        <f t="shared" si="1"/>
        <v>0</v>
      </c>
      <c r="F10" s="43">
        <v>3.0416666666666665</v>
      </c>
      <c r="G10" s="44">
        <v>2.875</v>
      </c>
      <c r="H10" s="44">
        <v>2.5416666666666665</v>
      </c>
      <c r="I10" s="55">
        <v>1.5416666666666665</v>
      </c>
      <c r="J10" s="42">
        <f t="shared" si="2"/>
        <v>9.9999999999999982</v>
      </c>
      <c r="K10" s="70">
        <f t="shared" si="0"/>
        <v>9.9999999999999982</v>
      </c>
    </row>
    <row r="11" spans="1:11">
      <c r="A11" s="1" t="s">
        <v>1</v>
      </c>
      <c r="B11" s="38" t="s">
        <v>22</v>
      </c>
      <c r="C11" s="44">
        <v>0</v>
      </c>
      <c r="D11" s="68">
        <v>0</v>
      </c>
      <c r="E11" s="45">
        <f t="shared" si="1"/>
        <v>0</v>
      </c>
      <c r="F11" s="43">
        <v>8.3333333333333329E-2</v>
      </c>
      <c r="G11" s="44">
        <v>8.3333333333333329E-2</v>
      </c>
      <c r="H11" s="44">
        <v>0.375</v>
      </c>
      <c r="I11" s="55">
        <v>8.3333333333333329E-2</v>
      </c>
      <c r="J11" s="42">
        <f t="shared" si="2"/>
        <v>0.625</v>
      </c>
      <c r="K11" s="70">
        <f t="shared" si="0"/>
        <v>0.625</v>
      </c>
    </row>
    <row r="12" spans="1:11">
      <c r="A12" s="1" t="s">
        <v>1</v>
      </c>
      <c r="B12" s="38" t="s">
        <v>23</v>
      </c>
      <c r="C12" s="44">
        <v>0</v>
      </c>
      <c r="D12" s="68">
        <v>0</v>
      </c>
      <c r="E12" s="45">
        <f t="shared" si="1"/>
        <v>0</v>
      </c>
      <c r="F12" s="43">
        <v>0.33333333333333331</v>
      </c>
      <c r="G12" s="44">
        <v>0.33333333333333331</v>
      </c>
      <c r="H12" s="44">
        <v>0.16666666666666666</v>
      </c>
      <c r="I12" s="55">
        <v>0.20833333333333334</v>
      </c>
      <c r="J12" s="42">
        <f t="shared" si="2"/>
        <v>1.0416666666666665</v>
      </c>
      <c r="K12" s="70">
        <f t="shared" si="0"/>
        <v>1.0416666666666665</v>
      </c>
    </row>
    <row r="13" spans="1:11">
      <c r="A13" s="1" t="s">
        <v>1</v>
      </c>
      <c r="B13" s="20" t="s">
        <v>24</v>
      </c>
      <c r="C13" s="22">
        <v>21</v>
      </c>
      <c r="D13" s="69">
        <v>9</v>
      </c>
      <c r="E13" s="23">
        <f t="shared" si="1"/>
        <v>30</v>
      </c>
      <c r="F13" s="21">
        <v>23</v>
      </c>
      <c r="G13" s="22">
        <v>25</v>
      </c>
      <c r="H13" s="22">
        <v>11</v>
      </c>
      <c r="I13" s="56">
        <v>7</v>
      </c>
      <c r="J13" s="42">
        <f t="shared" si="2"/>
        <v>66</v>
      </c>
      <c r="K13" s="71">
        <f t="shared" si="0"/>
        <v>96</v>
      </c>
    </row>
    <row r="14" spans="1:11">
      <c r="A14" s="1" t="s">
        <v>1</v>
      </c>
      <c r="B14" s="29" t="s">
        <v>25</v>
      </c>
      <c r="C14" s="31">
        <v>355000</v>
      </c>
      <c r="D14" s="32">
        <v>0</v>
      </c>
      <c r="E14" s="33">
        <f>SUM(C14:D14)</f>
        <v>355000</v>
      </c>
      <c r="F14" s="30">
        <v>182000</v>
      </c>
      <c r="G14" s="31">
        <v>192000</v>
      </c>
      <c r="H14" s="31">
        <v>177000</v>
      </c>
      <c r="I14" s="57">
        <v>182000</v>
      </c>
      <c r="J14" s="33">
        <f>SUM(F14:I14)</f>
        <v>733000</v>
      </c>
      <c r="K14" s="33">
        <f t="shared" si="0"/>
        <v>1088000</v>
      </c>
    </row>
    <row r="15" spans="1:11">
      <c r="A15" s="1" t="s">
        <v>1</v>
      </c>
      <c r="B15" s="38" t="s">
        <v>26</v>
      </c>
      <c r="C15" s="47">
        <v>0</v>
      </c>
      <c r="D15" s="48">
        <v>0</v>
      </c>
      <c r="E15" s="49">
        <f t="shared" ref="E15:E39" si="3">SUM(C15:D15)</f>
        <v>0</v>
      </c>
      <c r="F15" s="46">
        <v>5000</v>
      </c>
      <c r="G15" s="47">
        <v>0</v>
      </c>
      <c r="H15" s="47">
        <v>5000</v>
      </c>
      <c r="I15" s="58">
        <v>0</v>
      </c>
      <c r="J15" s="49">
        <f t="shared" ref="J15:J39" si="4">SUM(F15:I15)</f>
        <v>10000</v>
      </c>
      <c r="K15" s="49">
        <f t="shared" si="0"/>
        <v>10000</v>
      </c>
    </row>
    <row r="16" spans="1:11">
      <c r="A16" s="1" t="s">
        <v>1</v>
      </c>
      <c r="B16" s="38" t="s">
        <v>27</v>
      </c>
      <c r="C16" s="47">
        <v>0</v>
      </c>
      <c r="D16" s="48">
        <v>0</v>
      </c>
      <c r="E16" s="49">
        <f t="shared" si="3"/>
        <v>0</v>
      </c>
      <c r="F16" s="46">
        <v>3000</v>
      </c>
      <c r="G16" s="47">
        <v>3000</v>
      </c>
      <c r="H16" s="47">
        <v>6000</v>
      </c>
      <c r="I16" s="58">
        <v>0</v>
      </c>
      <c r="J16" s="49">
        <f t="shared" si="4"/>
        <v>12000</v>
      </c>
      <c r="K16" s="49">
        <f t="shared" si="0"/>
        <v>12000</v>
      </c>
    </row>
    <row r="17" spans="1:11">
      <c r="A17" s="1" t="s">
        <v>1</v>
      </c>
      <c r="B17" s="38" t="s">
        <v>28</v>
      </c>
      <c r="C17" s="47">
        <v>50000</v>
      </c>
      <c r="D17" s="48">
        <v>0</v>
      </c>
      <c r="E17" s="49">
        <f t="shared" si="3"/>
        <v>50000</v>
      </c>
      <c r="F17" s="46">
        <v>50000</v>
      </c>
      <c r="G17" s="47">
        <v>50000</v>
      </c>
      <c r="H17" s="47">
        <v>50000</v>
      </c>
      <c r="I17" s="58">
        <v>50000</v>
      </c>
      <c r="J17" s="49">
        <f t="shared" si="4"/>
        <v>200000</v>
      </c>
      <c r="K17" s="49">
        <f t="shared" si="0"/>
        <v>250000</v>
      </c>
    </row>
    <row r="18" spans="1:11">
      <c r="A18" s="1" t="s">
        <v>1</v>
      </c>
      <c r="B18" s="38" t="s">
        <v>29</v>
      </c>
      <c r="C18" s="47">
        <v>0</v>
      </c>
      <c r="D18" s="48">
        <v>38700</v>
      </c>
      <c r="E18" s="49">
        <f t="shared" si="3"/>
        <v>38700</v>
      </c>
      <c r="F18" s="46">
        <v>0</v>
      </c>
      <c r="G18" s="47">
        <v>0</v>
      </c>
      <c r="H18" s="47">
        <v>0</v>
      </c>
      <c r="I18" s="58">
        <v>0</v>
      </c>
      <c r="J18" s="49">
        <f t="shared" si="4"/>
        <v>0</v>
      </c>
      <c r="K18" s="49">
        <f t="shared" si="0"/>
        <v>38700</v>
      </c>
    </row>
    <row r="19" spans="1:11">
      <c r="A19" s="1" t="s">
        <v>1</v>
      </c>
      <c r="B19" s="38" t="s">
        <v>30</v>
      </c>
      <c r="C19" s="47">
        <v>0</v>
      </c>
      <c r="D19" s="48">
        <v>51840</v>
      </c>
      <c r="E19" s="49">
        <f t="shared" si="3"/>
        <v>51840</v>
      </c>
      <c r="F19" s="46">
        <v>0</v>
      </c>
      <c r="G19" s="47">
        <v>0</v>
      </c>
      <c r="H19" s="47">
        <v>0</v>
      </c>
      <c r="I19" s="58">
        <v>0</v>
      </c>
      <c r="J19" s="49">
        <f t="shared" si="4"/>
        <v>0</v>
      </c>
      <c r="K19" s="49">
        <f t="shared" si="0"/>
        <v>51840</v>
      </c>
    </row>
    <row r="20" spans="1:11">
      <c r="A20" s="1" t="s">
        <v>1</v>
      </c>
      <c r="B20" s="38" t="s">
        <v>31</v>
      </c>
      <c r="C20" s="47">
        <v>0</v>
      </c>
      <c r="D20" s="48">
        <v>0</v>
      </c>
      <c r="E20" s="49">
        <f t="shared" si="3"/>
        <v>0</v>
      </c>
      <c r="F20" s="46">
        <v>2000</v>
      </c>
      <c r="G20" s="47">
        <v>2000</v>
      </c>
      <c r="H20" s="47">
        <v>0</v>
      </c>
      <c r="I20" s="58">
        <v>2000</v>
      </c>
      <c r="J20" s="49">
        <f t="shared" si="4"/>
        <v>6000</v>
      </c>
      <c r="K20" s="49">
        <f t="shared" si="0"/>
        <v>6000</v>
      </c>
    </row>
    <row r="21" spans="1:11">
      <c r="A21" s="1" t="s">
        <v>1</v>
      </c>
      <c r="B21" s="38" t="s">
        <v>32</v>
      </c>
      <c r="C21" s="47">
        <v>0</v>
      </c>
      <c r="D21" s="48">
        <v>0</v>
      </c>
      <c r="E21" s="49">
        <f t="shared" si="3"/>
        <v>0</v>
      </c>
      <c r="F21" s="46">
        <v>0</v>
      </c>
      <c r="G21" s="47">
        <v>13000</v>
      </c>
      <c r="H21" s="47">
        <v>15000</v>
      </c>
      <c r="I21" s="58">
        <v>13000</v>
      </c>
      <c r="J21" s="49">
        <f t="shared" si="4"/>
        <v>41000</v>
      </c>
      <c r="K21" s="49">
        <f t="shared" si="0"/>
        <v>41000</v>
      </c>
    </row>
    <row r="22" spans="1:11">
      <c r="A22" s="1" t="s">
        <v>1</v>
      </c>
      <c r="B22" s="38" t="s">
        <v>21</v>
      </c>
      <c r="C22" s="47">
        <v>0</v>
      </c>
      <c r="D22" s="48">
        <v>0</v>
      </c>
      <c r="E22" s="49">
        <f t="shared" si="3"/>
        <v>0</v>
      </c>
      <c r="F22" s="46">
        <v>132203</v>
      </c>
      <c r="G22" s="47">
        <v>134274</v>
      </c>
      <c r="H22" s="47">
        <v>115534</v>
      </c>
      <c r="I22" s="58">
        <v>68413</v>
      </c>
      <c r="J22" s="49">
        <f t="shared" si="4"/>
        <v>450424</v>
      </c>
      <c r="K22" s="49">
        <f t="shared" si="0"/>
        <v>450424</v>
      </c>
    </row>
    <row r="23" spans="1:11">
      <c r="A23" s="1" t="s">
        <v>1</v>
      </c>
      <c r="B23" s="38" t="s">
        <v>33</v>
      </c>
      <c r="C23" s="47">
        <v>0</v>
      </c>
      <c r="D23" s="48">
        <v>0</v>
      </c>
      <c r="E23" s="49">
        <f t="shared" si="3"/>
        <v>0</v>
      </c>
      <c r="F23" s="46">
        <v>3912</v>
      </c>
      <c r="G23" s="47">
        <v>4204</v>
      </c>
      <c r="H23" s="47">
        <v>18405</v>
      </c>
      <c r="I23" s="58">
        <v>3994</v>
      </c>
      <c r="J23" s="49">
        <f t="shared" si="4"/>
        <v>30515</v>
      </c>
      <c r="K23" s="49">
        <f t="shared" si="0"/>
        <v>30515</v>
      </c>
    </row>
    <row r="24" spans="1:11">
      <c r="A24" s="1" t="s">
        <v>1</v>
      </c>
      <c r="B24" s="4" t="s">
        <v>23</v>
      </c>
      <c r="C24" s="17">
        <v>0</v>
      </c>
      <c r="D24" s="5">
        <v>0</v>
      </c>
      <c r="E24" s="6">
        <f t="shared" si="3"/>
        <v>0</v>
      </c>
      <c r="F24" s="16">
        <v>2896</v>
      </c>
      <c r="G24" s="17">
        <v>3112</v>
      </c>
      <c r="H24" s="17">
        <v>1516</v>
      </c>
      <c r="I24" s="59">
        <v>1850</v>
      </c>
      <c r="J24" s="6">
        <f t="shared" si="4"/>
        <v>9374</v>
      </c>
      <c r="K24" s="6">
        <f t="shared" si="0"/>
        <v>9374</v>
      </c>
    </row>
    <row r="25" spans="1:11">
      <c r="A25" s="1" t="s">
        <v>1</v>
      </c>
      <c r="B25" s="24" t="s">
        <v>34</v>
      </c>
      <c r="C25" s="26">
        <v>405000</v>
      </c>
      <c r="D25" s="27">
        <v>90540</v>
      </c>
      <c r="E25" s="28">
        <f t="shared" si="3"/>
        <v>495540</v>
      </c>
      <c r="F25" s="25">
        <v>381011</v>
      </c>
      <c r="G25" s="26">
        <v>401590</v>
      </c>
      <c r="H25" s="26">
        <v>388455</v>
      </c>
      <c r="I25" s="60">
        <v>321257</v>
      </c>
      <c r="J25" s="28">
        <f t="shared" si="4"/>
        <v>1492313</v>
      </c>
      <c r="K25" s="28">
        <f t="shared" si="0"/>
        <v>1987853</v>
      </c>
    </row>
    <row r="26" spans="1:11">
      <c r="A26" s="1" t="s">
        <v>1</v>
      </c>
      <c r="B26" s="29" t="s">
        <v>35</v>
      </c>
      <c r="C26" s="31">
        <v>10489</v>
      </c>
      <c r="D26" s="32">
        <v>0</v>
      </c>
      <c r="E26" s="33">
        <f t="shared" si="3"/>
        <v>10489</v>
      </c>
      <c r="F26" s="30">
        <v>6262</v>
      </c>
      <c r="G26" s="31">
        <v>1732</v>
      </c>
      <c r="H26" s="31">
        <v>3652</v>
      </c>
      <c r="I26" s="57">
        <v>0</v>
      </c>
      <c r="J26" s="33">
        <f t="shared" si="4"/>
        <v>11646</v>
      </c>
      <c r="K26" s="33">
        <f t="shared" si="0"/>
        <v>22135</v>
      </c>
    </row>
    <row r="27" spans="1:11">
      <c r="A27" s="1" t="s">
        <v>1</v>
      </c>
      <c r="B27" s="4" t="s">
        <v>36</v>
      </c>
      <c r="C27" s="17">
        <v>10489</v>
      </c>
      <c r="D27" s="5">
        <v>0</v>
      </c>
      <c r="E27" s="6">
        <f t="shared" si="3"/>
        <v>10489</v>
      </c>
      <c r="F27" s="16">
        <v>6262</v>
      </c>
      <c r="G27" s="17">
        <v>1732</v>
      </c>
      <c r="H27" s="17">
        <v>3652</v>
      </c>
      <c r="I27" s="59">
        <v>0</v>
      </c>
      <c r="J27" s="6">
        <f t="shared" si="4"/>
        <v>11646</v>
      </c>
      <c r="K27" s="6">
        <f t="shared" si="0"/>
        <v>22135</v>
      </c>
    </row>
    <row r="28" spans="1:11">
      <c r="A28" s="1" t="s">
        <v>1</v>
      </c>
      <c r="B28" s="24" t="s">
        <v>37</v>
      </c>
      <c r="C28" s="26">
        <v>415489</v>
      </c>
      <c r="D28" s="27">
        <v>90540</v>
      </c>
      <c r="E28" s="28">
        <f t="shared" si="3"/>
        <v>506029</v>
      </c>
      <c r="F28" s="25">
        <v>387273</v>
      </c>
      <c r="G28" s="26">
        <v>403322</v>
      </c>
      <c r="H28" s="26">
        <v>392107</v>
      </c>
      <c r="I28" s="60">
        <v>321257</v>
      </c>
      <c r="J28" s="28">
        <f t="shared" si="4"/>
        <v>1503959</v>
      </c>
      <c r="K28" s="28">
        <f t="shared" si="0"/>
        <v>2009988</v>
      </c>
    </row>
    <row r="29" spans="1:11">
      <c r="A29" s="1" t="s">
        <v>1</v>
      </c>
      <c r="B29" s="29" t="s">
        <v>38</v>
      </c>
      <c r="C29" s="31">
        <v>20910</v>
      </c>
      <c r="D29" s="32">
        <v>0</v>
      </c>
      <c r="E29" s="33">
        <f t="shared" si="3"/>
        <v>20910</v>
      </c>
      <c r="F29" s="30">
        <v>17340</v>
      </c>
      <c r="G29" s="31">
        <v>22440</v>
      </c>
      <c r="H29" s="31">
        <v>18360</v>
      </c>
      <c r="I29" s="57">
        <v>18360</v>
      </c>
      <c r="J29" s="33">
        <f t="shared" si="4"/>
        <v>76500</v>
      </c>
      <c r="K29" s="33">
        <f t="shared" si="0"/>
        <v>97410</v>
      </c>
    </row>
    <row r="30" spans="1:11">
      <c r="A30" s="1" t="s">
        <v>1</v>
      </c>
      <c r="B30" s="38" t="s">
        <v>39</v>
      </c>
      <c r="C30" s="47">
        <v>3690</v>
      </c>
      <c r="D30" s="48">
        <v>0</v>
      </c>
      <c r="E30" s="49">
        <f t="shared" si="3"/>
        <v>3690</v>
      </c>
      <c r="F30" s="46">
        <v>3060</v>
      </c>
      <c r="G30" s="47">
        <v>3960</v>
      </c>
      <c r="H30" s="47">
        <v>3240</v>
      </c>
      <c r="I30" s="58">
        <v>3240</v>
      </c>
      <c r="J30" s="49">
        <f t="shared" si="4"/>
        <v>13500</v>
      </c>
      <c r="K30" s="49">
        <f t="shared" si="0"/>
        <v>17190</v>
      </c>
    </row>
    <row r="31" spans="1:11">
      <c r="A31" s="1" t="s">
        <v>1</v>
      </c>
      <c r="B31" s="38" t="s">
        <v>40</v>
      </c>
      <c r="C31" s="47">
        <v>37515</v>
      </c>
      <c r="D31" s="48">
        <v>0</v>
      </c>
      <c r="E31" s="49">
        <f t="shared" si="3"/>
        <v>37515</v>
      </c>
      <c r="F31" s="46">
        <v>31110</v>
      </c>
      <c r="G31" s="47">
        <v>40260</v>
      </c>
      <c r="H31" s="47">
        <v>32940</v>
      </c>
      <c r="I31" s="58">
        <v>32940</v>
      </c>
      <c r="J31" s="49">
        <f t="shared" si="4"/>
        <v>137250</v>
      </c>
      <c r="K31" s="49">
        <f t="shared" si="0"/>
        <v>174765</v>
      </c>
    </row>
    <row r="32" spans="1:11">
      <c r="A32" s="1" t="s">
        <v>1</v>
      </c>
      <c r="B32" s="4" t="s">
        <v>41</v>
      </c>
      <c r="C32" s="17">
        <v>2077</v>
      </c>
      <c r="D32" s="5">
        <v>453</v>
      </c>
      <c r="E32" s="6">
        <f t="shared" si="3"/>
        <v>2530</v>
      </c>
      <c r="F32" s="16">
        <v>1936</v>
      </c>
      <c r="G32" s="17">
        <v>2017</v>
      </c>
      <c r="H32" s="17">
        <v>1961</v>
      </c>
      <c r="I32" s="59">
        <v>1606</v>
      </c>
      <c r="J32" s="6">
        <f t="shared" si="4"/>
        <v>7520</v>
      </c>
      <c r="K32" s="6">
        <f t="shared" si="0"/>
        <v>10050</v>
      </c>
    </row>
    <row r="33" spans="1:11">
      <c r="A33" s="1" t="s">
        <v>1</v>
      </c>
      <c r="B33" s="24" t="s">
        <v>42</v>
      </c>
      <c r="C33" s="26">
        <v>64192</v>
      </c>
      <c r="D33" s="27">
        <v>453</v>
      </c>
      <c r="E33" s="28">
        <f t="shared" si="3"/>
        <v>64645</v>
      </c>
      <c r="F33" s="25">
        <v>53446</v>
      </c>
      <c r="G33" s="26">
        <v>68677</v>
      </c>
      <c r="H33" s="26">
        <v>56501</v>
      </c>
      <c r="I33" s="60">
        <v>56146</v>
      </c>
      <c r="J33" s="28">
        <f t="shared" si="4"/>
        <v>234770</v>
      </c>
      <c r="K33" s="28">
        <f t="shared" si="0"/>
        <v>299415</v>
      </c>
    </row>
    <row r="34" spans="1:11">
      <c r="A34" s="1" t="s">
        <v>1</v>
      </c>
      <c r="B34" s="29" t="s">
        <v>43</v>
      </c>
      <c r="C34" s="31">
        <v>8480</v>
      </c>
      <c r="D34" s="32">
        <v>220</v>
      </c>
      <c r="E34" s="33">
        <f t="shared" si="3"/>
        <v>8700</v>
      </c>
      <c r="F34" s="30">
        <v>7850</v>
      </c>
      <c r="G34" s="31">
        <v>11070</v>
      </c>
      <c r="H34" s="31">
        <v>8030</v>
      </c>
      <c r="I34" s="57">
        <v>5470</v>
      </c>
      <c r="J34" s="33">
        <f t="shared" si="4"/>
        <v>32420</v>
      </c>
      <c r="K34" s="33">
        <f t="shared" si="0"/>
        <v>41120</v>
      </c>
    </row>
    <row r="35" spans="1:11">
      <c r="A35" s="1" t="s">
        <v>1</v>
      </c>
      <c r="B35" s="4" t="s">
        <v>44</v>
      </c>
      <c r="C35" s="17">
        <v>19900</v>
      </c>
      <c r="D35" s="5">
        <v>0</v>
      </c>
      <c r="E35" s="6">
        <f t="shared" si="3"/>
        <v>19900</v>
      </c>
      <c r="F35" s="16">
        <v>12100</v>
      </c>
      <c r="G35" s="17">
        <v>17900</v>
      </c>
      <c r="H35" s="17">
        <v>18900</v>
      </c>
      <c r="I35" s="59">
        <v>6000</v>
      </c>
      <c r="J35" s="6">
        <f t="shared" si="4"/>
        <v>54900</v>
      </c>
      <c r="K35" s="6">
        <f t="shared" si="0"/>
        <v>74800</v>
      </c>
    </row>
    <row r="36" spans="1:11">
      <c r="A36" s="1" t="s">
        <v>1</v>
      </c>
      <c r="B36" s="24" t="s">
        <v>45</v>
      </c>
      <c r="C36" s="26">
        <v>92572</v>
      </c>
      <c r="D36" s="27">
        <v>673</v>
      </c>
      <c r="E36" s="28">
        <f t="shared" si="3"/>
        <v>93245</v>
      </c>
      <c r="F36" s="25">
        <v>73396</v>
      </c>
      <c r="G36" s="26">
        <v>97647</v>
      </c>
      <c r="H36" s="26">
        <v>83431</v>
      </c>
      <c r="I36" s="60">
        <v>67616</v>
      </c>
      <c r="J36" s="28">
        <f t="shared" si="4"/>
        <v>322090</v>
      </c>
      <c r="K36" s="28">
        <f t="shared" si="0"/>
        <v>415335</v>
      </c>
    </row>
    <row r="37" spans="1:11">
      <c r="A37" s="1" t="s">
        <v>1</v>
      </c>
      <c r="B37" s="24" t="s">
        <v>46</v>
      </c>
      <c r="C37" s="26">
        <v>340808</v>
      </c>
      <c r="D37" s="27">
        <v>90087</v>
      </c>
      <c r="E37" s="28">
        <f t="shared" si="3"/>
        <v>430895</v>
      </c>
      <c r="F37" s="25">
        <v>327565</v>
      </c>
      <c r="G37" s="26">
        <v>332913</v>
      </c>
      <c r="H37" s="26">
        <v>331954</v>
      </c>
      <c r="I37" s="60">
        <v>265111</v>
      </c>
      <c r="J37" s="28">
        <f t="shared" si="4"/>
        <v>1257543</v>
      </c>
      <c r="K37" s="28">
        <f t="shared" si="0"/>
        <v>1688438</v>
      </c>
    </row>
    <row r="38" spans="1:11">
      <c r="A38" s="1" t="s">
        <v>1</v>
      </c>
      <c r="B38" s="24" t="s">
        <v>47</v>
      </c>
      <c r="C38" s="26">
        <v>322917</v>
      </c>
      <c r="D38" s="27">
        <v>89867</v>
      </c>
      <c r="E38" s="28">
        <f t="shared" si="3"/>
        <v>412784</v>
      </c>
      <c r="F38" s="25">
        <v>313877</v>
      </c>
      <c r="G38" s="26">
        <v>305675</v>
      </c>
      <c r="H38" s="26">
        <v>308676</v>
      </c>
      <c r="I38" s="60">
        <v>253641</v>
      </c>
      <c r="J38" s="28">
        <f t="shared" si="4"/>
        <v>1181869</v>
      </c>
      <c r="K38" s="28">
        <f t="shared" si="0"/>
        <v>1594653</v>
      </c>
    </row>
    <row r="39" spans="1:11">
      <c r="A39" s="1" t="s">
        <v>1</v>
      </c>
      <c r="B39" s="24" t="s">
        <v>48</v>
      </c>
      <c r="C39" s="26">
        <v>322917</v>
      </c>
      <c r="D39" s="27">
        <v>89867</v>
      </c>
      <c r="E39" s="28">
        <f t="shared" si="3"/>
        <v>412784</v>
      </c>
      <c r="F39" s="25">
        <v>313877</v>
      </c>
      <c r="G39" s="26">
        <v>305675</v>
      </c>
      <c r="H39" s="26">
        <v>308676</v>
      </c>
      <c r="I39" s="60">
        <v>253641</v>
      </c>
      <c r="J39" s="28">
        <f t="shared" si="4"/>
        <v>1181869</v>
      </c>
      <c r="K39" s="28">
        <f t="shared" si="0"/>
        <v>1594653</v>
      </c>
    </row>
    <row r="40" spans="1:11">
      <c r="A40" s="1" t="s">
        <v>1</v>
      </c>
      <c r="B40" s="4" t="s">
        <v>49</v>
      </c>
      <c r="C40" s="17">
        <v>1</v>
      </c>
      <c r="D40" s="5">
        <v>0</v>
      </c>
      <c r="E40" s="6"/>
      <c r="F40" s="16">
        <v>1</v>
      </c>
      <c r="G40" s="17">
        <v>0</v>
      </c>
      <c r="H40" s="17">
        <v>1</v>
      </c>
      <c r="I40" s="59">
        <v>1</v>
      </c>
      <c r="J40" s="6"/>
      <c r="K40" s="6"/>
    </row>
    <row r="41" spans="1:11" ht="19.5" thickBot="1">
      <c r="A41" s="1" t="s">
        <v>1</v>
      </c>
      <c r="B41" s="7" t="s">
        <v>50</v>
      </c>
      <c r="C41" s="19" t="s">
        <v>51</v>
      </c>
      <c r="D41" s="8" t="s">
        <v>51</v>
      </c>
      <c r="E41" s="9"/>
      <c r="F41" s="18" t="s">
        <v>51</v>
      </c>
      <c r="G41" s="19" t="s">
        <v>51</v>
      </c>
      <c r="H41" s="19" t="s">
        <v>51</v>
      </c>
      <c r="I41" s="61" t="s">
        <v>51</v>
      </c>
      <c r="J41" s="9"/>
      <c r="K41" s="9"/>
    </row>
  </sheetData>
  <mergeCells count="1">
    <mergeCell ref="B3:B4"/>
  </mergeCells>
  <phoneticPr fontId="4"/>
  <pageMargins left="0.31496062992125984" right="0.31496062992125984" top="0.35433070866141736" bottom="0.35433070866141736" header="0.11811023622047245" footer="0.11811023622047245"/>
  <pageSetup paperSize="12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2023年3月度給与 (2)</vt:lpstr>
      <vt:lpstr>'2023年3月度給与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2024-03-02T06:50:08Z</cp:lastPrinted>
  <dcterms:created xsi:type="dcterms:W3CDTF">2023-04-13T02:05:57Z</dcterms:created>
  <dcterms:modified xsi:type="dcterms:W3CDTF">2024-03-02T06:50:12Z</dcterms:modified>
</cp:coreProperties>
</file>