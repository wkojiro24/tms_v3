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3\"/>
    </mc:Choice>
  </mc:AlternateContent>
  <xr:revisionPtr revIDLastSave="0" documentId="13_ncr:1_{1D990D07-C117-47BD-AAEC-964E26BE193E}" xr6:coauthVersionLast="47" xr6:coauthVersionMax="47" xr10:uidLastSave="{00000000-0000-0000-0000-000000000000}"/>
  <bookViews>
    <workbookView xWindow="-120" yWindow="-120" windowWidth="20730" windowHeight="11040" xr2:uid="{EF658E16-3660-48EC-B7A2-1DC95F55DEE3}"/>
  </bookViews>
  <sheets>
    <sheet name="2023年 3月度給与 (3)" sheetId="4" r:id="rId1"/>
    <sheet name="2023年 3月度給与 (4)" sheetId="5" r:id="rId2"/>
  </sheets>
  <definedNames>
    <definedName name="_xlnm.Print_Area" localSheetId="0">'2023年 3月度給与 (3)'!$A$1:$O$49</definedName>
    <definedName name="_xlnm.Print_Area" localSheetId="1">'2023年 3月度給与 (4)'!$A$1:$V$49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4" l="1"/>
  <c r="E51" i="4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N20" i="4"/>
  <c r="L20" i="4"/>
  <c r="N19" i="4"/>
  <c r="L19" i="4"/>
  <c r="N18" i="4"/>
  <c r="L18" i="4"/>
  <c r="N17" i="4"/>
  <c r="L17" i="4"/>
  <c r="N16" i="4"/>
  <c r="L16" i="4"/>
  <c r="N15" i="4"/>
  <c r="L15" i="4"/>
  <c r="N14" i="4"/>
  <c r="L14" i="4"/>
  <c r="N13" i="4"/>
  <c r="L13" i="4"/>
  <c r="N12" i="4"/>
  <c r="L12" i="4"/>
  <c r="N11" i="4"/>
  <c r="L11" i="4"/>
  <c r="N10" i="4"/>
  <c r="L10" i="4"/>
  <c r="N9" i="4"/>
  <c r="L9" i="4"/>
  <c r="N8" i="4"/>
  <c r="L8" i="4"/>
  <c r="N7" i="4"/>
  <c r="L7" i="4"/>
  <c r="N6" i="4"/>
  <c r="L6" i="4"/>
  <c r="N5" i="4"/>
  <c r="L5" i="4"/>
</calcChain>
</file>

<file path=xl/sharedStrings.xml><?xml version="1.0" encoding="utf-8"?>
<sst xmlns="http://schemas.openxmlformats.org/spreadsheetml/2006/main" count="281" uniqueCount="112">
  <si>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</si>
  <si>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</si>
  <si>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</si>
  <si>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</si>
  <si>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</si>
  <si>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</si>
  <si>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</si>
  <si>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</si>
  <si>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</si>
  <si>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</si>
  <si>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</si>
  <si>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</si>
  <si>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</si>
  <si>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</si>
  <si>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</si>
  <si>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</si>
  <si>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</si>
  <si>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</si>
  <si>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</si>
  <si>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</si>
  <si>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</si>
  <si>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</si>
  <si>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</si>
  <si>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</si>
  <si>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</si>
  <si>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</si>
  <si>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</si>
  <si>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</si>
  <si>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</si>
  <si>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</si>
  <si>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</si>
  <si>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</si>
  <si>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</si>
  <si>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</si>
  <si>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</si>
  <si>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</si>
  <si>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</si>
  <si>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</si>
  <si>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</si>
  <si>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</si>
  <si>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</si>
  <si>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</si>
  <si>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</si>
  <si>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</si>
  <si>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</si>
  <si>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</si>
  <si>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</si>
  <si>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</si>
  <si>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</si>
  <si>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</si>
  <si>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</si>
  <si>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</si>
  <si>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</si>
  <si>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</si>
  <si>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</si>
  <si>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</si>
  <si>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</si>
  <si>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</si>
  <si>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</si>
  <si>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</si>
  <si>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</si>
  <si>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</si>
  <si>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</si>
  <si>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</si>
  <si>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</si>
  <si>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</si>
  <si>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</si>
  <si>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</si>
  <si>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</si>
  <si>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</si>
  <si>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</si>
  <si>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</si>
  <si>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</si>
  <si>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</si>
  <si>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</si>
  <si>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</si>
  <si>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</si>
  <si>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</si>
  <si>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</si>
  <si>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</si>
  <si>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</si>
  <si>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</si>
  <si>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</si>
  <si>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</si>
  <si>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</si>
  <si>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</si>
  <si>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</si>
  <si>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</si>
  <si>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</si>
  <si>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</si>
  <si>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</si>
  <si>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</si>
  <si>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</si>
  <si>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</si>
  <si>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</si>
  <si>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</si>
  <si>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</si>
  <si>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</si>
  <si>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</si>
  <si>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</si>
  <si>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</si>
  <si>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</si>
  <si>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</si>
  <si>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</si>
  <si>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</si>
  <si>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3月度給与</t>
    <phoneticPr fontId="4"/>
  </si>
  <si>
    <t>下山田英治</t>
    <phoneticPr fontId="4"/>
  </si>
  <si>
    <t>小計</t>
    <rPh sb="0" eb="2">
      <t>ショウケイ</t>
    </rPh>
    <phoneticPr fontId="3"/>
  </si>
  <si>
    <t>19名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</si>
  <si>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</si>
  <si>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</si>
  <si>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29名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</si>
</sst>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6" xfId="1" applyNumberFormat="1" applyFont="1" applyBorder="1" applyAlignment="1">
      <alignment horizontal="center"/>
    </xf>
    <xf numFmtId="0" fontId="2" fillId="0" borderId="7" xfId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2" fontId="2" fillId="0" borderId="16" xfId="1" applyNumberFormat="1" applyFont="1" applyBorder="1"/>
    <xf numFmtId="2" fontId="2" fillId="0" borderId="15" xfId="1" applyNumberFormat="1" applyFont="1" applyBorder="1"/>
    <xf numFmtId="176" fontId="2" fillId="0" borderId="16" xfId="1" applyNumberFormat="1" applyFont="1" applyBorder="1"/>
    <xf numFmtId="176" fontId="2" fillId="0" borderId="15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7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19" xfId="1" applyNumberFormat="1" applyFont="1" applyBorder="1"/>
    <xf numFmtId="0" fontId="2" fillId="0" borderId="20" xfId="1" applyFont="1" applyBorder="1"/>
    <xf numFmtId="0" fontId="2" fillId="0" borderId="16" xfId="1" applyFont="1" applyBorder="1"/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1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49" fontId="2" fillId="0" borderId="40" xfId="1" applyNumberFormat="1" applyFont="1" applyBorder="1"/>
    <xf numFmtId="49" fontId="2" fillId="0" borderId="48" xfId="1" applyNumberFormat="1" applyFont="1" applyBorder="1" applyAlignment="1">
      <alignment horizontal="center"/>
    </xf>
    <xf numFmtId="49" fontId="2" fillId="0" borderId="49" xfId="1" applyNumberFormat="1" applyFont="1" applyBorder="1" applyAlignment="1">
      <alignment horizontal="center"/>
    </xf>
    <xf numFmtId="2" fontId="2" fillId="0" borderId="48" xfId="1" applyNumberFormat="1" applyFont="1" applyBorder="1"/>
    <xf numFmtId="2" fontId="2" fillId="0" borderId="50" xfId="1" applyNumberFormat="1" applyFont="1" applyBorder="1"/>
    <xf numFmtId="176" fontId="2" fillId="0" borderId="50" xfId="1" applyNumberFormat="1" applyFont="1" applyBorder="1"/>
    <xf numFmtId="2" fontId="2" fillId="0" borderId="51" xfId="1" applyNumberFormat="1" applyFont="1" applyBorder="1"/>
    <xf numFmtId="3" fontId="2" fillId="0" borderId="52" xfId="1" applyNumberFormat="1" applyFont="1" applyBorder="1"/>
    <xf numFmtId="3" fontId="2" fillId="0" borderId="50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56" xfId="1" applyNumberFormat="1" applyFont="1" applyBorder="1"/>
    <xf numFmtId="49" fontId="2" fillId="0" borderId="49" xfId="1" applyNumberFormat="1" applyFont="1" applyBorder="1"/>
    <xf numFmtId="49" fontId="2" fillId="0" borderId="3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177" fontId="2" fillId="0" borderId="15" xfId="1" applyNumberFormat="1" applyFont="1" applyBorder="1"/>
    <xf numFmtId="177" fontId="2" fillId="0" borderId="41" xfId="1" applyNumberFormat="1" applyFont="1" applyBorder="1"/>
    <xf numFmtId="0" fontId="2" fillId="0" borderId="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1" applyNumberFormat="1" applyFont="1"/>
  </cellXfs>
  <cellStyles count="2">
    <cellStyle name="標準" xfId="0" builtinId="0"/>
    <cellStyle name="標準 2" xfId="1" xr:uid="{25D7B7B7-2526-47E6-9942-AE784B51F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5FD-8BF6-4EF1-B55A-7349439C927B}">
  <sheetPr>
    <pageSetUpPr fitToPage="1"/>
  </sheetPr>
  <dimension ref="A1:P51"/>
  <sheetViews>
    <sheetView tabSelected="1" workbookViewId="0">
      <pane xSplit="2" ySplit="4" topLeftCell="D44" activePane="bottomRight" state="frozen"/>
      <selection pane="topRight" activeCell="C1" sqref="C1"/>
      <selection pane="bottomLeft" activeCell="A9" sqref="A9"/>
      <selection pane="bottomRight" activeCell="F51" sqref="F51"/>
    </sheetView>
  </sheetViews>
  <sheetFormatPr defaultRowHeight="18.75"/>
  <cols>
    <col min="1" max="1" width="2.375" style="2" customWidth="1"/>
    <col min="2" max="2" width="13.25" style="2" bestFit="1" customWidth="1"/>
    <col min="3" max="15" width="11.125" style="2" customWidth="1"/>
    <col min="16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8" width="11.125" style="2" bestFit="1" customWidth="1"/>
    <col min="269" max="269" width="9.625" style="2" bestFit="1" customWidth="1"/>
    <col min="270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4" width="11.125" style="2" bestFit="1" customWidth="1"/>
    <col min="525" max="525" width="9.625" style="2" bestFit="1" customWidth="1"/>
    <col min="526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80" width="11.125" style="2" bestFit="1" customWidth="1"/>
    <col min="781" max="781" width="9.625" style="2" bestFit="1" customWidth="1"/>
    <col min="782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6" width="11.125" style="2" bestFit="1" customWidth="1"/>
    <col min="1037" max="1037" width="9.625" style="2" bestFit="1" customWidth="1"/>
    <col min="1038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2" width="11.125" style="2" bestFit="1" customWidth="1"/>
    <col min="1293" max="1293" width="9.625" style="2" bestFit="1" customWidth="1"/>
    <col min="1294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8" width="11.125" style="2" bestFit="1" customWidth="1"/>
    <col min="1549" max="1549" width="9.625" style="2" bestFit="1" customWidth="1"/>
    <col min="1550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4" width="11.125" style="2" bestFit="1" customWidth="1"/>
    <col min="1805" max="1805" width="9.625" style="2" bestFit="1" customWidth="1"/>
    <col min="1806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60" width="11.125" style="2" bestFit="1" customWidth="1"/>
    <col min="2061" max="2061" width="9.625" style="2" bestFit="1" customWidth="1"/>
    <col min="2062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6" width="11.125" style="2" bestFit="1" customWidth="1"/>
    <col min="2317" max="2317" width="9.625" style="2" bestFit="1" customWidth="1"/>
    <col min="2318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2" width="11.125" style="2" bestFit="1" customWidth="1"/>
    <col min="2573" max="2573" width="9.625" style="2" bestFit="1" customWidth="1"/>
    <col min="2574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8" width="11.125" style="2" bestFit="1" customWidth="1"/>
    <col min="2829" max="2829" width="9.625" style="2" bestFit="1" customWidth="1"/>
    <col min="2830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4" width="11.125" style="2" bestFit="1" customWidth="1"/>
    <col min="3085" max="3085" width="9.625" style="2" bestFit="1" customWidth="1"/>
    <col min="3086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40" width="11.125" style="2" bestFit="1" customWidth="1"/>
    <col min="3341" max="3341" width="9.625" style="2" bestFit="1" customWidth="1"/>
    <col min="3342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6" width="11.125" style="2" bestFit="1" customWidth="1"/>
    <col min="3597" max="3597" width="9.625" style="2" bestFit="1" customWidth="1"/>
    <col min="3598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2" width="11.125" style="2" bestFit="1" customWidth="1"/>
    <col min="3853" max="3853" width="9.625" style="2" bestFit="1" customWidth="1"/>
    <col min="3854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8" width="11.125" style="2" bestFit="1" customWidth="1"/>
    <col min="4109" max="4109" width="9.625" style="2" bestFit="1" customWidth="1"/>
    <col min="4110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4" width="11.125" style="2" bestFit="1" customWidth="1"/>
    <col min="4365" max="4365" width="9.625" style="2" bestFit="1" customWidth="1"/>
    <col min="4366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20" width="11.125" style="2" bestFit="1" customWidth="1"/>
    <col min="4621" max="4621" width="9.625" style="2" bestFit="1" customWidth="1"/>
    <col min="4622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6" width="11.125" style="2" bestFit="1" customWidth="1"/>
    <col min="4877" max="4877" width="9.625" style="2" bestFit="1" customWidth="1"/>
    <col min="4878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2" width="11.125" style="2" bestFit="1" customWidth="1"/>
    <col min="5133" max="5133" width="9.625" style="2" bestFit="1" customWidth="1"/>
    <col min="5134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8" width="11.125" style="2" bestFit="1" customWidth="1"/>
    <col min="5389" max="5389" width="9.625" style="2" bestFit="1" customWidth="1"/>
    <col min="5390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4" width="11.125" style="2" bestFit="1" customWidth="1"/>
    <col min="5645" max="5645" width="9.625" style="2" bestFit="1" customWidth="1"/>
    <col min="5646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900" width="11.125" style="2" bestFit="1" customWidth="1"/>
    <col min="5901" max="5901" width="9.625" style="2" bestFit="1" customWidth="1"/>
    <col min="5902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6" width="11.125" style="2" bestFit="1" customWidth="1"/>
    <col min="6157" max="6157" width="9.625" style="2" bestFit="1" customWidth="1"/>
    <col min="6158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2" width="11.125" style="2" bestFit="1" customWidth="1"/>
    <col min="6413" max="6413" width="9.625" style="2" bestFit="1" customWidth="1"/>
    <col min="6414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8" width="11.125" style="2" bestFit="1" customWidth="1"/>
    <col min="6669" max="6669" width="9.625" style="2" bestFit="1" customWidth="1"/>
    <col min="6670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4" width="11.125" style="2" bestFit="1" customWidth="1"/>
    <col min="6925" max="6925" width="9.625" style="2" bestFit="1" customWidth="1"/>
    <col min="6926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80" width="11.125" style="2" bestFit="1" customWidth="1"/>
    <col min="7181" max="7181" width="9.625" style="2" bestFit="1" customWidth="1"/>
    <col min="7182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6" width="11.125" style="2" bestFit="1" customWidth="1"/>
    <col min="7437" max="7437" width="9.625" style="2" bestFit="1" customWidth="1"/>
    <col min="7438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2" width="11.125" style="2" bestFit="1" customWidth="1"/>
    <col min="7693" max="7693" width="9.625" style="2" bestFit="1" customWidth="1"/>
    <col min="7694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8" width="11.125" style="2" bestFit="1" customWidth="1"/>
    <col min="7949" max="7949" width="9.625" style="2" bestFit="1" customWidth="1"/>
    <col min="7950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4" width="11.125" style="2" bestFit="1" customWidth="1"/>
    <col min="8205" max="8205" width="9.625" style="2" bestFit="1" customWidth="1"/>
    <col min="8206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60" width="11.125" style="2" bestFit="1" customWidth="1"/>
    <col min="8461" max="8461" width="9.625" style="2" bestFit="1" customWidth="1"/>
    <col min="8462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6" width="11.125" style="2" bestFit="1" customWidth="1"/>
    <col min="8717" max="8717" width="9.625" style="2" bestFit="1" customWidth="1"/>
    <col min="8718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2" width="11.125" style="2" bestFit="1" customWidth="1"/>
    <col min="8973" max="8973" width="9.625" style="2" bestFit="1" customWidth="1"/>
    <col min="8974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8" width="11.125" style="2" bestFit="1" customWidth="1"/>
    <col min="9229" max="9229" width="9.625" style="2" bestFit="1" customWidth="1"/>
    <col min="9230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4" width="11.125" style="2" bestFit="1" customWidth="1"/>
    <col min="9485" max="9485" width="9.625" style="2" bestFit="1" customWidth="1"/>
    <col min="9486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40" width="11.125" style="2" bestFit="1" customWidth="1"/>
    <col min="9741" max="9741" width="9.625" style="2" bestFit="1" customWidth="1"/>
    <col min="9742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6" width="11.125" style="2" bestFit="1" customWidth="1"/>
    <col min="9997" max="9997" width="9.625" style="2" bestFit="1" customWidth="1"/>
    <col min="9998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2" width="11.125" style="2" bestFit="1" customWidth="1"/>
    <col min="10253" max="10253" width="9.625" style="2" bestFit="1" customWidth="1"/>
    <col min="10254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8" width="11.125" style="2" bestFit="1" customWidth="1"/>
    <col min="10509" max="10509" width="9.625" style="2" bestFit="1" customWidth="1"/>
    <col min="10510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4" width="11.125" style="2" bestFit="1" customWidth="1"/>
    <col min="10765" max="10765" width="9.625" style="2" bestFit="1" customWidth="1"/>
    <col min="10766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20" width="11.125" style="2" bestFit="1" customWidth="1"/>
    <col min="11021" max="11021" width="9.625" style="2" bestFit="1" customWidth="1"/>
    <col min="11022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6" width="11.125" style="2" bestFit="1" customWidth="1"/>
    <col min="11277" max="11277" width="9.625" style="2" bestFit="1" customWidth="1"/>
    <col min="11278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2" width="11.125" style="2" bestFit="1" customWidth="1"/>
    <col min="11533" max="11533" width="9.625" style="2" bestFit="1" customWidth="1"/>
    <col min="11534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8" width="11.125" style="2" bestFit="1" customWidth="1"/>
    <col min="11789" max="11789" width="9.625" style="2" bestFit="1" customWidth="1"/>
    <col min="11790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4" width="11.125" style="2" bestFit="1" customWidth="1"/>
    <col min="12045" max="12045" width="9.625" style="2" bestFit="1" customWidth="1"/>
    <col min="12046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300" width="11.125" style="2" bestFit="1" customWidth="1"/>
    <col min="12301" max="12301" width="9.625" style="2" bestFit="1" customWidth="1"/>
    <col min="12302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6" width="11.125" style="2" bestFit="1" customWidth="1"/>
    <col min="12557" max="12557" width="9.625" style="2" bestFit="1" customWidth="1"/>
    <col min="12558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2" width="11.125" style="2" bestFit="1" customWidth="1"/>
    <col min="12813" max="12813" width="9.625" style="2" bestFit="1" customWidth="1"/>
    <col min="12814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8" width="11.125" style="2" bestFit="1" customWidth="1"/>
    <col min="13069" max="13069" width="9.625" style="2" bestFit="1" customWidth="1"/>
    <col min="13070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4" width="11.125" style="2" bestFit="1" customWidth="1"/>
    <col min="13325" max="13325" width="9.625" style="2" bestFit="1" customWidth="1"/>
    <col min="13326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80" width="11.125" style="2" bestFit="1" customWidth="1"/>
    <col min="13581" max="13581" width="9.625" style="2" bestFit="1" customWidth="1"/>
    <col min="13582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6" width="11.125" style="2" bestFit="1" customWidth="1"/>
    <col min="13837" max="13837" width="9.625" style="2" bestFit="1" customWidth="1"/>
    <col min="13838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2" width="11.125" style="2" bestFit="1" customWidth="1"/>
    <col min="14093" max="14093" width="9.625" style="2" bestFit="1" customWidth="1"/>
    <col min="14094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8" width="11.125" style="2" bestFit="1" customWidth="1"/>
    <col min="14349" max="14349" width="9.625" style="2" bestFit="1" customWidth="1"/>
    <col min="14350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4" width="11.125" style="2" bestFit="1" customWidth="1"/>
    <col min="14605" max="14605" width="9.625" style="2" bestFit="1" customWidth="1"/>
    <col min="14606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60" width="11.125" style="2" bestFit="1" customWidth="1"/>
    <col min="14861" max="14861" width="9.625" style="2" bestFit="1" customWidth="1"/>
    <col min="14862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6" width="11.125" style="2" bestFit="1" customWidth="1"/>
    <col min="15117" max="15117" width="9.625" style="2" bestFit="1" customWidth="1"/>
    <col min="15118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2" width="11.125" style="2" bestFit="1" customWidth="1"/>
    <col min="15373" max="15373" width="9.625" style="2" bestFit="1" customWidth="1"/>
    <col min="15374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8" width="11.125" style="2" bestFit="1" customWidth="1"/>
    <col min="15629" max="15629" width="9.625" style="2" bestFit="1" customWidth="1"/>
    <col min="15630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4" width="11.125" style="2" bestFit="1" customWidth="1"/>
    <col min="15885" max="15885" width="9.625" style="2" bestFit="1" customWidth="1"/>
    <col min="15886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105</v>
      </c>
    </row>
    <row r="3" spans="1:15">
      <c r="B3" s="95" t="s">
        <v>31</v>
      </c>
      <c r="C3" s="39" t="s">
        <v>17</v>
      </c>
      <c r="D3" s="78" t="s">
        <v>4</v>
      </c>
      <c r="E3" s="40" t="s">
        <v>27</v>
      </c>
      <c r="F3" s="40" t="s">
        <v>28</v>
      </c>
      <c r="G3" s="40" t="s">
        <v>24</v>
      </c>
      <c r="H3" s="40" t="s">
        <v>25</v>
      </c>
      <c r="I3" s="40" t="s">
        <v>26</v>
      </c>
      <c r="J3" s="40" t="s">
        <v>29</v>
      </c>
      <c r="K3" s="10" t="s">
        <v>30</v>
      </c>
      <c r="L3" s="24" t="s">
        <v>107</v>
      </c>
      <c r="M3" s="10" t="s">
        <v>5</v>
      </c>
      <c r="N3" s="24" t="s">
        <v>107</v>
      </c>
      <c r="O3" s="11" t="s">
        <v>60</v>
      </c>
    </row>
    <row r="4" spans="1:15" ht="19.5" thickBot="1">
      <c r="B4" s="96"/>
      <c r="C4" s="41" t="s">
        <v>46</v>
      </c>
      <c r="D4" s="79" t="s">
        <v>106</v>
      </c>
      <c r="E4" s="42" t="s">
        <v>56</v>
      </c>
      <c r="F4" s="42" t="s">
        <v>57</v>
      </c>
      <c r="G4" s="42" t="s">
        <v>53</v>
      </c>
      <c r="H4" s="42" t="s">
        <v>54</v>
      </c>
      <c r="I4" s="42" t="s">
        <v>55</v>
      </c>
      <c r="J4" s="42" t="s">
        <v>58</v>
      </c>
      <c r="K4" s="3" t="s">
        <v>59</v>
      </c>
      <c r="L4" s="91" t="s">
        <v>109</v>
      </c>
      <c r="M4" s="3" t="s">
        <v>34</v>
      </c>
      <c r="N4" s="91" t="s">
        <v>110</v>
      </c>
      <c r="O4" s="92" t="s">
        <v>111</v>
      </c>
    </row>
    <row r="5" spans="1:15">
      <c r="A5" s="1" t="s">
        <v>1</v>
      </c>
      <c r="B5" s="24" t="s">
        <v>61</v>
      </c>
      <c r="C5" s="43">
        <v>22</v>
      </c>
      <c r="D5" s="80">
        <v>20</v>
      </c>
      <c r="E5" s="44">
        <v>15</v>
      </c>
      <c r="F5" s="44">
        <v>14</v>
      </c>
      <c r="G5" s="44">
        <v>10</v>
      </c>
      <c r="H5" s="44">
        <v>10</v>
      </c>
      <c r="I5" s="44">
        <v>11</v>
      </c>
      <c r="J5" s="44">
        <v>4</v>
      </c>
      <c r="K5" s="25">
        <v>22</v>
      </c>
      <c r="L5" s="26">
        <f>SUM(C5:K5)</f>
        <v>128</v>
      </c>
      <c r="M5" s="25">
        <v>20</v>
      </c>
      <c r="N5" s="26">
        <f>SUM(M5)</f>
        <v>20</v>
      </c>
      <c r="O5" s="26">
        <v>543</v>
      </c>
    </row>
    <row r="6" spans="1:15">
      <c r="A6" s="1" t="s">
        <v>1</v>
      </c>
      <c r="B6" s="21" t="s">
        <v>62</v>
      </c>
      <c r="C6" s="45">
        <v>0</v>
      </c>
      <c r="D6" s="81">
        <v>1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27">
        <v>0</v>
      </c>
      <c r="L6" s="28">
        <f>SUM(C6:K6)</f>
        <v>1</v>
      </c>
      <c r="M6" s="27">
        <v>0</v>
      </c>
      <c r="N6" s="28">
        <f>SUM(M6)</f>
        <v>0</v>
      </c>
      <c r="O6" s="28">
        <v>42</v>
      </c>
    </row>
    <row r="7" spans="1:15">
      <c r="A7" s="1" t="s">
        <v>1</v>
      </c>
      <c r="B7" s="21" t="s">
        <v>63</v>
      </c>
      <c r="C7" s="45">
        <v>0</v>
      </c>
      <c r="D7" s="81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27">
        <v>0</v>
      </c>
      <c r="L7" s="28">
        <f t="shared" ref="L7:L18" si="0">SUM(C7:K7)</f>
        <v>0</v>
      </c>
      <c r="M7" s="27">
        <v>0</v>
      </c>
      <c r="N7" s="28">
        <f t="shared" ref="N7:N18" si="1">SUM(M7)</f>
        <v>0</v>
      </c>
      <c r="O7" s="28">
        <v>36</v>
      </c>
    </row>
    <row r="8" spans="1:15">
      <c r="A8" s="1" t="s">
        <v>1</v>
      </c>
      <c r="B8" s="21" t="s">
        <v>64</v>
      </c>
      <c r="C8" s="45">
        <v>0</v>
      </c>
      <c r="D8" s="81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27">
        <v>0</v>
      </c>
      <c r="L8" s="28">
        <f t="shared" si="0"/>
        <v>0</v>
      </c>
      <c r="M8" s="27">
        <v>0</v>
      </c>
      <c r="N8" s="28">
        <f t="shared" si="1"/>
        <v>0</v>
      </c>
      <c r="O8" s="28">
        <v>7</v>
      </c>
    </row>
    <row r="9" spans="1:15">
      <c r="A9" s="1" t="s">
        <v>1</v>
      </c>
      <c r="B9" s="21" t="s">
        <v>65</v>
      </c>
      <c r="C9" s="45">
        <v>1</v>
      </c>
      <c r="D9" s="81">
        <v>3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27">
        <v>0</v>
      </c>
      <c r="L9" s="28">
        <f t="shared" si="0"/>
        <v>4</v>
      </c>
      <c r="M9" s="27">
        <v>3</v>
      </c>
      <c r="N9" s="28">
        <f t="shared" si="1"/>
        <v>3</v>
      </c>
      <c r="O9" s="28">
        <v>38</v>
      </c>
    </row>
    <row r="10" spans="1:15">
      <c r="A10" s="1" t="s">
        <v>1</v>
      </c>
      <c r="B10" s="21" t="s">
        <v>66</v>
      </c>
      <c r="C10" s="45">
        <v>0</v>
      </c>
      <c r="D10" s="81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27">
        <v>0</v>
      </c>
      <c r="L10" s="28">
        <f t="shared" si="0"/>
        <v>0</v>
      </c>
      <c r="M10" s="27">
        <v>0</v>
      </c>
      <c r="N10" s="28">
        <f t="shared" si="1"/>
        <v>0</v>
      </c>
      <c r="O10" s="28">
        <v>4</v>
      </c>
    </row>
    <row r="11" spans="1:15">
      <c r="A11" s="1" t="s">
        <v>1</v>
      </c>
      <c r="B11" s="21" t="s">
        <v>67</v>
      </c>
      <c r="C11" s="47">
        <v>0</v>
      </c>
      <c r="D11" s="82">
        <v>0</v>
      </c>
      <c r="E11" s="48">
        <v>3.9166666666666665</v>
      </c>
      <c r="F11" s="48">
        <v>4.041666666666667</v>
      </c>
      <c r="G11" s="48">
        <v>2.9583333333333335</v>
      </c>
      <c r="H11" s="48">
        <v>2.9166666666666665</v>
      </c>
      <c r="I11" s="48">
        <v>3.25</v>
      </c>
      <c r="J11" s="48">
        <v>1.3333333333333333</v>
      </c>
      <c r="K11" s="29">
        <v>4.208333333333333</v>
      </c>
      <c r="L11" s="30">
        <f t="shared" si="0"/>
        <v>22.625</v>
      </c>
      <c r="M11" s="29">
        <v>0</v>
      </c>
      <c r="N11" s="30">
        <f t="shared" si="1"/>
        <v>0</v>
      </c>
      <c r="O11" s="30">
        <v>22.625</v>
      </c>
    </row>
    <row r="12" spans="1:15">
      <c r="A12" s="1" t="s">
        <v>1</v>
      </c>
      <c r="B12" s="21" t="s">
        <v>68</v>
      </c>
      <c r="C12" s="47">
        <v>0</v>
      </c>
      <c r="D12" s="82">
        <v>1.8333333333333335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8.3333333333333329E-2</v>
      </c>
      <c r="K12" s="29">
        <v>0</v>
      </c>
      <c r="L12" s="30">
        <f t="shared" si="0"/>
        <v>1.9166666666666667</v>
      </c>
      <c r="M12" s="29">
        <v>0</v>
      </c>
      <c r="N12" s="30">
        <f t="shared" si="1"/>
        <v>0</v>
      </c>
      <c r="O12" s="30">
        <v>38.208333333333329</v>
      </c>
    </row>
    <row r="13" spans="1:15">
      <c r="A13" s="1" t="s">
        <v>1</v>
      </c>
      <c r="B13" s="21" t="s">
        <v>69</v>
      </c>
      <c r="C13" s="47">
        <v>0</v>
      </c>
      <c r="D13" s="82">
        <v>0.20833333333333334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29">
        <v>0</v>
      </c>
      <c r="L13" s="30">
        <f t="shared" si="0"/>
        <v>0.20833333333333334</v>
      </c>
      <c r="M13" s="29">
        <v>0</v>
      </c>
      <c r="N13" s="30">
        <f t="shared" si="1"/>
        <v>0</v>
      </c>
      <c r="O13" s="30">
        <v>12.583333333333332</v>
      </c>
    </row>
    <row r="14" spans="1:15">
      <c r="A14" s="1" t="s">
        <v>1</v>
      </c>
      <c r="B14" s="21" t="s">
        <v>70</v>
      </c>
      <c r="C14" s="47">
        <v>0</v>
      </c>
      <c r="D14" s="82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29">
        <v>0</v>
      </c>
      <c r="L14" s="30">
        <f t="shared" si="0"/>
        <v>0</v>
      </c>
      <c r="M14" s="29">
        <v>0</v>
      </c>
      <c r="N14" s="30">
        <f t="shared" si="1"/>
        <v>0</v>
      </c>
      <c r="O14" s="30">
        <v>12.041666666666668</v>
      </c>
    </row>
    <row r="15" spans="1:15">
      <c r="A15" s="1" t="s">
        <v>1</v>
      </c>
      <c r="B15" s="21" t="s">
        <v>71</v>
      </c>
      <c r="C15" s="47">
        <v>0</v>
      </c>
      <c r="D15" s="82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29">
        <v>0</v>
      </c>
      <c r="L15" s="30">
        <f t="shared" si="0"/>
        <v>0</v>
      </c>
      <c r="M15" s="29">
        <v>0</v>
      </c>
      <c r="N15" s="30">
        <f t="shared" si="1"/>
        <v>0</v>
      </c>
      <c r="O15" s="30">
        <v>1.9999999999999998</v>
      </c>
    </row>
    <row r="16" spans="1:15">
      <c r="A16" s="1" t="s">
        <v>1</v>
      </c>
      <c r="B16" s="21" t="s">
        <v>72</v>
      </c>
      <c r="C16" s="47">
        <v>0</v>
      </c>
      <c r="D16" s="82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29">
        <v>0</v>
      </c>
      <c r="L16" s="30">
        <f t="shared" si="0"/>
        <v>0</v>
      </c>
      <c r="M16" s="29">
        <v>0</v>
      </c>
      <c r="N16" s="30">
        <f t="shared" si="1"/>
        <v>0</v>
      </c>
      <c r="O16" s="30">
        <v>0.20833333333333334</v>
      </c>
    </row>
    <row r="17" spans="1:16">
      <c r="A17" s="1" t="s">
        <v>1</v>
      </c>
      <c r="B17" s="21" t="s">
        <v>73</v>
      </c>
      <c r="C17" s="47">
        <v>0</v>
      </c>
      <c r="D17" s="82">
        <v>0</v>
      </c>
      <c r="E17" s="48">
        <v>0</v>
      </c>
      <c r="F17" s="48">
        <v>0</v>
      </c>
      <c r="G17" s="48">
        <v>2.0833333333333335</v>
      </c>
      <c r="H17" s="48">
        <v>2.0833333333333335</v>
      </c>
      <c r="I17" s="48">
        <v>2.2916666666666665</v>
      </c>
      <c r="J17" s="48">
        <v>0</v>
      </c>
      <c r="K17" s="29">
        <v>0</v>
      </c>
      <c r="L17" s="30">
        <f t="shared" si="0"/>
        <v>6.4583333333333339</v>
      </c>
      <c r="M17" s="29">
        <v>4.1666666666666664E-2</v>
      </c>
      <c r="N17" s="30">
        <f t="shared" si="1"/>
        <v>4.1666666666666664E-2</v>
      </c>
      <c r="O17" s="30">
        <v>18.416666666666668</v>
      </c>
    </row>
    <row r="18" spans="1:16">
      <c r="A18" s="1" t="s">
        <v>1</v>
      </c>
      <c r="B18" s="31" t="s">
        <v>74</v>
      </c>
      <c r="C18" s="49">
        <v>17</v>
      </c>
      <c r="D18" s="83">
        <v>35</v>
      </c>
      <c r="E18" s="50">
        <v>20</v>
      </c>
      <c r="F18" s="50">
        <v>19</v>
      </c>
      <c r="G18" s="50">
        <v>0</v>
      </c>
      <c r="H18" s="50">
        <v>0</v>
      </c>
      <c r="I18" s="50">
        <v>0</v>
      </c>
      <c r="J18" s="50">
        <v>3</v>
      </c>
      <c r="K18" s="32">
        <v>8</v>
      </c>
      <c r="L18" s="33">
        <f t="shared" si="0"/>
        <v>102</v>
      </c>
      <c r="M18" s="32">
        <v>35</v>
      </c>
      <c r="N18" s="33">
        <f t="shared" si="1"/>
        <v>35</v>
      </c>
      <c r="O18" s="33">
        <v>378</v>
      </c>
    </row>
    <row r="19" spans="1:16">
      <c r="A19" s="1" t="s">
        <v>1</v>
      </c>
      <c r="B19" s="34" t="s">
        <v>75</v>
      </c>
      <c r="C19" s="51">
        <v>355000</v>
      </c>
      <c r="D19" s="84">
        <v>270000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35">
        <v>0</v>
      </c>
      <c r="L19" s="36">
        <f>SUM(C19:K19)</f>
        <v>625000</v>
      </c>
      <c r="M19" s="35">
        <v>365000</v>
      </c>
      <c r="N19" s="36">
        <f>SUM(M19)</f>
        <v>365000</v>
      </c>
      <c r="O19" s="36">
        <v>4379000</v>
      </c>
      <c r="P19" s="37"/>
    </row>
    <row r="20" spans="1:16">
      <c r="A20" s="1" t="s">
        <v>1</v>
      </c>
      <c r="B20" s="21" t="s">
        <v>76</v>
      </c>
      <c r="C20" s="53">
        <v>0</v>
      </c>
      <c r="D20" s="85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22">
        <v>0</v>
      </c>
      <c r="L20" s="23">
        <f t="shared" ref="L20:L47" si="2">SUM(C20:K20)</f>
        <v>0</v>
      </c>
      <c r="M20" s="22">
        <v>0</v>
      </c>
      <c r="N20" s="23">
        <f t="shared" ref="N20:N47" si="3">SUM(M20)</f>
        <v>0</v>
      </c>
      <c r="O20" s="23">
        <v>35000</v>
      </c>
      <c r="P20" s="38"/>
    </row>
    <row r="21" spans="1:16">
      <c r="A21" s="1" t="s">
        <v>1</v>
      </c>
      <c r="B21" s="21" t="s">
        <v>77</v>
      </c>
      <c r="C21" s="53">
        <v>0</v>
      </c>
      <c r="D21" s="85">
        <v>3000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22">
        <v>0</v>
      </c>
      <c r="L21" s="23">
        <f t="shared" si="2"/>
        <v>3000</v>
      </c>
      <c r="M21" s="22">
        <v>0</v>
      </c>
      <c r="N21" s="23">
        <f t="shared" si="3"/>
        <v>0</v>
      </c>
      <c r="O21" s="23">
        <v>6000</v>
      </c>
      <c r="P21" s="38"/>
    </row>
    <row r="22" spans="1:16">
      <c r="A22" s="1" t="s">
        <v>1</v>
      </c>
      <c r="B22" s="21" t="s">
        <v>78</v>
      </c>
      <c r="C22" s="53">
        <v>0</v>
      </c>
      <c r="D22" s="85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22">
        <v>0</v>
      </c>
      <c r="L22" s="23">
        <f t="shared" si="2"/>
        <v>0</v>
      </c>
      <c r="M22" s="22">
        <v>0</v>
      </c>
      <c r="N22" s="23">
        <f t="shared" si="3"/>
        <v>0</v>
      </c>
      <c r="O22" s="23">
        <v>159299</v>
      </c>
      <c r="P22" s="38"/>
    </row>
    <row r="23" spans="1:16">
      <c r="A23" s="1" t="s">
        <v>1</v>
      </c>
      <c r="B23" s="21" t="s">
        <v>79</v>
      </c>
      <c r="C23" s="53">
        <v>0</v>
      </c>
      <c r="D23" s="85">
        <v>0</v>
      </c>
      <c r="E23" s="54">
        <v>88360</v>
      </c>
      <c r="F23" s="54">
        <v>91180</v>
      </c>
      <c r="G23" s="54">
        <v>61060</v>
      </c>
      <c r="H23" s="54">
        <v>60200</v>
      </c>
      <c r="I23" s="54">
        <v>67080</v>
      </c>
      <c r="J23" s="54">
        <v>27520</v>
      </c>
      <c r="K23" s="22">
        <v>86860</v>
      </c>
      <c r="L23" s="23">
        <f t="shared" si="2"/>
        <v>482260</v>
      </c>
      <c r="M23" s="22">
        <v>0</v>
      </c>
      <c r="N23" s="23">
        <f t="shared" si="3"/>
        <v>0</v>
      </c>
      <c r="O23" s="23">
        <v>482260</v>
      </c>
      <c r="P23" s="38"/>
    </row>
    <row r="24" spans="1:16">
      <c r="A24" s="1" t="s">
        <v>1</v>
      </c>
      <c r="B24" s="21" t="s">
        <v>80</v>
      </c>
      <c r="C24" s="53">
        <v>0</v>
      </c>
      <c r="D24" s="85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22">
        <v>0</v>
      </c>
      <c r="L24" s="23">
        <f t="shared" si="2"/>
        <v>0</v>
      </c>
      <c r="M24" s="22">
        <v>0</v>
      </c>
      <c r="N24" s="23">
        <f t="shared" si="3"/>
        <v>0</v>
      </c>
      <c r="O24" s="23">
        <v>26000</v>
      </c>
      <c r="P24" s="38"/>
    </row>
    <row r="25" spans="1:16">
      <c r="A25" s="1" t="s">
        <v>1</v>
      </c>
      <c r="B25" s="21" t="s">
        <v>81</v>
      </c>
      <c r="C25" s="53">
        <v>0</v>
      </c>
      <c r="D25" s="85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22">
        <v>0</v>
      </c>
      <c r="L25" s="23">
        <f t="shared" si="2"/>
        <v>0</v>
      </c>
      <c r="M25" s="22">
        <v>0</v>
      </c>
      <c r="N25" s="23">
        <f t="shared" si="3"/>
        <v>0</v>
      </c>
      <c r="O25" s="93">
        <v>-32532</v>
      </c>
      <c r="P25" s="38"/>
    </row>
    <row r="26" spans="1:16">
      <c r="A26" s="1" t="s">
        <v>1</v>
      </c>
      <c r="B26" s="21" t="s">
        <v>68</v>
      </c>
      <c r="C26" s="53">
        <v>0</v>
      </c>
      <c r="D26" s="85">
        <v>89936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2150</v>
      </c>
      <c r="K26" s="22">
        <v>0</v>
      </c>
      <c r="L26" s="23">
        <f t="shared" si="2"/>
        <v>92086</v>
      </c>
      <c r="M26" s="22">
        <v>0</v>
      </c>
      <c r="N26" s="23">
        <f t="shared" si="3"/>
        <v>0</v>
      </c>
      <c r="O26" s="23">
        <v>1281018</v>
      </c>
      <c r="P26" s="38"/>
    </row>
    <row r="27" spans="1:16">
      <c r="A27" s="1" t="s">
        <v>1</v>
      </c>
      <c r="B27" s="21" t="s">
        <v>82</v>
      </c>
      <c r="C27" s="53">
        <v>0</v>
      </c>
      <c r="D27" s="85">
        <v>11035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22">
        <v>0</v>
      </c>
      <c r="L27" s="23">
        <f t="shared" si="2"/>
        <v>11035</v>
      </c>
      <c r="M27" s="22">
        <v>0</v>
      </c>
      <c r="N27" s="23">
        <f t="shared" si="3"/>
        <v>0</v>
      </c>
      <c r="O27" s="23">
        <v>449428</v>
      </c>
      <c r="P27" s="38"/>
    </row>
    <row r="28" spans="1:16">
      <c r="A28" s="1" t="s">
        <v>1</v>
      </c>
      <c r="B28" s="21" t="s">
        <v>83</v>
      </c>
      <c r="C28" s="53">
        <v>0</v>
      </c>
      <c r="D28" s="85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22">
        <v>0</v>
      </c>
      <c r="L28" s="23">
        <f t="shared" si="2"/>
        <v>0</v>
      </c>
      <c r="M28" s="22">
        <v>0</v>
      </c>
      <c r="N28" s="23">
        <f t="shared" si="3"/>
        <v>0</v>
      </c>
      <c r="O28" s="23">
        <v>425016</v>
      </c>
      <c r="P28" s="38"/>
    </row>
    <row r="29" spans="1:16">
      <c r="A29" s="1" t="s">
        <v>1</v>
      </c>
      <c r="B29" s="21" t="s">
        <v>84</v>
      </c>
      <c r="C29" s="53">
        <v>0</v>
      </c>
      <c r="D29" s="85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22">
        <v>0</v>
      </c>
      <c r="L29" s="23">
        <f t="shared" si="2"/>
        <v>0</v>
      </c>
      <c r="M29" s="22">
        <v>0</v>
      </c>
      <c r="N29" s="23">
        <f t="shared" si="3"/>
        <v>0</v>
      </c>
      <c r="O29" s="23">
        <v>17871</v>
      </c>
      <c r="P29" s="38"/>
    </row>
    <row r="30" spans="1:16">
      <c r="A30" s="1" t="s">
        <v>1</v>
      </c>
      <c r="B30" s="21" t="s">
        <v>85</v>
      </c>
      <c r="C30" s="53">
        <v>0</v>
      </c>
      <c r="D30" s="85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22">
        <v>0</v>
      </c>
      <c r="L30" s="23">
        <f t="shared" si="2"/>
        <v>0</v>
      </c>
      <c r="M30" s="22">
        <v>0</v>
      </c>
      <c r="N30" s="23">
        <f t="shared" si="3"/>
        <v>0</v>
      </c>
      <c r="O30" s="23">
        <v>1780</v>
      </c>
      <c r="P30" s="38"/>
    </row>
    <row r="31" spans="1:16">
      <c r="A31" s="1" t="s">
        <v>1</v>
      </c>
      <c r="B31" s="4" t="s">
        <v>73</v>
      </c>
      <c r="C31" s="55">
        <v>0</v>
      </c>
      <c r="D31" s="86">
        <v>0</v>
      </c>
      <c r="E31" s="56">
        <v>0</v>
      </c>
      <c r="F31" s="56">
        <v>0</v>
      </c>
      <c r="G31" s="56">
        <v>10750</v>
      </c>
      <c r="H31" s="56">
        <v>10750</v>
      </c>
      <c r="I31" s="56">
        <v>11825</v>
      </c>
      <c r="J31" s="56">
        <v>0</v>
      </c>
      <c r="K31" s="5">
        <v>0</v>
      </c>
      <c r="L31" s="6">
        <f t="shared" si="2"/>
        <v>33325</v>
      </c>
      <c r="M31" s="5">
        <v>547</v>
      </c>
      <c r="N31" s="6">
        <f t="shared" si="3"/>
        <v>547</v>
      </c>
      <c r="O31" s="6">
        <v>111462</v>
      </c>
    </row>
    <row r="32" spans="1:16">
      <c r="A32" s="1" t="s">
        <v>1</v>
      </c>
      <c r="B32" s="12" t="s">
        <v>86</v>
      </c>
      <c r="C32" s="57">
        <v>355000</v>
      </c>
      <c r="D32" s="87">
        <v>373971</v>
      </c>
      <c r="E32" s="58">
        <v>88360</v>
      </c>
      <c r="F32" s="58">
        <v>91180</v>
      </c>
      <c r="G32" s="58">
        <v>71810</v>
      </c>
      <c r="H32" s="58">
        <v>70950</v>
      </c>
      <c r="I32" s="58">
        <v>78905</v>
      </c>
      <c r="J32" s="58">
        <v>29670</v>
      </c>
      <c r="K32" s="13">
        <v>86860</v>
      </c>
      <c r="L32" s="14">
        <f t="shared" si="2"/>
        <v>1246706</v>
      </c>
      <c r="M32" s="13">
        <v>365547</v>
      </c>
      <c r="N32" s="14">
        <f t="shared" si="3"/>
        <v>365547</v>
      </c>
      <c r="O32" s="14">
        <v>7341602</v>
      </c>
    </row>
    <row r="33" spans="1:15">
      <c r="A33" s="1" t="s">
        <v>1</v>
      </c>
      <c r="B33" s="18" t="s">
        <v>87</v>
      </c>
      <c r="C33" s="59">
        <v>3875</v>
      </c>
      <c r="D33" s="88">
        <v>4883</v>
      </c>
      <c r="E33" s="60">
        <v>3100</v>
      </c>
      <c r="F33" s="60">
        <v>1809</v>
      </c>
      <c r="G33" s="60">
        <v>3100</v>
      </c>
      <c r="H33" s="60">
        <v>3875</v>
      </c>
      <c r="I33" s="60">
        <v>4547</v>
      </c>
      <c r="J33" s="60">
        <v>1344</v>
      </c>
      <c r="K33" s="19">
        <v>7956</v>
      </c>
      <c r="L33" s="20">
        <f t="shared" si="2"/>
        <v>34489</v>
      </c>
      <c r="M33" s="19">
        <v>0</v>
      </c>
      <c r="N33" s="20">
        <f t="shared" si="3"/>
        <v>0</v>
      </c>
      <c r="O33" s="20">
        <v>153580</v>
      </c>
    </row>
    <row r="34" spans="1:15">
      <c r="A34" s="1" t="s">
        <v>1</v>
      </c>
      <c r="B34" s="15" t="s">
        <v>88</v>
      </c>
      <c r="C34" s="61">
        <v>3875</v>
      </c>
      <c r="D34" s="89">
        <v>4883</v>
      </c>
      <c r="E34" s="62">
        <v>3100</v>
      </c>
      <c r="F34" s="62">
        <v>1809</v>
      </c>
      <c r="G34" s="62">
        <v>3100</v>
      </c>
      <c r="H34" s="62">
        <v>3875</v>
      </c>
      <c r="I34" s="62">
        <v>4547</v>
      </c>
      <c r="J34" s="62">
        <v>1344</v>
      </c>
      <c r="K34" s="16">
        <v>7956</v>
      </c>
      <c r="L34" s="17">
        <f t="shared" si="2"/>
        <v>34489</v>
      </c>
      <c r="M34" s="16">
        <v>0</v>
      </c>
      <c r="N34" s="17">
        <f t="shared" si="3"/>
        <v>0</v>
      </c>
      <c r="O34" s="17">
        <v>153580</v>
      </c>
    </row>
    <row r="35" spans="1:15">
      <c r="A35" s="1" t="s">
        <v>1</v>
      </c>
      <c r="B35" s="12" t="s">
        <v>89</v>
      </c>
      <c r="C35" s="57">
        <v>358875</v>
      </c>
      <c r="D35" s="87">
        <v>378854</v>
      </c>
      <c r="E35" s="58">
        <v>91460</v>
      </c>
      <c r="F35" s="58">
        <v>92989</v>
      </c>
      <c r="G35" s="58">
        <v>74910</v>
      </c>
      <c r="H35" s="58">
        <v>74825</v>
      </c>
      <c r="I35" s="58">
        <v>83452</v>
      </c>
      <c r="J35" s="58">
        <v>31014</v>
      </c>
      <c r="K35" s="13">
        <v>94816</v>
      </c>
      <c r="L35" s="14">
        <f t="shared" si="2"/>
        <v>1281195</v>
      </c>
      <c r="M35" s="13">
        <v>365547</v>
      </c>
      <c r="N35" s="14">
        <f t="shared" si="3"/>
        <v>365547</v>
      </c>
      <c r="O35" s="14">
        <v>7495182</v>
      </c>
    </row>
    <row r="36" spans="1:15">
      <c r="A36" s="1" t="s">
        <v>1</v>
      </c>
      <c r="B36" s="18" t="s">
        <v>90</v>
      </c>
      <c r="C36" s="59">
        <v>19380</v>
      </c>
      <c r="D36" s="88">
        <v>20910</v>
      </c>
      <c r="E36" s="60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19">
        <v>0</v>
      </c>
      <c r="L36" s="20">
        <f t="shared" si="2"/>
        <v>40290</v>
      </c>
      <c r="M36" s="19">
        <v>19380</v>
      </c>
      <c r="N36" s="20">
        <f t="shared" si="3"/>
        <v>19380</v>
      </c>
      <c r="O36" s="20">
        <v>369750</v>
      </c>
    </row>
    <row r="37" spans="1:15">
      <c r="A37" s="1" t="s">
        <v>1</v>
      </c>
      <c r="B37" s="21" t="s">
        <v>91</v>
      </c>
      <c r="C37" s="53">
        <v>3420</v>
      </c>
      <c r="D37" s="85">
        <v>3690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22">
        <v>0</v>
      </c>
      <c r="L37" s="23">
        <f t="shared" si="2"/>
        <v>7110</v>
      </c>
      <c r="M37" s="22">
        <v>3420</v>
      </c>
      <c r="N37" s="23">
        <f t="shared" si="3"/>
        <v>3420</v>
      </c>
      <c r="O37" s="23">
        <v>65250</v>
      </c>
    </row>
    <row r="38" spans="1:15">
      <c r="A38" s="1" t="s">
        <v>1</v>
      </c>
      <c r="B38" s="21" t="s">
        <v>92</v>
      </c>
      <c r="C38" s="53">
        <v>34770</v>
      </c>
      <c r="D38" s="85">
        <v>37515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22">
        <v>0</v>
      </c>
      <c r="L38" s="23">
        <f t="shared" si="2"/>
        <v>72285</v>
      </c>
      <c r="M38" s="22">
        <v>34770</v>
      </c>
      <c r="N38" s="23">
        <f t="shared" si="3"/>
        <v>34770</v>
      </c>
      <c r="O38" s="23">
        <v>663375</v>
      </c>
    </row>
    <row r="39" spans="1:15">
      <c r="A39" s="1" t="s">
        <v>1</v>
      </c>
      <c r="B39" s="4" t="s">
        <v>93</v>
      </c>
      <c r="C39" s="55">
        <v>1794</v>
      </c>
      <c r="D39" s="86">
        <v>1894</v>
      </c>
      <c r="E39" s="56">
        <v>457</v>
      </c>
      <c r="F39" s="56">
        <v>465</v>
      </c>
      <c r="G39" s="56">
        <v>0</v>
      </c>
      <c r="H39" s="56">
        <v>0</v>
      </c>
      <c r="I39" s="56">
        <v>0</v>
      </c>
      <c r="J39" s="56">
        <v>0</v>
      </c>
      <c r="K39" s="5">
        <v>474</v>
      </c>
      <c r="L39" s="6">
        <f t="shared" si="2"/>
        <v>5084</v>
      </c>
      <c r="M39" s="5">
        <v>1828</v>
      </c>
      <c r="N39" s="6">
        <f t="shared" si="3"/>
        <v>1828</v>
      </c>
      <c r="O39" s="6">
        <v>36155</v>
      </c>
    </row>
    <row r="40" spans="1:15">
      <c r="A40" s="1" t="s">
        <v>1</v>
      </c>
      <c r="B40" s="12" t="s">
        <v>94</v>
      </c>
      <c r="C40" s="57">
        <v>59364</v>
      </c>
      <c r="D40" s="87">
        <v>64009</v>
      </c>
      <c r="E40" s="58">
        <v>457</v>
      </c>
      <c r="F40" s="58">
        <v>465</v>
      </c>
      <c r="G40" s="58">
        <v>0</v>
      </c>
      <c r="H40" s="58">
        <v>0</v>
      </c>
      <c r="I40" s="58">
        <v>0</v>
      </c>
      <c r="J40" s="58">
        <v>0</v>
      </c>
      <c r="K40" s="13">
        <v>474</v>
      </c>
      <c r="L40" s="14">
        <f t="shared" si="2"/>
        <v>124769</v>
      </c>
      <c r="M40" s="13">
        <v>59398</v>
      </c>
      <c r="N40" s="14">
        <f t="shared" si="3"/>
        <v>59398</v>
      </c>
      <c r="O40" s="14">
        <v>1134530</v>
      </c>
    </row>
    <row r="41" spans="1:15">
      <c r="A41" s="1" t="s">
        <v>1</v>
      </c>
      <c r="B41" s="18" t="s">
        <v>95</v>
      </c>
      <c r="C41" s="59">
        <v>8180</v>
      </c>
      <c r="D41" s="88">
        <v>7130</v>
      </c>
      <c r="E41" s="60">
        <v>110</v>
      </c>
      <c r="F41" s="60">
        <v>250</v>
      </c>
      <c r="G41" s="60">
        <v>0</v>
      </c>
      <c r="H41" s="60">
        <v>0</v>
      </c>
      <c r="I41" s="60">
        <v>0</v>
      </c>
      <c r="J41" s="60">
        <v>0</v>
      </c>
      <c r="K41" s="19">
        <v>0</v>
      </c>
      <c r="L41" s="20">
        <f t="shared" si="2"/>
        <v>15670</v>
      </c>
      <c r="M41" s="19">
        <v>8880</v>
      </c>
      <c r="N41" s="20">
        <f t="shared" si="3"/>
        <v>8880</v>
      </c>
      <c r="O41" s="20">
        <v>137290</v>
      </c>
    </row>
    <row r="42" spans="1:15">
      <c r="A42" s="1" t="s">
        <v>1</v>
      </c>
      <c r="B42" s="21" t="s">
        <v>96</v>
      </c>
      <c r="C42" s="53">
        <v>0</v>
      </c>
      <c r="D42" s="85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22">
        <v>0</v>
      </c>
      <c r="L42" s="23">
        <f t="shared" si="2"/>
        <v>0</v>
      </c>
      <c r="M42" s="22">
        <v>0</v>
      </c>
      <c r="N42" s="23">
        <f t="shared" si="3"/>
        <v>0</v>
      </c>
      <c r="O42" s="23">
        <v>15600</v>
      </c>
    </row>
    <row r="43" spans="1:15">
      <c r="A43" s="1" t="s">
        <v>1</v>
      </c>
      <c r="B43" s="4" t="s">
        <v>97</v>
      </c>
      <c r="C43" s="55">
        <v>15200</v>
      </c>
      <c r="D43" s="86">
        <v>16300</v>
      </c>
      <c r="E43" s="56">
        <v>600</v>
      </c>
      <c r="F43" s="56">
        <v>500</v>
      </c>
      <c r="G43" s="56">
        <v>0</v>
      </c>
      <c r="H43" s="56">
        <v>0</v>
      </c>
      <c r="I43" s="56">
        <v>0</v>
      </c>
      <c r="J43" s="56">
        <v>0</v>
      </c>
      <c r="K43" s="5">
        <v>11600</v>
      </c>
      <c r="L43" s="6">
        <f t="shared" si="2"/>
        <v>44200</v>
      </c>
      <c r="M43" s="5">
        <v>17800</v>
      </c>
      <c r="N43" s="6">
        <f t="shared" si="3"/>
        <v>17800</v>
      </c>
      <c r="O43" s="6">
        <v>258100</v>
      </c>
    </row>
    <row r="44" spans="1:15">
      <c r="A44" s="1" t="s">
        <v>1</v>
      </c>
      <c r="B44" s="12" t="s">
        <v>98</v>
      </c>
      <c r="C44" s="57">
        <v>82744</v>
      </c>
      <c r="D44" s="87">
        <v>87439</v>
      </c>
      <c r="E44" s="58">
        <v>1167</v>
      </c>
      <c r="F44" s="58">
        <v>1215</v>
      </c>
      <c r="G44" s="58">
        <v>0</v>
      </c>
      <c r="H44" s="58">
        <v>0</v>
      </c>
      <c r="I44" s="58">
        <v>0</v>
      </c>
      <c r="J44" s="58">
        <v>0</v>
      </c>
      <c r="K44" s="13">
        <v>12074</v>
      </c>
      <c r="L44" s="14">
        <f t="shared" si="2"/>
        <v>184639</v>
      </c>
      <c r="M44" s="13">
        <v>86078</v>
      </c>
      <c r="N44" s="14">
        <f t="shared" si="3"/>
        <v>86078</v>
      </c>
      <c r="O44" s="14">
        <v>1545520</v>
      </c>
    </row>
    <row r="45" spans="1:15">
      <c r="A45" s="1" t="s">
        <v>1</v>
      </c>
      <c r="B45" s="4" t="s">
        <v>99</v>
      </c>
      <c r="C45" s="55">
        <v>295636</v>
      </c>
      <c r="D45" s="86">
        <v>309962</v>
      </c>
      <c r="E45" s="56">
        <v>87903</v>
      </c>
      <c r="F45" s="56">
        <v>90715</v>
      </c>
      <c r="G45" s="56">
        <v>71810</v>
      </c>
      <c r="H45" s="56">
        <v>70950</v>
      </c>
      <c r="I45" s="56">
        <v>78905</v>
      </c>
      <c r="J45" s="56">
        <v>29670</v>
      </c>
      <c r="K45" s="5">
        <v>86386</v>
      </c>
      <c r="L45" s="6">
        <f t="shared" si="2"/>
        <v>1121937</v>
      </c>
      <c r="M45" s="5">
        <v>306149</v>
      </c>
      <c r="N45" s="6">
        <f t="shared" si="3"/>
        <v>306149</v>
      </c>
      <c r="O45" s="6">
        <v>6207072</v>
      </c>
    </row>
    <row r="46" spans="1:15">
      <c r="A46" s="1" t="s">
        <v>1</v>
      </c>
      <c r="B46" s="12" t="s">
        <v>100</v>
      </c>
      <c r="C46" s="57">
        <v>276131</v>
      </c>
      <c r="D46" s="87">
        <v>291415</v>
      </c>
      <c r="E46" s="58">
        <v>90293</v>
      </c>
      <c r="F46" s="58">
        <v>91774</v>
      </c>
      <c r="G46" s="58">
        <v>74910</v>
      </c>
      <c r="H46" s="58">
        <v>74825</v>
      </c>
      <c r="I46" s="58">
        <v>83452</v>
      </c>
      <c r="J46" s="58">
        <v>31014</v>
      </c>
      <c r="K46" s="13">
        <v>82742</v>
      </c>
      <c r="L46" s="14">
        <f t="shared" si="2"/>
        <v>1096556</v>
      </c>
      <c r="M46" s="13">
        <v>279469</v>
      </c>
      <c r="N46" s="14">
        <f t="shared" si="3"/>
        <v>279469</v>
      </c>
      <c r="O46" s="14">
        <v>5949662</v>
      </c>
    </row>
    <row r="47" spans="1:15">
      <c r="A47" s="1" t="s">
        <v>1</v>
      </c>
      <c r="B47" s="12" t="s">
        <v>101</v>
      </c>
      <c r="C47" s="57">
        <v>276131</v>
      </c>
      <c r="D47" s="87">
        <v>291415</v>
      </c>
      <c r="E47" s="58">
        <v>90293</v>
      </c>
      <c r="F47" s="58">
        <v>91774</v>
      </c>
      <c r="G47" s="58">
        <v>74910</v>
      </c>
      <c r="H47" s="58">
        <v>74825</v>
      </c>
      <c r="I47" s="58">
        <v>83452</v>
      </c>
      <c r="J47" s="58">
        <v>31014</v>
      </c>
      <c r="K47" s="13">
        <v>82742</v>
      </c>
      <c r="L47" s="14">
        <f t="shared" si="2"/>
        <v>1096556</v>
      </c>
      <c r="M47" s="13">
        <v>279469</v>
      </c>
      <c r="N47" s="14">
        <f t="shared" si="3"/>
        <v>279469</v>
      </c>
      <c r="O47" s="14">
        <v>5949662</v>
      </c>
    </row>
    <row r="48" spans="1:15">
      <c r="A48" s="1" t="s">
        <v>1</v>
      </c>
      <c r="B48" s="4" t="s">
        <v>102</v>
      </c>
      <c r="C48" s="55">
        <v>0</v>
      </c>
      <c r="D48" s="86">
        <v>1</v>
      </c>
      <c r="E48" s="56">
        <v>0</v>
      </c>
      <c r="F48" s="56">
        <v>0</v>
      </c>
      <c r="G48" s="56">
        <v>1</v>
      </c>
      <c r="H48" s="56">
        <v>1</v>
      </c>
      <c r="I48" s="56">
        <v>1</v>
      </c>
      <c r="J48" s="56">
        <v>1</v>
      </c>
      <c r="K48" s="5">
        <v>1</v>
      </c>
      <c r="L48" s="6"/>
      <c r="M48" s="5">
        <v>0</v>
      </c>
      <c r="N48" s="6"/>
      <c r="O48" s="6"/>
    </row>
    <row r="49" spans="1:15" ht="19.5" thickBot="1">
      <c r="A49" s="1" t="s">
        <v>1</v>
      </c>
      <c r="B49" s="7" t="s">
        <v>103</v>
      </c>
      <c r="C49" s="63" t="s">
        <v>104</v>
      </c>
      <c r="D49" s="90" t="s">
        <v>104</v>
      </c>
      <c r="E49" s="64" t="s">
        <v>104</v>
      </c>
      <c r="F49" s="64" t="s">
        <v>104</v>
      </c>
      <c r="G49" s="64" t="s">
        <v>104</v>
      </c>
      <c r="H49" s="64" t="s">
        <v>104</v>
      </c>
      <c r="I49" s="64" t="s">
        <v>104</v>
      </c>
      <c r="J49" s="64" t="s">
        <v>104</v>
      </c>
      <c r="K49" s="8" t="s">
        <v>104</v>
      </c>
      <c r="L49" s="9"/>
      <c r="M49" s="8" t="s">
        <v>104</v>
      </c>
      <c r="N49" s="9"/>
      <c r="O49" s="9"/>
    </row>
    <row r="51" spans="1:15">
      <c r="E51" s="97">
        <f>E23/94</f>
        <v>940</v>
      </c>
      <c r="F51" s="97">
        <f>F23/97</f>
        <v>940</v>
      </c>
    </row>
  </sheetData>
  <mergeCells count="1">
    <mergeCell ref="B3:B4"/>
  </mergeCells>
  <phoneticPr fontId="3"/>
  <pageMargins left="0.31496062992125984" right="0.31496062992125984" top="0.35433070866141736" bottom="0.35433070866141736" header="0.11811023622047245" footer="0.11811023622047245"/>
  <pageSetup paperSize="12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BED6-5BDA-4CC2-967F-3F186898A922}">
  <sheetPr>
    <pageSetUpPr fitToPage="1"/>
  </sheetPr>
  <dimension ref="A1:W49"/>
  <sheetViews>
    <sheetView workbookViewId="0">
      <pane xSplit="2" ySplit="4" topLeftCell="K14" activePane="bottomRight" state="frozen"/>
      <selection pane="topRight" activeCell="C1" sqref="C1"/>
      <selection pane="bottomLeft" activeCell="A9" sqref="A9"/>
      <selection pane="bottomRight" activeCell="U10" sqref="U10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19" width="11.125" style="2" bestFit="1" customWidth="1"/>
    <col min="20" max="20" width="9" style="2" bestFit="1" customWidth="1"/>
    <col min="21" max="21" width="11.125" style="2" bestFit="1" customWidth="1"/>
    <col min="22" max="22" width="11.125" style="2" customWidth="1"/>
    <col min="23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7" width="11.125" style="2" bestFit="1" customWidth="1"/>
    <col min="268" max="268" width="9" style="2"/>
    <col min="269" max="276" width="11.125" style="2" bestFit="1" customWidth="1"/>
    <col min="277" max="277" width="9.625" style="2" bestFit="1" customWidth="1"/>
    <col min="278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3" width="11.125" style="2" bestFit="1" customWidth="1"/>
    <col min="524" max="524" width="9" style="2"/>
    <col min="525" max="532" width="11.125" style="2" bestFit="1" customWidth="1"/>
    <col min="533" max="533" width="9.625" style="2" bestFit="1" customWidth="1"/>
    <col min="534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9" width="11.125" style="2" bestFit="1" customWidth="1"/>
    <col min="780" max="780" width="9" style="2"/>
    <col min="781" max="788" width="11.125" style="2" bestFit="1" customWidth="1"/>
    <col min="789" max="789" width="9.625" style="2" bestFit="1" customWidth="1"/>
    <col min="790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5" width="11.125" style="2" bestFit="1" customWidth="1"/>
    <col min="1036" max="1036" width="9" style="2"/>
    <col min="1037" max="1044" width="11.125" style="2" bestFit="1" customWidth="1"/>
    <col min="1045" max="1045" width="9.625" style="2" bestFit="1" customWidth="1"/>
    <col min="1046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1" width="11.125" style="2" bestFit="1" customWidth="1"/>
    <col min="1292" max="1292" width="9" style="2"/>
    <col min="1293" max="1300" width="11.125" style="2" bestFit="1" customWidth="1"/>
    <col min="1301" max="1301" width="9.625" style="2" bestFit="1" customWidth="1"/>
    <col min="1302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7" width="11.125" style="2" bestFit="1" customWidth="1"/>
    <col min="1548" max="1548" width="9" style="2"/>
    <col min="1549" max="1556" width="11.125" style="2" bestFit="1" customWidth="1"/>
    <col min="1557" max="1557" width="9.625" style="2" bestFit="1" customWidth="1"/>
    <col min="1558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3" width="11.125" style="2" bestFit="1" customWidth="1"/>
    <col min="1804" max="1804" width="9" style="2"/>
    <col min="1805" max="1812" width="11.125" style="2" bestFit="1" customWidth="1"/>
    <col min="1813" max="1813" width="9.625" style="2" bestFit="1" customWidth="1"/>
    <col min="1814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9" width="11.125" style="2" bestFit="1" customWidth="1"/>
    <col min="2060" max="2060" width="9" style="2"/>
    <col min="2061" max="2068" width="11.125" style="2" bestFit="1" customWidth="1"/>
    <col min="2069" max="2069" width="9.625" style="2" bestFit="1" customWidth="1"/>
    <col min="2070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5" width="11.125" style="2" bestFit="1" customWidth="1"/>
    <col min="2316" max="2316" width="9" style="2"/>
    <col min="2317" max="2324" width="11.125" style="2" bestFit="1" customWidth="1"/>
    <col min="2325" max="2325" width="9.625" style="2" bestFit="1" customWidth="1"/>
    <col min="2326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1" width="11.125" style="2" bestFit="1" customWidth="1"/>
    <col min="2572" max="2572" width="9" style="2"/>
    <col min="2573" max="2580" width="11.125" style="2" bestFit="1" customWidth="1"/>
    <col min="2581" max="2581" width="9.625" style="2" bestFit="1" customWidth="1"/>
    <col min="2582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7" width="11.125" style="2" bestFit="1" customWidth="1"/>
    <col min="2828" max="2828" width="9" style="2"/>
    <col min="2829" max="2836" width="11.125" style="2" bestFit="1" customWidth="1"/>
    <col min="2837" max="2837" width="9.625" style="2" bestFit="1" customWidth="1"/>
    <col min="2838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3" width="11.125" style="2" bestFit="1" customWidth="1"/>
    <col min="3084" max="3084" width="9" style="2"/>
    <col min="3085" max="3092" width="11.125" style="2" bestFit="1" customWidth="1"/>
    <col min="3093" max="3093" width="9.625" style="2" bestFit="1" customWidth="1"/>
    <col min="3094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9" width="11.125" style="2" bestFit="1" customWidth="1"/>
    <col min="3340" max="3340" width="9" style="2"/>
    <col min="3341" max="3348" width="11.125" style="2" bestFit="1" customWidth="1"/>
    <col min="3349" max="3349" width="9.625" style="2" bestFit="1" customWidth="1"/>
    <col min="3350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5" width="11.125" style="2" bestFit="1" customWidth="1"/>
    <col min="3596" max="3596" width="9" style="2"/>
    <col min="3597" max="3604" width="11.125" style="2" bestFit="1" customWidth="1"/>
    <col min="3605" max="3605" width="9.625" style="2" bestFit="1" customWidth="1"/>
    <col min="3606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1" width="11.125" style="2" bestFit="1" customWidth="1"/>
    <col min="3852" max="3852" width="9" style="2"/>
    <col min="3853" max="3860" width="11.125" style="2" bestFit="1" customWidth="1"/>
    <col min="3861" max="3861" width="9.625" style="2" bestFit="1" customWidth="1"/>
    <col min="3862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7" width="11.125" style="2" bestFit="1" customWidth="1"/>
    <col min="4108" max="4108" width="9" style="2"/>
    <col min="4109" max="4116" width="11.125" style="2" bestFit="1" customWidth="1"/>
    <col min="4117" max="4117" width="9.625" style="2" bestFit="1" customWidth="1"/>
    <col min="4118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3" width="11.125" style="2" bestFit="1" customWidth="1"/>
    <col min="4364" max="4364" width="9" style="2"/>
    <col min="4365" max="4372" width="11.125" style="2" bestFit="1" customWidth="1"/>
    <col min="4373" max="4373" width="9.625" style="2" bestFit="1" customWidth="1"/>
    <col min="4374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9" width="11.125" style="2" bestFit="1" customWidth="1"/>
    <col min="4620" max="4620" width="9" style="2"/>
    <col min="4621" max="4628" width="11.125" style="2" bestFit="1" customWidth="1"/>
    <col min="4629" max="4629" width="9.625" style="2" bestFit="1" customWidth="1"/>
    <col min="4630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5" width="11.125" style="2" bestFit="1" customWidth="1"/>
    <col min="4876" max="4876" width="9" style="2"/>
    <col min="4877" max="4884" width="11.125" style="2" bestFit="1" customWidth="1"/>
    <col min="4885" max="4885" width="9.625" style="2" bestFit="1" customWidth="1"/>
    <col min="4886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1" width="11.125" style="2" bestFit="1" customWidth="1"/>
    <col min="5132" max="5132" width="9" style="2"/>
    <col min="5133" max="5140" width="11.125" style="2" bestFit="1" customWidth="1"/>
    <col min="5141" max="5141" width="9.625" style="2" bestFit="1" customWidth="1"/>
    <col min="5142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7" width="11.125" style="2" bestFit="1" customWidth="1"/>
    <col min="5388" max="5388" width="9" style="2"/>
    <col min="5389" max="5396" width="11.125" style="2" bestFit="1" customWidth="1"/>
    <col min="5397" max="5397" width="9.625" style="2" bestFit="1" customWidth="1"/>
    <col min="5398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3" width="11.125" style="2" bestFit="1" customWidth="1"/>
    <col min="5644" max="5644" width="9" style="2"/>
    <col min="5645" max="5652" width="11.125" style="2" bestFit="1" customWidth="1"/>
    <col min="5653" max="5653" width="9.625" style="2" bestFit="1" customWidth="1"/>
    <col min="5654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9" width="11.125" style="2" bestFit="1" customWidth="1"/>
    <col min="5900" max="5900" width="9" style="2"/>
    <col min="5901" max="5908" width="11.125" style="2" bestFit="1" customWidth="1"/>
    <col min="5909" max="5909" width="9.625" style="2" bestFit="1" customWidth="1"/>
    <col min="5910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5" width="11.125" style="2" bestFit="1" customWidth="1"/>
    <col min="6156" max="6156" width="9" style="2"/>
    <col min="6157" max="6164" width="11.125" style="2" bestFit="1" customWidth="1"/>
    <col min="6165" max="6165" width="9.625" style="2" bestFit="1" customWidth="1"/>
    <col min="6166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1" width="11.125" style="2" bestFit="1" customWidth="1"/>
    <col min="6412" max="6412" width="9" style="2"/>
    <col min="6413" max="6420" width="11.125" style="2" bestFit="1" customWidth="1"/>
    <col min="6421" max="6421" width="9.625" style="2" bestFit="1" customWidth="1"/>
    <col min="6422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7" width="11.125" style="2" bestFit="1" customWidth="1"/>
    <col min="6668" max="6668" width="9" style="2"/>
    <col min="6669" max="6676" width="11.125" style="2" bestFit="1" customWidth="1"/>
    <col min="6677" max="6677" width="9.625" style="2" bestFit="1" customWidth="1"/>
    <col min="6678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3" width="11.125" style="2" bestFit="1" customWidth="1"/>
    <col min="6924" max="6924" width="9" style="2"/>
    <col min="6925" max="6932" width="11.125" style="2" bestFit="1" customWidth="1"/>
    <col min="6933" max="6933" width="9.625" style="2" bestFit="1" customWidth="1"/>
    <col min="6934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9" width="11.125" style="2" bestFit="1" customWidth="1"/>
    <col min="7180" max="7180" width="9" style="2"/>
    <col min="7181" max="7188" width="11.125" style="2" bestFit="1" customWidth="1"/>
    <col min="7189" max="7189" width="9.625" style="2" bestFit="1" customWidth="1"/>
    <col min="7190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5" width="11.125" style="2" bestFit="1" customWidth="1"/>
    <col min="7436" max="7436" width="9" style="2"/>
    <col min="7437" max="7444" width="11.125" style="2" bestFit="1" customWidth="1"/>
    <col min="7445" max="7445" width="9.625" style="2" bestFit="1" customWidth="1"/>
    <col min="7446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1" width="11.125" style="2" bestFit="1" customWidth="1"/>
    <col min="7692" max="7692" width="9" style="2"/>
    <col min="7693" max="7700" width="11.125" style="2" bestFit="1" customWidth="1"/>
    <col min="7701" max="7701" width="9.625" style="2" bestFit="1" customWidth="1"/>
    <col min="7702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7" width="11.125" style="2" bestFit="1" customWidth="1"/>
    <col min="7948" max="7948" width="9" style="2"/>
    <col min="7949" max="7956" width="11.125" style="2" bestFit="1" customWidth="1"/>
    <col min="7957" max="7957" width="9.625" style="2" bestFit="1" customWidth="1"/>
    <col min="7958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3" width="11.125" style="2" bestFit="1" customWidth="1"/>
    <col min="8204" max="8204" width="9" style="2"/>
    <col min="8205" max="8212" width="11.125" style="2" bestFit="1" customWidth="1"/>
    <col min="8213" max="8213" width="9.625" style="2" bestFit="1" customWidth="1"/>
    <col min="8214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9" width="11.125" style="2" bestFit="1" customWidth="1"/>
    <col min="8460" max="8460" width="9" style="2"/>
    <col min="8461" max="8468" width="11.125" style="2" bestFit="1" customWidth="1"/>
    <col min="8469" max="8469" width="9.625" style="2" bestFit="1" customWidth="1"/>
    <col min="8470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5" width="11.125" style="2" bestFit="1" customWidth="1"/>
    <col min="8716" max="8716" width="9" style="2"/>
    <col min="8717" max="8724" width="11.125" style="2" bestFit="1" customWidth="1"/>
    <col min="8725" max="8725" width="9.625" style="2" bestFit="1" customWidth="1"/>
    <col min="8726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1" width="11.125" style="2" bestFit="1" customWidth="1"/>
    <col min="8972" max="8972" width="9" style="2"/>
    <col min="8973" max="8980" width="11.125" style="2" bestFit="1" customWidth="1"/>
    <col min="8981" max="8981" width="9.625" style="2" bestFit="1" customWidth="1"/>
    <col min="8982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7" width="11.125" style="2" bestFit="1" customWidth="1"/>
    <col min="9228" max="9228" width="9" style="2"/>
    <col min="9229" max="9236" width="11.125" style="2" bestFit="1" customWidth="1"/>
    <col min="9237" max="9237" width="9.625" style="2" bestFit="1" customWidth="1"/>
    <col min="9238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3" width="11.125" style="2" bestFit="1" customWidth="1"/>
    <col min="9484" max="9484" width="9" style="2"/>
    <col min="9485" max="9492" width="11.125" style="2" bestFit="1" customWidth="1"/>
    <col min="9493" max="9493" width="9.625" style="2" bestFit="1" customWidth="1"/>
    <col min="9494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9" width="11.125" style="2" bestFit="1" customWidth="1"/>
    <col min="9740" max="9740" width="9" style="2"/>
    <col min="9741" max="9748" width="11.125" style="2" bestFit="1" customWidth="1"/>
    <col min="9749" max="9749" width="9.625" style="2" bestFit="1" customWidth="1"/>
    <col min="9750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5" width="11.125" style="2" bestFit="1" customWidth="1"/>
    <col min="9996" max="9996" width="9" style="2"/>
    <col min="9997" max="10004" width="11.125" style="2" bestFit="1" customWidth="1"/>
    <col min="10005" max="10005" width="9.625" style="2" bestFit="1" customWidth="1"/>
    <col min="10006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1" width="11.125" style="2" bestFit="1" customWidth="1"/>
    <col min="10252" max="10252" width="9" style="2"/>
    <col min="10253" max="10260" width="11.125" style="2" bestFit="1" customWidth="1"/>
    <col min="10261" max="10261" width="9.625" style="2" bestFit="1" customWidth="1"/>
    <col min="10262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7" width="11.125" style="2" bestFit="1" customWidth="1"/>
    <col min="10508" max="10508" width="9" style="2"/>
    <col min="10509" max="10516" width="11.125" style="2" bestFit="1" customWidth="1"/>
    <col min="10517" max="10517" width="9.625" style="2" bestFit="1" customWidth="1"/>
    <col min="10518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3" width="11.125" style="2" bestFit="1" customWidth="1"/>
    <col min="10764" max="10764" width="9" style="2"/>
    <col min="10765" max="10772" width="11.125" style="2" bestFit="1" customWidth="1"/>
    <col min="10773" max="10773" width="9.625" style="2" bestFit="1" customWidth="1"/>
    <col min="10774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9" width="11.125" style="2" bestFit="1" customWidth="1"/>
    <col min="11020" max="11020" width="9" style="2"/>
    <col min="11021" max="11028" width="11.125" style="2" bestFit="1" customWidth="1"/>
    <col min="11029" max="11029" width="9.625" style="2" bestFit="1" customWidth="1"/>
    <col min="11030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5" width="11.125" style="2" bestFit="1" customWidth="1"/>
    <col min="11276" max="11276" width="9" style="2"/>
    <col min="11277" max="11284" width="11.125" style="2" bestFit="1" customWidth="1"/>
    <col min="11285" max="11285" width="9.625" style="2" bestFit="1" customWidth="1"/>
    <col min="11286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1" width="11.125" style="2" bestFit="1" customWidth="1"/>
    <col min="11532" max="11532" width="9" style="2"/>
    <col min="11533" max="11540" width="11.125" style="2" bestFit="1" customWidth="1"/>
    <col min="11541" max="11541" width="9.625" style="2" bestFit="1" customWidth="1"/>
    <col min="11542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7" width="11.125" style="2" bestFit="1" customWidth="1"/>
    <col min="11788" max="11788" width="9" style="2"/>
    <col min="11789" max="11796" width="11.125" style="2" bestFit="1" customWidth="1"/>
    <col min="11797" max="11797" width="9.625" style="2" bestFit="1" customWidth="1"/>
    <col min="11798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3" width="11.125" style="2" bestFit="1" customWidth="1"/>
    <col min="12044" max="12044" width="9" style="2"/>
    <col min="12045" max="12052" width="11.125" style="2" bestFit="1" customWidth="1"/>
    <col min="12053" max="12053" width="9.625" style="2" bestFit="1" customWidth="1"/>
    <col min="12054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9" width="11.125" style="2" bestFit="1" customWidth="1"/>
    <col min="12300" max="12300" width="9" style="2"/>
    <col min="12301" max="12308" width="11.125" style="2" bestFit="1" customWidth="1"/>
    <col min="12309" max="12309" width="9.625" style="2" bestFit="1" customWidth="1"/>
    <col min="12310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5" width="11.125" style="2" bestFit="1" customWidth="1"/>
    <col min="12556" max="12556" width="9" style="2"/>
    <col min="12557" max="12564" width="11.125" style="2" bestFit="1" customWidth="1"/>
    <col min="12565" max="12565" width="9.625" style="2" bestFit="1" customWidth="1"/>
    <col min="12566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1" width="11.125" style="2" bestFit="1" customWidth="1"/>
    <col min="12812" max="12812" width="9" style="2"/>
    <col min="12813" max="12820" width="11.125" style="2" bestFit="1" customWidth="1"/>
    <col min="12821" max="12821" width="9.625" style="2" bestFit="1" customWidth="1"/>
    <col min="12822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7" width="11.125" style="2" bestFit="1" customWidth="1"/>
    <col min="13068" max="13068" width="9" style="2"/>
    <col min="13069" max="13076" width="11.125" style="2" bestFit="1" customWidth="1"/>
    <col min="13077" max="13077" width="9.625" style="2" bestFit="1" customWidth="1"/>
    <col min="13078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3" width="11.125" style="2" bestFit="1" customWidth="1"/>
    <col min="13324" max="13324" width="9" style="2"/>
    <col min="13325" max="13332" width="11.125" style="2" bestFit="1" customWidth="1"/>
    <col min="13333" max="13333" width="9.625" style="2" bestFit="1" customWidth="1"/>
    <col min="13334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9" width="11.125" style="2" bestFit="1" customWidth="1"/>
    <col min="13580" max="13580" width="9" style="2"/>
    <col min="13581" max="13588" width="11.125" style="2" bestFit="1" customWidth="1"/>
    <col min="13589" max="13589" width="9.625" style="2" bestFit="1" customWidth="1"/>
    <col min="13590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5" width="11.125" style="2" bestFit="1" customWidth="1"/>
    <col min="13836" max="13836" width="9" style="2"/>
    <col min="13837" max="13844" width="11.125" style="2" bestFit="1" customWidth="1"/>
    <col min="13845" max="13845" width="9.625" style="2" bestFit="1" customWidth="1"/>
    <col min="13846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1" width="11.125" style="2" bestFit="1" customWidth="1"/>
    <col min="14092" max="14092" width="9" style="2"/>
    <col min="14093" max="14100" width="11.125" style="2" bestFit="1" customWidth="1"/>
    <col min="14101" max="14101" width="9.625" style="2" bestFit="1" customWidth="1"/>
    <col min="14102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7" width="11.125" style="2" bestFit="1" customWidth="1"/>
    <col min="14348" max="14348" width="9" style="2"/>
    <col min="14349" max="14356" width="11.125" style="2" bestFit="1" customWidth="1"/>
    <col min="14357" max="14357" width="9.625" style="2" bestFit="1" customWidth="1"/>
    <col min="14358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3" width="11.125" style="2" bestFit="1" customWidth="1"/>
    <col min="14604" max="14604" width="9" style="2"/>
    <col min="14605" max="14612" width="11.125" style="2" bestFit="1" customWidth="1"/>
    <col min="14613" max="14613" width="9.625" style="2" bestFit="1" customWidth="1"/>
    <col min="14614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9" width="11.125" style="2" bestFit="1" customWidth="1"/>
    <col min="14860" max="14860" width="9" style="2"/>
    <col min="14861" max="14868" width="11.125" style="2" bestFit="1" customWidth="1"/>
    <col min="14869" max="14869" width="9.625" style="2" bestFit="1" customWidth="1"/>
    <col min="14870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5" width="11.125" style="2" bestFit="1" customWidth="1"/>
    <col min="15116" max="15116" width="9" style="2"/>
    <col min="15117" max="15124" width="11.125" style="2" bestFit="1" customWidth="1"/>
    <col min="15125" max="15125" width="9.625" style="2" bestFit="1" customWidth="1"/>
    <col min="15126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1" width="11.125" style="2" bestFit="1" customWidth="1"/>
    <col min="15372" max="15372" width="9" style="2"/>
    <col min="15373" max="15380" width="11.125" style="2" bestFit="1" customWidth="1"/>
    <col min="15381" max="15381" width="9.625" style="2" bestFit="1" customWidth="1"/>
    <col min="15382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7" width="11.125" style="2" bestFit="1" customWidth="1"/>
    <col min="15628" max="15628" width="9" style="2"/>
    <col min="15629" max="15636" width="11.125" style="2" bestFit="1" customWidth="1"/>
    <col min="15637" max="15637" width="9.625" style="2" bestFit="1" customWidth="1"/>
    <col min="15638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3" width="11.125" style="2" bestFit="1" customWidth="1"/>
    <col min="15884" max="15884" width="9" style="2"/>
    <col min="15885" max="15892" width="11.125" style="2" bestFit="1" customWidth="1"/>
    <col min="15893" max="15893" width="9.625" style="2" bestFit="1" customWidth="1"/>
    <col min="15894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9" width="11.125" style="2" bestFit="1" customWidth="1"/>
    <col min="16140" max="16140" width="9" style="2"/>
    <col min="16141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105</v>
      </c>
    </row>
    <row r="3" spans="1:22">
      <c r="B3" s="95" t="s">
        <v>31</v>
      </c>
      <c r="C3" s="39" t="s">
        <v>2</v>
      </c>
      <c r="D3" s="40" t="s">
        <v>3</v>
      </c>
      <c r="E3" s="40" t="s">
        <v>6</v>
      </c>
      <c r="F3" s="40" t="s">
        <v>7</v>
      </c>
      <c r="G3" s="40" t="s">
        <v>8</v>
      </c>
      <c r="H3" s="40" t="s">
        <v>9</v>
      </c>
      <c r="I3" s="40" t="s">
        <v>10</v>
      </c>
      <c r="J3" s="40" t="s">
        <v>11</v>
      </c>
      <c r="K3" s="40" t="s">
        <v>12</v>
      </c>
      <c r="L3" s="40" t="s">
        <v>13</v>
      </c>
      <c r="M3" s="40" t="s">
        <v>14</v>
      </c>
      <c r="N3" s="40" t="s">
        <v>15</v>
      </c>
      <c r="O3" s="40" t="s">
        <v>16</v>
      </c>
      <c r="P3" s="40" t="s">
        <v>18</v>
      </c>
      <c r="Q3" s="40" t="s">
        <v>19</v>
      </c>
      <c r="R3" s="40" t="s">
        <v>20</v>
      </c>
      <c r="S3" s="40" t="s">
        <v>21</v>
      </c>
      <c r="T3" s="40" t="s">
        <v>22</v>
      </c>
      <c r="U3" s="65" t="s">
        <v>23</v>
      </c>
      <c r="V3" s="24" t="s">
        <v>107</v>
      </c>
    </row>
    <row r="4" spans="1:22" ht="19.5" thickBot="1">
      <c r="B4" s="96"/>
      <c r="C4" s="41" t="s">
        <v>32</v>
      </c>
      <c r="D4" s="42" t="s">
        <v>33</v>
      </c>
      <c r="E4" s="42" t="s">
        <v>35</v>
      </c>
      <c r="F4" s="42" t="s">
        <v>36</v>
      </c>
      <c r="G4" s="42" t="s">
        <v>37</v>
      </c>
      <c r="H4" s="42" t="s">
        <v>38</v>
      </c>
      <c r="I4" s="42" t="s">
        <v>39</v>
      </c>
      <c r="J4" s="42" t="s">
        <v>40</v>
      </c>
      <c r="K4" s="42" t="s">
        <v>41</v>
      </c>
      <c r="L4" s="42" t="s">
        <v>42</v>
      </c>
      <c r="M4" s="42" t="s">
        <v>43</v>
      </c>
      <c r="N4" s="42" t="s">
        <v>44</v>
      </c>
      <c r="O4" s="42" t="s">
        <v>45</v>
      </c>
      <c r="P4" s="42" t="s">
        <v>47</v>
      </c>
      <c r="Q4" s="42" t="s">
        <v>48</v>
      </c>
      <c r="R4" s="42" t="s">
        <v>49</v>
      </c>
      <c r="S4" s="42" t="s">
        <v>50</v>
      </c>
      <c r="T4" s="42" t="s">
        <v>51</v>
      </c>
      <c r="U4" s="66" t="s">
        <v>52</v>
      </c>
      <c r="V4" s="91" t="s">
        <v>108</v>
      </c>
    </row>
    <row r="5" spans="1:22">
      <c r="A5" s="1" t="s">
        <v>1</v>
      </c>
      <c r="B5" s="24" t="s">
        <v>61</v>
      </c>
      <c r="C5" s="43">
        <v>19</v>
      </c>
      <c r="D5" s="44">
        <v>21</v>
      </c>
      <c r="E5" s="44">
        <v>23</v>
      </c>
      <c r="F5" s="44">
        <v>22</v>
      </c>
      <c r="G5" s="44">
        <v>21</v>
      </c>
      <c r="H5" s="44">
        <v>19</v>
      </c>
      <c r="I5" s="44">
        <v>19</v>
      </c>
      <c r="J5" s="44">
        <v>22</v>
      </c>
      <c r="K5" s="44">
        <v>22</v>
      </c>
      <c r="L5" s="44">
        <v>20</v>
      </c>
      <c r="M5" s="44">
        <v>23</v>
      </c>
      <c r="N5" s="44">
        <v>20</v>
      </c>
      <c r="O5" s="44">
        <v>20</v>
      </c>
      <c r="P5" s="44">
        <v>21</v>
      </c>
      <c r="Q5" s="44">
        <v>20</v>
      </c>
      <c r="R5" s="44">
        <v>21</v>
      </c>
      <c r="S5" s="44">
        <v>20</v>
      </c>
      <c r="T5" s="44">
        <v>23</v>
      </c>
      <c r="U5" s="67">
        <v>19</v>
      </c>
      <c r="V5" s="26">
        <f>SUM(C5:U5)</f>
        <v>395</v>
      </c>
    </row>
    <row r="6" spans="1:22">
      <c r="A6" s="1" t="s">
        <v>1</v>
      </c>
      <c r="B6" s="21" t="s">
        <v>62</v>
      </c>
      <c r="C6" s="45">
        <v>3</v>
      </c>
      <c r="D6" s="46">
        <v>2</v>
      </c>
      <c r="E6" s="46">
        <v>2</v>
      </c>
      <c r="F6" s="46">
        <v>2</v>
      </c>
      <c r="G6" s="46">
        <v>2</v>
      </c>
      <c r="H6" s="46">
        <v>1</v>
      </c>
      <c r="I6" s="46">
        <v>2</v>
      </c>
      <c r="J6" s="46">
        <v>3</v>
      </c>
      <c r="K6" s="46">
        <v>3</v>
      </c>
      <c r="L6" s="46">
        <v>2</v>
      </c>
      <c r="M6" s="46">
        <v>0</v>
      </c>
      <c r="N6" s="46">
        <v>4</v>
      </c>
      <c r="O6" s="46">
        <v>1</v>
      </c>
      <c r="P6" s="46">
        <v>3</v>
      </c>
      <c r="Q6" s="46">
        <v>4</v>
      </c>
      <c r="R6" s="46">
        <v>3</v>
      </c>
      <c r="S6" s="46">
        <v>2</v>
      </c>
      <c r="T6" s="46">
        <v>2</v>
      </c>
      <c r="U6" s="68">
        <v>0</v>
      </c>
      <c r="V6" s="28">
        <f>SUM(C6:U6)</f>
        <v>41</v>
      </c>
    </row>
    <row r="7" spans="1:22">
      <c r="A7" s="1" t="s">
        <v>1</v>
      </c>
      <c r="B7" s="21" t="s">
        <v>63</v>
      </c>
      <c r="C7" s="45">
        <v>2</v>
      </c>
      <c r="D7" s="46">
        <v>4</v>
      </c>
      <c r="E7" s="46">
        <v>1</v>
      </c>
      <c r="F7" s="46">
        <v>2</v>
      </c>
      <c r="G7" s="46">
        <v>2</v>
      </c>
      <c r="H7" s="46">
        <v>2</v>
      </c>
      <c r="I7" s="46">
        <v>2</v>
      </c>
      <c r="J7" s="46">
        <v>1</v>
      </c>
      <c r="K7" s="46">
        <v>2</v>
      </c>
      <c r="L7" s="46">
        <v>2</v>
      </c>
      <c r="M7" s="46">
        <v>3</v>
      </c>
      <c r="N7" s="46">
        <v>3</v>
      </c>
      <c r="O7" s="46">
        <v>1</v>
      </c>
      <c r="P7" s="46">
        <v>2</v>
      </c>
      <c r="Q7" s="46">
        <v>1</v>
      </c>
      <c r="R7" s="46">
        <v>2</v>
      </c>
      <c r="S7" s="46">
        <v>2</v>
      </c>
      <c r="T7" s="46">
        <v>2</v>
      </c>
      <c r="U7" s="68">
        <v>0</v>
      </c>
      <c r="V7" s="28">
        <f t="shared" ref="V7:V18" si="0">SUM(C7:U7)</f>
        <v>36</v>
      </c>
    </row>
    <row r="8" spans="1:22">
      <c r="A8" s="1" t="s">
        <v>1</v>
      </c>
      <c r="B8" s="21" t="s">
        <v>64</v>
      </c>
      <c r="C8" s="45">
        <v>0</v>
      </c>
      <c r="D8" s="46">
        <v>0</v>
      </c>
      <c r="E8" s="46">
        <v>0</v>
      </c>
      <c r="F8" s="46">
        <v>0</v>
      </c>
      <c r="G8" s="46">
        <v>1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1</v>
      </c>
      <c r="P8" s="46">
        <v>0</v>
      </c>
      <c r="Q8" s="46">
        <v>3</v>
      </c>
      <c r="R8" s="46">
        <v>1</v>
      </c>
      <c r="S8" s="46">
        <v>1</v>
      </c>
      <c r="T8" s="46">
        <v>0</v>
      </c>
      <c r="U8" s="68">
        <v>0</v>
      </c>
      <c r="V8" s="28">
        <f t="shared" si="0"/>
        <v>7</v>
      </c>
    </row>
    <row r="9" spans="1:22">
      <c r="A9" s="1" t="s">
        <v>1</v>
      </c>
      <c r="B9" s="21" t="s">
        <v>65</v>
      </c>
      <c r="C9" s="45">
        <v>4</v>
      </c>
      <c r="D9" s="46">
        <v>2</v>
      </c>
      <c r="E9" s="46">
        <v>0</v>
      </c>
      <c r="F9" s="46">
        <v>1</v>
      </c>
      <c r="G9" s="46">
        <v>1</v>
      </c>
      <c r="H9" s="46">
        <v>4</v>
      </c>
      <c r="I9" s="46">
        <v>4</v>
      </c>
      <c r="J9" s="46">
        <v>1</v>
      </c>
      <c r="K9" s="46">
        <v>1</v>
      </c>
      <c r="L9" s="46">
        <v>3</v>
      </c>
      <c r="M9" s="46">
        <v>0</v>
      </c>
      <c r="N9" s="46">
        <v>3</v>
      </c>
      <c r="O9" s="46">
        <v>2</v>
      </c>
      <c r="P9" s="46">
        <v>2</v>
      </c>
      <c r="Q9" s="46">
        <v>0</v>
      </c>
      <c r="R9" s="46">
        <v>1</v>
      </c>
      <c r="S9" s="46">
        <v>2</v>
      </c>
      <c r="T9" s="46">
        <v>0</v>
      </c>
      <c r="U9" s="68">
        <v>0</v>
      </c>
      <c r="V9" s="28">
        <f t="shared" si="0"/>
        <v>31</v>
      </c>
    </row>
    <row r="10" spans="1:22">
      <c r="A10" s="1" t="s">
        <v>1</v>
      </c>
      <c r="B10" s="21" t="s">
        <v>66</v>
      </c>
      <c r="C10" s="45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68">
        <v>4</v>
      </c>
      <c r="V10" s="28">
        <f t="shared" si="0"/>
        <v>4</v>
      </c>
    </row>
    <row r="11" spans="1:22">
      <c r="A11" s="1" t="s">
        <v>1</v>
      </c>
      <c r="B11" s="21" t="s">
        <v>67</v>
      </c>
      <c r="C11" s="47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69">
        <v>0</v>
      </c>
      <c r="V11" s="30">
        <f t="shared" si="0"/>
        <v>0</v>
      </c>
    </row>
    <row r="12" spans="1:22">
      <c r="A12" s="1" t="s">
        <v>1</v>
      </c>
      <c r="B12" s="21" t="s">
        <v>68</v>
      </c>
      <c r="C12" s="47">
        <v>1.125</v>
      </c>
      <c r="D12" s="48">
        <v>2.0416666666666665</v>
      </c>
      <c r="E12" s="48">
        <v>1.1666666666666667</v>
      </c>
      <c r="F12" s="48">
        <v>2.7916666666666665</v>
      </c>
      <c r="G12" s="48">
        <v>2.2083333333333335</v>
      </c>
      <c r="H12" s="48">
        <v>2.5833333333333335</v>
      </c>
      <c r="I12" s="48">
        <v>2.0833333333333335</v>
      </c>
      <c r="J12" s="48">
        <v>2.1666666666666665</v>
      </c>
      <c r="K12" s="48">
        <v>1.9166666666666665</v>
      </c>
      <c r="L12" s="48">
        <v>2.5416666666666665</v>
      </c>
      <c r="M12" s="48">
        <v>1.9583333333333335</v>
      </c>
      <c r="N12" s="48">
        <v>1.4166666666666667</v>
      </c>
      <c r="O12" s="48">
        <v>0.66666666666666663</v>
      </c>
      <c r="P12" s="48">
        <v>3.0833333333333335</v>
      </c>
      <c r="Q12" s="48">
        <v>0.875</v>
      </c>
      <c r="R12" s="48">
        <v>1.8333333333333335</v>
      </c>
      <c r="S12" s="48">
        <v>3.0416666666666665</v>
      </c>
      <c r="T12" s="48">
        <v>1.375</v>
      </c>
      <c r="U12" s="69">
        <v>1.4166666666666667</v>
      </c>
      <c r="V12" s="30">
        <f t="shared" si="0"/>
        <v>36.291666666666664</v>
      </c>
    </row>
    <row r="13" spans="1:22">
      <c r="A13" s="1" t="s">
        <v>1</v>
      </c>
      <c r="B13" s="21" t="s">
        <v>69</v>
      </c>
      <c r="C13" s="47">
        <v>0.875</v>
      </c>
      <c r="D13" s="48">
        <v>0.58333333333333337</v>
      </c>
      <c r="E13" s="48">
        <v>1</v>
      </c>
      <c r="F13" s="48">
        <v>0.70833333333333337</v>
      </c>
      <c r="G13" s="48">
        <v>0.20833333333333334</v>
      </c>
      <c r="H13" s="48">
        <v>0.54166666666666663</v>
      </c>
      <c r="I13" s="48">
        <v>0.875</v>
      </c>
      <c r="J13" s="48">
        <v>1</v>
      </c>
      <c r="K13" s="48">
        <v>0.95833333333333337</v>
      </c>
      <c r="L13" s="48">
        <v>0.58333333333333337</v>
      </c>
      <c r="M13" s="48">
        <v>0</v>
      </c>
      <c r="N13" s="48">
        <v>1.5833333333333335</v>
      </c>
      <c r="O13" s="48">
        <v>0</v>
      </c>
      <c r="P13" s="48">
        <v>1.0833333333333333</v>
      </c>
      <c r="Q13" s="48">
        <v>0.375</v>
      </c>
      <c r="R13" s="48">
        <v>0.91666666666666663</v>
      </c>
      <c r="S13" s="48">
        <v>0.41666666666666669</v>
      </c>
      <c r="T13" s="48">
        <v>0.66666666666666663</v>
      </c>
      <c r="U13" s="69">
        <v>0</v>
      </c>
      <c r="V13" s="30">
        <f t="shared" si="0"/>
        <v>12.374999999999998</v>
      </c>
    </row>
    <row r="14" spans="1:22">
      <c r="A14" s="1" t="s">
        <v>1</v>
      </c>
      <c r="B14" s="21" t="s">
        <v>70</v>
      </c>
      <c r="C14" s="47">
        <v>0.58333333333333337</v>
      </c>
      <c r="D14" s="48">
        <v>0.875</v>
      </c>
      <c r="E14" s="48">
        <v>0.25</v>
      </c>
      <c r="F14" s="48">
        <v>0.66666666666666663</v>
      </c>
      <c r="G14" s="48">
        <v>0.66666666666666663</v>
      </c>
      <c r="H14" s="48">
        <v>0.75</v>
      </c>
      <c r="I14" s="48">
        <v>0.75</v>
      </c>
      <c r="J14" s="48">
        <v>0.45833333333333331</v>
      </c>
      <c r="K14" s="48">
        <v>0.79166666666666663</v>
      </c>
      <c r="L14" s="48">
        <v>0.75</v>
      </c>
      <c r="M14" s="48">
        <v>1.1666666666666667</v>
      </c>
      <c r="N14" s="48">
        <v>1.1666666666666667</v>
      </c>
      <c r="O14" s="48">
        <v>0.16666666666666666</v>
      </c>
      <c r="P14" s="48">
        <v>0.70833333333333337</v>
      </c>
      <c r="Q14" s="48">
        <v>0.375</v>
      </c>
      <c r="R14" s="48">
        <v>0.83333333333333337</v>
      </c>
      <c r="S14" s="48">
        <v>0.5</v>
      </c>
      <c r="T14" s="48">
        <v>0.58333333333333337</v>
      </c>
      <c r="U14" s="69">
        <v>0</v>
      </c>
      <c r="V14" s="30">
        <f t="shared" si="0"/>
        <v>12.041666666666668</v>
      </c>
    </row>
    <row r="15" spans="1:22">
      <c r="A15" s="1" t="s">
        <v>1</v>
      </c>
      <c r="B15" s="21" t="s">
        <v>71</v>
      </c>
      <c r="C15" s="47">
        <v>0</v>
      </c>
      <c r="D15" s="48">
        <v>0</v>
      </c>
      <c r="E15" s="48">
        <v>0</v>
      </c>
      <c r="F15" s="48">
        <v>0</v>
      </c>
      <c r="G15" s="48">
        <v>0.375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0.25</v>
      </c>
      <c r="P15" s="48">
        <v>0</v>
      </c>
      <c r="Q15" s="48">
        <v>0.91666666666666663</v>
      </c>
      <c r="R15" s="48">
        <v>0.45833333333333331</v>
      </c>
      <c r="S15" s="48">
        <v>0</v>
      </c>
      <c r="T15" s="48">
        <v>0</v>
      </c>
      <c r="U15" s="69">
        <v>0</v>
      </c>
      <c r="V15" s="30">
        <f t="shared" si="0"/>
        <v>1.9999999999999998</v>
      </c>
    </row>
    <row r="16" spans="1:22">
      <c r="A16" s="1" t="s">
        <v>1</v>
      </c>
      <c r="B16" s="21" t="s">
        <v>72</v>
      </c>
      <c r="C16" s="47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0.20833333333333334</v>
      </c>
      <c r="T16" s="48">
        <v>0</v>
      </c>
      <c r="U16" s="69">
        <v>0</v>
      </c>
      <c r="V16" s="30">
        <f t="shared" si="0"/>
        <v>0.20833333333333334</v>
      </c>
    </row>
    <row r="17" spans="1:23">
      <c r="A17" s="1" t="s">
        <v>1</v>
      </c>
      <c r="B17" s="21" t="s">
        <v>73</v>
      </c>
      <c r="C17" s="47">
        <v>0.33333333333333331</v>
      </c>
      <c r="D17" s="48">
        <v>0.41666666666666669</v>
      </c>
      <c r="E17" s="48">
        <v>0.125</v>
      </c>
      <c r="F17" s="48">
        <v>0.79166666666666663</v>
      </c>
      <c r="G17" s="48">
        <v>1.0416666666666667</v>
      </c>
      <c r="H17" s="48">
        <v>1.0416666666666667</v>
      </c>
      <c r="I17" s="48">
        <v>0.16666666666666666</v>
      </c>
      <c r="J17" s="48">
        <v>0.25</v>
      </c>
      <c r="K17" s="48">
        <v>0.16666666666666666</v>
      </c>
      <c r="L17" s="48">
        <v>0.91666666666666663</v>
      </c>
      <c r="M17" s="48">
        <v>0.45833333333333331</v>
      </c>
      <c r="N17" s="48">
        <v>0.625</v>
      </c>
      <c r="O17" s="48">
        <v>8.3333333333333329E-2</v>
      </c>
      <c r="P17" s="48">
        <v>2.0416666666666665</v>
      </c>
      <c r="Q17" s="48">
        <v>0.45833333333333331</v>
      </c>
      <c r="R17" s="48">
        <v>1.3333333333333333</v>
      </c>
      <c r="S17" s="48">
        <v>1.3333333333333333</v>
      </c>
      <c r="T17" s="48">
        <v>0.16666666666666666</v>
      </c>
      <c r="U17" s="69">
        <v>0.16666666666666666</v>
      </c>
      <c r="V17" s="30">
        <f t="shared" si="0"/>
        <v>11.916666666666666</v>
      </c>
    </row>
    <row r="18" spans="1:23">
      <c r="A18" s="1" t="s">
        <v>1</v>
      </c>
      <c r="B18" s="31" t="s">
        <v>74</v>
      </c>
      <c r="C18" s="49">
        <v>2</v>
      </c>
      <c r="D18" s="50">
        <v>23</v>
      </c>
      <c r="E18" s="50">
        <v>24</v>
      </c>
      <c r="F18" s="50">
        <v>26</v>
      </c>
      <c r="G18" s="50">
        <v>20</v>
      </c>
      <c r="H18" s="50">
        <v>22</v>
      </c>
      <c r="I18" s="50">
        <v>16</v>
      </c>
      <c r="J18" s="50">
        <v>8</v>
      </c>
      <c r="K18" s="50">
        <v>25</v>
      </c>
      <c r="L18" s="50">
        <v>28</v>
      </c>
      <c r="M18" s="50">
        <v>0</v>
      </c>
      <c r="N18" s="50">
        <v>0</v>
      </c>
      <c r="O18" s="50">
        <v>21</v>
      </c>
      <c r="P18" s="50">
        <v>4</v>
      </c>
      <c r="Q18" s="50">
        <v>10</v>
      </c>
      <c r="R18" s="50">
        <v>4</v>
      </c>
      <c r="S18" s="50">
        <v>3</v>
      </c>
      <c r="T18" s="50">
        <v>5</v>
      </c>
      <c r="U18" s="70">
        <v>0</v>
      </c>
      <c r="V18" s="33">
        <f t="shared" si="0"/>
        <v>241</v>
      </c>
    </row>
    <row r="19" spans="1:23">
      <c r="A19" s="1" t="s">
        <v>1</v>
      </c>
      <c r="B19" s="34" t="s">
        <v>75</v>
      </c>
      <c r="C19" s="51">
        <v>177000</v>
      </c>
      <c r="D19" s="52">
        <v>187000</v>
      </c>
      <c r="E19" s="52">
        <v>187000</v>
      </c>
      <c r="F19" s="52">
        <v>192000</v>
      </c>
      <c r="G19" s="52">
        <v>187000</v>
      </c>
      <c r="H19" s="52">
        <v>192000</v>
      </c>
      <c r="I19" s="52">
        <v>177000</v>
      </c>
      <c r="J19" s="52">
        <v>177000</v>
      </c>
      <c r="K19" s="52">
        <v>177000</v>
      </c>
      <c r="L19" s="52">
        <v>187000</v>
      </c>
      <c r="M19" s="52">
        <v>177000</v>
      </c>
      <c r="N19" s="52">
        <v>177000</v>
      </c>
      <c r="O19" s="52">
        <v>170000</v>
      </c>
      <c r="P19" s="52">
        <v>170000</v>
      </c>
      <c r="Q19" s="52">
        <v>175000</v>
      </c>
      <c r="R19" s="52">
        <v>170000</v>
      </c>
      <c r="S19" s="52">
        <v>170000</v>
      </c>
      <c r="T19" s="52">
        <v>170000</v>
      </c>
      <c r="U19" s="71">
        <v>170000</v>
      </c>
      <c r="V19" s="36">
        <f>SUM(C19:U19)</f>
        <v>3389000</v>
      </c>
      <c r="W19" s="37"/>
    </row>
    <row r="20" spans="1:23">
      <c r="A20" s="1" t="s">
        <v>1</v>
      </c>
      <c r="B20" s="21" t="s">
        <v>76</v>
      </c>
      <c r="C20" s="53">
        <v>0</v>
      </c>
      <c r="D20" s="54">
        <v>0</v>
      </c>
      <c r="E20" s="54">
        <v>20000</v>
      </c>
      <c r="F20" s="54">
        <v>5000</v>
      </c>
      <c r="G20" s="54">
        <v>5000</v>
      </c>
      <c r="H20" s="54">
        <v>5000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72">
        <v>0</v>
      </c>
      <c r="V20" s="23">
        <f t="shared" ref="V20:V47" si="1">SUM(C20:U20)</f>
        <v>35000</v>
      </c>
      <c r="W20" s="38"/>
    </row>
    <row r="21" spans="1:23">
      <c r="A21" s="1" t="s">
        <v>1</v>
      </c>
      <c r="B21" s="21" t="s">
        <v>77</v>
      </c>
      <c r="C21" s="53">
        <v>0</v>
      </c>
      <c r="D21" s="54">
        <v>0</v>
      </c>
      <c r="E21" s="54">
        <v>3000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72">
        <v>0</v>
      </c>
      <c r="V21" s="23">
        <f t="shared" si="1"/>
        <v>3000</v>
      </c>
      <c r="W21" s="38"/>
    </row>
    <row r="22" spans="1:23">
      <c r="A22" s="1" t="s">
        <v>1</v>
      </c>
      <c r="B22" s="21" t="s">
        <v>78</v>
      </c>
      <c r="C22" s="53">
        <v>0</v>
      </c>
      <c r="D22" s="54">
        <v>0</v>
      </c>
      <c r="E22" s="54">
        <v>49739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19864</v>
      </c>
      <c r="M22" s="54">
        <v>0</v>
      </c>
      <c r="N22" s="54">
        <v>0</v>
      </c>
      <c r="O22" s="54">
        <v>89696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72">
        <v>0</v>
      </c>
      <c r="V22" s="23">
        <f t="shared" si="1"/>
        <v>159299</v>
      </c>
      <c r="W22" s="38"/>
    </row>
    <row r="23" spans="1:23">
      <c r="A23" s="1" t="s">
        <v>1</v>
      </c>
      <c r="B23" s="21" t="s">
        <v>79</v>
      </c>
      <c r="C23" s="53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72">
        <v>0</v>
      </c>
      <c r="V23" s="23">
        <f t="shared" si="1"/>
        <v>0</v>
      </c>
      <c r="W23" s="38"/>
    </row>
    <row r="24" spans="1:23">
      <c r="A24" s="1" t="s">
        <v>1</v>
      </c>
      <c r="B24" s="21" t="s">
        <v>80</v>
      </c>
      <c r="C24" s="53">
        <v>2000</v>
      </c>
      <c r="D24" s="54">
        <v>2000</v>
      </c>
      <c r="E24" s="54">
        <v>2000</v>
      </c>
      <c r="F24" s="54">
        <v>2000</v>
      </c>
      <c r="G24" s="54">
        <v>0</v>
      </c>
      <c r="H24" s="54">
        <v>2000</v>
      </c>
      <c r="I24" s="54">
        <v>2000</v>
      </c>
      <c r="J24" s="54">
        <v>2000</v>
      </c>
      <c r="K24" s="54">
        <v>2000</v>
      </c>
      <c r="L24" s="54">
        <v>2000</v>
      </c>
      <c r="M24" s="54">
        <v>1000</v>
      </c>
      <c r="N24" s="54">
        <v>1000</v>
      </c>
      <c r="O24" s="54">
        <v>2000</v>
      </c>
      <c r="P24" s="54">
        <v>2000</v>
      </c>
      <c r="Q24" s="54">
        <v>2000</v>
      </c>
      <c r="R24" s="54">
        <v>0</v>
      </c>
      <c r="S24" s="54">
        <v>0</v>
      </c>
      <c r="T24" s="54">
        <v>0</v>
      </c>
      <c r="U24" s="72">
        <v>0</v>
      </c>
      <c r="V24" s="23">
        <f t="shared" si="1"/>
        <v>26000</v>
      </c>
      <c r="W24" s="38"/>
    </row>
    <row r="25" spans="1:23">
      <c r="A25" s="1" t="s">
        <v>1</v>
      </c>
      <c r="B25" s="21" t="s">
        <v>81</v>
      </c>
      <c r="C25" s="53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>
        <v>0</v>
      </c>
      <c r="T25" s="54">
        <v>0</v>
      </c>
      <c r="U25" s="94">
        <v>-32532</v>
      </c>
      <c r="V25" s="93">
        <f>SUM(C25:U25)</f>
        <v>-32532</v>
      </c>
      <c r="W25" s="38"/>
    </row>
    <row r="26" spans="1:23">
      <c r="A26" s="1" t="s">
        <v>1</v>
      </c>
      <c r="B26" s="21" t="s">
        <v>68</v>
      </c>
      <c r="C26" s="53">
        <v>36180</v>
      </c>
      <c r="D26" s="54">
        <v>69335</v>
      </c>
      <c r="E26" s="54">
        <v>44408</v>
      </c>
      <c r="F26" s="54">
        <v>99830</v>
      </c>
      <c r="G26" s="54">
        <v>76214</v>
      </c>
      <c r="H26" s="54">
        <v>92380</v>
      </c>
      <c r="I26" s="54">
        <v>67000</v>
      </c>
      <c r="J26" s="54">
        <v>69680</v>
      </c>
      <c r="K26" s="54">
        <v>61640</v>
      </c>
      <c r="L26" s="54">
        <v>86315</v>
      </c>
      <c r="M26" s="54">
        <v>62651</v>
      </c>
      <c r="N26" s="54">
        <v>45322</v>
      </c>
      <c r="O26" s="54">
        <v>20608</v>
      </c>
      <c r="P26" s="54">
        <v>95312</v>
      </c>
      <c r="Q26" s="54">
        <v>27825</v>
      </c>
      <c r="R26" s="54">
        <v>56012</v>
      </c>
      <c r="S26" s="54">
        <v>92929</v>
      </c>
      <c r="T26" s="54">
        <v>42009</v>
      </c>
      <c r="U26" s="72">
        <v>43282</v>
      </c>
      <c r="V26" s="23">
        <f t="shared" si="1"/>
        <v>1188932</v>
      </c>
      <c r="W26" s="38"/>
    </row>
    <row r="27" spans="1:23">
      <c r="A27" s="1" t="s">
        <v>1</v>
      </c>
      <c r="B27" s="21" t="s">
        <v>82</v>
      </c>
      <c r="C27" s="53">
        <v>30387</v>
      </c>
      <c r="D27" s="54">
        <v>21392</v>
      </c>
      <c r="E27" s="54">
        <v>41112</v>
      </c>
      <c r="F27" s="54">
        <v>27353</v>
      </c>
      <c r="G27" s="54">
        <v>7765</v>
      </c>
      <c r="H27" s="54">
        <v>20917</v>
      </c>
      <c r="I27" s="54">
        <v>30387</v>
      </c>
      <c r="J27" s="54">
        <v>34728</v>
      </c>
      <c r="K27" s="54">
        <v>33281</v>
      </c>
      <c r="L27" s="54">
        <v>21392</v>
      </c>
      <c r="M27" s="54">
        <v>0</v>
      </c>
      <c r="N27" s="54">
        <v>54682</v>
      </c>
      <c r="O27" s="54">
        <v>0</v>
      </c>
      <c r="P27" s="54">
        <v>36166</v>
      </c>
      <c r="Q27" s="54">
        <v>12879</v>
      </c>
      <c r="R27" s="54">
        <v>30228</v>
      </c>
      <c r="S27" s="54">
        <v>13740</v>
      </c>
      <c r="T27" s="54">
        <v>21984</v>
      </c>
      <c r="U27" s="72">
        <v>0</v>
      </c>
      <c r="V27" s="23">
        <f t="shared" si="1"/>
        <v>438393</v>
      </c>
      <c r="W27" s="38"/>
    </row>
    <row r="28" spans="1:23">
      <c r="A28" s="1" t="s">
        <v>1</v>
      </c>
      <c r="B28" s="21" t="s">
        <v>83</v>
      </c>
      <c r="C28" s="53">
        <v>20258</v>
      </c>
      <c r="D28" s="54">
        <v>32088</v>
      </c>
      <c r="E28" s="54">
        <v>10278</v>
      </c>
      <c r="F28" s="54">
        <v>25744</v>
      </c>
      <c r="G28" s="54">
        <v>24848</v>
      </c>
      <c r="H28" s="54">
        <v>28962</v>
      </c>
      <c r="I28" s="54">
        <v>26046</v>
      </c>
      <c r="J28" s="54">
        <v>15917</v>
      </c>
      <c r="K28" s="54">
        <v>27493</v>
      </c>
      <c r="L28" s="54">
        <v>27504</v>
      </c>
      <c r="M28" s="54">
        <v>40292</v>
      </c>
      <c r="N28" s="54">
        <v>40292</v>
      </c>
      <c r="O28" s="54">
        <v>5564</v>
      </c>
      <c r="P28" s="54">
        <v>23647</v>
      </c>
      <c r="Q28" s="54">
        <v>12879</v>
      </c>
      <c r="R28" s="54">
        <v>27480</v>
      </c>
      <c r="S28" s="54">
        <v>16488</v>
      </c>
      <c r="T28" s="54">
        <v>19236</v>
      </c>
      <c r="U28" s="72">
        <v>0</v>
      </c>
      <c r="V28" s="23">
        <f t="shared" si="1"/>
        <v>425016</v>
      </c>
      <c r="W28" s="38"/>
    </row>
    <row r="29" spans="1:23">
      <c r="A29" s="1" t="s">
        <v>1</v>
      </c>
      <c r="B29" s="21" t="s">
        <v>84</v>
      </c>
      <c r="C29" s="53">
        <v>0</v>
      </c>
      <c r="D29" s="54">
        <v>0</v>
      </c>
      <c r="E29" s="54">
        <v>0</v>
      </c>
      <c r="F29" s="54">
        <v>0</v>
      </c>
      <c r="G29" s="54">
        <v>3627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2166</v>
      </c>
      <c r="P29" s="54">
        <v>0</v>
      </c>
      <c r="Q29" s="54">
        <v>8162</v>
      </c>
      <c r="R29" s="54">
        <v>3916</v>
      </c>
      <c r="S29" s="54">
        <v>0</v>
      </c>
      <c r="T29" s="54">
        <v>0</v>
      </c>
      <c r="U29" s="72">
        <v>0</v>
      </c>
      <c r="V29" s="23">
        <f t="shared" si="1"/>
        <v>17871</v>
      </c>
      <c r="W29" s="38"/>
    </row>
    <row r="30" spans="1:23">
      <c r="A30" s="1" t="s">
        <v>1</v>
      </c>
      <c r="B30" s="21" t="s">
        <v>85</v>
      </c>
      <c r="C30" s="53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>
        <v>1780</v>
      </c>
      <c r="T30" s="54">
        <v>0</v>
      </c>
      <c r="U30" s="72">
        <v>0</v>
      </c>
      <c r="V30" s="23">
        <f t="shared" si="1"/>
        <v>1780</v>
      </c>
      <c r="W30" s="38"/>
    </row>
    <row r="31" spans="1:23">
      <c r="A31" s="1" t="s">
        <v>1</v>
      </c>
      <c r="B31" s="4" t="s">
        <v>73</v>
      </c>
      <c r="C31" s="55">
        <v>2144</v>
      </c>
      <c r="D31" s="56">
        <v>2830</v>
      </c>
      <c r="E31" s="56">
        <v>951</v>
      </c>
      <c r="F31" s="56">
        <v>5662</v>
      </c>
      <c r="G31" s="56">
        <v>7200</v>
      </c>
      <c r="H31" s="56">
        <v>7450</v>
      </c>
      <c r="I31" s="56">
        <v>1072</v>
      </c>
      <c r="J31" s="56">
        <v>1608</v>
      </c>
      <c r="K31" s="56">
        <v>1072</v>
      </c>
      <c r="L31" s="56">
        <v>6226</v>
      </c>
      <c r="M31" s="56">
        <v>2937</v>
      </c>
      <c r="N31" s="56">
        <v>4005</v>
      </c>
      <c r="O31" s="56">
        <v>516</v>
      </c>
      <c r="P31" s="56">
        <v>12642</v>
      </c>
      <c r="Q31" s="56">
        <v>2915</v>
      </c>
      <c r="R31" s="56">
        <v>8160</v>
      </c>
      <c r="S31" s="56">
        <v>8160</v>
      </c>
      <c r="T31" s="56">
        <v>1020</v>
      </c>
      <c r="U31" s="73">
        <v>1020</v>
      </c>
      <c r="V31" s="6">
        <f t="shared" si="1"/>
        <v>77590</v>
      </c>
    </row>
    <row r="32" spans="1:23">
      <c r="A32" s="1" t="s">
        <v>1</v>
      </c>
      <c r="B32" s="12" t="s">
        <v>86</v>
      </c>
      <c r="C32" s="57">
        <v>267969</v>
      </c>
      <c r="D32" s="58">
        <v>314645</v>
      </c>
      <c r="E32" s="58">
        <v>358488</v>
      </c>
      <c r="F32" s="58">
        <v>357589</v>
      </c>
      <c r="G32" s="58">
        <v>311654</v>
      </c>
      <c r="H32" s="58">
        <v>348709</v>
      </c>
      <c r="I32" s="58">
        <v>303505</v>
      </c>
      <c r="J32" s="58">
        <v>300933</v>
      </c>
      <c r="K32" s="58">
        <v>302486</v>
      </c>
      <c r="L32" s="58">
        <v>350301</v>
      </c>
      <c r="M32" s="58">
        <v>283880</v>
      </c>
      <c r="N32" s="58">
        <v>322301</v>
      </c>
      <c r="O32" s="58">
        <v>290550</v>
      </c>
      <c r="P32" s="58">
        <v>339767</v>
      </c>
      <c r="Q32" s="58">
        <v>241660</v>
      </c>
      <c r="R32" s="58">
        <v>295796</v>
      </c>
      <c r="S32" s="58">
        <v>303097</v>
      </c>
      <c r="T32" s="58">
        <v>254249</v>
      </c>
      <c r="U32" s="74">
        <v>181770</v>
      </c>
      <c r="V32" s="14">
        <f t="shared" si="1"/>
        <v>5729349</v>
      </c>
    </row>
    <row r="33" spans="1:22">
      <c r="A33" s="1" t="s">
        <v>1</v>
      </c>
      <c r="B33" s="18" t="s">
        <v>87</v>
      </c>
      <c r="C33" s="59">
        <v>12399</v>
      </c>
      <c r="D33" s="60">
        <v>3488</v>
      </c>
      <c r="E33" s="60">
        <v>6045</v>
      </c>
      <c r="F33" s="60">
        <v>3358</v>
      </c>
      <c r="G33" s="60">
        <v>14853</v>
      </c>
      <c r="H33" s="60">
        <v>2274</v>
      </c>
      <c r="I33" s="60">
        <v>2377</v>
      </c>
      <c r="J33" s="60">
        <v>1344</v>
      </c>
      <c r="K33" s="60">
        <v>3488</v>
      </c>
      <c r="L33" s="60">
        <v>4960</v>
      </c>
      <c r="M33" s="60">
        <v>6716</v>
      </c>
      <c r="N33" s="60">
        <v>4883</v>
      </c>
      <c r="O33" s="60">
        <v>6820</v>
      </c>
      <c r="P33" s="60">
        <v>6716</v>
      </c>
      <c r="Q33" s="60">
        <v>10979</v>
      </c>
      <c r="R33" s="60">
        <v>8060</v>
      </c>
      <c r="S33" s="60">
        <v>9300</v>
      </c>
      <c r="T33" s="60">
        <v>9067</v>
      </c>
      <c r="U33" s="75">
        <v>1964</v>
      </c>
      <c r="V33" s="20">
        <f t="shared" si="1"/>
        <v>119091</v>
      </c>
    </row>
    <row r="34" spans="1:22">
      <c r="A34" s="1" t="s">
        <v>1</v>
      </c>
      <c r="B34" s="15" t="s">
        <v>88</v>
      </c>
      <c r="C34" s="61">
        <v>12399</v>
      </c>
      <c r="D34" s="62">
        <v>3488</v>
      </c>
      <c r="E34" s="62">
        <v>6045</v>
      </c>
      <c r="F34" s="62">
        <v>3358</v>
      </c>
      <c r="G34" s="62">
        <v>14853</v>
      </c>
      <c r="H34" s="62">
        <v>2274</v>
      </c>
      <c r="I34" s="62">
        <v>2377</v>
      </c>
      <c r="J34" s="62">
        <v>1344</v>
      </c>
      <c r="K34" s="62">
        <v>3488</v>
      </c>
      <c r="L34" s="62">
        <v>4960</v>
      </c>
      <c r="M34" s="62">
        <v>6716</v>
      </c>
      <c r="N34" s="62">
        <v>4883</v>
      </c>
      <c r="O34" s="62">
        <v>6820</v>
      </c>
      <c r="P34" s="62">
        <v>6716</v>
      </c>
      <c r="Q34" s="62">
        <v>10979</v>
      </c>
      <c r="R34" s="62">
        <v>8060</v>
      </c>
      <c r="S34" s="62">
        <v>9300</v>
      </c>
      <c r="T34" s="62">
        <v>9067</v>
      </c>
      <c r="U34" s="76">
        <v>1964</v>
      </c>
      <c r="V34" s="17">
        <f t="shared" si="1"/>
        <v>119091</v>
      </c>
    </row>
    <row r="35" spans="1:22">
      <c r="A35" s="1" t="s">
        <v>1</v>
      </c>
      <c r="B35" s="12" t="s">
        <v>89</v>
      </c>
      <c r="C35" s="57">
        <v>280368</v>
      </c>
      <c r="D35" s="58">
        <v>318133</v>
      </c>
      <c r="E35" s="58">
        <v>364533</v>
      </c>
      <c r="F35" s="58">
        <v>360947</v>
      </c>
      <c r="G35" s="58">
        <v>326507</v>
      </c>
      <c r="H35" s="58">
        <v>350983</v>
      </c>
      <c r="I35" s="58">
        <v>305882</v>
      </c>
      <c r="J35" s="58">
        <v>302277</v>
      </c>
      <c r="K35" s="58">
        <v>305974</v>
      </c>
      <c r="L35" s="58">
        <v>355261</v>
      </c>
      <c r="M35" s="58">
        <v>290596</v>
      </c>
      <c r="N35" s="58">
        <v>327184</v>
      </c>
      <c r="O35" s="58">
        <v>297370</v>
      </c>
      <c r="P35" s="58">
        <v>346483</v>
      </c>
      <c r="Q35" s="58">
        <v>252639</v>
      </c>
      <c r="R35" s="58">
        <v>303856</v>
      </c>
      <c r="S35" s="58">
        <v>312397</v>
      </c>
      <c r="T35" s="58">
        <v>263316</v>
      </c>
      <c r="U35" s="74">
        <v>183734</v>
      </c>
      <c r="V35" s="14">
        <f t="shared" si="1"/>
        <v>5848440</v>
      </c>
    </row>
    <row r="36" spans="1:22">
      <c r="A36" s="1" t="s">
        <v>1</v>
      </c>
      <c r="B36" s="18" t="s">
        <v>90</v>
      </c>
      <c r="C36" s="59">
        <v>16320</v>
      </c>
      <c r="D36" s="60">
        <v>19380</v>
      </c>
      <c r="E36" s="60">
        <v>19380</v>
      </c>
      <c r="F36" s="60">
        <v>18360</v>
      </c>
      <c r="G36" s="60">
        <v>16320</v>
      </c>
      <c r="H36" s="60">
        <v>19380</v>
      </c>
      <c r="I36" s="60">
        <v>17340</v>
      </c>
      <c r="J36" s="60">
        <v>16320</v>
      </c>
      <c r="K36" s="60">
        <v>16320</v>
      </c>
      <c r="L36" s="60">
        <v>18360</v>
      </c>
      <c r="M36" s="60">
        <v>15300</v>
      </c>
      <c r="N36" s="60">
        <v>17340</v>
      </c>
      <c r="O36" s="60">
        <v>15300</v>
      </c>
      <c r="P36" s="60">
        <v>17340</v>
      </c>
      <c r="Q36" s="60">
        <v>14280</v>
      </c>
      <c r="R36" s="60">
        <v>13260</v>
      </c>
      <c r="S36" s="60">
        <v>13260</v>
      </c>
      <c r="T36" s="60">
        <v>13260</v>
      </c>
      <c r="U36" s="75">
        <v>13260</v>
      </c>
      <c r="V36" s="20">
        <f t="shared" si="1"/>
        <v>310080</v>
      </c>
    </row>
    <row r="37" spans="1:22">
      <c r="A37" s="1" t="s">
        <v>1</v>
      </c>
      <c r="B37" s="21" t="s">
        <v>91</v>
      </c>
      <c r="C37" s="53">
        <v>2880</v>
      </c>
      <c r="D37" s="54">
        <v>3420</v>
      </c>
      <c r="E37" s="54">
        <v>3420</v>
      </c>
      <c r="F37" s="54">
        <v>3240</v>
      </c>
      <c r="G37" s="54">
        <v>2880</v>
      </c>
      <c r="H37" s="54">
        <v>3420</v>
      </c>
      <c r="I37" s="54">
        <v>3060</v>
      </c>
      <c r="J37" s="54">
        <v>2880</v>
      </c>
      <c r="K37" s="54">
        <v>2880</v>
      </c>
      <c r="L37" s="54">
        <v>3240</v>
      </c>
      <c r="M37" s="54">
        <v>2700</v>
      </c>
      <c r="N37" s="54">
        <v>3060</v>
      </c>
      <c r="O37" s="54">
        <v>2700</v>
      </c>
      <c r="P37" s="54">
        <v>3060</v>
      </c>
      <c r="Q37" s="54">
        <v>2520</v>
      </c>
      <c r="R37" s="54">
        <v>2340</v>
      </c>
      <c r="S37" s="54">
        <v>2340</v>
      </c>
      <c r="T37" s="54">
        <v>2340</v>
      </c>
      <c r="U37" s="72">
        <v>2340</v>
      </c>
      <c r="V37" s="23">
        <f t="shared" si="1"/>
        <v>54720</v>
      </c>
    </row>
    <row r="38" spans="1:22">
      <c r="A38" s="1" t="s">
        <v>1</v>
      </c>
      <c r="B38" s="21" t="s">
        <v>92</v>
      </c>
      <c r="C38" s="53">
        <v>29280</v>
      </c>
      <c r="D38" s="54">
        <v>34770</v>
      </c>
      <c r="E38" s="54">
        <v>34770</v>
      </c>
      <c r="F38" s="54">
        <v>32940</v>
      </c>
      <c r="G38" s="54">
        <v>29280</v>
      </c>
      <c r="H38" s="54">
        <v>34770</v>
      </c>
      <c r="I38" s="54">
        <v>31110</v>
      </c>
      <c r="J38" s="54">
        <v>29280</v>
      </c>
      <c r="K38" s="54">
        <v>29280</v>
      </c>
      <c r="L38" s="54">
        <v>32940</v>
      </c>
      <c r="M38" s="54">
        <v>27450</v>
      </c>
      <c r="N38" s="54">
        <v>31110</v>
      </c>
      <c r="O38" s="54">
        <v>27450</v>
      </c>
      <c r="P38" s="54">
        <v>31110</v>
      </c>
      <c r="Q38" s="54">
        <v>25620</v>
      </c>
      <c r="R38" s="54">
        <v>23790</v>
      </c>
      <c r="S38" s="54">
        <v>23790</v>
      </c>
      <c r="T38" s="54">
        <v>23790</v>
      </c>
      <c r="U38" s="72">
        <v>23790</v>
      </c>
      <c r="V38" s="23">
        <f t="shared" si="1"/>
        <v>556320</v>
      </c>
    </row>
    <row r="39" spans="1:22">
      <c r="A39" s="1" t="s">
        <v>1</v>
      </c>
      <c r="B39" s="4" t="s">
        <v>93</v>
      </c>
      <c r="C39" s="55">
        <v>1402</v>
      </c>
      <c r="D39" s="56">
        <v>1591</v>
      </c>
      <c r="E39" s="56">
        <v>1823</v>
      </c>
      <c r="F39" s="56">
        <v>1805</v>
      </c>
      <c r="G39" s="56">
        <v>1633</v>
      </c>
      <c r="H39" s="56">
        <v>1755</v>
      </c>
      <c r="I39" s="56">
        <v>1529</v>
      </c>
      <c r="J39" s="56">
        <v>1511</v>
      </c>
      <c r="K39" s="56">
        <v>1530</v>
      </c>
      <c r="L39" s="56">
        <v>1776</v>
      </c>
      <c r="M39" s="56">
        <v>1453</v>
      </c>
      <c r="N39" s="56">
        <v>1636</v>
      </c>
      <c r="O39" s="56">
        <v>1487</v>
      </c>
      <c r="P39" s="56">
        <v>1732</v>
      </c>
      <c r="Q39" s="56">
        <v>1263</v>
      </c>
      <c r="R39" s="56">
        <v>1519</v>
      </c>
      <c r="S39" s="56">
        <v>1562</v>
      </c>
      <c r="T39" s="56">
        <v>1317</v>
      </c>
      <c r="U39" s="73">
        <v>919</v>
      </c>
      <c r="V39" s="6">
        <f t="shared" si="1"/>
        <v>29243</v>
      </c>
    </row>
    <row r="40" spans="1:22">
      <c r="A40" s="1" t="s">
        <v>1</v>
      </c>
      <c r="B40" s="12" t="s">
        <v>94</v>
      </c>
      <c r="C40" s="57">
        <v>49882</v>
      </c>
      <c r="D40" s="58">
        <v>59161</v>
      </c>
      <c r="E40" s="58">
        <v>59393</v>
      </c>
      <c r="F40" s="58">
        <v>56345</v>
      </c>
      <c r="G40" s="58">
        <v>50113</v>
      </c>
      <c r="H40" s="58">
        <v>59325</v>
      </c>
      <c r="I40" s="58">
        <v>53039</v>
      </c>
      <c r="J40" s="58">
        <v>49991</v>
      </c>
      <c r="K40" s="58">
        <v>50010</v>
      </c>
      <c r="L40" s="58">
        <v>56316</v>
      </c>
      <c r="M40" s="58">
        <v>46903</v>
      </c>
      <c r="N40" s="58">
        <v>53146</v>
      </c>
      <c r="O40" s="58">
        <v>46937</v>
      </c>
      <c r="P40" s="58">
        <v>53242</v>
      </c>
      <c r="Q40" s="58">
        <v>43683</v>
      </c>
      <c r="R40" s="58">
        <v>40909</v>
      </c>
      <c r="S40" s="58">
        <v>40952</v>
      </c>
      <c r="T40" s="58">
        <v>40707</v>
      </c>
      <c r="U40" s="74">
        <v>40309</v>
      </c>
      <c r="V40" s="14">
        <f t="shared" si="1"/>
        <v>950363</v>
      </c>
    </row>
    <row r="41" spans="1:22">
      <c r="A41" s="1" t="s">
        <v>1</v>
      </c>
      <c r="B41" s="18" t="s">
        <v>95</v>
      </c>
      <c r="C41" s="59">
        <v>3790</v>
      </c>
      <c r="D41" s="60">
        <v>6750</v>
      </c>
      <c r="E41" s="60">
        <v>6690</v>
      </c>
      <c r="F41" s="60">
        <v>8480</v>
      </c>
      <c r="G41" s="60">
        <v>5350</v>
      </c>
      <c r="H41" s="60">
        <v>7960</v>
      </c>
      <c r="I41" s="60">
        <v>6570</v>
      </c>
      <c r="J41" s="60">
        <v>4970</v>
      </c>
      <c r="K41" s="60">
        <v>6640</v>
      </c>
      <c r="L41" s="60">
        <v>8120</v>
      </c>
      <c r="M41" s="60">
        <v>6090</v>
      </c>
      <c r="N41" s="60">
        <v>7240</v>
      </c>
      <c r="O41" s="60">
        <v>6320</v>
      </c>
      <c r="P41" s="60">
        <v>3010</v>
      </c>
      <c r="Q41" s="60">
        <v>4690</v>
      </c>
      <c r="R41" s="60">
        <v>6730</v>
      </c>
      <c r="S41" s="60">
        <v>5370</v>
      </c>
      <c r="T41" s="60">
        <v>5250</v>
      </c>
      <c r="U41" s="75">
        <v>2720</v>
      </c>
      <c r="V41" s="20">
        <f t="shared" si="1"/>
        <v>112740</v>
      </c>
    </row>
    <row r="42" spans="1:22">
      <c r="A42" s="1" t="s">
        <v>1</v>
      </c>
      <c r="B42" s="21" t="s">
        <v>96</v>
      </c>
      <c r="C42" s="53">
        <v>1300</v>
      </c>
      <c r="D42" s="54">
        <v>1300</v>
      </c>
      <c r="E42" s="54">
        <v>1300</v>
      </c>
      <c r="F42" s="54">
        <v>0</v>
      </c>
      <c r="G42" s="54">
        <v>1300</v>
      </c>
      <c r="H42" s="54">
        <v>1300</v>
      </c>
      <c r="I42" s="54">
        <v>1300</v>
      </c>
      <c r="J42" s="54">
        <v>1300</v>
      </c>
      <c r="K42" s="54">
        <v>1300</v>
      </c>
      <c r="L42" s="54">
        <v>1300</v>
      </c>
      <c r="M42" s="54">
        <v>0</v>
      </c>
      <c r="N42" s="54">
        <v>0</v>
      </c>
      <c r="O42" s="54">
        <v>1300</v>
      </c>
      <c r="P42" s="54">
        <v>1300</v>
      </c>
      <c r="Q42" s="54">
        <v>1300</v>
      </c>
      <c r="R42" s="54">
        <v>0</v>
      </c>
      <c r="S42" s="54">
        <v>0</v>
      </c>
      <c r="T42" s="54">
        <v>0</v>
      </c>
      <c r="U42" s="72">
        <v>0</v>
      </c>
      <c r="V42" s="23">
        <f t="shared" si="1"/>
        <v>15600</v>
      </c>
    </row>
    <row r="43" spans="1:22">
      <c r="A43" s="1" t="s">
        <v>1</v>
      </c>
      <c r="B43" s="4" t="s">
        <v>97</v>
      </c>
      <c r="C43" s="55">
        <v>9900</v>
      </c>
      <c r="D43" s="56">
        <v>16100</v>
      </c>
      <c r="E43" s="56">
        <v>15700</v>
      </c>
      <c r="F43" s="56">
        <v>18800</v>
      </c>
      <c r="G43" s="56">
        <v>12100</v>
      </c>
      <c r="H43" s="56">
        <v>18500</v>
      </c>
      <c r="I43" s="56">
        <v>14500</v>
      </c>
      <c r="J43" s="56">
        <v>9300</v>
      </c>
      <c r="K43" s="56">
        <v>13400</v>
      </c>
      <c r="L43" s="56">
        <v>13900</v>
      </c>
      <c r="M43" s="56">
        <v>10400</v>
      </c>
      <c r="N43" s="56">
        <v>24600</v>
      </c>
      <c r="O43" s="56">
        <v>12200</v>
      </c>
      <c r="P43" s="56">
        <v>6700</v>
      </c>
      <c r="Q43" s="56">
        <v>0</v>
      </c>
      <c r="R43" s="56">
        <v>0</v>
      </c>
      <c r="S43" s="56">
        <v>0</v>
      </c>
      <c r="T43" s="56">
        <v>0</v>
      </c>
      <c r="U43" s="73">
        <v>0</v>
      </c>
      <c r="V43" s="6">
        <f t="shared" si="1"/>
        <v>196100</v>
      </c>
    </row>
    <row r="44" spans="1:22">
      <c r="A44" s="1" t="s">
        <v>1</v>
      </c>
      <c r="B44" s="12" t="s">
        <v>98</v>
      </c>
      <c r="C44" s="57">
        <v>64872</v>
      </c>
      <c r="D44" s="58">
        <v>83311</v>
      </c>
      <c r="E44" s="58">
        <v>83083</v>
      </c>
      <c r="F44" s="58">
        <v>83625</v>
      </c>
      <c r="G44" s="58">
        <v>68863</v>
      </c>
      <c r="H44" s="58">
        <v>87085</v>
      </c>
      <c r="I44" s="58">
        <v>75409</v>
      </c>
      <c r="J44" s="58">
        <v>65561</v>
      </c>
      <c r="K44" s="58">
        <v>71350</v>
      </c>
      <c r="L44" s="58">
        <v>79636</v>
      </c>
      <c r="M44" s="58">
        <v>63393</v>
      </c>
      <c r="N44" s="58">
        <v>84986</v>
      </c>
      <c r="O44" s="58">
        <v>66757</v>
      </c>
      <c r="P44" s="58">
        <v>64252</v>
      </c>
      <c r="Q44" s="58">
        <v>49673</v>
      </c>
      <c r="R44" s="58">
        <v>47639</v>
      </c>
      <c r="S44" s="58">
        <v>46322</v>
      </c>
      <c r="T44" s="58">
        <v>45957</v>
      </c>
      <c r="U44" s="74">
        <v>43029</v>
      </c>
      <c r="V44" s="14">
        <f t="shared" si="1"/>
        <v>1274803</v>
      </c>
    </row>
    <row r="45" spans="1:22">
      <c r="A45" s="1" t="s">
        <v>1</v>
      </c>
      <c r="B45" s="4" t="s">
        <v>99</v>
      </c>
      <c r="C45" s="55">
        <v>218087</v>
      </c>
      <c r="D45" s="56">
        <v>255484</v>
      </c>
      <c r="E45" s="56">
        <v>299095</v>
      </c>
      <c r="F45" s="56">
        <v>301244</v>
      </c>
      <c r="G45" s="56">
        <v>261541</v>
      </c>
      <c r="H45" s="56">
        <v>289384</v>
      </c>
      <c r="I45" s="56">
        <v>250466</v>
      </c>
      <c r="J45" s="56">
        <v>250942</v>
      </c>
      <c r="K45" s="56">
        <v>252476</v>
      </c>
      <c r="L45" s="56">
        <v>293985</v>
      </c>
      <c r="M45" s="56">
        <v>236977</v>
      </c>
      <c r="N45" s="56">
        <v>269155</v>
      </c>
      <c r="O45" s="56">
        <v>243613</v>
      </c>
      <c r="P45" s="56">
        <v>286525</v>
      </c>
      <c r="Q45" s="56">
        <v>197977</v>
      </c>
      <c r="R45" s="56">
        <v>254887</v>
      </c>
      <c r="S45" s="56">
        <v>262145</v>
      </c>
      <c r="T45" s="56">
        <v>213542</v>
      </c>
      <c r="U45" s="73">
        <v>141461</v>
      </c>
      <c r="V45" s="6">
        <f t="shared" si="1"/>
        <v>4778986</v>
      </c>
    </row>
    <row r="46" spans="1:22">
      <c r="A46" s="1" t="s">
        <v>1</v>
      </c>
      <c r="B46" s="12" t="s">
        <v>100</v>
      </c>
      <c r="C46" s="57">
        <v>215496</v>
      </c>
      <c r="D46" s="58">
        <v>234822</v>
      </c>
      <c r="E46" s="58">
        <v>281450</v>
      </c>
      <c r="F46" s="58">
        <v>277322</v>
      </c>
      <c r="G46" s="58">
        <v>257644</v>
      </c>
      <c r="H46" s="58">
        <v>263898</v>
      </c>
      <c r="I46" s="58">
        <v>230473</v>
      </c>
      <c r="J46" s="58">
        <v>236716</v>
      </c>
      <c r="K46" s="58">
        <v>234624</v>
      </c>
      <c r="L46" s="58">
        <v>275625</v>
      </c>
      <c r="M46" s="58">
        <v>227203</v>
      </c>
      <c r="N46" s="58">
        <v>242198</v>
      </c>
      <c r="O46" s="58">
        <v>230613</v>
      </c>
      <c r="P46" s="58">
        <v>282231</v>
      </c>
      <c r="Q46" s="58">
        <v>202966</v>
      </c>
      <c r="R46" s="58">
        <v>256217</v>
      </c>
      <c r="S46" s="58">
        <v>266075</v>
      </c>
      <c r="T46" s="58">
        <v>217359</v>
      </c>
      <c r="U46" s="74">
        <v>140705</v>
      </c>
      <c r="V46" s="14">
        <f t="shared" si="1"/>
        <v>4573637</v>
      </c>
    </row>
    <row r="47" spans="1:22">
      <c r="A47" s="1" t="s">
        <v>1</v>
      </c>
      <c r="B47" s="12" t="s">
        <v>101</v>
      </c>
      <c r="C47" s="57">
        <v>215496</v>
      </c>
      <c r="D47" s="58">
        <v>234822</v>
      </c>
      <c r="E47" s="58">
        <v>281450</v>
      </c>
      <c r="F47" s="58">
        <v>277322</v>
      </c>
      <c r="G47" s="58">
        <v>257644</v>
      </c>
      <c r="H47" s="58">
        <v>263898</v>
      </c>
      <c r="I47" s="58">
        <v>230473</v>
      </c>
      <c r="J47" s="58">
        <v>236716</v>
      </c>
      <c r="K47" s="58">
        <v>234624</v>
      </c>
      <c r="L47" s="58">
        <v>275625</v>
      </c>
      <c r="M47" s="58">
        <v>227203</v>
      </c>
      <c r="N47" s="58">
        <v>242198</v>
      </c>
      <c r="O47" s="58">
        <v>230613</v>
      </c>
      <c r="P47" s="58">
        <v>282231</v>
      </c>
      <c r="Q47" s="58">
        <v>202966</v>
      </c>
      <c r="R47" s="58">
        <v>256217</v>
      </c>
      <c r="S47" s="58">
        <v>266075</v>
      </c>
      <c r="T47" s="58">
        <v>217359</v>
      </c>
      <c r="U47" s="74">
        <v>140705</v>
      </c>
      <c r="V47" s="14">
        <f t="shared" si="1"/>
        <v>4573637</v>
      </c>
    </row>
    <row r="48" spans="1:22">
      <c r="A48" s="1" t="s">
        <v>1</v>
      </c>
      <c r="B48" s="4" t="s">
        <v>102</v>
      </c>
      <c r="C48" s="55">
        <v>1</v>
      </c>
      <c r="D48" s="56">
        <v>0</v>
      </c>
      <c r="E48" s="56">
        <v>1</v>
      </c>
      <c r="F48" s="56">
        <v>0</v>
      </c>
      <c r="G48" s="56">
        <v>1</v>
      </c>
      <c r="H48" s="56">
        <v>0</v>
      </c>
      <c r="I48" s="56">
        <v>0</v>
      </c>
      <c r="J48" s="56">
        <v>1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3</v>
      </c>
      <c r="Q48" s="56">
        <v>0</v>
      </c>
      <c r="R48" s="56">
        <v>0</v>
      </c>
      <c r="S48" s="56">
        <v>1</v>
      </c>
      <c r="T48" s="56">
        <v>0</v>
      </c>
      <c r="U48" s="73">
        <v>0</v>
      </c>
      <c r="V48" s="6"/>
    </row>
    <row r="49" spans="1:22" ht="19.5" thickBot="1">
      <c r="A49" s="1" t="s">
        <v>1</v>
      </c>
      <c r="B49" s="7" t="s">
        <v>103</v>
      </c>
      <c r="C49" s="63" t="s">
        <v>104</v>
      </c>
      <c r="D49" s="64" t="s">
        <v>104</v>
      </c>
      <c r="E49" s="64" t="s">
        <v>104</v>
      </c>
      <c r="F49" s="64" t="s">
        <v>104</v>
      </c>
      <c r="G49" s="64" t="s">
        <v>104</v>
      </c>
      <c r="H49" s="64" t="s">
        <v>104</v>
      </c>
      <c r="I49" s="64" t="s">
        <v>104</v>
      </c>
      <c r="J49" s="64" t="s">
        <v>104</v>
      </c>
      <c r="K49" s="64" t="s">
        <v>104</v>
      </c>
      <c r="L49" s="64" t="s">
        <v>104</v>
      </c>
      <c r="M49" s="64" t="s">
        <v>104</v>
      </c>
      <c r="N49" s="64" t="s">
        <v>104</v>
      </c>
      <c r="O49" s="64" t="s">
        <v>104</v>
      </c>
      <c r="P49" s="64" t="s">
        <v>104</v>
      </c>
      <c r="Q49" s="64" t="s">
        <v>104</v>
      </c>
      <c r="R49" s="64" t="s">
        <v>104</v>
      </c>
      <c r="S49" s="64" t="s">
        <v>104</v>
      </c>
      <c r="T49" s="64" t="s">
        <v>104</v>
      </c>
      <c r="U49" s="77" t="s">
        <v>104</v>
      </c>
      <c r="V49" s="9"/>
    </row>
  </sheetData>
  <mergeCells count="1">
    <mergeCell ref="B3:B4"/>
  </mergeCells>
  <phoneticPr fontId="3"/>
  <pageMargins left="0.31496062992125984" right="0.31496062992125984" top="0.35433070866141736" bottom="0.35433070866141736" header="0.11811023622047245" footer="0.11811023622047245"/>
  <pageSetup paperSize="12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2023年 3月度給与 (3)</vt:lpstr>
      <vt:lpstr>2023年 3月度給与 (4)</vt:lpstr>
      <vt:lpstr>'2023年 3月度給与 (3)'!Print_Area</vt:lpstr>
      <vt:lpstr>'2023年 3月度給与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2023-04-13T04:46:20Z</cp:lastPrinted>
  <dcterms:created xsi:type="dcterms:W3CDTF">2023-04-13T04:19:57Z</dcterms:created>
  <dcterms:modified xsi:type="dcterms:W3CDTF">2024-09-26T07:06:16Z</dcterms:modified>
</cp:coreProperties>
</file>