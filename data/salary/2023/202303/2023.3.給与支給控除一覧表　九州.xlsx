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3\"/>
    </mc:Choice>
  </mc:AlternateContent>
  <xr:revisionPtr revIDLastSave="0" documentId="13_ncr:1_{27DA7E3C-6E2B-40DD-BBD2-AFB64CC31F5D}" xr6:coauthVersionLast="47" xr6:coauthVersionMax="47" xr10:uidLastSave="{00000000-0000-0000-0000-000000000000}"/>
  <bookViews>
    <workbookView xWindow="-120" yWindow="-120" windowWidth="20730" windowHeight="11160" xr2:uid="{BCA6F68A-C425-4C95-88D4-1EEE087DF97D}"/>
  </bookViews>
  <sheets>
    <sheet name="2023年 3月度給与 (2)" sheetId="3" r:id="rId1"/>
  </sheets>
  <definedNames>
    <definedName name="_xlnm.Print_Area" localSheetId="0">'2023年 3月度給与 (2)'!$A$1:$M$43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1" i="3" l="1"/>
  <c r="M3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17" i="3"/>
  <c r="L7" i="3"/>
  <c r="L8" i="3"/>
  <c r="L9" i="3"/>
  <c r="L10" i="3"/>
  <c r="L11" i="3"/>
  <c r="L12" i="3"/>
  <c r="L13" i="3"/>
  <c r="L14" i="3"/>
  <c r="L15" i="3"/>
  <c r="L16" i="3"/>
  <c r="L6" i="3"/>
  <c r="L5" i="3"/>
  <c r="E18" i="3"/>
  <c r="M18" i="3" s="1"/>
  <c r="E19" i="3"/>
  <c r="M19" i="3" s="1"/>
  <c r="E20" i="3"/>
  <c r="E21" i="3"/>
  <c r="E22" i="3"/>
  <c r="M22" i="3" s="1"/>
  <c r="E23" i="3"/>
  <c r="M23" i="3" s="1"/>
  <c r="E24" i="3"/>
  <c r="E25" i="3"/>
  <c r="M25" i="3" s="1"/>
  <c r="E26" i="3"/>
  <c r="M26" i="3" s="1"/>
  <c r="E27" i="3"/>
  <c r="M27" i="3" s="1"/>
  <c r="E28" i="3"/>
  <c r="E29" i="3"/>
  <c r="M29" i="3" s="1"/>
  <c r="E30" i="3"/>
  <c r="M30" i="3" s="1"/>
  <c r="E31" i="3"/>
  <c r="M31" i="3" s="1"/>
  <c r="E32" i="3"/>
  <c r="E33" i="3"/>
  <c r="M33" i="3" s="1"/>
  <c r="E34" i="3"/>
  <c r="M34" i="3" s="1"/>
  <c r="E35" i="3"/>
  <c r="M35" i="3" s="1"/>
  <c r="E36" i="3"/>
  <c r="E37" i="3"/>
  <c r="E38" i="3"/>
  <c r="M38" i="3" s="1"/>
  <c r="E39" i="3"/>
  <c r="M39" i="3" s="1"/>
  <c r="E40" i="3"/>
  <c r="E41" i="3"/>
  <c r="M41" i="3" s="1"/>
  <c r="E17" i="3"/>
  <c r="M17" i="3" s="1"/>
  <c r="E7" i="3"/>
  <c r="M7" i="3" s="1"/>
  <c r="E8" i="3"/>
  <c r="E9" i="3"/>
  <c r="M9" i="3" s="1"/>
  <c r="E10" i="3"/>
  <c r="M10" i="3" s="1"/>
  <c r="E11" i="3"/>
  <c r="M11" i="3" s="1"/>
  <c r="E12" i="3"/>
  <c r="E13" i="3"/>
  <c r="M13" i="3" s="1"/>
  <c r="E14" i="3"/>
  <c r="M14" i="3" s="1"/>
  <c r="E15" i="3"/>
  <c r="M15" i="3" s="1"/>
  <c r="E16" i="3"/>
  <c r="E6" i="3"/>
  <c r="M6" i="3" s="1"/>
  <c r="E5" i="3"/>
  <c r="M5" i="3" s="1"/>
  <c r="M16" i="3" l="1"/>
  <c r="M12" i="3"/>
  <c r="M8" i="3"/>
  <c r="M40" i="3"/>
  <c r="M36" i="3"/>
  <c r="M32" i="3"/>
  <c r="M28" i="3"/>
  <c r="M24" i="3"/>
  <c r="M20" i="3"/>
</calcChain>
</file>

<file path=xl/sharedStrings.xml><?xml version="1.0" encoding="utf-8"?>
<sst xmlns="http://schemas.openxmlformats.org/spreadsheetml/2006/main" count="111" uniqueCount="63">
  <si>
    <t>支給控除一覧表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</si>
  <si>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</si>
  <si>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</si>
  <si>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</si>
  <si>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</si>
  <si>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</si>
  <si>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1071</t>
    <phoneticPr fontId="4"/>
  </si>
  <si>
    <t>1097</t>
    <phoneticPr fontId="4"/>
  </si>
  <si>
    <t>1108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</si>
  <si>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</si>
  <si>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</si>
  <si>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</si>
  <si>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</si>
  <si>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</si>
  <si>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</si>
  <si>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大賀　勇也</t>
    <phoneticPr fontId="4"/>
  </si>
  <si>
    <t>新田　竜二</t>
    <phoneticPr fontId="4"/>
  </si>
  <si>
    <t>島田　亮一</t>
    <phoneticPr fontId="4"/>
  </si>
  <si>
    <t>木下　知美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</si>
  <si>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</si>
  <si>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</si>
  <si>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</si>
  <si>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</si>
  <si>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</si>
  <si>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</si>
  <si>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</si>
  <si>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</si>
  <si>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</si>
  <si>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</si>
  <si>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深夜残業</t>
    <phoneticPr fontId="4"/>
  </si>
  <si>
    <t>有休残日数</t>
    <phoneticPr fontId="4"/>
  </si>
  <si>
    <t>基本給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</si>
  <si>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</si>
  <si>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</si>
  <si>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</si>
  <si>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</si>
  <si>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法定休日残業</t>
    <phoneticPr fontId="4"/>
  </si>
  <si>
    <t>法定外休日残</t>
    <phoneticPr fontId="4"/>
  </si>
  <si>
    <t>法定代休残業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</si>
  <si>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</si>
  <si>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</si>
  <si>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</si>
  <si>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</si>
  <si>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</si>
  <si>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</si>
  <si>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</si>
  <si>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</si>
  <si>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</si>
  <si>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</si>
  <si>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</si>
  <si>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</si>
  <si>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</si>
  <si>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</si>
  <si>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</si>
  <si>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</si>
  <si>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</si>
  <si>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</si>
  <si>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3月度給与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</si>
  <si>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</si>
  <si>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</si>
  <si>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6名</t>
    <rPh sb="1" eb="2">
      <t>メイ</t>
    </rPh>
    <phoneticPr fontId="3"/>
  </si>
  <si>
    <t>合計</t>
    <rPh sb="0" eb="2">
      <t>ゴウケイ</t>
    </rPh>
    <phoneticPr fontId="3"/>
  </si>
  <si>
    <t>8名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</si>
</sst>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3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2" xfId="1" applyNumberFormat="1" applyFont="1" applyBorder="1"/>
    <xf numFmtId="49" fontId="2" fillId="0" borderId="7" xfId="1" applyNumberFormat="1" applyFont="1" applyBorder="1" applyAlignment="1">
      <alignment horizontal="left"/>
    </xf>
    <xf numFmtId="2" fontId="2" fillId="0" borderId="8" xfId="1" applyNumberFormat="1" applyFont="1" applyBorder="1"/>
    <xf numFmtId="2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9" xfId="1" applyNumberFormat="1" applyFont="1" applyBorder="1"/>
    <xf numFmtId="49" fontId="2" fillId="0" borderId="11" xfId="1" applyNumberFormat="1" applyFont="1" applyBorder="1" applyAlignment="1">
      <alignment horizontal="left"/>
    </xf>
    <xf numFmtId="3" fontId="2" fillId="0" borderId="12" xfId="1" applyNumberFormat="1" applyFont="1" applyBorder="1"/>
    <xf numFmtId="3" fontId="2" fillId="0" borderId="11" xfId="1" applyNumberFormat="1" applyFont="1" applyBorder="1"/>
    <xf numFmtId="49" fontId="2" fillId="0" borderId="13" xfId="1" applyNumberFormat="1" applyFont="1" applyBorder="1" applyAlignment="1">
      <alignment horizontal="left"/>
    </xf>
    <xf numFmtId="3" fontId="2" fillId="0" borderId="14" xfId="1" applyNumberFormat="1" applyFont="1" applyBorder="1"/>
    <xf numFmtId="3" fontId="2" fillId="0" borderId="13" xfId="1" applyNumberFormat="1" applyFont="1" applyBorder="1"/>
    <xf numFmtId="49" fontId="2" fillId="0" borderId="15" xfId="1" applyNumberFormat="1" applyFont="1" applyBorder="1" applyAlignment="1">
      <alignment horizontal="left"/>
    </xf>
    <xf numFmtId="3" fontId="2" fillId="0" borderId="16" xfId="1" applyNumberFormat="1" applyFont="1" applyBorder="1"/>
    <xf numFmtId="3" fontId="2" fillId="0" borderId="15" xfId="1" applyNumberFormat="1" applyFont="1" applyBorder="1"/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5" xfId="1" applyNumberFormat="1" applyFont="1" applyBorder="1"/>
    <xf numFmtId="2" fontId="2" fillId="0" borderId="16" xfId="1" applyNumberFormat="1" applyFont="1" applyBorder="1"/>
    <xf numFmtId="2" fontId="2" fillId="0" borderId="15" xfId="1" applyNumberFormat="1" applyFont="1" applyBorder="1"/>
    <xf numFmtId="176" fontId="2" fillId="0" borderId="16" xfId="1" applyNumberFormat="1" applyFont="1" applyBorder="1"/>
    <xf numFmtId="176" fontId="2" fillId="0" borderId="15" xfId="1" applyNumberFormat="1" applyFont="1" applyBorder="1"/>
    <xf numFmtId="49" fontId="2" fillId="0" borderId="17" xfId="1" applyNumberFormat="1" applyFont="1" applyBorder="1" applyAlignment="1">
      <alignment horizontal="center"/>
    </xf>
    <xf numFmtId="49" fontId="2" fillId="0" borderId="18" xfId="1" applyNumberFormat="1" applyFont="1" applyBorder="1" applyAlignment="1">
      <alignment horizontal="center"/>
    </xf>
    <xf numFmtId="49" fontId="2" fillId="0" borderId="19" xfId="1" applyNumberFormat="1" applyFont="1" applyBorder="1" applyAlignment="1">
      <alignment horizontal="center"/>
    </xf>
    <xf numFmtId="49" fontId="2" fillId="0" borderId="20" xfId="1" applyNumberFormat="1" applyFont="1" applyBorder="1" applyAlignment="1">
      <alignment horizontal="center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2" fontId="2" fillId="0" borderId="23" xfId="1" applyNumberFormat="1" applyFont="1" applyBorder="1"/>
    <xf numFmtId="2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0" fontId="2" fillId="0" borderId="2" xfId="1" applyFont="1" applyBorder="1" applyAlignment="1">
      <alignment horizontal="right"/>
    </xf>
    <xf numFmtId="49" fontId="2" fillId="0" borderId="6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right"/>
    </xf>
    <xf numFmtId="49" fontId="2" fillId="0" borderId="33" xfId="1" applyNumberFormat="1" applyFont="1" applyBorder="1" applyAlignment="1">
      <alignment horizontal="center"/>
    </xf>
    <xf numFmtId="49" fontId="2" fillId="0" borderId="34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6" xfId="1" applyNumberFormat="1" applyFont="1" applyBorder="1"/>
    <xf numFmtId="3" fontId="2" fillId="0" borderId="37" xfId="1" applyNumberFormat="1" applyFont="1" applyBorder="1"/>
    <xf numFmtId="3" fontId="2" fillId="0" borderId="35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49" fontId="2" fillId="0" borderId="34" xfId="1" applyNumberFormat="1" applyFont="1" applyBorder="1"/>
    <xf numFmtId="0" fontId="2" fillId="0" borderId="4" xfId="1" applyFont="1" applyBorder="1"/>
    <xf numFmtId="0" fontId="2" fillId="0" borderId="4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</cellXfs>
  <cellStyles count="2">
    <cellStyle name="標準" xfId="0" builtinId="0"/>
    <cellStyle name="標準 2" xfId="1" xr:uid="{5A5A39BF-C0CB-485C-86E9-BCC24F8A36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A447-6B88-42D4-882E-8F55E6ADCE91}">
  <sheetPr>
    <pageSetUpPr fitToPage="1"/>
  </sheetPr>
  <dimension ref="A1:M43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6" width="11.125" style="2" customWidth="1"/>
    <col min="7" max="7" width="11.125" style="2" bestFit="1" customWidth="1"/>
    <col min="8" max="8" width="9" style="2" bestFit="1" customWidth="1"/>
    <col min="9" max="11" width="11.125" style="2" bestFit="1" customWidth="1"/>
    <col min="12" max="12" width="11.125" style="2" customWidth="1"/>
    <col min="13" max="13" width="9.625" style="2" bestFit="1" customWidth="1"/>
    <col min="14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57</v>
      </c>
    </row>
    <row r="3" spans="1:13">
      <c r="B3" s="72" t="s">
        <v>10</v>
      </c>
      <c r="C3" s="33" t="s">
        <v>3</v>
      </c>
      <c r="D3" s="57" t="s">
        <v>9</v>
      </c>
      <c r="E3" s="25" t="s">
        <v>58</v>
      </c>
      <c r="F3" s="32" t="s">
        <v>2</v>
      </c>
      <c r="G3" s="33" t="s">
        <v>4</v>
      </c>
      <c r="H3" s="33" t="s">
        <v>5</v>
      </c>
      <c r="I3" s="33" t="s">
        <v>6</v>
      </c>
      <c r="J3" s="33" t="s">
        <v>7</v>
      </c>
      <c r="K3" s="59" t="s">
        <v>8</v>
      </c>
      <c r="L3" s="25" t="s">
        <v>58</v>
      </c>
      <c r="M3" s="71" t="s">
        <v>61</v>
      </c>
    </row>
    <row r="4" spans="1:13" ht="19.5" thickBot="1">
      <c r="B4" s="73"/>
      <c r="C4" s="35" t="s">
        <v>12</v>
      </c>
      <c r="D4" s="3" t="s">
        <v>18</v>
      </c>
      <c r="E4" s="58" t="s">
        <v>59</v>
      </c>
      <c r="F4" s="34" t="s">
        <v>11</v>
      </c>
      <c r="G4" s="35" t="s">
        <v>13</v>
      </c>
      <c r="H4" s="35" t="s">
        <v>14</v>
      </c>
      <c r="I4" s="35" t="s">
        <v>15</v>
      </c>
      <c r="J4" s="35" t="s">
        <v>16</v>
      </c>
      <c r="K4" s="60" t="s">
        <v>17</v>
      </c>
      <c r="L4" s="58" t="s">
        <v>60</v>
      </c>
      <c r="M4" s="56" t="s">
        <v>62</v>
      </c>
    </row>
    <row r="5" spans="1:13">
      <c r="A5" s="1" t="s">
        <v>1</v>
      </c>
      <c r="B5" s="25" t="s">
        <v>19</v>
      </c>
      <c r="C5" s="37">
        <v>23</v>
      </c>
      <c r="D5" s="26">
        <v>18</v>
      </c>
      <c r="E5" s="27">
        <f>SUM(C5:D5)</f>
        <v>41</v>
      </c>
      <c r="F5" s="36">
        <v>21</v>
      </c>
      <c r="G5" s="37">
        <v>21</v>
      </c>
      <c r="H5" s="37">
        <v>23</v>
      </c>
      <c r="I5" s="37">
        <v>23</v>
      </c>
      <c r="J5" s="37">
        <v>23</v>
      </c>
      <c r="K5" s="61">
        <v>22</v>
      </c>
      <c r="L5" s="27">
        <f>SUM(F5:K5)</f>
        <v>133</v>
      </c>
      <c r="M5" s="27">
        <f>E5+L5</f>
        <v>174</v>
      </c>
    </row>
    <row r="6" spans="1:13">
      <c r="A6" s="1" t="s">
        <v>1</v>
      </c>
      <c r="B6" s="22" t="s">
        <v>20</v>
      </c>
      <c r="C6" s="39">
        <v>0</v>
      </c>
      <c r="D6" s="28">
        <v>0</v>
      </c>
      <c r="E6" s="29">
        <f>SUM(C6:D6)</f>
        <v>0</v>
      </c>
      <c r="F6" s="38">
        <v>3</v>
      </c>
      <c r="G6" s="39">
        <v>2</v>
      </c>
      <c r="H6" s="39">
        <v>1</v>
      </c>
      <c r="I6" s="39">
        <v>2</v>
      </c>
      <c r="J6" s="39">
        <v>1</v>
      </c>
      <c r="K6" s="62">
        <v>3</v>
      </c>
      <c r="L6" s="29">
        <f>SUM(F6:K6)</f>
        <v>12</v>
      </c>
      <c r="M6" s="29">
        <f t="shared" ref="M6:M41" si="0">E6+L6</f>
        <v>12</v>
      </c>
    </row>
    <row r="7" spans="1:13">
      <c r="A7" s="1" t="s">
        <v>1</v>
      </c>
      <c r="B7" s="22" t="s">
        <v>21</v>
      </c>
      <c r="C7" s="39">
        <v>0</v>
      </c>
      <c r="D7" s="28">
        <v>0</v>
      </c>
      <c r="E7" s="29">
        <f t="shared" ref="E7:E16" si="1">SUM(C7:D7)</f>
        <v>0</v>
      </c>
      <c r="F7" s="38">
        <v>0</v>
      </c>
      <c r="G7" s="39">
        <v>1</v>
      </c>
      <c r="H7" s="39">
        <v>0</v>
      </c>
      <c r="I7" s="39">
        <v>0</v>
      </c>
      <c r="J7" s="39">
        <v>0</v>
      </c>
      <c r="K7" s="62">
        <v>0</v>
      </c>
      <c r="L7" s="29">
        <f t="shared" ref="L7:L16" si="2">SUM(F7:K7)</f>
        <v>1</v>
      </c>
      <c r="M7" s="29">
        <f t="shared" si="0"/>
        <v>1</v>
      </c>
    </row>
    <row r="8" spans="1:13">
      <c r="A8" s="1" t="s">
        <v>1</v>
      </c>
      <c r="B8" s="22" t="s">
        <v>22</v>
      </c>
      <c r="C8" s="39">
        <v>0</v>
      </c>
      <c r="D8" s="28">
        <v>0</v>
      </c>
      <c r="E8" s="29">
        <f t="shared" si="1"/>
        <v>0</v>
      </c>
      <c r="F8" s="38">
        <v>1</v>
      </c>
      <c r="G8" s="39">
        <v>0</v>
      </c>
      <c r="H8" s="39">
        <v>0</v>
      </c>
      <c r="I8" s="39">
        <v>0</v>
      </c>
      <c r="J8" s="39">
        <v>0</v>
      </c>
      <c r="K8" s="62">
        <v>1</v>
      </c>
      <c r="L8" s="29">
        <f t="shared" si="2"/>
        <v>2</v>
      </c>
      <c r="M8" s="29">
        <f t="shared" si="0"/>
        <v>2</v>
      </c>
    </row>
    <row r="9" spans="1:13">
      <c r="A9" s="1" t="s">
        <v>1</v>
      </c>
      <c r="B9" s="22" t="s">
        <v>23</v>
      </c>
      <c r="C9" s="39">
        <v>0</v>
      </c>
      <c r="D9" s="28">
        <v>0</v>
      </c>
      <c r="E9" s="29">
        <f t="shared" si="1"/>
        <v>0</v>
      </c>
      <c r="F9" s="38">
        <v>1</v>
      </c>
      <c r="G9" s="39">
        <v>2</v>
      </c>
      <c r="H9" s="39">
        <v>0</v>
      </c>
      <c r="I9" s="39">
        <v>0</v>
      </c>
      <c r="J9" s="39">
        <v>0</v>
      </c>
      <c r="K9" s="62">
        <v>0</v>
      </c>
      <c r="L9" s="29">
        <f t="shared" si="2"/>
        <v>3</v>
      </c>
      <c r="M9" s="29">
        <f t="shared" si="0"/>
        <v>3</v>
      </c>
    </row>
    <row r="10" spans="1:13">
      <c r="A10" s="1" t="s">
        <v>1</v>
      </c>
      <c r="B10" s="22" t="s">
        <v>24</v>
      </c>
      <c r="C10" s="41">
        <v>0</v>
      </c>
      <c r="D10" s="30">
        <v>3.7083333333333335</v>
      </c>
      <c r="E10" s="31">
        <f t="shared" si="1"/>
        <v>3.7083333333333335</v>
      </c>
      <c r="F10" s="40">
        <v>0</v>
      </c>
      <c r="G10" s="41">
        <v>0</v>
      </c>
      <c r="H10" s="41">
        <v>0</v>
      </c>
      <c r="I10" s="41">
        <v>0</v>
      </c>
      <c r="J10" s="41">
        <v>0</v>
      </c>
      <c r="K10" s="63">
        <v>0</v>
      </c>
      <c r="L10" s="31">
        <f t="shared" si="2"/>
        <v>0</v>
      </c>
      <c r="M10" s="31">
        <f t="shared" si="0"/>
        <v>3.7083333333333335</v>
      </c>
    </row>
    <row r="11" spans="1:13">
      <c r="A11" s="1" t="s">
        <v>1</v>
      </c>
      <c r="B11" s="22" t="s">
        <v>25</v>
      </c>
      <c r="C11" s="41">
        <v>0</v>
      </c>
      <c r="D11" s="30">
        <v>0</v>
      </c>
      <c r="E11" s="31">
        <f t="shared" si="1"/>
        <v>0</v>
      </c>
      <c r="F11" s="40">
        <v>1</v>
      </c>
      <c r="G11" s="41">
        <v>1.4583333333333333</v>
      </c>
      <c r="H11" s="41">
        <v>0.66666666666666663</v>
      </c>
      <c r="I11" s="41">
        <v>1.1666666666666667</v>
      </c>
      <c r="J11" s="41">
        <v>1.7083333333333335</v>
      </c>
      <c r="K11" s="63">
        <v>1.5416666666666665</v>
      </c>
      <c r="L11" s="31">
        <f t="shared" si="2"/>
        <v>7.5416666666666661</v>
      </c>
      <c r="M11" s="31">
        <f t="shared" si="0"/>
        <v>7.5416666666666661</v>
      </c>
    </row>
    <row r="12" spans="1:13">
      <c r="A12" s="1" t="s">
        <v>1</v>
      </c>
      <c r="B12" s="22" t="s">
        <v>26</v>
      </c>
      <c r="C12" s="41">
        <v>0</v>
      </c>
      <c r="D12" s="30">
        <v>0</v>
      </c>
      <c r="E12" s="31">
        <f t="shared" si="1"/>
        <v>0</v>
      </c>
      <c r="F12" s="40">
        <v>0.75</v>
      </c>
      <c r="G12" s="41">
        <v>0.83333333333333337</v>
      </c>
      <c r="H12" s="41">
        <v>0.25</v>
      </c>
      <c r="I12" s="41">
        <v>0.45833333333333331</v>
      </c>
      <c r="J12" s="41">
        <v>0.33333333333333331</v>
      </c>
      <c r="K12" s="63">
        <v>0.75</v>
      </c>
      <c r="L12" s="31">
        <f t="shared" si="2"/>
        <v>3.3750000000000004</v>
      </c>
      <c r="M12" s="31">
        <f t="shared" si="0"/>
        <v>3.3750000000000004</v>
      </c>
    </row>
    <row r="13" spans="1:13">
      <c r="A13" s="1" t="s">
        <v>1</v>
      </c>
      <c r="B13" s="22" t="s">
        <v>27</v>
      </c>
      <c r="C13" s="41">
        <v>0</v>
      </c>
      <c r="D13" s="30">
        <v>0</v>
      </c>
      <c r="E13" s="31">
        <f t="shared" si="1"/>
        <v>0</v>
      </c>
      <c r="F13" s="40">
        <v>0</v>
      </c>
      <c r="G13" s="41">
        <v>0.33333333333333331</v>
      </c>
      <c r="H13" s="41">
        <v>0</v>
      </c>
      <c r="I13" s="41">
        <v>0</v>
      </c>
      <c r="J13" s="41">
        <v>0</v>
      </c>
      <c r="K13" s="63">
        <v>0</v>
      </c>
      <c r="L13" s="31">
        <f t="shared" si="2"/>
        <v>0.33333333333333331</v>
      </c>
      <c r="M13" s="31">
        <f t="shared" si="0"/>
        <v>0.33333333333333331</v>
      </c>
    </row>
    <row r="14" spans="1:13">
      <c r="A14" s="1" t="s">
        <v>1</v>
      </c>
      <c r="B14" s="22" t="s">
        <v>28</v>
      </c>
      <c r="C14" s="41">
        <v>0</v>
      </c>
      <c r="D14" s="30">
        <v>0</v>
      </c>
      <c r="E14" s="31">
        <f t="shared" si="1"/>
        <v>0</v>
      </c>
      <c r="F14" s="40">
        <v>0.33333333333333331</v>
      </c>
      <c r="G14" s="41">
        <v>0</v>
      </c>
      <c r="H14" s="41">
        <v>0</v>
      </c>
      <c r="I14" s="41">
        <v>0</v>
      </c>
      <c r="J14" s="41">
        <v>0</v>
      </c>
      <c r="K14" s="63">
        <v>0.29166666666666669</v>
      </c>
      <c r="L14" s="31">
        <f t="shared" si="2"/>
        <v>0.625</v>
      </c>
      <c r="M14" s="31">
        <f t="shared" si="0"/>
        <v>0.625</v>
      </c>
    </row>
    <row r="15" spans="1:13">
      <c r="A15" s="1" t="s">
        <v>1</v>
      </c>
      <c r="B15" s="22" t="s">
        <v>29</v>
      </c>
      <c r="C15" s="41">
        <v>4.1666666666666664E-2</v>
      </c>
      <c r="D15" s="30">
        <v>0</v>
      </c>
      <c r="E15" s="31">
        <f t="shared" si="1"/>
        <v>4.1666666666666664E-2</v>
      </c>
      <c r="F15" s="40">
        <v>0.16666666666666666</v>
      </c>
      <c r="G15" s="41">
        <v>0.16666666666666666</v>
      </c>
      <c r="H15" s="41">
        <v>4.1666666666666664E-2</v>
      </c>
      <c r="I15" s="41">
        <v>0.16666666666666666</v>
      </c>
      <c r="J15" s="41">
        <v>4.1666666666666664E-2</v>
      </c>
      <c r="K15" s="63">
        <v>0.16666666666666666</v>
      </c>
      <c r="L15" s="31">
        <f t="shared" si="2"/>
        <v>0.74999999999999989</v>
      </c>
      <c r="M15" s="31">
        <f t="shared" si="0"/>
        <v>0.79166666666666652</v>
      </c>
    </row>
    <row r="16" spans="1:13">
      <c r="A16" s="1" t="s">
        <v>1</v>
      </c>
      <c r="B16" s="10" t="s">
        <v>30</v>
      </c>
      <c r="C16" s="43">
        <v>29</v>
      </c>
      <c r="D16" s="11">
        <v>22</v>
      </c>
      <c r="E16" s="12">
        <f t="shared" si="1"/>
        <v>51</v>
      </c>
      <c r="F16" s="42">
        <v>2</v>
      </c>
      <c r="G16" s="43">
        <v>7</v>
      </c>
      <c r="H16" s="43">
        <v>17</v>
      </c>
      <c r="I16" s="43">
        <v>11</v>
      </c>
      <c r="J16" s="43">
        <v>9</v>
      </c>
      <c r="K16" s="64">
        <v>5</v>
      </c>
      <c r="L16" s="12">
        <f t="shared" si="2"/>
        <v>51</v>
      </c>
      <c r="M16" s="12">
        <f t="shared" si="0"/>
        <v>102</v>
      </c>
    </row>
    <row r="17" spans="1:13">
      <c r="A17" s="1" t="s">
        <v>1</v>
      </c>
      <c r="B17" s="19" t="s">
        <v>31</v>
      </c>
      <c r="C17" s="45">
        <v>365000</v>
      </c>
      <c r="D17" s="20">
        <v>0</v>
      </c>
      <c r="E17" s="21">
        <f>SUM(C17:D17)</f>
        <v>365000</v>
      </c>
      <c r="F17" s="44">
        <v>187000</v>
      </c>
      <c r="G17" s="45">
        <v>187000</v>
      </c>
      <c r="H17" s="45">
        <v>182000</v>
      </c>
      <c r="I17" s="45">
        <v>187000</v>
      </c>
      <c r="J17" s="45">
        <v>175000</v>
      </c>
      <c r="K17" s="65">
        <v>170000</v>
      </c>
      <c r="L17" s="21">
        <f>SUM(F17:K17)</f>
        <v>1088000</v>
      </c>
      <c r="M17" s="21">
        <f t="shared" si="0"/>
        <v>1453000</v>
      </c>
    </row>
    <row r="18" spans="1:13">
      <c r="A18" s="1" t="s">
        <v>1</v>
      </c>
      <c r="B18" s="22" t="s">
        <v>32</v>
      </c>
      <c r="C18" s="47">
        <v>0</v>
      </c>
      <c r="D18" s="23">
        <v>0</v>
      </c>
      <c r="E18" s="24">
        <f t="shared" ref="E18:E41" si="3">SUM(C18:D18)</f>
        <v>0</v>
      </c>
      <c r="F18" s="46">
        <v>6000</v>
      </c>
      <c r="G18" s="47">
        <v>0</v>
      </c>
      <c r="H18" s="47">
        <v>6000</v>
      </c>
      <c r="I18" s="47">
        <v>0</v>
      </c>
      <c r="J18" s="47">
        <v>0</v>
      </c>
      <c r="K18" s="66">
        <v>0</v>
      </c>
      <c r="L18" s="24">
        <f t="shared" ref="L18:L41" si="4">SUM(F18:K18)</f>
        <v>12000</v>
      </c>
      <c r="M18" s="24">
        <f t="shared" si="0"/>
        <v>12000</v>
      </c>
    </row>
    <row r="19" spans="1:13">
      <c r="A19" s="1" t="s">
        <v>1</v>
      </c>
      <c r="B19" s="22" t="s">
        <v>33</v>
      </c>
      <c r="C19" s="47">
        <v>0</v>
      </c>
      <c r="D19" s="23">
        <v>0</v>
      </c>
      <c r="E19" s="24">
        <f t="shared" si="3"/>
        <v>0</v>
      </c>
      <c r="F19" s="46">
        <v>65700</v>
      </c>
      <c r="G19" s="47">
        <v>48110</v>
      </c>
      <c r="H19" s="47">
        <v>78265</v>
      </c>
      <c r="I19" s="47">
        <v>58015</v>
      </c>
      <c r="J19" s="47">
        <v>24890</v>
      </c>
      <c r="K19" s="66">
        <v>29279</v>
      </c>
      <c r="L19" s="24">
        <f t="shared" si="4"/>
        <v>304259</v>
      </c>
      <c r="M19" s="24">
        <f t="shared" si="0"/>
        <v>304259</v>
      </c>
    </row>
    <row r="20" spans="1:13">
      <c r="A20" s="1" t="s">
        <v>1</v>
      </c>
      <c r="B20" s="22" t="s">
        <v>34</v>
      </c>
      <c r="C20" s="47">
        <v>0</v>
      </c>
      <c r="D20" s="23">
        <v>87220</v>
      </c>
      <c r="E20" s="24">
        <f t="shared" si="3"/>
        <v>87220</v>
      </c>
      <c r="F20" s="46">
        <v>0</v>
      </c>
      <c r="G20" s="47">
        <v>0</v>
      </c>
      <c r="H20" s="47">
        <v>0</v>
      </c>
      <c r="I20" s="47">
        <v>0</v>
      </c>
      <c r="J20" s="47">
        <v>0</v>
      </c>
      <c r="K20" s="66">
        <v>0</v>
      </c>
      <c r="L20" s="24">
        <f t="shared" si="4"/>
        <v>0</v>
      </c>
      <c r="M20" s="24">
        <f t="shared" si="0"/>
        <v>87220</v>
      </c>
    </row>
    <row r="21" spans="1:13">
      <c r="A21" s="1" t="s">
        <v>1</v>
      </c>
      <c r="B21" s="22" t="s">
        <v>35</v>
      </c>
      <c r="C21" s="47">
        <v>0</v>
      </c>
      <c r="D21" s="23">
        <v>0</v>
      </c>
      <c r="E21" s="24">
        <f t="shared" si="3"/>
        <v>0</v>
      </c>
      <c r="F21" s="46">
        <v>2000</v>
      </c>
      <c r="G21" s="47">
        <v>2000</v>
      </c>
      <c r="H21" s="47">
        <v>2000</v>
      </c>
      <c r="I21" s="47">
        <v>2000</v>
      </c>
      <c r="J21" s="47">
        <v>0</v>
      </c>
      <c r="K21" s="66">
        <v>0</v>
      </c>
      <c r="L21" s="24">
        <f t="shared" si="4"/>
        <v>8000</v>
      </c>
      <c r="M21" s="24">
        <f t="shared" si="0"/>
        <v>8000</v>
      </c>
    </row>
    <row r="22" spans="1:13">
      <c r="A22" s="1" t="s">
        <v>1</v>
      </c>
      <c r="B22" s="22" t="s">
        <v>25</v>
      </c>
      <c r="C22" s="47">
        <v>0</v>
      </c>
      <c r="D22" s="23">
        <v>0</v>
      </c>
      <c r="E22" s="24">
        <f t="shared" si="3"/>
        <v>0</v>
      </c>
      <c r="F22" s="46">
        <v>35040</v>
      </c>
      <c r="G22" s="47">
        <v>49525</v>
      </c>
      <c r="H22" s="47">
        <v>22768</v>
      </c>
      <c r="I22" s="47">
        <v>39620</v>
      </c>
      <c r="J22" s="47">
        <v>53710</v>
      </c>
      <c r="K22" s="66">
        <v>47101</v>
      </c>
      <c r="L22" s="24">
        <f t="shared" si="4"/>
        <v>247764</v>
      </c>
      <c r="M22" s="24">
        <f t="shared" si="0"/>
        <v>247764</v>
      </c>
    </row>
    <row r="23" spans="1:13">
      <c r="A23" s="1" t="s">
        <v>1</v>
      </c>
      <c r="B23" s="22" t="s">
        <v>36</v>
      </c>
      <c r="C23" s="47">
        <v>0</v>
      </c>
      <c r="D23" s="23">
        <v>0</v>
      </c>
      <c r="E23" s="24">
        <f t="shared" si="3"/>
        <v>0</v>
      </c>
      <c r="F23" s="46">
        <v>28386</v>
      </c>
      <c r="G23" s="47">
        <v>30560</v>
      </c>
      <c r="H23" s="47">
        <v>9216</v>
      </c>
      <c r="I23" s="47">
        <v>16808</v>
      </c>
      <c r="J23" s="47">
        <v>11320</v>
      </c>
      <c r="K23" s="66">
        <v>24732</v>
      </c>
      <c r="L23" s="24">
        <f t="shared" si="4"/>
        <v>121022</v>
      </c>
      <c r="M23" s="24">
        <f t="shared" si="0"/>
        <v>121022</v>
      </c>
    </row>
    <row r="24" spans="1:13">
      <c r="A24" s="1" t="s">
        <v>1</v>
      </c>
      <c r="B24" s="22" t="s">
        <v>37</v>
      </c>
      <c r="C24" s="47">
        <v>0</v>
      </c>
      <c r="D24" s="23">
        <v>0</v>
      </c>
      <c r="E24" s="24">
        <f t="shared" si="3"/>
        <v>0</v>
      </c>
      <c r="F24" s="46">
        <v>0</v>
      </c>
      <c r="G24" s="47">
        <v>12224</v>
      </c>
      <c r="H24" s="47">
        <v>0</v>
      </c>
      <c r="I24" s="47">
        <v>0</v>
      </c>
      <c r="J24" s="47">
        <v>0</v>
      </c>
      <c r="K24" s="66">
        <v>0</v>
      </c>
      <c r="L24" s="24">
        <f t="shared" si="4"/>
        <v>12224</v>
      </c>
      <c r="M24" s="24">
        <f t="shared" si="0"/>
        <v>12224</v>
      </c>
    </row>
    <row r="25" spans="1:13">
      <c r="A25" s="1" t="s">
        <v>1</v>
      </c>
      <c r="B25" s="22" t="s">
        <v>38</v>
      </c>
      <c r="C25" s="47">
        <v>0</v>
      </c>
      <c r="D25" s="23">
        <v>0</v>
      </c>
      <c r="E25" s="24">
        <f t="shared" si="3"/>
        <v>0</v>
      </c>
      <c r="F25" s="46">
        <v>3272</v>
      </c>
      <c r="G25" s="47">
        <v>0</v>
      </c>
      <c r="H25" s="47">
        <v>0</v>
      </c>
      <c r="I25" s="47">
        <v>0</v>
      </c>
      <c r="J25" s="47">
        <v>0</v>
      </c>
      <c r="K25" s="66">
        <v>2492</v>
      </c>
      <c r="L25" s="24">
        <f t="shared" si="4"/>
        <v>5764</v>
      </c>
      <c r="M25" s="24">
        <f t="shared" si="0"/>
        <v>5764</v>
      </c>
    </row>
    <row r="26" spans="1:13">
      <c r="A26" s="1" t="s">
        <v>1</v>
      </c>
      <c r="B26" s="4" t="s">
        <v>29</v>
      </c>
      <c r="C26" s="49">
        <v>547</v>
      </c>
      <c r="D26" s="5">
        <v>0</v>
      </c>
      <c r="E26" s="6">
        <f t="shared" si="3"/>
        <v>547</v>
      </c>
      <c r="F26" s="48">
        <v>1168</v>
      </c>
      <c r="G26" s="49">
        <v>1132</v>
      </c>
      <c r="H26" s="49">
        <v>285</v>
      </c>
      <c r="I26" s="49">
        <v>1132</v>
      </c>
      <c r="J26" s="49">
        <v>262</v>
      </c>
      <c r="K26" s="67">
        <v>1020</v>
      </c>
      <c r="L26" s="6">
        <f t="shared" si="4"/>
        <v>4999</v>
      </c>
      <c r="M26" s="6">
        <f t="shared" si="0"/>
        <v>5546</v>
      </c>
    </row>
    <row r="27" spans="1:13">
      <c r="A27" s="1" t="s">
        <v>1</v>
      </c>
      <c r="B27" s="13" t="s">
        <v>39</v>
      </c>
      <c r="C27" s="51">
        <v>365547</v>
      </c>
      <c r="D27" s="14">
        <v>87220</v>
      </c>
      <c r="E27" s="15">
        <f t="shared" si="3"/>
        <v>452767</v>
      </c>
      <c r="F27" s="50">
        <v>328566</v>
      </c>
      <c r="G27" s="51">
        <v>330551</v>
      </c>
      <c r="H27" s="51">
        <v>300534</v>
      </c>
      <c r="I27" s="51">
        <v>304575</v>
      </c>
      <c r="J27" s="51">
        <v>265182</v>
      </c>
      <c r="K27" s="68">
        <v>274624</v>
      </c>
      <c r="L27" s="15">
        <f t="shared" si="4"/>
        <v>1804032</v>
      </c>
      <c r="M27" s="15">
        <f t="shared" si="0"/>
        <v>2256799</v>
      </c>
    </row>
    <row r="28" spans="1:13">
      <c r="A28" s="1" t="s">
        <v>1</v>
      </c>
      <c r="B28" s="4" t="s">
        <v>40</v>
      </c>
      <c r="C28" s="49">
        <v>5258</v>
      </c>
      <c r="D28" s="5">
        <v>3185</v>
      </c>
      <c r="E28" s="6">
        <f t="shared" si="3"/>
        <v>8443</v>
      </c>
      <c r="F28" s="48">
        <v>7280</v>
      </c>
      <c r="G28" s="49">
        <v>5460</v>
      </c>
      <c r="H28" s="49">
        <v>10313</v>
      </c>
      <c r="I28" s="49">
        <v>1896</v>
      </c>
      <c r="J28" s="49">
        <v>7280</v>
      </c>
      <c r="K28" s="67">
        <v>9479</v>
      </c>
      <c r="L28" s="6">
        <f t="shared" si="4"/>
        <v>41708</v>
      </c>
      <c r="M28" s="6">
        <f t="shared" si="0"/>
        <v>50151</v>
      </c>
    </row>
    <row r="29" spans="1:13">
      <c r="A29" s="1" t="s">
        <v>1</v>
      </c>
      <c r="B29" s="16" t="s">
        <v>41</v>
      </c>
      <c r="C29" s="53">
        <v>5258</v>
      </c>
      <c r="D29" s="17">
        <v>3185</v>
      </c>
      <c r="E29" s="18">
        <f t="shared" si="3"/>
        <v>8443</v>
      </c>
      <c r="F29" s="52">
        <v>7280</v>
      </c>
      <c r="G29" s="53">
        <v>5460</v>
      </c>
      <c r="H29" s="53">
        <v>10313</v>
      </c>
      <c r="I29" s="53">
        <v>1896</v>
      </c>
      <c r="J29" s="53">
        <v>7280</v>
      </c>
      <c r="K29" s="69">
        <v>9479</v>
      </c>
      <c r="L29" s="18">
        <f t="shared" si="4"/>
        <v>41708</v>
      </c>
      <c r="M29" s="18">
        <f t="shared" si="0"/>
        <v>50151</v>
      </c>
    </row>
    <row r="30" spans="1:13">
      <c r="A30" s="1" t="s">
        <v>1</v>
      </c>
      <c r="B30" s="13" t="s">
        <v>42</v>
      </c>
      <c r="C30" s="51">
        <v>370805</v>
      </c>
      <c r="D30" s="14">
        <v>90405</v>
      </c>
      <c r="E30" s="15">
        <f t="shared" si="3"/>
        <v>461210</v>
      </c>
      <c r="F30" s="50">
        <v>335846</v>
      </c>
      <c r="G30" s="51">
        <v>336011</v>
      </c>
      <c r="H30" s="51">
        <v>310847</v>
      </c>
      <c r="I30" s="51">
        <v>306471</v>
      </c>
      <c r="J30" s="51">
        <v>272462</v>
      </c>
      <c r="K30" s="68">
        <v>284103</v>
      </c>
      <c r="L30" s="15">
        <f t="shared" si="4"/>
        <v>1845740</v>
      </c>
      <c r="M30" s="15">
        <f t="shared" si="0"/>
        <v>2306950</v>
      </c>
    </row>
    <row r="31" spans="1:13">
      <c r="A31" s="1" t="s">
        <v>1</v>
      </c>
      <c r="B31" s="19" t="s">
        <v>43</v>
      </c>
      <c r="C31" s="45">
        <v>18360</v>
      </c>
      <c r="D31" s="20">
        <v>0</v>
      </c>
      <c r="E31" s="21">
        <f t="shared" si="3"/>
        <v>18360</v>
      </c>
      <c r="F31" s="44">
        <v>16320</v>
      </c>
      <c r="G31" s="45">
        <v>16320</v>
      </c>
      <c r="H31" s="45">
        <v>16320</v>
      </c>
      <c r="I31" s="45">
        <v>16320</v>
      </c>
      <c r="J31" s="45">
        <v>14280</v>
      </c>
      <c r="K31" s="65">
        <v>13260</v>
      </c>
      <c r="L31" s="21">
        <f t="shared" si="4"/>
        <v>92820</v>
      </c>
      <c r="M31" s="21">
        <f t="shared" si="0"/>
        <v>111180</v>
      </c>
    </row>
    <row r="32" spans="1:13">
      <c r="A32" s="1" t="s">
        <v>1</v>
      </c>
      <c r="B32" s="22" t="s">
        <v>44</v>
      </c>
      <c r="C32" s="47">
        <v>3240</v>
      </c>
      <c r="D32" s="23">
        <v>0</v>
      </c>
      <c r="E32" s="24">
        <f t="shared" si="3"/>
        <v>3240</v>
      </c>
      <c r="F32" s="46">
        <v>0</v>
      </c>
      <c r="G32" s="47">
        <v>2880</v>
      </c>
      <c r="H32" s="47">
        <v>2880</v>
      </c>
      <c r="I32" s="47">
        <v>2880</v>
      </c>
      <c r="J32" s="47">
        <v>2520</v>
      </c>
      <c r="K32" s="66">
        <v>0</v>
      </c>
      <c r="L32" s="24">
        <f t="shared" si="4"/>
        <v>11160</v>
      </c>
      <c r="M32" s="24">
        <f t="shared" si="0"/>
        <v>14400</v>
      </c>
    </row>
    <row r="33" spans="1:13">
      <c r="A33" s="1" t="s">
        <v>1</v>
      </c>
      <c r="B33" s="22" t="s">
        <v>45</v>
      </c>
      <c r="C33" s="47">
        <v>32940</v>
      </c>
      <c r="D33" s="23">
        <v>0</v>
      </c>
      <c r="E33" s="24">
        <f t="shared" si="3"/>
        <v>32940</v>
      </c>
      <c r="F33" s="46">
        <v>29280</v>
      </c>
      <c r="G33" s="47">
        <v>29280</v>
      </c>
      <c r="H33" s="47">
        <v>29280</v>
      </c>
      <c r="I33" s="47">
        <v>29280</v>
      </c>
      <c r="J33" s="47">
        <v>25620</v>
      </c>
      <c r="K33" s="66">
        <v>23790</v>
      </c>
      <c r="L33" s="24">
        <f t="shared" si="4"/>
        <v>166530</v>
      </c>
      <c r="M33" s="24">
        <f t="shared" si="0"/>
        <v>199470</v>
      </c>
    </row>
    <row r="34" spans="1:13">
      <c r="A34" s="1" t="s">
        <v>1</v>
      </c>
      <c r="B34" s="4" t="s">
        <v>46</v>
      </c>
      <c r="C34" s="49">
        <v>1854</v>
      </c>
      <c r="D34" s="5">
        <v>452</v>
      </c>
      <c r="E34" s="6">
        <f t="shared" si="3"/>
        <v>2306</v>
      </c>
      <c r="F34" s="48">
        <v>1679</v>
      </c>
      <c r="G34" s="49">
        <v>1680</v>
      </c>
      <c r="H34" s="49">
        <v>1554</v>
      </c>
      <c r="I34" s="49">
        <v>1532</v>
      </c>
      <c r="J34" s="49">
        <v>1362</v>
      </c>
      <c r="K34" s="67">
        <v>1421</v>
      </c>
      <c r="L34" s="6">
        <f t="shared" si="4"/>
        <v>9228</v>
      </c>
      <c r="M34" s="6">
        <f t="shared" si="0"/>
        <v>11534</v>
      </c>
    </row>
    <row r="35" spans="1:13">
      <c r="A35" s="1" t="s">
        <v>1</v>
      </c>
      <c r="B35" s="13" t="s">
        <v>47</v>
      </c>
      <c r="C35" s="51">
        <v>56394</v>
      </c>
      <c r="D35" s="14">
        <v>452</v>
      </c>
      <c r="E35" s="15">
        <f t="shared" si="3"/>
        <v>56846</v>
      </c>
      <c r="F35" s="50">
        <v>47279</v>
      </c>
      <c r="G35" s="51">
        <v>50160</v>
      </c>
      <c r="H35" s="51">
        <v>50034</v>
      </c>
      <c r="I35" s="51">
        <v>50012</v>
      </c>
      <c r="J35" s="51">
        <v>43782</v>
      </c>
      <c r="K35" s="68">
        <v>38471</v>
      </c>
      <c r="L35" s="15">
        <f t="shared" si="4"/>
        <v>279738</v>
      </c>
      <c r="M35" s="15">
        <f t="shared" si="0"/>
        <v>336584</v>
      </c>
    </row>
    <row r="36" spans="1:13">
      <c r="A36" s="1" t="s">
        <v>1</v>
      </c>
      <c r="B36" s="19" t="s">
        <v>48</v>
      </c>
      <c r="C36" s="45">
        <v>9130</v>
      </c>
      <c r="D36" s="20">
        <v>50</v>
      </c>
      <c r="E36" s="21">
        <f t="shared" si="3"/>
        <v>9180</v>
      </c>
      <c r="F36" s="44">
        <v>7670</v>
      </c>
      <c r="G36" s="45">
        <v>6020</v>
      </c>
      <c r="H36" s="45">
        <v>6570</v>
      </c>
      <c r="I36" s="45">
        <v>5100</v>
      </c>
      <c r="J36" s="45">
        <v>5530</v>
      </c>
      <c r="K36" s="65">
        <v>6060</v>
      </c>
      <c r="L36" s="21">
        <f t="shared" si="4"/>
        <v>36950</v>
      </c>
      <c r="M36" s="21">
        <f t="shared" si="0"/>
        <v>46130</v>
      </c>
    </row>
    <row r="37" spans="1:13">
      <c r="A37" s="1" t="s">
        <v>1</v>
      </c>
      <c r="B37" s="4" t="s">
        <v>49</v>
      </c>
      <c r="C37" s="49">
        <v>20200</v>
      </c>
      <c r="D37" s="5">
        <v>500</v>
      </c>
      <c r="E37" s="6">
        <f t="shared" si="3"/>
        <v>20700</v>
      </c>
      <c r="F37" s="48">
        <v>14600</v>
      </c>
      <c r="G37" s="49">
        <v>11000</v>
      </c>
      <c r="H37" s="49">
        <v>8300</v>
      </c>
      <c r="I37" s="49">
        <v>3900</v>
      </c>
      <c r="J37" s="49">
        <v>8900</v>
      </c>
      <c r="K37" s="67">
        <v>0</v>
      </c>
      <c r="L37" s="6">
        <f t="shared" si="4"/>
        <v>46700</v>
      </c>
      <c r="M37" s="6">
        <f t="shared" si="0"/>
        <v>67400</v>
      </c>
    </row>
    <row r="38" spans="1:13">
      <c r="A38" s="1" t="s">
        <v>1</v>
      </c>
      <c r="B38" s="13" t="s">
        <v>50</v>
      </c>
      <c r="C38" s="51">
        <v>85724</v>
      </c>
      <c r="D38" s="14">
        <v>1002</v>
      </c>
      <c r="E38" s="15">
        <f t="shared" si="3"/>
        <v>86726</v>
      </c>
      <c r="F38" s="50">
        <v>69549</v>
      </c>
      <c r="G38" s="51">
        <v>67180</v>
      </c>
      <c r="H38" s="51">
        <v>64904</v>
      </c>
      <c r="I38" s="51">
        <v>59012</v>
      </c>
      <c r="J38" s="51">
        <v>58212</v>
      </c>
      <c r="K38" s="68">
        <v>44531</v>
      </c>
      <c r="L38" s="15">
        <f t="shared" si="4"/>
        <v>363388</v>
      </c>
      <c r="M38" s="15">
        <f t="shared" si="0"/>
        <v>450114</v>
      </c>
    </row>
    <row r="39" spans="1:13">
      <c r="A39" s="1" t="s">
        <v>1</v>
      </c>
      <c r="B39" s="13" t="s">
        <v>51</v>
      </c>
      <c r="C39" s="51">
        <v>309153</v>
      </c>
      <c r="D39" s="14">
        <v>86768</v>
      </c>
      <c r="E39" s="15">
        <f t="shared" si="3"/>
        <v>395921</v>
      </c>
      <c r="F39" s="50">
        <v>281287</v>
      </c>
      <c r="G39" s="51">
        <v>280391</v>
      </c>
      <c r="H39" s="51">
        <v>250500</v>
      </c>
      <c r="I39" s="51">
        <v>254563</v>
      </c>
      <c r="J39" s="51">
        <v>221400</v>
      </c>
      <c r="K39" s="68">
        <v>236153</v>
      </c>
      <c r="L39" s="15">
        <f t="shared" si="4"/>
        <v>1524294</v>
      </c>
      <c r="M39" s="15">
        <f t="shared" si="0"/>
        <v>1920215</v>
      </c>
    </row>
    <row r="40" spans="1:13">
      <c r="A40" s="1" t="s">
        <v>1</v>
      </c>
      <c r="B40" s="13" t="s">
        <v>52</v>
      </c>
      <c r="C40" s="51">
        <v>285081</v>
      </c>
      <c r="D40" s="14">
        <v>89403</v>
      </c>
      <c r="E40" s="15">
        <f t="shared" si="3"/>
        <v>374484</v>
      </c>
      <c r="F40" s="50">
        <v>266297</v>
      </c>
      <c r="G40" s="51">
        <v>268831</v>
      </c>
      <c r="H40" s="51">
        <v>245943</v>
      </c>
      <c r="I40" s="51">
        <v>247459</v>
      </c>
      <c r="J40" s="51">
        <v>214250</v>
      </c>
      <c r="K40" s="68">
        <v>239572</v>
      </c>
      <c r="L40" s="15">
        <f t="shared" si="4"/>
        <v>1482352</v>
      </c>
      <c r="M40" s="15">
        <f t="shared" si="0"/>
        <v>1856836</v>
      </c>
    </row>
    <row r="41" spans="1:13">
      <c r="A41" s="1" t="s">
        <v>1</v>
      </c>
      <c r="B41" s="13" t="s">
        <v>53</v>
      </c>
      <c r="C41" s="51">
        <v>285081</v>
      </c>
      <c r="D41" s="14">
        <v>89403</v>
      </c>
      <c r="E41" s="15">
        <f t="shared" si="3"/>
        <v>374484</v>
      </c>
      <c r="F41" s="50">
        <v>266297</v>
      </c>
      <c r="G41" s="51">
        <v>268831</v>
      </c>
      <c r="H41" s="51">
        <v>245943</v>
      </c>
      <c r="I41" s="51">
        <v>247459</v>
      </c>
      <c r="J41" s="51">
        <v>214250</v>
      </c>
      <c r="K41" s="68">
        <v>239572</v>
      </c>
      <c r="L41" s="15">
        <f t="shared" si="4"/>
        <v>1482352</v>
      </c>
      <c r="M41" s="15">
        <f t="shared" si="0"/>
        <v>1856836</v>
      </c>
    </row>
    <row r="42" spans="1:13">
      <c r="A42" s="1" t="s">
        <v>1</v>
      </c>
      <c r="B42" s="4" t="s">
        <v>54</v>
      </c>
      <c r="C42" s="49">
        <v>0</v>
      </c>
      <c r="D42" s="5">
        <v>0</v>
      </c>
      <c r="E42" s="6"/>
      <c r="F42" s="48">
        <v>0</v>
      </c>
      <c r="G42" s="49">
        <v>1</v>
      </c>
      <c r="H42" s="49">
        <v>0</v>
      </c>
      <c r="I42" s="49">
        <v>1</v>
      </c>
      <c r="J42" s="49">
        <v>0</v>
      </c>
      <c r="K42" s="67">
        <v>0</v>
      </c>
      <c r="L42" s="6"/>
      <c r="M42" s="6"/>
    </row>
    <row r="43" spans="1:13" ht="19.5" thickBot="1">
      <c r="A43" s="1" t="s">
        <v>1</v>
      </c>
      <c r="B43" s="7" t="s">
        <v>55</v>
      </c>
      <c r="C43" s="55" t="s">
        <v>56</v>
      </c>
      <c r="D43" s="8" t="s">
        <v>56</v>
      </c>
      <c r="E43" s="9"/>
      <c r="F43" s="54" t="s">
        <v>56</v>
      </c>
      <c r="G43" s="55" t="s">
        <v>56</v>
      </c>
      <c r="H43" s="55" t="s">
        <v>56</v>
      </c>
      <c r="I43" s="55" t="s">
        <v>56</v>
      </c>
      <c r="J43" s="55" t="s">
        <v>56</v>
      </c>
      <c r="K43" s="70" t="s">
        <v>56</v>
      </c>
      <c r="L43" s="9"/>
      <c r="M43" s="9"/>
    </row>
  </sheetData>
  <mergeCells count="1">
    <mergeCell ref="B3:B4"/>
  </mergeCells>
  <phoneticPr fontId="4"/>
  <pageMargins left="0.31496062992125984" right="0.31496062992125984" top="0.35433070866141736" bottom="0.35433070866141736" header="0.11811023622047245" footer="0.11811023622047245"/>
  <pageSetup paperSize="12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 3月度給与 (2)</vt:lpstr>
      <vt:lpstr>'2023年 3月度給与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2023-04-13T04:14:29Z</cp:lastPrinted>
  <dcterms:created xsi:type="dcterms:W3CDTF">2023-04-13T02:57:22Z</dcterms:created>
  <dcterms:modified xsi:type="dcterms:W3CDTF">2023-04-13T05:50:19Z</dcterms:modified>
</cp:coreProperties>
</file>