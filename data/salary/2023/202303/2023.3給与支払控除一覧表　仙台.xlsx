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3\"/>
    </mc:Choice>
  </mc:AlternateContent>
  <xr:revisionPtr revIDLastSave="0" documentId="13_ncr:1_{022B0F0B-D84C-4BDA-B2ED-96CA99972436}" xr6:coauthVersionLast="47" xr6:coauthVersionMax="47" xr10:uidLastSave="{00000000-0000-0000-0000-000000000000}"/>
  <bookViews>
    <workbookView xWindow="-120" yWindow="-120" windowWidth="20730" windowHeight="11160" xr2:uid="{337917AF-CBE6-4723-8778-742C35200B13}"/>
  </bookViews>
  <sheets>
    <sheet name="2023年 3月度給与（2）" sheetId="2" r:id="rId1"/>
  </sheets>
  <definedNames>
    <definedName name="_xlnm.Print_Area" localSheetId="0">'2023年 3月度給与（2）'!$A$1:$O$41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2" l="1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15" i="2"/>
  <c r="N7" i="2"/>
  <c r="N8" i="2"/>
  <c r="N9" i="2"/>
  <c r="N10" i="2"/>
  <c r="N11" i="2"/>
  <c r="N12" i="2"/>
  <c r="N13" i="2"/>
  <c r="N14" i="2"/>
  <c r="N6" i="2"/>
  <c r="N5" i="2"/>
  <c r="F16" i="2"/>
  <c r="O16" i="2" s="1"/>
  <c r="F17" i="2"/>
  <c r="O17" i="2" s="1"/>
  <c r="F18" i="2"/>
  <c r="O18" i="2" s="1"/>
  <c r="F19" i="2"/>
  <c r="O19" i="2" s="1"/>
  <c r="F20" i="2"/>
  <c r="O20" i="2" s="1"/>
  <c r="F21" i="2"/>
  <c r="O21" i="2" s="1"/>
  <c r="F22" i="2"/>
  <c r="O22" i="2" s="1"/>
  <c r="F23" i="2"/>
  <c r="O23" i="2" s="1"/>
  <c r="F24" i="2"/>
  <c r="O24" i="2" s="1"/>
  <c r="F25" i="2"/>
  <c r="O25" i="2" s="1"/>
  <c r="F26" i="2"/>
  <c r="O26" i="2" s="1"/>
  <c r="F27" i="2"/>
  <c r="O27" i="2" s="1"/>
  <c r="F28" i="2"/>
  <c r="O28" i="2" s="1"/>
  <c r="F29" i="2"/>
  <c r="O29" i="2" s="1"/>
  <c r="F30" i="2"/>
  <c r="O30" i="2" s="1"/>
  <c r="F31" i="2"/>
  <c r="O31" i="2" s="1"/>
  <c r="F32" i="2"/>
  <c r="O32" i="2" s="1"/>
  <c r="F33" i="2"/>
  <c r="O33" i="2" s="1"/>
  <c r="F34" i="2"/>
  <c r="O34" i="2" s="1"/>
  <c r="F35" i="2"/>
  <c r="O35" i="2" s="1"/>
  <c r="F36" i="2"/>
  <c r="O36" i="2" s="1"/>
  <c r="F37" i="2"/>
  <c r="O37" i="2" s="1"/>
  <c r="F38" i="2"/>
  <c r="O38" i="2" s="1"/>
  <c r="F39" i="2"/>
  <c r="O39" i="2" s="1"/>
  <c r="F15" i="2"/>
  <c r="F7" i="2"/>
  <c r="O7" i="2" s="1"/>
  <c r="F8" i="2"/>
  <c r="O8" i="2" s="1"/>
  <c r="F9" i="2"/>
  <c r="F10" i="2"/>
  <c r="F11" i="2"/>
  <c r="O11" i="2" s="1"/>
  <c r="F12" i="2"/>
  <c r="O12" i="2" s="1"/>
  <c r="F13" i="2"/>
  <c r="F14" i="2"/>
  <c r="F6" i="2"/>
  <c r="O6" i="2" s="1"/>
  <c r="F5" i="2"/>
  <c r="O5" i="2" s="1"/>
  <c r="O10" i="2" l="1"/>
  <c r="O15" i="2"/>
  <c r="O13" i="2"/>
  <c r="O9" i="2"/>
  <c r="O14" i="2"/>
</calcChain>
</file>

<file path=xl/sharedStrings.xml><?xml version="1.0" encoding="utf-8"?>
<sst xmlns="http://schemas.openxmlformats.org/spreadsheetml/2006/main" count="113" uniqueCount="64">
  <si>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</si>
  <si>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</si>
  <si>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</si>
  <si>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</si>
  <si>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</si>
  <si>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</si>
  <si>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</si>
  <si>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</si>
  <si>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</si>
  <si>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</si>
  <si>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</si>
  <si>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</si>
  <si>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</si>
  <si>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</si>
  <si>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</si>
  <si>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</si>
  <si>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</si>
  <si>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</si>
  <si>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</si>
  <si>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</si>
  <si>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</si>
  <si>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</si>
  <si>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</si>
  <si>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</si>
  <si>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</si>
  <si>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</si>
  <si>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</si>
  <si>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</si>
  <si>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</si>
  <si>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</si>
  <si>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</si>
  <si>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</si>
  <si>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</si>
  <si>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</si>
  <si>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</si>
  <si>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</si>
  <si>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</si>
  <si>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</si>
  <si>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</si>
  <si>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</si>
  <si>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</si>
  <si>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</si>
  <si>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</si>
  <si>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</si>
  <si>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</si>
  <si>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</si>
  <si>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</si>
  <si>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</si>
  <si>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</si>
  <si>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</si>
  <si>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</si>
  <si>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</si>
  <si>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</si>
  <si>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</si>
  <si>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</si>
  <si>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</si>
  <si>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</si>
  <si>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3月度給与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</si>
  <si>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</si>
  <si>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</si>
  <si>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</si>
  <si>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</si>
  <si>
    <t>佐藤ゆうこ</t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</si>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</sst>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3" xfId="1" applyFont="1" applyBorder="1"/>
    <xf numFmtId="49" fontId="2" fillId="0" borderId="5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5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4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5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0" xfId="1" applyNumberFormat="1" applyFont="1" applyBorder="1"/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5" xfId="1" applyNumberFormat="1" applyFont="1" applyBorder="1" applyAlignment="1">
      <alignment horizontal="center"/>
    </xf>
    <xf numFmtId="2" fontId="2" fillId="0" borderId="37" xfId="1" applyNumberFormat="1" applyFont="1" applyBorder="1"/>
    <xf numFmtId="3" fontId="2" fillId="0" borderId="36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35" xfId="1" applyNumberFormat="1" applyFont="1" applyBorder="1"/>
    <xf numFmtId="49" fontId="2" fillId="0" borderId="42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2" fontId="2" fillId="0" borderId="19" xfId="1" applyNumberFormat="1" applyFont="1" applyBorder="1"/>
    <xf numFmtId="2" fontId="2" fillId="0" borderId="34" xfId="1" applyNumberFormat="1" applyFont="1" applyBorder="1"/>
    <xf numFmtId="2" fontId="2" fillId="0" borderId="42" xfId="1" applyNumberFormat="1" applyFont="1" applyBorder="1"/>
    <xf numFmtId="2" fontId="2" fillId="0" borderId="18" xfId="1" applyNumberFormat="1" applyFont="1" applyBorder="1"/>
    <xf numFmtId="2" fontId="2" fillId="0" borderId="7" xfId="1" applyNumberFormat="1" applyFont="1" applyBorder="1"/>
    <xf numFmtId="2" fontId="2" fillId="0" borderId="29" xfId="1" applyNumberFormat="1" applyFont="1" applyBorder="1"/>
    <xf numFmtId="2" fontId="2" fillId="0" borderId="39" xfId="1" applyNumberFormat="1" applyFont="1" applyBorder="1"/>
    <xf numFmtId="2" fontId="2" fillId="0" borderId="13" xfId="1" applyNumberFormat="1" applyFont="1" applyBorder="1"/>
    <xf numFmtId="2" fontId="2" fillId="0" borderId="28" xfId="1" applyNumberFormat="1" applyFont="1" applyBorder="1"/>
    <xf numFmtId="2" fontId="2" fillId="0" borderId="14" xfId="1" applyNumberFormat="1" applyFont="1" applyBorder="1"/>
    <xf numFmtId="176" fontId="2" fillId="0" borderId="29" xfId="1" applyNumberFormat="1" applyFont="1" applyBorder="1"/>
    <xf numFmtId="176" fontId="2" fillId="0" borderId="39" xfId="1" applyNumberFormat="1" applyFont="1" applyBorder="1"/>
    <xf numFmtId="176" fontId="2" fillId="0" borderId="13" xfId="1" applyNumberFormat="1" applyFont="1" applyBorder="1"/>
    <xf numFmtId="176" fontId="2" fillId="0" borderId="28" xfId="1" applyNumberFormat="1" applyFont="1" applyBorder="1"/>
    <xf numFmtId="176" fontId="2" fillId="0" borderId="14" xfId="1" applyNumberFormat="1" applyFont="1" applyBorder="1"/>
    <xf numFmtId="49" fontId="2" fillId="0" borderId="43" xfId="1" applyNumberFormat="1" applyFont="1" applyBorder="1" applyAlignment="1">
      <alignment horizontal="left"/>
    </xf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43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0" fontId="2" fillId="0" borderId="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標準" xfId="0" builtinId="0"/>
    <cellStyle name="標準 2" xfId="1" xr:uid="{802E9765-A40F-4812-B970-FF1631E0FD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E8EC-9C15-4C54-B67B-4497A6BB6D00}">
  <sheetPr>
    <pageSetUpPr fitToPage="1"/>
  </sheetPr>
  <dimension ref="A1:O4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:B4"/>
    </sheetView>
  </sheetViews>
  <sheetFormatPr defaultRowHeight="18.75"/>
  <cols>
    <col min="1" max="1" width="2.375" style="2" customWidth="1"/>
    <col min="2" max="2" width="13.25" style="2" bestFit="1" customWidth="1"/>
    <col min="3" max="15" width="10.1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 bestFit="1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 bestFit="1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 bestFit="1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 bestFit="1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 bestFit="1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 bestFit="1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 bestFit="1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 bestFit="1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 bestFit="1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 bestFit="1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 bestFit="1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 bestFit="1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 bestFit="1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 bestFit="1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 bestFit="1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 bestFit="1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 bestFit="1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 bestFit="1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 bestFit="1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 bestFit="1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 bestFit="1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 bestFit="1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 bestFit="1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 bestFit="1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 bestFit="1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 bestFit="1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 bestFit="1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 bestFit="1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 bestFit="1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 bestFit="1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 bestFit="1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 bestFit="1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 bestFit="1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 bestFit="1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 bestFit="1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 bestFit="1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 bestFit="1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 bestFit="1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 bestFit="1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 bestFit="1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 bestFit="1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 bestFit="1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 bestFit="1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 bestFit="1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 bestFit="1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 bestFit="1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 bestFit="1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 bestFit="1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 bestFit="1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 bestFit="1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 bestFit="1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 bestFit="1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 bestFit="1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 bestFit="1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 bestFit="1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 bestFit="1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 bestFit="1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 bestFit="1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 bestFit="1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 bestFit="1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 bestFit="1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 bestFit="1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 bestFit="1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 bestFit="1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 bestFit="1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 bestFit="1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 bestFit="1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 bestFit="1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 bestFit="1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 bestFit="1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 bestFit="1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 bestFit="1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 bestFit="1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 bestFit="1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 bestFit="1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 bestFit="1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 bestFit="1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 bestFit="1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 bestFit="1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 bestFit="1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 bestFit="1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 bestFit="1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 bestFit="1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 bestFit="1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 bestFit="1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 bestFit="1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 bestFit="1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 bestFit="1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 bestFit="1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 bestFit="1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 bestFit="1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 bestFit="1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 bestFit="1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 bestFit="1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 bestFit="1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 bestFit="1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 bestFit="1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 bestFit="1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 bestFit="1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 bestFit="1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 bestFit="1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 bestFit="1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 bestFit="1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 bestFit="1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 bestFit="1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 bestFit="1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 bestFit="1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 bestFit="1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 bestFit="1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 bestFit="1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 bestFit="1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 bestFit="1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 bestFit="1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 bestFit="1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 bestFit="1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 bestFit="1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 bestFit="1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 bestFit="1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 bestFit="1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 bestFit="1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 bestFit="1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 bestFit="1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 bestFit="1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 bestFit="1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 bestFit="1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 bestFit="1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57</v>
      </c>
    </row>
    <row r="3" spans="1:15">
      <c r="B3" s="77" t="s">
        <v>12</v>
      </c>
      <c r="C3" s="27" t="s">
        <v>5</v>
      </c>
      <c r="D3" s="27" t="s">
        <v>9</v>
      </c>
      <c r="E3" s="44" t="s">
        <v>7</v>
      </c>
      <c r="F3" s="53" t="s">
        <v>58</v>
      </c>
      <c r="G3" s="26" t="s">
        <v>2</v>
      </c>
      <c r="H3" s="27" t="s">
        <v>3</v>
      </c>
      <c r="I3" s="27" t="s">
        <v>4</v>
      </c>
      <c r="J3" s="27" t="s">
        <v>6</v>
      </c>
      <c r="K3" s="27" t="s">
        <v>8</v>
      </c>
      <c r="L3" s="27" t="s">
        <v>10</v>
      </c>
      <c r="M3" s="44" t="s">
        <v>11</v>
      </c>
      <c r="N3" s="53" t="s">
        <v>58</v>
      </c>
      <c r="O3" s="4" t="s">
        <v>21</v>
      </c>
    </row>
    <row r="4" spans="1:15" ht="19.5" thickBot="1">
      <c r="B4" s="78"/>
      <c r="C4" s="29" t="s">
        <v>16</v>
      </c>
      <c r="D4" s="29" t="s">
        <v>19</v>
      </c>
      <c r="E4" s="45" t="s">
        <v>62</v>
      </c>
      <c r="F4" s="54" t="s">
        <v>59</v>
      </c>
      <c r="G4" s="28" t="s">
        <v>13</v>
      </c>
      <c r="H4" s="29" t="s">
        <v>14</v>
      </c>
      <c r="I4" s="29" t="s">
        <v>15</v>
      </c>
      <c r="J4" s="29" t="s">
        <v>17</v>
      </c>
      <c r="K4" s="29" t="s">
        <v>18</v>
      </c>
      <c r="L4" s="29" t="s">
        <v>20</v>
      </c>
      <c r="M4" s="3" t="s">
        <v>63</v>
      </c>
      <c r="N4" s="54" t="s">
        <v>60</v>
      </c>
      <c r="O4" s="55" t="s">
        <v>61</v>
      </c>
    </row>
    <row r="5" spans="1:15">
      <c r="A5" s="1" t="s">
        <v>1</v>
      </c>
      <c r="B5" s="53" t="s">
        <v>22</v>
      </c>
      <c r="C5" s="56">
        <v>22</v>
      </c>
      <c r="D5" s="56">
        <v>22</v>
      </c>
      <c r="E5" s="57">
        <v>21</v>
      </c>
      <c r="F5" s="58">
        <f>SUM(C5:E5)</f>
        <v>65</v>
      </c>
      <c r="G5" s="59">
        <v>23</v>
      </c>
      <c r="H5" s="56">
        <v>18</v>
      </c>
      <c r="I5" s="56">
        <v>20</v>
      </c>
      <c r="J5" s="56">
        <v>20</v>
      </c>
      <c r="K5" s="56">
        <v>22</v>
      </c>
      <c r="L5" s="56">
        <v>22</v>
      </c>
      <c r="M5" s="60">
        <v>22</v>
      </c>
      <c r="N5" s="58">
        <f>SUM(G5:M5)</f>
        <v>147</v>
      </c>
      <c r="O5" s="58">
        <f>F5+N5</f>
        <v>212</v>
      </c>
    </row>
    <row r="6" spans="1:15">
      <c r="A6" s="1" t="s">
        <v>1</v>
      </c>
      <c r="B6" s="17" t="s">
        <v>23</v>
      </c>
      <c r="C6" s="61">
        <v>0</v>
      </c>
      <c r="D6" s="61">
        <v>0</v>
      </c>
      <c r="E6" s="62">
        <v>1</v>
      </c>
      <c r="F6" s="63">
        <f>SUM(C6:E6)</f>
        <v>1</v>
      </c>
      <c r="G6" s="64">
        <v>1</v>
      </c>
      <c r="H6" s="61">
        <v>3</v>
      </c>
      <c r="I6" s="61">
        <v>3</v>
      </c>
      <c r="J6" s="61">
        <v>2</v>
      </c>
      <c r="K6" s="61">
        <v>3</v>
      </c>
      <c r="L6" s="61">
        <v>0</v>
      </c>
      <c r="M6" s="65">
        <v>1</v>
      </c>
      <c r="N6" s="63">
        <f>SUM(G6:M6)</f>
        <v>13</v>
      </c>
      <c r="O6" s="63">
        <f t="shared" ref="O6:O39" si="0">F6+N6</f>
        <v>14</v>
      </c>
    </row>
    <row r="7" spans="1:15">
      <c r="A7" s="1" t="s">
        <v>1</v>
      </c>
      <c r="B7" s="17" t="s">
        <v>24</v>
      </c>
      <c r="C7" s="61">
        <v>0</v>
      </c>
      <c r="D7" s="61">
        <v>0</v>
      </c>
      <c r="E7" s="62">
        <v>1</v>
      </c>
      <c r="F7" s="63">
        <f t="shared" ref="F7:F14" si="1">SUM(C7:E7)</f>
        <v>1</v>
      </c>
      <c r="G7" s="64">
        <v>1</v>
      </c>
      <c r="H7" s="61">
        <v>2</v>
      </c>
      <c r="I7" s="61">
        <v>2</v>
      </c>
      <c r="J7" s="61">
        <v>1</v>
      </c>
      <c r="K7" s="61">
        <v>1</v>
      </c>
      <c r="L7" s="61">
        <v>2</v>
      </c>
      <c r="M7" s="65">
        <v>3</v>
      </c>
      <c r="N7" s="63">
        <f t="shared" ref="N7:N14" si="2">SUM(G7:M7)</f>
        <v>12</v>
      </c>
      <c r="O7" s="63">
        <f t="shared" si="0"/>
        <v>13</v>
      </c>
    </row>
    <row r="8" spans="1:15">
      <c r="A8" s="1" t="s">
        <v>1</v>
      </c>
      <c r="B8" s="17" t="s">
        <v>25</v>
      </c>
      <c r="C8" s="61">
        <v>1</v>
      </c>
      <c r="D8" s="61">
        <v>0</v>
      </c>
      <c r="E8" s="62">
        <v>3</v>
      </c>
      <c r="F8" s="63">
        <f t="shared" si="1"/>
        <v>4</v>
      </c>
      <c r="G8" s="64">
        <v>0</v>
      </c>
      <c r="H8" s="61">
        <v>5</v>
      </c>
      <c r="I8" s="61">
        <v>3</v>
      </c>
      <c r="J8" s="61">
        <v>3</v>
      </c>
      <c r="K8" s="61">
        <v>1</v>
      </c>
      <c r="L8" s="61">
        <v>1</v>
      </c>
      <c r="M8" s="65">
        <v>1</v>
      </c>
      <c r="N8" s="63">
        <f t="shared" si="2"/>
        <v>14</v>
      </c>
      <c r="O8" s="63">
        <f t="shared" si="0"/>
        <v>18</v>
      </c>
    </row>
    <row r="9" spans="1:15">
      <c r="A9" s="1" t="s">
        <v>1</v>
      </c>
      <c r="B9" s="17" t="s">
        <v>26</v>
      </c>
      <c r="C9" s="66">
        <v>0</v>
      </c>
      <c r="D9" s="66">
        <v>0</v>
      </c>
      <c r="E9" s="67">
        <v>0.16666666666666666</v>
      </c>
      <c r="F9" s="68">
        <f t="shared" si="1"/>
        <v>0.16666666666666666</v>
      </c>
      <c r="G9" s="69">
        <v>2.4583333333333335</v>
      </c>
      <c r="H9" s="66">
        <v>0.54166666666666663</v>
      </c>
      <c r="I9" s="66">
        <v>0.91666666666666663</v>
      </c>
      <c r="J9" s="66">
        <v>2.1666666666666665</v>
      </c>
      <c r="K9" s="66">
        <v>2.2083333333333335</v>
      </c>
      <c r="L9" s="66">
        <v>1.7083333333333335</v>
      </c>
      <c r="M9" s="70">
        <v>1.75</v>
      </c>
      <c r="N9" s="63">
        <f t="shared" si="2"/>
        <v>11.75</v>
      </c>
      <c r="O9" s="63">
        <f t="shared" si="0"/>
        <v>11.916666666666666</v>
      </c>
    </row>
    <row r="10" spans="1:15">
      <c r="A10" s="1" t="s">
        <v>1</v>
      </c>
      <c r="B10" s="17" t="s">
        <v>27</v>
      </c>
      <c r="C10" s="66">
        <v>0</v>
      </c>
      <c r="D10" s="66">
        <v>0</v>
      </c>
      <c r="E10" s="67">
        <v>0.29166666666666669</v>
      </c>
      <c r="F10" s="68">
        <f t="shared" si="1"/>
        <v>0.29166666666666669</v>
      </c>
      <c r="G10" s="69">
        <v>0.33333333333333331</v>
      </c>
      <c r="H10" s="66">
        <v>1</v>
      </c>
      <c r="I10" s="66">
        <v>1.2083333333333333</v>
      </c>
      <c r="J10" s="66">
        <v>0.91666666666666663</v>
      </c>
      <c r="K10" s="66">
        <v>1.2916666666666667</v>
      </c>
      <c r="L10" s="66">
        <v>0</v>
      </c>
      <c r="M10" s="70">
        <v>0.33333333333333331</v>
      </c>
      <c r="N10" s="63">
        <f t="shared" si="2"/>
        <v>5.083333333333333</v>
      </c>
      <c r="O10" s="63">
        <f t="shared" si="0"/>
        <v>5.375</v>
      </c>
    </row>
    <row r="11" spans="1:15">
      <c r="A11" s="1" t="s">
        <v>1</v>
      </c>
      <c r="B11" s="17" t="s">
        <v>28</v>
      </c>
      <c r="C11" s="66">
        <v>0</v>
      </c>
      <c r="D11" s="66">
        <v>0</v>
      </c>
      <c r="E11" s="67">
        <v>0.33333333333333331</v>
      </c>
      <c r="F11" s="68">
        <f t="shared" si="1"/>
        <v>0.33333333333333331</v>
      </c>
      <c r="G11" s="69">
        <v>0.375</v>
      </c>
      <c r="H11" s="66">
        <v>0.58333333333333337</v>
      </c>
      <c r="I11" s="66">
        <v>0.70833333333333337</v>
      </c>
      <c r="J11" s="66">
        <v>0.375</v>
      </c>
      <c r="K11" s="66">
        <v>0.33333333333333331</v>
      </c>
      <c r="L11" s="66">
        <v>0.625</v>
      </c>
      <c r="M11" s="70">
        <v>1.0833333333333333</v>
      </c>
      <c r="N11" s="63">
        <f t="shared" si="2"/>
        <v>4.0833333333333339</v>
      </c>
      <c r="O11" s="63">
        <f t="shared" si="0"/>
        <v>4.416666666666667</v>
      </c>
    </row>
    <row r="12" spans="1:15">
      <c r="A12" s="1" t="s">
        <v>1</v>
      </c>
      <c r="B12" s="17" t="s">
        <v>29</v>
      </c>
      <c r="C12" s="66">
        <v>0</v>
      </c>
      <c r="D12" s="66">
        <v>0</v>
      </c>
      <c r="E12" s="67">
        <v>0.29166666666666669</v>
      </c>
      <c r="F12" s="68">
        <f t="shared" si="1"/>
        <v>0.29166666666666669</v>
      </c>
      <c r="G12" s="69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70">
        <v>0</v>
      </c>
      <c r="N12" s="63">
        <f t="shared" si="2"/>
        <v>0</v>
      </c>
      <c r="O12" s="63">
        <f t="shared" si="0"/>
        <v>0.29166666666666669</v>
      </c>
    </row>
    <row r="13" spans="1:15">
      <c r="A13" s="1" t="s">
        <v>1</v>
      </c>
      <c r="B13" s="17" t="s">
        <v>30</v>
      </c>
      <c r="C13" s="66">
        <v>0.16666666666666666</v>
      </c>
      <c r="D13" s="66">
        <v>0</v>
      </c>
      <c r="E13" s="67">
        <v>0</v>
      </c>
      <c r="F13" s="68">
        <f t="shared" si="1"/>
        <v>0.16666666666666666</v>
      </c>
      <c r="G13" s="69">
        <v>0.95833333333333337</v>
      </c>
      <c r="H13" s="66">
        <v>1.75</v>
      </c>
      <c r="I13" s="66">
        <v>1.5</v>
      </c>
      <c r="J13" s="66">
        <v>1.375</v>
      </c>
      <c r="K13" s="66">
        <v>1.5833333333333335</v>
      </c>
      <c r="L13" s="66">
        <v>0.79166666666666663</v>
      </c>
      <c r="M13" s="70">
        <v>0.29166666666666669</v>
      </c>
      <c r="N13" s="63">
        <f t="shared" si="2"/>
        <v>8.2500000000000018</v>
      </c>
      <c r="O13" s="63">
        <f t="shared" si="0"/>
        <v>8.4166666666666679</v>
      </c>
    </row>
    <row r="14" spans="1:15">
      <c r="A14" s="1" t="s">
        <v>1</v>
      </c>
      <c r="B14" s="11" t="s">
        <v>31</v>
      </c>
      <c r="C14" s="31">
        <v>30</v>
      </c>
      <c r="D14" s="31">
        <v>15</v>
      </c>
      <c r="E14" s="46">
        <v>9</v>
      </c>
      <c r="F14" s="13">
        <f t="shared" si="1"/>
        <v>54</v>
      </c>
      <c r="G14" s="30">
        <v>29</v>
      </c>
      <c r="H14" s="31">
        <v>19</v>
      </c>
      <c r="I14" s="31">
        <v>20</v>
      </c>
      <c r="J14" s="31">
        <v>24</v>
      </c>
      <c r="K14" s="31">
        <v>7</v>
      </c>
      <c r="L14" s="31">
        <v>4</v>
      </c>
      <c r="M14" s="12">
        <v>5</v>
      </c>
      <c r="N14" s="13">
        <f t="shared" si="2"/>
        <v>108</v>
      </c>
      <c r="O14" s="13">
        <f t="shared" si="0"/>
        <v>162</v>
      </c>
    </row>
    <row r="15" spans="1:15">
      <c r="A15" s="1" t="s">
        <v>1</v>
      </c>
      <c r="B15" s="14" t="s">
        <v>32</v>
      </c>
      <c r="C15" s="35">
        <v>355000</v>
      </c>
      <c r="D15" s="35">
        <v>355000</v>
      </c>
      <c r="E15" s="48">
        <v>170000</v>
      </c>
      <c r="F15" s="16">
        <f>SUM(C15:E15)</f>
        <v>880000</v>
      </c>
      <c r="G15" s="34">
        <v>177000</v>
      </c>
      <c r="H15" s="35">
        <v>177000</v>
      </c>
      <c r="I15" s="35">
        <v>177000</v>
      </c>
      <c r="J15" s="35">
        <v>192000</v>
      </c>
      <c r="K15" s="35">
        <v>177000</v>
      </c>
      <c r="L15" s="35">
        <v>170000</v>
      </c>
      <c r="M15" s="15">
        <v>170000</v>
      </c>
      <c r="N15" s="16">
        <f>SUM(G15:M15)</f>
        <v>1240000</v>
      </c>
      <c r="O15" s="16">
        <f t="shared" si="0"/>
        <v>2120000</v>
      </c>
    </row>
    <row r="16" spans="1:15">
      <c r="A16" s="1" t="s">
        <v>1</v>
      </c>
      <c r="B16" s="17" t="s">
        <v>33</v>
      </c>
      <c r="C16" s="37">
        <v>0</v>
      </c>
      <c r="D16" s="37">
        <v>0</v>
      </c>
      <c r="E16" s="49">
        <v>0</v>
      </c>
      <c r="F16" s="19">
        <f t="shared" ref="F16:F39" si="3">SUM(C16:E16)</f>
        <v>0</v>
      </c>
      <c r="G16" s="36">
        <v>5000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18">
        <v>0</v>
      </c>
      <c r="N16" s="19">
        <f t="shared" ref="N16:N40" si="4">SUM(G16:M16)</f>
        <v>5000</v>
      </c>
      <c r="O16" s="19">
        <f t="shared" si="0"/>
        <v>5000</v>
      </c>
    </row>
    <row r="17" spans="1:15">
      <c r="A17" s="1" t="s">
        <v>1</v>
      </c>
      <c r="B17" s="17" t="s">
        <v>34</v>
      </c>
      <c r="C17" s="37">
        <v>0</v>
      </c>
      <c r="D17" s="37">
        <v>0</v>
      </c>
      <c r="E17" s="49">
        <v>6000</v>
      </c>
      <c r="F17" s="19">
        <f t="shared" si="3"/>
        <v>6000</v>
      </c>
      <c r="G17" s="36">
        <v>0</v>
      </c>
      <c r="H17" s="37">
        <v>10000</v>
      </c>
      <c r="I17" s="37">
        <v>0</v>
      </c>
      <c r="J17" s="37">
        <v>0</v>
      </c>
      <c r="K17" s="37">
        <v>0</v>
      </c>
      <c r="L17" s="37">
        <v>0</v>
      </c>
      <c r="M17" s="18">
        <v>0</v>
      </c>
      <c r="N17" s="19">
        <f t="shared" si="4"/>
        <v>10000</v>
      </c>
      <c r="O17" s="19">
        <f t="shared" si="0"/>
        <v>16000</v>
      </c>
    </row>
    <row r="18" spans="1:15">
      <c r="A18" s="1" t="s">
        <v>1</v>
      </c>
      <c r="B18" s="17" t="s">
        <v>35</v>
      </c>
      <c r="C18" s="37">
        <v>0</v>
      </c>
      <c r="D18" s="37">
        <v>0</v>
      </c>
      <c r="E18" s="49">
        <v>0</v>
      </c>
      <c r="F18" s="19">
        <f t="shared" si="3"/>
        <v>0</v>
      </c>
      <c r="G18" s="36">
        <v>2000</v>
      </c>
      <c r="H18" s="37">
        <v>2000</v>
      </c>
      <c r="I18" s="37">
        <v>2000</v>
      </c>
      <c r="J18" s="37">
        <v>2000</v>
      </c>
      <c r="K18" s="37">
        <v>1000</v>
      </c>
      <c r="L18" s="37">
        <v>1000</v>
      </c>
      <c r="M18" s="18">
        <v>0</v>
      </c>
      <c r="N18" s="19">
        <f t="shared" si="4"/>
        <v>10000</v>
      </c>
      <c r="O18" s="19">
        <f t="shared" si="0"/>
        <v>10000</v>
      </c>
    </row>
    <row r="19" spans="1:15">
      <c r="A19" s="1" t="s">
        <v>1</v>
      </c>
      <c r="B19" s="17" t="s">
        <v>36</v>
      </c>
      <c r="C19" s="37">
        <v>0</v>
      </c>
      <c r="D19" s="37">
        <v>0</v>
      </c>
      <c r="E19" s="49">
        <v>0</v>
      </c>
      <c r="F19" s="19">
        <f t="shared" si="3"/>
        <v>0</v>
      </c>
      <c r="G19" s="36">
        <v>0</v>
      </c>
      <c r="H19" s="37">
        <v>12600</v>
      </c>
      <c r="I19" s="37">
        <v>0</v>
      </c>
      <c r="J19" s="37">
        <v>0</v>
      </c>
      <c r="K19" s="37">
        <v>0</v>
      </c>
      <c r="L19" s="37">
        <v>0</v>
      </c>
      <c r="M19" s="18">
        <v>0</v>
      </c>
      <c r="N19" s="19">
        <f t="shared" si="4"/>
        <v>12600</v>
      </c>
      <c r="O19" s="19">
        <f t="shared" si="0"/>
        <v>12600</v>
      </c>
    </row>
    <row r="20" spans="1:15">
      <c r="A20" s="1" t="s">
        <v>1</v>
      </c>
      <c r="B20" s="17" t="s">
        <v>26</v>
      </c>
      <c r="C20" s="37">
        <v>0</v>
      </c>
      <c r="D20" s="37">
        <v>0</v>
      </c>
      <c r="E20" s="49">
        <v>6024</v>
      </c>
      <c r="F20" s="19">
        <f t="shared" si="3"/>
        <v>6024</v>
      </c>
      <c r="G20" s="36">
        <v>81302</v>
      </c>
      <c r="H20" s="37">
        <v>19617</v>
      </c>
      <c r="I20" s="37">
        <v>29480</v>
      </c>
      <c r="J20" s="37">
        <v>75556</v>
      </c>
      <c r="K20" s="37">
        <v>70649</v>
      </c>
      <c r="L20" s="37">
        <v>52480</v>
      </c>
      <c r="M20" s="18">
        <v>53466</v>
      </c>
      <c r="N20" s="19">
        <f t="shared" si="4"/>
        <v>382550</v>
      </c>
      <c r="O20" s="19">
        <f t="shared" si="0"/>
        <v>388574</v>
      </c>
    </row>
    <row r="21" spans="1:15">
      <c r="A21" s="1" t="s">
        <v>1</v>
      </c>
      <c r="B21" s="17" t="s">
        <v>37</v>
      </c>
      <c r="C21" s="37">
        <v>0</v>
      </c>
      <c r="D21" s="37">
        <v>0</v>
      </c>
      <c r="E21" s="49">
        <v>11389</v>
      </c>
      <c r="F21" s="19">
        <f t="shared" si="3"/>
        <v>11389</v>
      </c>
      <c r="G21" s="36">
        <v>11904</v>
      </c>
      <c r="H21" s="37">
        <v>39096</v>
      </c>
      <c r="I21" s="37">
        <v>41963</v>
      </c>
      <c r="J21" s="37">
        <v>34518</v>
      </c>
      <c r="K21" s="37">
        <v>44609</v>
      </c>
      <c r="L21" s="37">
        <v>0</v>
      </c>
      <c r="M21" s="18">
        <v>10992</v>
      </c>
      <c r="N21" s="19">
        <f t="shared" si="4"/>
        <v>183082</v>
      </c>
      <c r="O21" s="19">
        <f t="shared" si="0"/>
        <v>194471</v>
      </c>
    </row>
    <row r="22" spans="1:15">
      <c r="A22" s="1" t="s">
        <v>1</v>
      </c>
      <c r="B22" s="17" t="s">
        <v>38</v>
      </c>
      <c r="C22" s="37">
        <v>0</v>
      </c>
      <c r="D22" s="37">
        <v>0</v>
      </c>
      <c r="E22" s="49">
        <v>13016</v>
      </c>
      <c r="F22" s="19">
        <f t="shared" si="3"/>
        <v>13016</v>
      </c>
      <c r="G22" s="36">
        <v>13392</v>
      </c>
      <c r="H22" s="37">
        <v>22806</v>
      </c>
      <c r="I22" s="37">
        <v>24599</v>
      </c>
      <c r="J22" s="37">
        <v>14121</v>
      </c>
      <c r="K22" s="37">
        <v>11512</v>
      </c>
      <c r="L22" s="37">
        <v>20730</v>
      </c>
      <c r="M22" s="18">
        <v>35724</v>
      </c>
      <c r="N22" s="19">
        <f t="shared" si="4"/>
        <v>142884</v>
      </c>
      <c r="O22" s="19">
        <f t="shared" si="0"/>
        <v>155900</v>
      </c>
    </row>
    <row r="23" spans="1:15">
      <c r="A23" s="1" t="s">
        <v>1</v>
      </c>
      <c r="B23" s="17" t="s">
        <v>29</v>
      </c>
      <c r="C23" s="37">
        <v>0</v>
      </c>
      <c r="D23" s="37">
        <v>0</v>
      </c>
      <c r="E23" s="49">
        <v>8435</v>
      </c>
      <c r="F23" s="19">
        <f t="shared" si="3"/>
        <v>8435</v>
      </c>
      <c r="G23" s="36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18">
        <v>0</v>
      </c>
      <c r="N23" s="19">
        <f t="shared" si="4"/>
        <v>0</v>
      </c>
      <c r="O23" s="19">
        <f t="shared" si="0"/>
        <v>8435</v>
      </c>
    </row>
    <row r="24" spans="1:15">
      <c r="A24" s="1" t="s">
        <v>1</v>
      </c>
      <c r="B24" s="5" t="s">
        <v>30</v>
      </c>
      <c r="C24" s="33">
        <v>2128</v>
      </c>
      <c r="D24" s="33">
        <v>0</v>
      </c>
      <c r="E24" s="47">
        <v>0</v>
      </c>
      <c r="F24" s="7">
        <f t="shared" si="3"/>
        <v>2128</v>
      </c>
      <c r="G24" s="32">
        <v>6348</v>
      </c>
      <c r="H24" s="33">
        <v>12684</v>
      </c>
      <c r="I24" s="33">
        <v>9648</v>
      </c>
      <c r="J24" s="33">
        <v>9603</v>
      </c>
      <c r="K24" s="33">
        <v>10146</v>
      </c>
      <c r="L24" s="33">
        <v>4864</v>
      </c>
      <c r="M24" s="6">
        <v>1785</v>
      </c>
      <c r="N24" s="7">
        <f t="shared" si="4"/>
        <v>55078</v>
      </c>
      <c r="O24" s="7">
        <f t="shared" si="0"/>
        <v>57206</v>
      </c>
    </row>
    <row r="25" spans="1:15">
      <c r="A25" s="1" t="s">
        <v>1</v>
      </c>
      <c r="B25" s="23" t="s">
        <v>39</v>
      </c>
      <c r="C25" s="41">
        <v>357128</v>
      </c>
      <c r="D25" s="41">
        <v>355000</v>
      </c>
      <c r="E25" s="51">
        <v>214864</v>
      </c>
      <c r="F25" s="25">
        <f t="shared" si="3"/>
        <v>926992</v>
      </c>
      <c r="G25" s="40">
        <v>296946</v>
      </c>
      <c r="H25" s="41">
        <v>295803</v>
      </c>
      <c r="I25" s="41">
        <v>284690</v>
      </c>
      <c r="J25" s="41">
        <v>327798</v>
      </c>
      <c r="K25" s="41">
        <v>314916</v>
      </c>
      <c r="L25" s="41">
        <v>249074</v>
      </c>
      <c r="M25" s="24">
        <v>271967</v>
      </c>
      <c r="N25" s="25">
        <f t="shared" si="4"/>
        <v>2041194</v>
      </c>
      <c r="O25" s="25">
        <f t="shared" si="0"/>
        <v>2968186</v>
      </c>
    </row>
    <row r="26" spans="1:15">
      <c r="A26" s="1" t="s">
        <v>1</v>
      </c>
      <c r="B26" s="71" t="s">
        <v>40</v>
      </c>
      <c r="C26" s="72">
        <v>8661</v>
      </c>
      <c r="D26" s="72">
        <v>18072</v>
      </c>
      <c r="E26" s="73">
        <v>565</v>
      </c>
      <c r="F26" s="74">
        <f t="shared" si="3"/>
        <v>27298</v>
      </c>
      <c r="G26" s="75">
        <v>9208</v>
      </c>
      <c r="H26" s="72">
        <v>2259</v>
      </c>
      <c r="I26" s="72">
        <v>2456</v>
      </c>
      <c r="J26" s="72">
        <v>10731</v>
      </c>
      <c r="K26" s="72">
        <v>5746</v>
      </c>
      <c r="L26" s="72">
        <v>7072</v>
      </c>
      <c r="M26" s="76">
        <v>1277</v>
      </c>
      <c r="N26" s="74">
        <f t="shared" si="4"/>
        <v>38749</v>
      </c>
      <c r="O26" s="74">
        <f t="shared" si="0"/>
        <v>66047</v>
      </c>
    </row>
    <row r="27" spans="1:15">
      <c r="A27" s="1" t="s">
        <v>1</v>
      </c>
      <c r="B27" s="20" t="s">
        <v>41</v>
      </c>
      <c r="C27" s="39">
        <v>8661</v>
      </c>
      <c r="D27" s="39">
        <v>18072</v>
      </c>
      <c r="E27" s="50">
        <v>565</v>
      </c>
      <c r="F27" s="22">
        <f t="shared" si="3"/>
        <v>27298</v>
      </c>
      <c r="G27" s="38">
        <v>9208</v>
      </c>
      <c r="H27" s="39">
        <v>2259</v>
      </c>
      <c r="I27" s="39">
        <v>2456</v>
      </c>
      <c r="J27" s="39">
        <v>10731</v>
      </c>
      <c r="K27" s="39">
        <v>5746</v>
      </c>
      <c r="L27" s="39">
        <v>7072</v>
      </c>
      <c r="M27" s="21">
        <v>1277</v>
      </c>
      <c r="N27" s="22">
        <f t="shared" si="4"/>
        <v>38749</v>
      </c>
      <c r="O27" s="22">
        <f t="shared" si="0"/>
        <v>66047</v>
      </c>
    </row>
    <row r="28" spans="1:15">
      <c r="A28" s="1" t="s">
        <v>1</v>
      </c>
      <c r="B28" s="23" t="s">
        <v>42</v>
      </c>
      <c r="C28" s="41">
        <v>365789</v>
      </c>
      <c r="D28" s="41">
        <v>373072</v>
      </c>
      <c r="E28" s="51">
        <v>215429</v>
      </c>
      <c r="F28" s="25">
        <f t="shared" si="3"/>
        <v>954290</v>
      </c>
      <c r="G28" s="40">
        <v>306154</v>
      </c>
      <c r="H28" s="41">
        <v>298062</v>
      </c>
      <c r="I28" s="41">
        <v>287146</v>
      </c>
      <c r="J28" s="41">
        <v>338529</v>
      </c>
      <c r="K28" s="41">
        <v>320662</v>
      </c>
      <c r="L28" s="41">
        <v>256146</v>
      </c>
      <c r="M28" s="24">
        <v>273244</v>
      </c>
      <c r="N28" s="25">
        <f t="shared" si="4"/>
        <v>2079943</v>
      </c>
      <c r="O28" s="25">
        <f t="shared" si="0"/>
        <v>3034233</v>
      </c>
    </row>
    <row r="29" spans="1:15">
      <c r="A29" s="1" t="s">
        <v>1</v>
      </c>
      <c r="B29" s="14" t="s">
        <v>43</v>
      </c>
      <c r="C29" s="35">
        <v>17340</v>
      </c>
      <c r="D29" s="35">
        <v>18360</v>
      </c>
      <c r="E29" s="48">
        <v>11220</v>
      </c>
      <c r="F29" s="16">
        <f t="shared" si="3"/>
        <v>46920</v>
      </c>
      <c r="G29" s="34">
        <v>17340</v>
      </c>
      <c r="H29" s="35">
        <v>16320</v>
      </c>
      <c r="I29" s="35">
        <v>16320</v>
      </c>
      <c r="J29" s="35">
        <v>17340</v>
      </c>
      <c r="K29" s="35">
        <v>15300</v>
      </c>
      <c r="L29" s="35">
        <v>15300</v>
      </c>
      <c r="M29" s="15">
        <v>15300</v>
      </c>
      <c r="N29" s="16">
        <f t="shared" si="4"/>
        <v>113220</v>
      </c>
      <c r="O29" s="16">
        <f t="shared" si="0"/>
        <v>160140</v>
      </c>
    </row>
    <row r="30" spans="1:15">
      <c r="A30" s="1" t="s">
        <v>1</v>
      </c>
      <c r="B30" s="17" t="s">
        <v>44</v>
      </c>
      <c r="C30" s="37">
        <v>3060</v>
      </c>
      <c r="D30" s="37">
        <v>3240</v>
      </c>
      <c r="E30" s="49">
        <v>0</v>
      </c>
      <c r="F30" s="19">
        <f t="shared" si="3"/>
        <v>6300</v>
      </c>
      <c r="G30" s="36">
        <v>3060</v>
      </c>
      <c r="H30" s="37">
        <v>2880</v>
      </c>
      <c r="I30" s="37">
        <v>2880</v>
      </c>
      <c r="J30" s="37">
        <v>3060</v>
      </c>
      <c r="K30" s="37">
        <v>2700</v>
      </c>
      <c r="L30" s="37">
        <v>2700</v>
      </c>
      <c r="M30" s="18">
        <v>2700</v>
      </c>
      <c r="N30" s="19">
        <f t="shared" si="4"/>
        <v>19980</v>
      </c>
      <c r="O30" s="19">
        <f t="shared" si="0"/>
        <v>26280</v>
      </c>
    </row>
    <row r="31" spans="1:15">
      <c r="A31" s="1" t="s">
        <v>1</v>
      </c>
      <c r="B31" s="17" t="s">
        <v>45</v>
      </c>
      <c r="C31" s="37">
        <v>31110</v>
      </c>
      <c r="D31" s="37">
        <v>32940</v>
      </c>
      <c r="E31" s="49">
        <v>20130</v>
      </c>
      <c r="F31" s="19">
        <f t="shared" si="3"/>
        <v>84180</v>
      </c>
      <c r="G31" s="36">
        <v>31110</v>
      </c>
      <c r="H31" s="37">
        <v>29280</v>
      </c>
      <c r="I31" s="37">
        <v>29280</v>
      </c>
      <c r="J31" s="37">
        <v>31110</v>
      </c>
      <c r="K31" s="37">
        <v>27450</v>
      </c>
      <c r="L31" s="37">
        <v>27450</v>
      </c>
      <c r="M31" s="18">
        <v>27450</v>
      </c>
      <c r="N31" s="19">
        <f t="shared" si="4"/>
        <v>203130</v>
      </c>
      <c r="O31" s="19">
        <f t="shared" si="0"/>
        <v>287310</v>
      </c>
    </row>
    <row r="32" spans="1:15">
      <c r="A32" s="1" t="s">
        <v>1</v>
      </c>
      <c r="B32" s="5" t="s">
        <v>46</v>
      </c>
      <c r="C32" s="33">
        <v>1829</v>
      </c>
      <c r="D32" s="33">
        <v>1865</v>
      </c>
      <c r="E32" s="47">
        <v>1077</v>
      </c>
      <c r="F32" s="7">
        <f t="shared" si="3"/>
        <v>4771</v>
      </c>
      <c r="G32" s="32">
        <v>1531</v>
      </c>
      <c r="H32" s="33">
        <v>1490</v>
      </c>
      <c r="I32" s="33">
        <v>1436</v>
      </c>
      <c r="J32" s="33">
        <v>1693</v>
      </c>
      <c r="K32" s="33">
        <v>1603</v>
      </c>
      <c r="L32" s="33">
        <v>1281</v>
      </c>
      <c r="M32" s="6">
        <v>1366</v>
      </c>
      <c r="N32" s="7">
        <f t="shared" si="4"/>
        <v>10400</v>
      </c>
      <c r="O32" s="7">
        <f t="shared" si="0"/>
        <v>15171</v>
      </c>
    </row>
    <row r="33" spans="1:15">
      <c r="A33" s="1" t="s">
        <v>1</v>
      </c>
      <c r="B33" s="23" t="s">
        <v>47</v>
      </c>
      <c r="C33" s="41">
        <v>53339</v>
      </c>
      <c r="D33" s="41">
        <v>56405</v>
      </c>
      <c r="E33" s="51">
        <v>32427</v>
      </c>
      <c r="F33" s="25">
        <f t="shared" si="3"/>
        <v>142171</v>
      </c>
      <c r="G33" s="40">
        <v>53041</v>
      </c>
      <c r="H33" s="41">
        <v>49970</v>
      </c>
      <c r="I33" s="41">
        <v>49916</v>
      </c>
      <c r="J33" s="41">
        <v>53203</v>
      </c>
      <c r="K33" s="41">
        <v>47053</v>
      </c>
      <c r="L33" s="41">
        <v>46731</v>
      </c>
      <c r="M33" s="24">
        <v>46816</v>
      </c>
      <c r="N33" s="25">
        <f t="shared" si="4"/>
        <v>346730</v>
      </c>
      <c r="O33" s="25">
        <f t="shared" si="0"/>
        <v>488901</v>
      </c>
    </row>
    <row r="34" spans="1:15">
      <c r="A34" s="1" t="s">
        <v>1</v>
      </c>
      <c r="B34" s="14" t="s">
        <v>48</v>
      </c>
      <c r="C34" s="35">
        <v>8690</v>
      </c>
      <c r="D34" s="35">
        <v>8290</v>
      </c>
      <c r="E34" s="48">
        <v>4140</v>
      </c>
      <c r="F34" s="16">
        <f t="shared" si="3"/>
        <v>21120</v>
      </c>
      <c r="G34" s="34">
        <v>3100</v>
      </c>
      <c r="H34" s="35">
        <v>3170</v>
      </c>
      <c r="I34" s="35">
        <v>6010</v>
      </c>
      <c r="J34" s="35">
        <v>7430</v>
      </c>
      <c r="K34" s="35">
        <v>3960</v>
      </c>
      <c r="L34" s="35">
        <v>4850</v>
      </c>
      <c r="M34" s="15">
        <v>4050</v>
      </c>
      <c r="N34" s="16">
        <f t="shared" si="4"/>
        <v>32570</v>
      </c>
      <c r="O34" s="16">
        <f t="shared" si="0"/>
        <v>53690</v>
      </c>
    </row>
    <row r="35" spans="1:15">
      <c r="A35" s="1" t="s">
        <v>1</v>
      </c>
      <c r="B35" s="5" t="s">
        <v>49</v>
      </c>
      <c r="C35" s="33">
        <v>14100</v>
      </c>
      <c r="D35" s="33">
        <v>15500</v>
      </c>
      <c r="E35" s="47">
        <v>5500</v>
      </c>
      <c r="F35" s="7">
        <f t="shared" si="3"/>
        <v>35100</v>
      </c>
      <c r="G35" s="32">
        <v>7700</v>
      </c>
      <c r="H35" s="33">
        <v>9200</v>
      </c>
      <c r="I35" s="33">
        <v>12700</v>
      </c>
      <c r="J35" s="33">
        <v>14400</v>
      </c>
      <c r="K35" s="33">
        <v>9200</v>
      </c>
      <c r="L35" s="33">
        <v>10700</v>
      </c>
      <c r="M35" s="6">
        <v>12800</v>
      </c>
      <c r="N35" s="7">
        <f t="shared" si="4"/>
        <v>76700</v>
      </c>
      <c r="O35" s="7">
        <f t="shared" si="0"/>
        <v>111800</v>
      </c>
    </row>
    <row r="36" spans="1:15">
      <c r="A36" s="1" t="s">
        <v>1</v>
      </c>
      <c r="B36" s="23" t="s">
        <v>50</v>
      </c>
      <c r="C36" s="41">
        <v>76129</v>
      </c>
      <c r="D36" s="41">
        <v>80195</v>
      </c>
      <c r="E36" s="51">
        <v>42067</v>
      </c>
      <c r="F36" s="25">
        <f t="shared" si="3"/>
        <v>198391</v>
      </c>
      <c r="G36" s="40">
        <v>63841</v>
      </c>
      <c r="H36" s="41">
        <v>62340</v>
      </c>
      <c r="I36" s="41">
        <v>68626</v>
      </c>
      <c r="J36" s="41">
        <v>75033</v>
      </c>
      <c r="K36" s="41">
        <v>60213</v>
      </c>
      <c r="L36" s="41">
        <v>62281</v>
      </c>
      <c r="M36" s="24">
        <v>63666</v>
      </c>
      <c r="N36" s="25">
        <f t="shared" si="4"/>
        <v>456000</v>
      </c>
      <c r="O36" s="25">
        <f t="shared" si="0"/>
        <v>654391</v>
      </c>
    </row>
    <row r="37" spans="1:15">
      <c r="A37" s="1" t="s">
        <v>1</v>
      </c>
      <c r="B37" s="23" t="s">
        <v>51</v>
      </c>
      <c r="C37" s="41">
        <v>303789</v>
      </c>
      <c r="D37" s="41">
        <v>298595</v>
      </c>
      <c r="E37" s="51">
        <v>182437</v>
      </c>
      <c r="F37" s="25">
        <f t="shared" si="3"/>
        <v>784821</v>
      </c>
      <c r="G37" s="40">
        <v>243905</v>
      </c>
      <c r="H37" s="41">
        <v>245833</v>
      </c>
      <c r="I37" s="41">
        <v>234774</v>
      </c>
      <c r="J37" s="41">
        <v>274595</v>
      </c>
      <c r="K37" s="41">
        <v>267863</v>
      </c>
      <c r="L37" s="41">
        <v>202343</v>
      </c>
      <c r="M37" s="24">
        <v>225151</v>
      </c>
      <c r="N37" s="25">
        <f t="shared" si="4"/>
        <v>1694464</v>
      </c>
      <c r="O37" s="25">
        <f t="shared" si="0"/>
        <v>2479285</v>
      </c>
    </row>
    <row r="38" spans="1:15">
      <c r="A38" s="1" t="s">
        <v>1</v>
      </c>
      <c r="B38" s="23" t="s">
        <v>52</v>
      </c>
      <c r="C38" s="41">
        <v>289660</v>
      </c>
      <c r="D38" s="41">
        <v>292877</v>
      </c>
      <c r="E38" s="51">
        <v>173362</v>
      </c>
      <c r="F38" s="25">
        <f t="shared" si="3"/>
        <v>755899</v>
      </c>
      <c r="G38" s="40">
        <v>242313</v>
      </c>
      <c r="H38" s="41">
        <v>235722</v>
      </c>
      <c r="I38" s="41">
        <v>218520</v>
      </c>
      <c r="J38" s="41">
        <v>263496</v>
      </c>
      <c r="K38" s="41">
        <v>260449</v>
      </c>
      <c r="L38" s="41">
        <v>193865</v>
      </c>
      <c r="M38" s="24">
        <v>209578</v>
      </c>
      <c r="N38" s="25">
        <f t="shared" si="4"/>
        <v>1623943</v>
      </c>
      <c r="O38" s="25">
        <f t="shared" si="0"/>
        <v>2379842</v>
      </c>
    </row>
    <row r="39" spans="1:15">
      <c r="A39" s="1" t="s">
        <v>1</v>
      </c>
      <c r="B39" s="23" t="s">
        <v>53</v>
      </c>
      <c r="C39" s="41">
        <v>289660</v>
      </c>
      <c r="D39" s="41">
        <v>292877</v>
      </c>
      <c r="E39" s="51">
        <v>173362</v>
      </c>
      <c r="F39" s="25">
        <f t="shared" si="3"/>
        <v>755899</v>
      </c>
      <c r="G39" s="40">
        <v>242313</v>
      </c>
      <c r="H39" s="41">
        <v>235722</v>
      </c>
      <c r="I39" s="41">
        <v>218520</v>
      </c>
      <c r="J39" s="41">
        <v>263496</v>
      </c>
      <c r="K39" s="41">
        <v>260449</v>
      </c>
      <c r="L39" s="41">
        <v>193865</v>
      </c>
      <c r="M39" s="24">
        <v>209578</v>
      </c>
      <c r="N39" s="25">
        <f t="shared" si="4"/>
        <v>1623943</v>
      </c>
      <c r="O39" s="25">
        <f t="shared" si="0"/>
        <v>2379842</v>
      </c>
    </row>
    <row r="40" spans="1:15">
      <c r="A40" s="1" t="s">
        <v>1</v>
      </c>
      <c r="B40" s="5" t="s">
        <v>54</v>
      </c>
      <c r="C40" s="33">
        <v>0</v>
      </c>
      <c r="D40" s="33">
        <v>0</v>
      </c>
      <c r="E40" s="47">
        <v>0</v>
      </c>
      <c r="F40" s="7"/>
      <c r="G40" s="32">
        <v>2</v>
      </c>
      <c r="H40" s="33">
        <v>2</v>
      </c>
      <c r="I40" s="33">
        <v>0</v>
      </c>
      <c r="J40" s="33">
        <v>0</v>
      </c>
      <c r="K40" s="33">
        <v>2</v>
      </c>
      <c r="L40" s="33">
        <v>0</v>
      </c>
      <c r="M40" s="6">
        <v>1</v>
      </c>
      <c r="N40" s="7">
        <f t="shared" si="4"/>
        <v>7</v>
      </c>
      <c r="O40" s="7"/>
    </row>
    <row r="41" spans="1:15" ht="19.5" thickBot="1">
      <c r="A41" s="1" t="s">
        <v>1</v>
      </c>
      <c r="B41" s="8" t="s">
        <v>55</v>
      </c>
      <c r="C41" s="43" t="s">
        <v>56</v>
      </c>
      <c r="D41" s="43" t="s">
        <v>56</v>
      </c>
      <c r="E41" s="52" t="s">
        <v>56</v>
      </c>
      <c r="F41" s="10"/>
      <c r="G41" s="42" t="s">
        <v>56</v>
      </c>
      <c r="H41" s="43" t="s">
        <v>56</v>
      </c>
      <c r="I41" s="43" t="s">
        <v>56</v>
      </c>
      <c r="J41" s="43" t="s">
        <v>56</v>
      </c>
      <c r="K41" s="43" t="s">
        <v>56</v>
      </c>
      <c r="L41" s="43" t="s">
        <v>56</v>
      </c>
      <c r="M41" s="9" t="s">
        <v>56</v>
      </c>
      <c r="N41" s="10"/>
      <c r="O41" s="10"/>
    </row>
  </sheetData>
  <mergeCells count="1">
    <mergeCell ref="B3:B4"/>
  </mergeCells>
  <phoneticPr fontId="4"/>
  <pageMargins left="0.31496062992125984" right="0.31496062992125984" top="0.35433070866141736" bottom="0.35433070866141736" header="0.11811023622047245" footer="0.11811023622047245"/>
  <pageSetup paperSize="12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3月度給与（2）</vt:lpstr>
      <vt:lpstr>'2023年 3月度給与（2）'!Print_Area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2023-04-13T02:55:54Z</cp:lastPrinted>
  <dcterms:created xsi:type="dcterms:W3CDTF">2023-04-13T02:30:09Z</dcterms:created>
  <dcterms:modified xsi:type="dcterms:W3CDTF">2023-04-13T05:51:52Z</dcterms:modified>
</cp:coreProperties>
</file>