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2\"/>
    </mc:Choice>
  </mc:AlternateContent>
  <xr:revisionPtr revIDLastSave="0" documentId="13_ncr:1_{419B5325-E77B-4493-B983-5A30958CCA23}" xr6:coauthVersionLast="47" xr6:coauthVersionMax="47" xr10:uidLastSave="{00000000-0000-0000-0000-000000000000}"/>
  <bookViews>
    <workbookView xWindow="-120" yWindow="-120" windowWidth="20730" windowHeight="11160" xr2:uid="{4189E7EA-FE63-4D9A-8FD0-593C3D75615C}"/>
  </bookViews>
  <sheets>
    <sheet name="2023年 2月度給与 (4)" sheetId="5" r:id="rId1"/>
    <sheet name="2023年 2月度給与 (3)" sheetId="4" r:id="rId2"/>
  </sheets>
  <definedNames>
    <definedName name="_xlnm.Print_Area" localSheetId="1">'2023年 2月度給与 (3)'!$A$1:$U$64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3" i="5" l="1"/>
  <c r="N62" i="5"/>
  <c r="L62" i="5"/>
  <c r="N61" i="5"/>
  <c r="L61" i="5"/>
  <c r="N60" i="5"/>
  <c r="L60" i="5"/>
  <c r="N59" i="5"/>
  <c r="L59" i="5"/>
  <c r="N58" i="5"/>
  <c r="L58" i="5"/>
  <c r="N57" i="5"/>
  <c r="L57" i="5"/>
  <c r="N56" i="5"/>
  <c r="L56" i="5"/>
  <c r="N55" i="5"/>
  <c r="L55" i="5"/>
  <c r="N54" i="5"/>
  <c r="L54" i="5"/>
  <c r="N53" i="5"/>
  <c r="L53" i="5"/>
  <c r="N52" i="5"/>
  <c r="L52" i="5"/>
  <c r="N51" i="5"/>
  <c r="L51" i="5"/>
  <c r="N50" i="5"/>
  <c r="L50" i="5"/>
  <c r="N49" i="5"/>
  <c r="L49" i="5"/>
  <c r="N48" i="5"/>
  <c r="L48" i="5"/>
  <c r="N47" i="5"/>
  <c r="L47" i="5"/>
  <c r="N46" i="5"/>
  <c r="L46" i="5"/>
  <c r="N45" i="5"/>
  <c r="L45" i="5"/>
  <c r="N44" i="5"/>
  <c r="L44" i="5"/>
  <c r="N43" i="5"/>
  <c r="L43" i="5"/>
  <c r="N42" i="5"/>
  <c r="L42" i="5"/>
  <c r="N41" i="5"/>
  <c r="L41" i="5"/>
  <c r="N40" i="5"/>
  <c r="L40" i="5"/>
  <c r="N39" i="5"/>
  <c r="L39" i="5"/>
  <c r="N38" i="5"/>
  <c r="L38" i="5"/>
  <c r="N37" i="5"/>
  <c r="L37" i="5"/>
  <c r="N36" i="5"/>
  <c r="L36" i="5"/>
  <c r="N35" i="5"/>
  <c r="L35" i="5"/>
  <c r="N34" i="5"/>
  <c r="L34" i="5"/>
  <c r="N33" i="5"/>
  <c r="L33" i="5"/>
  <c r="N32" i="5"/>
  <c r="L32" i="5"/>
  <c r="N31" i="5"/>
  <c r="L31" i="5"/>
  <c r="N30" i="5"/>
  <c r="L30" i="5"/>
  <c r="N29" i="5"/>
  <c r="L29" i="5"/>
  <c r="N28" i="5"/>
  <c r="L28" i="5"/>
  <c r="N27" i="5"/>
  <c r="L27" i="5"/>
  <c r="N26" i="5"/>
  <c r="L26" i="5"/>
  <c r="N25" i="5"/>
  <c r="L25" i="5"/>
  <c r="N24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N5" i="5"/>
  <c r="L5" i="5"/>
  <c r="U62" i="4"/>
  <c r="U61" i="4"/>
  <c r="U60" i="4"/>
  <c r="U59" i="4"/>
  <c r="U58" i="4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37" i="4"/>
  <c r="U36" i="4"/>
  <c r="U35" i="4"/>
  <c r="U34" i="4"/>
  <c r="U33" i="4"/>
  <c r="U32" i="4"/>
  <c r="U31" i="4"/>
  <c r="U30" i="4"/>
  <c r="U29" i="4"/>
  <c r="U28" i="4"/>
  <c r="U27" i="4"/>
  <c r="U26" i="4"/>
  <c r="U25" i="4"/>
  <c r="U24" i="4"/>
  <c r="U23" i="4"/>
  <c r="U22" i="4"/>
  <c r="U21" i="4"/>
  <c r="U20" i="4"/>
  <c r="U19" i="4"/>
  <c r="U18" i="4"/>
  <c r="U17" i="4"/>
  <c r="U16" i="4"/>
  <c r="U15" i="4"/>
  <c r="U14" i="4"/>
  <c r="U13" i="4"/>
  <c r="U12" i="4"/>
  <c r="U11" i="4"/>
  <c r="U10" i="4"/>
  <c r="U9" i="4"/>
  <c r="U8" i="4"/>
  <c r="U7" i="4"/>
  <c r="U6" i="4"/>
  <c r="U5" i="4"/>
</calcChain>
</file>

<file path=xl/sharedStrings.xml><?xml version="1.0" encoding="utf-8"?>
<sst xmlns="http://schemas.openxmlformats.org/spreadsheetml/2006/main" count="338" uniqueCount="124">
  <si>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</si>
  <si>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</si>
  <si>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</si>
  <si>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</si>
  <si>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</si>
  <si>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</si>
  <si>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</si>
  <si>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</si>
  <si>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</si>
  <si>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</si>
  <si>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</si>
  <si>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</si>
  <si>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</si>
  <si>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</si>
  <si>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</si>
  <si>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</si>
  <si>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</si>
  <si>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</si>
  <si>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</si>
  <si>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</si>
  <si>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</si>
  <si>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</si>
  <si>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</si>
  <si>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</si>
  <si>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</si>
  <si>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</si>
  <si>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</si>
  <si>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</si>
  <si>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</si>
  <si>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</si>
  <si>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</si>
  <si>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</si>
  <si>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</si>
  <si>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</si>
  <si>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</si>
  <si>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</si>
  <si>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</si>
  <si>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</si>
  <si>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</si>
  <si>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</si>
  <si>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</si>
  <si>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</si>
  <si>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</si>
  <si>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</si>
  <si>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</si>
  <si>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</si>
  <si>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</si>
  <si>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</si>
  <si>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</si>
  <si>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</si>
  <si>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　進一</t>
    <phoneticPr fontId="4"/>
  </si>
  <si>
    <t>山口　豊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</si>
  <si>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</si>
  <si>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</si>
  <si>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</si>
  <si>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</si>
  <si>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</si>
  <si>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</si>
  <si>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</si>
  <si>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</si>
  <si>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</si>
  <si>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</si>
  <si>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</si>
  <si>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</si>
  <si>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</si>
  <si>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</si>
  <si>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</si>
  <si>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</si>
  <si>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</si>
  <si>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</si>
  <si>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</si>
  <si>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</si>
  <si>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</si>
  <si>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</si>
  <si>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</si>
  <si>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</si>
  <si>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</si>
  <si>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</si>
  <si>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</si>
  <si>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</si>
  <si>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</si>
  <si>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</si>
  <si>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</si>
  <si>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</si>
  <si>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</si>
  <si>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</si>
  <si>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</si>
  <si>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</si>
  <si>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</si>
  <si>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</si>
  <si>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</si>
  <si>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</si>
  <si>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</si>
  <si>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</si>
  <si>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</si>
  <si>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</si>
  <si>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</si>
  <si>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</si>
  <si>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</si>
  <si>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</si>
  <si>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</si>
  <si>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</si>
  <si>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</si>
  <si>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</si>
  <si>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</si>
  <si>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</si>
  <si>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</si>
  <si>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</si>
  <si>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</si>
  <si>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</si>
  <si>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</si>
  <si>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</si>
  <si>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</si>
  <si>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</si>
  <si>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</si>
  <si>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</si>
  <si>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</si>
  <si>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2月度給与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</si>
  <si>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</si>
  <si>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</si>
  <si>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９名</t>
    <rPh sb="1" eb="2">
      <t>メイ</t>
    </rPh>
    <phoneticPr fontId="3"/>
  </si>
  <si>
    <t>１名</t>
    <rPh sb="1" eb="2">
      <t>メイ</t>
    </rPh>
    <phoneticPr fontId="3"/>
  </si>
  <si>
    <t>２８名</t>
    <rPh sb="2" eb="3">
      <t>メイ</t>
    </rPh>
    <phoneticPr fontId="4"/>
  </si>
  <si>
    <t>瀬野尾勉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</si>
</sst>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26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right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1" xfId="1" applyNumberFormat="1" applyFont="1" applyBorder="1"/>
    <xf numFmtId="49" fontId="2" fillId="0" borderId="33" xfId="1" applyNumberFormat="1" applyFont="1" applyBorder="1"/>
    <xf numFmtId="0" fontId="2" fillId="0" borderId="32" xfId="1" applyFont="1" applyBorder="1"/>
    <xf numFmtId="0" fontId="2" fillId="0" borderId="33" xfId="1" applyFont="1" applyBorder="1" applyAlignment="1">
      <alignment horizontal="righ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</cellXfs>
  <cellStyles count="2">
    <cellStyle name="標準" xfId="0" builtinId="0"/>
    <cellStyle name="標準 2" xfId="1" xr:uid="{BEEE124F-2964-47DC-AE1F-40AEB62503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A28F-FA52-4FB8-AC72-28AE33220299}">
  <sheetPr>
    <pageSetUpPr fitToPage="1"/>
  </sheetPr>
  <dimension ref="A1:O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5" width="11" style="2" customWidth="1"/>
    <col min="16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60" width="11.125" style="2" bestFit="1" customWidth="1"/>
    <col min="261" max="261" width="9" style="2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6" width="11.125" style="2" bestFit="1" customWidth="1"/>
    <col min="517" max="517" width="9" style="2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2" width="11.125" style="2" bestFit="1" customWidth="1"/>
    <col min="773" max="773" width="9" style="2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8" width="11.125" style="2" bestFit="1" customWidth="1"/>
    <col min="1029" max="1029" width="9" style="2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4" width="11.125" style="2" bestFit="1" customWidth="1"/>
    <col min="1285" max="1285" width="9" style="2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40" width="11.125" style="2" bestFit="1" customWidth="1"/>
    <col min="1541" max="1541" width="9" style="2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6" width="11.125" style="2" bestFit="1" customWidth="1"/>
    <col min="1797" max="1797" width="9" style="2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2" width="11.125" style="2" bestFit="1" customWidth="1"/>
    <col min="2053" max="2053" width="9" style="2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8" width="11.125" style="2" bestFit="1" customWidth="1"/>
    <col min="2309" max="2309" width="9" style="2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4" width="11.125" style="2" bestFit="1" customWidth="1"/>
    <col min="2565" max="2565" width="9" style="2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20" width="11.125" style="2" bestFit="1" customWidth="1"/>
    <col min="2821" max="2821" width="9" style="2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6" width="11.125" style="2" bestFit="1" customWidth="1"/>
    <col min="3077" max="3077" width="9" style="2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2" width="11.125" style="2" bestFit="1" customWidth="1"/>
    <col min="3333" max="3333" width="9" style="2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8" width="11.125" style="2" bestFit="1" customWidth="1"/>
    <col min="3589" max="3589" width="9" style="2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4" width="11.125" style="2" bestFit="1" customWidth="1"/>
    <col min="3845" max="3845" width="9" style="2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100" width="11.125" style="2" bestFit="1" customWidth="1"/>
    <col min="4101" max="4101" width="9" style="2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6" width="11.125" style="2" bestFit="1" customWidth="1"/>
    <col min="4357" max="4357" width="9" style="2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2" width="11.125" style="2" bestFit="1" customWidth="1"/>
    <col min="4613" max="4613" width="9" style="2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8" width="11.125" style="2" bestFit="1" customWidth="1"/>
    <col min="4869" max="4869" width="9" style="2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4" width="11.125" style="2" bestFit="1" customWidth="1"/>
    <col min="5125" max="5125" width="9" style="2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80" width="11.125" style="2" bestFit="1" customWidth="1"/>
    <col min="5381" max="5381" width="9" style="2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6" width="11.125" style="2" bestFit="1" customWidth="1"/>
    <col min="5637" max="5637" width="9" style="2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2" width="11.125" style="2" bestFit="1" customWidth="1"/>
    <col min="5893" max="5893" width="9" style="2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8" width="11.125" style="2" bestFit="1" customWidth="1"/>
    <col min="6149" max="6149" width="9" style="2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4" width="11.125" style="2" bestFit="1" customWidth="1"/>
    <col min="6405" max="6405" width="9" style="2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60" width="11.125" style="2" bestFit="1" customWidth="1"/>
    <col min="6661" max="6661" width="9" style="2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6" width="11.125" style="2" bestFit="1" customWidth="1"/>
    <col min="6917" max="6917" width="9" style="2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2" width="11.125" style="2" bestFit="1" customWidth="1"/>
    <col min="7173" max="7173" width="9" style="2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8" width="11.125" style="2" bestFit="1" customWidth="1"/>
    <col min="7429" max="7429" width="9" style="2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4" width="11.125" style="2" bestFit="1" customWidth="1"/>
    <col min="7685" max="7685" width="9" style="2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40" width="11.125" style="2" bestFit="1" customWidth="1"/>
    <col min="7941" max="7941" width="9" style="2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6" width="11.125" style="2" bestFit="1" customWidth="1"/>
    <col min="8197" max="8197" width="9" style="2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2" width="11.125" style="2" bestFit="1" customWidth="1"/>
    <col min="8453" max="8453" width="9" style="2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8" width="11.125" style="2" bestFit="1" customWidth="1"/>
    <col min="8709" max="8709" width="9" style="2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4" width="11.125" style="2" bestFit="1" customWidth="1"/>
    <col min="8965" max="8965" width="9" style="2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20" width="11.125" style="2" bestFit="1" customWidth="1"/>
    <col min="9221" max="9221" width="9" style="2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6" width="11.125" style="2" bestFit="1" customWidth="1"/>
    <col min="9477" max="9477" width="9" style="2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2" width="11.125" style="2" bestFit="1" customWidth="1"/>
    <col min="9733" max="9733" width="9" style="2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8" width="11.125" style="2" bestFit="1" customWidth="1"/>
    <col min="9989" max="9989" width="9" style="2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4" width="11.125" style="2" bestFit="1" customWidth="1"/>
    <col min="10245" max="10245" width="9" style="2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500" width="11.125" style="2" bestFit="1" customWidth="1"/>
    <col min="10501" max="10501" width="9" style="2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6" width="11.125" style="2" bestFit="1" customWidth="1"/>
    <col min="10757" max="10757" width="9" style="2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2" width="11.125" style="2" bestFit="1" customWidth="1"/>
    <col min="11013" max="11013" width="9" style="2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8" width="11.125" style="2" bestFit="1" customWidth="1"/>
    <col min="11269" max="11269" width="9" style="2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4" width="11.125" style="2" bestFit="1" customWidth="1"/>
    <col min="11525" max="11525" width="9" style="2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80" width="11.125" style="2" bestFit="1" customWidth="1"/>
    <col min="11781" max="11781" width="9" style="2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6" width="11.125" style="2" bestFit="1" customWidth="1"/>
    <col min="12037" max="12037" width="9" style="2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2" width="11.125" style="2" bestFit="1" customWidth="1"/>
    <col min="12293" max="12293" width="9" style="2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8" width="11.125" style="2" bestFit="1" customWidth="1"/>
    <col min="12549" max="12549" width="9" style="2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4" width="11.125" style="2" bestFit="1" customWidth="1"/>
    <col min="12805" max="12805" width="9" style="2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60" width="11.125" style="2" bestFit="1" customWidth="1"/>
    <col min="13061" max="13061" width="9" style="2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6" width="11.125" style="2" bestFit="1" customWidth="1"/>
    <col min="13317" max="13317" width="9" style="2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2" width="11.125" style="2" bestFit="1" customWidth="1"/>
    <col min="13573" max="13573" width="9" style="2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8" width="11.125" style="2" bestFit="1" customWidth="1"/>
    <col min="13829" max="13829" width="9" style="2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4" width="11.125" style="2" bestFit="1" customWidth="1"/>
    <col min="14085" max="14085" width="9" style="2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40" width="11.125" style="2" bestFit="1" customWidth="1"/>
    <col min="14341" max="14341" width="9" style="2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6" width="11.125" style="2" bestFit="1" customWidth="1"/>
    <col min="14597" max="14597" width="9" style="2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2" width="11.125" style="2" bestFit="1" customWidth="1"/>
    <col min="14853" max="14853" width="9" style="2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8" width="11.125" style="2" bestFit="1" customWidth="1"/>
    <col min="15109" max="15109" width="9" style="2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4" width="11.125" style="2" bestFit="1" customWidth="1"/>
    <col min="15365" max="15365" width="9" style="2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20" width="11.125" style="2" bestFit="1" customWidth="1"/>
    <col min="15621" max="15621" width="9" style="2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6" width="11.125" style="2" bestFit="1" customWidth="1"/>
    <col min="15877" max="15877" width="9" style="2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2" width="11.125" style="2" bestFit="1" customWidth="1"/>
    <col min="16133" max="16133" width="9" style="2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117</v>
      </c>
    </row>
    <row r="3" spans="1:15">
      <c r="B3" s="3"/>
      <c r="C3" s="7" t="s">
        <v>17</v>
      </c>
      <c r="D3" s="7" t="s">
        <v>4</v>
      </c>
      <c r="E3" s="7" t="s">
        <v>26</v>
      </c>
      <c r="F3" s="7" t="s">
        <v>27</v>
      </c>
      <c r="G3" s="7" t="s">
        <v>23</v>
      </c>
      <c r="H3" s="7" t="s">
        <v>24</v>
      </c>
      <c r="I3" s="7" t="s">
        <v>25</v>
      </c>
      <c r="J3" s="7" t="s">
        <v>28</v>
      </c>
      <c r="K3" s="8" t="s">
        <v>29</v>
      </c>
      <c r="L3" s="54" t="s">
        <v>118</v>
      </c>
      <c r="M3" s="68" t="s">
        <v>5</v>
      </c>
      <c r="N3" s="54" t="s">
        <v>118</v>
      </c>
      <c r="O3" s="65" t="s">
        <v>58</v>
      </c>
    </row>
    <row r="4" spans="1:15" ht="19.5" thickBot="1">
      <c r="A4" s="67"/>
      <c r="B4" s="25" t="s">
        <v>30</v>
      </c>
      <c r="C4" s="27" t="s">
        <v>46</v>
      </c>
      <c r="D4" s="27" t="s">
        <v>33</v>
      </c>
      <c r="E4" s="27" t="s">
        <v>54</v>
      </c>
      <c r="F4" s="27" t="s">
        <v>55</v>
      </c>
      <c r="G4" s="27" t="s">
        <v>123</v>
      </c>
      <c r="H4" s="27" t="s">
        <v>52</v>
      </c>
      <c r="I4" s="27" t="s">
        <v>53</v>
      </c>
      <c r="J4" s="27" t="s">
        <v>56</v>
      </c>
      <c r="K4" s="28" t="s">
        <v>57</v>
      </c>
      <c r="L4" s="55" t="s">
        <v>120</v>
      </c>
      <c r="M4" s="69" t="s">
        <v>34</v>
      </c>
      <c r="N4" s="55" t="s">
        <v>121</v>
      </c>
      <c r="O4" s="66" t="s">
        <v>122</v>
      </c>
    </row>
    <row r="5" spans="1:15">
      <c r="A5" s="1" t="s">
        <v>1</v>
      </c>
      <c r="B5" s="21" t="s">
        <v>59</v>
      </c>
      <c r="C5" s="23">
        <v>18</v>
      </c>
      <c r="D5" s="23">
        <v>19</v>
      </c>
      <c r="E5" s="23">
        <v>13</v>
      </c>
      <c r="F5" s="23">
        <v>11</v>
      </c>
      <c r="G5" s="23">
        <v>10</v>
      </c>
      <c r="H5" s="23">
        <v>9</v>
      </c>
      <c r="I5" s="23">
        <v>9</v>
      </c>
      <c r="J5" s="23">
        <v>4</v>
      </c>
      <c r="K5" s="24">
        <v>20</v>
      </c>
      <c r="L5" s="24">
        <f>SUM(C5:K5)</f>
        <v>113</v>
      </c>
      <c r="M5" s="45">
        <v>19</v>
      </c>
      <c r="N5" s="56">
        <f>SUM(M5)</f>
        <v>19</v>
      </c>
      <c r="O5" s="56">
        <v>450</v>
      </c>
    </row>
    <row r="6" spans="1:15">
      <c r="A6" s="1" t="s">
        <v>1</v>
      </c>
      <c r="B6" s="4" t="s">
        <v>60</v>
      </c>
      <c r="C6" s="10">
        <v>0</v>
      </c>
      <c r="D6" s="10">
        <v>3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1">
        <v>0</v>
      </c>
      <c r="L6" s="11">
        <f>SUM(C6:K6)</f>
        <v>3</v>
      </c>
      <c r="M6" s="46">
        <v>0</v>
      </c>
      <c r="N6" s="57"/>
      <c r="O6" s="57">
        <v>45</v>
      </c>
    </row>
    <row r="7" spans="1:15">
      <c r="A7" s="1" t="s">
        <v>1</v>
      </c>
      <c r="B7" s="4" t="s">
        <v>61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1">
        <v>0</v>
      </c>
      <c r="L7" s="11">
        <f t="shared" ref="L7:L62" si="0">SUM(C7:K7)</f>
        <v>0</v>
      </c>
      <c r="M7" s="46">
        <v>0</v>
      </c>
      <c r="N7" s="57"/>
      <c r="O7" s="57">
        <v>50</v>
      </c>
    </row>
    <row r="8" spans="1:15">
      <c r="A8" s="1" t="s">
        <v>1</v>
      </c>
      <c r="B8" s="4" t="s">
        <v>62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1">
        <v>0</v>
      </c>
      <c r="L8" s="11">
        <f t="shared" si="0"/>
        <v>0</v>
      </c>
      <c r="M8" s="46">
        <v>0</v>
      </c>
      <c r="N8" s="57"/>
      <c r="O8" s="57">
        <v>10</v>
      </c>
    </row>
    <row r="9" spans="1:15">
      <c r="A9" s="1" t="s">
        <v>1</v>
      </c>
      <c r="B9" s="4" t="s">
        <v>63</v>
      </c>
      <c r="C9" s="10">
        <v>1</v>
      </c>
      <c r="D9" s="10">
        <v>0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1">
        <v>0</v>
      </c>
      <c r="L9" s="11">
        <f t="shared" si="0"/>
        <v>2</v>
      </c>
      <c r="M9" s="46">
        <v>0</v>
      </c>
      <c r="N9" s="57"/>
      <c r="O9" s="57">
        <v>16</v>
      </c>
    </row>
    <row r="10" spans="1:15">
      <c r="A10" s="1" t="s">
        <v>1</v>
      </c>
      <c r="B10" s="4" t="s">
        <v>64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1">
        <v>0</v>
      </c>
      <c r="L10" s="11">
        <f t="shared" si="0"/>
        <v>0</v>
      </c>
      <c r="M10" s="46">
        <v>0</v>
      </c>
      <c r="N10" s="57"/>
      <c r="O10" s="57">
        <v>0</v>
      </c>
    </row>
    <row r="11" spans="1:15">
      <c r="A11" s="1" t="s">
        <v>1</v>
      </c>
      <c r="B11" s="4" t="s">
        <v>65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1">
        <v>0</v>
      </c>
      <c r="L11" s="11">
        <f t="shared" si="0"/>
        <v>0</v>
      </c>
      <c r="M11" s="46">
        <v>0</v>
      </c>
      <c r="N11" s="57"/>
      <c r="O11" s="57">
        <v>0</v>
      </c>
    </row>
    <row r="12" spans="1:15">
      <c r="A12" s="1" t="s">
        <v>1</v>
      </c>
      <c r="B12" s="4" t="s">
        <v>66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1">
        <v>0</v>
      </c>
      <c r="L12" s="11">
        <f t="shared" si="0"/>
        <v>0</v>
      </c>
      <c r="M12" s="46">
        <v>0</v>
      </c>
      <c r="N12" s="57"/>
      <c r="O12" s="57">
        <v>0</v>
      </c>
    </row>
    <row r="13" spans="1:15">
      <c r="A13" s="1" t="s">
        <v>1</v>
      </c>
      <c r="B13" s="4" t="s">
        <v>67</v>
      </c>
      <c r="C13" s="13">
        <v>0</v>
      </c>
      <c r="D13" s="13">
        <v>0</v>
      </c>
      <c r="E13" s="13">
        <v>3.6666666666666665</v>
      </c>
      <c r="F13" s="13">
        <v>3.1666666666666665</v>
      </c>
      <c r="G13" s="13">
        <v>2.9583333333333335</v>
      </c>
      <c r="H13" s="13">
        <v>2.625</v>
      </c>
      <c r="I13" s="13">
        <v>2.6666666666666665</v>
      </c>
      <c r="J13" s="13">
        <v>1.3333333333333333</v>
      </c>
      <c r="K13" s="14">
        <v>3.625</v>
      </c>
      <c r="L13" s="14">
        <f t="shared" si="0"/>
        <v>20.041666666666664</v>
      </c>
      <c r="M13" s="47">
        <v>0</v>
      </c>
      <c r="N13" s="58"/>
      <c r="O13" s="58">
        <v>20.041666666666664</v>
      </c>
    </row>
    <row r="14" spans="1:15">
      <c r="A14" s="1" t="s">
        <v>1</v>
      </c>
      <c r="B14" s="4" t="s">
        <v>68</v>
      </c>
      <c r="C14" s="13">
        <v>0</v>
      </c>
      <c r="D14" s="13">
        <v>1.5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8.3333333333333329E-2</v>
      </c>
      <c r="K14" s="14">
        <v>0</v>
      </c>
      <c r="L14" s="14">
        <f t="shared" si="0"/>
        <v>1.5833333333333333</v>
      </c>
      <c r="M14" s="47">
        <v>0</v>
      </c>
      <c r="N14" s="58"/>
      <c r="O14" s="58">
        <v>35.083333333333329</v>
      </c>
    </row>
    <row r="15" spans="1:15">
      <c r="A15" s="1" t="s">
        <v>1</v>
      </c>
      <c r="B15" s="4" t="s">
        <v>69</v>
      </c>
      <c r="C15" s="13">
        <v>0</v>
      </c>
      <c r="D15" s="13">
        <v>0.91666666666666663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4">
        <v>0</v>
      </c>
      <c r="L15" s="14">
        <f t="shared" si="0"/>
        <v>0.91666666666666663</v>
      </c>
      <c r="M15" s="47">
        <v>0</v>
      </c>
      <c r="N15" s="58"/>
      <c r="O15" s="58">
        <v>15.75</v>
      </c>
    </row>
    <row r="16" spans="1:15">
      <c r="A16" s="1" t="s">
        <v>1</v>
      </c>
      <c r="B16" s="4" t="s">
        <v>70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4">
        <v>0</v>
      </c>
      <c r="L16" s="14">
        <f t="shared" si="0"/>
        <v>0</v>
      </c>
      <c r="M16" s="47">
        <v>0</v>
      </c>
      <c r="N16" s="58"/>
      <c r="O16" s="58">
        <v>15.458333333333334</v>
      </c>
    </row>
    <row r="17" spans="1:15">
      <c r="A17" s="1" t="s">
        <v>1</v>
      </c>
      <c r="B17" s="4" t="s">
        <v>71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4">
        <v>0</v>
      </c>
      <c r="L17" s="14">
        <f t="shared" si="0"/>
        <v>0</v>
      </c>
      <c r="M17" s="47">
        <v>0</v>
      </c>
      <c r="N17" s="58"/>
      <c r="O17" s="58">
        <v>1.25</v>
      </c>
    </row>
    <row r="18" spans="1:15">
      <c r="A18" s="1" t="s">
        <v>1</v>
      </c>
      <c r="B18" s="4" t="s">
        <v>72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4">
        <v>0</v>
      </c>
      <c r="L18" s="14">
        <f t="shared" si="0"/>
        <v>0</v>
      </c>
      <c r="M18" s="47">
        <v>0</v>
      </c>
      <c r="N18" s="58"/>
      <c r="O18" s="58">
        <v>2.708333333333333</v>
      </c>
    </row>
    <row r="19" spans="1:15">
      <c r="A19" s="1" t="s">
        <v>1</v>
      </c>
      <c r="B19" s="4" t="s">
        <v>73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4">
        <v>0</v>
      </c>
      <c r="L19" s="14">
        <f t="shared" si="0"/>
        <v>0</v>
      </c>
      <c r="M19" s="47">
        <v>0</v>
      </c>
      <c r="N19" s="58"/>
      <c r="O19" s="58">
        <v>0</v>
      </c>
    </row>
    <row r="20" spans="1:15">
      <c r="A20" s="1" t="s">
        <v>1</v>
      </c>
      <c r="B20" s="4" t="s">
        <v>74</v>
      </c>
      <c r="C20" s="13">
        <v>0</v>
      </c>
      <c r="D20" s="13">
        <v>0</v>
      </c>
      <c r="E20" s="13">
        <v>0</v>
      </c>
      <c r="F20" s="13">
        <v>0.29166666666666669</v>
      </c>
      <c r="G20" s="13">
        <v>0</v>
      </c>
      <c r="H20" s="13">
        <v>0</v>
      </c>
      <c r="I20" s="13">
        <v>0</v>
      </c>
      <c r="J20" s="13">
        <v>0</v>
      </c>
      <c r="K20" s="14">
        <v>0</v>
      </c>
      <c r="L20" s="14">
        <f t="shared" si="0"/>
        <v>0.29166666666666669</v>
      </c>
      <c r="M20" s="47">
        <v>0</v>
      </c>
      <c r="N20" s="58"/>
      <c r="O20" s="58">
        <v>0.29166666666666669</v>
      </c>
    </row>
    <row r="21" spans="1:15">
      <c r="A21" s="1" t="s">
        <v>1</v>
      </c>
      <c r="B21" s="4" t="s">
        <v>75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4">
        <v>0</v>
      </c>
      <c r="L21" s="14">
        <f t="shared" si="0"/>
        <v>0</v>
      </c>
      <c r="M21" s="47">
        <v>0</v>
      </c>
      <c r="N21" s="58"/>
      <c r="O21" s="58">
        <v>0</v>
      </c>
    </row>
    <row r="22" spans="1:15">
      <c r="A22" s="1" t="s">
        <v>1</v>
      </c>
      <c r="B22" s="4" t="s">
        <v>76</v>
      </c>
      <c r="C22" s="13">
        <v>0.20833333333333334</v>
      </c>
      <c r="D22" s="13">
        <v>0</v>
      </c>
      <c r="E22" s="13">
        <v>0</v>
      </c>
      <c r="F22" s="13">
        <v>0</v>
      </c>
      <c r="G22" s="13">
        <v>2.0833333333333335</v>
      </c>
      <c r="H22" s="13">
        <v>1.875</v>
      </c>
      <c r="I22" s="13">
        <v>1.875</v>
      </c>
      <c r="J22" s="13">
        <v>0</v>
      </c>
      <c r="K22" s="14">
        <v>0</v>
      </c>
      <c r="L22" s="14">
        <f t="shared" si="0"/>
        <v>6.041666666666667</v>
      </c>
      <c r="M22" s="47">
        <v>0</v>
      </c>
      <c r="N22" s="58"/>
      <c r="O22" s="58">
        <v>18.791666666666668</v>
      </c>
    </row>
    <row r="23" spans="1:15" ht="19.5" thickBot="1">
      <c r="A23" s="1" t="s">
        <v>1</v>
      </c>
      <c r="B23" s="5" t="s">
        <v>77</v>
      </c>
      <c r="C23" s="33">
        <v>18</v>
      </c>
      <c r="D23" s="33">
        <v>38</v>
      </c>
      <c r="E23" s="33">
        <v>20</v>
      </c>
      <c r="F23" s="33">
        <v>19</v>
      </c>
      <c r="G23" s="33">
        <v>0</v>
      </c>
      <c r="H23" s="33">
        <v>0</v>
      </c>
      <c r="I23" s="33">
        <v>0</v>
      </c>
      <c r="J23" s="33">
        <v>3</v>
      </c>
      <c r="K23" s="34">
        <v>8</v>
      </c>
      <c r="L23" s="34">
        <f t="shared" si="0"/>
        <v>106</v>
      </c>
      <c r="M23" s="48">
        <v>38</v>
      </c>
      <c r="N23" s="59"/>
      <c r="O23" s="59">
        <v>368</v>
      </c>
    </row>
    <row r="24" spans="1:15">
      <c r="A24" s="1" t="s">
        <v>1</v>
      </c>
      <c r="B24" s="21" t="s">
        <v>78</v>
      </c>
      <c r="C24" s="30">
        <v>355000</v>
      </c>
      <c r="D24" s="30">
        <v>270000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1">
        <v>0</v>
      </c>
      <c r="L24" s="31">
        <f t="shared" si="0"/>
        <v>625000</v>
      </c>
      <c r="M24" s="49">
        <v>365000</v>
      </c>
      <c r="N24" s="60">
        <f>SUM(M24)</f>
        <v>365000</v>
      </c>
      <c r="O24" s="60">
        <v>4209000</v>
      </c>
    </row>
    <row r="25" spans="1:15">
      <c r="A25" s="1" t="s">
        <v>1</v>
      </c>
      <c r="B25" s="4" t="s">
        <v>79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17">
        <f t="shared" si="0"/>
        <v>0</v>
      </c>
      <c r="M25" s="50">
        <v>0</v>
      </c>
      <c r="N25" s="61">
        <f t="shared" ref="N25:N63" si="1">SUM(M25)</f>
        <v>0</v>
      </c>
      <c r="O25" s="61">
        <v>35000</v>
      </c>
    </row>
    <row r="26" spans="1:15">
      <c r="A26" s="1" t="s">
        <v>1</v>
      </c>
      <c r="B26" s="4" t="s">
        <v>80</v>
      </c>
      <c r="C26" s="16">
        <v>0</v>
      </c>
      <c r="D26" s="16">
        <v>3000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7">
        <v>0</v>
      </c>
      <c r="L26" s="17">
        <f t="shared" si="0"/>
        <v>3000</v>
      </c>
      <c r="M26" s="50">
        <v>0</v>
      </c>
      <c r="N26" s="61">
        <f t="shared" si="1"/>
        <v>0</v>
      </c>
      <c r="O26" s="61">
        <v>6000</v>
      </c>
    </row>
    <row r="27" spans="1:15">
      <c r="A27" s="1" t="s">
        <v>1</v>
      </c>
      <c r="B27" s="4" t="s">
        <v>81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7">
        <v>0</v>
      </c>
      <c r="L27" s="17">
        <f t="shared" si="0"/>
        <v>0</v>
      </c>
      <c r="M27" s="50">
        <v>0</v>
      </c>
      <c r="N27" s="61">
        <f t="shared" si="1"/>
        <v>0</v>
      </c>
      <c r="O27" s="61">
        <v>0</v>
      </c>
    </row>
    <row r="28" spans="1:15">
      <c r="A28" s="1" t="s">
        <v>1</v>
      </c>
      <c r="B28" s="4" t="s">
        <v>82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7">
        <v>0</v>
      </c>
      <c r="L28" s="17">
        <f t="shared" si="0"/>
        <v>0</v>
      </c>
      <c r="M28" s="50">
        <v>0</v>
      </c>
      <c r="N28" s="61">
        <f t="shared" si="1"/>
        <v>0</v>
      </c>
      <c r="O28" s="61">
        <v>168271</v>
      </c>
    </row>
    <row r="29" spans="1:15">
      <c r="A29" s="1" t="s">
        <v>1</v>
      </c>
      <c r="B29" s="4" t="s">
        <v>83</v>
      </c>
      <c r="C29" s="16">
        <v>0</v>
      </c>
      <c r="D29" s="16">
        <v>0</v>
      </c>
      <c r="E29" s="16">
        <v>82720</v>
      </c>
      <c r="F29" s="16">
        <v>71440</v>
      </c>
      <c r="G29" s="16">
        <v>61060</v>
      </c>
      <c r="H29" s="16">
        <v>54180</v>
      </c>
      <c r="I29" s="16">
        <v>55040</v>
      </c>
      <c r="J29" s="16">
        <v>27520</v>
      </c>
      <c r="K29" s="17">
        <v>74820</v>
      </c>
      <c r="L29" s="17">
        <f t="shared" si="0"/>
        <v>426780</v>
      </c>
      <c r="M29" s="50">
        <v>0</v>
      </c>
      <c r="N29" s="61">
        <f t="shared" si="1"/>
        <v>0</v>
      </c>
      <c r="O29" s="61">
        <v>426780</v>
      </c>
    </row>
    <row r="30" spans="1:15">
      <c r="A30" s="1" t="s">
        <v>1</v>
      </c>
      <c r="B30" s="4" t="s">
        <v>84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7">
        <v>0</v>
      </c>
      <c r="L30" s="17">
        <f t="shared" si="0"/>
        <v>0</v>
      </c>
      <c r="M30" s="50">
        <v>0</v>
      </c>
      <c r="N30" s="61">
        <f t="shared" si="1"/>
        <v>0</v>
      </c>
      <c r="O30" s="61">
        <v>0</v>
      </c>
    </row>
    <row r="31" spans="1:15">
      <c r="A31" s="1" t="s">
        <v>1</v>
      </c>
      <c r="B31" s="4" t="s">
        <v>85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7">
        <v>0</v>
      </c>
      <c r="L31" s="17">
        <f t="shared" si="0"/>
        <v>0</v>
      </c>
      <c r="M31" s="50">
        <v>0</v>
      </c>
      <c r="N31" s="61">
        <f t="shared" si="1"/>
        <v>0</v>
      </c>
      <c r="O31" s="61">
        <v>0</v>
      </c>
    </row>
    <row r="32" spans="1:15">
      <c r="A32" s="1" t="s">
        <v>1</v>
      </c>
      <c r="B32" s="4" t="s">
        <v>86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7">
        <v>0</v>
      </c>
      <c r="L32" s="17">
        <f t="shared" si="0"/>
        <v>0</v>
      </c>
      <c r="M32" s="50">
        <v>0</v>
      </c>
      <c r="N32" s="61">
        <f t="shared" si="1"/>
        <v>0</v>
      </c>
      <c r="O32" s="61">
        <v>25000</v>
      </c>
    </row>
    <row r="33" spans="1:15">
      <c r="A33" s="1" t="s">
        <v>1</v>
      </c>
      <c r="B33" s="4" t="s">
        <v>87</v>
      </c>
      <c r="C33" s="16">
        <v>0</v>
      </c>
      <c r="D33" s="16">
        <v>0</v>
      </c>
      <c r="E33" s="16">
        <v>0</v>
      </c>
      <c r="F33" s="16">
        <v>6580</v>
      </c>
      <c r="G33" s="16">
        <v>0</v>
      </c>
      <c r="H33" s="16">
        <v>0</v>
      </c>
      <c r="I33" s="16">
        <v>0</v>
      </c>
      <c r="J33" s="16">
        <v>0</v>
      </c>
      <c r="K33" s="17">
        <v>0</v>
      </c>
      <c r="L33" s="17">
        <f t="shared" si="0"/>
        <v>6580</v>
      </c>
      <c r="M33" s="50">
        <v>0</v>
      </c>
      <c r="N33" s="61">
        <f t="shared" si="1"/>
        <v>0</v>
      </c>
      <c r="O33" s="61">
        <v>6580</v>
      </c>
    </row>
    <row r="34" spans="1:15">
      <c r="A34" s="1" t="s">
        <v>1</v>
      </c>
      <c r="B34" s="4" t="s">
        <v>88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7">
        <v>0</v>
      </c>
      <c r="L34" s="17">
        <f t="shared" si="0"/>
        <v>0</v>
      </c>
      <c r="M34" s="50">
        <v>0</v>
      </c>
      <c r="N34" s="61">
        <f t="shared" si="1"/>
        <v>0</v>
      </c>
      <c r="O34" s="61">
        <v>0</v>
      </c>
    </row>
    <row r="35" spans="1:15">
      <c r="A35" s="1" t="s">
        <v>1</v>
      </c>
      <c r="B35" s="4" t="s">
        <v>89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7">
        <v>0</v>
      </c>
      <c r="L35" s="17">
        <f t="shared" si="0"/>
        <v>0</v>
      </c>
      <c r="M35" s="50">
        <v>0</v>
      </c>
      <c r="N35" s="61">
        <f t="shared" si="1"/>
        <v>0</v>
      </c>
      <c r="O35" s="61">
        <v>0</v>
      </c>
    </row>
    <row r="36" spans="1:15">
      <c r="A36" s="1" t="s">
        <v>1</v>
      </c>
      <c r="B36" s="4" t="s">
        <v>90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7">
        <v>0</v>
      </c>
      <c r="L36" s="17">
        <f t="shared" si="0"/>
        <v>0</v>
      </c>
      <c r="M36" s="50">
        <v>0</v>
      </c>
      <c r="N36" s="61">
        <f t="shared" si="1"/>
        <v>0</v>
      </c>
      <c r="O36" s="61">
        <v>0</v>
      </c>
    </row>
    <row r="37" spans="1:15">
      <c r="A37" s="1" t="s">
        <v>1</v>
      </c>
      <c r="B37" s="4" t="s">
        <v>68</v>
      </c>
      <c r="C37" s="16">
        <v>0</v>
      </c>
      <c r="D37" s="16">
        <v>73584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2150</v>
      </c>
      <c r="K37" s="17">
        <v>0</v>
      </c>
      <c r="L37" s="17">
        <f t="shared" si="0"/>
        <v>75734</v>
      </c>
      <c r="M37" s="50">
        <v>0</v>
      </c>
      <c r="N37" s="61">
        <f t="shared" si="1"/>
        <v>0</v>
      </c>
      <c r="O37" s="61">
        <v>1171064</v>
      </c>
    </row>
    <row r="38" spans="1:15">
      <c r="A38" s="1" t="s">
        <v>1</v>
      </c>
      <c r="B38" s="4" t="s">
        <v>91</v>
      </c>
      <c r="C38" s="16">
        <v>0</v>
      </c>
      <c r="D38" s="16">
        <v>48554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7">
        <v>0</v>
      </c>
      <c r="L38" s="17">
        <f t="shared" si="0"/>
        <v>48554</v>
      </c>
      <c r="M38" s="50">
        <v>0</v>
      </c>
      <c r="N38" s="61">
        <f t="shared" si="1"/>
        <v>0</v>
      </c>
      <c r="O38" s="61">
        <v>572712</v>
      </c>
    </row>
    <row r="39" spans="1:15">
      <c r="A39" s="1" t="s">
        <v>1</v>
      </c>
      <c r="B39" s="4" t="s">
        <v>92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7">
        <v>0</v>
      </c>
      <c r="L39" s="17">
        <f t="shared" si="0"/>
        <v>0</v>
      </c>
      <c r="M39" s="50">
        <v>0</v>
      </c>
      <c r="N39" s="61">
        <f t="shared" si="1"/>
        <v>0</v>
      </c>
      <c r="O39" s="61">
        <v>546351</v>
      </c>
    </row>
    <row r="40" spans="1:15">
      <c r="A40" s="1" t="s">
        <v>1</v>
      </c>
      <c r="B40" s="4" t="s">
        <v>93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7">
        <v>0</v>
      </c>
      <c r="L40" s="17">
        <f t="shared" si="0"/>
        <v>0</v>
      </c>
      <c r="M40" s="50">
        <v>0</v>
      </c>
      <c r="N40" s="61">
        <f t="shared" si="1"/>
        <v>0</v>
      </c>
      <c r="O40" s="61">
        <v>11056</v>
      </c>
    </row>
    <row r="41" spans="1:15">
      <c r="A41" s="1" t="s">
        <v>1</v>
      </c>
      <c r="B41" s="4" t="s">
        <v>94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7">
        <v>0</v>
      </c>
      <c r="L41" s="17">
        <f t="shared" si="0"/>
        <v>0</v>
      </c>
      <c r="M41" s="50">
        <v>0</v>
      </c>
      <c r="N41" s="61">
        <f t="shared" si="1"/>
        <v>0</v>
      </c>
      <c r="O41" s="61">
        <v>24635</v>
      </c>
    </row>
    <row r="42" spans="1:15">
      <c r="A42" s="1" t="s">
        <v>1</v>
      </c>
      <c r="B42" s="4" t="s">
        <v>95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7">
        <v>0</v>
      </c>
      <c r="L42" s="17">
        <f t="shared" si="0"/>
        <v>0</v>
      </c>
      <c r="M42" s="50">
        <v>0</v>
      </c>
      <c r="N42" s="61">
        <f t="shared" si="1"/>
        <v>0</v>
      </c>
      <c r="O42" s="61">
        <v>0</v>
      </c>
    </row>
    <row r="43" spans="1:15">
      <c r="A43" s="1" t="s">
        <v>1</v>
      </c>
      <c r="B43" s="4" t="s">
        <v>73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7">
        <v>0</v>
      </c>
      <c r="L43" s="17">
        <f t="shared" si="0"/>
        <v>0</v>
      </c>
      <c r="M43" s="50">
        <v>0</v>
      </c>
      <c r="N43" s="61">
        <f t="shared" si="1"/>
        <v>0</v>
      </c>
      <c r="O43" s="61">
        <v>0</v>
      </c>
    </row>
    <row r="44" spans="1:15" ht="19.5" thickBot="1">
      <c r="A44" s="1" t="s">
        <v>1</v>
      </c>
      <c r="B44" s="35" t="s">
        <v>76</v>
      </c>
      <c r="C44" s="37">
        <v>2660</v>
      </c>
      <c r="D44" s="37">
        <v>0</v>
      </c>
      <c r="E44" s="37">
        <v>0</v>
      </c>
      <c r="F44" s="37">
        <v>0</v>
      </c>
      <c r="G44" s="37">
        <v>10750</v>
      </c>
      <c r="H44" s="37">
        <v>9675</v>
      </c>
      <c r="I44" s="37">
        <v>9675</v>
      </c>
      <c r="J44" s="37">
        <v>0</v>
      </c>
      <c r="K44" s="38">
        <v>0</v>
      </c>
      <c r="L44" s="38">
        <f t="shared" si="0"/>
        <v>32760</v>
      </c>
      <c r="M44" s="51">
        <v>0</v>
      </c>
      <c r="N44" s="62">
        <f t="shared" si="1"/>
        <v>0</v>
      </c>
      <c r="O44" s="62">
        <v>116183</v>
      </c>
    </row>
    <row r="45" spans="1:15" ht="19.5" thickBot="1">
      <c r="A45" s="1" t="s">
        <v>1</v>
      </c>
      <c r="B45" s="39" t="s">
        <v>96</v>
      </c>
      <c r="C45" s="41">
        <v>357660</v>
      </c>
      <c r="D45" s="41">
        <v>395138</v>
      </c>
      <c r="E45" s="41">
        <v>82720</v>
      </c>
      <c r="F45" s="41">
        <v>78020</v>
      </c>
      <c r="G45" s="41">
        <v>71810</v>
      </c>
      <c r="H45" s="41">
        <v>63855</v>
      </c>
      <c r="I45" s="41">
        <v>64715</v>
      </c>
      <c r="J45" s="41">
        <v>29670</v>
      </c>
      <c r="K45" s="42">
        <v>74820</v>
      </c>
      <c r="L45" s="42">
        <f t="shared" si="0"/>
        <v>1218408</v>
      </c>
      <c r="M45" s="52">
        <v>365000</v>
      </c>
      <c r="N45" s="63">
        <f t="shared" si="1"/>
        <v>365000</v>
      </c>
      <c r="O45" s="63">
        <v>7318632</v>
      </c>
    </row>
    <row r="46" spans="1:15" ht="19.5" thickBot="1">
      <c r="A46" s="1" t="s">
        <v>1</v>
      </c>
      <c r="B46" s="21" t="s">
        <v>97</v>
      </c>
      <c r="C46" s="30">
        <v>3255</v>
      </c>
      <c r="D46" s="30">
        <v>5115</v>
      </c>
      <c r="E46" s="30">
        <v>2687</v>
      </c>
      <c r="F46" s="30">
        <v>1421</v>
      </c>
      <c r="G46" s="30">
        <v>3100</v>
      </c>
      <c r="H46" s="30">
        <v>3488</v>
      </c>
      <c r="I46" s="30">
        <v>3720</v>
      </c>
      <c r="J46" s="30">
        <v>1344</v>
      </c>
      <c r="K46" s="31">
        <v>7233</v>
      </c>
      <c r="L46" s="31">
        <f t="shared" si="0"/>
        <v>31363</v>
      </c>
      <c r="M46" s="49">
        <v>5373</v>
      </c>
      <c r="N46" s="60">
        <f t="shared" si="1"/>
        <v>5373</v>
      </c>
      <c r="O46" s="60">
        <v>142393</v>
      </c>
    </row>
    <row r="47" spans="1:15" ht="19.5" thickBot="1">
      <c r="A47" s="1" t="s">
        <v>1</v>
      </c>
      <c r="B47" s="39" t="s">
        <v>98</v>
      </c>
      <c r="C47" s="41">
        <v>3255</v>
      </c>
      <c r="D47" s="41">
        <v>5115</v>
      </c>
      <c r="E47" s="41">
        <v>2687</v>
      </c>
      <c r="F47" s="41">
        <v>1421</v>
      </c>
      <c r="G47" s="41">
        <v>3100</v>
      </c>
      <c r="H47" s="41">
        <v>3488</v>
      </c>
      <c r="I47" s="41">
        <v>3720</v>
      </c>
      <c r="J47" s="41">
        <v>1344</v>
      </c>
      <c r="K47" s="42">
        <v>7233</v>
      </c>
      <c r="L47" s="42">
        <f t="shared" si="0"/>
        <v>31363</v>
      </c>
      <c r="M47" s="52">
        <v>5373</v>
      </c>
      <c r="N47" s="63">
        <f t="shared" si="1"/>
        <v>5373</v>
      </c>
      <c r="O47" s="63">
        <v>142393</v>
      </c>
    </row>
    <row r="48" spans="1:15" ht="19.5" thickBot="1">
      <c r="A48" s="1" t="s">
        <v>1</v>
      </c>
      <c r="B48" s="39" t="s">
        <v>99</v>
      </c>
      <c r="C48" s="41">
        <v>360915</v>
      </c>
      <c r="D48" s="41">
        <v>400253</v>
      </c>
      <c r="E48" s="41">
        <v>85407</v>
      </c>
      <c r="F48" s="41">
        <v>79441</v>
      </c>
      <c r="G48" s="41">
        <v>74910</v>
      </c>
      <c r="H48" s="41">
        <v>67343</v>
      </c>
      <c r="I48" s="41">
        <v>68435</v>
      </c>
      <c r="J48" s="41">
        <v>31014</v>
      </c>
      <c r="K48" s="42">
        <v>82053</v>
      </c>
      <c r="L48" s="42">
        <f t="shared" si="0"/>
        <v>1249771</v>
      </c>
      <c r="M48" s="52">
        <v>370373</v>
      </c>
      <c r="N48" s="63">
        <f t="shared" si="1"/>
        <v>370373</v>
      </c>
      <c r="O48" s="63">
        <v>7461025</v>
      </c>
    </row>
    <row r="49" spans="1:15">
      <c r="A49" s="1" t="s">
        <v>1</v>
      </c>
      <c r="B49" s="21" t="s">
        <v>100</v>
      </c>
      <c r="C49" s="30">
        <v>19380</v>
      </c>
      <c r="D49" s="30">
        <v>20910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1">
        <v>0</v>
      </c>
      <c r="L49" s="31">
        <f t="shared" si="0"/>
        <v>40290</v>
      </c>
      <c r="M49" s="49">
        <v>19380</v>
      </c>
      <c r="N49" s="60">
        <f t="shared" si="1"/>
        <v>19380</v>
      </c>
      <c r="O49" s="60">
        <v>356490</v>
      </c>
    </row>
    <row r="50" spans="1:15">
      <c r="A50" s="1" t="s">
        <v>1</v>
      </c>
      <c r="B50" s="4" t="s">
        <v>101</v>
      </c>
      <c r="C50" s="16">
        <v>3420</v>
      </c>
      <c r="D50" s="16">
        <v>3690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7">
        <v>0</v>
      </c>
      <c r="L50" s="17">
        <f t="shared" si="0"/>
        <v>7110</v>
      </c>
      <c r="M50" s="50">
        <v>3420</v>
      </c>
      <c r="N50" s="61">
        <f t="shared" si="1"/>
        <v>3420</v>
      </c>
      <c r="O50" s="61">
        <v>62910</v>
      </c>
    </row>
    <row r="51" spans="1:15">
      <c r="A51" s="1" t="s">
        <v>1</v>
      </c>
      <c r="B51" s="4" t="s">
        <v>102</v>
      </c>
      <c r="C51" s="16">
        <v>34770</v>
      </c>
      <c r="D51" s="16">
        <v>37515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7">
        <v>0</v>
      </c>
      <c r="L51" s="17">
        <f t="shared" si="0"/>
        <v>72285</v>
      </c>
      <c r="M51" s="50">
        <v>34770</v>
      </c>
      <c r="N51" s="61">
        <f t="shared" si="1"/>
        <v>34770</v>
      </c>
      <c r="O51" s="61">
        <v>639585</v>
      </c>
    </row>
    <row r="52" spans="1:15" ht="19.5" thickBot="1">
      <c r="A52" s="1" t="s">
        <v>1</v>
      </c>
      <c r="B52" s="4" t="s">
        <v>103</v>
      </c>
      <c r="C52" s="16">
        <v>1805</v>
      </c>
      <c r="D52" s="16">
        <v>2001</v>
      </c>
      <c r="E52" s="16">
        <v>427</v>
      </c>
      <c r="F52" s="16">
        <v>397</v>
      </c>
      <c r="G52" s="16">
        <v>0</v>
      </c>
      <c r="H52" s="16">
        <v>0</v>
      </c>
      <c r="I52" s="16">
        <v>0</v>
      </c>
      <c r="J52" s="16">
        <v>0</v>
      </c>
      <c r="K52" s="17">
        <v>410</v>
      </c>
      <c r="L52" s="17">
        <f t="shared" si="0"/>
        <v>5040</v>
      </c>
      <c r="M52" s="50">
        <v>1852</v>
      </c>
      <c r="N52" s="61">
        <f t="shared" si="1"/>
        <v>1852</v>
      </c>
      <c r="O52" s="61">
        <v>36097</v>
      </c>
    </row>
    <row r="53" spans="1:15" ht="19.5" thickBot="1">
      <c r="A53" s="1" t="s">
        <v>1</v>
      </c>
      <c r="B53" s="39" t="s">
        <v>104</v>
      </c>
      <c r="C53" s="41">
        <v>59375</v>
      </c>
      <c r="D53" s="41">
        <v>64116</v>
      </c>
      <c r="E53" s="41">
        <v>427</v>
      </c>
      <c r="F53" s="41">
        <v>397</v>
      </c>
      <c r="G53" s="41">
        <v>0</v>
      </c>
      <c r="H53" s="41">
        <v>0</v>
      </c>
      <c r="I53" s="41">
        <v>0</v>
      </c>
      <c r="J53" s="41">
        <v>0</v>
      </c>
      <c r="K53" s="42">
        <v>410</v>
      </c>
      <c r="L53" s="42">
        <f t="shared" si="0"/>
        <v>124725</v>
      </c>
      <c r="M53" s="52">
        <v>59422</v>
      </c>
      <c r="N53" s="63">
        <f t="shared" si="1"/>
        <v>59422</v>
      </c>
      <c r="O53" s="63">
        <v>1095082</v>
      </c>
    </row>
    <row r="54" spans="1:15">
      <c r="A54" s="1" t="s">
        <v>1</v>
      </c>
      <c r="B54" s="21" t="s">
        <v>105</v>
      </c>
      <c r="C54" s="30">
        <v>8280</v>
      </c>
      <c r="D54" s="30">
        <v>7990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1">
        <v>0</v>
      </c>
      <c r="L54" s="31">
        <f t="shared" si="0"/>
        <v>16270</v>
      </c>
      <c r="M54" s="49">
        <v>8840</v>
      </c>
      <c r="N54" s="60">
        <f t="shared" si="1"/>
        <v>8840</v>
      </c>
      <c r="O54" s="60">
        <v>142920</v>
      </c>
    </row>
    <row r="55" spans="1:15">
      <c r="A55" s="1" t="s">
        <v>1</v>
      </c>
      <c r="B55" s="4" t="s">
        <v>106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7">
        <v>0</v>
      </c>
      <c r="L55" s="17">
        <f t="shared" si="0"/>
        <v>0</v>
      </c>
      <c r="M55" s="50">
        <v>0</v>
      </c>
      <c r="N55" s="61">
        <f t="shared" si="1"/>
        <v>0</v>
      </c>
      <c r="O55" s="61">
        <v>15600</v>
      </c>
    </row>
    <row r="56" spans="1:15">
      <c r="A56" s="1" t="s">
        <v>1</v>
      </c>
      <c r="B56" s="4" t="s">
        <v>107</v>
      </c>
      <c r="C56" s="16">
        <v>15200</v>
      </c>
      <c r="D56" s="16">
        <v>16300</v>
      </c>
      <c r="E56" s="16">
        <v>600</v>
      </c>
      <c r="F56" s="16">
        <v>500</v>
      </c>
      <c r="G56" s="16">
        <v>0</v>
      </c>
      <c r="H56" s="16">
        <v>0</v>
      </c>
      <c r="I56" s="16">
        <v>0</v>
      </c>
      <c r="J56" s="16">
        <v>0</v>
      </c>
      <c r="K56" s="17">
        <v>11600</v>
      </c>
      <c r="L56" s="17">
        <f t="shared" si="0"/>
        <v>44200</v>
      </c>
      <c r="M56" s="50">
        <v>17800</v>
      </c>
      <c r="N56" s="61">
        <f t="shared" si="1"/>
        <v>17800</v>
      </c>
      <c r="O56" s="61">
        <v>258100</v>
      </c>
    </row>
    <row r="57" spans="1:15" ht="19.5" thickBot="1">
      <c r="A57" s="1" t="s">
        <v>1</v>
      </c>
      <c r="B57" s="4" t="s">
        <v>108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7">
        <v>0</v>
      </c>
      <c r="L57" s="17">
        <f t="shared" si="0"/>
        <v>0</v>
      </c>
      <c r="M57" s="50">
        <v>0</v>
      </c>
      <c r="N57" s="61">
        <f t="shared" si="1"/>
        <v>0</v>
      </c>
      <c r="O57" s="61">
        <v>0</v>
      </c>
    </row>
    <row r="58" spans="1:15" ht="19.5" thickBot="1">
      <c r="A58" s="1" t="s">
        <v>1</v>
      </c>
      <c r="B58" s="39" t="s">
        <v>109</v>
      </c>
      <c r="C58" s="41">
        <v>82855</v>
      </c>
      <c r="D58" s="41">
        <v>88406</v>
      </c>
      <c r="E58" s="41">
        <v>1027</v>
      </c>
      <c r="F58" s="41">
        <v>897</v>
      </c>
      <c r="G58" s="41">
        <v>0</v>
      </c>
      <c r="H58" s="41">
        <v>0</v>
      </c>
      <c r="I58" s="41">
        <v>0</v>
      </c>
      <c r="J58" s="41">
        <v>0</v>
      </c>
      <c r="K58" s="42">
        <v>12010</v>
      </c>
      <c r="L58" s="42">
        <f t="shared" si="0"/>
        <v>185195</v>
      </c>
      <c r="M58" s="52">
        <v>86062</v>
      </c>
      <c r="N58" s="63">
        <f t="shared" si="1"/>
        <v>86062</v>
      </c>
      <c r="O58" s="63">
        <v>1511702</v>
      </c>
    </row>
    <row r="59" spans="1:15" ht="19.5" thickBot="1">
      <c r="A59" s="1" t="s">
        <v>1</v>
      </c>
      <c r="B59" s="39" t="s">
        <v>110</v>
      </c>
      <c r="C59" s="41">
        <v>298285</v>
      </c>
      <c r="D59" s="41">
        <v>331022</v>
      </c>
      <c r="E59" s="41">
        <v>82293</v>
      </c>
      <c r="F59" s="41">
        <v>77623</v>
      </c>
      <c r="G59" s="41">
        <v>71810</v>
      </c>
      <c r="H59" s="41">
        <v>63855</v>
      </c>
      <c r="I59" s="41">
        <v>64715</v>
      </c>
      <c r="J59" s="41">
        <v>29670</v>
      </c>
      <c r="K59" s="42">
        <v>74410</v>
      </c>
      <c r="L59" s="42">
        <f t="shared" si="0"/>
        <v>1093683</v>
      </c>
      <c r="M59" s="52">
        <v>305578</v>
      </c>
      <c r="N59" s="63">
        <f t="shared" si="1"/>
        <v>305578</v>
      </c>
      <c r="O59" s="63">
        <v>6223550</v>
      </c>
    </row>
    <row r="60" spans="1:15" ht="19.5" thickBot="1">
      <c r="A60" s="1" t="s">
        <v>1</v>
      </c>
      <c r="B60" s="39" t="s">
        <v>111</v>
      </c>
      <c r="C60" s="41">
        <v>278060</v>
      </c>
      <c r="D60" s="41">
        <v>311847</v>
      </c>
      <c r="E60" s="41">
        <v>84380</v>
      </c>
      <c r="F60" s="41">
        <v>78544</v>
      </c>
      <c r="G60" s="41">
        <v>74910</v>
      </c>
      <c r="H60" s="41">
        <v>67343</v>
      </c>
      <c r="I60" s="41">
        <v>68435</v>
      </c>
      <c r="J60" s="41">
        <v>31014</v>
      </c>
      <c r="K60" s="42">
        <v>70043</v>
      </c>
      <c r="L60" s="42">
        <f t="shared" si="0"/>
        <v>1064576</v>
      </c>
      <c r="M60" s="52">
        <v>284311</v>
      </c>
      <c r="N60" s="63">
        <f t="shared" si="1"/>
        <v>284311</v>
      </c>
      <c r="O60" s="63">
        <v>5949323</v>
      </c>
    </row>
    <row r="61" spans="1:15">
      <c r="A61" s="1" t="s">
        <v>1</v>
      </c>
      <c r="B61" s="21" t="s">
        <v>112</v>
      </c>
      <c r="C61" s="30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1">
        <v>0</v>
      </c>
      <c r="L61" s="31">
        <f t="shared" si="0"/>
        <v>0</v>
      </c>
      <c r="M61" s="49">
        <v>0</v>
      </c>
      <c r="N61" s="60">
        <f t="shared" si="1"/>
        <v>0</v>
      </c>
      <c r="O61" s="60">
        <v>0</v>
      </c>
    </row>
    <row r="62" spans="1:15">
      <c r="A62" s="1" t="s">
        <v>1</v>
      </c>
      <c r="B62" s="4" t="s">
        <v>113</v>
      </c>
      <c r="C62" s="16">
        <v>278060</v>
      </c>
      <c r="D62" s="16">
        <v>311847</v>
      </c>
      <c r="E62" s="16">
        <v>84380</v>
      </c>
      <c r="F62" s="16">
        <v>78544</v>
      </c>
      <c r="G62" s="16">
        <v>74910</v>
      </c>
      <c r="H62" s="16">
        <v>67343</v>
      </c>
      <c r="I62" s="16">
        <v>68435</v>
      </c>
      <c r="J62" s="16">
        <v>31014</v>
      </c>
      <c r="K62" s="17">
        <v>70043</v>
      </c>
      <c r="L62" s="17">
        <f t="shared" si="0"/>
        <v>1064576</v>
      </c>
      <c r="M62" s="50">
        <v>284311</v>
      </c>
      <c r="N62" s="61">
        <f t="shared" si="1"/>
        <v>284311</v>
      </c>
      <c r="O62" s="61">
        <v>5949323</v>
      </c>
    </row>
    <row r="63" spans="1:15">
      <c r="A63" s="1" t="s">
        <v>1</v>
      </c>
      <c r="B63" s="4" t="s">
        <v>114</v>
      </c>
      <c r="C63" s="16">
        <v>0</v>
      </c>
      <c r="D63" s="16">
        <v>1</v>
      </c>
      <c r="E63" s="16">
        <v>0</v>
      </c>
      <c r="F63" s="16">
        <v>0</v>
      </c>
      <c r="G63" s="16">
        <v>1</v>
      </c>
      <c r="H63" s="16">
        <v>1</v>
      </c>
      <c r="I63" s="16">
        <v>1</v>
      </c>
      <c r="J63" s="16">
        <v>1</v>
      </c>
      <c r="K63" s="17">
        <v>1</v>
      </c>
      <c r="L63" s="17"/>
      <c r="M63" s="50">
        <v>0</v>
      </c>
      <c r="N63" s="61">
        <f t="shared" si="1"/>
        <v>0</v>
      </c>
      <c r="O63" s="61"/>
    </row>
    <row r="64" spans="1:15" ht="19.5" thickBot="1">
      <c r="A64" s="1" t="s">
        <v>1</v>
      </c>
      <c r="B64" s="5" t="s">
        <v>115</v>
      </c>
      <c r="C64" s="19" t="s">
        <v>116</v>
      </c>
      <c r="D64" s="19" t="s">
        <v>116</v>
      </c>
      <c r="E64" s="19" t="s">
        <v>116</v>
      </c>
      <c r="F64" s="19" t="s">
        <v>116</v>
      </c>
      <c r="G64" s="19" t="s">
        <v>116</v>
      </c>
      <c r="H64" s="19" t="s">
        <v>116</v>
      </c>
      <c r="I64" s="19" t="s">
        <v>116</v>
      </c>
      <c r="J64" s="19" t="s">
        <v>116</v>
      </c>
      <c r="K64" s="20" t="s">
        <v>116</v>
      </c>
      <c r="L64" s="20"/>
      <c r="M64" s="53" t="s">
        <v>116</v>
      </c>
      <c r="N64" s="64"/>
      <c r="O64" s="64"/>
    </row>
  </sheetData>
  <phoneticPr fontId="3"/>
  <pageMargins left="0.11811023622047245" right="0.31496062992125984" top="0.15748031496062992" bottom="0.15748031496062992" header="0.31496062992125984" footer="0.31496062992125984"/>
  <pageSetup paperSize="12" scale="6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C0E0-2121-4101-A667-9C20F54EDEE7}">
  <sheetPr>
    <pageSetUpPr fitToPage="1"/>
  </sheetPr>
  <dimension ref="A1:U64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C3" sqref="C3"/>
    </sheetView>
  </sheetViews>
  <sheetFormatPr defaultRowHeight="18.75"/>
  <cols>
    <col min="1" max="1" width="2.375" style="2" customWidth="1"/>
    <col min="2" max="2" width="13.25" style="2" bestFit="1" customWidth="1"/>
    <col min="3" max="21" width="11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7" width="11.125" style="2" bestFit="1" customWidth="1"/>
    <col min="268" max="268" width="9" style="2"/>
    <col min="269" max="275" width="11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3" width="11.125" style="2" bestFit="1" customWidth="1"/>
    <col min="524" max="524" width="9" style="2"/>
    <col min="525" max="531" width="11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9" width="11.125" style="2" bestFit="1" customWidth="1"/>
    <col min="780" max="780" width="9" style="2"/>
    <col min="781" max="787" width="11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5" width="11.125" style="2" bestFit="1" customWidth="1"/>
    <col min="1036" max="1036" width="9" style="2"/>
    <col min="1037" max="1043" width="11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1" width="11.125" style="2" bestFit="1" customWidth="1"/>
    <col min="1292" max="1292" width="9" style="2"/>
    <col min="1293" max="1299" width="11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7" width="11.125" style="2" bestFit="1" customWidth="1"/>
    <col min="1548" max="1548" width="9" style="2"/>
    <col min="1549" max="1555" width="11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3" width="11.125" style="2" bestFit="1" customWidth="1"/>
    <col min="1804" max="1804" width="9" style="2"/>
    <col min="1805" max="1811" width="11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9" width="11.125" style="2" bestFit="1" customWidth="1"/>
    <col min="2060" max="2060" width="9" style="2"/>
    <col min="2061" max="2067" width="11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5" width="11.125" style="2" bestFit="1" customWidth="1"/>
    <col min="2316" max="2316" width="9" style="2"/>
    <col min="2317" max="2323" width="11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1" width="11.125" style="2" bestFit="1" customWidth="1"/>
    <col min="2572" max="2572" width="9" style="2"/>
    <col min="2573" max="2579" width="11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7" width="11.125" style="2" bestFit="1" customWidth="1"/>
    <col min="2828" max="2828" width="9" style="2"/>
    <col min="2829" max="2835" width="11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3" width="11.125" style="2" bestFit="1" customWidth="1"/>
    <col min="3084" max="3084" width="9" style="2"/>
    <col min="3085" max="3091" width="11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9" width="11.125" style="2" bestFit="1" customWidth="1"/>
    <col min="3340" max="3340" width="9" style="2"/>
    <col min="3341" max="3347" width="11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5" width="11.125" style="2" bestFit="1" customWidth="1"/>
    <col min="3596" max="3596" width="9" style="2"/>
    <col min="3597" max="3603" width="11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1" width="11.125" style="2" bestFit="1" customWidth="1"/>
    <col min="3852" max="3852" width="9" style="2"/>
    <col min="3853" max="3859" width="11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7" width="11.125" style="2" bestFit="1" customWidth="1"/>
    <col min="4108" max="4108" width="9" style="2"/>
    <col min="4109" max="4115" width="11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3" width="11.125" style="2" bestFit="1" customWidth="1"/>
    <col min="4364" max="4364" width="9" style="2"/>
    <col min="4365" max="4371" width="11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9" width="11.125" style="2" bestFit="1" customWidth="1"/>
    <col min="4620" max="4620" width="9" style="2"/>
    <col min="4621" max="4627" width="11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5" width="11.125" style="2" bestFit="1" customWidth="1"/>
    <col min="4876" max="4876" width="9" style="2"/>
    <col min="4877" max="4883" width="11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1" width="11.125" style="2" bestFit="1" customWidth="1"/>
    <col min="5132" max="5132" width="9" style="2"/>
    <col min="5133" max="5139" width="11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7" width="11.125" style="2" bestFit="1" customWidth="1"/>
    <col min="5388" max="5388" width="9" style="2"/>
    <col min="5389" max="5395" width="11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3" width="11.125" style="2" bestFit="1" customWidth="1"/>
    <col min="5644" max="5644" width="9" style="2"/>
    <col min="5645" max="5651" width="11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9" width="11.125" style="2" bestFit="1" customWidth="1"/>
    <col min="5900" max="5900" width="9" style="2"/>
    <col min="5901" max="5907" width="11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5" width="11.125" style="2" bestFit="1" customWidth="1"/>
    <col min="6156" max="6156" width="9" style="2"/>
    <col min="6157" max="6163" width="11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1" width="11.125" style="2" bestFit="1" customWidth="1"/>
    <col min="6412" max="6412" width="9" style="2"/>
    <col min="6413" max="6419" width="11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7" width="11.125" style="2" bestFit="1" customWidth="1"/>
    <col min="6668" max="6668" width="9" style="2"/>
    <col min="6669" max="6675" width="11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3" width="11.125" style="2" bestFit="1" customWidth="1"/>
    <col min="6924" max="6924" width="9" style="2"/>
    <col min="6925" max="6931" width="11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9" width="11.125" style="2" bestFit="1" customWidth="1"/>
    <col min="7180" max="7180" width="9" style="2"/>
    <col min="7181" max="7187" width="11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5" width="11.125" style="2" bestFit="1" customWidth="1"/>
    <col min="7436" max="7436" width="9" style="2"/>
    <col min="7437" max="7443" width="11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1" width="11.125" style="2" bestFit="1" customWidth="1"/>
    <col min="7692" max="7692" width="9" style="2"/>
    <col min="7693" max="7699" width="11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7" width="11.125" style="2" bestFit="1" customWidth="1"/>
    <col min="7948" max="7948" width="9" style="2"/>
    <col min="7949" max="7955" width="11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3" width="11.125" style="2" bestFit="1" customWidth="1"/>
    <col min="8204" max="8204" width="9" style="2"/>
    <col min="8205" max="8211" width="11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9" width="11.125" style="2" bestFit="1" customWidth="1"/>
    <col min="8460" max="8460" width="9" style="2"/>
    <col min="8461" max="8467" width="11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5" width="11.125" style="2" bestFit="1" customWidth="1"/>
    <col min="8716" max="8716" width="9" style="2"/>
    <col min="8717" max="8723" width="11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1" width="11.125" style="2" bestFit="1" customWidth="1"/>
    <col min="8972" max="8972" width="9" style="2"/>
    <col min="8973" max="8979" width="11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7" width="11.125" style="2" bestFit="1" customWidth="1"/>
    <col min="9228" max="9228" width="9" style="2"/>
    <col min="9229" max="9235" width="11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3" width="11.125" style="2" bestFit="1" customWidth="1"/>
    <col min="9484" max="9484" width="9" style="2"/>
    <col min="9485" max="9491" width="11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9" width="11.125" style="2" bestFit="1" customWidth="1"/>
    <col min="9740" max="9740" width="9" style="2"/>
    <col min="9741" max="9747" width="11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5" width="11.125" style="2" bestFit="1" customWidth="1"/>
    <col min="9996" max="9996" width="9" style="2"/>
    <col min="9997" max="10003" width="11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1" width="11.125" style="2" bestFit="1" customWidth="1"/>
    <col min="10252" max="10252" width="9" style="2"/>
    <col min="10253" max="10259" width="11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7" width="11.125" style="2" bestFit="1" customWidth="1"/>
    <col min="10508" max="10508" width="9" style="2"/>
    <col min="10509" max="10515" width="11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3" width="11.125" style="2" bestFit="1" customWidth="1"/>
    <col min="10764" max="10764" width="9" style="2"/>
    <col min="10765" max="10771" width="11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9" width="11.125" style="2" bestFit="1" customWidth="1"/>
    <col min="11020" max="11020" width="9" style="2"/>
    <col min="11021" max="11027" width="11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5" width="11.125" style="2" bestFit="1" customWidth="1"/>
    <col min="11276" max="11276" width="9" style="2"/>
    <col min="11277" max="11283" width="11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1" width="11.125" style="2" bestFit="1" customWidth="1"/>
    <col min="11532" max="11532" width="9" style="2"/>
    <col min="11533" max="11539" width="11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7" width="11.125" style="2" bestFit="1" customWidth="1"/>
    <col min="11788" max="11788" width="9" style="2"/>
    <col min="11789" max="11795" width="11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3" width="11.125" style="2" bestFit="1" customWidth="1"/>
    <col min="12044" max="12044" width="9" style="2"/>
    <col min="12045" max="12051" width="11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9" width="11.125" style="2" bestFit="1" customWidth="1"/>
    <col min="12300" max="12300" width="9" style="2"/>
    <col min="12301" max="12307" width="11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5" width="11.125" style="2" bestFit="1" customWidth="1"/>
    <col min="12556" max="12556" width="9" style="2"/>
    <col min="12557" max="12563" width="11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1" width="11.125" style="2" bestFit="1" customWidth="1"/>
    <col min="12812" max="12812" width="9" style="2"/>
    <col min="12813" max="12819" width="11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7" width="11.125" style="2" bestFit="1" customWidth="1"/>
    <col min="13068" max="13068" width="9" style="2"/>
    <col min="13069" max="13075" width="11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3" width="11.125" style="2" bestFit="1" customWidth="1"/>
    <col min="13324" max="13324" width="9" style="2"/>
    <col min="13325" max="13331" width="11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9" width="11.125" style="2" bestFit="1" customWidth="1"/>
    <col min="13580" max="13580" width="9" style="2"/>
    <col min="13581" max="13587" width="11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5" width="11.125" style="2" bestFit="1" customWidth="1"/>
    <col min="13836" max="13836" width="9" style="2"/>
    <col min="13837" max="13843" width="11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1" width="11.125" style="2" bestFit="1" customWidth="1"/>
    <col min="14092" max="14092" width="9" style="2"/>
    <col min="14093" max="14099" width="11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7" width="11.125" style="2" bestFit="1" customWidth="1"/>
    <col min="14348" max="14348" width="9" style="2"/>
    <col min="14349" max="14355" width="11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3" width="11.125" style="2" bestFit="1" customWidth="1"/>
    <col min="14604" max="14604" width="9" style="2"/>
    <col min="14605" max="14611" width="11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9" width="11.125" style="2" bestFit="1" customWidth="1"/>
    <col min="14860" max="14860" width="9" style="2"/>
    <col min="14861" max="14867" width="11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5" width="11.125" style="2" bestFit="1" customWidth="1"/>
    <col min="15116" max="15116" width="9" style="2"/>
    <col min="15117" max="15123" width="11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1" width="11.125" style="2" bestFit="1" customWidth="1"/>
    <col min="15372" max="15372" width="9" style="2"/>
    <col min="15373" max="15379" width="11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7" width="11.125" style="2" bestFit="1" customWidth="1"/>
    <col min="15628" max="15628" width="9" style="2"/>
    <col min="15629" max="15635" width="11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3" width="11.125" style="2" bestFit="1" customWidth="1"/>
    <col min="15884" max="15884" width="9" style="2"/>
    <col min="15885" max="15891" width="11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9" width="11.125" style="2" bestFit="1" customWidth="1"/>
    <col min="16140" max="16140" width="9" style="2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117</v>
      </c>
    </row>
    <row r="3" spans="1:21">
      <c r="B3" s="3"/>
      <c r="C3" s="6" t="s">
        <v>2</v>
      </c>
      <c r="D3" s="7" t="s">
        <v>3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7" t="s">
        <v>18</v>
      </c>
      <c r="Q3" s="7" t="s">
        <v>19</v>
      </c>
      <c r="R3" s="7" t="s">
        <v>20</v>
      </c>
      <c r="S3" s="7" t="s">
        <v>21</v>
      </c>
      <c r="T3" s="43" t="s">
        <v>22</v>
      </c>
      <c r="U3" s="54" t="s">
        <v>118</v>
      </c>
    </row>
    <row r="4" spans="1:21" ht="19.5" thickBot="1">
      <c r="A4" s="67"/>
      <c r="B4" s="25" t="s">
        <v>30</v>
      </c>
      <c r="C4" s="26" t="s">
        <v>31</v>
      </c>
      <c r="D4" s="27" t="s">
        <v>32</v>
      </c>
      <c r="E4" s="27" t="s">
        <v>35</v>
      </c>
      <c r="F4" s="27" t="s">
        <v>36</v>
      </c>
      <c r="G4" s="27" t="s">
        <v>37</v>
      </c>
      <c r="H4" s="27" t="s">
        <v>38</v>
      </c>
      <c r="I4" s="27" t="s">
        <v>39</v>
      </c>
      <c r="J4" s="27" t="s">
        <v>40</v>
      </c>
      <c r="K4" s="27" t="s">
        <v>41</v>
      </c>
      <c r="L4" s="27" t="s">
        <v>42</v>
      </c>
      <c r="M4" s="27" t="s">
        <v>43</v>
      </c>
      <c r="N4" s="27" t="s">
        <v>44</v>
      </c>
      <c r="O4" s="27" t="s">
        <v>45</v>
      </c>
      <c r="P4" s="27" t="s">
        <v>47</v>
      </c>
      <c r="Q4" s="27" t="s">
        <v>48</v>
      </c>
      <c r="R4" s="27" t="s">
        <v>49</v>
      </c>
      <c r="S4" s="27" t="s">
        <v>50</v>
      </c>
      <c r="T4" s="44" t="s">
        <v>51</v>
      </c>
      <c r="U4" s="55" t="s">
        <v>119</v>
      </c>
    </row>
    <row r="5" spans="1:21">
      <c r="A5" s="1" t="s">
        <v>1</v>
      </c>
      <c r="B5" s="21" t="s">
        <v>59</v>
      </c>
      <c r="C5" s="22">
        <v>18</v>
      </c>
      <c r="D5" s="23">
        <v>19</v>
      </c>
      <c r="E5" s="23">
        <v>18</v>
      </c>
      <c r="F5" s="23">
        <v>19</v>
      </c>
      <c r="G5" s="23">
        <v>15</v>
      </c>
      <c r="H5" s="23">
        <v>19</v>
      </c>
      <c r="I5" s="23">
        <v>16</v>
      </c>
      <c r="J5" s="23">
        <v>18</v>
      </c>
      <c r="K5" s="23">
        <v>19</v>
      </c>
      <c r="L5" s="23">
        <v>19</v>
      </c>
      <c r="M5" s="23">
        <v>18</v>
      </c>
      <c r="N5" s="23">
        <v>16</v>
      </c>
      <c r="O5" s="23">
        <v>19</v>
      </c>
      <c r="P5" s="23">
        <v>15</v>
      </c>
      <c r="Q5" s="23">
        <v>16</v>
      </c>
      <c r="R5" s="23">
        <v>16</v>
      </c>
      <c r="S5" s="23">
        <v>19</v>
      </c>
      <c r="T5" s="45">
        <v>19</v>
      </c>
      <c r="U5" s="56">
        <f>SUM(C5:T5)</f>
        <v>318</v>
      </c>
    </row>
    <row r="6" spans="1:21">
      <c r="A6" s="1" t="s">
        <v>1</v>
      </c>
      <c r="B6" s="4" t="s">
        <v>60</v>
      </c>
      <c r="C6" s="9">
        <v>2</v>
      </c>
      <c r="D6" s="10">
        <v>2</v>
      </c>
      <c r="E6" s="10">
        <v>3</v>
      </c>
      <c r="F6" s="10">
        <v>1</v>
      </c>
      <c r="G6" s="10">
        <v>2</v>
      </c>
      <c r="H6" s="10">
        <v>2</v>
      </c>
      <c r="I6" s="10">
        <v>2</v>
      </c>
      <c r="J6" s="10">
        <v>3</v>
      </c>
      <c r="K6" s="10">
        <v>3</v>
      </c>
      <c r="L6" s="10">
        <v>2</v>
      </c>
      <c r="M6" s="10">
        <v>2</v>
      </c>
      <c r="N6" s="10">
        <v>4</v>
      </c>
      <c r="O6" s="10">
        <v>3</v>
      </c>
      <c r="P6" s="10">
        <v>1</v>
      </c>
      <c r="Q6" s="10">
        <v>3</v>
      </c>
      <c r="R6" s="10">
        <v>3</v>
      </c>
      <c r="S6" s="10">
        <v>1</v>
      </c>
      <c r="T6" s="46">
        <v>3</v>
      </c>
      <c r="U6" s="57">
        <f>SUM(C6:T6)</f>
        <v>42</v>
      </c>
    </row>
    <row r="7" spans="1:21">
      <c r="A7" s="1" t="s">
        <v>1</v>
      </c>
      <c r="B7" s="4" t="s">
        <v>61</v>
      </c>
      <c r="C7" s="9">
        <v>3</v>
      </c>
      <c r="D7" s="10">
        <v>3</v>
      </c>
      <c r="E7" s="10">
        <v>2</v>
      </c>
      <c r="F7" s="10">
        <v>3</v>
      </c>
      <c r="G7" s="10">
        <v>4</v>
      </c>
      <c r="H7" s="10">
        <v>2</v>
      </c>
      <c r="I7" s="10">
        <v>3</v>
      </c>
      <c r="J7" s="10">
        <v>2</v>
      </c>
      <c r="K7" s="10">
        <v>2</v>
      </c>
      <c r="L7" s="10">
        <v>3</v>
      </c>
      <c r="M7" s="10">
        <v>4</v>
      </c>
      <c r="N7" s="10">
        <v>4</v>
      </c>
      <c r="O7" s="10">
        <v>2</v>
      </c>
      <c r="P7" s="10">
        <v>3</v>
      </c>
      <c r="Q7" s="10">
        <v>4</v>
      </c>
      <c r="R7" s="10">
        <v>2</v>
      </c>
      <c r="S7" s="10">
        <v>2</v>
      </c>
      <c r="T7" s="46">
        <v>2</v>
      </c>
      <c r="U7" s="57">
        <f t="shared" ref="U7:U62" si="0">SUM(C7:T7)</f>
        <v>50</v>
      </c>
    </row>
    <row r="8" spans="1:21">
      <c r="A8" s="1" t="s">
        <v>1</v>
      </c>
      <c r="B8" s="4" t="s">
        <v>62</v>
      </c>
      <c r="C8" s="9">
        <v>0</v>
      </c>
      <c r="D8" s="10">
        <v>0</v>
      </c>
      <c r="E8" s="10">
        <v>0</v>
      </c>
      <c r="F8" s="10">
        <v>0</v>
      </c>
      <c r="G8" s="10">
        <v>3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1</v>
      </c>
      <c r="N8" s="10">
        <v>1</v>
      </c>
      <c r="O8" s="10">
        <v>0</v>
      </c>
      <c r="P8" s="10">
        <v>0</v>
      </c>
      <c r="Q8" s="10">
        <v>3</v>
      </c>
      <c r="R8" s="10">
        <v>2</v>
      </c>
      <c r="S8" s="10">
        <v>0</v>
      </c>
      <c r="T8" s="46">
        <v>0</v>
      </c>
      <c r="U8" s="57">
        <f t="shared" si="0"/>
        <v>10</v>
      </c>
    </row>
    <row r="9" spans="1:21">
      <c r="A9" s="1" t="s">
        <v>1</v>
      </c>
      <c r="B9" s="4" t="s">
        <v>63</v>
      </c>
      <c r="C9" s="9">
        <v>1</v>
      </c>
      <c r="D9" s="10">
        <v>0</v>
      </c>
      <c r="E9" s="10">
        <v>1</v>
      </c>
      <c r="F9" s="10">
        <v>0</v>
      </c>
      <c r="G9" s="10">
        <v>1</v>
      </c>
      <c r="H9" s="10">
        <v>0</v>
      </c>
      <c r="I9" s="10">
        <v>3</v>
      </c>
      <c r="J9" s="10">
        <v>1</v>
      </c>
      <c r="K9" s="10">
        <v>0</v>
      </c>
      <c r="L9" s="10">
        <v>0</v>
      </c>
      <c r="M9" s="10">
        <v>0</v>
      </c>
      <c r="N9" s="10">
        <v>2</v>
      </c>
      <c r="O9" s="10">
        <v>0</v>
      </c>
      <c r="P9" s="10">
        <v>4</v>
      </c>
      <c r="Q9" s="10">
        <v>0</v>
      </c>
      <c r="R9" s="10">
        <v>1</v>
      </c>
      <c r="S9" s="10">
        <v>0</v>
      </c>
      <c r="T9" s="46">
        <v>0</v>
      </c>
      <c r="U9" s="57">
        <f t="shared" si="0"/>
        <v>14</v>
      </c>
    </row>
    <row r="10" spans="1:21">
      <c r="A10" s="1" t="s">
        <v>1</v>
      </c>
      <c r="B10" s="4" t="s">
        <v>64</v>
      </c>
      <c r="C10" s="9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46">
        <v>0</v>
      </c>
      <c r="U10" s="57">
        <f t="shared" si="0"/>
        <v>0</v>
      </c>
    </row>
    <row r="11" spans="1:21">
      <c r="A11" s="1" t="s">
        <v>1</v>
      </c>
      <c r="B11" s="4" t="s">
        <v>65</v>
      </c>
      <c r="C11" s="9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46">
        <v>0</v>
      </c>
      <c r="U11" s="57">
        <f t="shared" si="0"/>
        <v>0</v>
      </c>
    </row>
    <row r="12" spans="1:21">
      <c r="A12" s="1" t="s">
        <v>1</v>
      </c>
      <c r="B12" s="4" t="s">
        <v>66</v>
      </c>
      <c r="C12" s="9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46">
        <v>0</v>
      </c>
      <c r="U12" s="57">
        <f t="shared" si="0"/>
        <v>0</v>
      </c>
    </row>
    <row r="13" spans="1:21">
      <c r="A13" s="1" t="s">
        <v>1</v>
      </c>
      <c r="B13" s="4" t="s">
        <v>67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47">
        <v>0</v>
      </c>
      <c r="U13" s="58">
        <f t="shared" si="0"/>
        <v>0</v>
      </c>
    </row>
    <row r="14" spans="1:21">
      <c r="A14" s="1" t="s">
        <v>1</v>
      </c>
      <c r="B14" s="4" t="s">
        <v>68</v>
      </c>
      <c r="C14" s="12">
        <v>1.7916666666666665</v>
      </c>
      <c r="D14" s="13">
        <v>2.4583333333333335</v>
      </c>
      <c r="E14" s="13">
        <v>8.3333333333333329E-2</v>
      </c>
      <c r="F14" s="13">
        <v>2.2916666666666665</v>
      </c>
      <c r="G14" s="13">
        <v>1.7916666666666665</v>
      </c>
      <c r="H14" s="13">
        <v>3</v>
      </c>
      <c r="I14" s="13">
        <v>2.1666666666666665</v>
      </c>
      <c r="J14" s="13">
        <v>1.9166666666666665</v>
      </c>
      <c r="K14" s="13">
        <v>2.2083333333333335</v>
      </c>
      <c r="L14" s="13">
        <v>2.5416666666666665</v>
      </c>
      <c r="M14" s="13">
        <v>1.5833333333333335</v>
      </c>
      <c r="N14" s="13">
        <v>1.9583333333333335</v>
      </c>
      <c r="O14" s="13">
        <v>8.3333333333333329E-2</v>
      </c>
      <c r="P14" s="13">
        <v>2.0833333333333335</v>
      </c>
      <c r="Q14" s="13">
        <v>0.83333333333333337</v>
      </c>
      <c r="R14" s="13">
        <v>2.125</v>
      </c>
      <c r="S14" s="13">
        <v>2.7916666666666665</v>
      </c>
      <c r="T14" s="47">
        <v>1.7916666666666665</v>
      </c>
      <c r="U14" s="58">
        <f t="shared" si="0"/>
        <v>33.499999999999993</v>
      </c>
    </row>
    <row r="15" spans="1:21">
      <c r="A15" s="1" t="s">
        <v>1</v>
      </c>
      <c r="B15" s="4" t="s">
        <v>69</v>
      </c>
      <c r="C15" s="12">
        <v>0.625</v>
      </c>
      <c r="D15" s="13">
        <v>0.75</v>
      </c>
      <c r="E15" s="13">
        <v>0.75</v>
      </c>
      <c r="F15" s="13">
        <v>0.45833333333333331</v>
      </c>
      <c r="G15" s="13">
        <v>0.45833333333333331</v>
      </c>
      <c r="H15" s="13">
        <v>0.95833333333333337</v>
      </c>
      <c r="I15" s="13">
        <v>0.66666666666666663</v>
      </c>
      <c r="J15" s="13">
        <v>1.125</v>
      </c>
      <c r="K15" s="13">
        <v>1.2083333333333333</v>
      </c>
      <c r="L15" s="13">
        <v>1</v>
      </c>
      <c r="M15" s="13">
        <v>1</v>
      </c>
      <c r="N15" s="13">
        <v>1.7083333333333335</v>
      </c>
      <c r="O15" s="13">
        <v>0.75</v>
      </c>
      <c r="P15" s="13">
        <v>0.33333333333333331</v>
      </c>
      <c r="Q15" s="13">
        <v>1.125</v>
      </c>
      <c r="R15" s="13">
        <v>0.5</v>
      </c>
      <c r="S15" s="13">
        <v>0.375</v>
      </c>
      <c r="T15" s="47">
        <v>1.0416666666666667</v>
      </c>
      <c r="U15" s="58">
        <f t="shared" si="0"/>
        <v>14.833333333333334</v>
      </c>
    </row>
    <row r="16" spans="1:21">
      <c r="A16" s="1" t="s">
        <v>1</v>
      </c>
      <c r="B16" s="4" t="s">
        <v>70</v>
      </c>
      <c r="C16" s="12">
        <v>0.95833333333333337</v>
      </c>
      <c r="D16" s="13">
        <v>0.95833333333333337</v>
      </c>
      <c r="E16" s="13">
        <v>0.5</v>
      </c>
      <c r="F16" s="13">
        <v>1.125</v>
      </c>
      <c r="G16" s="13">
        <v>0.75</v>
      </c>
      <c r="H16" s="13">
        <v>0.66666666666666663</v>
      </c>
      <c r="I16" s="13">
        <v>1.2916666666666667</v>
      </c>
      <c r="J16" s="13">
        <v>0.70833333333333337</v>
      </c>
      <c r="K16" s="13">
        <v>0.91666666666666663</v>
      </c>
      <c r="L16" s="13">
        <v>1</v>
      </c>
      <c r="M16" s="13">
        <v>1.4583333333333333</v>
      </c>
      <c r="N16" s="13">
        <v>1.25</v>
      </c>
      <c r="O16" s="13">
        <v>0.5</v>
      </c>
      <c r="P16" s="13">
        <v>0.91666666666666663</v>
      </c>
      <c r="Q16" s="13">
        <v>0.41666666666666669</v>
      </c>
      <c r="R16" s="13">
        <v>1</v>
      </c>
      <c r="S16" s="13">
        <v>0.58333333333333337</v>
      </c>
      <c r="T16" s="47">
        <v>0.45833333333333331</v>
      </c>
      <c r="U16" s="58">
        <f t="shared" si="0"/>
        <v>15.458333333333334</v>
      </c>
    </row>
    <row r="17" spans="1:21">
      <c r="A17" s="1" t="s">
        <v>1</v>
      </c>
      <c r="B17" s="4" t="s">
        <v>71</v>
      </c>
      <c r="C17" s="12">
        <v>0</v>
      </c>
      <c r="D17" s="13">
        <v>0</v>
      </c>
      <c r="E17" s="13">
        <v>0</v>
      </c>
      <c r="F17" s="13">
        <v>0</v>
      </c>
      <c r="G17" s="13">
        <v>0.33333333333333331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0.91666666666666663</v>
      </c>
      <c r="S17" s="13">
        <v>0</v>
      </c>
      <c r="T17" s="47">
        <v>0</v>
      </c>
      <c r="U17" s="58">
        <f t="shared" si="0"/>
        <v>1.25</v>
      </c>
    </row>
    <row r="18" spans="1:21">
      <c r="A18" s="1" t="s">
        <v>1</v>
      </c>
      <c r="B18" s="4" t="s">
        <v>72</v>
      </c>
      <c r="C18" s="12">
        <v>0</v>
      </c>
      <c r="D18" s="13">
        <v>0</v>
      </c>
      <c r="E18" s="13">
        <v>0</v>
      </c>
      <c r="F18" s="13">
        <v>0</v>
      </c>
      <c r="G18" s="13">
        <v>0.625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0.375</v>
      </c>
      <c r="N18" s="13">
        <v>0.45833333333333331</v>
      </c>
      <c r="O18" s="13">
        <v>0</v>
      </c>
      <c r="P18" s="13">
        <v>0</v>
      </c>
      <c r="Q18" s="13">
        <v>1.25</v>
      </c>
      <c r="R18" s="13">
        <v>0</v>
      </c>
      <c r="S18" s="13">
        <v>0</v>
      </c>
      <c r="T18" s="47">
        <v>0</v>
      </c>
      <c r="U18" s="58">
        <f t="shared" si="0"/>
        <v>2.708333333333333</v>
      </c>
    </row>
    <row r="19" spans="1:21">
      <c r="A19" s="1" t="s">
        <v>1</v>
      </c>
      <c r="B19" s="4" t="s">
        <v>73</v>
      </c>
      <c r="C19" s="12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47">
        <v>0</v>
      </c>
      <c r="U19" s="58">
        <f t="shared" si="0"/>
        <v>0</v>
      </c>
    </row>
    <row r="20" spans="1:21">
      <c r="A20" s="1" t="s">
        <v>1</v>
      </c>
      <c r="B20" s="4" t="s">
        <v>74</v>
      </c>
      <c r="C20" s="12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47">
        <v>0</v>
      </c>
      <c r="U20" s="58">
        <f t="shared" si="0"/>
        <v>0</v>
      </c>
    </row>
    <row r="21" spans="1:21">
      <c r="A21" s="1" t="s">
        <v>1</v>
      </c>
      <c r="B21" s="4" t="s">
        <v>75</v>
      </c>
      <c r="C21" s="12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47">
        <v>0</v>
      </c>
      <c r="U21" s="58">
        <f t="shared" si="0"/>
        <v>0</v>
      </c>
    </row>
    <row r="22" spans="1:21">
      <c r="A22" s="1" t="s">
        <v>1</v>
      </c>
      <c r="B22" s="4" t="s">
        <v>76</v>
      </c>
      <c r="C22" s="12">
        <v>0.45833333333333331</v>
      </c>
      <c r="D22" s="13">
        <v>0.79166666666666663</v>
      </c>
      <c r="E22" s="13">
        <v>0</v>
      </c>
      <c r="F22" s="13">
        <v>0.83333333333333337</v>
      </c>
      <c r="G22" s="13">
        <v>0.83333333333333337</v>
      </c>
      <c r="H22" s="13">
        <v>1.7083333333333335</v>
      </c>
      <c r="I22" s="13">
        <v>0.29166666666666669</v>
      </c>
      <c r="J22" s="13">
        <v>0.25</v>
      </c>
      <c r="K22" s="13">
        <v>0.25</v>
      </c>
      <c r="L22" s="13">
        <v>0.91666666666666663</v>
      </c>
      <c r="M22" s="13">
        <v>0.25</v>
      </c>
      <c r="N22" s="13">
        <v>0.5</v>
      </c>
      <c r="O22" s="13">
        <v>0</v>
      </c>
      <c r="P22" s="13">
        <v>1.0833333333333333</v>
      </c>
      <c r="Q22" s="13">
        <v>1.375</v>
      </c>
      <c r="R22" s="13">
        <v>2</v>
      </c>
      <c r="S22" s="13">
        <v>1.0416666666666667</v>
      </c>
      <c r="T22" s="47">
        <v>0.16666666666666666</v>
      </c>
      <c r="U22" s="58">
        <f t="shared" si="0"/>
        <v>12.75</v>
      </c>
    </row>
    <row r="23" spans="1:21" ht="19.5" thickBot="1">
      <c r="A23" s="1" t="s">
        <v>1</v>
      </c>
      <c r="B23" s="5" t="s">
        <v>77</v>
      </c>
      <c r="C23" s="32">
        <v>6</v>
      </c>
      <c r="D23" s="33">
        <v>25</v>
      </c>
      <c r="E23" s="33">
        <v>24</v>
      </c>
      <c r="F23" s="33">
        <v>27</v>
      </c>
      <c r="G23" s="33">
        <v>21</v>
      </c>
      <c r="H23" s="33">
        <v>26</v>
      </c>
      <c r="I23" s="33">
        <v>20</v>
      </c>
      <c r="J23" s="33">
        <v>9</v>
      </c>
      <c r="K23" s="33">
        <v>26</v>
      </c>
      <c r="L23" s="33">
        <v>31</v>
      </c>
      <c r="M23" s="33">
        <v>0</v>
      </c>
      <c r="N23" s="33">
        <v>3</v>
      </c>
      <c r="O23" s="33">
        <v>23</v>
      </c>
      <c r="P23" s="33">
        <v>6</v>
      </c>
      <c r="Q23" s="33">
        <v>10</v>
      </c>
      <c r="R23" s="33">
        <v>5</v>
      </c>
      <c r="S23" s="33">
        <v>0</v>
      </c>
      <c r="T23" s="48">
        <v>0</v>
      </c>
      <c r="U23" s="59">
        <f t="shared" si="0"/>
        <v>262</v>
      </c>
    </row>
    <row r="24" spans="1:21">
      <c r="A24" s="1" t="s">
        <v>1</v>
      </c>
      <c r="B24" s="21" t="s">
        <v>78</v>
      </c>
      <c r="C24" s="29">
        <v>177000</v>
      </c>
      <c r="D24" s="30">
        <v>187000</v>
      </c>
      <c r="E24" s="30">
        <v>187000</v>
      </c>
      <c r="F24" s="30">
        <v>192000</v>
      </c>
      <c r="G24" s="30">
        <v>187000</v>
      </c>
      <c r="H24" s="30">
        <v>192000</v>
      </c>
      <c r="I24" s="30">
        <v>177000</v>
      </c>
      <c r="J24" s="30">
        <v>177000</v>
      </c>
      <c r="K24" s="30">
        <v>177000</v>
      </c>
      <c r="L24" s="30">
        <v>187000</v>
      </c>
      <c r="M24" s="30">
        <v>177000</v>
      </c>
      <c r="N24" s="30">
        <v>177000</v>
      </c>
      <c r="O24" s="30">
        <v>170000</v>
      </c>
      <c r="P24" s="30">
        <v>170000</v>
      </c>
      <c r="Q24" s="30">
        <v>175000</v>
      </c>
      <c r="R24" s="30">
        <v>170000</v>
      </c>
      <c r="S24" s="30">
        <v>170000</v>
      </c>
      <c r="T24" s="49">
        <v>170000</v>
      </c>
      <c r="U24" s="60">
        <f t="shared" si="0"/>
        <v>3219000</v>
      </c>
    </row>
    <row r="25" spans="1:21">
      <c r="A25" s="1" t="s">
        <v>1</v>
      </c>
      <c r="B25" s="4" t="s">
        <v>79</v>
      </c>
      <c r="C25" s="15">
        <v>0</v>
      </c>
      <c r="D25" s="16">
        <v>0</v>
      </c>
      <c r="E25" s="16">
        <v>20000</v>
      </c>
      <c r="F25" s="16">
        <v>5000</v>
      </c>
      <c r="G25" s="16">
        <v>5000</v>
      </c>
      <c r="H25" s="16">
        <v>5000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50">
        <v>0</v>
      </c>
      <c r="U25" s="61">
        <f t="shared" si="0"/>
        <v>35000</v>
      </c>
    </row>
    <row r="26" spans="1:21">
      <c r="A26" s="1" t="s">
        <v>1</v>
      </c>
      <c r="B26" s="4" t="s">
        <v>80</v>
      </c>
      <c r="C26" s="15">
        <v>0</v>
      </c>
      <c r="D26" s="16">
        <v>0</v>
      </c>
      <c r="E26" s="16">
        <v>3000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50">
        <v>0</v>
      </c>
      <c r="U26" s="61">
        <f t="shared" si="0"/>
        <v>3000</v>
      </c>
    </row>
    <row r="27" spans="1:21">
      <c r="A27" s="1" t="s">
        <v>1</v>
      </c>
      <c r="B27" s="4" t="s">
        <v>81</v>
      </c>
      <c r="C27" s="15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50">
        <v>0</v>
      </c>
      <c r="U27" s="61">
        <f t="shared" si="0"/>
        <v>0</v>
      </c>
    </row>
    <row r="28" spans="1:21">
      <c r="A28" s="1" t="s">
        <v>1</v>
      </c>
      <c r="B28" s="4" t="s">
        <v>82</v>
      </c>
      <c r="C28" s="15">
        <v>0</v>
      </c>
      <c r="D28" s="16">
        <v>0</v>
      </c>
      <c r="E28" s="16">
        <v>91609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4584</v>
      </c>
      <c r="M28" s="16">
        <v>0</v>
      </c>
      <c r="N28" s="16">
        <v>0</v>
      </c>
      <c r="O28" s="16">
        <v>72078</v>
      </c>
      <c r="P28" s="16">
        <v>0</v>
      </c>
      <c r="Q28" s="16">
        <v>0</v>
      </c>
      <c r="R28" s="16">
        <v>0</v>
      </c>
      <c r="S28" s="16">
        <v>0</v>
      </c>
      <c r="T28" s="50">
        <v>0</v>
      </c>
      <c r="U28" s="61">
        <f t="shared" si="0"/>
        <v>168271</v>
      </c>
    </row>
    <row r="29" spans="1:21">
      <c r="A29" s="1" t="s">
        <v>1</v>
      </c>
      <c r="B29" s="4" t="s">
        <v>83</v>
      </c>
      <c r="C29" s="15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50">
        <v>0</v>
      </c>
      <c r="U29" s="61">
        <f t="shared" si="0"/>
        <v>0</v>
      </c>
    </row>
    <row r="30" spans="1:21">
      <c r="A30" s="1" t="s">
        <v>1</v>
      </c>
      <c r="B30" s="4" t="s">
        <v>84</v>
      </c>
      <c r="C30" s="15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50">
        <v>0</v>
      </c>
      <c r="U30" s="61">
        <f t="shared" si="0"/>
        <v>0</v>
      </c>
    </row>
    <row r="31" spans="1:21">
      <c r="A31" s="1" t="s">
        <v>1</v>
      </c>
      <c r="B31" s="4" t="s">
        <v>85</v>
      </c>
      <c r="C31" s="15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50">
        <v>0</v>
      </c>
      <c r="U31" s="61">
        <f t="shared" si="0"/>
        <v>0</v>
      </c>
    </row>
    <row r="32" spans="1:21">
      <c r="A32" s="1" t="s">
        <v>1</v>
      </c>
      <c r="B32" s="4" t="s">
        <v>86</v>
      </c>
      <c r="C32" s="15">
        <v>2000</v>
      </c>
      <c r="D32" s="16">
        <v>2000</v>
      </c>
      <c r="E32" s="16">
        <v>2000</v>
      </c>
      <c r="F32" s="16">
        <v>2000</v>
      </c>
      <c r="G32" s="16">
        <v>0</v>
      </c>
      <c r="H32" s="16">
        <v>2000</v>
      </c>
      <c r="I32" s="16">
        <v>2000</v>
      </c>
      <c r="J32" s="16">
        <v>2000</v>
      </c>
      <c r="K32" s="16">
        <v>2000</v>
      </c>
      <c r="L32" s="16">
        <v>2000</v>
      </c>
      <c r="M32" s="16">
        <v>1000</v>
      </c>
      <c r="N32" s="16">
        <v>1000</v>
      </c>
      <c r="O32" s="16">
        <v>2000</v>
      </c>
      <c r="P32" s="16">
        <v>1000</v>
      </c>
      <c r="Q32" s="16">
        <v>2000</v>
      </c>
      <c r="R32" s="16">
        <v>0</v>
      </c>
      <c r="S32" s="16">
        <v>0</v>
      </c>
      <c r="T32" s="50">
        <v>0</v>
      </c>
      <c r="U32" s="61">
        <f t="shared" si="0"/>
        <v>25000</v>
      </c>
    </row>
    <row r="33" spans="1:21">
      <c r="A33" s="1" t="s">
        <v>1</v>
      </c>
      <c r="B33" s="4" t="s">
        <v>87</v>
      </c>
      <c r="C33" s="15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50">
        <v>0</v>
      </c>
      <c r="U33" s="61">
        <f t="shared" si="0"/>
        <v>0</v>
      </c>
    </row>
    <row r="34" spans="1:21">
      <c r="A34" s="1" t="s">
        <v>1</v>
      </c>
      <c r="B34" s="4" t="s">
        <v>88</v>
      </c>
      <c r="C34" s="15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50">
        <v>0</v>
      </c>
      <c r="U34" s="61">
        <f t="shared" si="0"/>
        <v>0</v>
      </c>
    </row>
    <row r="35" spans="1:21">
      <c r="A35" s="1" t="s">
        <v>1</v>
      </c>
      <c r="B35" s="4" t="s">
        <v>89</v>
      </c>
      <c r="C35" s="15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50">
        <v>0</v>
      </c>
      <c r="U35" s="61">
        <f t="shared" si="0"/>
        <v>0</v>
      </c>
    </row>
    <row r="36" spans="1:21">
      <c r="A36" s="1" t="s">
        <v>1</v>
      </c>
      <c r="B36" s="4" t="s">
        <v>90</v>
      </c>
      <c r="C36" s="15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50">
        <v>0</v>
      </c>
      <c r="U36" s="61">
        <f t="shared" si="0"/>
        <v>0</v>
      </c>
    </row>
    <row r="37" spans="1:21">
      <c r="A37" s="1" t="s">
        <v>1</v>
      </c>
      <c r="B37" s="4" t="s">
        <v>68</v>
      </c>
      <c r="C37" s="15">
        <v>57620</v>
      </c>
      <c r="D37" s="16">
        <v>83485</v>
      </c>
      <c r="E37" s="16">
        <v>3172</v>
      </c>
      <c r="F37" s="16">
        <v>81950</v>
      </c>
      <c r="G37" s="16">
        <v>61834</v>
      </c>
      <c r="H37" s="16">
        <v>107280</v>
      </c>
      <c r="I37" s="16">
        <v>69680</v>
      </c>
      <c r="J37" s="16">
        <v>61640</v>
      </c>
      <c r="K37" s="16">
        <v>71020</v>
      </c>
      <c r="L37" s="16">
        <v>86315</v>
      </c>
      <c r="M37" s="16">
        <v>50654</v>
      </c>
      <c r="N37" s="16">
        <v>62651</v>
      </c>
      <c r="O37" s="16">
        <v>2576</v>
      </c>
      <c r="P37" s="16">
        <v>64000</v>
      </c>
      <c r="Q37" s="16">
        <v>26500</v>
      </c>
      <c r="R37" s="16">
        <v>64923</v>
      </c>
      <c r="S37" s="16">
        <v>85291</v>
      </c>
      <c r="T37" s="50">
        <v>54739</v>
      </c>
      <c r="U37" s="61">
        <f t="shared" si="0"/>
        <v>1095330</v>
      </c>
    </row>
    <row r="38" spans="1:21">
      <c r="A38" s="1" t="s">
        <v>1</v>
      </c>
      <c r="B38" s="4" t="s">
        <v>91</v>
      </c>
      <c r="C38" s="15">
        <v>21705</v>
      </c>
      <c r="D38" s="16">
        <v>27504</v>
      </c>
      <c r="E38" s="16">
        <v>30834</v>
      </c>
      <c r="F38" s="16">
        <v>17699</v>
      </c>
      <c r="G38" s="16">
        <v>17083</v>
      </c>
      <c r="H38" s="16">
        <v>37007</v>
      </c>
      <c r="I38" s="16">
        <v>23152</v>
      </c>
      <c r="J38" s="16">
        <v>39069</v>
      </c>
      <c r="K38" s="16">
        <v>41963</v>
      </c>
      <c r="L38" s="16">
        <v>36672</v>
      </c>
      <c r="M38" s="16">
        <v>34536</v>
      </c>
      <c r="N38" s="16">
        <v>58999</v>
      </c>
      <c r="O38" s="16">
        <v>25038</v>
      </c>
      <c r="P38" s="16">
        <v>11056</v>
      </c>
      <c r="Q38" s="16">
        <v>38637</v>
      </c>
      <c r="R38" s="16">
        <v>16488</v>
      </c>
      <c r="S38" s="16">
        <v>12366</v>
      </c>
      <c r="T38" s="50">
        <v>34350</v>
      </c>
      <c r="U38" s="61">
        <f t="shared" si="0"/>
        <v>524158</v>
      </c>
    </row>
    <row r="39" spans="1:21">
      <c r="A39" s="1" t="s">
        <v>1</v>
      </c>
      <c r="B39" s="4" t="s">
        <v>92</v>
      </c>
      <c r="C39" s="15">
        <v>33281</v>
      </c>
      <c r="D39" s="16">
        <v>35144</v>
      </c>
      <c r="E39" s="16">
        <v>20556</v>
      </c>
      <c r="F39" s="16">
        <v>43443</v>
      </c>
      <c r="G39" s="16">
        <v>27954</v>
      </c>
      <c r="H39" s="16">
        <v>25744</v>
      </c>
      <c r="I39" s="16">
        <v>44857</v>
      </c>
      <c r="J39" s="16">
        <v>24599</v>
      </c>
      <c r="K39" s="16">
        <v>31834</v>
      </c>
      <c r="L39" s="16">
        <v>36672</v>
      </c>
      <c r="M39" s="16">
        <v>50365</v>
      </c>
      <c r="N39" s="16">
        <v>43170</v>
      </c>
      <c r="O39" s="16">
        <v>16692</v>
      </c>
      <c r="P39" s="16">
        <v>30404</v>
      </c>
      <c r="Q39" s="16">
        <v>14310</v>
      </c>
      <c r="R39" s="16">
        <v>32976</v>
      </c>
      <c r="S39" s="16">
        <v>19236</v>
      </c>
      <c r="T39" s="50">
        <v>15114</v>
      </c>
      <c r="U39" s="61">
        <f t="shared" si="0"/>
        <v>546351</v>
      </c>
    </row>
    <row r="40" spans="1:21">
      <c r="A40" s="1" t="s">
        <v>1</v>
      </c>
      <c r="B40" s="4" t="s">
        <v>93</v>
      </c>
      <c r="C40" s="15">
        <v>0</v>
      </c>
      <c r="D40" s="16">
        <v>0</v>
      </c>
      <c r="E40" s="16">
        <v>0</v>
      </c>
      <c r="F40" s="16">
        <v>0</v>
      </c>
      <c r="G40" s="16">
        <v>3224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7832</v>
      </c>
      <c r="S40" s="16">
        <v>0</v>
      </c>
      <c r="T40" s="50">
        <v>0</v>
      </c>
      <c r="U40" s="61">
        <f t="shared" si="0"/>
        <v>11056</v>
      </c>
    </row>
    <row r="41" spans="1:21">
      <c r="A41" s="1" t="s">
        <v>1</v>
      </c>
      <c r="B41" s="4" t="s">
        <v>94</v>
      </c>
      <c r="C41" s="15">
        <v>0</v>
      </c>
      <c r="D41" s="16">
        <v>0</v>
      </c>
      <c r="E41" s="16">
        <v>0</v>
      </c>
      <c r="F41" s="16">
        <v>0</v>
      </c>
      <c r="G41" s="16">
        <v>6045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3357</v>
      </c>
      <c r="N41" s="16">
        <v>4103</v>
      </c>
      <c r="O41" s="16">
        <v>0</v>
      </c>
      <c r="P41" s="16">
        <v>0</v>
      </c>
      <c r="Q41" s="16">
        <v>11130</v>
      </c>
      <c r="R41" s="16">
        <v>0</v>
      </c>
      <c r="S41" s="16">
        <v>0</v>
      </c>
      <c r="T41" s="50">
        <v>0</v>
      </c>
      <c r="U41" s="61">
        <f t="shared" si="0"/>
        <v>24635</v>
      </c>
    </row>
    <row r="42" spans="1:21">
      <c r="A42" s="1" t="s">
        <v>1</v>
      </c>
      <c r="B42" s="4" t="s">
        <v>95</v>
      </c>
      <c r="C42" s="15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50">
        <v>0</v>
      </c>
      <c r="U42" s="61">
        <f t="shared" si="0"/>
        <v>0</v>
      </c>
    </row>
    <row r="43" spans="1:21">
      <c r="A43" s="1" t="s">
        <v>1</v>
      </c>
      <c r="B43" s="4" t="s">
        <v>73</v>
      </c>
      <c r="C43" s="15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50">
        <v>0</v>
      </c>
      <c r="U43" s="61">
        <f t="shared" si="0"/>
        <v>0</v>
      </c>
    </row>
    <row r="44" spans="1:21" ht="19.5" thickBot="1">
      <c r="A44" s="1" t="s">
        <v>1</v>
      </c>
      <c r="B44" s="35" t="s">
        <v>76</v>
      </c>
      <c r="C44" s="36">
        <v>2948</v>
      </c>
      <c r="D44" s="37">
        <v>5377</v>
      </c>
      <c r="E44" s="37">
        <v>0</v>
      </c>
      <c r="F44" s="37">
        <v>5960</v>
      </c>
      <c r="G44" s="37">
        <v>5760</v>
      </c>
      <c r="H44" s="37">
        <v>12218</v>
      </c>
      <c r="I44" s="37">
        <v>1876</v>
      </c>
      <c r="J44" s="37">
        <v>1608</v>
      </c>
      <c r="K44" s="37">
        <v>1608</v>
      </c>
      <c r="L44" s="37">
        <v>6226</v>
      </c>
      <c r="M44" s="37">
        <v>1602</v>
      </c>
      <c r="N44" s="37">
        <v>3204</v>
      </c>
      <c r="O44" s="37">
        <v>0</v>
      </c>
      <c r="P44" s="37">
        <v>6656</v>
      </c>
      <c r="Q44" s="37">
        <v>8745</v>
      </c>
      <c r="R44" s="37">
        <v>12240</v>
      </c>
      <c r="S44" s="37">
        <v>6375</v>
      </c>
      <c r="T44" s="51">
        <v>1020</v>
      </c>
      <c r="U44" s="62">
        <f t="shared" si="0"/>
        <v>83423</v>
      </c>
    </row>
    <row r="45" spans="1:21" ht="19.5" thickBot="1">
      <c r="A45" s="1" t="s">
        <v>1</v>
      </c>
      <c r="B45" s="39" t="s">
        <v>96</v>
      </c>
      <c r="C45" s="40">
        <v>294554</v>
      </c>
      <c r="D45" s="41">
        <v>340510</v>
      </c>
      <c r="E45" s="41">
        <v>358171</v>
      </c>
      <c r="F45" s="41">
        <v>348052</v>
      </c>
      <c r="G45" s="41">
        <v>313900</v>
      </c>
      <c r="H45" s="41">
        <v>381249</v>
      </c>
      <c r="I45" s="41">
        <v>318565</v>
      </c>
      <c r="J45" s="41">
        <v>305916</v>
      </c>
      <c r="K45" s="41">
        <v>325425</v>
      </c>
      <c r="L45" s="41">
        <v>359469</v>
      </c>
      <c r="M45" s="41">
        <v>318514</v>
      </c>
      <c r="N45" s="41">
        <v>350127</v>
      </c>
      <c r="O45" s="41">
        <v>288384</v>
      </c>
      <c r="P45" s="41">
        <v>283116</v>
      </c>
      <c r="Q45" s="41">
        <v>276322</v>
      </c>
      <c r="R45" s="41">
        <v>304459</v>
      </c>
      <c r="S45" s="41">
        <v>293268</v>
      </c>
      <c r="T45" s="52">
        <v>275223</v>
      </c>
      <c r="U45" s="63">
        <f t="shared" si="0"/>
        <v>5735224</v>
      </c>
    </row>
    <row r="46" spans="1:21" ht="19.5" thickBot="1">
      <c r="A46" s="1" t="s">
        <v>1</v>
      </c>
      <c r="B46" s="21" t="s">
        <v>97</v>
      </c>
      <c r="C46" s="29">
        <v>11883</v>
      </c>
      <c r="D46" s="30">
        <v>3100</v>
      </c>
      <c r="E46" s="30">
        <v>5347</v>
      </c>
      <c r="F46" s="30">
        <v>2971</v>
      </c>
      <c r="G46" s="30">
        <v>12477</v>
      </c>
      <c r="H46" s="30">
        <v>2377</v>
      </c>
      <c r="I46" s="30">
        <v>2170</v>
      </c>
      <c r="J46" s="30">
        <v>1189</v>
      </c>
      <c r="K46" s="30">
        <v>3100</v>
      </c>
      <c r="L46" s="30">
        <v>4960</v>
      </c>
      <c r="M46" s="30">
        <v>6200</v>
      </c>
      <c r="N46" s="30">
        <v>4340</v>
      </c>
      <c r="O46" s="30">
        <v>7440</v>
      </c>
      <c r="P46" s="30">
        <v>4908</v>
      </c>
      <c r="Q46" s="30">
        <v>10100</v>
      </c>
      <c r="R46" s="30">
        <v>6510</v>
      </c>
      <c r="S46" s="30">
        <v>8525</v>
      </c>
      <c r="T46" s="49">
        <v>8060</v>
      </c>
      <c r="U46" s="60">
        <f t="shared" si="0"/>
        <v>105657</v>
      </c>
    </row>
    <row r="47" spans="1:21" ht="19.5" thickBot="1">
      <c r="A47" s="1" t="s">
        <v>1</v>
      </c>
      <c r="B47" s="39" t="s">
        <v>98</v>
      </c>
      <c r="C47" s="40">
        <v>11883</v>
      </c>
      <c r="D47" s="41">
        <v>3100</v>
      </c>
      <c r="E47" s="41">
        <v>5347</v>
      </c>
      <c r="F47" s="41">
        <v>2971</v>
      </c>
      <c r="G47" s="41">
        <v>12477</v>
      </c>
      <c r="H47" s="41">
        <v>2377</v>
      </c>
      <c r="I47" s="41">
        <v>2170</v>
      </c>
      <c r="J47" s="41">
        <v>1189</v>
      </c>
      <c r="K47" s="41">
        <v>3100</v>
      </c>
      <c r="L47" s="41">
        <v>4960</v>
      </c>
      <c r="M47" s="41">
        <v>6200</v>
      </c>
      <c r="N47" s="41">
        <v>4340</v>
      </c>
      <c r="O47" s="41">
        <v>7440</v>
      </c>
      <c r="P47" s="41">
        <v>4908</v>
      </c>
      <c r="Q47" s="41">
        <v>10100</v>
      </c>
      <c r="R47" s="41">
        <v>6510</v>
      </c>
      <c r="S47" s="41">
        <v>8525</v>
      </c>
      <c r="T47" s="52">
        <v>8060</v>
      </c>
      <c r="U47" s="63">
        <f t="shared" si="0"/>
        <v>105657</v>
      </c>
    </row>
    <row r="48" spans="1:21" ht="19.5" thickBot="1">
      <c r="A48" s="1" t="s">
        <v>1</v>
      </c>
      <c r="B48" s="39" t="s">
        <v>99</v>
      </c>
      <c r="C48" s="40">
        <v>306437</v>
      </c>
      <c r="D48" s="41">
        <v>343610</v>
      </c>
      <c r="E48" s="41">
        <v>363518</v>
      </c>
      <c r="F48" s="41">
        <v>351023</v>
      </c>
      <c r="G48" s="41">
        <v>326377</v>
      </c>
      <c r="H48" s="41">
        <v>383626</v>
      </c>
      <c r="I48" s="41">
        <v>320735</v>
      </c>
      <c r="J48" s="41">
        <v>307105</v>
      </c>
      <c r="K48" s="41">
        <v>328525</v>
      </c>
      <c r="L48" s="41">
        <v>364429</v>
      </c>
      <c r="M48" s="41">
        <v>324714</v>
      </c>
      <c r="N48" s="41">
        <v>354467</v>
      </c>
      <c r="O48" s="41">
        <v>295824</v>
      </c>
      <c r="P48" s="41">
        <v>288024</v>
      </c>
      <c r="Q48" s="41">
        <v>286422</v>
      </c>
      <c r="R48" s="41">
        <v>310969</v>
      </c>
      <c r="S48" s="41">
        <v>301793</v>
      </c>
      <c r="T48" s="52">
        <v>283283</v>
      </c>
      <c r="U48" s="63">
        <f t="shared" si="0"/>
        <v>5840881</v>
      </c>
    </row>
    <row r="49" spans="1:21">
      <c r="A49" s="1" t="s">
        <v>1</v>
      </c>
      <c r="B49" s="21" t="s">
        <v>100</v>
      </c>
      <c r="C49" s="29">
        <v>16320</v>
      </c>
      <c r="D49" s="30">
        <v>19380</v>
      </c>
      <c r="E49" s="30">
        <v>19380</v>
      </c>
      <c r="F49" s="30">
        <v>18360</v>
      </c>
      <c r="G49" s="30">
        <v>16320</v>
      </c>
      <c r="H49" s="30">
        <v>19380</v>
      </c>
      <c r="I49" s="30">
        <v>17340</v>
      </c>
      <c r="J49" s="30">
        <v>16320</v>
      </c>
      <c r="K49" s="30">
        <v>16320</v>
      </c>
      <c r="L49" s="30">
        <v>18360</v>
      </c>
      <c r="M49" s="30">
        <v>15300</v>
      </c>
      <c r="N49" s="30">
        <v>17340</v>
      </c>
      <c r="O49" s="30">
        <v>15300</v>
      </c>
      <c r="P49" s="30">
        <v>17340</v>
      </c>
      <c r="Q49" s="30">
        <v>14280</v>
      </c>
      <c r="R49" s="30">
        <v>13260</v>
      </c>
      <c r="S49" s="30">
        <v>13260</v>
      </c>
      <c r="T49" s="49">
        <v>13260</v>
      </c>
      <c r="U49" s="60">
        <f t="shared" si="0"/>
        <v>296820</v>
      </c>
    </row>
    <row r="50" spans="1:21">
      <c r="A50" s="1" t="s">
        <v>1</v>
      </c>
      <c r="B50" s="4" t="s">
        <v>101</v>
      </c>
      <c r="C50" s="15">
        <v>2880</v>
      </c>
      <c r="D50" s="16">
        <v>3420</v>
      </c>
      <c r="E50" s="16">
        <v>3420</v>
      </c>
      <c r="F50" s="16">
        <v>3240</v>
      </c>
      <c r="G50" s="16">
        <v>2880</v>
      </c>
      <c r="H50" s="16">
        <v>3420</v>
      </c>
      <c r="I50" s="16">
        <v>3060</v>
      </c>
      <c r="J50" s="16">
        <v>2880</v>
      </c>
      <c r="K50" s="16">
        <v>2880</v>
      </c>
      <c r="L50" s="16">
        <v>3240</v>
      </c>
      <c r="M50" s="16">
        <v>2700</v>
      </c>
      <c r="N50" s="16">
        <v>3060</v>
      </c>
      <c r="O50" s="16">
        <v>2700</v>
      </c>
      <c r="P50" s="16">
        <v>3060</v>
      </c>
      <c r="Q50" s="16">
        <v>2520</v>
      </c>
      <c r="R50" s="16">
        <v>2340</v>
      </c>
      <c r="S50" s="16">
        <v>2340</v>
      </c>
      <c r="T50" s="50">
        <v>2340</v>
      </c>
      <c r="U50" s="61">
        <f t="shared" si="0"/>
        <v>52380</v>
      </c>
    </row>
    <row r="51" spans="1:21">
      <c r="A51" s="1" t="s">
        <v>1</v>
      </c>
      <c r="B51" s="4" t="s">
        <v>102</v>
      </c>
      <c r="C51" s="15">
        <v>29280</v>
      </c>
      <c r="D51" s="16">
        <v>34770</v>
      </c>
      <c r="E51" s="16">
        <v>34770</v>
      </c>
      <c r="F51" s="16">
        <v>32940</v>
      </c>
      <c r="G51" s="16">
        <v>29280</v>
      </c>
      <c r="H51" s="16">
        <v>34770</v>
      </c>
      <c r="I51" s="16">
        <v>31110</v>
      </c>
      <c r="J51" s="16">
        <v>29280</v>
      </c>
      <c r="K51" s="16">
        <v>29280</v>
      </c>
      <c r="L51" s="16">
        <v>32940</v>
      </c>
      <c r="M51" s="16">
        <v>27450</v>
      </c>
      <c r="N51" s="16">
        <v>31110</v>
      </c>
      <c r="O51" s="16">
        <v>27450</v>
      </c>
      <c r="P51" s="16">
        <v>31110</v>
      </c>
      <c r="Q51" s="16">
        <v>25620</v>
      </c>
      <c r="R51" s="16">
        <v>23790</v>
      </c>
      <c r="S51" s="16">
        <v>23790</v>
      </c>
      <c r="T51" s="50">
        <v>23790</v>
      </c>
      <c r="U51" s="61">
        <f t="shared" si="0"/>
        <v>532530</v>
      </c>
    </row>
    <row r="52" spans="1:21" ht="19.5" thickBot="1">
      <c r="A52" s="1" t="s">
        <v>1</v>
      </c>
      <c r="B52" s="4" t="s">
        <v>103</v>
      </c>
      <c r="C52" s="15">
        <v>1532</v>
      </c>
      <c r="D52" s="16">
        <v>1718</v>
      </c>
      <c r="E52" s="16">
        <v>1818</v>
      </c>
      <c r="F52" s="16">
        <v>1755</v>
      </c>
      <c r="G52" s="16">
        <v>1632</v>
      </c>
      <c r="H52" s="16">
        <v>1918</v>
      </c>
      <c r="I52" s="16">
        <v>1604</v>
      </c>
      <c r="J52" s="16">
        <v>1536</v>
      </c>
      <c r="K52" s="16">
        <v>1643</v>
      </c>
      <c r="L52" s="16">
        <v>1822</v>
      </c>
      <c r="M52" s="16">
        <v>1624</v>
      </c>
      <c r="N52" s="16">
        <v>1772</v>
      </c>
      <c r="O52" s="16">
        <v>1479</v>
      </c>
      <c r="P52" s="16">
        <v>1440</v>
      </c>
      <c r="Q52" s="16">
        <v>1432</v>
      </c>
      <c r="R52" s="16">
        <v>1555</v>
      </c>
      <c r="S52" s="16">
        <v>1509</v>
      </c>
      <c r="T52" s="50">
        <v>1416</v>
      </c>
      <c r="U52" s="61">
        <f t="shared" si="0"/>
        <v>29205</v>
      </c>
    </row>
    <row r="53" spans="1:21" ht="19.5" thickBot="1">
      <c r="A53" s="1" t="s">
        <v>1</v>
      </c>
      <c r="B53" s="39" t="s">
        <v>104</v>
      </c>
      <c r="C53" s="40">
        <v>50012</v>
      </c>
      <c r="D53" s="41">
        <v>59288</v>
      </c>
      <c r="E53" s="41">
        <v>59388</v>
      </c>
      <c r="F53" s="41">
        <v>56295</v>
      </c>
      <c r="G53" s="41">
        <v>50112</v>
      </c>
      <c r="H53" s="41">
        <v>59488</v>
      </c>
      <c r="I53" s="41">
        <v>53114</v>
      </c>
      <c r="J53" s="41">
        <v>50016</v>
      </c>
      <c r="K53" s="41">
        <v>50123</v>
      </c>
      <c r="L53" s="41">
        <v>56362</v>
      </c>
      <c r="M53" s="41">
        <v>47074</v>
      </c>
      <c r="N53" s="41">
        <v>53282</v>
      </c>
      <c r="O53" s="41">
        <v>46929</v>
      </c>
      <c r="P53" s="41">
        <v>52950</v>
      </c>
      <c r="Q53" s="41">
        <v>43852</v>
      </c>
      <c r="R53" s="41">
        <v>40945</v>
      </c>
      <c r="S53" s="41">
        <v>40899</v>
      </c>
      <c r="T53" s="52">
        <v>40806</v>
      </c>
      <c r="U53" s="63">
        <f t="shared" si="0"/>
        <v>910935</v>
      </c>
    </row>
    <row r="54" spans="1:21">
      <c r="A54" s="1" t="s">
        <v>1</v>
      </c>
      <c r="B54" s="21" t="s">
        <v>105</v>
      </c>
      <c r="C54" s="29">
        <v>4740</v>
      </c>
      <c r="D54" s="30">
        <v>7670</v>
      </c>
      <c r="E54" s="30">
        <v>6680</v>
      </c>
      <c r="F54" s="30">
        <v>8040</v>
      </c>
      <c r="G54" s="30">
        <v>5430</v>
      </c>
      <c r="H54" s="30">
        <v>10160</v>
      </c>
      <c r="I54" s="30">
        <v>7100</v>
      </c>
      <c r="J54" s="30">
        <v>5150</v>
      </c>
      <c r="K54" s="30">
        <v>7460</v>
      </c>
      <c r="L54" s="30">
        <v>8630</v>
      </c>
      <c r="M54" s="30">
        <v>7320</v>
      </c>
      <c r="N54" s="30">
        <v>8230</v>
      </c>
      <c r="O54" s="30">
        <v>6250</v>
      </c>
      <c r="P54" s="30">
        <v>990</v>
      </c>
      <c r="Q54" s="30">
        <v>5920</v>
      </c>
      <c r="R54" s="30">
        <v>7030</v>
      </c>
      <c r="S54" s="30">
        <v>5020</v>
      </c>
      <c r="T54" s="49">
        <v>5990</v>
      </c>
      <c r="U54" s="60">
        <f t="shared" si="0"/>
        <v>117810</v>
      </c>
    </row>
    <row r="55" spans="1:21">
      <c r="A55" s="1" t="s">
        <v>1</v>
      </c>
      <c r="B55" s="4" t="s">
        <v>106</v>
      </c>
      <c r="C55" s="15">
        <v>1300</v>
      </c>
      <c r="D55" s="16">
        <v>1300</v>
      </c>
      <c r="E55" s="16">
        <v>1300</v>
      </c>
      <c r="F55" s="16">
        <v>0</v>
      </c>
      <c r="G55" s="16">
        <v>1300</v>
      </c>
      <c r="H55" s="16">
        <v>1300</v>
      </c>
      <c r="I55" s="16">
        <v>1300</v>
      </c>
      <c r="J55" s="16">
        <v>1300</v>
      </c>
      <c r="K55" s="16">
        <v>1300</v>
      </c>
      <c r="L55" s="16">
        <v>1300</v>
      </c>
      <c r="M55" s="16">
        <v>0</v>
      </c>
      <c r="N55" s="16">
        <v>0</v>
      </c>
      <c r="O55" s="16">
        <v>1300</v>
      </c>
      <c r="P55" s="16">
        <v>1300</v>
      </c>
      <c r="Q55" s="16">
        <v>1300</v>
      </c>
      <c r="R55" s="16">
        <v>0</v>
      </c>
      <c r="S55" s="16">
        <v>0</v>
      </c>
      <c r="T55" s="50">
        <v>0</v>
      </c>
      <c r="U55" s="61">
        <f t="shared" si="0"/>
        <v>15600</v>
      </c>
    </row>
    <row r="56" spans="1:21">
      <c r="A56" s="1" t="s">
        <v>1</v>
      </c>
      <c r="B56" s="4" t="s">
        <v>107</v>
      </c>
      <c r="C56" s="15">
        <v>9900</v>
      </c>
      <c r="D56" s="16">
        <v>16100</v>
      </c>
      <c r="E56" s="16">
        <v>15700</v>
      </c>
      <c r="F56" s="16">
        <v>18800</v>
      </c>
      <c r="G56" s="16">
        <v>12100</v>
      </c>
      <c r="H56" s="16">
        <v>18500</v>
      </c>
      <c r="I56" s="16">
        <v>14500</v>
      </c>
      <c r="J56" s="16">
        <v>9300</v>
      </c>
      <c r="K56" s="16">
        <v>13400</v>
      </c>
      <c r="L56" s="16">
        <v>13900</v>
      </c>
      <c r="M56" s="16">
        <v>10400</v>
      </c>
      <c r="N56" s="16">
        <v>24600</v>
      </c>
      <c r="O56" s="16">
        <v>12200</v>
      </c>
      <c r="P56" s="16">
        <v>6700</v>
      </c>
      <c r="Q56" s="16">
        <v>0</v>
      </c>
      <c r="R56" s="16">
        <v>0</v>
      </c>
      <c r="S56" s="16">
        <v>0</v>
      </c>
      <c r="T56" s="50">
        <v>0</v>
      </c>
      <c r="U56" s="61">
        <f t="shared" si="0"/>
        <v>196100</v>
      </c>
    </row>
    <row r="57" spans="1:21" ht="19.5" thickBot="1">
      <c r="A57" s="1" t="s">
        <v>1</v>
      </c>
      <c r="B57" s="4" t="s">
        <v>108</v>
      </c>
      <c r="C57" s="15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50">
        <v>0</v>
      </c>
      <c r="U57" s="61">
        <f t="shared" si="0"/>
        <v>0</v>
      </c>
    </row>
    <row r="58" spans="1:21" ht="19.5" thickBot="1">
      <c r="A58" s="1" t="s">
        <v>1</v>
      </c>
      <c r="B58" s="39" t="s">
        <v>109</v>
      </c>
      <c r="C58" s="40">
        <v>65952</v>
      </c>
      <c r="D58" s="41">
        <v>84358</v>
      </c>
      <c r="E58" s="41">
        <v>83068</v>
      </c>
      <c r="F58" s="41">
        <v>83135</v>
      </c>
      <c r="G58" s="41">
        <v>68942</v>
      </c>
      <c r="H58" s="41">
        <v>89448</v>
      </c>
      <c r="I58" s="41">
        <v>76014</v>
      </c>
      <c r="J58" s="41">
        <v>65766</v>
      </c>
      <c r="K58" s="41">
        <v>72283</v>
      </c>
      <c r="L58" s="41">
        <v>80192</v>
      </c>
      <c r="M58" s="41">
        <v>64794</v>
      </c>
      <c r="N58" s="41">
        <v>86112</v>
      </c>
      <c r="O58" s="41">
        <v>66679</v>
      </c>
      <c r="P58" s="41">
        <v>61940</v>
      </c>
      <c r="Q58" s="41">
        <v>51072</v>
      </c>
      <c r="R58" s="41">
        <v>47975</v>
      </c>
      <c r="S58" s="41">
        <v>45919</v>
      </c>
      <c r="T58" s="52">
        <v>46796</v>
      </c>
      <c r="U58" s="63">
        <f t="shared" si="0"/>
        <v>1240445</v>
      </c>
    </row>
    <row r="59" spans="1:21" ht="19.5" thickBot="1">
      <c r="A59" s="1" t="s">
        <v>1</v>
      </c>
      <c r="B59" s="39" t="s">
        <v>110</v>
      </c>
      <c r="C59" s="40">
        <v>244542</v>
      </c>
      <c r="D59" s="41">
        <v>281222</v>
      </c>
      <c r="E59" s="41">
        <v>298783</v>
      </c>
      <c r="F59" s="41">
        <v>291757</v>
      </c>
      <c r="G59" s="41">
        <v>263788</v>
      </c>
      <c r="H59" s="41">
        <v>321761</v>
      </c>
      <c r="I59" s="41">
        <v>265451</v>
      </c>
      <c r="J59" s="41">
        <v>255900</v>
      </c>
      <c r="K59" s="41">
        <v>275302</v>
      </c>
      <c r="L59" s="41">
        <v>303107</v>
      </c>
      <c r="M59" s="41">
        <v>271440</v>
      </c>
      <c r="N59" s="41">
        <v>296845</v>
      </c>
      <c r="O59" s="41">
        <v>241455</v>
      </c>
      <c r="P59" s="41">
        <v>230166</v>
      </c>
      <c r="Q59" s="41">
        <v>232470</v>
      </c>
      <c r="R59" s="41">
        <v>263514</v>
      </c>
      <c r="S59" s="41">
        <v>252369</v>
      </c>
      <c r="T59" s="52">
        <v>234417</v>
      </c>
      <c r="U59" s="63">
        <f t="shared" si="0"/>
        <v>4824289</v>
      </c>
    </row>
    <row r="60" spans="1:21" ht="19.5" thickBot="1">
      <c r="A60" s="1" t="s">
        <v>1</v>
      </c>
      <c r="B60" s="39" t="s">
        <v>111</v>
      </c>
      <c r="C60" s="40">
        <v>240485</v>
      </c>
      <c r="D60" s="41">
        <v>259252</v>
      </c>
      <c r="E60" s="41">
        <v>280450</v>
      </c>
      <c r="F60" s="41">
        <v>267888</v>
      </c>
      <c r="G60" s="41">
        <v>257435</v>
      </c>
      <c r="H60" s="41">
        <v>294178</v>
      </c>
      <c r="I60" s="41">
        <v>244721</v>
      </c>
      <c r="J60" s="41">
        <v>241339</v>
      </c>
      <c r="K60" s="41">
        <v>256242</v>
      </c>
      <c r="L60" s="41">
        <v>284237</v>
      </c>
      <c r="M60" s="41">
        <v>259920</v>
      </c>
      <c r="N60" s="41">
        <v>268355</v>
      </c>
      <c r="O60" s="41">
        <v>229145</v>
      </c>
      <c r="P60" s="41">
        <v>226084</v>
      </c>
      <c r="Q60" s="41">
        <v>235350</v>
      </c>
      <c r="R60" s="41">
        <v>262994</v>
      </c>
      <c r="S60" s="41">
        <v>255874</v>
      </c>
      <c r="T60" s="52">
        <v>236487</v>
      </c>
      <c r="U60" s="63">
        <f t="shared" si="0"/>
        <v>4600436</v>
      </c>
    </row>
    <row r="61" spans="1:21">
      <c r="A61" s="1" t="s">
        <v>1</v>
      </c>
      <c r="B61" s="21" t="s">
        <v>112</v>
      </c>
      <c r="C61" s="29">
        <v>0</v>
      </c>
      <c r="D61" s="30">
        <v>0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49">
        <v>0</v>
      </c>
      <c r="U61" s="60">
        <f t="shared" si="0"/>
        <v>0</v>
      </c>
    </row>
    <row r="62" spans="1:21">
      <c r="A62" s="1" t="s">
        <v>1</v>
      </c>
      <c r="B62" s="4" t="s">
        <v>113</v>
      </c>
      <c r="C62" s="15">
        <v>240485</v>
      </c>
      <c r="D62" s="16">
        <v>259252</v>
      </c>
      <c r="E62" s="16">
        <v>280450</v>
      </c>
      <c r="F62" s="16">
        <v>267888</v>
      </c>
      <c r="G62" s="16">
        <v>257435</v>
      </c>
      <c r="H62" s="16">
        <v>294178</v>
      </c>
      <c r="I62" s="16">
        <v>244721</v>
      </c>
      <c r="J62" s="16">
        <v>241339</v>
      </c>
      <c r="K62" s="16">
        <v>256242</v>
      </c>
      <c r="L62" s="16">
        <v>284237</v>
      </c>
      <c r="M62" s="16">
        <v>259920</v>
      </c>
      <c r="N62" s="16">
        <v>268355</v>
      </c>
      <c r="O62" s="16">
        <v>229145</v>
      </c>
      <c r="P62" s="16">
        <v>226084</v>
      </c>
      <c r="Q62" s="16">
        <v>235350</v>
      </c>
      <c r="R62" s="16">
        <v>262994</v>
      </c>
      <c r="S62" s="16">
        <v>255874</v>
      </c>
      <c r="T62" s="50">
        <v>236487</v>
      </c>
      <c r="U62" s="61">
        <f t="shared" si="0"/>
        <v>4600436</v>
      </c>
    </row>
    <row r="63" spans="1:21">
      <c r="A63" s="1" t="s">
        <v>1</v>
      </c>
      <c r="B63" s="4" t="s">
        <v>114</v>
      </c>
      <c r="C63" s="15">
        <v>1</v>
      </c>
      <c r="D63" s="16">
        <v>0</v>
      </c>
      <c r="E63" s="16">
        <v>1</v>
      </c>
      <c r="F63" s="16">
        <v>0</v>
      </c>
      <c r="G63" s="16">
        <v>1</v>
      </c>
      <c r="H63" s="16">
        <v>0</v>
      </c>
      <c r="I63" s="16">
        <v>0</v>
      </c>
      <c r="J63" s="16">
        <v>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3</v>
      </c>
      <c r="Q63" s="16">
        <v>0</v>
      </c>
      <c r="R63" s="16">
        <v>0</v>
      </c>
      <c r="S63" s="16">
        <v>1</v>
      </c>
      <c r="T63" s="50">
        <v>0</v>
      </c>
      <c r="U63" s="61"/>
    </row>
    <row r="64" spans="1:21" ht="19.5" thickBot="1">
      <c r="A64" s="1" t="s">
        <v>1</v>
      </c>
      <c r="B64" s="5" t="s">
        <v>115</v>
      </c>
      <c r="C64" s="18" t="s">
        <v>116</v>
      </c>
      <c r="D64" s="19" t="s">
        <v>116</v>
      </c>
      <c r="E64" s="19" t="s">
        <v>116</v>
      </c>
      <c r="F64" s="19" t="s">
        <v>116</v>
      </c>
      <c r="G64" s="19" t="s">
        <v>116</v>
      </c>
      <c r="H64" s="19" t="s">
        <v>116</v>
      </c>
      <c r="I64" s="19" t="s">
        <v>116</v>
      </c>
      <c r="J64" s="19" t="s">
        <v>116</v>
      </c>
      <c r="K64" s="19" t="s">
        <v>116</v>
      </c>
      <c r="L64" s="19" t="s">
        <v>116</v>
      </c>
      <c r="M64" s="19" t="s">
        <v>116</v>
      </c>
      <c r="N64" s="19" t="s">
        <v>116</v>
      </c>
      <c r="O64" s="19" t="s">
        <v>116</v>
      </c>
      <c r="P64" s="19" t="s">
        <v>116</v>
      </c>
      <c r="Q64" s="19" t="s">
        <v>116</v>
      </c>
      <c r="R64" s="19" t="s">
        <v>116</v>
      </c>
      <c r="S64" s="19" t="s">
        <v>116</v>
      </c>
      <c r="T64" s="53" t="s">
        <v>116</v>
      </c>
      <c r="U64" s="64"/>
    </row>
  </sheetData>
  <phoneticPr fontId="3"/>
  <pageMargins left="0.11811023622047245" right="0.11811023622047245" top="0.15748031496062992" bottom="0.15748031496062992" header="0.11811023622047245" footer="0.11811023622047245"/>
  <pageSetup paperSize="12" scale="6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2023年 2月度給与 (4)</vt:lpstr>
      <vt:lpstr>2023年 2月度給与 (3)</vt:lpstr>
      <vt:lpstr>'2023年 2月度給与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2023-03-14T01:38:43Z</cp:lastPrinted>
  <dcterms:created xsi:type="dcterms:W3CDTF">2023-03-08T05:32:25Z</dcterms:created>
  <dcterms:modified xsi:type="dcterms:W3CDTF">2023-03-14T04:16:58Z</dcterms:modified>
</cp:coreProperties>
</file>