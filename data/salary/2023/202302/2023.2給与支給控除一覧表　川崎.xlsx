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2\"/>
    </mc:Choice>
  </mc:AlternateContent>
  <xr:revisionPtr revIDLastSave="0" documentId="13_ncr:1_{185CB73D-806F-40DB-B2DC-275DBA8D2A1F}" xr6:coauthVersionLast="47" xr6:coauthVersionMax="47" xr10:uidLastSave="{00000000-0000-0000-0000-000000000000}"/>
  <bookViews>
    <workbookView xWindow="-120" yWindow="-120" windowWidth="20730" windowHeight="11160" xr2:uid="{24CF93C0-016E-4C11-9F7B-F2323271E9E5}"/>
  </bookViews>
  <sheets>
    <sheet name="2023年 2月度給与 (2)" sheetId="3" r:id="rId1"/>
  </sheets>
  <definedNames>
    <definedName name="_xlnm.Print_Area" localSheetId="0">'2023年 2月度給与 (2)'!$A$1:$K$65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3" l="1"/>
  <c r="K8" i="3"/>
  <c r="K9" i="3"/>
  <c r="K10" i="3"/>
  <c r="K11" i="3"/>
  <c r="K12" i="3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J24" i="3"/>
  <c r="J25" i="3"/>
  <c r="K25" i="3" s="1"/>
  <c r="J26" i="3"/>
  <c r="K26" i="3" s="1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14" i="3"/>
  <c r="K14" i="3" s="1"/>
  <c r="J6" i="3"/>
  <c r="K6" i="3" s="1"/>
  <c r="J5" i="3"/>
  <c r="E28" i="3"/>
  <c r="E29" i="3"/>
  <c r="K29" i="3" s="1"/>
  <c r="E30" i="3"/>
  <c r="E31" i="3"/>
  <c r="E32" i="3"/>
  <c r="E33" i="3"/>
  <c r="E34" i="3"/>
  <c r="K34" i="3" s="1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27" i="3"/>
  <c r="E24" i="3"/>
  <c r="E23" i="3"/>
  <c r="E13" i="3"/>
  <c r="K13" i="3" s="1"/>
  <c r="E5" i="3"/>
  <c r="K5" i="3" s="1"/>
  <c r="K61" i="3" l="1"/>
  <c r="K56" i="3"/>
  <c r="K53" i="3"/>
  <c r="K49" i="3"/>
  <c r="K46" i="3"/>
  <c r="K42" i="3"/>
  <c r="K38" i="3"/>
  <c r="K31" i="3"/>
  <c r="K24" i="3"/>
  <c r="K60" i="3"/>
  <c r="K62" i="3"/>
  <c r="K57" i="3"/>
  <c r="K50" i="3"/>
  <c r="K47" i="3"/>
  <c r="K43" i="3"/>
  <c r="K39" i="3"/>
  <c r="K36" i="3"/>
  <c r="K32" i="3"/>
  <c r="K28" i="3"/>
  <c r="K27" i="3"/>
  <c r="K52" i="3"/>
  <c r="K35" i="3"/>
  <c r="K23" i="3"/>
  <c r="K55" i="3"/>
  <c r="K48" i="3"/>
  <c r="K45" i="3"/>
  <c r="K41" i="3"/>
  <c r="K30" i="3"/>
  <c r="K63" i="3"/>
  <c r="K59" i="3"/>
  <c r="K58" i="3"/>
  <c r="K54" i="3"/>
  <c r="K51" i="3"/>
  <c r="K44" i="3"/>
  <c r="K40" i="3"/>
  <c r="K37" i="3"/>
  <c r="K33" i="3"/>
</calcChain>
</file>

<file path=xl/sharedStrings.xml><?xml version="1.0" encoding="utf-8"?>
<sst xmlns="http://schemas.openxmlformats.org/spreadsheetml/2006/main" count="149" uniqueCount="80">
  <si>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</si>
  <si>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</si>
  <si>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</si>
  <si>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</si>
  <si>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</si>
  <si>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</si>
  <si>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</si>
  <si>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</si>
  <si>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</si>
  <si>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</si>
  <si>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</si>
  <si>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</si>
  <si>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</si>
  <si>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</si>
  <si>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</si>
  <si>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</si>
  <si>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</si>
  <si>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</si>
  <si>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</si>
  <si>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</si>
  <si>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</si>
  <si>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</si>
  <si>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</si>
  <si>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</si>
  <si>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</si>
  <si>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</si>
  <si>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</si>
  <si>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</si>
  <si>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</si>
  <si>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</si>
  <si>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</si>
  <si>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</si>
  <si>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</si>
  <si>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</si>
  <si>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</si>
  <si>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</si>
  <si>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</si>
  <si>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</si>
  <si>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</si>
  <si>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</si>
  <si>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</si>
  <si>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</si>
  <si>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</si>
  <si>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</si>
  <si>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</si>
  <si>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</si>
  <si>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</si>
  <si>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</si>
  <si>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</si>
  <si>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</si>
  <si>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</si>
  <si>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</si>
  <si>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</si>
  <si>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</si>
  <si>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</si>
  <si>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</si>
  <si>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</si>
  <si>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</si>
  <si>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</si>
  <si>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</si>
  <si>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</si>
  <si>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</si>
  <si>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</si>
  <si>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</si>
  <si>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</si>
  <si>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</si>
  <si>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</si>
  <si>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</si>
  <si>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</si>
  <si>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</si>
  <si>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</si>
  <si>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</si>
  <si>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</si>
  <si>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</si>
  <si>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</si>
  <si>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</si>
  <si>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</si>
  <si>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</si>
  <si>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４名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</si>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</sst>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27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</cellXfs>
  <cellStyles count="2">
    <cellStyle name="標準" xfId="0" builtinId="0"/>
    <cellStyle name="標準 2" xfId="1" xr:uid="{B0B46579-3B39-45E8-9412-1C89731237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8DA1-CD12-415D-95F5-3C63C4E8F495}">
  <sheetPr>
    <pageSetUpPr fitToPage="1"/>
  </sheetPr>
  <dimension ref="A1:K65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.375" style="2" customWidth="1"/>
    <col min="12" max="256" width="9" style="2"/>
    <col min="257" max="257" width="2.375" style="2" customWidth="1"/>
    <col min="258" max="258" width="13.25" style="2" bestFit="1" customWidth="1"/>
    <col min="259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512" width="9" style="2"/>
    <col min="513" max="513" width="2.375" style="2" customWidth="1"/>
    <col min="514" max="514" width="13.25" style="2" bestFit="1" customWidth="1"/>
    <col min="515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68" width="9" style="2"/>
    <col min="769" max="769" width="2.375" style="2" customWidth="1"/>
    <col min="770" max="770" width="13.25" style="2" bestFit="1" customWidth="1"/>
    <col min="771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24" width="9" style="2"/>
    <col min="1025" max="1025" width="2.375" style="2" customWidth="1"/>
    <col min="1026" max="1026" width="13.25" style="2" bestFit="1" customWidth="1"/>
    <col min="1027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80" width="9" style="2"/>
    <col min="1281" max="1281" width="2.375" style="2" customWidth="1"/>
    <col min="1282" max="1282" width="13.25" style="2" bestFit="1" customWidth="1"/>
    <col min="1283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36" width="9" style="2"/>
    <col min="1537" max="1537" width="2.375" style="2" customWidth="1"/>
    <col min="1538" max="1538" width="13.25" style="2" bestFit="1" customWidth="1"/>
    <col min="1539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92" width="9" style="2"/>
    <col min="1793" max="1793" width="2.375" style="2" customWidth="1"/>
    <col min="1794" max="1794" width="13.25" style="2" bestFit="1" customWidth="1"/>
    <col min="1795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48" width="9" style="2"/>
    <col min="2049" max="2049" width="2.375" style="2" customWidth="1"/>
    <col min="2050" max="2050" width="13.25" style="2" bestFit="1" customWidth="1"/>
    <col min="2051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304" width="9" style="2"/>
    <col min="2305" max="2305" width="2.375" style="2" customWidth="1"/>
    <col min="2306" max="2306" width="13.25" style="2" bestFit="1" customWidth="1"/>
    <col min="2307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60" width="9" style="2"/>
    <col min="2561" max="2561" width="2.375" style="2" customWidth="1"/>
    <col min="2562" max="2562" width="13.25" style="2" bestFit="1" customWidth="1"/>
    <col min="2563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16" width="9" style="2"/>
    <col min="2817" max="2817" width="2.375" style="2" customWidth="1"/>
    <col min="2818" max="2818" width="13.25" style="2" bestFit="1" customWidth="1"/>
    <col min="2819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72" width="9" style="2"/>
    <col min="3073" max="3073" width="2.375" style="2" customWidth="1"/>
    <col min="3074" max="3074" width="13.25" style="2" bestFit="1" customWidth="1"/>
    <col min="3075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28" width="9" style="2"/>
    <col min="3329" max="3329" width="2.375" style="2" customWidth="1"/>
    <col min="3330" max="3330" width="13.25" style="2" bestFit="1" customWidth="1"/>
    <col min="3331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84" width="9" style="2"/>
    <col min="3585" max="3585" width="2.375" style="2" customWidth="1"/>
    <col min="3586" max="3586" width="13.25" style="2" bestFit="1" customWidth="1"/>
    <col min="3587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40" width="9" style="2"/>
    <col min="3841" max="3841" width="2.375" style="2" customWidth="1"/>
    <col min="3842" max="3842" width="13.25" style="2" bestFit="1" customWidth="1"/>
    <col min="3843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96" width="9" style="2"/>
    <col min="4097" max="4097" width="2.375" style="2" customWidth="1"/>
    <col min="4098" max="4098" width="13.25" style="2" bestFit="1" customWidth="1"/>
    <col min="4099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52" width="9" style="2"/>
    <col min="4353" max="4353" width="2.375" style="2" customWidth="1"/>
    <col min="4354" max="4354" width="13.25" style="2" bestFit="1" customWidth="1"/>
    <col min="4355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608" width="9" style="2"/>
    <col min="4609" max="4609" width="2.375" style="2" customWidth="1"/>
    <col min="4610" max="4610" width="13.25" style="2" bestFit="1" customWidth="1"/>
    <col min="4611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64" width="9" style="2"/>
    <col min="4865" max="4865" width="2.375" style="2" customWidth="1"/>
    <col min="4866" max="4866" width="13.25" style="2" bestFit="1" customWidth="1"/>
    <col min="4867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20" width="9" style="2"/>
    <col min="5121" max="5121" width="2.375" style="2" customWidth="1"/>
    <col min="5122" max="5122" width="13.25" style="2" bestFit="1" customWidth="1"/>
    <col min="5123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76" width="9" style="2"/>
    <col min="5377" max="5377" width="2.375" style="2" customWidth="1"/>
    <col min="5378" max="5378" width="13.25" style="2" bestFit="1" customWidth="1"/>
    <col min="5379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32" width="9" style="2"/>
    <col min="5633" max="5633" width="2.375" style="2" customWidth="1"/>
    <col min="5634" max="5634" width="13.25" style="2" bestFit="1" customWidth="1"/>
    <col min="5635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88" width="9" style="2"/>
    <col min="5889" max="5889" width="2.375" style="2" customWidth="1"/>
    <col min="5890" max="5890" width="13.25" style="2" bestFit="1" customWidth="1"/>
    <col min="5891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44" width="9" style="2"/>
    <col min="6145" max="6145" width="2.375" style="2" customWidth="1"/>
    <col min="6146" max="6146" width="13.25" style="2" bestFit="1" customWidth="1"/>
    <col min="6147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400" width="9" style="2"/>
    <col min="6401" max="6401" width="2.375" style="2" customWidth="1"/>
    <col min="6402" max="6402" width="13.25" style="2" bestFit="1" customWidth="1"/>
    <col min="6403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56" width="9" style="2"/>
    <col min="6657" max="6657" width="2.375" style="2" customWidth="1"/>
    <col min="6658" max="6658" width="13.25" style="2" bestFit="1" customWidth="1"/>
    <col min="6659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912" width="9" style="2"/>
    <col min="6913" max="6913" width="2.375" style="2" customWidth="1"/>
    <col min="6914" max="6914" width="13.25" style="2" bestFit="1" customWidth="1"/>
    <col min="6915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68" width="9" style="2"/>
    <col min="7169" max="7169" width="2.375" style="2" customWidth="1"/>
    <col min="7170" max="7170" width="13.25" style="2" bestFit="1" customWidth="1"/>
    <col min="7171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24" width="9" style="2"/>
    <col min="7425" max="7425" width="2.375" style="2" customWidth="1"/>
    <col min="7426" max="7426" width="13.25" style="2" bestFit="1" customWidth="1"/>
    <col min="7427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80" width="9" style="2"/>
    <col min="7681" max="7681" width="2.375" style="2" customWidth="1"/>
    <col min="7682" max="7682" width="13.25" style="2" bestFit="1" customWidth="1"/>
    <col min="7683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36" width="9" style="2"/>
    <col min="7937" max="7937" width="2.375" style="2" customWidth="1"/>
    <col min="7938" max="7938" width="13.25" style="2" bestFit="1" customWidth="1"/>
    <col min="7939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92" width="9" style="2"/>
    <col min="8193" max="8193" width="2.375" style="2" customWidth="1"/>
    <col min="8194" max="8194" width="13.25" style="2" bestFit="1" customWidth="1"/>
    <col min="8195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48" width="9" style="2"/>
    <col min="8449" max="8449" width="2.375" style="2" customWidth="1"/>
    <col min="8450" max="8450" width="13.25" style="2" bestFit="1" customWidth="1"/>
    <col min="8451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704" width="9" style="2"/>
    <col min="8705" max="8705" width="2.375" style="2" customWidth="1"/>
    <col min="8706" max="8706" width="13.25" style="2" bestFit="1" customWidth="1"/>
    <col min="8707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60" width="9" style="2"/>
    <col min="8961" max="8961" width="2.375" style="2" customWidth="1"/>
    <col min="8962" max="8962" width="13.25" style="2" bestFit="1" customWidth="1"/>
    <col min="8963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16" width="9" style="2"/>
    <col min="9217" max="9217" width="2.375" style="2" customWidth="1"/>
    <col min="9218" max="9218" width="13.25" style="2" bestFit="1" customWidth="1"/>
    <col min="9219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72" width="9" style="2"/>
    <col min="9473" max="9473" width="2.375" style="2" customWidth="1"/>
    <col min="9474" max="9474" width="13.25" style="2" bestFit="1" customWidth="1"/>
    <col min="9475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28" width="9" style="2"/>
    <col min="9729" max="9729" width="2.375" style="2" customWidth="1"/>
    <col min="9730" max="9730" width="13.25" style="2" bestFit="1" customWidth="1"/>
    <col min="9731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84" width="9" style="2"/>
    <col min="9985" max="9985" width="2.375" style="2" customWidth="1"/>
    <col min="9986" max="9986" width="13.25" style="2" bestFit="1" customWidth="1"/>
    <col min="9987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40" width="9" style="2"/>
    <col min="10241" max="10241" width="2.375" style="2" customWidth="1"/>
    <col min="10242" max="10242" width="13.25" style="2" bestFit="1" customWidth="1"/>
    <col min="10243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96" width="9" style="2"/>
    <col min="10497" max="10497" width="2.375" style="2" customWidth="1"/>
    <col min="10498" max="10498" width="13.25" style="2" bestFit="1" customWidth="1"/>
    <col min="10499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52" width="9" style="2"/>
    <col min="10753" max="10753" width="2.375" style="2" customWidth="1"/>
    <col min="10754" max="10754" width="13.25" style="2" bestFit="1" customWidth="1"/>
    <col min="10755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1008" width="9" style="2"/>
    <col min="11009" max="11009" width="2.375" style="2" customWidth="1"/>
    <col min="11010" max="11010" width="13.25" style="2" bestFit="1" customWidth="1"/>
    <col min="11011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64" width="9" style="2"/>
    <col min="11265" max="11265" width="2.375" style="2" customWidth="1"/>
    <col min="11266" max="11266" width="13.25" style="2" bestFit="1" customWidth="1"/>
    <col min="11267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20" width="9" style="2"/>
    <col min="11521" max="11521" width="2.375" style="2" customWidth="1"/>
    <col min="11522" max="11522" width="13.25" style="2" bestFit="1" customWidth="1"/>
    <col min="11523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76" width="9" style="2"/>
    <col min="11777" max="11777" width="2.375" style="2" customWidth="1"/>
    <col min="11778" max="11778" width="13.25" style="2" bestFit="1" customWidth="1"/>
    <col min="11779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32" width="9" style="2"/>
    <col min="12033" max="12033" width="2.375" style="2" customWidth="1"/>
    <col min="12034" max="12034" width="13.25" style="2" bestFit="1" customWidth="1"/>
    <col min="12035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88" width="9" style="2"/>
    <col min="12289" max="12289" width="2.375" style="2" customWidth="1"/>
    <col min="12290" max="12290" width="13.25" style="2" bestFit="1" customWidth="1"/>
    <col min="12291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44" width="9" style="2"/>
    <col min="12545" max="12545" width="2.375" style="2" customWidth="1"/>
    <col min="12546" max="12546" width="13.25" style="2" bestFit="1" customWidth="1"/>
    <col min="12547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800" width="9" style="2"/>
    <col min="12801" max="12801" width="2.375" style="2" customWidth="1"/>
    <col min="12802" max="12802" width="13.25" style="2" bestFit="1" customWidth="1"/>
    <col min="12803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56" width="9" style="2"/>
    <col min="13057" max="13057" width="2.375" style="2" customWidth="1"/>
    <col min="13058" max="13058" width="13.25" style="2" bestFit="1" customWidth="1"/>
    <col min="13059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312" width="9" style="2"/>
    <col min="13313" max="13313" width="2.375" style="2" customWidth="1"/>
    <col min="13314" max="13314" width="13.25" style="2" bestFit="1" customWidth="1"/>
    <col min="13315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68" width="9" style="2"/>
    <col min="13569" max="13569" width="2.375" style="2" customWidth="1"/>
    <col min="13570" max="13570" width="13.25" style="2" bestFit="1" customWidth="1"/>
    <col min="13571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24" width="9" style="2"/>
    <col min="13825" max="13825" width="2.375" style="2" customWidth="1"/>
    <col min="13826" max="13826" width="13.25" style="2" bestFit="1" customWidth="1"/>
    <col min="13827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80" width="9" style="2"/>
    <col min="14081" max="14081" width="2.375" style="2" customWidth="1"/>
    <col min="14082" max="14082" width="13.25" style="2" bestFit="1" customWidth="1"/>
    <col min="14083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36" width="9" style="2"/>
    <col min="14337" max="14337" width="2.375" style="2" customWidth="1"/>
    <col min="14338" max="14338" width="13.25" style="2" bestFit="1" customWidth="1"/>
    <col min="14339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92" width="9" style="2"/>
    <col min="14593" max="14593" width="2.375" style="2" customWidth="1"/>
    <col min="14594" max="14594" width="13.25" style="2" bestFit="1" customWidth="1"/>
    <col min="14595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48" width="9" style="2"/>
    <col min="14849" max="14849" width="2.375" style="2" customWidth="1"/>
    <col min="14850" max="14850" width="13.25" style="2" bestFit="1" customWidth="1"/>
    <col min="14851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104" width="9" style="2"/>
    <col min="15105" max="15105" width="2.375" style="2" customWidth="1"/>
    <col min="15106" max="15106" width="13.25" style="2" bestFit="1" customWidth="1"/>
    <col min="15107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60" width="9" style="2"/>
    <col min="15361" max="15361" width="2.375" style="2" customWidth="1"/>
    <col min="15362" max="15362" width="13.25" style="2" bestFit="1" customWidth="1"/>
    <col min="15363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16" width="9" style="2"/>
    <col min="15617" max="15617" width="2.375" style="2" customWidth="1"/>
    <col min="15618" max="15618" width="13.25" style="2" bestFit="1" customWidth="1"/>
    <col min="15619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72" width="9" style="2"/>
    <col min="15873" max="15873" width="2.375" style="2" customWidth="1"/>
    <col min="15874" max="15874" width="13.25" style="2" bestFit="1" customWidth="1"/>
    <col min="15875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28" width="9" style="2"/>
    <col min="16129" max="16129" width="2.375" style="2" customWidth="1"/>
    <col min="16130" max="16130" width="13.25" style="2" bestFit="1" customWidth="1"/>
    <col min="16131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11">
      <c r="A1" s="1" t="s">
        <v>0</v>
      </c>
    </row>
    <row r="2" spans="1:11" ht="19.5" thickBot="1">
      <c r="A2" s="1" t="s">
        <v>75</v>
      </c>
    </row>
    <row r="3" spans="1:11">
      <c r="B3" s="3"/>
      <c r="C3" s="7" t="s">
        <v>5</v>
      </c>
      <c r="D3" s="8" t="s">
        <v>7</v>
      </c>
      <c r="E3" s="51" t="s">
        <v>76</v>
      </c>
      <c r="F3" s="6" t="s">
        <v>2</v>
      </c>
      <c r="G3" s="7" t="s">
        <v>3</v>
      </c>
      <c r="H3" s="7" t="s">
        <v>4</v>
      </c>
      <c r="I3" s="53" t="s">
        <v>6</v>
      </c>
      <c r="J3" s="64" t="s">
        <v>76</v>
      </c>
      <c r="K3" s="65" t="s">
        <v>15</v>
      </c>
    </row>
    <row r="4" spans="1:11" ht="19.5" thickBot="1">
      <c r="A4" s="43"/>
      <c r="B4" s="25" t="s">
        <v>8</v>
      </c>
      <c r="C4" s="27" t="s">
        <v>12</v>
      </c>
      <c r="D4" s="28" t="s">
        <v>14</v>
      </c>
      <c r="E4" s="52" t="s">
        <v>77</v>
      </c>
      <c r="F4" s="26" t="s">
        <v>9</v>
      </c>
      <c r="G4" s="27" t="s">
        <v>10</v>
      </c>
      <c r="H4" s="27" t="s">
        <v>11</v>
      </c>
      <c r="I4" s="54" t="s">
        <v>13</v>
      </c>
      <c r="J4" s="66" t="s">
        <v>78</v>
      </c>
      <c r="K4" s="67" t="s">
        <v>79</v>
      </c>
    </row>
    <row r="5" spans="1:11">
      <c r="A5" s="1" t="s">
        <v>1</v>
      </c>
      <c r="B5" s="21" t="s">
        <v>16</v>
      </c>
      <c r="C5" s="23">
        <v>19</v>
      </c>
      <c r="D5" s="24">
        <v>19</v>
      </c>
      <c r="E5" s="44">
        <f>SUM(C5:D5)</f>
        <v>38</v>
      </c>
      <c r="F5" s="22">
        <v>19</v>
      </c>
      <c r="G5" s="23">
        <v>19</v>
      </c>
      <c r="H5" s="23">
        <v>19</v>
      </c>
      <c r="I5" s="55">
        <v>19</v>
      </c>
      <c r="J5" s="68">
        <f>SUM(F5:I5)</f>
        <v>76</v>
      </c>
      <c r="K5" s="68">
        <f>E5+J5</f>
        <v>114</v>
      </c>
    </row>
    <row r="6" spans="1:11">
      <c r="A6" s="1" t="s">
        <v>1</v>
      </c>
      <c r="B6" s="4" t="s">
        <v>17</v>
      </c>
      <c r="C6" s="10">
        <v>0</v>
      </c>
      <c r="D6" s="11">
        <v>0</v>
      </c>
      <c r="E6" s="45"/>
      <c r="F6" s="9">
        <v>2</v>
      </c>
      <c r="G6" s="10">
        <v>2</v>
      </c>
      <c r="H6" s="10">
        <v>2</v>
      </c>
      <c r="I6" s="56">
        <v>1</v>
      </c>
      <c r="J6" s="69">
        <f>SUM(F6:I6)</f>
        <v>7</v>
      </c>
      <c r="K6" s="69">
        <f t="shared" ref="K6:K55" si="0">E6+J6</f>
        <v>7</v>
      </c>
    </row>
    <row r="7" spans="1:11">
      <c r="A7" s="1" t="s">
        <v>1</v>
      </c>
      <c r="B7" s="4" t="s">
        <v>18</v>
      </c>
      <c r="C7" s="10">
        <v>0</v>
      </c>
      <c r="D7" s="11">
        <v>0</v>
      </c>
      <c r="E7" s="45"/>
      <c r="F7" s="9">
        <v>0</v>
      </c>
      <c r="G7" s="10">
        <v>0</v>
      </c>
      <c r="H7" s="10">
        <v>0</v>
      </c>
      <c r="I7" s="56">
        <v>0</v>
      </c>
      <c r="J7" s="69"/>
      <c r="K7" s="69">
        <f t="shared" si="0"/>
        <v>0</v>
      </c>
    </row>
    <row r="8" spans="1:11">
      <c r="A8" s="1" t="s">
        <v>1</v>
      </c>
      <c r="B8" s="4" t="s">
        <v>19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0</v>
      </c>
      <c r="I8" s="56">
        <v>0</v>
      </c>
      <c r="J8" s="69"/>
      <c r="K8" s="69">
        <f t="shared" si="0"/>
        <v>0</v>
      </c>
    </row>
    <row r="9" spans="1:11">
      <c r="A9" s="1" t="s">
        <v>1</v>
      </c>
      <c r="B9" s="4" t="s">
        <v>20</v>
      </c>
      <c r="C9" s="10">
        <v>0</v>
      </c>
      <c r="D9" s="11">
        <v>0</v>
      </c>
      <c r="E9" s="45"/>
      <c r="F9" s="9">
        <v>0</v>
      </c>
      <c r="G9" s="10">
        <v>0</v>
      </c>
      <c r="H9" s="10">
        <v>0</v>
      </c>
      <c r="I9" s="56">
        <v>0</v>
      </c>
      <c r="J9" s="69"/>
      <c r="K9" s="69">
        <f t="shared" si="0"/>
        <v>0</v>
      </c>
    </row>
    <row r="10" spans="1:11">
      <c r="A10" s="1" t="s">
        <v>1</v>
      </c>
      <c r="B10" s="4" t="s">
        <v>21</v>
      </c>
      <c r="C10" s="10">
        <v>0</v>
      </c>
      <c r="D10" s="11">
        <v>0</v>
      </c>
      <c r="E10" s="45"/>
      <c r="F10" s="9">
        <v>0</v>
      </c>
      <c r="G10" s="10">
        <v>0</v>
      </c>
      <c r="H10" s="10">
        <v>0</v>
      </c>
      <c r="I10" s="56">
        <v>0</v>
      </c>
      <c r="J10" s="69"/>
      <c r="K10" s="69">
        <f t="shared" si="0"/>
        <v>0</v>
      </c>
    </row>
    <row r="11" spans="1:11">
      <c r="A11" s="1" t="s">
        <v>1</v>
      </c>
      <c r="B11" s="4" t="s">
        <v>22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56">
        <v>0</v>
      </c>
      <c r="J11" s="69"/>
      <c r="K11" s="69">
        <f t="shared" si="0"/>
        <v>0</v>
      </c>
    </row>
    <row r="12" spans="1:11">
      <c r="A12" s="1" t="s">
        <v>1</v>
      </c>
      <c r="B12" s="4" t="s">
        <v>23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56">
        <v>0</v>
      </c>
      <c r="J12" s="69"/>
      <c r="K12" s="69">
        <f t="shared" si="0"/>
        <v>0</v>
      </c>
    </row>
    <row r="13" spans="1:11">
      <c r="A13" s="1" t="s">
        <v>1</v>
      </c>
      <c r="B13" s="4" t="s">
        <v>24</v>
      </c>
      <c r="C13" s="13">
        <v>0</v>
      </c>
      <c r="D13" s="14">
        <v>3.2083333333333335</v>
      </c>
      <c r="E13" s="46">
        <f>SUM(C13:D13)</f>
        <v>3.2083333333333335</v>
      </c>
      <c r="F13" s="12">
        <v>0</v>
      </c>
      <c r="G13" s="13">
        <v>0</v>
      </c>
      <c r="H13" s="13">
        <v>0</v>
      </c>
      <c r="I13" s="57">
        <v>0</v>
      </c>
      <c r="J13" s="70"/>
      <c r="K13" s="70">
        <f t="shared" si="0"/>
        <v>3.2083333333333335</v>
      </c>
    </row>
    <row r="14" spans="1:11">
      <c r="A14" s="1" t="s">
        <v>1</v>
      </c>
      <c r="B14" s="4" t="s">
        <v>25</v>
      </c>
      <c r="C14" s="13">
        <v>0</v>
      </c>
      <c r="D14" s="14">
        <v>0</v>
      </c>
      <c r="E14" s="46"/>
      <c r="F14" s="12">
        <v>2.5</v>
      </c>
      <c r="G14" s="13">
        <v>3.25</v>
      </c>
      <c r="H14" s="13">
        <v>2.875</v>
      </c>
      <c r="I14" s="57">
        <v>1.8333333333333335</v>
      </c>
      <c r="J14" s="70">
        <f>SUM(F14:I14)</f>
        <v>10.458333333333334</v>
      </c>
      <c r="K14" s="70">
        <f t="shared" si="0"/>
        <v>10.458333333333334</v>
      </c>
    </row>
    <row r="15" spans="1:11">
      <c r="A15" s="1" t="s">
        <v>1</v>
      </c>
      <c r="B15" s="4" t="s">
        <v>26</v>
      </c>
      <c r="C15" s="13">
        <v>0</v>
      </c>
      <c r="D15" s="14">
        <v>0</v>
      </c>
      <c r="E15" s="46"/>
      <c r="F15" s="12">
        <v>0.16666666666666666</v>
      </c>
      <c r="G15" s="13">
        <v>0.375</v>
      </c>
      <c r="H15" s="13">
        <v>0.375</v>
      </c>
      <c r="I15" s="57">
        <v>8.3333333333333329E-2</v>
      </c>
      <c r="J15" s="70">
        <f t="shared" ref="J15:J62" si="1">SUM(F15:I15)</f>
        <v>1</v>
      </c>
      <c r="K15" s="70">
        <f t="shared" si="0"/>
        <v>1</v>
      </c>
    </row>
    <row r="16" spans="1:11">
      <c r="A16" s="1" t="s">
        <v>1</v>
      </c>
      <c r="B16" s="4" t="s">
        <v>27</v>
      </c>
      <c r="C16" s="13">
        <v>0</v>
      </c>
      <c r="D16" s="14">
        <v>0</v>
      </c>
      <c r="E16" s="46"/>
      <c r="F16" s="12">
        <v>0</v>
      </c>
      <c r="G16" s="13">
        <v>0</v>
      </c>
      <c r="H16" s="13">
        <v>0</v>
      </c>
      <c r="I16" s="57">
        <v>0</v>
      </c>
      <c r="J16" s="70">
        <f t="shared" si="1"/>
        <v>0</v>
      </c>
      <c r="K16" s="70">
        <f t="shared" si="0"/>
        <v>0</v>
      </c>
    </row>
    <row r="17" spans="1:11">
      <c r="A17" s="1" t="s">
        <v>1</v>
      </c>
      <c r="B17" s="4" t="s">
        <v>28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57">
        <v>0</v>
      </c>
      <c r="J17" s="70">
        <f t="shared" si="1"/>
        <v>0</v>
      </c>
      <c r="K17" s="70">
        <f t="shared" si="0"/>
        <v>0</v>
      </c>
    </row>
    <row r="18" spans="1:11">
      <c r="A18" s="1" t="s">
        <v>1</v>
      </c>
      <c r="B18" s="4" t="s">
        <v>29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57">
        <v>0</v>
      </c>
      <c r="J18" s="70">
        <f t="shared" si="1"/>
        <v>0</v>
      </c>
      <c r="K18" s="70">
        <f t="shared" si="0"/>
        <v>0</v>
      </c>
    </row>
    <row r="19" spans="1:11">
      <c r="A19" s="1" t="s">
        <v>1</v>
      </c>
      <c r="B19" s="4" t="s">
        <v>30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57">
        <v>0</v>
      </c>
      <c r="J19" s="70">
        <f t="shared" si="1"/>
        <v>0</v>
      </c>
      <c r="K19" s="70">
        <f t="shared" si="0"/>
        <v>0</v>
      </c>
    </row>
    <row r="20" spans="1:11">
      <c r="A20" s="1" t="s">
        <v>1</v>
      </c>
      <c r="B20" s="4" t="s">
        <v>31</v>
      </c>
      <c r="C20" s="13">
        <v>0</v>
      </c>
      <c r="D20" s="14">
        <v>0</v>
      </c>
      <c r="E20" s="46"/>
      <c r="F20" s="12">
        <v>0</v>
      </c>
      <c r="G20" s="13">
        <v>0</v>
      </c>
      <c r="H20" s="13">
        <v>0</v>
      </c>
      <c r="I20" s="57">
        <v>0</v>
      </c>
      <c r="J20" s="70">
        <f t="shared" si="1"/>
        <v>0</v>
      </c>
      <c r="K20" s="70">
        <f t="shared" si="0"/>
        <v>0</v>
      </c>
    </row>
    <row r="21" spans="1:11">
      <c r="A21" s="1" t="s">
        <v>1</v>
      </c>
      <c r="B21" s="4" t="s">
        <v>32</v>
      </c>
      <c r="C21" s="13">
        <v>0</v>
      </c>
      <c r="D21" s="14">
        <v>0</v>
      </c>
      <c r="E21" s="46"/>
      <c r="F21" s="12">
        <v>0</v>
      </c>
      <c r="G21" s="13">
        <v>0</v>
      </c>
      <c r="H21" s="13">
        <v>0</v>
      </c>
      <c r="I21" s="57">
        <v>0</v>
      </c>
      <c r="J21" s="70">
        <f t="shared" si="1"/>
        <v>0</v>
      </c>
      <c r="K21" s="70">
        <f t="shared" si="0"/>
        <v>0</v>
      </c>
    </row>
    <row r="22" spans="1:11">
      <c r="A22" s="1" t="s">
        <v>1</v>
      </c>
      <c r="B22" s="4" t="s">
        <v>33</v>
      </c>
      <c r="C22" s="13">
        <v>0</v>
      </c>
      <c r="D22" s="14">
        <v>0</v>
      </c>
      <c r="E22" s="46"/>
      <c r="F22" s="12">
        <v>0.33333333333333331</v>
      </c>
      <c r="G22" s="13">
        <v>0.375</v>
      </c>
      <c r="H22" s="13">
        <v>8.3333333333333329E-2</v>
      </c>
      <c r="I22" s="57">
        <v>0.16666666666666666</v>
      </c>
      <c r="J22" s="70">
        <f t="shared" si="1"/>
        <v>0.95833333333333326</v>
      </c>
      <c r="K22" s="70">
        <f t="shared" si="0"/>
        <v>0.95833333333333326</v>
      </c>
    </row>
    <row r="23" spans="1:11" ht="19.5" thickBot="1">
      <c r="A23" s="1" t="s">
        <v>1</v>
      </c>
      <c r="B23" s="5" t="s">
        <v>34</v>
      </c>
      <c r="C23" s="33">
        <v>23</v>
      </c>
      <c r="D23" s="34">
        <v>9</v>
      </c>
      <c r="E23" s="47">
        <f>SUM(C23:D23)</f>
        <v>32</v>
      </c>
      <c r="F23" s="32">
        <v>26</v>
      </c>
      <c r="G23" s="33">
        <v>26</v>
      </c>
      <c r="H23" s="33">
        <v>14</v>
      </c>
      <c r="I23" s="58">
        <v>8</v>
      </c>
      <c r="J23" s="71">
        <f t="shared" si="1"/>
        <v>74</v>
      </c>
      <c r="K23" s="71">
        <f t="shared" si="0"/>
        <v>106</v>
      </c>
    </row>
    <row r="24" spans="1:11">
      <c r="A24" s="1" t="s">
        <v>1</v>
      </c>
      <c r="B24" s="21" t="s">
        <v>35</v>
      </c>
      <c r="C24" s="30">
        <v>355000</v>
      </c>
      <c r="D24" s="31">
        <v>0</v>
      </c>
      <c r="E24" s="48">
        <f>SUM(C24:D24)</f>
        <v>355000</v>
      </c>
      <c r="F24" s="29">
        <v>182000</v>
      </c>
      <c r="G24" s="30">
        <v>192000</v>
      </c>
      <c r="H24" s="30">
        <v>177000</v>
      </c>
      <c r="I24" s="59">
        <v>182000</v>
      </c>
      <c r="J24" s="72">
        <f t="shared" si="1"/>
        <v>733000</v>
      </c>
      <c r="K24" s="72">
        <f t="shared" si="0"/>
        <v>1088000</v>
      </c>
    </row>
    <row r="25" spans="1:11">
      <c r="A25" s="1" t="s">
        <v>1</v>
      </c>
      <c r="B25" s="4" t="s">
        <v>36</v>
      </c>
      <c r="C25" s="16">
        <v>0</v>
      </c>
      <c r="D25" s="17">
        <v>0</v>
      </c>
      <c r="E25" s="49"/>
      <c r="F25" s="15">
        <v>5000</v>
      </c>
      <c r="G25" s="16">
        <v>0</v>
      </c>
      <c r="H25" s="16">
        <v>5000</v>
      </c>
      <c r="I25" s="60">
        <v>0</v>
      </c>
      <c r="J25" s="73">
        <f t="shared" si="1"/>
        <v>10000</v>
      </c>
      <c r="K25" s="73">
        <f t="shared" si="0"/>
        <v>10000</v>
      </c>
    </row>
    <row r="26" spans="1:11">
      <c r="A26" s="1" t="s">
        <v>1</v>
      </c>
      <c r="B26" s="4" t="s">
        <v>37</v>
      </c>
      <c r="C26" s="16">
        <v>0</v>
      </c>
      <c r="D26" s="17">
        <v>0</v>
      </c>
      <c r="E26" s="49"/>
      <c r="F26" s="15">
        <v>3000</v>
      </c>
      <c r="G26" s="16">
        <v>3000</v>
      </c>
      <c r="H26" s="16">
        <v>6000</v>
      </c>
      <c r="I26" s="60">
        <v>0</v>
      </c>
      <c r="J26" s="73">
        <f t="shared" si="1"/>
        <v>12000</v>
      </c>
      <c r="K26" s="73">
        <f t="shared" si="0"/>
        <v>12000</v>
      </c>
    </row>
    <row r="27" spans="1:11">
      <c r="A27" s="1" t="s">
        <v>1</v>
      </c>
      <c r="B27" s="4" t="s">
        <v>38</v>
      </c>
      <c r="C27" s="16">
        <v>50000</v>
      </c>
      <c r="D27" s="17">
        <v>0</v>
      </c>
      <c r="E27" s="17">
        <f>SUM(C27:D27)</f>
        <v>50000</v>
      </c>
      <c r="F27" s="15">
        <v>50000</v>
      </c>
      <c r="G27" s="16">
        <v>50000</v>
      </c>
      <c r="H27" s="16">
        <v>50000</v>
      </c>
      <c r="I27" s="60">
        <v>50000</v>
      </c>
      <c r="J27" s="73">
        <f t="shared" si="1"/>
        <v>200000</v>
      </c>
      <c r="K27" s="73">
        <f t="shared" si="0"/>
        <v>250000</v>
      </c>
    </row>
    <row r="28" spans="1:11">
      <c r="A28" s="1" t="s">
        <v>1</v>
      </c>
      <c r="B28" s="4" t="s">
        <v>39</v>
      </c>
      <c r="C28" s="16">
        <v>0</v>
      </c>
      <c r="D28" s="17">
        <v>0</v>
      </c>
      <c r="E28" s="17">
        <f t="shared" ref="E28:E64" si="2">SUM(C28:D28)</f>
        <v>0</v>
      </c>
      <c r="F28" s="15">
        <v>0</v>
      </c>
      <c r="G28" s="16">
        <v>0</v>
      </c>
      <c r="H28" s="16">
        <v>0</v>
      </c>
      <c r="I28" s="60">
        <v>0</v>
      </c>
      <c r="J28" s="73">
        <f t="shared" si="1"/>
        <v>0</v>
      </c>
      <c r="K28" s="73">
        <f t="shared" si="0"/>
        <v>0</v>
      </c>
    </row>
    <row r="29" spans="1:11">
      <c r="A29" s="1" t="s">
        <v>1</v>
      </c>
      <c r="B29" s="4" t="s">
        <v>40</v>
      </c>
      <c r="C29" s="16">
        <v>0</v>
      </c>
      <c r="D29" s="17">
        <v>82775</v>
      </c>
      <c r="E29" s="17">
        <f t="shared" si="2"/>
        <v>82775</v>
      </c>
      <c r="F29" s="15">
        <v>0</v>
      </c>
      <c r="G29" s="16">
        <v>0</v>
      </c>
      <c r="H29" s="16">
        <v>0</v>
      </c>
      <c r="I29" s="60">
        <v>0</v>
      </c>
      <c r="J29" s="73">
        <f t="shared" si="1"/>
        <v>0</v>
      </c>
      <c r="K29" s="73">
        <f t="shared" si="0"/>
        <v>82775</v>
      </c>
    </row>
    <row r="30" spans="1:11">
      <c r="A30" s="1" t="s">
        <v>1</v>
      </c>
      <c r="B30" s="4" t="s">
        <v>41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60">
        <v>0</v>
      </c>
      <c r="J30" s="73">
        <f t="shared" si="1"/>
        <v>0</v>
      </c>
      <c r="K30" s="73">
        <f t="shared" si="0"/>
        <v>0</v>
      </c>
    </row>
    <row r="31" spans="1:11">
      <c r="A31" s="1" t="s">
        <v>1</v>
      </c>
      <c r="B31" s="4" t="s">
        <v>42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60">
        <v>0</v>
      </c>
      <c r="J31" s="73">
        <f t="shared" si="1"/>
        <v>0</v>
      </c>
      <c r="K31" s="73">
        <f t="shared" si="0"/>
        <v>0</v>
      </c>
    </row>
    <row r="32" spans="1:11">
      <c r="A32" s="1" t="s">
        <v>1</v>
      </c>
      <c r="B32" s="4" t="s">
        <v>43</v>
      </c>
      <c r="C32" s="16">
        <v>0</v>
      </c>
      <c r="D32" s="17">
        <v>0</v>
      </c>
      <c r="E32" s="17">
        <f t="shared" si="2"/>
        <v>0</v>
      </c>
      <c r="F32" s="15">
        <v>2000</v>
      </c>
      <c r="G32" s="16">
        <v>2000</v>
      </c>
      <c r="H32" s="16">
        <v>0</v>
      </c>
      <c r="I32" s="60">
        <v>2000</v>
      </c>
      <c r="J32" s="73">
        <f t="shared" si="1"/>
        <v>6000</v>
      </c>
      <c r="K32" s="73">
        <f t="shared" si="0"/>
        <v>6000</v>
      </c>
    </row>
    <row r="33" spans="1:11">
      <c r="A33" s="1" t="s">
        <v>1</v>
      </c>
      <c r="B33" s="4" t="s">
        <v>44</v>
      </c>
      <c r="C33" s="16">
        <v>0</v>
      </c>
      <c r="D33" s="17">
        <v>0</v>
      </c>
      <c r="E33" s="17">
        <f t="shared" si="2"/>
        <v>0</v>
      </c>
      <c r="F33" s="15">
        <v>0</v>
      </c>
      <c r="G33" s="16">
        <v>0</v>
      </c>
      <c r="H33" s="16">
        <v>0</v>
      </c>
      <c r="I33" s="60">
        <v>0</v>
      </c>
      <c r="J33" s="73">
        <f t="shared" si="1"/>
        <v>0</v>
      </c>
      <c r="K33" s="73">
        <f t="shared" si="0"/>
        <v>0</v>
      </c>
    </row>
    <row r="34" spans="1:11">
      <c r="A34" s="1" t="s">
        <v>1</v>
      </c>
      <c r="B34" s="4" t="s">
        <v>45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60">
        <v>0</v>
      </c>
      <c r="J34" s="73">
        <f t="shared" si="1"/>
        <v>0</v>
      </c>
      <c r="K34" s="73">
        <f t="shared" si="0"/>
        <v>0</v>
      </c>
    </row>
    <row r="35" spans="1:11">
      <c r="A35" s="1" t="s">
        <v>1</v>
      </c>
      <c r="B35" s="4" t="s">
        <v>46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13000</v>
      </c>
      <c r="H35" s="16">
        <v>15000</v>
      </c>
      <c r="I35" s="60">
        <v>13000</v>
      </c>
      <c r="J35" s="73">
        <f t="shared" si="1"/>
        <v>41000</v>
      </c>
      <c r="K35" s="73">
        <f t="shared" si="0"/>
        <v>41000</v>
      </c>
    </row>
    <row r="36" spans="1:11">
      <c r="A36" s="1" t="s">
        <v>1</v>
      </c>
      <c r="B36" s="4" t="s">
        <v>47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60">
        <v>0</v>
      </c>
      <c r="J36" s="73">
        <f t="shared" si="1"/>
        <v>0</v>
      </c>
      <c r="K36" s="73">
        <f t="shared" si="0"/>
        <v>0</v>
      </c>
    </row>
    <row r="37" spans="1:11">
      <c r="A37" s="1" t="s">
        <v>1</v>
      </c>
      <c r="B37" s="4" t="s">
        <v>48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60">
        <v>0</v>
      </c>
      <c r="J37" s="73">
        <f t="shared" si="1"/>
        <v>0</v>
      </c>
      <c r="K37" s="73">
        <f t="shared" si="0"/>
        <v>0</v>
      </c>
    </row>
    <row r="38" spans="1:11">
      <c r="A38" s="1" t="s">
        <v>1</v>
      </c>
      <c r="B38" s="4" t="s">
        <v>25</v>
      </c>
      <c r="C38" s="16">
        <v>0</v>
      </c>
      <c r="D38" s="17">
        <v>0</v>
      </c>
      <c r="E38" s="17">
        <f t="shared" si="2"/>
        <v>0</v>
      </c>
      <c r="F38" s="15">
        <v>108660</v>
      </c>
      <c r="G38" s="16">
        <v>151788</v>
      </c>
      <c r="H38" s="16">
        <v>130686</v>
      </c>
      <c r="I38" s="60">
        <v>81356</v>
      </c>
      <c r="J38" s="73">
        <f t="shared" si="1"/>
        <v>472490</v>
      </c>
      <c r="K38" s="73">
        <f t="shared" si="0"/>
        <v>472490</v>
      </c>
    </row>
    <row r="39" spans="1:11">
      <c r="A39" s="1" t="s">
        <v>1</v>
      </c>
      <c r="B39" s="4" t="s">
        <v>49</v>
      </c>
      <c r="C39" s="16">
        <v>0</v>
      </c>
      <c r="D39" s="17">
        <v>0</v>
      </c>
      <c r="E39" s="17">
        <f t="shared" si="2"/>
        <v>0</v>
      </c>
      <c r="F39" s="15">
        <v>7824</v>
      </c>
      <c r="G39" s="16">
        <v>18918</v>
      </c>
      <c r="H39" s="16">
        <v>18405</v>
      </c>
      <c r="I39" s="60">
        <v>3994</v>
      </c>
      <c r="J39" s="73">
        <f t="shared" si="1"/>
        <v>49141</v>
      </c>
      <c r="K39" s="73">
        <f t="shared" si="0"/>
        <v>49141</v>
      </c>
    </row>
    <row r="40" spans="1:11">
      <c r="A40" s="1" t="s">
        <v>1</v>
      </c>
      <c r="B40" s="4" t="s">
        <v>50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0</v>
      </c>
      <c r="I40" s="60">
        <v>0</v>
      </c>
      <c r="J40" s="73">
        <f t="shared" si="1"/>
        <v>0</v>
      </c>
      <c r="K40" s="73">
        <f t="shared" si="0"/>
        <v>0</v>
      </c>
    </row>
    <row r="41" spans="1:11">
      <c r="A41" s="1" t="s">
        <v>1</v>
      </c>
      <c r="B41" s="4" t="s">
        <v>51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0</v>
      </c>
      <c r="I41" s="60">
        <v>0</v>
      </c>
      <c r="J41" s="73">
        <f t="shared" si="1"/>
        <v>0</v>
      </c>
      <c r="K41" s="73">
        <f t="shared" si="0"/>
        <v>0</v>
      </c>
    </row>
    <row r="42" spans="1:11">
      <c r="A42" s="1" t="s">
        <v>1</v>
      </c>
      <c r="B42" s="4" t="s">
        <v>52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60">
        <v>0</v>
      </c>
      <c r="J42" s="73">
        <f t="shared" si="1"/>
        <v>0</v>
      </c>
      <c r="K42" s="73">
        <f t="shared" si="0"/>
        <v>0</v>
      </c>
    </row>
    <row r="43" spans="1:11">
      <c r="A43" s="1" t="s">
        <v>1</v>
      </c>
      <c r="B43" s="4" t="s">
        <v>53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60">
        <v>0</v>
      </c>
      <c r="J43" s="73">
        <f t="shared" si="1"/>
        <v>0</v>
      </c>
      <c r="K43" s="73">
        <f t="shared" si="0"/>
        <v>0</v>
      </c>
    </row>
    <row r="44" spans="1:11">
      <c r="A44" s="1" t="s">
        <v>1</v>
      </c>
      <c r="B44" s="4" t="s">
        <v>30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0</v>
      </c>
      <c r="I44" s="60">
        <v>0</v>
      </c>
      <c r="J44" s="73">
        <f t="shared" si="1"/>
        <v>0</v>
      </c>
      <c r="K44" s="73">
        <f t="shared" si="0"/>
        <v>0</v>
      </c>
    </row>
    <row r="45" spans="1:11" ht="19.5" thickBot="1">
      <c r="A45" s="1" t="s">
        <v>1</v>
      </c>
      <c r="B45" s="35" t="s">
        <v>33</v>
      </c>
      <c r="C45" s="37">
        <v>0</v>
      </c>
      <c r="D45" s="38">
        <v>0</v>
      </c>
      <c r="E45" s="38">
        <f t="shared" si="2"/>
        <v>0</v>
      </c>
      <c r="F45" s="36">
        <v>2896</v>
      </c>
      <c r="G45" s="37">
        <v>3501</v>
      </c>
      <c r="H45" s="37">
        <v>758</v>
      </c>
      <c r="I45" s="61">
        <v>1480</v>
      </c>
      <c r="J45" s="74">
        <f t="shared" si="1"/>
        <v>8635</v>
      </c>
      <c r="K45" s="74">
        <f t="shared" si="0"/>
        <v>8635</v>
      </c>
    </row>
    <row r="46" spans="1:11" ht="19.5" thickBot="1">
      <c r="A46" s="1" t="s">
        <v>1</v>
      </c>
      <c r="B46" s="39" t="s">
        <v>54</v>
      </c>
      <c r="C46" s="41">
        <v>405000</v>
      </c>
      <c r="D46" s="42">
        <v>82775</v>
      </c>
      <c r="E46" s="42">
        <f t="shared" si="2"/>
        <v>487775</v>
      </c>
      <c r="F46" s="40">
        <v>361380</v>
      </c>
      <c r="G46" s="41">
        <v>434207</v>
      </c>
      <c r="H46" s="41">
        <v>402849</v>
      </c>
      <c r="I46" s="62">
        <v>333830</v>
      </c>
      <c r="J46" s="75">
        <f t="shared" si="1"/>
        <v>1532266</v>
      </c>
      <c r="K46" s="75">
        <f t="shared" si="0"/>
        <v>2020041</v>
      </c>
    </row>
    <row r="47" spans="1:11" ht="19.5" thickBot="1">
      <c r="A47" s="1" t="s">
        <v>1</v>
      </c>
      <c r="B47" s="21" t="s">
        <v>55</v>
      </c>
      <c r="C47" s="30">
        <v>9536</v>
      </c>
      <c r="D47" s="31">
        <v>0</v>
      </c>
      <c r="E47" s="31">
        <f t="shared" si="2"/>
        <v>9536</v>
      </c>
      <c r="F47" s="29">
        <v>6262</v>
      </c>
      <c r="G47" s="30">
        <v>1506</v>
      </c>
      <c r="H47" s="30">
        <v>3478</v>
      </c>
      <c r="I47" s="59">
        <v>0</v>
      </c>
      <c r="J47" s="72">
        <f t="shared" si="1"/>
        <v>11246</v>
      </c>
      <c r="K47" s="72">
        <f t="shared" si="0"/>
        <v>20782</v>
      </c>
    </row>
    <row r="48" spans="1:11" ht="19.5" thickBot="1">
      <c r="A48" s="1" t="s">
        <v>1</v>
      </c>
      <c r="B48" s="39" t="s">
        <v>56</v>
      </c>
      <c r="C48" s="41">
        <v>9536</v>
      </c>
      <c r="D48" s="42">
        <v>0</v>
      </c>
      <c r="E48" s="42">
        <f t="shared" si="2"/>
        <v>9536</v>
      </c>
      <c r="F48" s="40">
        <v>6262</v>
      </c>
      <c r="G48" s="41">
        <v>1506</v>
      </c>
      <c r="H48" s="41">
        <v>3478</v>
      </c>
      <c r="I48" s="62">
        <v>0</v>
      </c>
      <c r="J48" s="75">
        <f t="shared" si="1"/>
        <v>11246</v>
      </c>
      <c r="K48" s="75">
        <f t="shared" si="0"/>
        <v>20782</v>
      </c>
    </row>
    <row r="49" spans="1:11" ht="19.5" thickBot="1">
      <c r="A49" s="1" t="s">
        <v>1</v>
      </c>
      <c r="B49" s="39" t="s">
        <v>57</v>
      </c>
      <c r="C49" s="41">
        <v>414536</v>
      </c>
      <c r="D49" s="42">
        <v>82775</v>
      </c>
      <c r="E49" s="42">
        <f t="shared" si="2"/>
        <v>497311</v>
      </c>
      <c r="F49" s="40">
        <v>367642</v>
      </c>
      <c r="G49" s="41">
        <v>435713</v>
      </c>
      <c r="H49" s="41">
        <v>406327</v>
      </c>
      <c r="I49" s="62">
        <v>333830</v>
      </c>
      <c r="J49" s="75">
        <f t="shared" si="1"/>
        <v>1543512</v>
      </c>
      <c r="K49" s="75">
        <f t="shared" si="0"/>
        <v>2040823</v>
      </c>
    </row>
    <row r="50" spans="1:11">
      <c r="A50" s="1" t="s">
        <v>1</v>
      </c>
      <c r="B50" s="21" t="s">
        <v>58</v>
      </c>
      <c r="C50" s="30">
        <v>20910</v>
      </c>
      <c r="D50" s="31">
        <v>0</v>
      </c>
      <c r="E50" s="31">
        <f t="shared" si="2"/>
        <v>20910</v>
      </c>
      <c r="F50" s="29">
        <v>17340</v>
      </c>
      <c r="G50" s="30">
        <v>22440</v>
      </c>
      <c r="H50" s="30">
        <v>18360</v>
      </c>
      <c r="I50" s="59">
        <v>18360</v>
      </c>
      <c r="J50" s="72">
        <f t="shared" si="1"/>
        <v>76500</v>
      </c>
      <c r="K50" s="72">
        <f t="shared" si="0"/>
        <v>97410</v>
      </c>
    </row>
    <row r="51" spans="1:11">
      <c r="A51" s="1" t="s">
        <v>1</v>
      </c>
      <c r="B51" s="4" t="s">
        <v>59</v>
      </c>
      <c r="C51" s="16">
        <v>3690</v>
      </c>
      <c r="D51" s="17">
        <v>0</v>
      </c>
      <c r="E51" s="17">
        <f t="shared" si="2"/>
        <v>3690</v>
      </c>
      <c r="F51" s="15">
        <v>3060</v>
      </c>
      <c r="G51" s="16">
        <v>3960</v>
      </c>
      <c r="H51" s="16">
        <v>3240</v>
      </c>
      <c r="I51" s="60">
        <v>3240</v>
      </c>
      <c r="J51" s="73">
        <f t="shared" si="1"/>
        <v>13500</v>
      </c>
      <c r="K51" s="73">
        <f t="shared" si="0"/>
        <v>17190</v>
      </c>
    </row>
    <row r="52" spans="1:11">
      <c r="A52" s="1" t="s">
        <v>1</v>
      </c>
      <c r="B52" s="4" t="s">
        <v>60</v>
      </c>
      <c r="C52" s="16">
        <v>37515</v>
      </c>
      <c r="D52" s="17">
        <v>0</v>
      </c>
      <c r="E52" s="17">
        <f t="shared" si="2"/>
        <v>37515</v>
      </c>
      <c r="F52" s="15">
        <v>31110</v>
      </c>
      <c r="G52" s="16">
        <v>40260</v>
      </c>
      <c r="H52" s="16">
        <v>32940</v>
      </c>
      <c r="I52" s="60">
        <v>32940</v>
      </c>
      <c r="J52" s="73">
        <f t="shared" si="1"/>
        <v>137250</v>
      </c>
      <c r="K52" s="73">
        <f t="shared" si="0"/>
        <v>174765</v>
      </c>
    </row>
    <row r="53" spans="1:11" ht="19.5" thickBot="1">
      <c r="A53" s="1" t="s">
        <v>1</v>
      </c>
      <c r="B53" s="4" t="s">
        <v>61</v>
      </c>
      <c r="C53" s="16">
        <v>2073</v>
      </c>
      <c r="D53" s="17">
        <v>414</v>
      </c>
      <c r="E53" s="17">
        <f t="shared" si="2"/>
        <v>2487</v>
      </c>
      <c r="F53" s="15">
        <v>1838</v>
      </c>
      <c r="G53" s="16">
        <v>2179</v>
      </c>
      <c r="H53" s="16">
        <v>2032</v>
      </c>
      <c r="I53" s="60">
        <v>1669</v>
      </c>
      <c r="J53" s="73">
        <f t="shared" si="1"/>
        <v>7718</v>
      </c>
      <c r="K53" s="73">
        <f t="shared" si="0"/>
        <v>10205</v>
      </c>
    </row>
    <row r="54" spans="1:11" ht="19.5" thickBot="1">
      <c r="A54" s="1" t="s">
        <v>1</v>
      </c>
      <c r="B54" s="39" t="s">
        <v>62</v>
      </c>
      <c r="C54" s="41">
        <v>64188</v>
      </c>
      <c r="D54" s="42">
        <v>414</v>
      </c>
      <c r="E54" s="42">
        <f t="shared" si="2"/>
        <v>64602</v>
      </c>
      <c r="F54" s="40">
        <v>53348</v>
      </c>
      <c r="G54" s="41">
        <v>68839</v>
      </c>
      <c r="H54" s="41">
        <v>56572</v>
      </c>
      <c r="I54" s="62">
        <v>56209</v>
      </c>
      <c r="J54" s="75">
        <f t="shared" si="1"/>
        <v>234968</v>
      </c>
      <c r="K54" s="75">
        <f t="shared" si="0"/>
        <v>299570</v>
      </c>
    </row>
    <row r="55" spans="1:11">
      <c r="A55" s="1" t="s">
        <v>1</v>
      </c>
      <c r="B55" s="21" t="s">
        <v>63</v>
      </c>
      <c r="C55" s="30">
        <v>8480</v>
      </c>
      <c r="D55" s="31">
        <v>0</v>
      </c>
      <c r="E55" s="31">
        <f t="shared" si="2"/>
        <v>8480</v>
      </c>
      <c r="F55" s="29">
        <v>7050</v>
      </c>
      <c r="G55" s="30">
        <v>13720</v>
      </c>
      <c r="H55" s="30">
        <v>8930</v>
      </c>
      <c r="I55" s="59">
        <v>5920</v>
      </c>
      <c r="J55" s="72">
        <f t="shared" si="1"/>
        <v>35620</v>
      </c>
      <c r="K55" s="72">
        <f t="shared" si="0"/>
        <v>44100</v>
      </c>
    </row>
    <row r="56" spans="1:11">
      <c r="A56" s="1" t="s">
        <v>1</v>
      </c>
      <c r="B56" s="4" t="s">
        <v>64</v>
      </c>
      <c r="C56" s="16">
        <v>0</v>
      </c>
      <c r="D56" s="17">
        <v>0</v>
      </c>
      <c r="E56" s="17">
        <f t="shared" si="2"/>
        <v>0</v>
      </c>
      <c r="F56" s="15">
        <v>0</v>
      </c>
      <c r="G56" s="16">
        <v>0</v>
      </c>
      <c r="H56" s="16">
        <v>0</v>
      </c>
      <c r="I56" s="60">
        <v>0</v>
      </c>
      <c r="J56" s="73">
        <f t="shared" si="1"/>
        <v>0</v>
      </c>
      <c r="K56" s="73">
        <f t="shared" ref="K56:K63" si="3">E56+J56</f>
        <v>0</v>
      </c>
    </row>
    <row r="57" spans="1:11">
      <c r="A57" s="1" t="s">
        <v>1</v>
      </c>
      <c r="B57" s="4" t="s">
        <v>65</v>
      </c>
      <c r="C57" s="16">
        <v>19900</v>
      </c>
      <c r="D57" s="17">
        <v>0</v>
      </c>
      <c r="E57" s="17">
        <f t="shared" si="2"/>
        <v>19900</v>
      </c>
      <c r="F57" s="15">
        <v>12100</v>
      </c>
      <c r="G57" s="16">
        <v>17900</v>
      </c>
      <c r="H57" s="16">
        <v>18900</v>
      </c>
      <c r="I57" s="60">
        <v>6000</v>
      </c>
      <c r="J57" s="73">
        <f t="shared" si="1"/>
        <v>54900</v>
      </c>
      <c r="K57" s="73">
        <f t="shared" si="3"/>
        <v>74800</v>
      </c>
    </row>
    <row r="58" spans="1:11" ht="19.5" thickBot="1">
      <c r="A58" s="1" t="s">
        <v>1</v>
      </c>
      <c r="B58" s="4" t="s">
        <v>66</v>
      </c>
      <c r="C58" s="16">
        <v>0</v>
      </c>
      <c r="D58" s="17">
        <v>0</v>
      </c>
      <c r="E58" s="17">
        <f t="shared" si="2"/>
        <v>0</v>
      </c>
      <c r="F58" s="15">
        <v>0</v>
      </c>
      <c r="G58" s="16">
        <v>0</v>
      </c>
      <c r="H58" s="16">
        <v>0</v>
      </c>
      <c r="I58" s="60">
        <v>0</v>
      </c>
      <c r="J58" s="73">
        <f t="shared" si="1"/>
        <v>0</v>
      </c>
      <c r="K58" s="73">
        <f t="shared" si="3"/>
        <v>0</v>
      </c>
    </row>
    <row r="59" spans="1:11" ht="19.5" thickBot="1">
      <c r="A59" s="1" t="s">
        <v>1</v>
      </c>
      <c r="B59" s="39" t="s">
        <v>67</v>
      </c>
      <c r="C59" s="41">
        <v>92568</v>
      </c>
      <c r="D59" s="42">
        <v>414</v>
      </c>
      <c r="E59" s="42">
        <f t="shared" si="2"/>
        <v>92982</v>
      </c>
      <c r="F59" s="40">
        <v>72498</v>
      </c>
      <c r="G59" s="41">
        <v>100459</v>
      </c>
      <c r="H59" s="41">
        <v>84402</v>
      </c>
      <c r="I59" s="62">
        <v>68129</v>
      </c>
      <c r="J59" s="75">
        <f t="shared" si="1"/>
        <v>325488</v>
      </c>
      <c r="K59" s="75">
        <f t="shared" si="3"/>
        <v>418470</v>
      </c>
    </row>
    <row r="60" spans="1:11" ht="19.5" thickBot="1">
      <c r="A60" s="1" t="s">
        <v>1</v>
      </c>
      <c r="B60" s="39" t="s">
        <v>68</v>
      </c>
      <c r="C60" s="41">
        <v>340812</v>
      </c>
      <c r="D60" s="42">
        <v>82361</v>
      </c>
      <c r="E60" s="42">
        <f t="shared" si="2"/>
        <v>423173</v>
      </c>
      <c r="F60" s="40">
        <v>308032</v>
      </c>
      <c r="G60" s="41">
        <v>365368</v>
      </c>
      <c r="H60" s="41">
        <v>346277</v>
      </c>
      <c r="I60" s="62">
        <v>277621</v>
      </c>
      <c r="J60" s="75">
        <f t="shared" si="1"/>
        <v>1297298</v>
      </c>
      <c r="K60" s="75">
        <f t="shared" si="3"/>
        <v>1720471</v>
      </c>
    </row>
    <row r="61" spans="1:11" ht="19.5" thickBot="1">
      <c r="A61" s="1" t="s">
        <v>1</v>
      </c>
      <c r="B61" s="39" t="s">
        <v>69</v>
      </c>
      <c r="C61" s="41">
        <v>321968</v>
      </c>
      <c r="D61" s="42">
        <v>82361</v>
      </c>
      <c r="E61" s="42">
        <f t="shared" si="2"/>
        <v>404329</v>
      </c>
      <c r="F61" s="40">
        <v>295144</v>
      </c>
      <c r="G61" s="41">
        <v>335254</v>
      </c>
      <c r="H61" s="41">
        <v>321925</v>
      </c>
      <c r="I61" s="62">
        <v>265701</v>
      </c>
      <c r="J61" s="75">
        <f t="shared" si="1"/>
        <v>1218024</v>
      </c>
      <c r="K61" s="75">
        <f t="shared" si="3"/>
        <v>1622353</v>
      </c>
    </row>
    <row r="62" spans="1:11">
      <c r="A62" s="1" t="s">
        <v>1</v>
      </c>
      <c r="B62" s="21" t="s">
        <v>70</v>
      </c>
      <c r="C62" s="30">
        <v>0</v>
      </c>
      <c r="D62" s="31">
        <v>0</v>
      </c>
      <c r="E62" s="31">
        <f t="shared" si="2"/>
        <v>0</v>
      </c>
      <c r="F62" s="29">
        <v>0</v>
      </c>
      <c r="G62" s="30">
        <v>0</v>
      </c>
      <c r="H62" s="30">
        <v>0</v>
      </c>
      <c r="I62" s="59">
        <v>0</v>
      </c>
      <c r="J62" s="72">
        <f t="shared" si="1"/>
        <v>0</v>
      </c>
      <c r="K62" s="72">
        <f t="shared" si="3"/>
        <v>0</v>
      </c>
    </row>
    <row r="63" spans="1:11">
      <c r="A63" s="1" t="s">
        <v>1</v>
      </c>
      <c r="B63" s="4" t="s">
        <v>71</v>
      </c>
      <c r="C63" s="16">
        <v>321968</v>
      </c>
      <c r="D63" s="17">
        <v>82361</v>
      </c>
      <c r="E63" s="17">
        <f t="shared" si="2"/>
        <v>404329</v>
      </c>
      <c r="F63" s="15">
        <v>295144</v>
      </c>
      <c r="G63" s="16">
        <v>335254</v>
      </c>
      <c r="H63" s="16">
        <v>321925</v>
      </c>
      <c r="I63" s="60">
        <v>265701</v>
      </c>
      <c r="J63" s="73">
        <f t="shared" ref="J63" si="4">SUM(F63:I63)</f>
        <v>1218024</v>
      </c>
      <c r="K63" s="73">
        <f t="shared" si="3"/>
        <v>1622353</v>
      </c>
    </row>
    <row r="64" spans="1:11">
      <c r="A64" s="1" t="s">
        <v>1</v>
      </c>
      <c r="B64" s="4" t="s">
        <v>72</v>
      </c>
      <c r="C64" s="16">
        <v>1</v>
      </c>
      <c r="D64" s="17">
        <v>0</v>
      </c>
      <c r="E64" s="49">
        <f t="shared" si="2"/>
        <v>1</v>
      </c>
      <c r="F64" s="15">
        <v>1</v>
      </c>
      <c r="G64" s="16">
        <v>0</v>
      </c>
      <c r="H64" s="16">
        <v>1</v>
      </c>
      <c r="I64" s="60">
        <v>1</v>
      </c>
      <c r="J64" s="73"/>
      <c r="K64" s="73"/>
    </row>
    <row r="65" spans="1:11" ht="19.5" thickBot="1">
      <c r="A65" s="1" t="s">
        <v>1</v>
      </c>
      <c r="B65" s="5" t="s">
        <v>73</v>
      </c>
      <c r="C65" s="19" t="s">
        <v>74</v>
      </c>
      <c r="D65" s="20" t="s">
        <v>74</v>
      </c>
      <c r="E65" s="50"/>
      <c r="F65" s="18" t="s">
        <v>74</v>
      </c>
      <c r="G65" s="19" t="s">
        <v>74</v>
      </c>
      <c r="H65" s="19" t="s">
        <v>74</v>
      </c>
      <c r="I65" s="63" t="s">
        <v>74</v>
      </c>
      <c r="J65" s="76"/>
      <c r="K65" s="76"/>
    </row>
  </sheetData>
  <phoneticPr fontId="3"/>
  <pageMargins left="0.31496062992125984" right="0.31496062992125984" top="0.35433070866141736" bottom="0.35433070866141736" header="0.31496062992125984" footer="0.31496062992125984"/>
  <pageSetup paperSize="12" scale="5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2月度給与 (2)</vt:lpstr>
      <vt:lpstr>'2023年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2023-03-14T02:20:27Z</cp:lastPrinted>
  <dcterms:created xsi:type="dcterms:W3CDTF">2023-03-08T05:44:49Z</dcterms:created>
  <dcterms:modified xsi:type="dcterms:W3CDTF">2023-03-14T04:17:32Z</dcterms:modified>
</cp:coreProperties>
</file>