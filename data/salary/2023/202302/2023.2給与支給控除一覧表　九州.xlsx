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3\202302\"/>
    </mc:Choice>
  </mc:AlternateContent>
  <xr:revisionPtr revIDLastSave="0" documentId="13_ncr:1_{D82FB630-7B50-410D-A378-98EBBC58368C}" xr6:coauthVersionLast="47" xr6:coauthVersionMax="47" xr10:uidLastSave="{00000000-0000-0000-0000-000000000000}"/>
  <bookViews>
    <workbookView xWindow="-120" yWindow="-120" windowWidth="20730" windowHeight="11160" xr2:uid="{6940AB0C-3AC8-4C7A-BB62-EC7E9BF030CD}"/>
  </bookViews>
  <sheets>
    <sheet name="2023年 2月度給与 (2)" sheetId="3" r:id="rId1"/>
  </sheets>
  <definedNames>
    <definedName name="_xlnm.Print_Area" localSheetId="0">'2023年 2月度給与 (2)'!$A$1:$M$64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7" i="3" l="1"/>
  <c r="M7" i="3" s="1"/>
  <c r="L8" i="3"/>
  <c r="M8" i="3" s="1"/>
  <c r="L9" i="3"/>
  <c r="M9" i="3" s="1"/>
  <c r="L10" i="3"/>
  <c r="M10" i="3" s="1"/>
  <c r="L11" i="3"/>
  <c r="M11" i="3" s="1"/>
  <c r="L12" i="3"/>
  <c r="M12" i="3" s="1"/>
  <c r="L13" i="3"/>
  <c r="L14" i="3"/>
  <c r="M14" i="3" s="1"/>
  <c r="L15" i="3"/>
  <c r="M15" i="3" s="1"/>
  <c r="L16" i="3"/>
  <c r="M16" i="3" s="1"/>
  <c r="L17" i="3"/>
  <c r="M17" i="3" s="1"/>
  <c r="L18" i="3"/>
  <c r="M18" i="3" s="1"/>
  <c r="L19" i="3"/>
  <c r="M19" i="3" s="1"/>
  <c r="L20" i="3"/>
  <c r="M20" i="3" s="1"/>
  <c r="L21" i="3"/>
  <c r="M21" i="3" s="1"/>
  <c r="L22" i="3"/>
  <c r="M22" i="3" s="1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" i="3"/>
  <c r="M6" i="3" s="1"/>
  <c r="L5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24" i="3"/>
  <c r="E23" i="3"/>
  <c r="E13" i="3"/>
  <c r="M13" i="3" s="1"/>
  <c r="E5" i="3"/>
  <c r="M54" i="3" l="1"/>
  <c r="M44" i="3"/>
  <c r="M40" i="3"/>
  <c r="M30" i="3"/>
  <c r="M26" i="3"/>
  <c r="M51" i="3"/>
  <c r="M59" i="3"/>
  <c r="M47" i="3"/>
  <c r="M5" i="3"/>
  <c r="M62" i="3"/>
  <c r="M58" i="3"/>
  <c r="M57" i="3"/>
  <c r="M53" i="3"/>
  <c r="M50" i="3"/>
  <c r="M43" i="3"/>
  <c r="M39" i="3"/>
  <c r="M36" i="3"/>
  <c r="M33" i="3"/>
  <c r="M25" i="3"/>
  <c r="M32" i="3"/>
  <c r="M28" i="3"/>
  <c r="M23" i="3"/>
  <c r="M60" i="3"/>
  <c r="M55" i="3"/>
  <c r="M52" i="3"/>
  <c r="M48" i="3"/>
  <c r="M45" i="3"/>
  <c r="M41" i="3"/>
  <c r="M37" i="3"/>
  <c r="M34" i="3"/>
  <c r="M31" i="3"/>
  <c r="M27" i="3"/>
  <c r="M61" i="3"/>
  <c r="M56" i="3"/>
  <c r="M49" i="3"/>
  <c r="M46" i="3"/>
  <c r="M42" i="3"/>
  <c r="M38" i="3"/>
  <c r="M35" i="3"/>
  <c r="M29" i="3"/>
  <c r="M24" i="3"/>
</calcChain>
</file>

<file path=xl/sharedStrings.xml><?xml version="1.0" encoding="utf-8"?>
<sst xmlns="http://schemas.openxmlformats.org/spreadsheetml/2006/main" count="153" uniqueCount="83">
  <si>
    <t>支給控除一覧表</t>
    <phoneticPr fontId="4"/>
  </si>
  <si>
    <t/>
  </si>
  <si>
    <t>1056</t>
    <phoneticPr fontId="4"/>
  </si>
  <si>
    <t>1057</t>
    <phoneticPr fontId="4"/>
  </si>
  <si>
    <t>1061</t>
    <phoneticPr fontId="4"/>
  </si>
  <si>
    <t>1067</t>
    <phoneticPr fontId="4"/>
  </si>
  <si>
    <t>1071</t>
    <phoneticPr fontId="4"/>
  </si>
  <si>
    <t>1097</t>
    <phoneticPr fontId="4"/>
  </si>
  <si>
    <t>1108</t>
    <phoneticPr fontId="4"/>
  </si>
  <si>
    <t>1063</t>
    <phoneticPr fontId="4"/>
  </si>
  <si>
    <t>項目名</t>
    <phoneticPr fontId="4"/>
  </si>
  <si>
    <t>河村　智春</t>
    <phoneticPr fontId="4"/>
  </si>
  <si>
    <t>赤﨑　功幸</t>
    <phoneticPr fontId="4"/>
  </si>
  <si>
    <t>櫻木　諭治</t>
    <phoneticPr fontId="4"/>
  </si>
  <si>
    <t>米澤　敬</t>
    <phoneticPr fontId="4"/>
  </si>
  <si>
    <t>大賀　勇也</t>
    <phoneticPr fontId="4"/>
  </si>
  <si>
    <t>新田　竜二</t>
    <phoneticPr fontId="4"/>
  </si>
  <si>
    <t>島田　亮一</t>
    <phoneticPr fontId="4"/>
  </si>
  <si>
    <t>木下　知美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</si>
  <si>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</si>
  <si>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</si>
  <si>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</si>
  <si>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</si>
  <si>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</si>
  <si>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</si>
  <si>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</si>
  <si>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</si>
  <si>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</si>
  <si>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</si>
  <si>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</si>
  <si>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</si>
  <si>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</si>
  <si>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</si>
  <si>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</si>
  <si>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</si>
  <si>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有給休暇時間</t>
    <phoneticPr fontId="4"/>
  </si>
  <si>
    <t>特別休暇時間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</si>
  <si>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</si>
  <si>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</si>
  <si>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</si>
  <si>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</si>
  <si>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</si>
  <si>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</si>
  <si>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</si>
  <si>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基本給2</t>
    <phoneticPr fontId="4"/>
  </si>
  <si>
    <t>役員報酬</t>
    <phoneticPr fontId="4"/>
  </si>
  <si>
    <t>無事故報奨金</t>
    <phoneticPr fontId="4"/>
  </si>
  <si>
    <t>無事故加算</t>
    <phoneticPr fontId="4"/>
  </si>
  <si>
    <t>有給休暇</t>
    <phoneticPr fontId="4"/>
  </si>
  <si>
    <t>特別休暇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</si>
  <si>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</si>
  <si>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</si>
  <si>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</si>
  <si>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</si>
  <si>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</si>
  <si>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</si>
  <si>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</si>
  <si>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</si>
  <si>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</si>
  <si>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</si>
  <si>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</si>
  <si>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</si>
  <si>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</si>
  <si>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</si>
  <si>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</si>
  <si>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</si>
  <si>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</si>
  <si>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</si>
  <si>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</si>
  <si>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</si>
  <si>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</si>
  <si>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</si>
  <si>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</si>
  <si>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</si>
  <si>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</si>
  <si>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</si>
  <si>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</si>
  <si>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</si>
  <si>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2023年 2月度給与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</si>
  <si>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</si>
  <si>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</si>
  <si>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6名</t>
    <rPh sb="1" eb="2">
      <t>メイ</t>
    </rPh>
    <phoneticPr fontId="3"/>
  </si>
  <si>
    <t>８名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</si>
</sst>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74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49" fontId="2" fillId="0" borderId="2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2" fontId="2" fillId="0" borderId="7" xfId="1" applyNumberFormat="1" applyFont="1" applyBorder="1"/>
    <xf numFmtId="2" fontId="2" fillId="0" borderId="8" xfId="1" applyNumberFormat="1" applyFont="1" applyBorder="1"/>
    <xf numFmtId="2" fontId="2" fillId="0" borderId="9" xfId="1" applyNumberFormat="1" applyFont="1" applyBorder="1"/>
    <xf numFmtId="176" fontId="2" fillId="0" borderId="7" xfId="1" applyNumberFormat="1" applyFont="1" applyBorder="1"/>
    <xf numFmtId="176" fontId="2" fillId="0" borderId="8" xfId="1" applyNumberFormat="1" applyFont="1" applyBorder="1"/>
    <xf numFmtId="176" fontId="2" fillId="0" borderId="9" xfId="1" applyNumberFormat="1" applyFont="1" applyBorder="1"/>
    <xf numFmtId="3" fontId="2" fillId="0" borderId="7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2" fillId="0" borderId="12" xfId="1" applyNumberFormat="1" applyFont="1" applyBorder="1"/>
    <xf numFmtId="49" fontId="2" fillId="0" borderId="13" xfId="1" applyNumberFormat="1" applyFont="1" applyBorder="1" applyAlignment="1">
      <alignment horizontal="left"/>
    </xf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0" fontId="2" fillId="0" borderId="3" xfId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2" fontId="2" fillId="0" borderId="27" xfId="1" applyNumberFormat="1" applyFont="1" applyBorder="1"/>
    <xf numFmtId="2" fontId="2" fillId="0" borderId="28" xfId="1" applyNumberFormat="1" applyFont="1" applyBorder="1"/>
    <xf numFmtId="176" fontId="2" fillId="0" borderId="28" xfId="1" applyNumberFormat="1" applyFont="1" applyBorder="1"/>
    <xf numFmtId="2" fontId="2" fillId="0" borderId="26" xfId="1" applyNumberFormat="1" applyFont="1" applyBorder="1"/>
    <xf numFmtId="49" fontId="2" fillId="0" borderId="25" xfId="1" applyNumberFormat="1" applyFont="1" applyBorder="1" applyAlignment="1">
      <alignment horizontal="left"/>
    </xf>
    <xf numFmtId="49" fontId="2" fillId="0" borderId="26" xfId="1" applyNumberFormat="1" applyFont="1" applyBorder="1" applyAlignment="1">
      <alignment horizontal="right"/>
    </xf>
    <xf numFmtId="0" fontId="2" fillId="0" borderId="29" xfId="1" applyFont="1" applyBorder="1"/>
    <xf numFmtId="49" fontId="2" fillId="0" borderId="31" xfId="1" applyNumberFormat="1" applyFont="1" applyBorder="1" applyAlignment="1">
      <alignment horizontal="center"/>
    </xf>
    <xf numFmtId="49" fontId="2" fillId="0" borderId="32" xfId="1" applyNumberFormat="1" applyFont="1" applyBorder="1" applyAlignment="1">
      <alignment horizontal="center"/>
    </xf>
    <xf numFmtId="2" fontId="2" fillId="0" borderId="33" xfId="1" applyNumberFormat="1" applyFont="1" applyBorder="1"/>
    <xf numFmtId="2" fontId="2" fillId="0" borderId="34" xfId="1" applyNumberFormat="1" applyFont="1" applyBorder="1"/>
    <xf numFmtId="176" fontId="2" fillId="0" borderId="34" xfId="1" applyNumberFormat="1" applyFont="1" applyBorder="1"/>
    <xf numFmtId="2" fontId="2" fillId="0" borderId="32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49" fontId="2" fillId="0" borderId="32" xfId="1" applyNumberFormat="1" applyFont="1" applyBorder="1"/>
    <xf numFmtId="49" fontId="2" fillId="0" borderId="37" xfId="1" applyNumberFormat="1" applyFont="1" applyBorder="1" applyAlignment="1">
      <alignment horizontal="left"/>
    </xf>
    <xf numFmtId="0" fontId="2" fillId="0" borderId="37" xfId="1" applyFont="1" applyBorder="1"/>
    <xf numFmtId="49" fontId="2" fillId="0" borderId="38" xfId="1" applyNumberFormat="1" applyFont="1" applyBorder="1" applyAlignment="1">
      <alignment horizontal="right"/>
    </xf>
    <xf numFmtId="0" fontId="2" fillId="0" borderId="38" xfId="1" applyFont="1" applyBorder="1" applyAlignment="1">
      <alignment horizontal="right"/>
    </xf>
    <xf numFmtId="2" fontId="2" fillId="0" borderId="39" xfId="1" applyNumberFormat="1" applyFont="1" applyBorder="1"/>
    <xf numFmtId="2" fontId="2" fillId="0" borderId="40" xfId="1" applyNumberFormat="1" applyFont="1" applyBorder="1"/>
    <xf numFmtId="176" fontId="2" fillId="0" borderId="40" xfId="1" applyNumberFormat="1" applyFont="1" applyBorder="1"/>
    <xf numFmtId="2" fontId="2" fillId="0" borderId="38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41" xfId="1" applyNumberFormat="1" applyFont="1" applyBorder="1"/>
    <xf numFmtId="3" fontId="2" fillId="0" borderId="30" xfId="1" applyNumberFormat="1" applyFont="1" applyBorder="1"/>
    <xf numFmtId="49" fontId="2" fillId="0" borderId="38" xfId="1" applyNumberFormat="1" applyFont="1" applyBorder="1"/>
  </cellXfs>
  <cellStyles count="2">
    <cellStyle name="標準" xfId="0" builtinId="0"/>
    <cellStyle name="標準 2" xfId="1" xr:uid="{7CC8124F-0E77-486A-97D1-6A0CF7FB78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36724-155D-4E86-AE78-E02B735F8C02}">
  <sheetPr>
    <pageSetUpPr fitToPage="1"/>
  </sheetPr>
  <dimension ref="A1:M64"/>
  <sheetViews>
    <sheetView showZeros="0"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2" sqref="B2"/>
    </sheetView>
  </sheetViews>
  <sheetFormatPr defaultRowHeight="18.75"/>
  <cols>
    <col min="1" max="1" width="2.375" style="2" customWidth="1"/>
    <col min="2" max="2" width="13.25" style="2" bestFit="1" customWidth="1"/>
    <col min="3" max="13" width="11.25" style="2" customWidth="1"/>
    <col min="14" max="257" width="9" style="2"/>
    <col min="258" max="258" width="2.375" style="2" customWidth="1"/>
    <col min="259" max="259" width="13.25" style="2" bestFit="1" customWidth="1"/>
    <col min="260" max="262" width="11.125" style="2" bestFit="1" customWidth="1"/>
    <col min="263" max="263" width="9" style="2"/>
    <col min="264" max="267" width="11.125" style="2" bestFit="1" customWidth="1"/>
    <col min="268" max="268" width="9.625" style="2" bestFit="1" customWidth="1"/>
    <col min="269" max="513" width="9" style="2"/>
    <col min="514" max="514" width="2.375" style="2" customWidth="1"/>
    <col min="515" max="515" width="13.25" style="2" bestFit="1" customWidth="1"/>
    <col min="516" max="518" width="11.125" style="2" bestFit="1" customWidth="1"/>
    <col min="519" max="519" width="9" style="2"/>
    <col min="520" max="523" width="11.125" style="2" bestFit="1" customWidth="1"/>
    <col min="524" max="524" width="9.625" style="2" bestFit="1" customWidth="1"/>
    <col min="525" max="769" width="9" style="2"/>
    <col min="770" max="770" width="2.375" style="2" customWidth="1"/>
    <col min="771" max="771" width="13.25" style="2" bestFit="1" customWidth="1"/>
    <col min="772" max="774" width="11.125" style="2" bestFit="1" customWidth="1"/>
    <col min="775" max="775" width="9" style="2"/>
    <col min="776" max="779" width="11.125" style="2" bestFit="1" customWidth="1"/>
    <col min="780" max="780" width="9.625" style="2" bestFit="1" customWidth="1"/>
    <col min="781" max="1025" width="9" style="2"/>
    <col min="1026" max="1026" width="2.375" style="2" customWidth="1"/>
    <col min="1027" max="1027" width="13.25" style="2" bestFit="1" customWidth="1"/>
    <col min="1028" max="1030" width="11.125" style="2" bestFit="1" customWidth="1"/>
    <col min="1031" max="1031" width="9" style="2"/>
    <col min="1032" max="1035" width="11.125" style="2" bestFit="1" customWidth="1"/>
    <col min="1036" max="1036" width="9.625" style="2" bestFit="1" customWidth="1"/>
    <col min="1037" max="1281" width="9" style="2"/>
    <col min="1282" max="1282" width="2.375" style="2" customWidth="1"/>
    <col min="1283" max="1283" width="13.25" style="2" bestFit="1" customWidth="1"/>
    <col min="1284" max="1286" width="11.125" style="2" bestFit="1" customWidth="1"/>
    <col min="1287" max="1287" width="9" style="2"/>
    <col min="1288" max="1291" width="11.125" style="2" bestFit="1" customWidth="1"/>
    <col min="1292" max="1292" width="9.625" style="2" bestFit="1" customWidth="1"/>
    <col min="1293" max="1537" width="9" style="2"/>
    <col min="1538" max="1538" width="2.375" style="2" customWidth="1"/>
    <col min="1539" max="1539" width="13.25" style="2" bestFit="1" customWidth="1"/>
    <col min="1540" max="1542" width="11.125" style="2" bestFit="1" customWidth="1"/>
    <col min="1543" max="1543" width="9" style="2"/>
    <col min="1544" max="1547" width="11.125" style="2" bestFit="1" customWidth="1"/>
    <col min="1548" max="1548" width="9.625" style="2" bestFit="1" customWidth="1"/>
    <col min="1549" max="1793" width="9" style="2"/>
    <col min="1794" max="1794" width="2.375" style="2" customWidth="1"/>
    <col min="1795" max="1795" width="13.25" style="2" bestFit="1" customWidth="1"/>
    <col min="1796" max="1798" width="11.125" style="2" bestFit="1" customWidth="1"/>
    <col min="1799" max="1799" width="9" style="2"/>
    <col min="1800" max="1803" width="11.125" style="2" bestFit="1" customWidth="1"/>
    <col min="1804" max="1804" width="9.625" style="2" bestFit="1" customWidth="1"/>
    <col min="1805" max="2049" width="9" style="2"/>
    <col min="2050" max="2050" width="2.375" style="2" customWidth="1"/>
    <col min="2051" max="2051" width="13.25" style="2" bestFit="1" customWidth="1"/>
    <col min="2052" max="2054" width="11.125" style="2" bestFit="1" customWidth="1"/>
    <col min="2055" max="2055" width="9" style="2"/>
    <col min="2056" max="2059" width="11.125" style="2" bestFit="1" customWidth="1"/>
    <col min="2060" max="2060" width="9.625" style="2" bestFit="1" customWidth="1"/>
    <col min="2061" max="2305" width="9" style="2"/>
    <col min="2306" max="2306" width="2.375" style="2" customWidth="1"/>
    <col min="2307" max="2307" width="13.25" style="2" bestFit="1" customWidth="1"/>
    <col min="2308" max="2310" width="11.125" style="2" bestFit="1" customWidth="1"/>
    <col min="2311" max="2311" width="9" style="2"/>
    <col min="2312" max="2315" width="11.125" style="2" bestFit="1" customWidth="1"/>
    <col min="2316" max="2316" width="9.625" style="2" bestFit="1" customWidth="1"/>
    <col min="2317" max="2561" width="9" style="2"/>
    <col min="2562" max="2562" width="2.375" style="2" customWidth="1"/>
    <col min="2563" max="2563" width="13.25" style="2" bestFit="1" customWidth="1"/>
    <col min="2564" max="2566" width="11.125" style="2" bestFit="1" customWidth="1"/>
    <col min="2567" max="2567" width="9" style="2"/>
    <col min="2568" max="2571" width="11.125" style="2" bestFit="1" customWidth="1"/>
    <col min="2572" max="2572" width="9.625" style="2" bestFit="1" customWidth="1"/>
    <col min="2573" max="2817" width="9" style="2"/>
    <col min="2818" max="2818" width="2.375" style="2" customWidth="1"/>
    <col min="2819" max="2819" width="13.25" style="2" bestFit="1" customWidth="1"/>
    <col min="2820" max="2822" width="11.125" style="2" bestFit="1" customWidth="1"/>
    <col min="2823" max="2823" width="9" style="2"/>
    <col min="2824" max="2827" width="11.125" style="2" bestFit="1" customWidth="1"/>
    <col min="2828" max="2828" width="9.625" style="2" bestFit="1" customWidth="1"/>
    <col min="2829" max="3073" width="9" style="2"/>
    <col min="3074" max="3074" width="2.375" style="2" customWidth="1"/>
    <col min="3075" max="3075" width="13.25" style="2" bestFit="1" customWidth="1"/>
    <col min="3076" max="3078" width="11.125" style="2" bestFit="1" customWidth="1"/>
    <col min="3079" max="3079" width="9" style="2"/>
    <col min="3080" max="3083" width="11.125" style="2" bestFit="1" customWidth="1"/>
    <col min="3084" max="3084" width="9.625" style="2" bestFit="1" customWidth="1"/>
    <col min="3085" max="3329" width="9" style="2"/>
    <col min="3330" max="3330" width="2.375" style="2" customWidth="1"/>
    <col min="3331" max="3331" width="13.25" style="2" bestFit="1" customWidth="1"/>
    <col min="3332" max="3334" width="11.125" style="2" bestFit="1" customWidth="1"/>
    <col min="3335" max="3335" width="9" style="2"/>
    <col min="3336" max="3339" width="11.125" style="2" bestFit="1" customWidth="1"/>
    <col min="3340" max="3340" width="9.625" style="2" bestFit="1" customWidth="1"/>
    <col min="3341" max="3585" width="9" style="2"/>
    <col min="3586" max="3586" width="2.375" style="2" customWidth="1"/>
    <col min="3587" max="3587" width="13.25" style="2" bestFit="1" customWidth="1"/>
    <col min="3588" max="3590" width="11.125" style="2" bestFit="1" customWidth="1"/>
    <col min="3591" max="3591" width="9" style="2"/>
    <col min="3592" max="3595" width="11.125" style="2" bestFit="1" customWidth="1"/>
    <col min="3596" max="3596" width="9.625" style="2" bestFit="1" customWidth="1"/>
    <col min="3597" max="3841" width="9" style="2"/>
    <col min="3842" max="3842" width="2.375" style="2" customWidth="1"/>
    <col min="3843" max="3843" width="13.25" style="2" bestFit="1" customWidth="1"/>
    <col min="3844" max="3846" width="11.125" style="2" bestFit="1" customWidth="1"/>
    <col min="3847" max="3847" width="9" style="2"/>
    <col min="3848" max="3851" width="11.125" style="2" bestFit="1" customWidth="1"/>
    <col min="3852" max="3852" width="9.625" style="2" bestFit="1" customWidth="1"/>
    <col min="3853" max="4097" width="9" style="2"/>
    <col min="4098" max="4098" width="2.375" style="2" customWidth="1"/>
    <col min="4099" max="4099" width="13.25" style="2" bestFit="1" customWidth="1"/>
    <col min="4100" max="4102" width="11.125" style="2" bestFit="1" customWidth="1"/>
    <col min="4103" max="4103" width="9" style="2"/>
    <col min="4104" max="4107" width="11.125" style="2" bestFit="1" customWidth="1"/>
    <col min="4108" max="4108" width="9.625" style="2" bestFit="1" customWidth="1"/>
    <col min="4109" max="4353" width="9" style="2"/>
    <col min="4354" max="4354" width="2.375" style="2" customWidth="1"/>
    <col min="4355" max="4355" width="13.25" style="2" bestFit="1" customWidth="1"/>
    <col min="4356" max="4358" width="11.125" style="2" bestFit="1" customWidth="1"/>
    <col min="4359" max="4359" width="9" style="2"/>
    <col min="4360" max="4363" width="11.125" style="2" bestFit="1" customWidth="1"/>
    <col min="4364" max="4364" width="9.625" style="2" bestFit="1" customWidth="1"/>
    <col min="4365" max="4609" width="9" style="2"/>
    <col min="4610" max="4610" width="2.375" style="2" customWidth="1"/>
    <col min="4611" max="4611" width="13.25" style="2" bestFit="1" customWidth="1"/>
    <col min="4612" max="4614" width="11.125" style="2" bestFit="1" customWidth="1"/>
    <col min="4615" max="4615" width="9" style="2"/>
    <col min="4616" max="4619" width="11.125" style="2" bestFit="1" customWidth="1"/>
    <col min="4620" max="4620" width="9.625" style="2" bestFit="1" customWidth="1"/>
    <col min="4621" max="4865" width="9" style="2"/>
    <col min="4866" max="4866" width="2.375" style="2" customWidth="1"/>
    <col min="4867" max="4867" width="13.25" style="2" bestFit="1" customWidth="1"/>
    <col min="4868" max="4870" width="11.125" style="2" bestFit="1" customWidth="1"/>
    <col min="4871" max="4871" width="9" style="2"/>
    <col min="4872" max="4875" width="11.125" style="2" bestFit="1" customWidth="1"/>
    <col min="4876" max="4876" width="9.625" style="2" bestFit="1" customWidth="1"/>
    <col min="4877" max="5121" width="9" style="2"/>
    <col min="5122" max="5122" width="2.375" style="2" customWidth="1"/>
    <col min="5123" max="5123" width="13.25" style="2" bestFit="1" customWidth="1"/>
    <col min="5124" max="5126" width="11.125" style="2" bestFit="1" customWidth="1"/>
    <col min="5127" max="5127" width="9" style="2"/>
    <col min="5128" max="5131" width="11.125" style="2" bestFit="1" customWidth="1"/>
    <col min="5132" max="5132" width="9.625" style="2" bestFit="1" customWidth="1"/>
    <col min="5133" max="5377" width="9" style="2"/>
    <col min="5378" max="5378" width="2.375" style="2" customWidth="1"/>
    <col min="5379" max="5379" width="13.25" style="2" bestFit="1" customWidth="1"/>
    <col min="5380" max="5382" width="11.125" style="2" bestFit="1" customWidth="1"/>
    <col min="5383" max="5383" width="9" style="2"/>
    <col min="5384" max="5387" width="11.125" style="2" bestFit="1" customWidth="1"/>
    <col min="5388" max="5388" width="9.625" style="2" bestFit="1" customWidth="1"/>
    <col min="5389" max="5633" width="9" style="2"/>
    <col min="5634" max="5634" width="2.375" style="2" customWidth="1"/>
    <col min="5635" max="5635" width="13.25" style="2" bestFit="1" customWidth="1"/>
    <col min="5636" max="5638" width="11.125" style="2" bestFit="1" customWidth="1"/>
    <col min="5639" max="5639" width="9" style="2"/>
    <col min="5640" max="5643" width="11.125" style="2" bestFit="1" customWidth="1"/>
    <col min="5644" max="5644" width="9.625" style="2" bestFit="1" customWidth="1"/>
    <col min="5645" max="5889" width="9" style="2"/>
    <col min="5890" max="5890" width="2.375" style="2" customWidth="1"/>
    <col min="5891" max="5891" width="13.25" style="2" bestFit="1" customWidth="1"/>
    <col min="5892" max="5894" width="11.125" style="2" bestFit="1" customWidth="1"/>
    <col min="5895" max="5895" width="9" style="2"/>
    <col min="5896" max="5899" width="11.125" style="2" bestFit="1" customWidth="1"/>
    <col min="5900" max="5900" width="9.625" style="2" bestFit="1" customWidth="1"/>
    <col min="5901" max="6145" width="9" style="2"/>
    <col min="6146" max="6146" width="2.375" style="2" customWidth="1"/>
    <col min="6147" max="6147" width="13.25" style="2" bestFit="1" customWidth="1"/>
    <col min="6148" max="6150" width="11.125" style="2" bestFit="1" customWidth="1"/>
    <col min="6151" max="6151" width="9" style="2"/>
    <col min="6152" max="6155" width="11.125" style="2" bestFit="1" customWidth="1"/>
    <col min="6156" max="6156" width="9.625" style="2" bestFit="1" customWidth="1"/>
    <col min="6157" max="6401" width="9" style="2"/>
    <col min="6402" max="6402" width="2.375" style="2" customWidth="1"/>
    <col min="6403" max="6403" width="13.25" style="2" bestFit="1" customWidth="1"/>
    <col min="6404" max="6406" width="11.125" style="2" bestFit="1" customWidth="1"/>
    <col min="6407" max="6407" width="9" style="2"/>
    <col min="6408" max="6411" width="11.125" style="2" bestFit="1" customWidth="1"/>
    <col min="6412" max="6412" width="9.625" style="2" bestFit="1" customWidth="1"/>
    <col min="6413" max="6657" width="9" style="2"/>
    <col min="6658" max="6658" width="2.375" style="2" customWidth="1"/>
    <col min="6659" max="6659" width="13.25" style="2" bestFit="1" customWidth="1"/>
    <col min="6660" max="6662" width="11.125" style="2" bestFit="1" customWidth="1"/>
    <col min="6663" max="6663" width="9" style="2"/>
    <col min="6664" max="6667" width="11.125" style="2" bestFit="1" customWidth="1"/>
    <col min="6668" max="6668" width="9.625" style="2" bestFit="1" customWidth="1"/>
    <col min="6669" max="6913" width="9" style="2"/>
    <col min="6914" max="6914" width="2.375" style="2" customWidth="1"/>
    <col min="6915" max="6915" width="13.25" style="2" bestFit="1" customWidth="1"/>
    <col min="6916" max="6918" width="11.125" style="2" bestFit="1" customWidth="1"/>
    <col min="6919" max="6919" width="9" style="2"/>
    <col min="6920" max="6923" width="11.125" style="2" bestFit="1" customWidth="1"/>
    <col min="6924" max="6924" width="9.625" style="2" bestFit="1" customWidth="1"/>
    <col min="6925" max="7169" width="9" style="2"/>
    <col min="7170" max="7170" width="2.375" style="2" customWidth="1"/>
    <col min="7171" max="7171" width="13.25" style="2" bestFit="1" customWidth="1"/>
    <col min="7172" max="7174" width="11.125" style="2" bestFit="1" customWidth="1"/>
    <col min="7175" max="7175" width="9" style="2"/>
    <col min="7176" max="7179" width="11.125" style="2" bestFit="1" customWidth="1"/>
    <col min="7180" max="7180" width="9.625" style="2" bestFit="1" customWidth="1"/>
    <col min="7181" max="7425" width="9" style="2"/>
    <col min="7426" max="7426" width="2.375" style="2" customWidth="1"/>
    <col min="7427" max="7427" width="13.25" style="2" bestFit="1" customWidth="1"/>
    <col min="7428" max="7430" width="11.125" style="2" bestFit="1" customWidth="1"/>
    <col min="7431" max="7431" width="9" style="2"/>
    <col min="7432" max="7435" width="11.125" style="2" bestFit="1" customWidth="1"/>
    <col min="7436" max="7436" width="9.625" style="2" bestFit="1" customWidth="1"/>
    <col min="7437" max="7681" width="9" style="2"/>
    <col min="7682" max="7682" width="2.375" style="2" customWidth="1"/>
    <col min="7683" max="7683" width="13.25" style="2" bestFit="1" customWidth="1"/>
    <col min="7684" max="7686" width="11.125" style="2" bestFit="1" customWidth="1"/>
    <col min="7687" max="7687" width="9" style="2"/>
    <col min="7688" max="7691" width="11.125" style="2" bestFit="1" customWidth="1"/>
    <col min="7692" max="7692" width="9.625" style="2" bestFit="1" customWidth="1"/>
    <col min="7693" max="7937" width="9" style="2"/>
    <col min="7938" max="7938" width="2.375" style="2" customWidth="1"/>
    <col min="7939" max="7939" width="13.25" style="2" bestFit="1" customWidth="1"/>
    <col min="7940" max="7942" width="11.125" style="2" bestFit="1" customWidth="1"/>
    <col min="7943" max="7943" width="9" style="2"/>
    <col min="7944" max="7947" width="11.125" style="2" bestFit="1" customWidth="1"/>
    <col min="7948" max="7948" width="9.625" style="2" bestFit="1" customWidth="1"/>
    <col min="7949" max="8193" width="9" style="2"/>
    <col min="8194" max="8194" width="2.375" style="2" customWidth="1"/>
    <col min="8195" max="8195" width="13.25" style="2" bestFit="1" customWidth="1"/>
    <col min="8196" max="8198" width="11.125" style="2" bestFit="1" customWidth="1"/>
    <col min="8199" max="8199" width="9" style="2"/>
    <col min="8200" max="8203" width="11.125" style="2" bestFit="1" customWidth="1"/>
    <col min="8204" max="8204" width="9.625" style="2" bestFit="1" customWidth="1"/>
    <col min="8205" max="8449" width="9" style="2"/>
    <col min="8450" max="8450" width="2.375" style="2" customWidth="1"/>
    <col min="8451" max="8451" width="13.25" style="2" bestFit="1" customWidth="1"/>
    <col min="8452" max="8454" width="11.125" style="2" bestFit="1" customWidth="1"/>
    <col min="8455" max="8455" width="9" style="2"/>
    <col min="8456" max="8459" width="11.125" style="2" bestFit="1" customWidth="1"/>
    <col min="8460" max="8460" width="9.625" style="2" bestFit="1" customWidth="1"/>
    <col min="8461" max="8705" width="9" style="2"/>
    <col min="8706" max="8706" width="2.375" style="2" customWidth="1"/>
    <col min="8707" max="8707" width="13.25" style="2" bestFit="1" customWidth="1"/>
    <col min="8708" max="8710" width="11.125" style="2" bestFit="1" customWidth="1"/>
    <col min="8711" max="8711" width="9" style="2"/>
    <col min="8712" max="8715" width="11.125" style="2" bestFit="1" customWidth="1"/>
    <col min="8716" max="8716" width="9.625" style="2" bestFit="1" customWidth="1"/>
    <col min="8717" max="8961" width="9" style="2"/>
    <col min="8962" max="8962" width="2.375" style="2" customWidth="1"/>
    <col min="8963" max="8963" width="13.25" style="2" bestFit="1" customWidth="1"/>
    <col min="8964" max="8966" width="11.125" style="2" bestFit="1" customWidth="1"/>
    <col min="8967" max="8967" width="9" style="2"/>
    <col min="8968" max="8971" width="11.125" style="2" bestFit="1" customWidth="1"/>
    <col min="8972" max="8972" width="9.625" style="2" bestFit="1" customWidth="1"/>
    <col min="8973" max="9217" width="9" style="2"/>
    <col min="9218" max="9218" width="2.375" style="2" customWidth="1"/>
    <col min="9219" max="9219" width="13.25" style="2" bestFit="1" customWidth="1"/>
    <col min="9220" max="9222" width="11.125" style="2" bestFit="1" customWidth="1"/>
    <col min="9223" max="9223" width="9" style="2"/>
    <col min="9224" max="9227" width="11.125" style="2" bestFit="1" customWidth="1"/>
    <col min="9228" max="9228" width="9.625" style="2" bestFit="1" customWidth="1"/>
    <col min="9229" max="9473" width="9" style="2"/>
    <col min="9474" max="9474" width="2.375" style="2" customWidth="1"/>
    <col min="9475" max="9475" width="13.25" style="2" bestFit="1" customWidth="1"/>
    <col min="9476" max="9478" width="11.125" style="2" bestFit="1" customWidth="1"/>
    <col min="9479" max="9479" width="9" style="2"/>
    <col min="9480" max="9483" width="11.125" style="2" bestFit="1" customWidth="1"/>
    <col min="9484" max="9484" width="9.625" style="2" bestFit="1" customWidth="1"/>
    <col min="9485" max="9729" width="9" style="2"/>
    <col min="9730" max="9730" width="2.375" style="2" customWidth="1"/>
    <col min="9731" max="9731" width="13.25" style="2" bestFit="1" customWidth="1"/>
    <col min="9732" max="9734" width="11.125" style="2" bestFit="1" customWidth="1"/>
    <col min="9735" max="9735" width="9" style="2"/>
    <col min="9736" max="9739" width="11.125" style="2" bestFit="1" customWidth="1"/>
    <col min="9740" max="9740" width="9.625" style="2" bestFit="1" customWidth="1"/>
    <col min="9741" max="9985" width="9" style="2"/>
    <col min="9986" max="9986" width="2.375" style="2" customWidth="1"/>
    <col min="9987" max="9987" width="13.25" style="2" bestFit="1" customWidth="1"/>
    <col min="9988" max="9990" width="11.125" style="2" bestFit="1" customWidth="1"/>
    <col min="9991" max="9991" width="9" style="2"/>
    <col min="9992" max="9995" width="11.125" style="2" bestFit="1" customWidth="1"/>
    <col min="9996" max="9996" width="9.625" style="2" bestFit="1" customWidth="1"/>
    <col min="9997" max="10241" width="9" style="2"/>
    <col min="10242" max="10242" width="2.375" style="2" customWidth="1"/>
    <col min="10243" max="10243" width="13.25" style="2" bestFit="1" customWidth="1"/>
    <col min="10244" max="10246" width="11.125" style="2" bestFit="1" customWidth="1"/>
    <col min="10247" max="10247" width="9" style="2"/>
    <col min="10248" max="10251" width="11.125" style="2" bestFit="1" customWidth="1"/>
    <col min="10252" max="10252" width="9.625" style="2" bestFit="1" customWidth="1"/>
    <col min="10253" max="10497" width="9" style="2"/>
    <col min="10498" max="10498" width="2.375" style="2" customWidth="1"/>
    <col min="10499" max="10499" width="13.25" style="2" bestFit="1" customWidth="1"/>
    <col min="10500" max="10502" width="11.125" style="2" bestFit="1" customWidth="1"/>
    <col min="10503" max="10503" width="9" style="2"/>
    <col min="10504" max="10507" width="11.125" style="2" bestFit="1" customWidth="1"/>
    <col min="10508" max="10508" width="9.625" style="2" bestFit="1" customWidth="1"/>
    <col min="10509" max="10753" width="9" style="2"/>
    <col min="10754" max="10754" width="2.375" style="2" customWidth="1"/>
    <col min="10755" max="10755" width="13.25" style="2" bestFit="1" customWidth="1"/>
    <col min="10756" max="10758" width="11.125" style="2" bestFit="1" customWidth="1"/>
    <col min="10759" max="10759" width="9" style="2"/>
    <col min="10760" max="10763" width="11.125" style="2" bestFit="1" customWidth="1"/>
    <col min="10764" max="10764" width="9.625" style="2" bestFit="1" customWidth="1"/>
    <col min="10765" max="11009" width="9" style="2"/>
    <col min="11010" max="11010" width="2.375" style="2" customWidth="1"/>
    <col min="11011" max="11011" width="13.25" style="2" bestFit="1" customWidth="1"/>
    <col min="11012" max="11014" width="11.125" style="2" bestFit="1" customWidth="1"/>
    <col min="11015" max="11015" width="9" style="2"/>
    <col min="11016" max="11019" width="11.125" style="2" bestFit="1" customWidth="1"/>
    <col min="11020" max="11020" width="9.625" style="2" bestFit="1" customWidth="1"/>
    <col min="11021" max="11265" width="9" style="2"/>
    <col min="11266" max="11266" width="2.375" style="2" customWidth="1"/>
    <col min="11267" max="11267" width="13.25" style="2" bestFit="1" customWidth="1"/>
    <col min="11268" max="11270" width="11.125" style="2" bestFit="1" customWidth="1"/>
    <col min="11271" max="11271" width="9" style="2"/>
    <col min="11272" max="11275" width="11.125" style="2" bestFit="1" customWidth="1"/>
    <col min="11276" max="11276" width="9.625" style="2" bestFit="1" customWidth="1"/>
    <col min="11277" max="11521" width="9" style="2"/>
    <col min="11522" max="11522" width="2.375" style="2" customWidth="1"/>
    <col min="11523" max="11523" width="13.25" style="2" bestFit="1" customWidth="1"/>
    <col min="11524" max="11526" width="11.125" style="2" bestFit="1" customWidth="1"/>
    <col min="11527" max="11527" width="9" style="2"/>
    <col min="11528" max="11531" width="11.125" style="2" bestFit="1" customWidth="1"/>
    <col min="11532" max="11532" width="9.625" style="2" bestFit="1" customWidth="1"/>
    <col min="11533" max="11777" width="9" style="2"/>
    <col min="11778" max="11778" width="2.375" style="2" customWidth="1"/>
    <col min="11779" max="11779" width="13.25" style="2" bestFit="1" customWidth="1"/>
    <col min="11780" max="11782" width="11.125" style="2" bestFit="1" customWidth="1"/>
    <col min="11783" max="11783" width="9" style="2"/>
    <col min="11784" max="11787" width="11.125" style="2" bestFit="1" customWidth="1"/>
    <col min="11788" max="11788" width="9.625" style="2" bestFit="1" customWidth="1"/>
    <col min="11789" max="12033" width="9" style="2"/>
    <col min="12034" max="12034" width="2.375" style="2" customWidth="1"/>
    <col min="12035" max="12035" width="13.25" style="2" bestFit="1" customWidth="1"/>
    <col min="12036" max="12038" width="11.125" style="2" bestFit="1" customWidth="1"/>
    <col min="12039" max="12039" width="9" style="2"/>
    <col min="12040" max="12043" width="11.125" style="2" bestFit="1" customWidth="1"/>
    <col min="12044" max="12044" width="9.625" style="2" bestFit="1" customWidth="1"/>
    <col min="12045" max="12289" width="9" style="2"/>
    <col min="12290" max="12290" width="2.375" style="2" customWidth="1"/>
    <col min="12291" max="12291" width="13.25" style="2" bestFit="1" customWidth="1"/>
    <col min="12292" max="12294" width="11.125" style="2" bestFit="1" customWidth="1"/>
    <col min="12295" max="12295" width="9" style="2"/>
    <col min="12296" max="12299" width="11.125" style="2" bestFit="1" customWidth="1"/>
    <col min="12300" max="12300" width="9.625" style="2" bestFit="1" customWidth="1"/>
    <col min="12301" max="12545" width="9" style="2"/>
    <col min="12546" max="12546" width="2.375" style="2" customWidth="1"/>
    <col min="12547" max="12547" width="13.25" style="2" bestFit="1" customWidth="1"/>
    <col min="12548" max="12550" width="11.125" style="2" bestFit="1" customWidth="1"/>
    <col min="12551" max="12551" width="9" style="2"/>
    <col min="12552" max="12555" width="11.125" style="2" bestFit="1" customWidth="1"/>
    <col min="12556" max="12556" width="9.625" style="2" bestFit="1" customWidth="1"/>
    <col min="12557" max="12801" width="9" style="2"/>
    <col min="12802" max="12802" width="2.375" style="2" customWidth="1"/>
    <col min="12803" max="12803" width="13.25" style="2" bestFit="1" customWidth="1"/>
    <col min="12804" max="12806" width="11.125" style="2" bestFit="1" customWidth="1"/>
    <col min="12807" max="12807" width="9" style="2"/>
    <col min="12808" max="12811" width="11.125" style="2" bestFit="1" customWidth="1"/>
    <col min="12812" max="12812" width="9.625" style="2" bestFit="1" customWidth="1"/>
    <col min="12813" max="13057" width="9" style="2"/>
    <col min="13058" max="13058" width="2.375" style="2" customWidth="1"/>
    <col min="13059" max="13059" width="13.25" style="2" bestFit="1" customWidth="1"/>
    <col min="13060" max="13062" width="11.125" style="2" bestFit="1" customWidth="1"/>
    <col min="13063" max="13063" width="9" style="2"/>
    <col min="13064" max="13067" width="11.125" style="2" bestFit="1" customWidth="1"/>
    <col min="13068" max="13068" width="9.625" style="2" bestFit="1" customWidth="1"/>
    <col min="13069" max="13313" width="9" style="2"/>
    <col min="13314" max="13314" width="2.375" style="2" customWidth="1"/>
    <col min="13315" max="13315" width="13.25" style="2" bestFit="1" customWidth="1"/>
    <col min="13316" max="13318" width="11.125" style="2" bestFit="1" customWidth="1"/>
    <col min="13319" max="13319" width="9" style="2"/>
    <col min="13320" max="13323" width="11.125" style="2" bestFit="1" customWidth="1"/>
    <col min="13324" max="13324" width="9.625" style="2" bestFit="1" customWidth="1"/>
    <col min="13325" max="13569" width="9" style="2"/>
    <col min="13570" max="13570" width="2.375" style="2" customWidth="1"/>
    <col min="13571" max="13571" width="13.25" style="2" bestFit="1" customWidth="1"/>
    <col min="13572" max="13574" width="11.125" style="2" bestFit="1" customWidth="1"/>
    <col min="13575" max="13575" width="9" style="2"/>
    <col min="13576" max="13579" width="11.125" style="2" bestFit="1" customWidth="1"/>
    <col min="13580" max="13580" width="9.625" style="2" bestFit="1" customWidth="1"/>
    <col min="13581" max="13825" width="9" style="2"/>
    <col min="13826" max="13826" width="2.375" style="2" customWidth="1"/>
    <col min="13827" max="13827" width="13.25" style="2" bestFit="1" customWidth="1"/>
    <col min="13828" max="13830" width="11.125" style="2" bestFit="1" customWidth="1"/>
    <col min="13831" max="13831" width="9" style="2"/>
    <col min="13832" max="13835" width="11.125" style="2" bestFit="1" customWidth="1"/>
    <col min="13836" max="13836" width="9.625" style="2" bestFit="1" customWidth="1"/>
    <col min="13837" max="14081" width="9" style="2"/>
    <col min="14082" max="14082" width="2.375" style="2" customWidth="1"/>
    <col min="14083" max="14083" width="13.25" style="2" bestFit="1" customWidth="1"/>
    <col min="14084" max="14086" width="11.125" style="2" bestFit="1" customWidth="1"/>
    <col min="14087" max="14087" width="9" style="2"/>
    <col min="14088" max="14091" width="11.125" style="2" bestFit="1" customWidth="1"/>
    <col min="14092" max="14092" width="9.625" style="2" bestFit="1" customWidth="1"/>
    <col min="14093" max="14337" width="9" style="2"/>
    <col min="14338" max="14338" width="2.375" style="2" customWidth="1"/>
    <col min="14339" max="14339" width="13.25" style="2" bestFit="1" customWidth="1"/>
    <col min="14340" max="14342" width="11.125" style="2" bestFit="1" customWidth="1"/>
    <col min="14343" max="14343" width="9" style="2"/>
    <col min="14344" max="14347" width="11.125" style="2" bestFit="1" customWidth="1"/>
    <col min="14348" max="14348" width="9.625" style="2" bestFit="1" customWidth="1"/>
    <col min="14349" max="14593" width="9" style="2"/>
    <col min="14594" max="14594" width="2.375" style="2" customWidth="1"/>
    <col min="14595" max="14595" width="13.25" style="2" bestFit="1" customWidth="1"/>
    <col min="14596" max="14598" width="11.125" style="2" bestFit="1" customWidth="1"/>
    <col min="14599" max="14599" width="9" style="2"/>
    <col min="14600" max="14603" width="11.125" style="2" bestFit="1" customWidth="1"/>
    <col min="14604" max="14604" width="9.625" style="2" bestFit="1" customWidth="1"/>
    <col min="14605" max="14849" width="9" style="2"/>
    <col min="14850" max="14850" width="2.375" style="2" customWidth="1"/>
    <col min="14851" max="14851" width="13.25" style="2" bestFit="1" customWidth="1"/>
    <col min="14852" max="14854" width="11.125" style="2" bestFit="1" customWidth="1"/>
    <col min="14855" max="14855" width="9" style="2"/>
    <col min="14856" max="14859" width="11.125" style="2" bestFit="1" customWidth="1"/>
    <col min="14860" max="14860" width="9.625" style="2" bestFit="1" customWidth="1"/>
    <col min="14861" max="15105" width="9" style="2"/>
    <col min="15106" max="15106" width="2.375" style="2" customWidth="1"/>
    <col min="15107" max="15107" width="13.25" style="2" bestFit="1" customWidth="1"/>
    <col min="15108" max="15110" width="11.125" style="2" bestFit="1" customWidth="1"/>
    <col min="15111" max="15111" width="9" style="2"/>
    <col min="15112" max="15115" width="11.125" style="2" bestFit="1" customWidth="1"/>
    <col min="15116" max="15116" width="9.625" style="2" bestFit="1" customWidth="1"/>
    <col min="15117" max="15361" width="9" style="2"/>
    <col min="15362" max="15362" width="2.375" style="2" customWidth="1"/>
    <col min="15363" max="15363" width="13.25" style="2" bestFit="1" customWidth="1"/>
    <col min="15364" max="15366" width="11.125" style="2" bestFit="1" customWidth="1"/>
    <col min="15367" max="15367" width="9" style="2"/>
    <col min="15368" max="15371" width="11.125" style="2" bestFit="1" customWidth="1"/>
    <col min="15372" max="15372" width="9.625" style="2" bestFit="1" customWidth="1"/>
    <col min="15373" max="15617" width="9" style="2"/>
    <col min="15618" max="15618" width="2.375" style="2" customWidth="1"/>
    <col min="15619" max="15619" width="13.25" style="2" bestFit="1" customWidth="1"/>
    <col min="15620" max="15622" width="11.125" style="2" bestFit="1" customWidth="1"/>
    <col min="15623" max="15623" width="9" style="2"/>
    <col min="15624" max="15627" width="11.125" style="2" bestFit="1" customWidth="1"/>
    <col min="15628" max="15628" width="9.625" style="2" bestFit="1" customWidth="1"/>
    <col min="15629" max="15873" width="9" style="2"/>
    <col min="15874" max="15874" width="2.375" style="2" customWidth="1"/>
    <col min="15875" max="15875" width="13.25" style="2" bestFit="1" customWidth="1"/>
    <col min="15876" max="15878" width="11.125" style="2" bestFit="1" customWidth="1"/>
    <col min="15879" max="15879" width="9" style="2"/>
    <col min="15880" max="15883" width="11.125" style="2" bestFit="1" customWidth="1"/>
    <col min="15884" max="15884" width="9.625" style="2" bestFit="1" customWidth="1"/>
    <col min="15885" max="16129" width="9" style="2"/>
    <col min="16130" max="16130" width="2.375" style="2" customWidth="1"/>
    <col min="16131" max="16131" width="13.25" style="2" bestFit="1" customWidth="1"/>
    <col min="16132" max="16134" width="11.125" style="2" bestFit="1" customWidth="1"/>
    <col min="16135" max="16135" width="9" style="2"/>
    <col min="16136" max="16139" width="11.125" style="2" bestFit="1" customWidth="1"/>
    <col min="16140" max="16140" width="9.625" style="2" bestFit="1" customWidth="1"/>
    <col min="16141" max="16384" width="9" style="2"/>
  </cols>
  <sheetData>
    <row r="1" spans="1:13">
      <c r="A1" s="1" t="s">
        <v>0</v>
      </c>
    </row>
    <row r="2" spans="1:13" ht="19.5" thickBot="1">
      <c r="A2" s="1" t="s">
        <v>78</v>
      </c>
    </row>
    <row r="3" spans="1:13">
      <c r="B3" s="3"/>
      <c r="C3" s="7" t="s">
        <v>3</v>
      </c>
      <c r="D3" s="8" t="s">
        <v>9</v>
      </c>
      <c r="E3" s="47" t="s">
        <v>79</v>
      </c>
      <c r="F3" s="6" t="s">
        <v>2</v>
      </c>
      <c r="G3" s="7" t="s">
        <v>4</v>
      </c>
      <c r="H3" s="7" t="s">
        <v>5</v>
      </c>
      <c r="I3" s="7" t="s">
        <v>6</v>
      </c>
      <c r="J3" s="7" t="s">
        <v>7</v>
      </c>
      <c r="K3" s="50" t="s">
        <v>8</v>
      </c>
      <c r="L3" s="61" t="s">
        <v>79</v>
      </c>
      <c r="M3" s="62" t="s">
        <v>19</v>
      </c>
    </row>
    <row r="4" spans="1:13" ht="19.5" thickBot="1">
      <c r="A4" s="49"/>
      <c r="B4" s="25" t="s">
        <v>10</v>
      </c>
      <c r="C4" s="27" t="s">
        <v>12</v>
      </c>
      <c r="D4" s="28" t="s">
        <v>18</v>
      </c>
      <c r="E4" s="48" t="s">
        <v>80</v>
      </c>
      <c r="F4" s="26" t="s">
        <v>11</v>
      </c>
      <c r="G4" s="27" t="s">
        <v>13</v>
      </c>
      <c r="H4" s="27" t="s">
        <v>14</v>
      </c>
      <c r="I4" s="27" t="s">
        <v>15</v>
      </c>
      <c r="J4" s="27" t="s">
        <v>16</v>
      </c>
      <c r="K4" s="51" t="s">
        <v>17</v>
      </c>
      <c r="L4" s="63" t="s">
        <v>81</v>
      </c>
      <c r="M4" s="64" t="s">
        <v>82</v>
      </c>
    </row>
    <row r="5" spans="1:13">
      <c r="A5" s="1" t="s">
        <v>1</v>
      </c>
      <c r="B5" s="21" t="s">
        <v>20</v>
      </c>
      <c r="C5" s="23">
        <v>19</v>
      </c>
      <c r="D5" s="24">
        <v>18</v>
      </c>
      <c r="E5" s="43">
        <f>SUM(C5:D5)</f>
        <v>37</v>
      </c>
      <c r="F5" s="22">
        <v>18</v>
      </c>
      <c r="G5" s="23">
        <v>18</v>
      </c>
      <c r="H5" s="23">
        <v>19</v>
      </c>
      <c r="I5" s="23">
        <v>15</v>
      </c>
      <c r="J5" s="23">
        <v>18</v>
      </c>
      <c r="K5" s="52">
        <v>18</v>
      </c>
      <c r="L5" s="65">
        <f>SUM(F5:K5)</f>
        <v>106</v>
      </c>
      <c r="M5" s="65">
        <f>E5+L5</f>
        <v>143</v>
      </c>
    </row>
    <row r="6" spans="1:13">
      <c r="A6" s="1" t="s">
        <v>1</v>
      </c>
      <c r="B6" s="4" t="s">
        <v>21</v>
      </c>
      <c r="C6" s="10">
        <v>0</v>
      </c>
      <c r="D6" s="11">
        <v>0</v>
      </c>
      <c r="E6" s="44"/>
      <c r="F6" s="9">
        <v>0</v>
      </c>
      <c r="G6" s="10">
        <v>1</v>
      </c>
      <c r="H6" s="10">
        <v>1</v>
      </c>
      <c r="I6" s="10">
        <v>2</v>
      </c>
      <c r="J6" s="10">
        <v>2</v>
      </c>
      <c r="K6" s="53">
        <v>2</v>
      </c>
      <c r="L6" s="66">
        <f>SUM(F6:K6)</f>
        <v>8</v>
      </c>
      <c r="M6" s="66">
        <f>E6+L6</f>
        <v>8</v>
      </c>
    </row>
    <row r="7" spans="1:13">
      <c r="A7" s="1" t="s">
        <v>1</v>
      </c>
      <c r="B7" s="4" t="s">
        <v>22</v>
      </c>
      <c r="C7" s="10">
        <v>0</v>
      </c>
      <c r="D7" s="11">
        <v>0</v>
      </c>
      <c r="E7" s="44"/>
      <c r="F7" s="9">
        <v>1</v>
      </c>
      <c r="G7" s="10">
        <v>0</v>
      </c>
      <c r="H7" s="10">
        <v>0</v>
      </c>
      <c r="I7" s="10">
        <v>0</v>
      </c>
      <c r="J7" s="10">
        <v>1</v>
      </c>
      <c r="K7" s="53">
        <v>1</v>
      </c>
      <c r="L7" s="66">
        <f t="shared" ref="L7:L55" si="0">SUM(F7:K7)</f>
        <v>3</v>
      </c>
      <c r="M7" s="66">
        <f t="shared" ref="M7:M55" si="1">E7+L7</f>
        <v>3</v>
      </c>
    </row>
    <row r="8" spans="1:13">
      <c r="A8" s="1" t="s">
        <v>1</v>
      </c>
      <c r="B8" s="4" t="s">
        <v>23</v>
      </c>
      <c r="C8" s="10">
        <v>0</v>
      </c>
      <c r="D8" s="11">
        <v>0</v>
      </c>
      <c r="E8" s="44"/>
      <c r="F8" s="9">
        <v>0</v>
      </c>
      <c r="G8" s="10">
        <v>0</v>
      </c>
      <c r="H8" s="10">
        <v>0</v>
      </c>
      <c r="I8" s="10">
        <v>0</v>
      </c>
      <c r="J8" s="10">
        <v>0</v>
      </c>
      <c r="K8" s="53">
        <v>1</v>
      </c>
      <c r="L8" s="66">
        <f t="shared" si="0"/>
        <v>1</v>
      </c>
      <c r="M8" s="66">
        <f t="shared" si="1"/>
        <v>1</v>
      </c>
    </row>
    <row r="9" spans="1:13">
      <c r="A9" s="1" t="s">
        <v>1</v>
      </c>
      <c r="B9" s="4" t="s">
        <v>24</v>
      </c>
      <c r="C9" s="10">
        <v>0</v>
      </c>
      <c r="D9" s="11">
        <v>0</v>
      </c>
      <c r="E9" s="44"/>
      <c r="F9" s="9">
        <v>1</v>
      </c>
      <c r="G9" s="10">
        <v>1</v>
      </c>
      <c r="H9" s="10">
        <v>0</v>
      </c>
      <c r="I9" s="10">
        <v>4</v>
      </c>
      <c r="J9" s="10">
        <v>1</v>
      </c>
      <c r="K9" s="53">
        <v>0</v>
      </c>
      <c r="L9" s="66">
        <f t="shared" si="0"/>
        <v>7</v>
      </c>
      <c r="M9" s="66">
        <f t="shared" si="1"/>
        <v>7</v>
      </c>
    </row>
    <row r="10" spans="1:13">
      <c r="A10" s="1" t="s">
        <v>1</v>
      </c>
      <c r="B10" s="4" t="s">
        <v>25</v>
      </c>
      <c r="C10" s="10">
        <v>0</v>
      </c>
      <c r="D10" s="11">
        <v>0</v>
      </c>
      <c r="E10" s="44"/>
      <c r="F10" s="9">
        <v>0</v>
      </c>
      <c r="G10" s="10">
        <v>0</v>
      </c>
      <c r="H10" s="10">
        <v>0</v>
      </c>
      <c r="I10" s="10">
        <v>0</v>
      </c>
      <c r="J10" s="10">
        <v>0</v>
      </c>
      <c r="K10" s="53">
        <v>0</v>
      </c>
      <c r="L10" s="66">
        <f t="shared" si="0"/>
        <v>0</v>
      </c>
      <c r="M10" s="66">
        <f t="shared" si="1"/>
        <v>0</v>
      </c>
    </row>
    <row r="11" spans="1:13">
      <c r="A11" s="1" t="s">
        <v>1</v>
      </c>
      <c r="B11" s="4" t="s">
        <v>26</v>
      </c>
      <c r="C11" s="10">
        <v>0</v>
      </c>
      <c r="D11" s="11">
        <v>0</v>
      </c>
      <c r="E11" s="44"/>
      <c r="F11" s="9">
        <v>0</v>
      </c>
      <c r="G11" s="10">
        <v>0</v>
      </c>
      <c r="H11" s="10">
        <v>0</v>
      </c>
      <c r="I11" s="10">
        <v>0</v>
      </c>
      <c r="J11" s="10">
        <v>0</v>
      </c>
      <c r="K11" s="53">
        <v>0</v>
      </c>
      <c r="L11" s="66">
        <f t="shared" si="0"/>
        <v>0</v>
      </c>
      <c r="M11" s="66">
        <f t="shared" si="1"/>
        <v>0</v>
      </c>
    </row>
    <row r="12" spans="1:13">
      <c r="A12" s="1" t="s">
        <v>1</v>
      </c>
      <c r="B12" s="4" t="s">
        <v>27</v>
      </c>
      <c r="C12" s="10">
        <v>0</v>
      </c>
      <c r="D12" s="11">
        <v>0</v>
      </c>
      <c r="E12" s="44"/>
      <c r="F12" s="9">
        <v>0</v>
      </c>
      <c r="G12" s="10">
        <v>0</v>
      </c>
      <c r="H12" s="10">
        <v>0</v>
      </c>
      <c r="I12" s="10">
        <v>0</v>
      </c>
      <c r="J12" s="10">
        <v>0</v>
      </c>
      <c r="K12" s="53">
        <v>0</v>
      </c>
      <c r="L12" s="66">
        <f t="shared" si="0"/>
        <v>0</v>
      </c>
      <c r="M12" s="66">
        <f t="shared" si="1"/>
        <v>0</v>
      </c>
    </row>
    <row r="13" spans="1:13">
      <c r="A13" s="1" t="s">
        <v>1</v>
      </c>
      <c r="B13" s="4" t="s">
        <v>28</v>
      </c>
      <c r="C13" s="13">
        <v>0</v>
      </c>
      <c r="D13" s="14">
        <v>3.6666666666666665</v>
      </c>
      <c r="E13" s="45">
        <f>SUM(C13:D13)</f>
        <v>3.6666666666666665</v>
      </c>
      <c r="F13" s="12">
        <v>0</v>
      </c>
      <c r="G13" s="13">
        <v>0</v>
      </c>
      <c r="H13" s="13">
        <v>0</v>
      </c>
      <c r="I13" s="13">
        <v>0</v>
      </c>
      <c r="J13" s="13">
        <v>0</v>
      </c>
      <c r="K13" s="54">
        <v>0</v>
      </c>
      <c r="L13" s="67">
        <f t="shared" si="0"/>
        <v>0</v>
      </c>
      <c r="M13" s="67">
        <f t="shared" si="1"/>
        <v>3.6666666666666665</v>
      </c>
    </row>
    <row r="14" spans="1:13">
      <c r="A14" s="1" t="s">
        <v>1</v>
      </c>
      <c r="B14" s="4" t="s">
        <v>29</v>
      </c>
      <c r="C14" s="13">
        <v>0</v>
      </c>
      <c r="D14" s="14">
        <v>0</v>
      </c>
      <c r="E14" s="45"/>
      <c r="F14" s="12">
        <v>0.54166666666666663</v>
      </c>
      <c r="G14" s="13">
        <v>0.75</v>
      </c>
      <c r="H14" s="13">
        <v>0.58333333333333337</v>
      </c>
      <c r="I14" s="13">
        <v>0.66666666666666663</v>
      </c>
      <c r="J14" s="13">
        <v>0.95833333333333337</v>
      </c>
      <c r="K14" s="54">
        <v>1.0416666666666667</v>
      </c>
      <c r="L14" s="67">
        <f t="shared" si="0"/>
        <v>4.541666666666667</v>
      </c>
      <c r="M14" s="67">
        <f t="shared" si="1"/>
        <v>4.541666666666667</v>
      </c>
    </row>
    <row r="15" spans="1:13">
      <c r="A15" s="1" t="s">
        <v>1</v>
      </c>
      <c r="B15" s="4" t="s">
        <v>30</v>
      </c>
      <c r="C15" s="13">
        <v>0</v>
      </c>
      <c r="D15" s="14">
        <v>0</v>
      </c>
      <c r="E15" s="45"/>
      <c r="F15" s="12">
        <v>0</v>
      </c>
      <c r="G15" s="13">
        <v>0.375</v>
      </c>
      <c r="H15" s="13">
        <v>0.33333333333333331</v>
      </c>
      <c r="I15" s="13">
        <v>0.70833333333333337</v>
      </c>
      <c r="J15" s="13">
        <v>0.66666666666666663</v>
      </c>
      <c r="K15" s="54">
        <v>0.375</v>
      </c>
      <c r="L15" s="67">
        <f t="shared" si="0"/>
        <v>2.458333333333333</v>
      </c>
      <c r="M15" s="67">
        <f t="shared" si="1"/>
        <v>2.458333333333333</v>
      </c>
    </row>
    <row r="16" spans="1:13">
      <c r="A16" s="1" t="s">
        <v>1</v>
      </c>
      <c r="B16" s="4" t="s">
        <v>31</v>
      </c>
      <c r="C16" s="13">
        <v>0</v>
      </c>
      <c r="D16" s="14">
        <v>0</v>
      </c>
      <c r="E16" s="45"/>
      <c r="F16" s="12">
        <v>0.25</v>
      </c>
      <c r="G16" s="13">
        <v>0</v>
      </c>
      <c r="H16" s="13">
        <v>0</v>
      </c>
      <c r="I16" s="13">
        <v>0</v>
      </c>
      <c r="J16" s="13">
        <v>0.375</v>
      </c>
      <c r="K16" s="54">
        <v>0.375</v>
      </c>
      <c r="L16" s="67">
        <f t="shared" si="0"/>
        <v>1</v>
      </c>
      <c r="M16" s="67">
        <f t="shared" si="1"/>
        <v>1</v>
      </c>
    </row>
    <row r="17" spans="1:13">
      <c r="A17" s="1" t="s">
        <v>1</v>
      </c>
      <c r="B17" s="4" t="s">
        <v>32</v>
      </c>
      <c r="C17" s="13">
        <v>0</v>
      </c>
      <c r="D17" s="14">
        <v>0</v>
      </c>
      <c r="E17" s="45"/>
      <c r="F17" s="12">
        <v>0</v>
      </c>
      <c r="G17" s="13">
        <v>0</v>
      </c>
      <c r="H17" s="13">
        <v>0</v>
      </c>
      <c r="I17" s="13">
        <v>0</v>
      </c>
      <c r="J17" s="13">
        <v>0</v>
      </c>
      <c r="K17" s="54">
        <v>0.29166666666666669</v>
      </c>
      <c r="L17" s="67">
        <f t="shared" si="0"/>
        <v>0.29166666666666669</v>
      </c>
      <c r="M17" s="67">
        <f t="shared" si="1"/>
        <v>0.29166666666666669</v>
      </c>
    </row>
    <row r="18" spans="1:13">
      <c r="A18" s="1" t="s">
        <v>1</v>
      </c>
      <c r="B18" s="4" t="s">
        <v>33</v>
      </c>
      <c r="C18" s="13">
        <v>0</v>
      </c>
      <c r="D18" s="14">
        <v>0</v>
      </c>
      <c r="E18" s="45"/>
      <c r="F18" s="12">
        <v>0</v>
      </c>
      <c r="G18" s="13">
        <v>0</v>
      </c>
      <c r="H18" s="13">
        <v>0</v>
      </c>
      <c r="I18" s="13">
        <v>0</v>
      </c>
      <c r="J18" s="13">
        <v>0</v>
      </c>
      <c r="K18" s="54">
        <v>0</v>
      </c>
      <c r="L18" s="67">
        <f t="shared" si="0"/>
        <v>0</v>
      </c>
      <c r="M18" s="67">
        <f t="shared" si="1"/>
        <v>0</v>
      </c>
    </row>
    <row r="19" spans="1:13">
      <c r="A19" s="1" t="s">
        <v>1</v>
      </c>
      <c r="B19" s="4" t="s">
        <v>34</v>
      </c>
      <c r="C19" s="13">
        <v>0</v>
      </c>
      <c r="D19" s="14">
        <v>0</v>
      </c>
      <c r="E19" s="45"/>
      <c r="F19" s="12">
        <v>0</v>
      </c>
      <c r="G19" s="13">
        <v>0</v>
      </c>
      <c r="H19" s="13">
        <v>0</v>
      </c>
      <c r="I19" s="13">
        <v>0</v>
      </c>
      <c r="J19" s="13">
        <v>0</v>
      </c>
      <c r="K19" s="54">
        <v>0</v>
      </c>
      <c r="L19" s="67">
        <f t="shared" si="0"/>
        <v>0</v>
      </c>
      <c r="M19" s="67">
        <f t="shared" si="1"/>
        <v>0</v>
      </c>
    </row>
    <row r="20" spans="1:13">
      <c r="A20" s="1" t="s">
        <v>1</v>
      </c>
      <c r="B20" s="4" t="s">
        <v>35</v>
      </c>
      <c r="C20" s="13">
        <v>0</v>
      </c>
      <c r="D20" s="14">
        <v>0</v>
      </c>
      <c r="E20" s="45"/>
      <c r="F20" s="12">
        <v>0</v>
      </c>
      <c r="G20" s="13">
        <v>0</v>
      </c>
      <c r="H20" s="13">
        <v>0</v>
      </c>
      <c r="I20" s="13">
        <v>0</v>
      </c>
      <c r="J20" s="13">
        <v>0</v>
      </c>
      <c r="K20" s="54">
        <v>0</v>
      </c>
      <c r="L20" s="67">
        <f t="shared" si="0"/>
        <v>0</v>
      </c>
      <c r="M20" s="67">
        <f t="shared" si="1"/>
        <v>0</v>
      </c>
    </row>
    <row r="21" spans="1:13">
      <c r="A21" s="1" t="s">
        <v>1</v>
      </c>
      <c r="B21" s="4" t="s">
        <v>36</v>
      </c>
      <c r="C21" s="13">
        <v>0</v>
      </c>
      <c r="D21" s="14">
        <v>0</v>
      </c>
      <c r="E21" s="45"/>
      <c r="F21" s="12">
        <v>0</v>
      </c>
      <c r="G21" s="13">
        <v>0</v>
      </c>
      <c r="H21" s="13">
        <v>0</v>
      </c>
      <c r="I21" s="13">
        <v>0</v>
      </c>
      <c r="J21" s="13">
        <v>0</v>
      </c>
      <c r="K21" s="54">
        <v>0</v>
      </c>
      <c r="L21" s="67">
        <f t="shared" si="0"/>
        <v>0</v>
      </c>
      <c r="M21" s="67">
        <f t="shared" si="1"/>
        <v>0</v>
      </c>
    </row>
    <row r="22" spans="1:13">
      <c r="A22" s="1" t="s">
        <v>1</v>
      </c>
      <c r="B22" s="4" t="s">
        <v>37</v>
      </c>
      <c r="C22" s="13">
        <v>0</v>
      </c>
      <c r="D22" s="14">
        <v>0</v>
      </c>
      <c r="E22" s="45"/>
      <c r="F22" s="12">
        <v>0.125</v>
      </c>
      <c r="G22" s="13">
        <v>0.125</v>
      </c>
      <c r="H22" s="13">
        <v>4.1666666666666664E-2</v>
      </c>
      <c r="I22" s="13">
        <v>8.3333333333333329E-2</v>
      </c>
      <c r="J22" s="13">
        <v>0</v>
      </c>
      <c r="K22" s="54">
        <v>0.125</v>
      </c>
      <c r="L22" s="67">
        <f t="shared" si="0"/>
        <v>0.5</v>
      </c>
      <c r="M22" s="67">
        <f t="shared" si="1"/>
        <v>0.5</v>
      </c>
    </row>
    <row r="23" spans="1:13" ht="19.5" thickBot="1">
      <c r="A23" s="1" t="s">
        <v>1</v>
      </c>
      <c r="B23" s="5" t="s">
        <v>38</v>
      </c>
      <c r="C23" s="33">
        <v>29</v>
      </c>
      <c r="D23" s="34">
        <v>22</v>
      </c>
      <c r="E23" s="46">
        <f>SUM(C23:D23)</f>
        <v>51</v>
      </c>
      <c r="F23" s="32">
        <v>3</v>
      </c>
      <c r="G23" s="33">
        <v>9</v>
      </c>
      <c r="H23" s="33">
        <v>17</v>
      </c>
      <c r="I23" s="33">
        <v>11</v>
      </c>
      <c r="J23" s="33">
        <v>9</v>
      </c>
      <c r="K23" s="55">
        <v>5</v>
      </c>
      <c r="L23" s="68">
        <f t="shared" si="0"/>
        <v>54</v>
      </c>
      <c r="M23" s="68">
        <f t="shared" si="1"/>
        <v>105</v>
      </c>
    </row>
    <row r="24" spans="1:13">
      <c r="A24" s="1" t="s">
        <v>1</v>
      </c>
      <c r="B24" s="21" t="s">
        <v>39</v>
      </c>
      <c r="C24" s="30">
        <v>365000</v>
      </c>
      <c r="D24" s="31">
        <v>0</v>
      </c>
      <c r="E24" s="31">
        <f>SUM(C24:D24)</f>
        <v>365000</v>
      </c>
      <c r="F24" s="29">
        <v>187000</v>
      </c>
      <c r="G24" s="30">
        <v>187000</v>
      </c>
      <c r="H24" s="30">
        <v>182000</v>
      </c>
      <c r="I24" s="30">
        <v>187000</v>
      </c>
      <c r="J24" s="30">
        <v>175000</v>
      </c>
      <c r="K24" s="56">
        <v>170000</v>
      </c>
      <c r="L24" s="69">
        <f t="shared" si="0"/>
        <v>1088000</v>
      </c>
      <c r="M24" s="69">
        <f t="shared" si="1"/>
        <v>1453000</v>
      </c>
    </row>
    <row r="25" spans="1:13">
      <c r="A25" s="1" t="s">
        <v>1</v>
      </c>
      <c r="B25" s="4" t="s">
        <v>40</v>
      </c>
      <c r="C25" s="16">
        <v>0</v>
      </c>
      <c r="D25" s="17">
        <v>0</v>
      </c>
      <c r="E25" s="17">
        <f t="shared" ref="E25:E62" si="2">SUM(C25:D25)</f>
        <v>0</v>
      </c>
      <c r="F25" s="15">
        <v>0</v>
      </c>
      <c r="G25" s="16">
        <v>0</v>
      </c>
      <c r="H25" s="16">
        <v>0</v>
      </c>
      <c r="I25" s="16">
        <v>0</v>
      </c>
      <c r="J25" s="16">
        <v>0</v>
      </c>
      <c r="K25" s="57">
        <v>0</v>
      </c>
      <c r="L25" s="70">
        <f t="shared" si="0"/>
        <v>0</v>
      </c>
      <c r="M25" s="70">
        <f t="shared" si="1"/>
        <v>0</v>
      </c>
    </row>
    <row r="26" spans="1:13">
      <c r="A26" s="1" t="s">
        <v>1</v>
      </c>
      <c r="B26" s="4" t="s">
        <v>41</v>
      </c>
      <c r="C26" s="16">
        <v>0</v>
      </c>
      <c r="D26" s="17">
        <v>0</v>
      </c>
      <c r="E26" s="17">
        <f t="shared" si="2"/>
        <v>0</v>
      </c>
      <c r="F26" s="15">
        <v>6000</v>
      </c>
      <c r="G26" s="16">
        <v>0</v>
      </c>
      <c r="H26" s="16">
        <v>6000</v>
      </c>
      <c r="I26" s="16">
        <v>0</v>
      </c>
      <c r="J26" s="16">
        <v>0</v>
      </c>
      <c r="K26" s="57">
        <v>0</v>
      </c>
      <c r="L26" s="70">
        <f t="shared" si="0"/>
        <v>12000</v>
      </c>
      <c r="M26" s="70">
        <f t="shared" si="1"/>
        <v>12000</v>
      </c>
    </row>
    <row r="27" spans="1:13">
      <c r="A27" s="1" t="s">
        <v>1</v>
      </c>
      <c r="B27" s="4" t="s">
        <v>42</v>
      </c>
      <c r="C27" s="16">
        <v>0</v>
      </c>
      <c r="D27" s="17">
        <v>0</v>
      </c>
      <c r="E27" s="17">
        <f t="shared" si="2"/>
        <v>0</v>
      </c>
      <c r="F27" s="15">
        <v>0</v>
      </c>
      <c r="G27" s="16">
        <v>0</v>
      </c>
      <c r="H27" s="16">
        <v>0</v>
      </c>
      <c r="I27" s="16">
        <v>0</v>
      </c>
      <c r="J27" s="16">
        <v>0</v>
      </c>
      <c r="K27" s="57">
        <v>0</v>
      </c>
      <c r="L27" s="70">
        <f t="shared" si="0"/>
        <v>0</v>
      </c>
      <c r="M27" s="70">
        <f t="shared" si="1"/>
        <v>0</v>
      </c>
    </row>
    <row r="28" spans="1:13">
      <c r="A28" s="1" t="s">
        <v>1</v>
      </c>
      <c r="B28" s="4" t="s">
        <v>43</v>
      </c>
      <c r="C28" s="16">
        <v>0</v>
      </c>
      <c r="D28" s="17">
        <v>0</v>
      </c>
      <c r="E28" s="17">
        <f t="shared" si="2"/>
        <v>0</v>
      </c>
      <c r="F28" s="15">
        <v>81760</v>
      </c>
      <c r="G28" s="16">
        <v>34799</v>
      </c>
      <c r="H28" s="16">
        <v>81111</v>
      </c>
      <c r="I28" s="16">
        <v>74995</v>
      </c>
      <c r="J28" s="16">
        <v>48470</v>
      </c>
      <c r="K28" s="57">
        <v>44555</v>
      </c>
      <c r="L28" s="70">
        <f t="shared" si="0"/>
        <v>365690</v>
      </c>
      <c r="M28" s="70">
        <f t="shared" si="1"/>
        <v>365690</v>
      </c>
    </row>
    <row r="29" spans="1:13">
      <c r="A29" s="1" t="s">
        <v>1</v>
      </c>
      <c r="B29" s="4" t="s">
        <v>44</v>
      </c>
      <c r="C29" s="16">
        <v>0</v>
      </c>
      <c r="D29" s="17">
        <v>86240</v>
      </c>
      <c r="E29" s="17">
        <f t="shared" si="2"/>
        <v>86240</v>
      </c>
      <c r="F29" s="15">
        <v>0</v>
      </c>
      <c r="G29" s="16">
        <v>0</v>
      </c>
      <c r="H29" s="16">
        <v>0</v>
      </c>
      <c r="I29" s="16">
        <v>0</v>
      </c>
      <c r="J29" s="16">
        <v>0</v>
      </c>
      <c r="K29" s="57">
        <v>0</v>
      </c>
      <c r="L29" s="70">
        <f t="shared" si="0"/>
        <v>0</v>
      </c>
      <c r="M29" s="70">
        <f t="shared" si="1"/>
        <v>86240</v>
      </c>
    </row>
    <row r="30" spans="1:13">
      <c r="A30" s="1" t="s">
        <v>1</v>
      </c>
      <c r="B30" s="4" t="s">
        <v>45</v>
      </c>
      <c r="C30" s="16">
        <v>0</v>
      </c>
      <c r="D30" s="17">
        <v>0</v>
      </c>
      <c r="E30" s="17">
        <f t="shared" si="2"/>
        <v>0</v>
      </c>
      <c r="F30" s="15">
        <v>0</v>
      </c>
      <c r="G30" s="16">
        <v>0</v>
      </c>
      <c r="H30" s="16">
        <v>0</v>
      </c>
      <c r="I30" s="16">
        <v>0</v>
      </c>
      <c r="J30" s="16">
        <v>0</v>
      </c>
      <c r="K30" s="57">
        <v>0</v>
      </c>
      <c r="L30" s="70">
        <f t="shared" si="0"/>
        <v>0</v>
      </c>
      <c r="M30" s="70">
        <f t="shared" si="1"/>
        <v>0</v>
      </c>
    </row>
    <row r="31" spans="1:13">
      <c r="A31" s="1" t="s">
        <v>1</v>
      </c>
      <c r="B31" s="4" t="s">
        <v>46</v>
      </c>
      <c r="C31" s="16">
        <v>0</v>
      </c>
      <c r="D31" s="17">
        <v>0</v>
      </c>
      <c r="E31" s="17">
        <f t="shared" si="2"/>
        <v>0</v>
      </c>
      <c r="F31" s="15">
        <v>0</v>
      </c>
      <c r="G31" s="16">
        <v>0</v>
      </c>
      <c r="H31" s="16">
        <v>0</v>
      </c>
      <c r="I31" s="16">
        <v>0</v>
      </c>
      <c r="J31" s="16">
        <v>0</v>
      </c>
      <c r="K31" s="57">
        <v>0</v>
      </c>
      <c r="L31" s="70">
        <f t="shared" si="0"/>
        <v>0</v>
      </c>
      <c r="M31" s="70">
        <f t="shared" si="1"/>
        <v>0</v>
      </c>
    </row>
    <row r="32" spans="1:13">
      <c r="A32" s="1" t="s">
        <v>1</v>
      </c>
      <c r="B32" s="4" t="s">
        <v>47</v>
      </c>
      <c r="C32" s="16">
        <v>0</v>
      </c>
      <c r="D32" s="17">
        <v>0</v>
      </c>
      <c r="E32" s="17">
        <f t="shared" si="2"/>
        <v>0</v>
      </c>
      <c r="F32" s="15">
        <v>2000</v>
      </c>
      <c r="G32" s="16">
        <v>2000</v>
      </c>
      <c r="H32" s="16">
        <v>2000</v>
      </c>
      <c r="I32" s="16">
        <v>2000</v>
      </c>
      <c r="J32" s="16">
        <v>0</v>
      </c>
      <c r="K32" s="57">
        <v>0</v>
      </c>
      <c r="L32" s="70">
        <f t="shared" si="0"/>
        <v>8000</v>
      </c>
      <c r="M32" s="70">
        <f t="shared" si="1"/>
        <v>8000</v>
      </c>
    </row>
    <row r="33" spans="1:13">
      <c r="A33" s="1" t="s">
        <v>1</v>
      </c>
      <c r="B33" s="4" t="s">
        <v>48</v>
      </c>
      <c r="C33" s="16">
        <v>0</v>
      </c>
      <c r="D33" s="17">
        <v>0</v>
      </c>
      <c r="E33" s="17">
        <f t="shared" si="2"/>
        <v>0</v>
      </c>
      <c r="F33" s="15">
        <v>0</v>
      </c>
      <c r="G33" s="16">
        <v>0</v>
      </c>
      <c r="H33" s="16">
        <v>0</v>
      </c>
      <c r="I33" s="16">
        <v>0</v>
      </c>
      <c r="J33" s="16">
        <v>0</v>
      </c>
      <c r="K33" s="57">
        <v>0</v>
      </c>
      <c r="L33" s="70">
        <f t="shared" si="0"/>
        <v>0</v>
      </c>
      <c r="M33" s="70">
        <f t="shared" si="1"/>
        <v>0</v>
      </c>
    </row>
    <row r="34" spans="1:13">
      <c r="A34" s="1" t="s">
        <v>1</v>
      </c>
      <c r="B34" s="4" t="s">
        <v>49</v>
      </c>
      <c r="C34" s="16">
        <v>0</v>
      </c>
      <c r="D34" s="17">
        <v>0</v>
      </c>
      <c r="E34" s="17">
        <f t="shared" si="2"/>
        <v>0</v>
      </c>
      <c r="F34" s="15">
        <v>0</v>
      </c>
      <c r="G34" s="16">
        <v>0</v>
      </c>
      <c r="H34" s="16">
        <v>0</v>
      </c>
      <c r="I34" s="16">
        <v>0</v>
      </c>
      <c r="J34" s="16">
        <v>0</v>
      </c>
      <c r="K34" s="57">
        <v>0</v>
      </c>
      <c r="L34" s="70">
        <f t="shared" si="0"/>
        <v>0</v>
      </c>
      <c r="M34" s="70">
        <f t="shared" si="1"/>
        <v>0</v>
      </c>
    </row>
    <row r="35" spans="1:13">
      <c r="A35" s="1" t="s">
        <v>1</v>
      </c>
      <c r="B35" s="4" t="s">
        <v>50</v>
      </c>
      <c r="C35" s="16">
        <v>0</v>
      </c>
      <c r="D35" s="17">
        <v>0</v>
      </c>
      <c r="E35" s="17">
        <f t="shared" si="2"/>
        <v>0</v>
      </c>
      <c r="F35" s="15">
        <v>0</v>
      </c>
      <c r="G35" s="16">
        <v>0</v>
      </c>
      <c r="H35" s="16">
        <v>0</v>
      </c>
      <c r="I35" s="16">
        <v>0</v>
      </c>
      <c r="J35" s="16">
        <v>0</v>
      </c>
      <c r="K35" s="57">
        <v>0</v>
      </c>
      <c r="L35" s="70">
        <f t="shared" si="0"/>
        <v>0</v>
      </c>
      <c r="M35" s="70">
        <f t="shared" si="1"/>
        <v>0</v>
      </c>
    </row>
    <row r="36" spans="1:13">
      <c r="A36" s="1" t="s">
        <v>1</v>
      </c>
      <c r="B36" s="4" t="s">
        <v>51</v>
      </c>
      <c r="C36" s="16">
        <v>0</v>
      </c>
      <c r="D36" s="17">
        <v>0</v>
      </c>
      <c r="E36" s="17">
        <f t="shared" si="2"/>
        <v>0</v>
      </c>
      <c r="F36" s="15">
        <v>0</v>
      </c>
      <c r="G36" s="16">
        <v>0</v>
      </c>
      <c r="H36" s="16">
        <v>0</v>
      </c>
      <c r="I36" s="16">
        <v>0</v>
      </c>
      <c r="J36" s="16">
        <v>0</v>
      </c>
      <c r="K36" s="57">
        <v>0</v>
      </c>
      <c r="L36" s="70">
        <f t="shared" si="0"/>
        <v>0</v>
      </c>
      <c r="M36" s="70">
        <f t="shared" si="1"/>
        <v>0</v>
      </c>
    </row>
    <row r="37" spans="1:13">
      <c r="A37" s="1" t="s">
        <v>1</v>
      </c>
      <c r="B37" s="4" t="s">
        <v>29</v>
      </c>
      <c r="C37" s="16">
        <v>0</v>
      </c>
      <c r="D37" s="17">
        <v>0</v>
      </c>
      <c r="E37" s="17">
        <f t="shared" si="2"/>
        <v>0</v>
      </c>
      <c r="F37" s="15">
        <v>18980</v>
      </c>
      <c r="G37" s="16">
        <v>25470</v>
      </c>
      <c r="H37" s="16">
        <v>19922</v>
      </c>
      <c r="I37" s="16">
        <v>22640</v>
      </c>
      <c r="J37" s="16">
        <v>30130</v>
      </c>
      <c r="K37" s="57">
        <v>31825</v>
      </c>
      <c r="L37" s="70">
        <f t="shared" si="0"/>
        <v>148967</v>
      </c>
      <c r="M37" s="70">
        <f t="shared" si="1"/>
        <v>148967</v>
      </c>
    </row>
    <row r="38" spans="1:13">
      <c r="A38" s="1" t="s">
        <v>1</v>
      </c>
      <c r="B38" s="4" t="s">
        <v>52</v>
      </c>
      <c r="C38" s="16">
        <v>0</v>
      </c>
      <c r="D38" s="17">
        <v>0</v>
      </c>
      <c r="E38" s="17">
        <f t="shared" si="2"/>
        <v>0</v>
      </c>
      <c r="F38" s="15">
        <v>0</v>
      </c>
      <c r="G38" s="16">
        <v>13752</v>
      </c>
      <c r="H38" s="16">
        <v>12288</v>
      </c>
      <c r="I38" s="16">
        <v>25976</v>
      </c>
      <c r="J38" s="16">
        <v>22640</v>
      </c>
      <c r="K38" s="57">
        <v>12366</v>
      </c>
      <c r="L38" s="70">
        <f t="shared" si="0"/>
        <v>87022</v>
      </c>
      <c r="M38" s="70">
        <f t="shared" si="1"/>
        <v>87022</v>
      </c>
    </row>
    <row r="39" spans="1:13">
      <c r="A39" s="1" t="s">
        <v>1</v>
      </c>
      <c r="B39" s="4" t="s">
        <v>53</v>
      </c>
      <c r="C39" s="16">
        <v>0</v>
      </c>
      <c r="D39" s="17">
        <v>0</v>
      </c>
      <c r="E39" s="17">
        <f t="shared" si="2"/>
        <v>0</v>
      </c>
      <c r="F39" s="15">
        <v>9462</v>
      </c>
      <c r="G39" s="16">
        <v>0</v>
      </c>
      <c r="H39" s="16">
        <v>0</v>
      </c>
      <c r="I39" s="16">
        <v>0</v>
      </c>
      <c r="J39" s="16">
        <v>12735</v>
      </c>
      <c r="K39" s="57">
        <v>12366</v>
      </c>
      <c r="L39" s="70">
        <f t="shared" si="0"/>
        <v>34563</v>
      </c>
      <c r="M39" s="70">
        <f t="shared" si="1"/>
        <v>34563</v>
      </c>
    </row>
    <row r="40" spans="1:13">
      <c r="A40" s="1" t="s">
        <v>1</v>
      </c>
      <c r="B40" s="4" t="s">
        <v>54</v>
      </c>
      <c r="C40" s="16">
        <v>0</v>
      </c>
      <c r="D40" s="17">
        <v>0</v>
      </c>
      <c r="E40" s="17">
        <f t="shared" si="2"/>
        <v>0</v>
      </c>
      <c r="F40" s="15">
        <v>0</v>
      </c>
      <c r="G40" s="16">
        <v>0</v>
      </c>
      <c r="H40" s="16">
        <v>0</v>
      </c>
      <c r="I40" s="16">
        <v>0</v>
      </c>
      <c r="J40" s="16">
        <v>0</v>
      </c>
      <c r="K40" s="57">
        <v>2492</v>
      </c>
      <c r="L40" s="70">
        <f t="shared" si="0"/>
        <v>2492</v>
      </c>
      <c r="M40" s="70">
        <f t="shared" si="1"/>
        <v>2492</v>
      </c>
    </row>
    <row r="41" spans="1:13">
      <c r="A41" s="1" t="s">
        <v>1</v>
      </c>
      <c r="B41" s="4" t="s">
        <v>55</v>
      </c>
      <c r="C41" s="16">
        <v>0</v>
      </c>
      <c r="D41" s="17">
        <v>0</v>
      </c>
      <c r="E41" s="17">
        <f t="shared" si="2"/>
        <v>0</v>
      </c>
      <c r="F41" s="15">
        <v>0</v>
      </c>
      <c r="G41" s="16">
        <v>0</v>
      </c>
      <c r="H41" s="16">
        <v>0</v>
      </c>
      <c r="I41" s="16">
        <v>0</v>
      </c>
      <c r="J41" s="16">
        <v>0</v>
      </c>
      <c r="K41" s="57">
        <v>0</v>
      </c>
      <c r="L41" s="70">
        <f t="shared" si="0"/>
        <v>0</v>
      </c>
      <c r="M41" s="70">
        <f t="shared" si="1"/>
        <v>0</v>
      </c>
    </row>
    <row r="42" spans="1:13">
      <c r="A42" s="1" t="s">
        <v>1</v>
      </c>
      <c r="B42" s="4" t="s">
        <v>56</v>
      </c>
      <c r="C42" s="16">
        <v>0</v>
      </c>
      <c r="D42" s="17">
        <v>0</v>
      </c>
      <c r="E42" s="17">
        <f t="shared" si="2"/>
        <v>0</v>
      </c>
      <c r="F42" s="15">
        <v>0</v>
      </c>
      <c r="G42" s="16">
        <v>0</v>
      </c>
      <c r="H42" s="16">
        <v>0</v>
      </c>
      <c r="I42" s="16">
        <v>0</v>
      </c>
      <c r="J42" s="16">
        <v>0</v>
      </c>
      <c r="K42" s="57">
        <v>0</v>
      </c>
      <c r="L42" s="70">
        <f t="shared" si="0"/>
        <v>0</v>
      </c>
      <c r="M42" s="70">
        <f t="shared" si="1"/>
        <v>0</v>
      </c>
    </row>
    <row r="43" spans="1:13">
      <c r="A43" s="1" t="s">
        <v>1</v>
      </c>
      <c r="B43" s="4" t="s">
        <v>34</v>
      </c>
      <c r="C43" s="16">
        <v>0</v>
      </c>
      <c r="D43" s="17">
        <v>0</v>
      </c>
      <c r="E43" s="17">
        <f t="shared" si="2"/>
        <v>0</v>
      </c>
      <c r="F43" s="15">
        <v>0</v>
      </c>
      <c r="G43" s="16">
        <v>0</v>
      </c>
      <c r="H43" s="16">
        <v>0</v>
      </c>
      <c r="I43" s="16">
        <v>0</v>
      </c>
      <c r="J43" s="16">
        <v>0</v>
      </c>
      <c r="K43" s="57">
        <v>0</v>
      </c>
      <c r="L43" s="70">
        <f t="shared" si="0"/>
        <v>0</v>
      </c>
      <c r="M43" s="70">
        <f t="shared" si="1"/>
        <v>0</v>
      </c>
    </row>
    <row r="44" spans="1:13" ht="19.5" thickBot="1">
      <c r="A44" s="1" t="s">
        <v>1</v>
      </c>
      <c r="B44" s="35" t="s">
        <v>37</v>
      </c>
      <c r="C44" s="37">
        <v>0</v>
      </c>
      <c r="D44" s="38">
        <v>0</v>
      </c>
      <c r="E44" s="38">
        <f t="shared" si="2"/>
        <v>0</v>
      </c>
      <c r="F44" s="36">
        <v>876</v>
      </c>
      <c r="G44" s="37">
        <v>849</v>
      </c>
      <c r="H44" s="37">
        <v>285</v>
      </c>
      <c r="I44" s="37">
        <v>566</v>
      </c>
      <c r="J44" s="37">
        <v>0</v>
      </c>
      <c r="K44" s="58">
        <v>765</v>
      </c>
      <c r="L44" s="71">
        <f t="shared" si="0"/>
        <v>3341</v>
      </c>
      <c r="M44" s="71">
        <f t="shared" si="1"/>
        <v>3341</v>
      </c>
    </row>
    <row r="45" spans="1:13" ht="19.5" thickBot="1">
      <c r="A45" s="1" t="s">
        <v>1</v>
      </c>
      <c r="B45" s="39" t="s">
        <v>57</v>
      </c>
      <c r="C45" s="41">
        <v>365000</v>
      </c>
      <c r="D45" s="42">
        <v>86240</v>
      </c>
      <c r="E45" s="42">
        <f t="shared" si="2"/>
        <v>451240</v>
      </c>
      <c r="F45" s="40">
        <v>306078</v>
      </c>
      <c r="G45" s="41">
        <v>263870</v>
      </c>
      <c r="H45" s="41">
        <v>303606</v>
      </c>
      <c r="I45" s="41">
        <v>313177</v>
      </c>
      <c r="J45" s="41">
        <v>288975</v>
      </c>
      <c r="K45" s="59">
        <v>274369</v>
      </c>
      <c r="L45" s="72">
        <f t="shared" si="0"/>
        <v>1750075</v>
      </c>
      <c r="M45" s="72">
        <f t="shared" si="1"/>
        <v>2201315</v>
      </c>
    </row>
    <row r="46" spans="1:13" ht="19.5" thickBot="1">
      <c r="A46" s="1" t="s">
        <v>1</v>
      </c>
      <c r="B46" s="21" t="s">
        <v>58</v>
      </c>
      <c r="C46" s="30">
        <v>4449</v>
      </c>
      <c r="D46" s="31">
        <v>3185</v>
      </c>
      <c r="E46" s="31">
        <f t="shared" si="2"/>
        <v>7634</v>
      </c>
      <c r="F46" s="29">
        <v>5764</v>
      </c>
      <c r="G46" s="30">
        <v>4323</v>
      </c>
      <c r="H46" s="30">
        <v>8595</v>
      </c>
      <c r="I46" s="30">
        <v>1290</v>
      </c>
      <c r="J46" s="30">
        <v>6370</v>
      </c>
      <c r="K46" s="56">
        <v>7963</v>
      </c>
      <c r="L46" s="69">
        <f t="shared" si="0"/>
        <v>34305</v>
      </c>
      <c r="M46" s="69">
        <f t="shared" si="1"/>
        <v>41939</v>
      </c>
    </row>
    <row r="47" spans="1:13" ht="19.5" thickBot="1">
      <c r="A47" s="1" t="s">
        <v>1</v>
      </c>
      <c r="B47" s="39" t="s">
        <v>59</v>
      </c>
      <c r="C47" s="41">
        <v>4449</v>
      </c>
      <c r="D47" s="42">
        <v>3185</v>
      </c>
      <c r="E47" s="42">
        <f t="shared" si="2"/>
        <v>7634</v>
      </c>
      <c r="F47" s="40">
        <v>5764</v>
      </c>
      <c r="G47" s="41">
        <v>4323</v>
      </c>
      <c r="H47" s="41">
        <v>8595</v>
      </c>
      <c r="I47" s="41">
        <v>1290</v>
      </c>
      <c r="J47" s="41">
        <v>6370</v>
      </c>
      <c r="K47" s="59">
        <v>7963</v>
      </c>
      <c r="L47" s="72">
        <f t="shared" si="0"/>
        <v>34305</v>
      </c>
      <c r="M47" s="72">
        <f t="shared" si="1"/>
        <v>41939</v>
      </c>
    </row>
    <row r="48" spans="1:13" ht="19.5" thickBot="1">
      <c r="A48" s="1" t="s">
        <v>1</v>
      </c>
      <c r="B48" s="39" t="s">
        <v>60</v>
      </c>
      <c r="C48" s="41">
        <v>369449</v>
      </c>
      <c r="D48" s="42">
        <v>89425</v>
      </c>
      <c r="E48" s="42">
        <f t="shared" si="2"/>
        <v>458874</v>
      </c>
      <c r="F48" s="40">
        <v>311842</v>
      </c>
      <c r="G48" s="41">
        <v>268193</v>
      </c>
      <c r="H48" s="41">
        <v>312201</v>
      </c>
      <c r="I48" s="41">
        <v>314467</v>
      </c>
      <c r="J48" s="41">
        <v>295345</v>
      </c>
      <c r="K48" s="59">
        <v>282332</v>
      </c>
      <c r="L48" s="72">
        <f t="shared" si="0"/>
        <v>1784380</v>
      </c>
      <c r="M48" s="72">
        <f t="shared" si="1"/>
        <v>2243254</v>
      </c>
    </row>
    <row r="49" spans="1:13">
      <c r="A49" s="1" t="s">
        <v>1</v>
      </c>
      <c r="B49" s="21" t="s">
        <v>61</v>
      </c>
      <c r="C49" s="30">
        <v>18360</v>
      </c>
      <c r="D49" s="31">
        <v>0</v>
      </c>
      <c r="E49" s="31">
        <f t="shared" si="2"/>
        <v>18360</v>
      </c>
      <c r="F49" s="29">
        <v>16320</v>
      </c>
      <c r="G49" s="30">
        <v>16320</v>
      </c>
      <c r="H49" s="30">
        <v>16320</v>
      </c>
      <c r="I49" s="30">
        <v>16320</v>
      </c>
      <c r="J49" s="30">
        <v>14280</v>
      </c>
      <c r="K49" s="56">
        <v>13260</v>
      </c>
      <c r="L49" s="69">
        <f t="shared" si="0"/>
        <v>92820</v>
      </c>
      <c r="M49" s="69">
        <f t="shared" si="1"/>
        <v>111180</v>
      </c>
    </row>
    <row r="50" spans="1:13">
      <c r="A50" s="1" t="s">
        <v>1</v>
      </c>
      <c r="B50" s="4" t="s">
        <v>62</v>
      </c>
      <c r="C50" s="16">
        <v>3240</v>
      </c>
      <c r="D50" s="17">
        <v>0</v>
      </c>
      <c r="E50" s="17">
        <f t="shared" si="2"/>
        <v>3240</v>
      </c>
      <c r="F50" s="15">
        <v>0</v>
      </c>
      <c r="G50" s="16">
        <v>2880</v>
      </c>
      <c r="H50" s="16">
        <v>2880</v>
      </c>
      <c r="I50" s="16">
        <v>2880</v>
      </c>
      <c r="J50" s="16">
        <v>2520</v>
      </c>
      <c r="K50" s="57">
        <v>0</v>
      </c>
      <c r="L50" s="70">
        <f t="shared" si="0"/>
        <v>11160</v>
      </c>
      <c r="M50" s="70">
        <f t="shared" si="1"/>
        <v>14400</v>
      </c>
    </row>
    <row r="51" spans="1:13">
      <c r="A51" s="1" t="s">
        <v>1</v>
      </c>
      <c r="B51" s="4" t="s">
        <v>63</v>
      </c>
      <c r="C51" s="16">
        <v>32940</v>
      </c>
      <c r="D51" s="17">
        <v>0</v>
      </c>
      <c r="E51" s="17">
        <f t="shared" si="2"/>
        <v>32940</v>
      </c>
      <c r="F51" s="15">
        <v>29280</v>
      </c>
      <c r="G51" s="16">
        <v>29280</v>
      </c>
      <c r="H51" s="16">
        <v>29280</v>
      </c>
      <c r="I51" s="16">
        <v>29280</v>
      </c>
      <c r="J51" s="16">
        <v>25620</v>
      </c>
      <c r="K51" s="57">
        <v>23790</v>
      </c>
      <c r="L51" s="70">
        <f t="shared" si="0"/>
        <v>166530</v>
      </c>
      <c r="M51" s="70">
        <f t="shared" si="1"/>
        <v>199470</v>
      </c>
    </row>
    <row r="52" spans="1:13" ht="19.5" thickBot="1">
      <c r="A52" s="1" t="s">
        <v>1</v>
      </c>
      <c r="B52" s="4" t="s">
        <v>64</v>
      </c>
      <c r="C52" s="16">
        <v>1847</v>
      </c>
      <c r="D52" s="17">
        <v>447</v>
      </c>
      <c r="E52" s="17">
        <f t="shared" si="2"/>
        <v>2294</v>
      </c>
      <c r="F52" s="15">
        <v>1559</v>
      </c>
      <c r="G52" s="16">
        <v>1341</v>
      </c>
      <c r="H52" s="16">
        <v>1561</v>
      </c>
      <c r="I52" s="16">
        <v>1572</v>
      </c>
      <c r="J52" s="16">
        <v>1477</v>
      </c>
      <c r="K52" s="57">
        <v>1412</v>
      </c>
      <c r="L52" s="70">
        <f t="shared" si="0"/>
        <v>8922</v>
      </c>
      <c r="M52" s="70">
        <f t="shared" si="1"/>
        <v>11216</v>
      </c>
    </row>
    <row r="53" spans="1:13" ht="19.5" thickBot="1">
      <c r="A53" s="1" t="s">
        <v>1</v>
      </c>
      <c r="B53" s="39" t="s">
        <v>65</v>
      </c>
      <c r="C53" s="41">
        <v>56387</v>
      </c>
      <c r="D53" s="42">
        <v>447</v>
      </c>
      <c r="E53" s="42">
        <f t="shared" si="2"/>
        <v>56834</v>
      </c>
      <c r="F53" s="40">
        <v>47159</v>
      </c>
      <c r="G53" s="41">
        <v>49821</v>
      </c>
      <c r="H53" s="41">
        <v>50041</v>
      </c>
      <c r="I53" s="41">
        <v>50052</v>
      </c>
      <c r="J53" s="41">
        <v>43897</v>
      </c>
      <c r="K53" s="59">
        <v>38462</v>
      </c>
      <c r="L53" s="72">
        <f t="shared" si="0"/>
        <v>279432</v>
      </c>
      <c r="M53" s="72">
        <f t="shared" si="1"/>
        <v>336266</v>
      </c>
    </row>
    <row r="54" spans="1:13">
      <c r="A54" s="1" t="s">
        <v>1</v>
      </c>
      <c r="B54" s="21" t="s">
        <v>66</v>
      </c>
      <c r="C54" s="30">
        <v>9080</v>
      </c>
      <c r="D54" s="31">
        <v>0</v>
      </c>
      <c r="E54" s="31">
        <f t="shared" si="2"/>
        <v>9080</v>
      </c>
      <c r="F54" s="29">
        <v>6870</v>
      </c>
      <c r="G54" s="30">
        <v>3650</v>
      </c>
      <c r="H54" s="30">
        <v>6680</v>
      </c>
      <c r="I54" s="30">
        <v>5400</v>
      </c>
      <c r="J54" s="30">
        <v>6380</v>
      </c>
      <c r="K54" s="56">
        <v>6050</v>
      </c>
      <c r="L54" s="69">
        <f t="shared" si="0"/>
        <v>35030</v>
      </c>
      <c r="M54" s="69">
        <f t="shared" si="1"/>
        <v>44110</v>
      </c>
    </row>
    <row r="55" spans="1:13">
      <c r="A55" s="1" t="s">
        <v>1</v>
      </c>
      <c r="B55" s="4" t="s">
        <v>67</v>
      </c>
      <c r="C55" s="16">
        <v>0</v>
      </c>
      <c r="D55" s="17">
        <v>0</v>
      </c>
      <c r="E55" s="17">
        <f t="shared" si="2"/>
        <v>0</v>
      </c>
      <c r="F55" s="15">
        <v>0</v>
      </c>
      <c r="G55" s="16">
        <v>0</v>
      </c>
      <c r="H55" s="16">
        <v>0</v>
      </c>
      <c r="I55" s="16">
        <v>0</v>
      </c>
      <c r="J55" s="16">
        <v>0</v>
      </c>
      <c r="K55" s="57">
        <v>0</v>
      </c>
      <c r="L55" s="70">
        <f t="shared" si="0"/>
        <v>0</v>
      </c>
      <c r="M55" s="70">
        <f t="shared" si="1"/>
        <v>0</v>
      </c>
    </row>
    <row r="56" spans="1:13">
      <c r="A56" s="1" t="s">
        <v>1</v>
      </c>
      <c r="B56" s="4" t="s">
        <v>68</v>
      </c>
      <c r="C56" s="16">
        <v>20200</v>
      </c>
      <c r="D56" s="17">
        <v>500</v>
      </c>
      <c r="E56" s="17">
        <f t="shared" si="2"/>
        <v>20700</v>
      </c>
      <c r="F56" s="15">
        <v>14600</v>
      </c>
      <c r="G56" s="16">
        <v>11000</v>
      </c>
      <c r="H56" s="16">
        <v>8300</v>
      </c>
      <c r="I56" s="16">
        <v>3900</v>
      </c>
      <c r="J56" s="16">
        <v>8900</v>
      </c>
      <c r="K56" s="57">
        <v>0</v>
      </c>
      <c r="L56" s="70">
        <f t="shared" ref="L56:L62" si="3">SUM(F56:K56)</f>
        <v>46700</v>
      </c>
      <c r="M56" s="70">
        <f t="shared" ref="M56:M62" si="4">E56+L56</f>
        <v>67400</v>
      </c>
    </row>
    <row r="57" spans="1:13" ht="19.5" thickBot="1">
      <c r="A57" s="1" t="s">
        <v>1</v>
      </c>
      <c r="B57" s="4" t="s">
        <v>69</v>
      </c>
      <c r="C57" s="16">
        <v>0</v>
      </c>
      <c r="D57" s="17">
        <v>0</v>
      </c>
      <c r="E57" s="17">
        <f t="shared" si="2"/>
        <v>0</v>
      </c>
      <c r="F57" s="15">
        <v>0</v>
      </c>
      <c r="G57" s="16">
        <v>0</v>
      </c>
      <c r="H57" s="16">
        <v>0</v>
      </c>
      <c r="I57" s="16">
        <v>0</v>
      </c>
      <c r="J57" s="16">
        <v>0</v>
      </c>
      <c r="K57" s="57">
        <v>0</v>
      </c>
      <c r="L57" s="70">
        <f t="shared" si="3"/>
        <v>0</v>
      </c>
      <c r="M57" s="70">
        <f t="shared" si="4"/>
        <v>0</v>
      </c>
    </row>
    <row r="58" spans="1:13" ht="19.5" thickBot="1">
      <c r="A58" s="1" t="s">
        <v>1</v>
      </c>
      <c r="B58" s="39" t="s">
        <v>70</v>
      </c>
      <c r="C58" s="41">
        <v>85667</v>
      </c>
      <c r="D58" s="42">
        <v>947</v>
      </c>
      <c r="E58" s="42">
        <f t="shared" si="2"/>
        <v>86614</v>
      </c>
      <c r="F58" s="40">
        <v>68629</v>
      </c>
      <c r="G58" s="41">
        <v>64471</v>
      </c>
      <c r="H58" s="41">
        <v>65021</v>
      </c>
      <c r="I58" s="41">
        <v>59352</v>
      </c>
      <c r="J58" s="41">
        <v>59177</v>
      </c>
      <c r="K58" s="59">
        <v>44512</v>
      </c>
      <c r="L58" s="72">
        <f t="shared" si="3"/>
        <v>361162</v>
      </c>
      <c r="M58" s="72">
        <f t="shared" si="4"/>
        <v>447776</v>
      </c>
    </row>
    <row r="59" spans="1:13" ht="19.5" thickBot="1">
      <c r="A59" s="1" t="s">
        <v>1</v>
      </c>
      <c r="B59" s="39" t="s">
        <v>71</v>
      </c>
      <c r="C59" s="41">
        <v>308613</v>
      </c>
      <c r="D59" s="42">
        <v>85793</v>
      </c>
      <c r="E59" s="42">
        <f t="shared" si="2"/>
        <v>394406</v>
      </c>
      <c r="F59" s="40">
        <v>258919</v>
      </c>
      <c r="G59" s="41">
        <v>214049</v>
      </c>
      <c r="H59" s="41">
        <v>253565</v>
      </c>
      <c r="I59" s="41">
        <v>263125</v>
      </c>
      <c r="J59" s="41">
        <v>245078</v>
      </c>
      <c r="K59" s="59">
        <v>235907</v>
      </c>
      <c r="L59" s="72">
        <f t="shared" si="3"/>
        <v>1470643</v>
      </c>
      <c r="M59" s="72">
        <f t="shared" si="4"/>
        <v>1865049</v>
      </c>
    </row>
    <row r="60" spans="1:13" ht="19.5" thickBot="1">
      <c r="A60" s="1" t="s">
        <v>1</v>
      </c>
      <c r="B60" s="39" t="s">
        <v>72</v>
      </c>
      <c r="C60" s="41">
        <v>283782</v>
      </c>
      <c r="D60" s="42">
        <v>88478</v>
      </c>
      <c r="E60" s="42">
        <f t="shared" si="2"/>
        <v>372260</v>
      </c>
      <c r="F60" s="40">
        <v>243213</v>
      </c>
      <c r="G60" s="41">
        <v>203722</v>
      </c>
      <c r="H60" s="41">
        <v>247180</v>
      </c>
      <c r="I60" s="41">
        <v>255115</v>
      </c>
      <c r="J60" s="41">
        <v>236168</v>
      </c>
      <c r="K60" s="59">
        <v>237820</v>
      </c>
      <c r="L60" s="72">
        <f t="shared" si="3"/>
        <v>1423218</v>
      </c>
      <c r="M60" s="72">
        <f t="shared" si="4"/>
        <v>1795478</v>
      </c>
    </row>
    <row r="61" spans="1:13">
      <c r="A61" s="1" t="s">
        <v>1</v>
      </c>
      <c r="B61" s="21" t="s">
        <v>73</v>
      </c>
      <c r="C61" s="30">
        <v>0</v>
      </c>
      <c r="D61" s="31">
        <v>0</v>
      </c>
      <c r="E61" s="31">
        <f t="shared" si="2"/>
        <v>0</v>
      </c>
      <c r="F61" s="29">
        <v>0</v>
      </c>
      <c r="G61" s="30">
        <v>0</v>
      </c>
      <c r="H61" s="30">
        <v>0</v>
      </c>
      <c r="I61" s="30">
        <v>0</v>
      </c>
      <c r="J61" s="30">
        <v>0</v>
      </c>
      <c r="K61" s="56">
        <v>0</v>
      </c>
      <c r="L61" s="69">
        <f t="shared" si="3"/>
        <v>0</v>
      </c>
      <c r="M61" s="69">
        <f t="shared" si="4"/>
        <v>0</v>
      </c>
    </row>
    <row r="62" spans="1:13">
      <c r="A62" s="1" t="s">
        <v>1</v>
      </c>
      <c r="B62" s="4" t="s">
        <v>74</v>
      </c>
      <c r="C62" s="16">
        <v>283782</v>
      </c>
      <c r="D62" s="17">
        <v>88478</v>
      </c>
      <c r="E62" s="17">
        <f t="shared" si="2"/>
        <v>372260</v>
      </c>
      <c r="F62" s="15">
        <v>243213</v>
      </c>
      <c r="G62" s="16">
        <v>203722</v>
      </c>
      <c r="H62" s="16">
        <v>247180</v>
      </c>
      <c r="I62" s="16">
        <v>255115</v>
      </c>
      <c r="J62" s="16">
        <v>236168</v>
      </c>
      <c r="K62" s="57">
        <v>237820</v>
      </c>
      <c r="L62" s="70">
        <f t="shared" si="3"/>
        <v>1423218</v>
      </c>
      <c r="M62" s="70">
        <f t="shared" si="4"/>
        <v>1795478</v>
      </c>
    </row>
    <row r="63" spans="1:13">
      <c r="A63" s="1" t="s">
        <v>1</v>
      </c>
      <c r="B63" s="4" t="s">
        <v>75</v>
      </c>
      <c r="C63" s="16">
        <v>0</v>
      </c>
      <c r="D63" s="17">
        <v>0</v>
      </c>
      <c r="E63" s="17"/>
      <c r="F63" s="15">
        <v>0</v>
      </c>
      <c r="G63" s="16">
        <v>1</v>
      </c>
      <c r="H63" s="16">
        <v>0</v>
      </c>
      <c r="I63" s="16">
        <v>1</v>
      </c>
      <c r="J63" s="16">
        <v>0</v>
      </c>
      <c r="K63" s="57">
        <v>0</v>
      </c>
      <c r="L63" s="70"/>
      <c r="M63" s="70"/>
    </row>
    <row r="64" spans="1:13" ht="19.5" thickBot="1">
      <c r="A64" s="1" t="s">
        <v>1</v>
      </c>
      <c r="B64" s="5" t="s">
        <v>76</v>
      </c>
      <c r="C64" s="19" t="s">
        <v>77</v>
      </c>
      <c r="D64" s="20" t="s">
        <v>77</v>
      </c>
      <c r="E64" s="20"/>
      <c r="F64" s="18" t="s">
        <v>77</v>
      </c>
      <c r="G64" s="19" t="s">
        <v>77</v>
      </c>
      <c r="H64" s="19" t="s">
        <v>77</v>
      </c>
      <c r="I64" s="19" t="s">
        <v>77</v>
      </c>
      <c r="J64" s="19" t="s">
        <v>77</v>
      </c>
      <c r="K64" s="60" t="s">
        <v>77</v>
      </c>
      <c r="L64" s="73"/>
      <c r="M64" s="73"/>
    </row>
  </sheetData>
  <phoneticPr fontId="4"/>
  <pageMargins left="0.31496062992125984" right="0.11811023622047245" top="0.35433070866141736" bottom="0.35433070866141736" header="0.11811023622047245" footer="0.11811023622047245"/>
  <pageSetup paperSize="12" scale="57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2023年 2月度給与 (2)</vt:lpstr>
      <vt:lpstr>'2023年 2月度給与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2023-03-14T02:19:42Z</cp:lastPrinted>
  <dcterms:created xsi:type="dcterms:W3CDTF">2023-03-08T05:48:10Z</dcterms:created>
  <dcterms:modified xsi:type="dcterms:W3CDTF">2023-03-14T04:15:49Z</dcterms:modified>
</cp:coreProperties>
</file>