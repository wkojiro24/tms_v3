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3\2023.04\"/>
    </mc:Choice>
  </mc:AlternateContent>
  <xr:revisionPtr revIDLastSave="0" documentId="13_ncr:1_{0E373265-7BEE-4DF6-B3CF-9271F50C397B}" xr6:coauthVersionLast="47" xr6:coauthVersionMax="47" xr10:uidLastSave="{00000000-0000-0000-0000-000000000000}"/>
  <bookViews>
    <workbookView xWindow="-120" yWindow="-120" windowWidth="20730" windowHeight="11160" xr2:uid="{22D6A670-07BC-4528-83AC-0874B3C61016}"/>
  </bookViews>
  <sheets>
    <sheet name="2023年4月度給与 (2)" sheetId="3" r:id="rId1"/>
  </sheets>
  <definedNames>
    <definedName name="_xlnm.Print_Area" localSheetId="0">'2023年4月度給与 (2)'!$A$1:$K$46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7" i="3" l="1"/>
  <c r="K21" i="3"/>
  <c r="K25" i="3"/>
  <c r="K29" i="3"/>
  <c r="K33" i="3"/>
  <c r="K37" i="3"/>
  <c r="K41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16" i="3"/>
  <c r="J7" i="3"/>
  <c r="J8" i="3"/>
  <c r="J9" i="3"/>
  <c r="J10" i="3"/>
  <c r="J11" i="3"/>
  <c r="J12" i="3"/>
  <c r="J13" i="3"/>
  <c r="J14" i="3"/>
  <c r="J15" i="3"/>
  <c r="J6" i="3"/>
  <c r="J5" i="3"/>
  <c r="E17" i="3"/>
  <c r="E18" i="3"/>
  <c r="K18" i="3" s="1"/>
  <c r="E19" i="3"/>
  <c r="K19" i="3" s="1"/>
  <c r="E20" i="3"/>
  <c r="K20" i="3" s="1"/>
  <c r="E21" i="3"/>
  <c r="E22" i="3"/>
  <c r="K22" i="3" s="1"/>
  <c r="E23" i="3"/>
  <c r="K23" i="3" s="1"/>
  <c r="E24" i="3"/>
  <c r="K24" i="3" s="1"/>
  <c r="E25" i="3"/>
  <c r="E26" i="3"/>
  <c r="K26" i="3" s="1"/>
  <c r="E27" i="3"/>
  <c r="K27" i="3" s="1"/>
  <c r="E28" i="3"/>
  <c r="K28" i="3" s="1"/>
  <c r="E29" i="3"/>
  <c r="E30" i="3"/>
  <c r="K30" i="3" s="1"/>
  <c r="E31" i="3"/>
  <c r="K31" i="3" s="1"/>
  <c r="E32" i="3"/>
  <c r="K32" i="3" s="1"/>
  <c r="E33" i="3"/>
  <c r="E34" i="3"/>
  <c r="K34" i="3" s="1"/>
  <c r="E35" i="3"/>
  <c r="K35" i="3" s="1"/>
  <c r="E36" i="3"/>
  <c r="K36" i="3" s="1"/>
  <c r="E37" i="3"/>
  <c r="E38" i="3"/>
  <c r="K38" i="3" s="1"/>
  <c r="E39" i="3"/>
  <c r="K39" i="3" s="1"/>
  <c r="E40" i="3"/>
  <c r="K40" i="3" s="1"/>
  <c r="E41" i="3"/>
  <c r="E42" i="3"/>
  <c r="K42" i="3" s="1"/>
  <c r="E43" i="3"/>
  <c r="K43" i="3" s="1"/>
  <c r="E44" i="3"/>
  <c r="K44" i="3" s="1"/>
  <c r="E16" i="3"/>
  <c r="K16" i="3" s="1"/>
  <c r="E7" i="3"/>
  <c r="K7" i="3" s="1"/>
  <c r="E8" i="3"/>
  <c r="K8" i="3" s="1"/>
  <c r="E9" i="3"/>
  <c r="K9" i="3" s="1"/>
  <c r="E10" i="3"/>
  <c r="K10" i="3" s="1"/>
  <c r="E11" i="3"/>
  <c r="K11" i="3" s="1"/>
  <c r="E12" i="3"/>
  <c r="K12" i="3" s="1"/>
  <c r="E13" i="3"/>
  <c r="K13" i="3" s="1"/>
  <c r="E14" i="3"/>
  <c r="K14" i="3" s="1"/>
  <c r="E15" i="3"/>
  <c r="K15" i="3" s="1"/>
  <c r="E6" i="3"/>
  <c r="K6" i="3" s="1"/>
  <c r="E5" i="3"/>
  <c r="K5" i="3" s="1"/>
</calcChain>
</file>

<file path=xl/sharedStrings.xml><?xml version="1.0" encoding="utf-8"?>
<sst xmlns="http://schemas.openxmlformats.org/spreadsheetml/2006/main" count="111" uniqueCount="61">
  <si>
    <t>支給控除一覧表</t>
    <phoneticPr fontId="4"/>
  </si>
  <si>
    <t/>
  </si>
  <si>
    <t>1049</t>
    <phoneticPr fontId="4"/>
  </si>
  <si>
    <t>1050</t>
    <phoneticPr fontId="4"/>
  </si>
  <si>
    <t>1053</t>
    <phoneticPr fontId="4"/>
  </si>
  <si>
    <t>1078</t>
    <phoneticPr fontId="4"/>
  </si>
  <si>
    <t>1090</t>
    <phoneticPr fontId="4"/>
  </si>
  <si>
    <t>1101</t>
    <phoneticPr fontId="4"/>
  </si>
  <si>
    <t>項目名</t>
    <phoneticPr fontId="4"/>
  </si>
  <si>
    <t>菅原　幸志</t>
    <phoneticPr fontId="4"/>
  </si>
  <si>
    <t>伊藤　正典</t>
    <phoneticPr fontId="4"/>
  </si>
  <si>
    <t>高田　智幸</t>
    <phoneticPr fontId="4"/>
  </si>
  <si>
    <t>伊藤　尚</t>
    <phoneticPr fontId="4"/>
  </si>
  <si>
    <t>橋本　淳志</t>
    <phoneticPr fontId="4"/>
  </si>
  <si>
    <t>阿部　優子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</si>
  <si>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</si>
  <si>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</si>
  <si>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</si>
  <si>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</si>
  <si>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有休日数</t>
    <phoneticPr fontId="4"/>
  </si>
  <si>
    <t>就労時間</t>
    <phoneticPr fontId="4"/>
  </si>
  <si>
    <t>平日残業</t>
    <phoneticPr fontId="4"/>
  </si>
  <si>
    <t>法定休日時間</t>
    <phoneticPr fontId="4"/>
  </si>
  <si>
    <t>法定外休時間</t>
    <phoneticPr fontId="4"/>
  </si>
  <si>
    <t>割増残業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</si>
  <si>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</si>
  <si>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</si>
  <si>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</si>
  <si>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</si>
  <si>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</si>
  <si>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</si>
  <si>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基本給2</t>
    <phoneticPr fontId="4"/>
  </si>
  <si>
    <t>無事故報奨金</t>
    <phoneticPr fontId="4"/>
  </si>
  <si>
    <t>無事故加算</t>
    <phoneticPr fontId="4"/>
  </si>
  <si>
    <t>調整加算</t>
    <phoneticPr fontId="4"/>
  </si>
  <si>
    <t>法定休日残業</t>
    <phoneticPr fontId="4"/>
  </si>
  <si>
    <t>法定外休日残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</si>
  <si>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</si>
  <si>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</si>
  <si>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</si>
  <si>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</si>
  <si>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</si>
  <si>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</si>
  <si>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</si>
  <si>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</si>
  <si>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</si>
  <si>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</si>
  <si>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住民税</t>
    <phoneticPr fontId="4"/>
  </si>
  <si>
    <t>会社立替</t>
    <phoneticPr fontId="4"/>
  </si>
  <si>
    <t>控除合計</t>
    <phoneticPr fontId="4"/>
  </si>
  <si>
    <t>課税対象額</t>
    <phoneticPr fontId="4"/>
  </si>
  <si>
    <t>差引支給合計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</si>
  <si>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</si>
  <si>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</si>
  <si>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</si>
  <si>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</si>
  <si>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2023年 4月度給与</t>
    <phoneticPr fontId="4"/>
  </si>
  <si>
    <t>小計</t>
    <rPh sb="0" eb="2">
      <t>ショウケイ</t>
    </rPh>
    <phoneticPr fontId="3"/>
  </si>
  <si>
    <t>２名</t>
    <rPh sb="1" eb="2">
      <t>メイ</t>
    </rPh>
    <phoneticPr fontId="3"/>
  </si>
  <si>
    <t>4名</t>
    <rPh sb="1" eb="2">
      <t>メイ</t>
    </rPh>
    <phoneticPr fontId="3"/>
  </si>
  <si>
    <t>６名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</si>
</sst>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indexed="64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medium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medium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78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49" fontId="2" fillId="0" borderId="1" xfId="1" applyNumberFormat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49" fontId="2" fillId="0" borderId="4" xfId="1" applyNumberFormat="1" applyFont="1" applyBorder="1" applyAlignment="1">
      <alignment horizontal="left"/>
    </xf>
    <xf numFmtId="3" fontId="2" fillId="0" borderId="0" xfId="1" applyNumberFormat="1" applyFont="1"/>
    <xf numFmtId="3" fontId="2" fillId="0" borderId="4" xfId="1" applyNumberFormat="1" applyFont="1" applyBorder="1"/>
    <xf numFmtId="49" fontId="2" fillId="0" borderId="3" xfId="1" applyNumberFormat="1" applyFont="1" applyBorder="1" applyAlignment="1">
      <alignment horizontal="left"/>
    </xf>
    <xf numFmtId="49" fontId="2" fillId="0" borderId="1" xfId="1" applyNumberFormat="1" applyFont="1" applyBorder="1"/>
    <xf numFmtId="49" fontId="2" fillId="0" borderId="3" xfId="1" applyNumberFormat="1" applyFont="1" applyBorder="1"/>
    <xf numFmtId="0" fontId="2" fillId="0" borderId="5" xfId="1" applyFont="1" applyBorder="1" applyAlignment="1">
      <alignment horizontal="center"/>
    </xf>
    <xf numFmtId="49" fontId="2" fillId="0" borderId="6" xfId="1" applyNumberFormat="1" applyFont="1" applyBorder="1" applyAlignment="1">
      <alignment horizontal="left"/>
    </xf>
    <xf numFmtId="2" fontId="2" fillId="0" borderId="7" xfId="1" applyNumberFormat="1" applyFont="1" applyBorder="1"/>
    <xf numFmtId="2" fontId="2" fillId="0" borderId="6" xfId="1" applyNumberFormat="1" applyFont="1" applyBorder="1"/>
    <xf numFmtId="49" fontId="2" fillId="0" borderId="8" xfId="1" applyNumberFormat="1" applyFont="1" applyBorder="1" applyAlignment="1">
      <alignment horizontal="left"/>
    </xf>
    <xf numFmtId="3" fontId="2" fillId="0" borderId="9" xfId="1" applyNumberFormat="1" applyFont="1" applyBorder="1"/>
    <xf numFmtId="3" fontId="2" fillId="0" borderId="8" xfId="1" applyNumberFormat="1" applyFont="1" applyBorder="1"/>
    <xf numFmtId="49" fontId="2" fillId="0" borderId="2" xfId="1" applyNumberFormat="1" applyFont="1" applyBorder="1" applyAlignment="1">
      <alignment horizontal="left"/>
    </xf>
    <xf numFmtId="3" fontId="2" fillId="0" borderId="10" xfId="1" applyNumberFormat="1" applyFont="1" applyBorder="1"/>
    <xf numFmtId="3" fontId="2" fillId="0" borderId="2" xfId="1" applyNumberFormat="1" applyFont="1" applyBorder="1"/>
    <xf numFmtId="49" fontId="2" fillId="0" borderId="11" xfId="1" applyNumberFormat="1" applyFont="1" applyBorder="1" applyAlignment="1">
      <alignment horizontal="left"/>
    </xf>
    <xf numFmtId="3" fontId="2" fillId="0" borderId="12" xfId="1" applyNumberFormat="1" applyFont="1" applyBorder="1"/>
    <xf numFmtId="3" fontId="2" fillId="0" borderId="11" xfId="1" applyNumberFormat="1" applyFont="1" applyBorder="1"/>
    <xf numFmtId="49" fontId="2" fillId="0" borderId="13" xfId="1" applyNumberFormat="1" applyFont="1" applyBorder="1" applyAlignment="1">
      <alignment horizontal="left"/>
    </xf>
    <xf numFmtId="3" fontId="2" fillId="0" borderId="14" xfId="1" applyNumberFormat="1" applyFont="1" applyBorder="1"/>
    <xf numFmtId="3" fontId="2" fillId="0" borderId="13" xfId="1" applyNumberFormat="1" applyFont="1" applyBorder="1"/>
    <xf numFmtId="49" fontId="2" fillId="0" borderId="15" xfId="1" applyNumberFormat="1" applyFont="1" applyBorder="1" applyAlignment="1">
      <alignment horizontal="left"/>
    </xf>
    <xf numFmtId="3" fontId="2" fillId="0" borderId="16" xfId="1" applyNumberFormat="1" applyFont="1" applyBorder="1"/>
    <xf numFmtId="3" fontId="2" fillId="0" borderId="15" xfId="1" applyNumberFormat="1" applyFont="1" applyBorder="1"/>
    <xf numFmtId="2" fontId="2" fillId="0" borderId="14" xfId="1" applyNumberFormat="1" applyFont="1" applyBorder="1"/>
    <xf numFmtId="2" fontId="2" fillId="0" borderId="13" xfId="1" applyNumberFormat="1" applyFont="1" applyBorder="1"/>
    <xf numFmtId="2" fontId="2" fillId="0" borderId="16" xfId="1" applyNumberFormat="1" applyFont="1" applyBorder="1"/>
    <xf numFmtId="2" fontId="2" fillId="0" borderId="15" xfId="1" applyNumberFormat="1" applyFont="1" applyBorder="1"/>
    <xf numFmtId="176" fontId="2" fillId="0" borderId="16" xfId="1" applyNumberFormat="1" applyFont="1" applyBorder="1"/>
    <xf numFmtId="176" fontId="2" fillId="0" borderId="15" xfId="1" applyNumberFormat="1" applyFont="1" applyBorder="1"/>
    <xf numFmtId="49" fontId="2" fillId="0" borderId="18" xfId="1" applyNumberFormat="1" applyFont="1" applyBorder="1" applyAlignment="1">
      <alignment horizontal="center"/>
    </xf>
    <xf numFmtId="49" fontId="2" fillId="0" borderId="19" xfId="1" applyNumberFormat="1" applyFont="1" applyBorder="1" applyAlignment="1">
      <alignment horizontal="center"/>
    </xf>
    <xf numFmtId="49" fontId="2" fillId="0" borderId="20" xfId="1" applyNumberFormat="1" applyFont="1" applyBorder="1" applyAlignment="1">
      <alignment horizontal="center"/>
    </xf>
    <xf numFmtId="49" fontId="2" fillId="0" borderId="21" xfId="1" applyNumberFormat="1" applyFont="1" applyBorder="1" applyAlignment="1">
      <alignment horizontal="center"/>
    </xf>
    <xf numFmtId="2" fontId="2" fillId="0" borderId="22" xfId="1" applyNumberFormat="1" applyFont="1" applyBorder="1"/>
    <xf numFmtId="2" fontId="2" fillId="0" borderId="23" xfId="1" applyNumberFormat="1" applyFont="1" applyBorder="1"/>
    <xf numFmtId="2" fontId="2" fillId="0" borderId="24" xfId="1" applyNumberFormat="1" applyFont="1" applyBorder="1"/>
    <xf numFmtId="2" fontId="2" fillId="0" borderId="25" xfId="1" applyNumberFormat="1" applyFont="1" applyBorder="1"/>
    <xf numFmtId="176" fontId="2" fillId="0" borderId="24" xfId="1" applyNumberFormat="1" applyFont="1" applyBorder="1"/>
    <xf numFmtId="176" fontId="2" fillId="0" borderId="25" xfId="1" applyNumberFormat="1" applyFont="1" applyBorder="1"/>
    <xf numFmtId="2" fontId="2" fillId="0" borderId="26" xfId="1" applyNumberFormat="1" applyFont="1" applyBorder="1"/>
    <xf numFmtId="2" fontId="2" fillId="0" borderId="27" xfId="1" applyNumberFormat="1" applyFont="1" applyBorder="1"/>
    <xf numFmtId="3" fontId="2" fillId="0" borderId="28" xfId="1" applyNumberFormat="1" applyFont="1" applyBorder="1"/>
    <xf numFmtId="3" fontId="2" fillId="0" borderId="29" xfId="1" applyNumberFormat="1" applyFont="1" applyBorder="1"/>
    <xf numFmtId="3" fontId="2" fillId="0" borderId="24" xfId="1" applyNumberFormat="1" applyFont="1" applyBorder="1"/>
    <xf numFmtId="3" fontId="2" fillId="0" borderId="25" xfId="1" applyNumberFormat="1" applyFont="1" applyBorder="1"/>
    <xf numFmtId="3" fontId="2" fillId="0" borderId="30" xfId="1" applyNumberFormat="1" applyFont="1" applyBorder="1"/>
    <xf numFmtId="3" fontId="2" fillId="0" borderId="31" xfId="1" applyNumberFormat="1" applyFont="1" applyBorder="1"/>
    <xf numFmtId="3" fontId="2" fillId="0" borderId="32" xfId="1" applyNumberFormat="1" applyFont="1" applyBorder="1"/>
    <xf numFmtId="3" fontId="2" fillId="0" borderId="33" xfId="1" applyNumberFormat="1" applyFont="1" applyBorder="1"/>
    <xf numFmtId="3" fontId="2" fillId="0" borderId="17" xfId="1" applyNumberFormat="1" applyFont="1" applyBorder="1"/>
    <xf numFmtId="3" fontId="2" fillId="0" borderId="34" xfId="1" applyNumberFormat="1" applyFont="1" applyBorder="1"/>
    <xf numFmtId="3" fontId="2" fillId="0" borderId="22" xfId="1" applyNumberFormat="1" applyFont="1" applyBorder="1"/>
    <xf numFmtId="3" fontId="2" fillId="0" borderId="23" xfId="1" applyNumberFormat="1" applyFont="1" applyBorder="1"/>
    <xf numFmtId="49" fontId="2" fillId="0" borderId="20" xfId="1" applyNumberFormat="1" applyFont="1" applyBorder="1"/>
    <xf numFmtId="49" fontId="2" fillId="0" borderId="21" xfId="1" applyNumberFormat="1" applyFont="1" applyBorder="1"/>
    <xf numFmtId="49" fontId="2" fillId="0" borderId="35" xfId="1" applyNumberFormat="1" applyFont="1" applyBorder="1" applyAlignment="1">
      <alignment horizontal="center"/>
    </xf>
    <xf numFmtId="0" fontId="2" fillId="0" borderId="3" xfId="1" applyFont="1" applyBorder="1" applyAlignment="1">
      <alignment horizontal="right"/>
    </xf>
    <xf numFmtId="49" fontId="2" fillId="0" borderId="5" xfId="1" applyNumberFormat="1" applyFont="1" applyBorder="1" applyAlignment="1">
      <alignment horizontal="left"/>
    </xf>
    <xf numFmtId="49" fontId="2" fillId="0" borderId="3" xfId="1" applyNumberFormat="1" applyFont="1" applyBorder="1" applyAlignment="1">
      <alignment horizontal="right"/>
    </xf>
    <xf numFmtId="49" fontId="2" fillId="0" borderId="35" xfId="1" applyNumberFormat="1" applyFont="1" applyBorder="1" applyAlignment="1">
      <alignment horizontal="left"/>
    </xf>
    <xf numFmtId="49" fontId="2" fillId="0" borderId="1" xfId="1" applyNumberFormat="1" applyFont="1" applyBorder="1" applyAlignment="1">
      <alignment horizontal="right"/>
    </xf>
    <xf numFmtId="2" fontId="2" fillId="0" borderId="36" xfId="1" applyNumberFormat="1" applyFont="1" applyBorder="1"/>
    <xf numFmtId="176" fontId="2" fillId="0" borderId="36" xfId="1" applyNumberFormat="1" applyFont="1" applyBorder="1"/>
    <xf numFmtId="2" fontId="2" fillId="0" borderId="37" xfId="1" applyNumberFormat="1" applyFont="1" applyBorder="1"/>
    <xf numFmtId="3" fontId="2" fillId="0" borderId="38" xfId="1" applyNumberFormat="1" applyFont="1" applyBorder="1"/>
    <xf numFmtId="3" fontId="2" fillId="0" borderId="36" xfId="1" applyNumberFormat="1" applyFont="1" applyBorder="1"/>
    <xf numFmtId="3" fontId="2" fillId="0" borderId="39" xfId="1" applyNumberFormat="1" applyFont="1" applyBorder="1"/>
    <xf numFmtId="3" fontId="2" fillId="0" borderId="40" xfId="1" applyNumberFormat="1" applyFont="1" applyBorder="1"/>
    <xf numFmtId="3" fontId="2" fillId="0" borderId="41" xfId="1" applyNumberFormat="1" applyFont="1" applyBorder="1"/>
    <xf numFmtId="3" fontId="2" fillId="0" borderId="42" xfId="1" applyNumberFormat="1" applyFont="1" applyBorder="1"/>
    <xf numFmtId="0" fontId="2" fillId="0" borderId="5" xfId="1" applyFont="1" applyBorder="1"/>
  </cellXfs>
  <cellStyles count="2">
    <cellStyle name="標準" xfId="0" builtinId="0"/>
    <cellStyle name="標準 2" xfId="1" xr:uid="{CAB82844-7AEE-478A-87F5-74B74F29C54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2925F-68DE-4716-80AD-5ACB962B9F0B}">
  <sheetPr>
    <pageSetUpPr fitToPage="1"/>
  </sheetPr>
  <dimension ref="A1:K46"/>
  <sheetViews>
    <sheetView tabSelected="1"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D38" sqref="D38"/>
    </sheetView>
  </sheetViews>
  <sheetFormatPr defaultRowHeight="18.75"/>
  <cols>
    <col min="1" max="1" width="2.375" style="2" customWidth="1"/>
    <col min="2" max="2" width="13.25" style="2" bestFit="1" customWidth="1"/>
    <col min="3" max="11" width="11.75" style="2" customWidth="1"/>
    <col min="12" max="257" width="9" style="2"/>
    <col min="258" max="258" width="2.375" style="2" customWidth="1"/>
    <col min="259" max="259" width="13.25" style="2" bestFit="1" customWidth="1"/>
    <col min="260" max="262" width="11.125" style="2" bestFit="1" customWidth="1"/>
    <col min="263" max="263" width="9" style="2"/>
    <col min="264" max="265" width="11.125" style="2" bestFit="1" customWidth="1"/>
    <col min="266" max="266" width="9.625" style="2" bestFit="1" customWidth="1"/>
    <col min="267" max="513" width="9" style="2"/>
    <col min="514" max="514" width="2.375" style="2" customWidth="1"/>
    <col min="515" max="515" width="13.25" style="2" bestFit="1" customWidth="1"/>
    <col min="516" max="518" width="11.125" style="2" bestFit="1" customWidth="1"/>
    <col min="519" max="519" width="9" style="2"/>
    <col min="520" max="521" width="11.125" style="2" bestFit="1" customWidth="1"/>
    <col min="522" max="522" width="9.625" style="2" bestFit="1" customWidth="1"/>
    <col min="523" max="769" width="9" style="2"/>
    <col min="770" max="770" width="2.375" style="2" customWidth="1"/>
    <col min="771" max="771" width="13.25" style="2" bestFit="1" customWidth="1"/>
    <col min="772" max="774" width="11.125" style="2" bestFit="1" customWidth="1"/>
    <col min="775" max="775" width="9" style="2"/>
    <col min="776" max="777" width="11.125" style="2" bestFit="1" customWidth="1"/>
    <col min="778" max="778" width="9.625" style="2" bestFit="1" customWidth="1"/>
    <col min="779" max="1025" width="9" style="2"/>
    <col min="1026" max="1026" width="2.375" style="2" customWidth="1"/>
    <col min="1027" max="1027" width="13.25" style="2" bestFit="1" customWidth="1"/>
    <col min="1028" max="1030" width="11.125" style="2" bestFit="1" customWidth="1"/>
    <col min="1031" max="1031" width="9" style="2"/>
    <col min="1032" max="1033" width="11.125" style="2" bestFit="1" customWidth="1"/>
    <col min="1034" max="1034" width="9.625" style="2" bestFit="1" customWidth="1"/>
    <col min="1035" max="1281" width="9" style="2"/>
    <col min="1282" max="1282" width="2.375" style="2" customWidth="1"/>
    <col min="1283" max="1283" width="13.25" style="2" bestFit="1" customWidth="1"/>
    <col min="1284" max="1286" width="11.125" style="2" bestFit="1" customWidth="1"/>
    <col min="1287" max="1287" width="9" style="2"/>
    <col min="1288" max="1289" width="11.125" style="2" bestFit="1" customWidth="1"/>
    <col min="1290" max="1290" width="9.625" style="2" bestFit="1" customWidth="1"/>
    <col min="1291" max="1537" width="9" style="2"/>
    <col min="1538" max="1538" width="2.375" style="2" customWidth="1"/>
    <col min="1539" max="1539" width="13.25" style="2" bestFit="1" customWidth="1"/>
    <col min="1540" max="1542" width="11.125" style="2" bestFit="1" customWidth="1"/>
    <col min="1543" max="1543" width="9" style="2"/>
    <col min="1544" max="1545" width="11.125" style="2" bestFit="1" customWidth="1"/>
    <col min="1546" max="1546" width="9.625" style="2" bestFit="1" customWidth="1"/>
    <col min="1547" max="1793" width="9" style="2"/>
    <col min="1794" max="1794" width="2.375" style="2" customWidth="1"/>
    <col min="1795" max="1795" width="13.25" style="2" bestFit="1" customWidth="1"/>
    <col min="1796" max="1798" width="11.125" style="2" bestFit="1" customWidth="1"/>
    <col min="1799" max="1799" width="9" style="2"/>
    <col min="1800" max="1801" width="11.125" style="2" bestFit="1" customWidth="1"/>
    <col min="1802" max="1802" width="9.625" style="2" bestFit="1" customWidth="1"/>
    <col min="1803" max="2049" width="9" style="2"/>
    <col min="2050" max="2050" width="2.375" style="2" customWidth="1"/>
    <col min="2051" max="2051" width="13.25" style="2" bestFit="1" customWidth="1"/>
    <col min="2052" max="2054" width="11.125" style="2" bestFit="1" customWidth="1"/>
    <col min="2055" max="2055" width="9" style="2"/>
    <col min="2056" max="2057" width="11.125" style="2" bestFit="1" customWidth="1"/>
    <col min="2058" max="2058" width="9.625" style="2" bestFit="1" customWidth="1"/>
    <col min="2059" max="2305" width="9" style="2"/>
    <col min="2306" max="2306" width="2.375" style="2" customWidth="1"/>
    <col min="2307" max="2307" width="13.25" style="2" bestFit="1" customWidth="1"/>
    <col min="2308" max="2310" width="11.125" style="2" bestFit="1" customWidth="1"/>
    <col min="2311" max="2311" width="9" style="2"/>
    <col min="2312" max="2313" width="11.125" style="2" bestFit="1" customWidth="1"/>
    <col min="2314" max="2314" width="9.625" style="2" bestFit="1" customWidth="1"/>
    <col min="2315" max="2561" width="9" style="2"/>
    <col min="2562" max="2562" width="2.375" style="2" customWidth="1"/>
    <col min="2563" max="2563" width="13.25" style="2" bestFit="1" customWidth="1"/>
    <col min="2564" max="2566" width="11.125" style="2" bestFit="1" customWidth="1"/>
    <col min="2567" max="2567" width="9" style="2"/>
    <col min="2568" max="2569" width="11.125" style="2" bestFit="1" customWidth="1"/>
    <col min="2570" max="2570" width="9.625" style="2" bestFit="1" customWidth="1"/>
    <col min="2571" max="2817" width="9" style="2"/>
    <col min="2818" max="2818" width="2.375" style="2" customWidth="1"/>
    <col min="2819" max="2819" width="13.25" style="2" bestFit="1" customWidth="1"/>
    <col min="2820" max="2822" width="11.125" style="2" bestFit="1" customWidth="1"/>
    <col min="2823" max="2823" width="9" style="2"/>
    <col min="2824" max="2825" width="11.125" style="2" bestFit="1" customWidth="1"/>
    <col min="2826" max="2826" width="9.625" style="2" bestFit="1" customWidth="1"/>
    <col min="2827" max="3073" width="9" style="2"/>
    <col min="3074" max="3074" width="2.375" style="2" customWidth="1"/>
    <col min="3075" max="3075" width="13.25" style="2" bestFit="1" customWidth="1"/>
    <col min="3076" max="3078" width="11.125" style="2" bestFit="1" customWidth="1"/>
    <col min="3079" max="3079" width="9" style="2"/>
    <col min="3080" max="3081" width="11.125" style="2" bestFit="1" customWidth="1"/>
    <col min="3082" max="3082" width="9.625" style="2" bestFit="1" customWidth="1"/>
    <col min="3083" max="3329" width="9" style="2"/>
    <col min="3330" max="3330" width="2.375" style="2" customWidth="1"/>
    <col min="3331" max="3331" width="13.25" style="2" bestFit="1" customWidth="1"/>
    <col min="3332" max="3334" width="11.125" style="2" bestFit="1" customWidth="1"/>
    <col min="3335" max="3335" width="9" style="2"/>
    <col min="3336" max="3337" width="11.125" style="2" bestFit="1" customWidth="1"/>
    <col min="3338" max="3338" width="9.625" style="2" bestFit="1" customWidth="1"/>
    <col min="3339" max="3585" width="9" style="2"/>
    <col min="3586" max="3586" width="2.375" style="2" customWidth="1"/>
    <col min="3587" max="3587" width="13.25" style="2" bestFit="1" customWidth="1"/>
    <col min="3588" max="3590" width="11.125" style="2" bestFit="1" customWidth="1"/>
    <col min="3591" max="3591" width="9" style="2"/>
    <col min="3592" max="3593" width="11.125" style="2" bestFit="1" customWidth="1"/>
    <col min="3594" max="3594" width="9.625" style="2" bestFit="1" customWidth="1"/>
    <col min="3595" max="3841" width="9" style="2"/>
    <col min="3842" max="3842" width="2.375" style="2" customWidth="1"/>
    <col min="3843" max="3843" width="13.25" style="2" bestFit="1" customWidth="1"/>
    <col min="3844" max="3846" width="11.125" style="2" bestFit="1" customWidth="1"/>
    <col min="3847" max="3847" width="9" style="2"/>
    <col min="3848" max="3849" width="11.125" style="2" bestFit="1" customWidth="1"/>
    <col min="3850" max="3850" width="9.625" style="2" bestFit="1" customWidth="1"/>
    <col min="3851" max="4097" width="9" style="2"/>
    <col min="4098" max="4098" width="2.375" style="2" customWidth="1"/>
    <col min="4099" max="4099" width="13.25" style="2" bestFit="1" customWidth="1"/>
    <col min="4100" max="4102" width="11.125" style="2" bestFit="1" customWidth="1"/>
    <col min="4103" max="4103" width="9" style="2"/>
    <col min="4104" max="4105" width="11.125" style="2" bestFit="1" customWidth="1"/>
    <col min="4106" max="4106" width="9.625" style="2" bestFit="1" customWidth="1"/>
    <col min="4107" max="4353" width="9" style="2"/>
    <col min="4354" max="4354" width="2.375" style="2" customWidth="1"/>
    <col min="4355" max="4355" width="13.25" style="2" bestFit="1" customWidth="1"/>
    <col min="4356" max="4358" width="11.125" style="2" bestFit="1" customWidth="1"/>
    <col min="4359" max="4359" width="9" style="2"/>
    <col min="4360" max="4361" width="11.125" style="2" bestFit="1" customWidth="1"/>
    <col min="4362" max="4362" width="9.625" style="2" bestFit="1" customWidth="1"/>
    <col min="4363" max="4609" width="9" style="2"/>
    <col min="4610" max="4610" width="2.375" style="2" customWidth="1"/>
    <col min="4611" max="4611" width="13.25" style="2" bestFit="1" customWidth="1"/>
    <col min="4612" max="4614" width="11.125" style="2" bestFit="1" customWidth="1"/>
    <col min="4615" max="4615" width="9" style="2"/>
    <col min="4616" max="4617" width="11.125" style="2" bestFit="1" customWidth="1"/>
    <col min="4618" max="4618" width="9.625" style="2" bestFit="1" customWidth="1"/>
    <col min="4619" max="4865" width="9" style="2"/>
    <col min="4866" max="4866" width="2.375" style="2" customWidth="1"/>
    <col min="4867" max="4867" width="13.25" style="2" bestFit="1" customWidth="1"/>
    <col min="4868" max="4870" width="11.125" style="2" bestFit="1" customWidth="1"/>
    <col min="4871" max="4871" width="9" style="2"/>
    <col min="4872" max="4873" width="11.125" style="2" bestFit="1" customWidth="1"/>
    <col min="4874" max="4874" width="9.625" style="2" bestFit="1" customWidth="1"/>
    <col min="4875" max="5121" width="9" style="2"/>
    <col min="5122" max="5122" width="2.375" style="2" customWidth="1"/>
    <col min="5123" max="5123" width="13.25" style="2" bestFit="1" customWidth="1"/>
    <col min="5124" max="5126" width="11.125" style="2" bestFit="1" customWidth="1"/>
    <col min="5127" max="5127" width="9" style="2"/>
    <col min="5128" max="5129" width="11.125" style="2" bestFit="1" customWidth="1"/>
    <col min="5130" max="5130" width="9.625" style="2" bestFit="1" customWidth="1"/>
    <col min="5131" max="5377" width="9" style="2"/>
    <col min="5378" max="5378" width="2.375" style="2" customWidth="1"/>
    <col min="5379" max="5379" width="13.25" style="2" bestFit="1" customWidth="1"/>
    <col min="5380" max="5382" width="11.125" style="2" bestFit="1" customWidth="1"/>
    <col min="5383" max="5383" width="9" style="2"/>
    <col min="5384" max="5385" width="11.125" style="2" bestFit="1" customWidth="1"/>
    <col min="5386" max="5386" width="9.625" style="2" bestFit="1" customWidth="1"/>
    <col min="5387" max="5633" width="9" style="2"/>
    <col min="5634" max="5634" width="2.375" style="2" customWidth="1"/>
    <col min="5635" max="5635" width="13.25" style="2" bestFit="1" customWidth="1"/>
    <col min="5636" max="5638" width="11.125" style="2" bestFit="1" customWidth="1"/>
    <col min="5639" max="5639" width="9" style="2"/>
    <col min="5640" max="5641" width="11.125" style="2" bestFit="1" customWidth="1"/>
    <col min="5642" max="5642" width="9.625" style="2" bestFit="1" customWidth="1"/>
    <col min="5643" max="5889" width="9" style="2"/>
    <col min="5890" max="5890" width="2.375" style="2" customWidth="1"/>
    <col min="5891" max="5891" width="13.25" style="2" bestFit="1" customWidth="1"/>
    <col min="5892" max="5894" width="11.125" style="2" bestFit="1" customWidth="1"/>
    <col min="5895" max="5895" width="9" style="2"/>
    <col min="5896" max="5897" width="11.125" style="2" bestFit="1" customWidth="1"/>
    <col min="5898" max="5898" width="9.625" style="2" bestFit="1" customWidth="1"/>
    <col min="5899" max="6145" width="9" style="2"/>
    <col min="6146" max="6146" width="2.375" style="2" customWidth="1"/>
    <col min="6147" max="6147" width="13.25" style="2" bestFit="1" customWidth="1"/>
    <col min="6148" max="6150" width="11.125" style="2" bestFit="1" customWidth="1"/>
    <col min="6151" max="6151" width="9" style="2"/>
    <col min="6152" max="6153" width="11.125" style="2" bestFit="1" customWidth="1"/>
    <col min="6154" max="6154" width="9.625" style="2" bestFit="1" customWidth="1"/>
    <col min="6155" max="6401" width="9" style="2"/>
    <col min="6402" max="6402" width="2.375" style="2" customWidth="1"/>
    <col min="6403" max="6403" width="13.25" style="2" bestFit="1" customWidth="1"/>
    <col min="6404" max="6406" width="11.125" style="2" bestFit="1" customWidth="1"/>
    <col min="6407" max="6407" width="9" style="2"/>
    <col min="6408" max="6409" width="11.125" style="2" bestFit="1" customWidth="1"/>
    <col min="6410" max="6410" width="9.625" style="2" bestFit="1" customWidth="1"/>
    <col min="6411" max="6657" width="9" style="2"/>
    <col min="6658" max="6658" width="2.375" style="2" customWidth="1"/>
    <col min="6659" max="6659" width="13.25" style="2" bestFit="1" customWidth="1"/>
    <col min="6660" max="6662" width="11.125" style="2" bestFit="1" customWidth="1"/>
    <col min="6663" max="6663" width="9" style="2"/>
    <col min="6664" max="6665" width="11.125" style="2" bestFit="1" customWidth="1"/>
    <col min="6666" max="6666" width="9.625" style="2" bestFit="1" customWidth="1"/>
    <col min="6667" max="6913" width="9" style="2"/>
    <col min="6914" max="6914" width="2.375" style="2" customWidth="1"/>
    <col min="6915" max="6915" width="13.25" style="2" bestFit="1" customWidth="1"/>
    <col min="6916" max="6918" width="11.125" style="2" bestFit="1" customWidth="1"/>
    <col min="6919" max="6919" width="9" style="2"/>
    <col min="6920" max="6921" width="11.125" style="2" bestFit="1" customWidth="1"/>
    <col min="6922" max="6922" width="9.625" style="2" bestFit="1" customWidth="1"/>
    <col min="6923" max="7169" width="9" style="2"/>
    <col min="7170" max="7170" width="2.375" style="2" customWidth="1"/>
    <col min="7171" max="7171" width="13.25" style="2" bestFit="1" customWidth="1"/>
    <col min="7172" max="7174" width="11.125" style="2" bestFit="1" customWidth="1"/>
    <col min="7175" max="7175" width="9" style="2"/>
    <col min="7176" max="7177" width="11.125" style="2" bestFit="1" customWidth="1"/>
    <col min="7178" max="7178" width="9.625" style="2" bestFit="1" customWidth="1"/>
    <col min="7179" max="7425" width="9" style="2"/>
    <col min="7426" max="7426" width="2.375" style="2" customWidth="1"/>
    <col min="7427" max="7427" width="13.25" style="2" bestFit="1" customWidth="1"/>
    <col min="7428" max="7430" width="11.125" style="2" bestFit="1" customWidth="1"/>
    <col min="7431" max="7431" width="9" style="2"/>
    <col min="7432" max="7433" width="11.125" style="2" bestFit="1" customWidth="1"/>
    <col min="7434" max="7434" width="9.625" style="2" bestFit="1" customWidth="1"/>
    <col min="7435" max="7681" width="9" style="2"/>
    <col min="7682" max="7682" width="2.375" style="2" customWidth="1"/>
    <col min="7683" max="7683" width="13.25" style="2" bestFit="1" customWidth="1"/>
    <col min="7684" max="7686" width="11.125" style="2" bestFit="1" customWidth="1"/>
    <col min="7687" max="7687" width="9" style="2"/>
    <col min="7688" max="7689" width="11.125" style="2" bestFit="1" customWidth="1"/>
    <col min="7690" max="7690" width="9.625" style="2" bestFit="1" customWidth="1"/>
    <col min="7691" max="7937" width="9" style="2"/>
    <col min="7938" max="7938" width="2.375" style="2" customWidth="1"/>
    <col min="7939" max="7939" width="13.25" style="2" bestFit="1" customWidth="1"/>
    <col min="7940" max="7942" width="11.125" style="2" bestFit="1" customWidth="1"/>
    <col min="7943" max="7943" width="9" style="2"/>
    <col min="7944" max="7945" width="11.125" style="2" bestFit="1" customWidth="1"/>
    <col min="7946" max="7946" width="9.625" style="2" bestFit="1" customWidth="1"/>
    <col min="7947" max="8193" width="9" style="2"/>
    <col min="8194" max="8194" width="2.375" style="2" customWidth="1"/>
    <col min="8195" max="8195" width="13.25" style="2" bestFit="1" customWidth="1"/>
    <col min="8196" max="8198" width="11.125" style="2" bestFit="1" customWidth="1"/>
    <col min="8199" max="8199" width="9" style="2"/>
    <col min="8200" max="8201" width="11.125" style="2" bestFit="1" customWidth="1"/>
    <col min="8202" max="8202" width="9.625" style="2" bestFit="1" customWidth="1"/>
    <col min="8203" max="8449" width="9" style="2"/>
    <col min="8450" max="8450" width="2.375" style="2" customWidth="1"/>
    <col min="8451" max="8451" width="13.25" style="2" bestFit="1" customWidth="1"/>
    <col min="8452" max="8454" width="11.125" style="2" bestFit="1" customWidth="1"/>
    <col min="8455" max="8455" width="9" style="2"/>
    <col min="8456" max="8457" width="11.125" style="2" bestFit="1" customWidth="1"/>
    <col min="8458" max="8458" width="9.625" style="2" bestFit="1" customWidth="1"/>
    <col min="8459" max="8705" width="9" style="2"/>
    <col min="8706" max="8706" width="2.375" style="2" customWidth="1"/>
    <col min="8707" max="8707" width="13.25" style="2" bestFit="1" customWidth="1"/>
    <col min="8708" max="8710" width="11.125" style="2" bestFit="1" customWidth="1"/>
    <col min="8711" max="8711" width="9" style="2"/>
    <col min="8712" max="8713" width="11.125" style="2" bestFit="1" customWidth="1"/>
    <col min="8714" max="8714" width="9.625" style="2" bestFit="1" customWidth="1"/>
    <col min="8715" max="8961" width="9" style="2"/>
    <col min="8962" max="8962" width="2.375" style="2" customWidth="1"/>
    <col min="8963" max="8963" width="13.25" style="2" bestFit="1" customWidth="1"/>
    <col min="8964" max="8966" width="11.125" style="2" bestFit="1" customWidth="1"/>
    <col min="8967" max="8967" width="9" style="2"/>
    <col min="8968" max="8969" width="11.125" style="2" bestFit="1" customWidth="1"/>
    <col min="8970" max="8970" width="9.625" style="2" bestFit="1" customWidth="1"/>
    <col min="8971" max="9217" width="9" style="2"/>
    <col min="9218" max="9218" width="2.375" style="2" customWidth="1"/>
    <col min="9219" max="9219" width="13.25" style="2" bestFit="1" customWidth="1"/>
    <col min="9220" max="9222" width="11.125" style="2" bestFit="1" customWidth="1"/>
    <col min="9223" max="9223" width="9" style="2"/>
    <col min="9224" max="9225" width="11.125" style="2" bestFit="1" customWidth="1"/>
    <col min="9226" max="9226" width="9.625" style="2" bestFit="1" customWidth="1"/>
    <col min="9227" max="9473" width="9" style="2"/>
    <col min="9474" max="9474" width="2.375" style="2" customWidth="1"/>
    <col min="9475" max="9475" width="13.25" style="2" bestFit="1" customWidth="1"/>
    <col min="9476" max="9478" width="11.125" style="2" bestFit="1" customWidth="1"/>
    <col min="9479" max="9479" width="9" style="2"/>
    <col min="9480" max="9481" width="11.125" style="2" bestFit="1" customWidth="1"/>
    <col min="9482" max="9482" width="9.625" style="2" bestFit="1" customWidth="1"/>
    <col min="9483" max="9729" width="9" style="2"/>
    <col min="9730" max="9730" width="2.375" style="2" customWidth="1"/>
    <col min="9731" max="9731" width="13.25" style="2" bestFit="1" customWidth="1"/>
    <col min="9732" max="9734" width="11.125" style="2" bestFit="1" customWidth="1"/>
    <col min="9735" max="9735" width="9" style="2"/>
    <col min="9736" max="9737" width="11.125" style="2" bestFit="1" customWidth="1"/>
    <col min="9738" max="9738" width="9.625" style="2" bestFit="1" customWidth="1"/>
    <col min="9739" max="9985" width="9" style="2"/>
    <col min="9986" max="9986" width="2.375" style="2" customWidth="1"/>
    <col min="9987" max="9987" width="13.25" style="2" bestFit="1" customWidth="1"/>
    <col min="9988" max="9990" width="11.125" style="2" bestFit="1" customWidth="1"/>
    <col min="9991" max="9991" width="9" style="2"/>
    <col min="9992" max="9993" width="11.125" style="2" bestFit="1" customWidth="1"/>
    <col min="9994" max="9994" width="9.625" style="2" bestFit="1" customWidth="1"/>
    <col min="9995" max="10241" width="9" style="2"/>
    <col min="10242" max="10242" width="2.375" style="2" customWidth="1"/>
    <col min="10243" max="10243" width="13.25" style="2" bestFit="1" customWidth="1"/>
    <col min="10244" max="10246" width="11.125" style="2" bestFit="1" customWidth="1"/>
    <col min="10247" max="10247" width="9" style="2"/>
    <col min="10248" max="10249" width="11.125" style="2" bestFit="1" customWidth="1"/>
    <col min="10250" max="10250" width="9.625" style="2" bestFit="1" customWidth="1"/>
    <col min="10251" max="10497" width="9" style="2"/>
    <col min="10498" max="10498" width="2.375" style="2" customWidth="1"/>
    <col min="10499" max="10499" width="13.25" style="2" bestFit="1" customWidth="1"/>
    <col min="10500" max="10502" width="11.125" style="2" bestFit="1" customWidth="1"/>
    <col min="10503" max="10503" width="9" style="2"/>
    <col min="10504" max="10505" width="11.125" style="2" bestFit="1" customWidth="1"/>
    <col min="10506" max="10506" width="9.625" style="2" bestFit="1" customWidth="1"/>
    <col min="10507" max="10753" width="9" style="2"/>
    <col min="10754" max="10754" width="2.375" style="2" customWidth="1"/>
    <col min="10755" max="10755" width="13.25" style="2" bestFit="1" customWidth="1"/>
    <col min="10756" max="10758" width="11.125" style="2" bestFit="1" customWidth="1"/>
    <col min="10759" max="10759" width="9" style="2"/>
    <col min="10760" max="10761" width="11.125" style="2" bestFit="1" customWidth="1"/>
    <col min="10762" max="10762" width="9.625" style="2" bestFit="1" customWidth="1"/>
    <col min="10763" max="11009" width="9" style="2"/>
    <col min="11010" max="11010" width="2.375" style="2" customWidth="1"/>
    <col min="11011" max="11011" width="13.25" style="2" bestFit="1" customWidth="1"/>
    <col min="11012" max="11014" width="11.125" style="2" bestFit="1" customWidth="1"/>
    <col min="11015" max="11015" width="9" style="2"/>
    <col min="11016" max="11017" width="11.125" style="2" bestFit="1" customWidth="1"/>
    <col min="11018" max="11018" width="9.625" style="2" bestFit="1" customWidth="1"/>
    <col min="11019" max="11265" width="9" style="2"/>
    <col min="11266" max="11266" width="2.375" style="2" customWidth="1"/>
    <col min="11267" max="11267" width="13.25" style="2" bestFit="1" customWidth="1"/>
    <col min="11268" max="11270" width="11.125" style="2" bestFit="1" customWidth="1"/>
    <col min="11271" max="11271" width="9" style="2"/>
    <col min="11272" max="11273" width="11.125" style="2" bestFit="1" customWidth="1"/>
    <col min="11274" max="11274" width="9.625" style="2" bestFit="1" customWidth="1"/>
    <col min="11275" max="11521" width="9" style="2"/>
    <col min="11522" max="11522" width="2.375" style="2" customWidth="1"/>
    <col min="11523" max="11523" width="13.25" style="2" bestFit="1" customWidth="1"/>
    <col min="11524" max="11526" width="11.125" style="2" bestFit="1" customWidth="1"/>
    <col min="11527" max="11527" width="9" style="2"/>
    <col min="11528" max="11529" width="11.125" style="2" bestFit="1" customWidth="1"/>
    <col min="11530" max="11530" width="9.625" style="2" bestFit="1" customWidth="1"/>
    <col min="11531" max="11777" width="9" style="2"/>
    <col min="11778" max="11778" width="2.375" style="2" customWidth="1"/>
    <col min="11779" max="11779" width="13.25" style="2" bestFit="1" customWidth="1"/>
    <col min="11780" max="11782" width="11.125" style="2" bestFit="1" customWidth="1"/>
    <col min="11783" max="11783" width="9" style="2"/>
    <col min="11784" max="11785" width="11.125" style="2" bestFit="1" customWidth="1"/>
    <col min="11786" max="11786" width="9.625" style="2" bestFit="1" customWidth="1"/>
    <col min="11787" max="12033" width="9" style="2"/>
    <col min="12034" max="12034" width="2.375" style="2" customWidth="1"/>
    <col min="12035" max="12035" width="13.25" style="2" bestFit="1" customWidth="1"/>
    <col min="12036" max="12038" width="11.125" style="2" bestFit="1" customWidth="1"/>
    <col min="12039" max="12039" width="9" style="2"/>
    <col min="12040" max="12041" width="11.125" style="2" bestFit="1" customWidth="1"/>
    <col min="12042" max="12042" width="9.625" style="2" bestFit="1" customWidth="1"/>
    <col min="12043" max="12289" width="9" style="2"/>
    <col min="12290" max="12290" width="2.375" style="2" customWidth="1"/>
    <col min="12291" max="12291" width="13.25" style="2" bestFit="1" customWidth="1"/>
    <col min="12292" max="12294" width="11.125" style="2" bestFit="1" customWidth="1"/>
    <col min="12295" max="12295" width="9" style="2"/>
    <col min="12296" max="12297" width="11.125" style="2" bestFit="1" customWidth="1"/>
    <col min="12298" max="12298" width="9.625" style="2" bestFit="1" customWidth="1"/>
    <col min="12299" max="12545" width="9" style="2"/>
    <col min="12546" max="12546" width="2.375" style="2" customWidth="1"/>
    <col min="12547" max="12547" width="13.25" style="2" bestFit="1" customWidth="1"/>
    <col min="12548" max="12550" width="11.125" style="2" bestFit="1" customWidth="1"/>
    <col min="12551" max="12551" width="9" style="2"/>
    <col min="12552" max="12553" width="11.125" style="2" bestFit="1" customWidth="1"/>
    <col min="12554" max="12554" width="9.625" style="2" bestFit="1" customWidth="1"/>
    <col min="12555" max="12801" width="9" style="2"/>
    <col min="12802" max="12802" width="2.375" style="2" customWidth="1"/>
    <col min="12803" max="12803" width="13.25" style="2" bestFit="1" customWidth="1"/>
    <col min="12804" max="12806" width="11.125" style="2" bestFit="1" customWidth="1"/>
    <col min="12807" max="12807" width="9" style="2"/>
    <col min="12808" max="12809" width="11.125" style="2" bestFit="1" customWidth="1"/>
    <col min="12810" max="12810" width="9.625" style="2" bestFit="1" customWidth="1"/>
    <col min="12811" max="13057" width="9" style="2"/>
    <col min="13058" max="13058" width="2.375" style="2" customWidth="1"/>
    <col min="13059" max="13059" width="13.25" style="2" bestFit="1" customWidth="1"/>
    <col min="13060" max="13062" width="11.125" style="2" bestFit="1" customWidth="1"/>
    <col min="13063" max="13063" width="9" style="2"/>
    <col min="13064" max="13065" width="11.125" style="2" bestFit="1" customWidth="1"/>
    <col min="13066" max="13066" width="9.625" style="2" bestFit="1" customWidth="1"/>
    <col min="13067" max="13313" width="9" style="2"/>
    <col min="13314" max="13314" width="2.375" style="2" customWidth="1"/>
    <col min="13315" max="13315" width="13.25" style="2" bestFit="1" customWidth="1"/>
    <col min="13316" max="13318" width="11.125" style="2" bestFit="1" customWidth="1"/>
    <col min="13319" max="13319" width="9" style="2"/>
    <col min="13320" max="13321" width="11.125" style="2" bestFit="1" customWidth="1"/>
    <col min="13322" max="13322" width="9.625" style="2" bestFit="1" customWidth="1"/>
    <col min="13323" max="13569" width="9" style="2"/>
    <col min="13570" max="13570" width="2.375" style="2" customWidth="1"/>
    <col min="13571" max="13571" width="13.25" style="2" bestFit="1" customWidth="1"/>
    <col min="13572" max="13574" width="11.125" style="2" bestFit="1" customWidth="1"/>
    <col min="13575" max="13575" width="9" style="2"/>
    <col min="13576" max="13577" width="11.125" style="2" bestFit="1" customWidth="1"/>
    <col min="13578" max="13578" width="9.625" style="2" bestFit="1" customWidth="1"/>
    <col min="13579" max="13825" width="9" style="2"/>
    <col min="13826" max="13826" width="2.375" style="2" customWidth="1"/>
    <col min="13827" max="13827" width="13.25" style="2" bestFit="1" customWidth="1"/>
    <col min="13828" max="13830" width="11.125" style="2" bestFit="1" customWidth="1"/>
    <col min="13831" max="13831" width="9" style="2"/>
    <col min="13832" max="13833" width="11.125" style="2" bestFit="1" customWidth="1"/>
    <col min="13834" max="13834" width="9.625" style="2" bestFit="1" customWidth="1"/>
    <col min="13835" max="14081" width="9" style="2"/>
    <col min="14082" max="14082" width="2.375" style="2" customWidth="1"/>
    <col min="14083" max="14083" width="13.25" style="2" bestFit="1" customWidth="1"/>
    <col min="14084" max="14086" width="11.125" style="2" bestFit="1" customWidth="1"/>
    <col min="14087" max="14087" width="9" style="2"/>
    <col min="14088" max="14089" width="11.125" style="2" bestFit="1" customWidth="1"/>
    <col min="14090" max="14090" width="9.625" style="2" bestFit="1" customWidth="1"/>
    <col min="14091" max="14337" width="9" style="2"/>
    <col min="14338" max="14338" width="2.375" style="2" customWidth="1"/>
    <col min="14339" max="14339" width="13.25" style="2" bestFit="1" customWidth="1"/>
    <col min="14340" max="14342" width="11.125" style="2" bestFit="1" customWidth="1"/>
    <col min="14343" max="14343" width="9" style="2"/>
    <col min="14344" max="14345" width="11.125" style="2" bestFit="1" customWidth="1"/>
    <col min="14346" max="14346" width="9.625" style="2" bestFit="1" customWidth="1"/>
    <col min="14347" max="14593" width="9" style="2"/>
    <col min="14594" max="14594" width="2.375" style="2" customWidth="1"/>
    <col min="14595" max="14595" width="13.25" style="2" bestFit="1" customWidth="1"/>
    <col min="14596" max="14598" width="11.125" style="2" bestFit="1" customWidth="1"/>
    <col min="14599" max="14599" width="9" style="2"/>
    <col min="14600" max="14601" width="11.125" style="2" bestFit="1" customWidth="1"/>
    <col min="14602" max="14602" width="9.625" style="2" bestFit="1" customWidth="1"/>
    <col min="14603" max="14849" width="9" style="2"/>
    <col min="14850" max="14850" width="2.375" style="2" customWidth="1"/>
    <col min="14851" max="14851" width="13.25" style="2" bestFit="1" customWidth="1"/>
    <col min="14852" max="14854" width="11.125" style="2" bestFit="1" customWidth="1"/>
    <col min="14855" max="14855" width="9" style="2"/>
    <col min="14856" max="14857" width="11.125" style="2" bestFit="1" customWidth="1"/>
    <col min="14858" max="14858" width="9.625" style="2" bestFit="1" customWidth="1"/>
    <col min="14859" max="15105" width="9" style="2"/>
    <col min="15106" max="15106" width="2.375" style="2" customWidth="1"/>
    <col min="15107" max="15107" width="13.25" style="2" bestFit="1" customWidth="1"/>
    <col min="15108" max="15110" width="11.125" style="2" bestFit="1" customWidth="1"/>
    <col min="15111" max="15111" width="9" style="2"/>
    <col min="15112" max="15113" width="11.125" style="2" bestFit="1" customWidth="1"/>
    <col min="15114" max="15114" width="9.625" style="2" bestFit="1" customWidth="1"/>
    <col min="15115" max="15361" width="9" style="2"/>
    <col min="15362" max="15362" width="2.375" style="2" customWidth="1"/>
    <col min="15363" max="15363" width="13.25" style="2" bestFit="1" customWidth="1"/>
    <col min="15364" max="15366" width="11.125" style="2" bestFit="1" customWidth="1"/>
    <col min="15367" max="15367" width="9" style="2"/>
    <col min="15368" max="15369" width="11.125" style="2" bestFit="1" customWidth="1"/>
    <col min="15370" max="15370" width="9.625" style="2" bestFit="1" customWidth="1"/>
    <col min="15371" max="15617" width="9" style="2"/>
    <col min="15618" max="15618" width="2.375" style="2" customWidth="1"/>
    <col min="15619" max="15619" width="13.25" style="2" bestFit="1" customWidth="1"/>
    <col min="15620" max="15622" width="11.125" style="2" bestFit="1" customWidth="1"/>
    <col min="15623" max="15623" width="9" style="2"/>
    <col min="15624" max="15625" width="11.125" style="2" bestFit="1" customWidth="1"/>
    <col min="15626" max="15626" width="9.625" style="2" bestFit="1" customWidth="1"/>
    <col min="15627" max="15873" width="9" style="2"/>
    <col min="15874" max="15874" width="2.375" style="2" customWidth="1"/>
    <col min="15875" max="15875" width="13.25" style="2" bestFit="1" customWidth="1"/>
    <col min="15876" max="15878" width="11.125" style="2" bestFit="1" customWidth="1"/>
    <col min="15879" max="15879" width="9" style="2"/>
    <col min="15880" max="15881" width="11.125" style="2" bestFit="1" customWidth="1"/>
    <col min="15882" max="15882" width="9.625" style="2" bestFit="1" customWidth="1"/>
    <col min="15883" max="16129" width="9" style="2"/>
    <col min="16130" max="16130" width="2.375" style="2" customWidth="1"/>
    <col min="16131" max="16131" width="13.25" style="2" bestFit="1" customWidth="1"/>
    <col min="16132" max="16134" width="11.125" style="2" bestFit="1" customWidth="1"/>
    <col min="16135" max="16135" width="9" style="2"/>
    <col min="16136" max="16137" width="11.125" style="2" bestFit="1" customWidth="1"/>
    <col min="16138" max="16138" width="9.625" style="2" bestFit="1" customWidth="1"/>
    <col min="16139" max="16384" width="9" style="2"/>
  </cols>
  <sheetData>
    <row r="1" spans="1:11">
      <c r="A1" s="1" t="s">
        <v>0</v>
      </c>
    </row>
    <row r="2" spans="1:11" ht="19.5" thickBot="1">
      <c r="A2" s="1" t="s">
        <v>56</v>
      </c>
    </row>
    <row r="3" spans="1:11">
      <c r="B3" s="11"/>
      <c r="C3" s="37" t="s">
        <v>5</v>
      </c>
      <c r="D3" s="62" t="s">
        <v>7</v>
      </c>
      <c r="E3" s="64" t="s">
        <v>57</v>
      </c>
      <c r="F3" s="36" t="s">
        <v>2</v>
      </c>
      <c r="G3" s="37" t="s">
        <v>3</v>
      </c>
      <c r="H3" s="37" t="s">
        <v>4</v>
      </c>
      <c r="I3" s="37" t="s">
        <v>6</v>
      </c>
      <c r="J3" s="66" t="s">
        <v>57</v>
      </c>
      <c r="K3" s="77" t="s">
        <v>15</v>
      </c>
    </row>
    <row r="4" spans="1:11" ht="19.5" thickBot="1">
      <c r="B4" s="4" t="s">
        <v>8</v>
      </c>
      <c r="C4" s="39" t="s">
        <v>12</v>
      </c>
      <c r="D4" s="3" t="s">
        <v>14</v>
      </c>
      <c r="E4" s="65" t="s">
        <v>58</v>
      </c>
      <c r="F4" s="38" t="s">
        <v>9</v>
      </c>
      <c r="G4" s="39" t="s">
        <v>10</v>
      </c>
      <c r="H4" s="39" t="s">
        <v>11</v>
      </c>
      <c r="I4" s="39" t="s">
        <v>13</v>
      </c>
      <c r="J4" s="67" t="s">
        <v>59</v>
      </c>
      <c r="K4" s="63" t="s">
        <v>60</v>
      </c>
    </row>
    <row r="5" spans="1:11">
      <c r="A5" s="1" t="s">
        <v>1</v>
      </c>
      <c r="B5" s="24" t="s">
        <v>16</v>
      </c>
      <c r="C5" s="41">
        <v>21</v>
      </c>
      <c r="D5" s="30">
        <v>20</v>
      </c>
      <c r="E5" s="31">
        <f>SUM(C5:D5)</f>
        <v>41</v>
      </c>
      <c r="F5" s="40">
        <v>18</v>
      </c>
      <c r="G5" s="41">
        <v>20</v>
      </c>
      <c r="H5" s="41">
        <v>20</v>
      </c>
      <c r="I5" s="41">
        <v>19</v>
      </c>
      <c r="J5" s="30">
        <f>SUM(F5:I5)</f>
        <v>77</v>
      </c>
      <c r="K5" s="31">
        <f>E5+J5</f>
        <v>118</v>
      </c>
    </row>
    <row r="6" spans="1:11">
      <c r="A6" s="1" t="s">
        <v>1</v>
      </c>
      <c r="B6" s="27" t="s">
        <v>17</v>
      </c>
      <c r="C6" s="43">
        <v>0</v>
      </c>
      <c r="D6" s="32">
        <v>0</v>
      </c>
      <c r="E6" s="33">
        <f>SUM(C6:D6)</f>
        <v>0</v>
      </c>
      <c r="F6" s="42">
        <v>1</v>
      </c>
      <c r="G6" s="43">
        <v>1</v>
      </c>
      <c r="H6" s="43">
        <v>2</v>
      </c>
      <c r="I6" s="43">
        <v>1</v>
      </c>
      <c r="J6" s="68">
        <f>SUM(F6:I6)</f>
        <v>5</v>
      </c>
      <c r="K6" s="33">
        <f t="shared" ref="K6:K44" si="0">E6+J6</f>
        <v>5</v>
      </c>
    </row>
    <row r="7" spans="1:11">
      <c r="A7" s="1" t="s">
        <v>1</v>
      </c>
      <c r="B7" s="27" t="s">
        <v>18</v>
      </c>
      <c r="C7" s="43">
        <v>0</v>
      </c>
      <c r="D7" s="32">
        <v>0</v>
      </c>
      <c r="E7" s="33">
        <f t="shared" ref="E7:E15" si="1">SUM(C7:D7)</f>
        <v>0</v>
      </c>
      <c r="F7" s="42">
        <v>0</v>
      </c>
      <c r="G7" s="43">
        <v>0</v>
      </c>
      <c r="H7" s="43">
        <v>1</v>
      </c>
      <c r="I7" s="43">
        <v>0</v>
      </c>
      <c r="J7" s="68">
        <f t="shared" ref="J7:J15" si="2">SUM(F7:I7)</f>
        <v>1</v>
      </c>
      <c r="K7" s="33">
        <f t="shared" si="0"/>
        <v>1</v>
      </c>
    </row>
    <row r="8" spans="1:11">
      <c r="A8" s="1" t="s">
        <v>1</v>
      </c>
      <c r="B8" s="27" t="s">
        <v>19</v>
      </c>
      <c r="C8" s="43">
        <v>0</v>
      </c>
      <c r="D8" s="32">
        <v>0</v>
      </c>
      <c r="E8" s="33">
        <f t="shared" si="1"/>
        <v>0</v>
      </c>
      <c r="F8" s="42">
        <v>3</v>
      </c>
      <c r="G8" s="43">
        <v>1</v>
      </c>
      <c r="H8" s="43">
        <v>1</v>
      </c>
      <c r="I8" s="43">
        <v>2</v>
      </c>
      <c r="J8" s="68">
        <f t="shared" si="2"/>
        <v>7</v>
      </c>
      <c r="K8" s="33">
        <f t="shared" si="0"/>
        <v>7</v>
      </c>
    </row>
    <row r="9" spans="1:11">
      <c r="A9" s="1" t="s">
        <v>1</v>
      </c>
      <c r="B9" s="27" t="s">
        <v>20</v>
      </c>
      <c r="C9" s="45">
        <v>0</v>
      </c>
      <c r="D9" s="34">
        <v>3.3333333333333335</v>
      </c>
      <c r="E9" s="35">
        <f t="shared" si="1"/>
        <v>3.3333333333333335</v>
      </c>
      <c r="F9" s="44">
        <v>0</v>
      </c>
      <c r="G9" s="45">
        <v>0</v>
      </c>
      <c r="H9" s="45">
        <v>0</v>
      </c>
      <c r="I9" s="45">
        <v>0</v>
      </c>
      <c r="J9" s="69">
        <f t="shared" si="2"/>
        <v>0</v>
      </c>
      <c r="K9" s="35">
        <f t="shared" si="0"/>
        <v>3.3333333333333335</v>
      </c>
    </row>
    <row r="10" spans="1:11">
      <c r="A10" s="1" t="s">
        <v>1</v>
      </c>
      <c r="B10" s="27" t="s">
        <v>21</v>
      </c>
      <c r="C10" s="45">
        <v>0</v>
      </c>
      <c r="D10" s="34">
        <v>0</v>
      </c>
      <c r="E10" s="35">
        <f t="shared" si="1"/>
        <v>0</v>
      </c>
      <c r="F10" s="44">
        <v>2.4166666666666665</v>
      </c>
      <c r="G10" s="45">
        <v>2.6666666666666665</v>
      </c>
      <c r="H10" s="45">
        <v>2.625</v>
      </c>
      <c r="I10" s="45">
        <v>2.0833333333333335</v>
      </c>
      <c r="J10" s="69">
        <f t="shared" si="2"/>
        <v>9.7916666666666661</v>
      </c>
      <c r="K10" s="35">
        <f t="shared" si="0"/>
        <v>9.7916666666666661</v>
      </c>
    </row>
    <row r="11" spans="1:11">
      <c r="A11" s="1" t="s">
        <v>1</v>
      </c>
      <c r="B11" s="27" t="s">
        <v>22</v>
      </c>
      <c r="C11" s="45">
        <v>0</v>
      </c>
      <c r="D11" s="34">
        <v>0</v>
      </c>
      <c r="E11" s="35">
        <f t="shared" si="1"/>
        <v>0</v>
      </c>
      <c r="F11" s="44">
        <v>0.16666666666666666</v>
      </c>
      <c r="G11" s="45">
        <v>0.125</v>
      </c>
      <c r="H11" s="45">
        <v>0.25</v>
      </c>
      <c r="I11" s="45">
        <v>0.125</v>
      </c>
      <c r="J11" s="69">
        <f t="shared" si="2"/>
        <v>0.66666666666666663</v>
      </c>
      <c r="K11" s="35">
        <f t="shared" si="0"/>
        <v>0.66666666666666663</v>
      </c>
    </row>
    <row r="12" spans="1:11">
      <c r="A12" s="1" t="s">
        <v>1</v>
      </c>
      <c r="B12" s="27" t="s">
        <v>23</v>
      </c>
      <c r="C12" s="45">
        <v>0</v>
      </c>
      <c r="D12" s="34">
        <v>0</v>
      </c>
      <c r="E12" s="35">
        <f t="shared" si="1"/>
        <v>0</v>
      </c>
      <c r="F12" s="44">
        <v>0</v>
      </c>
      <c r="G12" s="45">
        <v>0</v>
      </c>
      <c r="H12" s="45">
        <v>0.125</v>
      </c>
      <c r="I12" s="45">
        <v>0</v>
      </c>
      <c r="J12" s="69">
        <f t="shared" si="2"/>
        <v>0.125</v>
      </c>
      <c r="K12" s="35">
        <f t="shared" si="0"/>
        <v>0.125</v>
      </c>
    </row>
    <row r="13" spans="1:11">
      <c r="A13" s="1" t="s">
        <v>1</v>
      </c>
      <c r="B13" s="27" t="s">
        <v>24</v>
      </c>
      <c r="C13" s="45">
        <v>0</v>
      </c>
      <c r="D13" s="34">
        <v>0</v>
      </c>
      <c r="E13" s="35">
        <f t="shared" si="1"/>
        <v>0</v>
      </c>
      <c r="F13" s="44">
        <v>0</v>
      </c>
      <c r="G13" s="45">
        <v>0.16666666666666666</v>
      </c>
      <c r="H13" s="45">
        <v>0.125</v>
      </c>
      <c r="I13" s="45">
        <v>0</v>
      </c>
      <c r="J13" s="69">
        <f t="shared" si="2"/>
        <v>0.29166666666666663</v>
      </c>
      <c r="K13" s="35">
        <f t="shared" si="0"/>
        <v>0.29166666666666663</v>
      </c>
    </row>
    <row r="14" spans="1:11">
      <c r="A14" s="1" t="s">
        <v>1</v>
      </c>
      <c r="B14" s="27" t="s">
        <v>25</v>
      </c>
      <c r="C14" s="45">
        <v>0.125</v>
      </c>
      <c r="D14" s="34">
        <v>0</v>
      </c>
      <c r="E14" s="35">
        <f t="shared" si="1"/>
        <v>0.125</v>
      </c>
      <c r="F14" s="44">
        <v>0.29166666666666669</v>
      </c>
      <c r="G14" s="45">
        <v>0.375</v>
      </c>
      <c r="H14" s="45">
        <v>0.29166666666666669</v>
      </c>
      <c r="I14" s="45">
        <v>0.29166666666666669</v>
      </c>
      <c r="J14" s="69">
        <f t="shared" si="2"/>
        <v>1.2500000000000002</v>
      </c>
      <c r="K14" s="35">
        <f t="shared" si="0"/>
        <v>1.3750000000000002</v>
      </c>
    </row>
    <row r="15" spans="1:11">
      <c r="A15" s="1" t="s">
        <v>1</v>
      </c>
      <c r="B15" s="12" t="s">
        <v>26</v>
      </c>
      <c r="C15" s="47">
        <v>34</v>
      </c>
      <c r="D15" s="13">
        <v>21</v>
      </c>
      <c r="E15" s="33">
        <f t="shared" si="1"/>
        <v>55</v>
      </c>
      <c r="F15" s="46">
        <v>37</v>
      </c>
      <c r="G15" s="47">
        <v>39</v>
      </c>
      <c r="H15" s="47">
        <v>30</v>
      </c>
      <c r="I15" s="47">
        <v>19</v>
      </c>
      <c r="J15" s="70">
        <f t="shared" si="2"/>
        <v>125</v>
      </c>
      <c r="K15" s="14">
        <f t="shared" si="0"/>
        <v>180</v>
      </c>
    </row>
    <row r="16" spans="1:11">
      <c r="A16" s="1" t="s">
        <v>1</v>
      </c>
      <c r="B16" s="21" t="s">
        <v>27</v>
      </c>
      <c r="C16" s="49">
        <v>355000</v>
      </c>
      <c r="D16" s="22">
        <v>0</v>
      </c>
      <c r="E16" s="23">
        <f>SUM(C16:D16)</f>
        <v>355000</v>
      </c>
      <c r="F16" s="48">
        <v>182000</v>
      </c>
      <c r="G16" s="49">
        <v>192000</v>
      </c>
      <c r="H16" s="49">
        <v>177000</v>
      </c>
      <c r="I16" s="49">
        <v>182000</v>
      </c>
      <c r="J16" s="71">
        <f>SUM(F16:I16)</f>
        <v>733000</v>
      </c>
      <c r="K16" s="23">
        <f t="shared" si="0"/>
        <v>1088000</v>
      </c>
    </row>
    <row r="17" spans="1:11">
      <c r="A17" s="1" t="s">
        <v>1</v>
      </c>
      <c r="B17" s="27" t="s">
        <v>28</v>
      </c>
      <c r="C17" s="51">
        <v>0</v>
      </c>
      <c r="D17" s="28">
        <v>0</v>
      </c>
      <c r="E17" s="29">
        <f t="shared" ref="E17:E44" si="3">SUM(C17:D17)</f>
        <v>0</v>
      </c>
      <c r="F17" s="50">
        <v>5000</v>
      </c>
      <c r="G17" s="51">
        <v>0</v>
      </c>
      <c r="H17" s="51">
        <v>5000</v>
      </c>
      <c r="I17" s="51">
        <v>0</v>
      </c>
      <c r="J17" s="72">
        <f t="shared" ref="J17:J44" si="4">SUM(F17:I17)</f>
        <v>10000</v>
      </c>
      <c r="K17" s="29">
        <f t="shared" si="0"/>
        <v>10000</v>
      </c>
    </row>
    <row r="18" spans="1:11">
      <c r="A18" s="1" t="s">
        <v>1</v>
      </c>
      <c r="B18" s="27" t="s">
        <v>29</v>
      </c>
      <c r="C18" s="51">
        <v>0</v>
      </c>
      <c r="D18" s="28">
        <v>0</v>
      </c>
      <c r="E18" s="29">
        <f t="shared" si="3"/>
        <v>0</v>
      </c>
      <c r="F18" s="50">
        <v>3000</v>
      </c>
      <c r="G18" s="51">
        <v>3000</v>
      </c>
      <c r="H18" s="51">
        <v>6000</v>
      </c>
      <c r="I18" s="51">
        <v>0</v>
      </c>
      <c r="J18" s="72">
        <f t="shared" si="4"/>
        <v>12000</v>
      </c>
      <c r="K18" s="29">
        <f t="shared" si="0"/>
        <v>12000</v>
      </c>
    </row>
    <row r="19" spans="1:11">
      <c r="A19" s="1" t="s">
        <v>1</v>
      </c>
      <c r="B19" s="27" t="s">
        <v>30</v>
      </c>
      <c r="C19" s="51">
        <v>50000</v>
      </c>
      <c r="D19" s="28">
        <v>0</v>
      </c>
      <c r="E19" s="29">
        <f t="shared" si="3"/>
        <v>50000</v>
      </c>
      <c r="F19" s="50">
        <v>50000</v>
      </c>
      <c r="G19" s="51">
        <v>50000</v>
      </c>
      <c r="H19" s="51">
        <v>50000</v>
      </c>
      <c r="I19" s="51">
        <v>50000</v>
      </c>
      <c r="J19" s="72">
        <f t="shared" si="4"/>
        <v>200000</v>
      </c>
      <c r="K19" s="29">
        <f t="shared" si="0"/>
        <v>250000</v>
      </c>
    </row>
    <row r="20" spans="1:11">
      <c r="A20" s="1" t="s">
        <v>1</v>
      </c>
      <c r="B20" s="27" t="s">
        <v>31</v>
      </c>
      <c r="C20" s="51">
        <v>0</v>
      </c>
      <c r="D20" s="28">
        <v>86400</v>
      </c>
      <c r="E20" s="29">
        <f t="shared" si="3"/>
        <v>86400</v>
      </c>
      <c r="F20" s="50">
        <v>0</v>
      </c>
      <c r="G20" s="51">
        <v>0</v>
      </c>
      <c r="H20" s="51">
        <v>0</v>
      </c>
      <c r="I20" s="51">
        <v>0</v>
      </c>
      <c r="J20" s="72">
        <f t="shared" si="4"/>
        <v>0</v>
      </c>
      <c r="K20" s="29">
        <f t="shared" si="0"/>
        <v>86400</v>
      </c>
    </row>
    <row r="21" spans="1:11">
      <c r="A21" s="1" t="s">
        <v>1</v>
      </c>
      <c r="B21" s="27" t="s">
        <v>32</v>
      </c>
      <c r="C21" s="51">
        <v>0</v>
      </c>
      <c r="D21" s="28">
        <v>0</v>
      </c>
      <c r="E21" s="29">
        <f t="shared" si="3"/>
        <v>0</v>
      </c>
      <c r="F21" s="50">
        <v>23400</v>
      </c>
      <c r="G21" s="51">
        <v>24000</v>
      </c>
      <c r="H21" s="51">
        <v>7400</v>
      </c>
      <c r="I21" s="51">
        <v>23000</v>
      </c>
      <c r="J21" s="72">
        <f t="shared" si="4"/>
        <v>77800</v>
      </c>
      <c r="K21" s="29">
        <f t="shared" si="0"/>
        <v>77800</v>
      </c>
    </row>
    <row r="22" spans="1:11">
      <c r="A22" s="1" t="s">
        <v>1</v>
      </c>
      <c r="B22" s="27" t="s">
        <v>33</v>
      </c>
      <c r="C22" s="51">
        <v>0</v>
      </c>
      <c r="D22" s="28">
        <v>0</v>
      </c>
      <c r="E22" s="29">
        <f t="shared" si="3"/>
        <v>0</v>
      </c>
      <c r="F22" s="50">
        <v>2000</v>
      </c>
      <c r="G22" s="51">
        <v>2000</v>
      </c>
      <c r="H22" s="51">
        <v>0</v>
      </c>
      <c r="I22" s="51">
        <v>2000</v>
      </c>
      <c r="J22" s="72">
        <f t="shared" si="4"/>
        <v>6000</v>
      </c>
      <c r="K22" s="29">
        <f t="shared" si="0"/>
        <v>6000</v>
      </c>
    </row>
    <row r="23" spans="1:11">
      <c r="A23" s="1" t="s">
        <v>1</v>
      </c>
      <c r="B23" s="27" t="s">
        <v>34</v>
      </c>
      <c r="C23" s="51">
        <v>0</v>
      </c>
      <c r="D23" s="28">
        <v>0</v>
      </c>
      <c r="E23" s="29">
        <f t="shared" si="3"/>
        <v>0</v>
      </c>
      <c r="F23" s="50">
        <v>0</v>
      </c>
      <c r="G23" s="51">
        <v>13000</v>
      </c>
      <c r="H23" s="51">
        <v>15000</v>
      </c>
      <c r="I23" s="51">
        <v>13000</v>
      </c>
      <c r="J23" s="72">
        <f t="shared" si="4"/>
        <v>41000</v>
      </c>
      <c r="K23" s="29">
        <f t="shared" si="0"/>
        <v>41000</v>
      </c>
    </row>
    <row r="24" spans="1:11">
      <c r="A24" s="1" t="s">
        <v>1</v>
      </c>
      <c r="B24" s="27" t="s">
        <v>21</v>
      </c>
      <c r="C24" s="51">
        <v>0</v>
      </c>
      <c r="D24" s="28">
        <v>0</v>
      </c>
      <c r="E24" s="29">
        <f t="shared" si="3"/>
        <v>0</v>
      </c>
      <c r="F24" s="50">
        <v>105038</v>
      </c>
      <c r="G24" s="51">
        <v>124544</v>
      </c>
      <c r="H24" s="51">
        <v>119322</v>
      </c>
      <c r="I24" s="51">
        <v>92450</v>
      </c>
      <c r="J24" s="72">
        <f t="shared" si="4"/>
        <v>441354</v>
      </c>
      <c r="K24" s="29">
        <f t="shared" si="0"/>
        <v>441354</v>
      </c>
    </row>
    <row r="25" spans="1:11">
      <c r="A25" s="1" t="s">
        <v>1</v>
      </c>
      <c r="B25" s="27" t="s">
        <v>35</v>
      </c>
      <c r="C25" s="51">
        <v>0</v>
      </c>
      <c r="D25" s="28">
        <v>0</v>
      </c>
      <c r="E25" s="29">
        <f t="shared" si="3"/>
        <v>0</v>
      </c>
      <c r="F25" s="50">
        <v>7824</v>
      </c>
      <c r="G25" s="51">
        <v>6306</v>
      </c>
      <c r="H25" s="51">
        <v>12270</v>
      </c>
      <c r="I25" s="51">
        <v>5991</v>
      </c>
      <c r="J25" s="72">
        <f t="shared" si="4"/>
        <v>32391</v>
      </c>
      <c r="K25" s="29">
        <f t="shared" si="0"/>
        <v>32391</v>
      </c>
    </row>
    <row r="26" spans="1:11">
      <c r="A26" s="1" t="s">
        <v>1</v>
      </c>
      <c r="B26" s="27" t="s">
        <v>36</v>
      </c>
      <c r="C26" s="51">
        <v>0</v>
      </c>
      <c r="D26" s="28">
        <v>0</v>
      </c>
      <c r="E26" s="29">
        <f t="shared" si="3"/>
        <v>0</v>
      </c>
      <c r="F26" s="50">
        <v>0</v>
      </c>
      <c r="G26" s="51">
        <v>0</v>
      </c>
      <c r="H26" s="51">
        <v>6135</v>
      </c>
      <c r="I26" s="51">
        <v>0</v>
      </c>
      <c r="J26" s="72">
        <f t="shared" si="4"/>
        <v>6135</v>
      </c>
      <c r="K26" s="29">
        <f t="shared" si="0"/>
        <v>6135</v>
      </c>
    </row>
    <row r="27" spans="1:11">
      <c r="A27" s="1" t="s">
        <v>1</v>
      </c>
      <c r="B27" s="27" t="s">
        <v>24</v>
      </c>
      <c r="C27" s="51">
        <v>0</v>
      </c>
      <c r="D27" s="28">
        <v>0</v>
      </c>
      <c r="E27" s="29">
        <f t="shared" si="3"/>
        <v>0</v>
      </c>
      <c r="F27" s="50">
        <v>0</v>
      </c>
      <c r="G27" s="51">
        <v>1556</v>
      </c>
      <c r="H27" s="51">
        <v>1137</v>
      </c>
      <c r="I27" s="51">
        <v>0</v>
      </c>
      <c r="J27" s="72">
        <f t="shared" si="4"/>
        <v>2693</v>
      </c>
      <c r="K27" s="29">
        <f t="shared" si="0"/>
        <v>2693</v>
      </c>
    </row>
    <row r="28" spans="1:11">
      <c r="A28" s="1" t="s">
        <v>1</v>
      </c>
      <c r="B28" s="5" t="s">
        <v>25</v>
      </c>
      <c r="C28" s="53">
        <v>1818</v>
      </c>
      <c r="D28" s="6">
        <v>0</v>
      </c>
      <c r="E28" s="7">
        <f t="shared" si="3"/>
        <v>1818</v>
      </c>
      <c r="F28" s="52">
        <v>2534</v>
      </c>
      <c r="G28" s="53">
        <v>3501</v>
      </c>
      <c r="H28" s="53">
        <v>2653</v>
      </c>
      <c r="I28" s="53">
        <v>2590</v>
      </c>
      <c r="J28" s="73">
        <f t="shared" si="4"/>
        <v>11278</v>
      </c>
      <c r="K28" s="7">
        <f t="shared" si="0"/>
        <v>13096</v>
      </c>
    </row>
    <row r="29" spans="1:11">
      <c r="A29" s="1" t="s">
        <v>1</v>
      </c>
      <c r="B29" s="15" t="s">
        <v>37</v>
      </c>
      <c r="C29" s="55">
        <v>406818</v>
      </c>
      <c r="D29" s="16">
        <v>86400</v>
      </c>
      <c r="E29" s="17">
        <f t="shared" si="3"/>
        <v>493218</v>
      </c>
      <c r="F29" s="54">
        <v>380796</v>
      </c>
      <c r="G29" s="55">
        <v>419907</v>
      </c>
      <c r="H29" s="55">
        <v>401917</v>
      </c>
      <c r="I29" s="55">
        <v>371031</v>
      </c>
      <c r="J29" s="74">
        <f t="shared" si="4"/>
        <v>1573651</v>
      </c>
      <c r="K29" s="17">
        <f t="shared" si="0"/>
        <v>2066869</v>
      </c>
    </row>
    <row r="30" spans="1:11">
      <c r="A30" s="1" t="s">
        <v>1</v>
      </c>
      <c r="B30" s="21" t="s">
        <v>38</v>
      </c>
      <c r="C30" s="49">
        <v>9920</v>
      </c>
      <c r="D30" s="22">
        <v>0</v>
      </c>
      <c r="E30" s="23">
        <f t="shared" si="3"/>
        <v>9920</v>
      </c>
      <c r="F30" s="48">
        <v>5648</v>
      </c>
      <c r="G30" s="49">
        <v>1567</v>
      </c>
      <c r="H30" s="49">
        <v>3814</v>
      </c>
      <c r="I30" s="49">
        <v>0</v>
      </c>
      <c r="J30" s="71">
        <f t="shared" si="4"/>
        <v>11029</v>
      </c>
      <c r="K30" s="23">
        <f t="shared" si="0"/>
        <v>20949</v>
      </c>
    </row>
    <row r="31" spans="1:11" ht="19.5" thickBot="1">
      <c r="A31" s="1" t="s">
        <v>1</v>
      </c>
      <c r="B31" s="5" t="s">
        <v>39</v>
      </c>
      <c r="C31" s="53">
        <v>9920</v>
      </c>
      <c r="D31" s="6">
        <v>0</v>
      </c>
      <c r="E31" s="7">
        <f t="shared" si="3"/>
        <v>9920</v>
      </c>
      <c r="F31" s="52">
        <v>5648</v>
      </c>
      <c r="G31" s="53">
        <v>1567</v>
      </c>
      <c r="H31" s="53">
        <v>3814</v>
      </c>
      <c r="I31" s="53">
        <v>0</v>
      </c>
      <c r="J31" s="73">
        <f t="shared" si="4"/>
        <v>11029</v>
      </c>
      <c r="K31" s="7">
        <f t="shared" si="0"/>
        <v>20949</v>
      </c>
    </row>
    <row r="32" spans="1:11" ht="19.5" thickBot="1">
      <c r="A32" s="1" t="s">
        <v>1</v>
      </c>
      <c r="B32" s="18" t="s">
        <v>40</v>
      </c>
      <c r="C32" s="57">
        <v>416738</v>
      </c>
      <c r="D32" s="19">
        <v>86400</v>
      </c>
      <c r="E32" s="20">
        <f t="shared" si="3"/>
        <v>503138</v>
      </c>
      <c r="F32" s="56">
        <v>386444</v>
      </c>
      <c r="G32" s="57">
        <v>421474</v>
      </c>
      <c r="H32" s="57">
        <v>405731</v>
      </c>
      <c r="I32" s="57">
        <v>371031</v>
      </c>
      <c r="J32" s="75">
        <f t="shared" si="4"/>
        <v>1584680</v>
      </c>
      <c r="K32" s="20">
        <f t="shared" si="0"/>
        <v>2087818</v>
      </c>
    </row>
    <row r="33" spans="1:11">
      <c r="A33" s="1" t="s">
        <v>1</v>
      </c>
      <c r="B33" s="24" t="s">
        <v>41</v>
      </c>
      <c r="C33" s="59">
        <v>20910</v>
      </c>
      <c r="D33" s="25">
        <v>0</v>
      </c>
      <c r="E33" s="26">
        <f t="shared" si="3"/>
        <v>20910</v>
      </c>
      <c r="F33" s="58">
        <v>17340</v>
      </c>
      <c r="G33" s="59">
        <v>22440</v>
      </c>
      <c r="H33" s="59">
        <v>18360</v>
      </c>
      <c r="I33" s="59">
        <v>18360</v>
      </c>
      <c r="J33" s="76">
        <f t="shared" si="4"/>
        <v>76500</v>
      </c>
      <c r="K33" s="26">
        <f t="shared" si="0"/>
        <v>97410</v>
      </c>
    </row>
    <row r="34" spans="1:11">
      <c r="A34" s="1" t="s">
        <v>1</v>
      </c>
      <c r="B34" s="27" t="s">
        <v>42</v>
      </c>
      <c r="C34" s="51">
        <v>3690</v>
      </c>
      <c r="D34" s="28">
        <v>0</v>
      </c>
      <c r="E34" s="29">
        <f t="shared" si="3"/>
        <v>3690</v>
      </c>
      <c r="F34" s="50">
        <v>3060</v>
      </c>
      <c r="G34" s="51">
        <v>3960</v>
      </c>
      <c r="H34" s="51">
        <v>3240</v>
      </c>
      <c r="I34" s="51">
        <v>3240</v>
      </c>
      <c r="J34" s="72">
        <f t="shared" si="4"/>
        <v>13500</v>
      </c>
      <c r="K34" s="29">
        <f t="shared" si="0"/>
        <v>17190</v>
      </c>
    </row>
    <row r="35" spans="1:11">
      <c r="A35" s="1" t="s">
        <v>1</v>
      </c>
      <c r="B35" s="27" t="s">
        <v>43</v>
      </c>
      <c r="C35" s="51">
        <v>37515</v>
      </c>
      <c r="D35" s="28">
        <v>0</v>
      </c>
      <c r="E35" s="29">
        <f t="shared" si="3"/>
        <v>37515</v>
      </c>
      <c r="F35" s="50">
        <v>31110</v>
      </c>
      <c r="G35" s="51">
        <v>40260</v>
      </c>
      <c r="H35" s="51">
        <v>32940</v>
      </c>
      <c r="I35" s="51">
        <v>32940</v>
      </c>
      <c r="J35" s="72">
        <f t="shared" si="4"/>
        <v>137250</v>
      </c>
      <c r="K35" s="29">
        <f t="shared" si="0"/>
        <v>174765</v>
      </c>
    </row>
    <row r="36" spans="1:11">
      <c r="A36" s="1" t="s">
        <v>1</v>
      </c>
      <c r="B36" s="27" t="s">
        <v>44</v>
      </c>
      <c r="C36" s="51">
        <v>2500</v>
      </c>
      <c r="D36" s="28">
        <v>518</v>
      </c>
      <c r="E36" s="29">
        <f t="shared" si="3"/>
        <v>3018</v>
      </c>
      <c r="F36" s="50">
        <v>2319</v>
      </c>
      <c r="G36" s="51">
        <v>2529</v>
      </c>
      <c r="H36" s="51">
        <v>2434</v>
      </c>
      <c r="I36" s="51">
        <v>2226</v>
      </c>
      <c r="J36" s="72">
        <f t="shared" si="4"/>
        <v>9508</v>
      </c>
      <c r="K36" s="29">
        <f t="shared" si="0"/>
        <v>12526</v>
      </c>
    </row>
    <row r="37" spans="1:11">
      <c r="A37" s="1" t="s">
        <v>1</v>
      </c>
      <c r="B37" s="27" t="s">
        <v>45</v>
      </c>
      <c r="C37" s="51">
        <v>64615</v>
      </c>
      <c r="D37" s="28">
        <v>518</v>
      </c>
      <c r="E37" s="29">
        <f t="shared" si="3"/>
        <v>65133</v>
      </c>
      <c r="F37" s="50">
        <v>53829</v>
      </c>
      <c r="G37" s="51">
        <v>69189</v>
      </c>
      <c r="H37" s="51">
        <v>56974</v>
      </c>
      <c r="I37" s="51">
        <v>56766</v>
      </c>
      <c r="J37" s="72">
        <f t="shared" si="4"/>
        <v>236758</v>
      </c>
      <c r="K37" s="29">
        <f t="shared" si="0"/>
        <v>301891</v>
      </c>
    </row>
    <row r="38" spans="1:11">
      <c r="A38" s="1" t="s">
        <v>1</v>
      </c>
      <c r="B38" s="27" t="s">
        <v>46</v>
      </c>
      <c r="C38" s="51">
        <v>8590</v>
      </c>
      <c r="D38" s="28">
        <v>0</v>
      </c>
      <c r="E38" s="29">
        <f t="shared" si="3"/>
        <v>8590</v>
      </c>
      <c r="F38" s="50">
        <v>7820</v>
      </c>
      <c r="G38" s="51">
        <v>12520</v>
      </c>
      <c r="H38" s="51">
        <v>8820</v>
      </c>
      <c r="I38" s="51">
        <v>7300</v>
      </c>
      <c r="J38" s="72">
        <f t="shared" si="4"/>
        <v>36460</v>
      </c>
      <c r="K38" s="29">
        <f t="shared" si="0"/>
        <v>45050</v>
      </c>
    </row>
    <row r="39" spans="1:11">
      <c r="A39" s="1" t="s">
        <v>1</v>
      </c>
      <c r="B39" s="27" t="s">
        <v>47</v>
      </c>
      <c r="C39" s="51">
        <v>19900</v>
      </c>
      <c r="D39" s="28">
        <v>0</v>
      </c>
      <c r="E39" s="29">
        <f t="shared" si="3"/>
        <v>19900</v>
      </c>
      <c r="F39" s="50">
        <v>12100</v>
      </c>
      <c r="G39" s="51">
        <v>17900</v>
      </c>
      <c r="H39" s="51">
        <v>18900</v>
      </c>
      <c r="I39" s="51">
        <v>6000</v>
      </c>
      <c r="J39" s="72">
        <f t="shared" si="4"/>
        <v>54900</v>
      </c>
      <c r="K39" s="29">
        <f t="shared" si="0"/>
        <v>74800</v>
      </c>
    </row>
    <row r="40" spans="1:11">
      <c r="A40" s="1" t="s">
        <v>1</v>
      </c>
      <c r="B40" s="5" t="s">
        <v>48</v>
      </c>
      <c r="C40" s="53">
        <v>0</v>
      </c>
      <c r="D40" s="6">
        <v>0</v>
      </c>
      <c r="E40" s="7">
        <f t="shared" si="3"/>
        <v>0</v>
      </c>
      <c r="F40" s="52">
        <v>23400</v>
      </c>
      <c r="G40" s="53">
        <v>24000</v>
      </c>
      <c r="H40" s="53">
        <v>7400</v>
      </c>
      <c r="I40" s="53">
        <v>23000</v>
      </c>
      <c r="J40" s="73">
        <f t="shared" si="4"/>
        <v>77800</v>
      </c>
      <c r="K40" s="7">
        <f t="shared" si="0"/>
        <v>77800</v>
      </c>
    </row>
    <row r="41" spans="1:11">
      <c r="A41" s="1" t="s">
        <v>1</v>
      </c>
      <c r="B41" s="15" t="s">
        <v>49</v>
      </c>
      <c r="C41" s="55">
        <v>93105</v>
      </c>
      <c r="D41" s="16">
        <v>518</v>
      </c>
      <c r="E41" s="17">
        <f t="shared" si="3"/>
        <v>93623</v>
      </c>
      <c r="F41" s="54">
        <v>97149</v>
      </c>
      <c r="G41" s="55">
        <v>123609</v>
      </c>
      <c r="H41" s="55">
        <v>92094</v>
      </c>
      <c r="I41" s="55">
        <v>93066</v>
      </c>
      <c r="J41" s="74">
        <f t="shared" si="4"/>
        <v>405918</v>
      </c>
      <c r="K41" s="17">
        <f t="shared" si="0"/>
        <v>499541</v>
      </c>
    </row>
    <row r="42" spans="1:11">
      <c r="A42" s="1" t="s">
        <v>1</v>
      </c>
      <c r="B42" s="15" t="s">
        <v>50</v>
      </c>
      <c r="C42" s="55">
        <v>342203</v>
      </c>
      <c r="D42" s="16">
        <v>85882</v>
      </c>
      <c r="E42" s="17">
        <f t="shared" si="3"/>
        <v>428085</v>
      </c>
      <c r="F42" s="54">
        <v>326967</v>
      </c>
      <c r="G42" s="55">
        <v>350718</v>
      </c>
      <c r="H42" s="55">
        <v>344943</v>
      </c>
      <c r="I42" s="55">
        <v>314265</v>
      </c>
      <c r="J42" s="74">
        <f t="shared" si="4"/>
        <v>1336893</v>
      </c>
      <c r="K42" s="17">
        <f t="shared" si="0"/>
        <v>1764978</v>
      </c>
    </row>
    <row r="43" spans="1:11">
      <c r="A43" s="1" t="s">
        <v>1</v>
      </c>
      <c r="B43" s="15" t="s">
        <v>51</v>
      </c>
      <c r="C43" s="55">
        <v>323633</v>
      </c>
      <c r="D43" s="16">
        <v>85882</v>
      </c>
      <c r="E43" s="17">
        <f t="shared" si="3"/>
        <v>409515</v>
      </c>
      <c r="F43" s="54">
        <v>289295</v>
      </c>
      <c r="G43" s="55">
        <v>297865</v>
      </c>
      <c r="H43" s="55">
        <v>313637</v>
      </c>
      <c r="I43" s="55">
        <v>277965</v>
      </c>
      <c r="J43" s="74">
        <f t="shared" si="4"/>
        <v>1178762</v>
      </c>
      <c r="K43" s="17">
        <f t="shared" si="0"/>
        <v>1588277</v>
      </c>
    </row>
    <row r="44" spans="1:11">
      <c r="A44" s="1" t="s">
        <v>1</v>
      </c>
      <c r="B44" s="15" t="s">
        <v>52</v>
      </c>
      <c r="C44" s="55">
        <v>323633</v>
      </c>
      <c r="D44" s="16">
        <v>85882</v>
      </c>
      <c r="E44" s="17">
        <f t="shared" si="3"/>
        <v>409515</v>
      </c>
      <c r="F44" s="54">
        <v>289295</v>
      </c>
      <c r="G44" s="55">
        <v>297865</v>
      </c>
      <c r="H44" s="55">
        <v>313637</v>
      </c>
      <c r="I44" s="55">
        <v>277965</v>
      </c>
      <c r="J44" s="74">
        <f t="shared" si="4"/>
        <v>1178762</v>
      </c>
      <c r="K44" s="17">
        <f t="shared" si="0"/>
        <v>1588277</v>
      </c>
    </row>
    <row r="45" spans="1:11">
      <c r="A45" s="1" t="s">
        <v>1</v>
      </c>
      <c r="B45" s="5" t="s">
        <v>53</v>
      </c>
      <c r="C45" s="53">
        <v>1</v>
      </c>
      <c r="D45" s="6">
        <v>0</v>
      </c>
      <c r="E45" s="7"/>
      <c r="F45" s="52">
        <v>1</v>
      </c>
      <c r="G45" s="53">
        <v>0</v>
      </c>
      <c r="H45" s="53">
        <v>1</v>
      </c>
      <c r="I45" s="53">
        <v>1</v>
      </c>
      <c r="J45" s="6"/>
      <c r="K45" s="7"/>
    </row>
    <row r="46" spans="1:11" ht="19.5" thickBot="1">
      <c r="A46" s="1" t="s">
        <v>1</v>
      </c>
      <c r="B46" s="8" t="s">
        <v>54</v>
      </c>
      <c r="C46" s="61" t="s">
        <v>55</v>
      </c>
      <c r="D46" s="9" t="s">
        <v>55</v>
      </c>
      <c r="E46" s="10"/>
      <c r="F46" s="60" t="s">
        <v>55</v>
      </c>
      <c r="G46" s="61" t="s">
        <v>55</v>
      </c>
      <c r="H46" s="61" t="s">
        <v>55</v>
      </c>
      <c r="I46" s="61" t="s">
        <v>55</v>
      </c>
      <c r="J46" s="9"/>
      <c r="K46" s="10"/>
    </row>
  </sheetData>
  <phoneticPr fontId="3"/>
  <pageMargins left="0.31496062992125984" right="0.31496062992125984" top="0.35433070866141736" bottom="0.35433070866141736" header="0.31496062992125984" footer="0.11811023622047245"/>
  <pageSetup paperSize="12" scale="7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2023年4月度給与 (2)</vt:lpstr>
      <vt:lpstr>'2023年4月度給与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fukasawa</dc:creator>
  <cp:lastModifiedBy>fukasawa</cp:lastModifiedBy>
  <cp:lastPrinted>2023-05-11T08:17:09Z</cp:lastPrinted>
  <dcterms:created xsi:type="dcterms:W3CDTF">2023-05-09T05:36:51Z</dcterms:created>
  <dcterms:modified xsi:type="dcterms:W3CDTF">2023-05-11T08:17:12Z</dcterms:modified>
</cp:coreProperties>
</file>