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.04\"/>
    </mc:Choice>
  </mc:AlternateContent>
  <xr:revisionPtr revIDLastSave="0" documentId="13_ncr:1_{DE534DAC-F6BD-4B63-8D86-32AC9C5BC1F7}" xr6:coauthVersionLast="47" xr6:coauthVersionMax="47" xr10:uidLastSave="{00000000-0000-0000-0000-000000000000}"/>
  <bookViews>
    <workbookView xWindow="-120" yWindow="-120" windowWidth="20730" windowHeight="11160" xr2:uid="{DAB80ACA-0AF8-40AF-B6A0-2CEE3B9D5685}"/>
  </bookViews>
  <sheets>
    <sheet name="2023年4月度給与 (2)" sheetId="4" r:id="rId1"/>
  </sheets>
  <definedNames>
    <definedName name="_xlnm.Print_Area" localSheetId="0">'2023年4月度給与 (2)'!$A$1:$O$46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" l="1"/>
  <c r="O14" i="4"/>
  <c r="O16" i="4"/>
  <c r="N18" i="4"/>
  <c r="O18" i="4" s="1"/>
  <c r="N19" i="4"/>
  <c r="N20" i="4"/>
  <c r="N21" i="4"/>
  <c r="N22" i="4"/>
  <c r="O22" i="4" s="1"/>
  <c r="N23" i="4"/>
  <c r="N24" i="4"/>
  <c r="N25" i="4"/>
  <c r="N26" i="4"/>
  <c r="O26" i="4" s="1"/>
  <c r="N27" i="4"/>
  <c r="N28" i="4"/>
  <c r="N29" i="4"/>
  <c r="N30" i="4"/>
  <c r="O30" i="4" s="1"/>
  <c r="N31" i="4"/>
  <c r="N32" i="4"/>
  <c r="N33" i="4"/>
  <c r="N34" i="4"/>
  <c r="O34" i="4" s="1"/>
  <c r="N35" i="4"/>
  <c r="N36" i="4"/>
  <c r="N37" i="4"/>
  <c r="N38" i="4"/>
  <c r="O38" i="4" s="1"/>
  <c r="N39" i="4"/>
  <c r="N40" i="4"/>
  <c r="N41" i="4"/>
  <c r="N42" i="4"/>
  <c r="O42" i="4" s="1"/>
  <c r="N43" i="4"/>
  <c r="N44" i="4"/>
  <c r="N17" i="4"/>
  <c r="N7" i="4"/>
  <c r="N8" i="4"/>
  <c r="N9" i="4"/>
  <c r="N10" i="4"/>
  <c r="N11" i="4"/>
  <c r="N12" i="4"/>
  <c r="N13" i="4"/>
  <c r="N14" i="4"/>
  <c r="N15" i="4"/>
  <c r="N6" i="4"/>
  <c r="N5" i="4"/>
  <c r="F18" i="4"/>
  <c r="F19" i="4"/>
  <c r="O19" i="4" s="1"/>
  <c r="F20" i="4"/>
  <c r="O20" i="4" s="1"/>
  <c r="F21" i="4"/>
  <c r="O21" i="4" s="1"/>
  <c r="F22" i="4"/>
  <c r="F23" i="4"/>
  <c r="O23" i="4" s="1"/>
  <c r="F24" i="4"/>
  <c r="O24" i="4" s="1"/>
  <c r="F25" i="4"/>
  <c r="O25" i="4" s="1"/>
  <c r="F26" i="4"/>
  <c r="F27" i="4"/>
  <c r="O27" i="4" s="1"/>
  <c r="F28" i="4"/>
  <c r="O28" i="4" s="1"/>
  <c r="F29" i="4"/>
  <c r="O29" i="4" s="1"/>
  <c r="F30" i="4"/>
  <c r="F31" i="4"/>
  <c r="O31" i="4" s="1"/>
  <c r="F32" i="4"/>
  <c r="O32" i="4" s="1"/>
  <c r="F33" i="4"/>
  <c r="O33" i="4" s="1"/>
  <c r="F34" i="4"/>
  <c r="F35" i="4"/>
  <c r="O35" i="4" s="1"/>
  <c r="F36" i="4"/>
  <c r="O36" i="4" s="1"/>
  <c r="F37" i="4"/>
  <c r="O37" i="4" s="1"/>
  <c r="F38" i="4"/>
  <c r="F39" i="4"/>
  <c r="O39" i="4" s="1"/>
  <c r="F40" i="4"/>
  <c r="O40" i="4" s="1"/>
  <c r="F41" i="4"/>
  <c r="O41" i="4" s="1"/>
  <c r="F42" i="4"/>
  <c r="F43" i="4"/>
  <c r="O43" i="4" s="1"/>
  <c r="F44" i="4"/>
  <c r="O44" i="4" s="1"/>
  <c r="F17" i="4"/>
  <c r="O17" i="4" s="1"/>
  <c r="F7" i="4"/>
  <c r="O7" i="4" s="1"/>
  <c r="F8" i="4"/>
  <c r="O8" i="4" s="1"/>
  <c r="F9" i="4"/>
  <c r="O9" i="4" s="1"/>
  <c r="F10" i="4"/>
  <c r="F11" i="4"/>
  <c r="O11" i="4" s="1"/>
  <c r="F12" i="4"/>
  <c r="O12" i="4" s="1"/>
  <c r="F13" i="4"/>
  <c r="O13" i="4" s="1"/>
  <c r="F14" i="4"/>
  <c r="F15" i="4"/>
  <c r="O15" i="4" s="1"/>
  <c r="F6" i="4"/>
  <c r="O6" i="4" s="1"/>
  <c r="F5" i="4"/>
  <c r="O5" i="4" s="1"/>
</calcChain>
</file>

<file path=xl/sharedStrings.xml><?xml version="1.0" encoding="utf-8"?>
<sst xmlns="http://schemas.openxmlformats.org/spreadsheetml/2006/main" count="123" uniqueCount="69">
  <si>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</si>
  <si>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</si>
  <si>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</si>
  <si>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</si>
  <si>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</si>
  <si>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</si>
  <si>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</si>
  <si>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</si>
  <si>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1084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</si>
  <si>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</si>
  <si>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</si>
  <si>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</si>
  <si>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</si>
  <si>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</si>
  <si>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</si>
  <si>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</si>
  <si>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</si>
  <si>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</si>
  <si>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大沼　幸夫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</si>
  <si>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</si>
  <si>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</si>
  <si>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</si>
  <si>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</si>
  <si>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</si>
  <si>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</si>
  <si>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</si>
  <si>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</si>
  <si>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</si>
  <si>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</si>
  <si>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</si>
  <si>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</si>
  <si>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</si>
  <si>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</si>
  <si>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</si>
  <si>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</si>
  <si>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</si>
  <si>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</si>
  <si>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</si>
  <si>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</si>
  <si>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</si>
  <si>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</si>
  <si>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</si>
  <si>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</si>
  <si>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</si>
  <si>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</si>
  <si>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</si>
  <si>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</si>
  <si>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</si>
  <si>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</si>
  <si>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</si>
  <si>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</si>
  <si>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</si>
  <si>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</si>
  <si>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</si>
  <si>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</si>
  <si>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</si>
  <si>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</si>
  <si>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</si>
  <si>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</si>
  <si>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</si>
  <si>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</si>
  <si>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</si>
  <si>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4月度給与</t>
    <phoneticPr fontId="4"/>
  </si>
  <si>
    <t>佐藤ゆうこ</t>
    <phoneticPr fontId="4"/>
  </si>
  <si>
    <t>小田島健司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</si>
  <si>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</si>
  <si>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</si>
  <si>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7名</t>
    <rPh sb="1" eb="2">
      <t>メイ</t>
    </rPh>
    <phoneticPr fontId="3"/>
  </si>
  <si>
    <t>10名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</si>
</sst>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0" fontId="2" fillId="0" borderId="5" xfId="1" applyFont="1" applyBorder="1"/>
    <xf numFmtId="0" fontId="2" fillId="0" borderId="6" xfId="1" applyFont="1" applyBorder="1" applyAlignment="1">
      <alignment horizontal="center"/>
    </xf>
    <xf numFmtId="49" fontId="2" fillId="0" borderId="7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7" xfId="1" applyNumberFormat="1" applyFont="1" applyBorder="1"/>
    <xf numFmtId="49" fontId="2" fillId="0" borderId="6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6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3" xfId="1" applyNumberFormat="1" applyFont="1" applyBorder="1"/>
    <xf numFmtId="3" fontId="2" fillId="0" borderId="14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5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3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7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176" fontId="2" fillId="0" borderId="23" xfId="1" applyNumberFormat="1" applyFont="1" applyBorder="1"/>
    <xf numFmtId="49" fontId="2" fillId="0" borderId="32" xfId="1" applyNumberFormat="1" applyFont="1" applyBorder="1" applyAlignment="1">
      <alignment horizontal="left"/>
    </xf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2" xfId="1" applyNumberFormat="1" applyFont="1" applyBorder="1"/>
    <xf numFmtId="49" fontId="2" fillId="0" borderId="31" xfId="1" applyNumberFormat="1" applyFont="1" applyBorder="1" applyAlignment="1">
      <alignment horizontal="left"/>
    </xf>
    <xf numFmtId="2" fontId="2" fillId="0" borderId="36" xfId="1" applyNumberFormat="1" applyFont="1" applyBorder="1"/>
    <xf numFmtId="2" fontId="2" fillId="0" borderId="37" xfId="1" applyNumberFormat="1" applyFont="1" applyBorder="1"/>
    <xf numFmtId="2" fontId="2" fillId="0" borderId="38" xfId="1" applyNumberFormat="1" applyFont="1" applyBorder="1"/>
    <xf numFmtId="2" fontId="2" fillId="0" borderId="31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2" xfId="1" applyNumberFormat="1" applyFont="1" applyBorder="1"/>
    <xf numFmtId="3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49" fontId="2" fillId="0" borderId="40" xfId="1" applyNumberFormat="1" applyFont="1" applyBorder="1"/>
    <xf numFmtId="49" fontId="2" fillId="0" borderId="8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right"/>
    </xf>
    <xf numFmtId="0" fontId="2" fillId="0" borderId="2" xfId="1" applyFont="1" applyBorder="1" applyAlignment="1">
      <alignment horizontal="right"/>
    </xf>
    <xf numFmtId="2" fontId="2" fillId="0" borderId="48" xfId="1" applyNumberFormat="1" applyFont="1" applyBorder="1"/>
    <xf numFmtId="3" fontId="2" fillId="0" borderId="3" xfId="1" applyNumberFormat="1" applyFont="1" applyBorder="1"/>
    <xf numFmtId="49" fontId="2" fillId="0" borderId="2" xfId="1" applyNumberFormat="1" applyFont="1" applyBorder="1"/>
    <xf numFmtId="49" fontId="2" fillId="0" borderId="7" xfId="1" applyNumberFormat="1" applyFont="1" applyBorder="1" applyAlignment="1">
      <alignment horizontal="right"/>
    </xf>
  </cellXfs>
  <cellStyles count="2">
    <cellStyle name="標準" xfId="0" builtinId="0"/>
    <cellStyle name="標準 2" xfId="1" xr:uid="{D180B819-C25E-44C3-96CD-9B17EDC55C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23164-A3A4-462C-9C6C-F4694C4FFF85}">
  <sheetPr>
    <pageSetUpPr fitToPage="1"/>
  </sheetPr>
  <dimension ref="A1:O46"/>
  <sheetViews>
    <sheetView tabSelected="1" workbookViewId="0">
      <pane xSplit="2" ySplit="4" topLeftCell="E5" activePane="bottomRight" state="frozen"/>
      <selection pane="topRight" activeCell="C1" sqref="C1"/>
      <selection pane="bottomLeft" activeCell="A9" sqref="A9"/>
      <selection pane="bottomRight" activeCell="E44" sqref="E44"/>
    </sheetView>
  </sheetViews>
  <sheetFormatPr defaultRowHeight="18.75"/>
  <cols>
    <col min="1" max="1" width="2.375" style="2" customWidth="1"/>
    <col min="2" max="2" width="13.25" style="2" bestFit="1" customWidth="1"/>
    <col min="3" max="15" width="11.375" style="2" customWidth="1"/>
    <col min="16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7" width="11.125" style="2" bestFit="1" customWidth="1"/>
    <col min="268" max="268" width="9" style="2"/>
    <col min="269" max="269" width="13.25" style="2" bestFit="1" customWidth="1"/>
    <col min="270" max="270" width="9.625" style="2" bestFit="1" customWidth="1"/>
    <col min="271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3" width="11.125" style="2" bestFit="1" customWidth="1"/>
    <col min="524" max="524" width="9" style="2"/>
    <col min="525" max="525" width="13.25" style="2" bestFit="1" customWidth="1"/>
    <col min="526" max="526" width="9.625" style="2" bestFit="1" customWidth="1"/>
    <col min="527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9" width="11.125" style="2" bestFit="1" customWidth="1"/>
    <col min="780" max="780" width="9" style="2"/>
    <col min="781" max="781" width="13.25" style="2" bestFit="1" customWidth="1"/>
    <col min="782" max="782" width="9.625" style="2" bestFit="1" customWidth="1"/>
    <col min="783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5" width="11.125" style="2" bestFit="1" customWidth="1"/>
    <col min="1036" max="1036" width="9" style="2"/>
    <col min="1037" max="1037" width="13.25" style="2" bestFit="1" customWidth="1"/>
    <col min="1038" max="1038" width="9.625" style="2" bestFit="1" customWidth="1"/>
    <col min="1039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1" width="11.125" style="2" bestFit="1" customWidth="1"/>
    <col min="1292" max="1292" width="9" style="2"/>
    <col min="1293" max="1293" width="13.25" style="2" bestFit="1" customWidth="1"/>
    <col min="1294" max="1294" width="9.625" style="2" bestFit="1" customWidth="1"/>
    <col min="1295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7" width="11.125" style="2" bestFit="1" customWidth="1"/>
    <col min="1548" max="1548" width="9" style="2"/>
    <col min="1549" max="1549" width="13.25" style="2" bestFit="1" customWidth="1"/>
    <col min="1550" max="1550" width="9.625" style="2" bestFit="1" customWidth="1"/>
    <col min="1551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3" width="11.125" style="2" bestFit="1" customWidth="1"/>
    <col min="1804" max="1804" width="9" style="2"/>
    <col min="1805" max="1805" width="13.25" style="2" bestFit="1" customWidth="1"/>
    <col min="1806" max="1806" width="9.625" style="2" bestFit="1" customWidth="1"/>
    <col min="1807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9" width="11.125" style="2" bestFit="1" customWidth="1"/>
    <col min="2060" max="2060" width="9" style="2"/>
    <col min="2061" max="2061" width="13.25" style="2" bestFit="1" customWidth="1"/>
    <col min="2062" max="2062" width="9.625" style="2" bestFit="1" customWidth="1"/>
    <col min="2063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5" width="11.125" style="2" bestFit="1" customWidth="1"/>
    <col min="2316" max="2316" width="9" style="2"/>
    <col min="2317" max="2317" width="13.25" style="2" bestFit="1" customWidth="1"/>
    <col min="2318" max="2318" width="9.625" style="2" bestFit="1" customWidth="1"/>
    <col min="2319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1" width="11.125" style="2" bestFit="1" customWidth="1"/>
    <col min="2572" max="2572" width="9" style="2"/>
    <col min="2573" max="2573" width="13.25" style="2" bestFit="1" customWidth="1"/>
    <col min="2574" max="2574" width="9.625" style="2" bestFit="1" customWidth="1"/>
    <col min="2575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7" width="11.125" style="2" bestFit="1" customWidth="1"/>
    <col min="2828" max="2828" width="9" style="2"/>
    <col min="2829" max="2829" width="13.25" style="2" bestFit="1" customWidth="1"/>
    <col min="2830" max="2830" width="9.625" style="2" bestFit="1" customWidth="1"/>
    <col min="2831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3" width="11.125" style="2" bestFit="1" customWidth="1"/>
    <col min="3084" max="3084" width="9" style="2"/>
    <col min="3085" max="3085" width="13.25" style="2" bestFit="1" customWidth="1"/>
    <col min="3086" max="3086" width="9.625" style="2" bestFit="1" customWidth="1"/>
    <col min="3087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9" width="11.125" style="2" bestFit="1" customWidth="1"/>
    <col min="3340" max="3340" width="9" style="2"/>
    <col min="3341" max="3341" width="13.25" style="2" bestFit="1" customWidth="1"/>
    <col min="3342" max="3342" width="9.625" style="2" bestFit="1" customWidth="1"/>
    <col min="3343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5" width="11.125" style="2" bestFit="1" customWidth="1"/>
    <col min="3596" max="3596" width="9" style="2"/>
    <col min="3597" max="3597" width="13.25" style="2" bestFit="1" customWidth="1"/>
    <col min="3598" max="3598" width="9.625" style="2" bestFit="1" customWidth="1"/>
    <col min="3599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1" width="11.125" style="2" bestFit="1" customWidth="1"/>
    <col min="3852" max="3852" width="9" style="2"/>
    <col min="3853" max="3853" width="13.25" style="2" bestFit="1" customWidth="1"/>
    <col min="3854" max="3854" width="9.625" style="2" bestFit="1" customWidth="1"/>
    <col min="3855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7" width="11.125" style="2" bestFit="1" customWidth="1"/>
    <col min="4108" max="4108" width="9" style="2"/>
    <col min="4109" max="4109" width="13.25" style="2" bestFit="1" customWidth="1"/>
    <col min="4110" max="4110" width="9.625" style="2" bestFit="1" customWidth="1"/>
    <col min="4111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3" width="11.125" style="2" bestFit="1" customWidth="1"/>
    <col min="4364" max="4364" width="9" style="2"/>
    <col min="4365" max="4365" width="13.25" style="2" bestFit="1" customWidth="1"/>
    <col min="4366" max="4366" width="9.625" style="2" bestFit="1" customWidth="1"/>
    <col min="4367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9" width="11.125" style="2" bestFit="1" customWidth="1"/>
    <col min="4620" max="4620" width="9" style="2"/>
    <col min="4621" max="4621" width="13.25" style="2" bestFit="1" customWidth="1"/>
    <col min="4622" max="4622" width="9.625" style="2" bestFit="1" customWidth="1"/>
    <col min="4623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5" width="11.125" style="2" bestFit="1" customWidth="1"/>
    <col min="4876" max="4876" width="9" style="2"/>
    <col min="4877" max="4877" width="13.25" style="2" bestFit="1" customWidth="1"/>
    <col min="4878" max="4878" width="9.625" style="2" bestFit="1" customWidth="1"/>
    <col min="4879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1" width="11.125" style="2" bestFit="1" customWidth="1"/>
    <col min="5132" max="5132" width="9" style="2"/>
    <col min="5133" max="5133" width="13.25" style="2" bestFit="1" customWidth="1"/>
    <col min="5134" max="5134" width="9.625" style="2" bestFit="1" customWidth="1"/>
    <col min="5135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7" width="11.125" style="2" bestFit="1" customWidth="1"/>
    <col min="5388" max="5388" width="9" style="2"/>
    <col min="5389" max="5389" width="13.25" style="2" bestFit="1" customWidth="1"/>
    <col min="5390" max="5390" width="9.625" style="2" bestFit="1" customWidth="1"/>
    <col min="5391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3" width="11.125" style="2" bestFit="1" customWidth="1"/>
    <col min="5644" max="5644" width="9" style="2"/>
    <col min="5645" max="5645" width="13.25" style="2" bestFit="1" customWidth="1"/>
    <col min="5646" max="5646" width="9.625" style="2" bestFit="1" customWidth="1"/>
    <col min="5647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9" width="11.125" style="2" bestFit="1" customWidth="1"/>
    <col min="5900" max="5900" width="9" style="2"/>
    <col min="5901" max="5901" width="13.25" style="2" bestFit="1" customWidth="1"/>
    <col min="5902" max="5902" width="9.625" style="2" bestFit="1" customWidth="1"/>
    <col min="5903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5" width="11.125" style="2" bestFit="1" customWidth="1"/>
    <col min="6156" max="6156" width="9" style="2"/>
    <col min="6157" max="6157" width="13.25" style="2" bestFit="1" customWidth="1"/>
    <col min="6158" max="6158" width="9.625" style="2" bestFit="1" customWidth="1"/>
    <col min="6159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1" width="11.125" style="2" bestFit="1" customWidth="1"/>
    <col min="6412" max="6412" width="9" style="2"/>
    <col min="6413" max="6413" width="13.25" style="2" bestFit="1" customWidth="1"/>
    <col min="6414" max="6414" width="9.625" style="2" bestFit="1" customWidth="1"/>
    <col min="6415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7" width="11.125" style="2" bestFit="1" customWidth="1"/>
    <col min="6668" max="6668" width="9" style="2"/>
    <col min="6669" max="6669" width="13.25" style="2" bestFit="1" customWidth="1"/>
    <col min="6670" max="6670" width="9.625" style="2" bestFit="1" customWidth="1"/>
    <col min="6671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3" width="11.125" style="2" bestFit="1" customWidth="1"/>
    <col min="6924" max="6924" width="9" style="2"/>
    <col min="6925" max="6925" width="13.25" style="2" bestFit="1" customWidth="1"/>
    <col min="6926" max="6926" width="9.625" style="2" bestFit="1" customWidth="1"/>
    <col min="6927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9" width="11.125" style="2" bestFit="1" customWidth="1"/>
    <col min="7180" max="7180" width="9" style="2"/>
    <col min="7181" max="7181" width="13.25" style="2" bestFit="1" customWidth="1"/>
    <col min="7182" max="7182" width="9.625" style="2" bestFit="1" customWidth="1"/>
    <col min="7183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5" width="11.125" style="2" bestFit="1" customWidth="1"/>
    <col min="7436" max="7436" width="9" style="2"/>
    <col min="7437" max="7437" width="13.25" style="2" bestFit="1" customWidth="1"/>
    <col min="7438" max="7438" width="9.625" style="2" bestFit="1" customWidth="1"/>
    <col min="7439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1" width="11.125" style="2" bestFit="1" customWidth="1"/>
    <col min="7692" max="7692" width="9" style="2"/>
    <col min="7693" max="7693" width="13.25" style="2" bestFit="1" customWidth="1"/>
    <col min="7694" max="7694" width="9.625" style="2" bestFit="1" customWidth="1"/>
    <col min="7695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7" width="11.125" style="2" bestFit="1" customWidth="1"/>
    <col min="7948" max="7948" width="9" style="2"/>
    <col min="7949" max="7949" width="13.25" style="2" bestFit="1" customWidth="1"/>
    <col min="7950" max="7950" width="9.625" style="2" bestFit="1" customWidth="1"/>
    <col min="7951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3" width="11.125" style="2" bestFit="1" customWidth="1"/>
    <col min="8204" max="8204" width="9" style="2"/>
    <col min="8205" max="8205" width="13.25" style="2" bestFit="1" customWidth="1"/>
    <col min="8206" max="8206" width="9.625" style="2" bestFit="1" customWidth="1"/>
    <col min="8207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9" width="11.125" style="2" bestFit="1" customWidth="1"/>
    <col min="8460" max="8460" width="9" style="2"/>
    <col min="8461" max="8461" width="13.25" style="2" bestFit="1" customWidth="1"/>
    <col min="8462" max="8462" width="9.625" style="2" bestFit="1" customWidth="1"/>
    <col min="8463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5" width="11.125" style="2" bestFit="1" customWidth="1"/>
    <col min="8716" max="8716" width="9" style="2"/>
    <col min="8717" max="8717" width="13.25" style="2" bestFit="1" customWidth="1"/>
    <col min="8718" max="8718" width="9.625" style="2" bestFit="1" customWidth="1"/>
    <col min="8719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1" width="11.125" style="2" bestFit="1" customWidth="1"/>
    <col min="8972" max="8972" width="9" style="2"/>
    <col min="8973" max="8973" width="13.25" style="2" bestFit="1" customWidth="1"/>
    <col min="8974" max="8974" width="9.625" style="2" bestFit="1" customWidth="1"/>
    <col min="8975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7" width="11.125" style="2" bestFit="1" customWidth="1"/>
    <col min="9228" max="9228" width="9" style="2"/>
    <col min="9229" max="9229" width="13.25" style="2" bestFit="1" customWidth="1"/>
    <col min="9230" max="9230" width="9.625" style="2" bestFit="1" customWidth="1"/>
    <col min="9231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3" width="11.125" style="2" bestFit="1" customWidth="1"/>
    <col min="9484" max="9484" width="9" style="2"/>
    <col min="9485" max="9485" width="13.25" style="2" bestFit="1" customWidth="1"/>
    <col min="9486" max="9486" width="9.625" style="2" bestFit="1" customWidth="1"/>
    <col min="9487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9" width="11.125" style="2" bestFit="1" customWidth="1"/>
    <col min="9740" max="9740" width="9" style="2"/>
    <col min="9741" max="9741" width="13.25" style="2" bestFit="1" customWidth="1"/>
    <col min="9742" max="9742" width="9.625" style="2" bestFit="1" customWidth="1"/>
    <col min="9743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5" width="11.125" style="2" bestFit="1" customWidth="1"/>
    <col min="9996" max="9996" width="9" style="2"/>
    <col min="9997" max="9997" width="13.25" style="2" bestFit="1" customWidth="1"/>
    <col min="9998" max="9998" width="9.625" style="2" bestFit="1" customWidth="1"/>
    <col min="9999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" style="2"/>
    <col min="10253" max="10253" width="13.25" style="2" bestFit="1" customWidth="1"/>
    <col min="10254" max="10254" width="9.625" style="2" bestFit="1" customWidth="1"/>
    <col min="10255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" style="2"/>
    <col min="10509" max="10509" width="13.25" style="2" bestFit="1" customWidth="1"/>
    <col min="10510" max="10510" width="9.625" style="2" bestFit="1" customWidth="1"/>
    <col min="10511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" style="2"/>
    <col min="10765" max="10765" width="13.25" style="2" bestFit="1" customWidth="1"/>
    <col min="10766" max="10766" width="9.625" style="2" bestFit="1" customWidth="1"/>
    <col min="10767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" style="2"/>
    <col min="11021" max="11021" width="13.25" style="2" bestFit="1" customWidth="1"/>
    <col min="11022" max="11022" width="9.625" style="2" bestFit="1" customWidth="1"/>
    <col min="11023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" style="2"/>
    <col min="11277" max="11277" width="13.25" style="2" bestFit="1" customWidth="1"/>
    <col min="11278" max="11278" width="9.625" style="2" bestFit="1" customWidth="1"/>
    <col min="11279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" style="2"/>
    <col min="11533" max="11533" width="13.25" style="2" bestFit="1" customWidth="1"/>
    <col min="11534" max="11534" width="9.625" style="2" bestFit="1" customWidth="1"/>
    <col min="11535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" style="2"/>
    <col min="11789" max="11789" width="13.25" style="2" bestFit="1" customWidth="1"/>
    <col min="11790" max="11790" width="9.625" style="2" bestFit="1" customWidth="1"/>
    <col min="11791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" style="2"/>
    <col min="12045" max="12045" width="13.25" style="2" bestFit="1" customWidth="1"/>
    <col min="12046" max="12046" width="9.625" style="2" bestFit="1" customWidth="1"/>
    <col min="12047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" style="2"/>
    <col min="12301" max="12301" width="13.25" style="2" bestFit="1" customWidth="1"/>
    <col min="12302" max="12302" width="9.625" style="2" bestFit="1" customWidth="1"/>
    <col min="12303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" style="2"/>
    <col min="12557" max="12557" width="13.25" style="2" bestFit="1" customWidth="1"/>
    <col min="12558" max="12558" width="9.625" style="2" bestFit="1" customWidth="1"/>
    <col min="12559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" style="2"/>
    <col min="12813" max="12813" width="13.25" style="2" bestFit="1" customWidth="1"/>
    <col min="12814" max="12814" width="9.625" style="2" bestFit="1" customWidth="1"/>
    <col min="12815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" style="2"/>
    <col min="13069" max="13069" width="13.25" style="2" bestFit="1" customWidth="1"/>
    <col min="13070" max="13070" width="9.625" style="2" bestFit="1" customWidth="1"/>
    <col min="13071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" style="2"/>
    <col min="13325" max="13325" width="13.25" style="2" bestFit="1" customWidth="1"/>
    <col min="13326" max="13326" width="9.625" style="2" bestFit="1" customWidth="1"/>
    <col min="13327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" style="2"/>
    <col min="13581" max="13581" width="13.25" style="2" bestFit="1" customWidth="1"/>
    <col min="13582" max="13582" width="9.625" style="2" bestFit="1" customWidth="1"/>
    <col min="13583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" style="2"/>
    <col min="13837" max="13837" width="13.25" style="2" bestFit="1" customWidth="1"/>
    <col min="13838" max="13838" width="9.625" style="2" bestFit="1" customWidth="1"/>
    <col min="13839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" style="2"/>
    <col min="14093" max="14093" width="13.25" style="2" bestFit="1" customWidth="1"/>
    <col min="14094" max="14094" width="9.625" style="2" bestFit="1" customWidth="1"/>
    <col min="14095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" style="2"/>
    <col min="14349" max="14349" width="13.25" style="2" bestFit="1" customWidth="1"/>
    <col min="14350" max="14350" width="9.625" style="2" bestFit="1" customWidth="1"/>
    <col min="14351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" style="2"/>
    <col min="14605" max="14605" width="13.25" style="2" bestFit="1" customWidth="1"/>
    <col min="14606" max="14606" width="9.625" style="2" bestFit="1" customWidth="1"/>
    <col min="14607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" style="2"/>
    <col min="14861" max="14861" width="13.25" style="2" bestFit="1" customWidth="1"/>
    <col min="14862" max="14862" width="9.625" style="2" bestFit="1" customWidth="1"/>
    <col min="14863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" style="2"/>
    <col min="15117" max="15117" width="13.25" style="2" bestFit="1" customWidth="1"/>
    <col min="15118" max="15118" width="9.625" style="2" bestFit="1" customWidth="1"/>
    <col min="15119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" style="2"/>
    <col min="15373" max="15373" width="13.25" style="2" bestFit="1" customWidth="1"/>
    <col min="15374" max="15374" width="9.625" style="2" bestFit="1" customWidth="1"/>
    <col min="15375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" style="2"/>
    <col min="15629" max="15629" width="13.25" style="2" bestFit="1" customWidth="1"/>
    <col min="15630" max="15630" width="9.625" style="2" bestFit="1" customWidth="1"/>
    <col min="15631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" style="2"/>
    <col min="15885" max="15885" width="13.25" style="2" bestFit="1" customWidth="1"/>
    <col min="15886" max="15886" width="9.625" style="2" bestFit="1" customWidth="1"/>
    <col min="15887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" style="2"/>
    <col min="16141" max="16141" width="13.25" style="2" bestFit="1" customWidth="1"/>
    <col min="16142" max="16142" width="9.625" style="2" bestFit="1" customWidth="1"/>
    <col min="16143" max="16384" width="9" style="2"/>
  </cols>
  <sheetData>
    <row r="1" spans="1:15">
      <c r="A1" s="1" t="s">
        <v>0</v>
      </c>
    </row>
    <row r="2" spans="1:15" ht="19.5" thickBot="1">
      <c r="A2" s="1" t="s">
        <v>62</v>
      </c>
    </row>
    <row r="3" spans="1:15">
      <c r="B3" s="13"/>
      <c r="C3" s="15" t="s">
        <v>5</v>
      </c>
      <c r="D3" s="15" t="s">
        <v>9</v>
      </c>
      <c r="E3" s="60" t="s">
        <v>7</v>
      </c>
      <c r="F3" s="72" t="s">
        <v>65</v>
      </c>
      <c r="G3" s="14" t="s">
        <v>2</v>
      </c>
      <c r="H3" s="15" t="s">
        <v>3</v>
      </c>
      <c r="I3" s="15" t="s">
        <v>4</v>
      </c>
      <c r="J3" s="15" t="s">
        <v>6</v>
      </c>
      <c r="K3" s="15" t="s">
        <v>8</v>
      </c>
      <c r="L3" s="15" t="s">
        <v>10</v>
      </c>
      <c r="M3" s="4" t="s">
        <v>11</v>
      </c>
      <c r="N3" s="72" t="s">
        <v>65</v>
      </c>
      <c r="O3" s="5" t="s">
        <v>21</v>
      </c>
    </row>
    <row r="4" spans="1:15" ht="19.5" thickBot="1">
      <c r="B4" s="6" t="s">
        <v>12</v>
      </c>
      <c r="C4" s="17" t="s">
        <v>16</v>
      </c>
      <c r="D4" s="17" t="s">
        <v>19</v>
      </c>
      <c r="E4" s="61" t="s">
        <v>63</v>
      </c>
      <c r="F4" s="73" t="s">
        <v>66</v>
      </c>
      <c r="G4" s="16" t="s">
        <v>13</v>
      </c>
      <c r="H4" s="17" t="s">
        <v>14</v>
      </c>
      <c r="I4" s="17" t="s">
        <v>15</v>
      </c>
      <c r="J4" s="17" t="s">
        <v>17</v>
      </c>
      <c r="K4" s="17" t="s">
        <v>18</v>
      </c>
      <c r="L4" s="17" t="s">
        <v>20</v>
      </c>
      <c r="M4" s="3" t="s">
        <v>64</v>
      </c>
      <c r="N4" s="78" t="s">
        <v>67</v>
      </c>
      <c r="O4" s="74" t="s">
        <v>68</v>
      </c>
    </row>
    <row r="5" spans="1:15">
      <c r="A5" s="1" t="s">
        <v>1</v>
      </c>
      <c r="B5" s="37" t="s">
        <v>22</v>
      </c>
      <c r="C5" s="39">
        <v>20</v>
      </c>
      <c r="D5" s="39">
        <v>21</v>
      </c>
      <c r="E5" s="62">
        <v>20</v>
      </c>
      <c r="F5" s="41">
        <f>SUM(C5:E5)</f>
        <v>61</v>
      </c>
      <c r="G5" s="38">
        <v>21</v>
      </c>
      <c r="H5" s="39">
        <v>20</v>
      </c>
      <c r="I5" s="39">
        <v>18</v>
      </c>
      <c r="J5" s="39">
        <v>19</v>
      </c>
      <c r="K5" s="39">
        <v>20</v>
      </c>
      <c r="L5" s="39">
        <v>21</v>
      </c>
      <c r="M5" s="40">
        <v>19</v>
      </c>
      <c r="N5" s="41">
        <f>SUM(G5:M5)</f>
        <v>138</v>
      </c>
      <c r="O5" s="75">
        <f>F5+N5</f>
        <v>199</v>
      </c>
    </row>
    <row r="6" spans="1:15">
      <c r="A6" s="1" t="s">
        <v>1</v>
      </c>
      <c r="B6" s="32" t="s">
        <v>23</v>
      </c>
      <c r="C6" s="43">
        <v>0</v>
      </c>
      <c r="D6" s="43">
        <v>0</v>
      </c>
      <c r="E6" s="63">
        <v>2</v>
      </c>
      <c r="F6" s="45">
        <f>SUM(C6:E6)</f>
        <v>2</v>
      </c>
      <c r="G6" s="42">
        <v>3</v>
      </c>
      <c r="H6" s="43">
        <v>1</v>
      </c>
      <c r="I6" s="43">
        <v>4</v>
      </c>
      <c r="J6" s="43">
        <v>1</v>
      </c>
      <c r="K6" s="43">
        <v>3</v>
      </c>
      <c r="L6" s="43">
        <v>2</v>
      </c>
      <c r="M6" s="44">
        <v>3</v>
      </c>
      <c r="N6" s="45">
        <f>SUM(G6:M6)</f>
        <v>17</v>
      </c>
      <c r="O6" s="45">
        <f t="shared" ref="O6:O44" si="0">F6+N6</f>
        <v>19</v>
      </c>
    </row>
    <row r="7" spans="1:15">
      <c r="A7" s="1" t="s">
        <v>1</v>
      </c>
      <c r="B7" s="32" t="s">
        <v>24</v>
      </c>
      <c r="C7" s="43">
        <v>0</v>
      </c>
      <c r="D7" s="43">
        <v>0</v>
      </c>
      <c r="E7" s="63">
        <v>0</v>
      </c>
      <c r="F7" s="45">
        <f t="shared" ref="F7:F15" si="1">SUM(C7:E7)</f>
        <v>0</v>
      </c>
      <c r="G7" s="42">
        <v>1</v>
      </c>
      <c r="H7" s="43">
        <v>4</v>
      </c>
      <c r="I7" s="43">
        <v>1</v>
      </c>
      <c r="J7" s="43">
        <v>2</v>
      </c>
      <c r="K7" s="43">
        <v>0</v>
      </c>
      <c r="L7" s="43">
        <v>1</v>
      </c>
      <c r="M7" s="44">
        <v>1</v>
      </c>
      <c r="N7" s="45">
        <f t="shared" ref="N7:N15" si="2">SUM(G7:M7)</f>
        <v>10</v>
      </c>
      <c r="O7" s="45">
        <f t="shared" si="0"/>
        <v>10</v>
      </c>
    </row>
    <row r="8" spans="1:15">
      <c r="A8" s="1" t="s">
        <v>1</v>
      </c>
      <c r="B8" s="32" t="s">
        <v>25</v>
      </c>
      <c r="C8" s="43">
        <v>0</v>
      </c>
      <c r="D8" s="43">
        <v>0</v>
      </c>
      <c r="E8" s="63">
        <v>0</v>
      </c>
      <c r="F8" s="45">
        <f t="shared" si="1"/>
        <v>0</v>
      </c>
      <c r="G8" s="42">
        <v>0</v>
      </c>
      <c r="H8" s="43">
        <v>0</v>
      </c>
      <c r="I8" s="43">
        <v>1</v>
      </c>
      <c r="J8" s="43">
        <v>0</v>
      </c>
      <c r="K8" s="43">
        <v>0</v>
      </c>
      <c r="L8" s="43">
        <v>0</v>
      </c>
      <c r="M8" s="44">
        <v>0</v>
      </c>
      <c r="N8" s="45">
        <f t="shared" si="2"/>
        <v>1</v>
      </c>
      <c r="O8" s="45">
        <f t="shared" si="0"/>
        <v>1</v>
      </c>
    </row>
    <row r="9" spans="1:15">
      <c r="A9" s="1" t="s">
        <v>1</v>
      </c>
      <c r="B9" s="32" t="s">
        <v>26</v>
      </c>
      <c r="C9" s="43">
        <v>1</v>
      </c>
      <c r="D9" s="43">
        <v>0.5</v>
      </c>
      <c r="E9" s="63">
        <v>1</v>
      </c>
      <c r="F9" s="45">
        <f t="shared" si="1"/>
        <v>2.5</v>
      </c>
      <c r="G9" s="42">
        <v>0</v>
      </c>
      <c r="H9" s="43">
        <v>1</v>
      </c>
      <c r="I9" s="43">
        <v>2</v>
      </c>
      <c r="J9" s="43">
        <v>2</v>
      </c>
      <c r="K9" s="43">
        <v>1</v>
      </c>
      <c r="L9" s="43">
        <v>0</v>
      </c>
      <c r="M9" s="44">
        <v>2</v>
      </c>
      <c r="N9" s="45">
        <f t="shared" si="2"/>
        <v>8</v>
      </c>
      <c r="O9" s="45">
        <f t="shared" si="0"/>
        <v>10.5</v>
      </c>
    </row>
    <row r="10" spans="1:15">
      <c r="A10" s="1" t="s">
        <v>1</v>
      </c>
      <c r="B10" s="32" t="s">
        <v>27</v>
      </c>
      <c r="C10" s="47">
        <v>0</v>
      </c>
      <c r="D10" s="47">
        <v>0</v>
      </c>
      <c r="E10" s="64">
        <v>0.29166666666666669</v>
      </c>
      <c r="F10" s="49">
        <f t="shared" si="1"/>
        <v>0.29166666666666669</v>
      </c>
      <c r="G10" s="46">
        <v>1.75</v>
      </c>
      <c r="H10" s="47">
        <v>0.45833333333333331</v>
      </c>
      <c r="I10" s="47">
        <v>0.70833333333333337</v>
      </c>
      <c r="J10" s="47">
        <v>1.4583333333333333</v>
      </c>
      <c r="K10" s="47">
        <v>2.0833333333333335</v>
      </c>
      <c r="L10" s="47">
        <v>1.3333333333333333</v>
      </c>
      <c r="M10" s="48">
        <v>1.7916666666666665</v>
      </c>
      <c r="N10" s="49">
        <f t="shared" si="2"/>
        <v>9.5833333333333339</v>
      </c>
      <c r="O10" s="49">
        <f t="shared" si="0"/>
        <v>9.875</v>
      </c>
    </row>
    <row r="11" spans="1:15">
      <c r="A11" s="1" t="s">
        <v>1</v>
      </c>
      <c r="B11" s="32" t="s">
        <v>28</v>
      </c>
      <c r="C11" s="47">
        <v>0</v>
      </c>
      <c r="D11" s="47">
        <v>0</v>
      </c>
      <c r="E11" s="64">
        <v>0.75</v>
      </c>
      <c r="F11" s="49">
        <f t="shared" si="1"/>
        <v>0.75</v>
      </c>
      <c r="G11" s="46">
        <v>1.125</v>
      </c>
      <c r="H11" s="47">
        <v>0.33333333333333331</v>
      </c>
      <c r="I11" s="47">
        <v>1</v>
      </c>
      <c r="J11" s="47">
        <v>0.41666666666666669</v>
      </c>
      <c r="K11" s="47">
        <v>1.25</v>
      </c>
      <c r="L11" s="47">
        <v>0.66666666666666663</v>
      </c>
      <c r="M11" s="48">
        <v>1.2916666666666667</v>
      </c>
      <c r="N11" s="49">
        <f t="shared" si="2"/>
        <v>6.0833333333333339</v>
      </c>
      <c r="O11" s="49">
        <f t="shared" si="0"/>
        <v>6.8333333333333339</v>
      </c>
    </row>
    <row r="12" spans="1:15">
      <c r="A12" s="1" t="s">
        <v>1</v>
      </c>
      <c r="B12" s="32" t="s">
        <v>29</v>
      </c>
      <c r="C12" s="47">
        <v>0</v>
      </c>
      <c r="D12" s="47">
        <v>0</v>
      </c>
      <c r="E12" s="64">
        <v>0</v>
      </c>
      <c r="F12" s="49">
        <f t="shared" si="1"/>
        <v>0</v>
      </c>
      <c r="G12" s="46">
        <v>0.29166666666666669</v>
      </c>
      <c r="H12" s="47">
        <v>1.1666666666666667</v>
      </c>
      <c r="I12" s="47">
        <v>0.375</v>
      </c>
      <c r="J12" s="47">
        <v>0.83333333333333337</v>
      </c>
      <c r="K12" s="47">
        <v>0</v>
      </c>
      <c r="L12" s="47">
        <v>0.29166666666666669</v>
      </c>
      <c r="M12" s="48">
        <v>0.5</v>
      </c>
      <c r="N12" s="49">
        <f t="shared" si="2"/>
        <v>3.4583333333333335</v>
      </c>
      <c r="O12" s="49">
        <f t="shared" si="0"/>
        <v>3.4583333333333335</v>
      </c>
    </row>
    <row r="13" spans="1:15">
      <c r="A13" s="1" t="s">
        <v>1</v>
      </c>
      <c r="B13" s="32" t="s">
        <v>30</v>
      </c>
      <c r="C13" s="47">
        <v>0</v>
      </c>
      <c r="D13" s="47">
        <v>0</v>
      </c>
      <c r="E13" s="64">
        <v>0</v>
      </c>
      <c r="F13" s="49">
        <f t="shared" si="1"/>
        <v>0</v>
      </c>
      <c r="G13" s="46">
        <v>0</v>
      </c>
      <c r="H13" s="47">
        <v>0</v>
      </c>
      <c r="I13" s="47">
        <v>0.375</v>
      </c>
      <c r="J13" s="47">
        <v>0</v>
      </c>
      <c r="K13" s="47">
        <v>0</v>
      </c>
      <c r="L13" s="47">
        <v>0</v>
      </c>
      <c r="M13" s="48">
        <v>0</v>
      </c>
      <c r="N13" s="49">
        <f t="shared" si="2"/>
        <v>0.375</v>
      </c>
      <c r="O13" s="49">
        <f t="shared" si="0"/>
        <v>0.375</v>
      </c>
    </row>
    <row r="14" spans="1:15">
      <c r="A14" s="1" t="s">
        <v>1</v>
      </c>
      <c r="B14" s="32" t="s">
        <v>31</v>
      </c>
      <c r="C14" s="47">
        <v>0</v>
      </c>
      <c r="D14" s="47">
        <v>0</v>
      </c>
      <c r="E14" s="64">
        <v>0.375</v>
      </c>
      <c r="F14" s="49">
        <f t="shared" si="1"/>
        <v>0.375</v>
      </c>
      <c r="G14" s="46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8">
        <v>0</v>
      </c>
      <c r="N14" s="49">
        <f t="shared" si="2"/>
        <v>0</v>
      </c>
      <c r="O14" s="49">
        <f t="shared" si="0"/>
        <v>0.375</v>
      </c>
    </row>
    <row r="15" spans="1:15">
      <c r="A15" s="1" t="s">
        <v>1</v>
      </c>
      <c r="B15" s="32" t="s">
        <v>32</v>
      </c>
      <c r="C15" s="47">
        <v>0.20833333333333334</v>
      </c>
      <c r="D15" s="47">
        <v>0</v>
      </c>
      <c r="E15" s="64">
        <v>0</v>
      </c>
      <c r="F15" s="49">
        <f t="shared" si="1"/>
        <v>0.20833333333333334</v>
      </c>
      <c r="G15" s="46">
        <v>0.91666666666666663</v>
      </c>
      <c r="H15" s="47">
        <v>1.6666666666666665</v>
      </c>
      <c r="I15" s="47">
        <v>1.5416666666666665</v>
      </c>
      <c r="J15" s="47">
        <v>1.2083333333333333</v>
      </c>
      <c r="K15" s="47">
        <v>1.25</v>
      </c>
      <c r="L15" s="47">
        <v>0.58333333333333337</v>
      </c>
      <c r="M15" s="48">
        <v>0.25</v>
      </c>
      <c r="N15" s="49">
        <f t="shared" si="2"/>
        <v>7.4166666666666661</v>
      </c>
      <c r="O15" s="49">
        <f t="shared" si="0"/>
        <v>7.6249999999999991</v>
      </c>
    </row>
    <row r="16" spans="1:15">
      <c r="A16" s="1" t="s">
        <v>1</v>
      </c>
      <c r="B16" s="55" t="s">
        <v>33</v>
      </c>
      <c r="C16" s="57">
        <v>39</v>
      </c>
      <c r="D16" s="57">
        <v>25.5</v>
      </c>
      <c r="E16" s="65">
        <v>26</v>
      </c>
      <c r="F16" s="59"/>
      <c r="G16" s="56">
        <v>40</v>
      </c>
      <c r="H16" s="57">
        <v>38</v>
      </c>
      <c r="I16" s="57">
        <v>38</v>
      </c>
      <c r="J16" s="57">
        <v>38</v>
      </c>
      <c r="K16" s="57">
        <v>22</v>
      </c>
      <c r="L16" s="57">
        <v>16</v>
      </c>
      <c r="M16" s="58">
        <v>14</v>
      </c>
      <c r="N16" s="59"/>
      <c r="O16" s="59">
        <f t="shared" si="0"/>
        <v>0</v>
      </c>
    </row>
    <row r="17" spans="1:15">
      <c r="A17" s="1" t="s">
        <v>1</v>
      </c>
      <c r="B17" s="50" t="s">
        <v>34</v>
      </c>
      <c r="C17" s="52">
        <v>355000</v>
      </c>
      <c r="D17" s="52">
        <v>355000</v>
      </c>
      <c r="E17" s="66">
        <v>170000</v>
      </c>
      <c r="F17" s="54">
        <f>SUM(C17:E17)</f>
        <v>880000</v>
      </c>
      <c r="G17" s="51">
        <v>177000</v>
      </c>
      <c r="H17" s="52">
        <v>177000</v>
      </c>
      <c r="I17" s="52">
        <v>177000</v>
      </c>
      <c r="J17" s="52">
        <v>192000</v>
      </c>
      <c r="K17" s="52">
        <v>177000</v>
      </c>
      <c r="L17" s="52">
        <v>170000</v>
      </c>
      <c r="M17" s="53">
        <v>170000</v>
      </c>
      <c r="N17" s="54">
        <f>SUM(G17:M17)</f>
        <v>1240000</v>
      </c>
      <c r="O17" s="54">
        <f t="shared" si="0"/>
        <v>2120000</v>
      </c>
    </row>
    <row r="18" spans="1:15">
      <c r="A18" s="1" t="s">
        <v>1</v>
      </c>
      <c r="B18" s="32" t="s">
        <v>35</v>
      </c>
      <c r="C18" s="34">
        <v>0</v>
      </c>
      <c r="D18" s="34">
        <v>0</v>
      </c>
      <c r="E18" s="67">
        <v>0</v>
      </c>
      <c r="F18" s="36">
        <f t="shared" ref="F18:F44" si="3">SUM(C18:E18)</f>
        <v>0</v>
      </c>
      <c r="G18" s="33">
        <v>5000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5">
        <v>0</v>
      </c>
      <c r="N18" s="36">
        <f t="shared" ref="N18:N44" si="4">SUM(G18:M18)</f>
        <v>5000</v>
      </c>
      <c r="O18" s="36">
        <f t="shared" si="0"/>
        <v>5000</v>
      </c>
    </row>
    <row r="19" spans="1:15">
      <c r="A19" s="1" t="s">
        <v>1</v>
      </c>
      <c r="B19" s="32" t="s">
        <v>36</v>
      </c>
      <c r="C19" s="34">
        <v>0</v>
      </c>
      <c r="D19" s="34">
        <v>0</v>
      </c>
      <c r="E19" s="67">
        <v>6000</v>
      </c>
      <c r="F19" s="36">
        <f t="shared" si="3"/>
        <v>6000</v>
      </c>
      <c r="G19" s="33">
        <v>0</v>
      </c>
      <c r="H19" s="34">
        <v>10000</v>
      </c>
      <c r="I19" s="34">
        <v>0</v>
      </c>
      <c r="J19" s="34">
        <v>0</v>
      </c>
      <c r="K19" s="34">
        <v>0</v>
      </c>
      <c r="L19" s="34">
        <v>0</v>
      </c>
      <c r="M19" s="35">
        <v>0</v>
      </c>
      <c r="N19" s="36">
        <f t="shared" si="4"/>
        <v>10000</v>
      </c>
      <c r="O19" s="36">
        <f t="shared" si="0"/>
        <v>16000</v>
      </c>
    </row>
    <row r="20" spans="1:15">
      <c r="A20" s="1" t="s">
        <v>1</v>
      </c>
      <c r="B20" s="32" t="s">
        <v>37</v>
      </c>
      <c r="C20" s="34">
        <v>0</v>
      </c>
      <c r="D20" s="34">
        <v>0</v>
      </c>
      <c r="E20" s="67">
        <v>0</v>
      </c>
      <c r="F20" s="36">
        <f t="shared" si="3"/>
        <v>0</v>
      </c>
      <c r="G20" s="33">
        <v>28800</v>
      </c>
      <c r="H20" s="34">
        <v>27600</v>
      </c>
      <c r="I20" s="34">
        <v>27200</v>
      </c>
      <c r="J20" s="34">
        <v>28200</v>
      </c>
      <c r="K20" s="34">
        <v>13800</v>
      </c>
      <c r="L20" s="34">
        <v>27800</v>
      </c>
      <c r="M20" s="35">
        <v>12800</v>
      </c>
      <c r="N20" s="36">
        <f t="shared" si="4"/>
        <v>166200</v>
      </c>
      <c r="O20" s="36">
        <f t="shared" si="0"/>
        <v>166200</v>
      </c>
    </row>
    <row r="21" spans="1:15">
      <c r="A21" s="1" t="s">
        <v>1</v>
      </c>
      <c r="B21" s="32" t="s">
        <v>38</v>
      </c>
      <c r="C21" s="34">
        <v>0</v>
      </c>
      <c r="D21" s="34">
        <v>0</v>
      </c>
      <c r="E21" s="67">
        <v>0</v>
      </c>
      <c r="F21" s="36">
        <f t="shared" si="3"/>
        <v>0</v>
      </c>
      <c r="G21" s="33">
        <v>2000</v>
      </c>
      <c r="H21" s="34">
        <v>2000</v>
      </c>
      <c r="I21" s="34">
        <v>2000</v>
      </c>
      <c r="J21" s="34">
        <v>2000</v>
      </c>
      <c r="K21" s="34">
        <v>1000</v>
      </c>
      <c r="L21" s="34">
        <v>1000</v>
      </c>
      <c r="M21" s="35">
        <v>1000</v>
      </c>
      <c r="N21" s="36">
        <f t="shared" si="4"/>
        <v>11000</v>
      </c>
      <c r="O21" s="36">
        <f t="shared" si="0"/>
        <v>11000</v>
      </c>
    </row>
    <row r="22" spans="1:15">
      <c r="A22" s="1" t="s">
        <v>1</v>
      </c>
      <c r="B22" s="32" t="s">
        <v>39</v>
      </c>
      <c r="C22" s="34">
        <v>0</v>
      </c>
      <c r="D22" s="34">
        <v>0</v>
      </c>
      <c r="E22" s="67">
        <v>0</v>
      </c>
      <c r="F22" s="36">
        <f t="shared" si="3"/>
        <v>0</v>
      </c>
      <c r="G22" s="33">
        <v>0</v>
      </c>
      <c r="H22" s="34">
        <v>12600</v>
      </c>
      <c r="I22" s="34">
        <v>0</v>
      </c>
      <c r="J22" s="34">
        <v>0</v>
      </c>
      <c r="K22" s="34">
        <v>0</v>
      </c>
      <c r="L22" s="34">
        <v>0</v>
      </c>
      <c r="M22" s="35">
        <v>0</v>
      </c>
      <c r="N22" s="36">
        <f t="shared" si="4"/>
        <v>12600</v>
      </c>
      <c r="O22" s="36">
        <f t="shared" si="0"/>
        <v>12600</v>
      </c>
    </row>
    <row r="23" spans="1:15">
      <c r="A23" s="1" t="s">
        <v>1</v>
      </c>
      <c r="B23" s="32" t="s">
        <v>27</v>
      </c>
      <c r="C23" s="34">
        <v>0</v>
      </c>
      <c r="D23" s="34">
        <v>0</v>
      </c>
      <c r="E23" s="67">
        <v>10542</v>
      </c>
      <c r="F23" s="36">
        <f t="shared" si="3"/>
        <v>10542</v>
      </c>
      <c r="G23" s="33">
        <v>57876</v>
      </c>
      <c r="H23" s="34">
        <v>16599</v>
      </c>
      <c r="I23" s="34">
        <v>22780</v>
      </c>
      <c r="J23" s="34">
        <v>50855</v>
      </c>
      <c r="K23" s="34">
        <v>66650</v>
      </c>
      <c r="L23" s="34">
        <v>40960</v>
      </c>
      <c r="M23" s="35">
        <v>55040</v>
      </c>
      <c r="N23" s="36">
        <f t="shared" si="4"/>
        <v>310760</v>
      </c>
      <c r="O23" s="36">
        <f t="shared" si="0"/>
        <v>321302</v>
      </c>
    </row>
    <row r="24" spans="1:15">
      <c r="A24" s="1" t="s">
        <v>1</v>
      </c>
      <c r="B24" s="32" t="s">
        <v>40</v>
      </c>
      <c r="C24" s="34">
        <v>0</v>
      </c>
      <c r="D24" s="34">
        <v>0</v>
      </c>
      <c r="E24" s="67">
        <v>29286</v>
      </c>
      <c r="F24" s="36">
        <f t="shared" si="3"/>
        <v>29286</v>
      </c>
      <c r="G24" s="33">
        <v>40176</v>
      </c>
      <c r="H24" s="34">
        <v>13032</v>
      </c>
      <c r="I24" s="34">
        <v>34728</v>
      </c>
      <c r="J24" s="34">
        <v>15690</v>
      </c>
      <c r="K24" s="34">
        <v>43170</v>
      </c>
      <c r="L24" s="34">
        <v>22112</v>
      </c>
      <c r="M24" s="35">
        <v>42842</v>
      </c>
      <c r="N24" s="36">
        <f t="shared" si="4"/>
        <v>211750</v>
      </c>
      <c r="O24" s="36">
        <f t="shared" si="0"/>
        <v>241036</v>
      </c>
    </row>
    <row r="25" spans="1:15">
      <c r="A25" s="1" t="s">
        <v>1</v>
      </c>
      <c r="B25" s="32" t="s">
        <v>41</v>
      </c>
      <c r="C25" s="34">
        <v>0</v>
      </c>
      <c r="D25" s="34">
        <v>0</v>
      </c>
      <c r="E25" s="67">
        <v>0</v>
      </c>
      <c r="F25" s="36">
        <f t="shared" si="3"/>
        <v>0</v>
      </c>
      <c r="G25" s="33">
        <v>10416</v>
      </c>
      <c r="H25" s="34">
        <v>45612</v>
      </c>
      <c r="I25" s="34">
        <v>13023</v>
      </c>
      <c r="J25" s="34">
        <v>31380</v>
      </c>
      <c r="K25" s="34">
        <v>0</v>
      </c>
      <c r="L25" s="34">
        <v>9674</v>
      </c>
      <c r="M25" s="35">
        <v>16584</v>
      </c>
      <c r="N25" s="36">
        <f t="shared" si="4"/>
        <v>126689</v>
      </c>
      <c r="O25" s="36">
        <f t="shared" si="0"/>
        <v>126689</v>
      </c>
    </row>
    <row r="26" spans="1:15">
      <c r="A26" s="1" t="s">
        <v>1</v>
      </c>
      <c r="B26" s="32" t="s">
        <v>42</v>
      </c>
      <c r="C26" s="34">
        <v>0</v>
      </c>
      <c r="D26" s="34">
        <v>0</v>
      </c>
      <c r="E26" s="67">
        <v>0</v>
      </c>
      <c r="F26" s="36">
        <f t="shared" si="3"/>
        <v>0</v>
      </c>
      <c r="G26" s="33">
        <v>0</v>
      </c>
      <c r="H26" s="34">
        <v>0</v>
      </c>
      <c r="I26" s="34">
        <v>3375</v>
      </c>
      <c r="J26" s="34">
        <v>0</v>
      </c>
      <c r="K26" s="34">
        <v>0</v>
      </c>
      <c r="L26" s="34">
        <v>0</v>
      </c>
      <c r="M26" s="35">
        <v>0</v>
      </c>
      <c r="N26" s="36">
        <f t="shared" si="4"/>
        <v>3375</v>
      </c>
      <c r="O26" s="36">
        <f t="shared" si="0"/>
        <v>3375</v>
      </c>
    </row>
    <row r="27" spans="1:15">
      <c r="A27" s="1" t="s">
        <v>1</v>
      </c>
      <c r="B27" s="32" t="s">
        <v>31</v>
      </c>
      <c r="C27" s="34">
        <v>0</v>
      </c>
      <c r="D27" s="34">
        <v>0</v>
      </c>
      <c r="E27" s="67">
        <v>10845</v>
      </c>
      <c r="F27" s="36">
        <f t="shared" si="3"/>
        <v>10845</v>
      </c>
      <c r="G27" s="33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5">
        <v>0</v>
      </c>
      <c r="N27" s="36">
        <f t="shared" si="4"/>
        <v>0</v>
      </c>
      <c r="O27" s="36">
        <f t="shared" si="0"/>
        <v>10845</v>
      </c>
    </row>
    <row r="28" spans="1:15">
      <c r="A28" s="1" t="s">
        <v>1</v>
      </c>
      <c r="B28" s="7" t="s">
        <v>32</v>
      </c>
      <c r="C28" s="19">
        <v>2660</v>
      </c>
      <c r="D28" s="19">
        <v>0</v>
      </c>
      <c r="E28" s="68">
        <v>0</v>
      </c>
      <c r="F28" s="9">
        <f t="shared" si="3"/>
        <v>2660</v>
      </c>
      <c r="G28" s="18">
        <v>6072</v>
      </c>
      <c r="H28" s="19">
        <v>12080</v>
      </c>
      <c r="I28" s="19">
        <v>9916</v>
      </c>
      <c r="J28" s="19">
        <v>8439</v>
      </c>
      <c r="K28" s="19">
        <v>8010</v>
      </c>
      <c r="L28" s="19">
        <v>3584</v>
      </c>
      <c r="M28" s="8">
        <v>1536</v>
      </c>
      <c r="N28" s="9">
        <f t="shared" si="4"/>
        <v>49637</v>
      </c>
      <c r="O28" s="9">
        <f t="shared" si="0"/>
        <v>52297</v>
      </c>
    </row>
    <row r="29" spans="1:15">
      <c r="A29" s="1" t="s">
        <v>1</v>
      </c>
      <c r="B29" s="22" t="s">
        <v>43</v>
      </c>
      <c r="C29" s="24">
        <v>357660</v>
      </c>
      <c r="D29" s="24">
        <v>355000</v>
      </c>
      <c r="E29" s="69">
        <v>226673</v>
      </c>
      <c r="F29" s="26">
        <f t="shared" si="3"/>
        <v>939333</v>
      </c>
      <c r="G29" s="23">
        <v>327340</v>
      </c>
      <c r="H29" s="24">
        <v>316523</v>
      </c>
      <c r="I29" s="24">
        <v>290022</v>
      </c>
      <c r="J29" s="24">
        <v>328564</v>
      </c>
      <c r="K29" s="24">
        <v>309630</v>
      </c>
      <c r="L29" s="24">
        <v>275130</v>
      </c>
      <c r="M29" s="25">
        <v>299802</v>
      </c>
      <c r="N29" s="26">
        <f t="shared" si="4"/>
        <v>2147011</v>
      </c>
      <c r="O29" s="26">
        <f t="shared" si="0"/>
        <v>3086344</v>
      </c>
    </row>
    <row r="30" spans="1:15">
      <c r="A30" s="1" t="s">
        <v>1</v>
      </c>
      <c r="B30" s="27" t="s">
        <v>44</v>
      </c>
      <c r="C30" s="29">
        <v>7018</v>
      </c>
      <c r="D30" s="29">
        <v>16490</v>
      </c>
      <c r="E30" s="70">
        <v>540</v>
      </c>
      <c r="F30" s="31">
        <f t="shared" si="3"/>
        <v>24048</v>
      </c>
      <c r="G30" s="28">
        <v>9202</v>
      </c>
      <c r="H30" s="29">
        <v>2454</v>
      </c>
      <c r="I30" s="29">
        <v>2258</v>
      </c>
      <c r="J30" s="29">
        <v>10258</v>
      </c>
      <c r="K30" s="29">
        <v>5080</v>
      </c>
      <c r="L30" s="29">
        <v>7068</v>
      </c>
      <c r="M30" s="30">
        <v>1129</v>
      </c>
      <c r="N30" s="31">
        <f t="shared" si="4"/>
        <v>37449</v>
      </c>
      <c r="O30" s="31">
        <f t="shared" si="0"/>
        <v>61497</v>
      </c>
    </row>
    <row r="31" spans="1:15">
      <c r="A31" s="1" t="s">
        <v>1</v>
      </c>
      <c r="B31" s="7" t="s">
        <v>45</v>
      </c>
      <c r="C31" s="19">
        <v>7018</v>
      </c>
      <c r="D31" s="19">
        <v>16490</v>
      </c>
      <c r="E31" s="68">
        <v>540</v>
      </c>
      <c r="F31" s="9">
        <f t="shared" si="3"/>
        <v>24048</v>
      </c>
      <c r="G31" s="18">
        <v>9202</v>
      </c>
      <c r="H31" s="19">
        <v>2454</v>
      </c>
      <c r="I31" s="19">
        <v>2258</v>
      </c>
      <c r="J31" s="19">
        <v>10258</v>
      </c>
      <c r="K31" s="19">
        <v>5080</v>
      </c>
      <c r="L31" s="19">
        <v>7068</v>
      </c>
      <c r="M31" s="8">
        <v>1129</v>
      </c>
      <c r="N31" s="9">
        <f t="shared" si="4"/>
        <v>37449</v>
      </c>
      <c r="O31" s="9">
        <f t="shared" si="0"/>
        <v>61497</v>
      </c>
    </row>
    <row r="32" spans="1:15">
      <c r="A32" s="1" t="s">
        <v>1</v>
      </c>
      <c r="B32" s="22" t="s">
        <v>46</v>
      </c>
      <c r="C32" s="24">
        <v>364678</v>
      </c>
      <c r="D32" s="24">
        <v>371490</v>
      </c>
      <c r="E32" s="69">
        <v>227213</v>
      </c>
      <c r="F32" s="26">
        <f t="shared" si="3"/>
        <v>963381</v>
      </c>
      <c r="G32" s="23">
        <v>336542</v>
      </c>
      <c r="H32" s="24">
        <v>318977</v>
      </c>
      <c r="I32" s="24">
        <v>292280</v>
      </c>
      <c r="J32" s="24">
        <v>338822</v>
      </c>
      <c r="K32" s="24">
        <v>314710</v>
      </c>
      <c r="L32" s="24">
        <v>282198</v>
      </c>
      <c r="M32" s="25">
        <v>300931</v>
      </c>
      <c r="N32" s="26">
        <f t="shared" si="4"/>
        <v>2184460</v>
      </c>
      <c r="O32" s="26">
        <f t="shared" si="0"/>
        <v>3147841</v>
      </c>
    </row>
    <row r="33" spans="1:15">
      <c r="A33" s="1" t="s">
        <v>1</v>
      </c>
      <c r="B33" s="27" t="s">
        <v>47</v>
      </c>
      <c r="C33" s="29">
        <v>17340</v>
      </c>
      <c r="D33" s="29">
        <v>18360</v>
      </c>
      <c r="E33" s="70">
        <v>11220</v>
      </c>
      <c r="F33" s="31">
        <f t="shared" si="3"/>
        <v>46920</v>
      </c>
      <c r="G33" s="28">
        <v>17340</v>
      </c>
      <c r="H33" s="29">
        <v>16320</v>
      </c>
      <c r="I33" s="29">
        <v>16320</v>
      </c>
      <c r="J33" s="29">
        <v>17340</v>
      </c>
      <c r="K33" s="29">
        <v>15300</v>
      </c>
      <c r="L33" s="29">
        <v>15300</v>
      </c>
      <c r="M33" s="30">
        <v>15300</v>
      </c>
      <c r="N33" s="31">
        <f t="shared" si="4"/>
        <v>113220</v>
      </c>
      <c r="O33" s="31">
        <f t="shared" si="0"/>
        <v>160140</v>
      </c>
    </row>
    <row r="34" spans="1:15">
      <c r="A34" s="1" t="s">
        <v>1</v>
      </c>
      <c r="B34" s="32" t="s">
        <v>48</v>
      </c>
      <c r="C34" s="34">
        <v>3060</v>
      </c>
      <c r="D34" s="34">
        <v>3240</v>
      </c>
      <c r="E34" s="67">
        <v>0</v>
      </c>
      <c r="F34" s="36">
        <f t="shared" si="3"/>
        <v>6300</v>
      </c>
      <c r="G34" s="33">
        <v>3060</v>
      </c>
      <c r="H34" s="34">
        <v>2880</v>
      </c>
      <c r="I34" s="34">
        <v>2880</v>
      </c>
      <c r="J34" s="34">
        <v>3060</v>
      </c>
      <c r="K34" s="34">
        <v>2700</v>
      </c>
      <c r="L34" s="34">
        <v>2700</v>
      </c>
      <c r="M34" s="35">
        <v>2700</v>
      </c>
      <c r="N34" s="36">
        <f t="shared" si="4"/>
        <v>19980</v>
      </c>
      <c r="O34" s="36">
        <f t="shared" si="0"/>
        <v>26280</v>
      </c>
    </row>
    <row r="35" spans="1:15">
      <c r="A35" s="1" t="s">
        <v>1</v>
      </c>
      <c r="B35" s="32" t="s">
        <v>49</v>
      </c>
      <c r="C35" s="34">
        <v>31110</v>
      </c>
      <c r="D35" s="34">
        <v>32940</v>
      </c>
      <c r="E35" s="67">
        <v>20130</v>
      </c>
      <c r="F35" s="36">
        <f t="shared" si="3"/>
        <v>84180</v>
      </c>
      <c r="G35" s="33">
        <v>31110</v>
      </c>
      <c r="H35" s="34">
        <v>29280</v>
      </c>
      <c r="I35" s="34">
        <v>29280</v>
      </c>
      <c r="J35" s="34">
        <v>31110</v>
      </c>
      <c r="K35" s="34">
        <v>27450</v>
      </c>
      <c r="L35" s="34">
        <v>27450</v>
      </c>
      <c r="M35" s="35">
        <v>27450</v>
      </c>
      <c r="N35" s="36">
        <f t="shared" si="4"/>
        <v>203130</v>
      </c>
      <c r="O35" s="36">
        <f t="shared" si="0"/>
        <v>287310</v>
      </c>
    </row>
    <row r="36" spans="1:15">
      <c r="A36" s="1" t="s">
        <v>1</v>
      </c>
      <c r="B36" s="32" t="s">
        <v>50</v>
      </c>
      <c r="C36" s="34">
        <v>2188</v>
      </c>
      <c r="D36" s="34">
        <v>2229</v>
      </c>
      <c r="E36" s="67">
        <v>1363</v>
      </c>
      <c r="F36" s="36">
        <f t="shared" si="3"/>
        <v>5780</v>
      </c>
      <c r="G36" s="33">
        <v>2019</v>
      </c>
      <c r="H36" s="34">
        <v>1914</v>
      </c>
      <c r="I36" s="34">
        <v>1754</v>
      </c>
      <c r="J36" s="34">
        <v>2033</v>
      </c>
      <c r="K36" s="34">
        <v>1888</v>
      </c>
      <c r="L36" s="34">
        <v>1693</v>
      </c>
      <c r="M36" s="35">
        <v>1806</v>
      </c>
      <c r="N36" s="36">
        <f t="shared" si="4"/>
        <v>13107</v>
      </c>
      <c r="O36" s="36">
        <f t="shared" si="0"/>
        <v>18887</v>
      </c>
    </row>
    <row r="37" spans="1:15">
      <c r="A37" s="1" t="s">
        <v>1</v>
      </c>
      <c r="B37" s="32" t="s">
        <v>51</v>
      </c>
      <c r="C37" s="34">
        <v>53698</v>
      </c>
      <c r="D37" s="34">
        <v>56769</v>
      </c>
      <c r="E37" s="67">
        <v>32713</v>
      </c>
      <c r="F37" s="36">
        <f t="shared" si="3"/>
        <v>143180</v>
      </c>
      <c r="G37" s="33">
        <v>53529</v>
      </c>
      <c r="H37" s="34">
        <v>50394</v>
      </c>
      <c r="I37" s="34">
        <v>50234</v>
      </c>
      <c r="J37" s="34">
        <v>53543</v>
      </c>
      <c r="K37" s="34">
        <v>47338</v>
      </c>
      <c r="L37" s="34">
        <v>47143</v>
      </c>
      <c r="M37" s="35">
        <v>47256</v>
      </c>
      <c r="N37" s="36">
        <f t="shared" si="4"/>
        <v>349437</v>
      </c>
      <c r="O37" s="36">
        <f t="shared" si="0"/>
        <v>492617</v>
      </c>
    </row>
    <row r="38" spans="1:15">
      <c r="A38" s="1" t="s">
        <v>1</v>
      </c>
      <c r="B38" s="32" t="s">
        <v>52</v>
      </c>
      <c r="C38" s="34">
        <v>8700</v>
      </c>
      <c r="D38" s="34">
        <v>8270</v>
      </c>
      <c r="E38" s="67">
        <v>4550</v>
      </c>
      <c r="F38" s="36">
        <f t="shared" si="3"/>
        <v>21520</v>
      </c>
      <c r="G38" s="33">
        <v>4170</v>
      </c>
      <c r="H38" s="34">
        <v>3890</v>
      </c>
      <c r="I38" s="34">
        <v>6190</v>
      </c>
      <c r="J38" s="34">
        <v>7450</v>
      </c>
      <c r="K38" s="34">
        <v>3760</v>
      </c>
      <c r="L38" s="34">
        <v>5760</v>
      </c>
      <c r="M38" s="35">
        <v>5030</v>
      </c>
      <c r="N38" s="36">
        <f t="shared" si="4"/>
        <v>36250</v>
      </c>
      <c r="O38" s="36">
        <f t="shared" si="0"/>
        <v>57770</v>
      </c>
    </row>
    <row r="39" spans="1:15">
      <c r="A39" s="1" t="s">
        <v>1</v>
      </c>
      <c r="B39" s="32" t="s">
        <v>53</v>
      </c>
      <c r="C39" s="34">
        <v>14100</v>
      </c>
      <c r="D39" s="34">
        <v>15500</v>
      </c>
      <c r="E39" s="67">
        <v>5500</v>
      </c>
      <c r="F39" s="36">
        <f t="shared" si="3"/>
        <v>35100</v>
      </c>
      <c r="G39" s="33">
        <v>7700</v>
      </c>
      <c r="H39" s="34">
        <v>9200</v>
      </c>
      <c r="I39" s="34">
        <v>12700</v>
      </c>
      <c r="J39" s="34">
        <v>14400</v>
      </c>
      <c r="K39" s="34">
        <v>9200</v>
      </c>
      <c r="L39" s="34">
        <v>10700</v>
      </c>
      <c r="M39" s="35">
        <v>12800</v>
      </c>
      <c r="N39" s="36">
        <f t="shared" si="4"/>
        <v>76700</v>
      </c>
      <c r="O39" s="36">
        <f t="shared" si="0"/>
        <v>111800</v>
      </c>
    </row>
    <row r="40" spans="1:15">
      <c r="A40" s="1" t="s">
        <v>1</v>
      </c>
      <c r="B40" s="7" t="s">
        <v>54</v>
      </c>
      <c r="C40" s="19">
        <v>0</v>
      </c>
      <c r="D40" s="19">
        <v>0</v>
      </c>
      <c r="E40" s="68">
        <v>0</v>
      </c>
      <c r="F40" s="9">
        <f t="shared" si="3"/>
        <v>0</v>
      </c>
      <c r="G40" s="18">
        <v>28800</v>
      </c>
      <c r="H40" s="19">
        <v>27600</v>
      </c>
      <c r="I40" s="19">
        <v>27200</v>
      </c>
      <c r="J40" s="19">
        <v>28200</v>
      </c>
      <c r="K40" s="19">
        <v>13800</v>
      </c>
      <c r="L40" s="19">
        <v>27800</v>
      </c>
      <c r="M40" s="8">
        <v>12800</v>
      </c>
      <c r="N40" s="9">
        <f t="shared" si="4"/>
        <v>166200</v>
      </c>
      <c r="O40" s="9">
        <f t="shared" si="0"/>
        <v>166200</v>
      </c>
    </row>
    <row r="41" spans="1:15">
      <c r="A41" s="1" t="s">
        <v>1</v>
      </c>
      <c r="B41" s="22" t="s">
        <v>55</v>
      </c>
      <c r="C41" s="24">
        <v>76498</v>
      </c>
      <c r="D41" s="24">
        <v>80539</v>
      </c>
      <c r="E41" s="69">
        <v>42763</v>
      </c>
      <c r="F41" s="26">
        <f t="shared" si="3"/>
        <v>199800</v>
      </c>
      <c r="G41" s="23">
        <v>94199</v>
      </c>
      <c r="H41" s="24">
        <v>91084</v>
      </c>
      <c r="I41" s="24">
        <v>96324</v>
      </c>
      <c r="J41" s="24">
        <v>103593</v>
      </c>
      <c r="K41" s="24">
        <v>74098</v>
      </c>
      <c r="L41" s="24">
        <v>91403</v>
      </c>
      <c r="M41" s="25">
        <v>77886</v>
      </c>
      <c r="N41" s="26">
        <f t="shared" si="4"/>
        <v>628587</v>
      </c>
      <c r="O41" s="26">
        <f t="shared" si="0"/>
        <v>828387</v>
      </c>
    </row>
    <row r="42" spans="1:15">
      <c r="A42" s="1" t="s">
        <v>1</v>
      </c>
      <c r="B42" s="22" t="s">
        <v>56</v>
      </c>
      <c r="C42" s="24">
        <v>303962</v>
      </c>
      <c r="D42" s="24">
        <v>298231</v>
      </c>
      <c r="E42" s="69">
        <v>193960</v>
      </c>
      <c r="F42" s="26">
        <f t="shared" si="3"/>
        <v>796153</v>
      </c>
      <c r="G42" s="23">
        <v>273811</v>
      </c>
      <c r="H42" s="24">
        <v>266129</v>
      </c>
      <c r="I42" s="24">
        <v>239788</v>
      </c>
      <c r="J42" s="24">
        <v>275021</v>
      </c>
      <c r="K42" s="24">
        <v>262292</v>
      </c>
      <c r="L42" s="24">
        <v>227987</v>
      </c>
      <c r="M42" s="25">
        <v>252546</v>
      </c>
      <c r="N42" s="26">
        <f t="shared" si="4"/>
        <v>1797574</v>
      </c>
      <c r="O42" s="26">
        <f t="shared" si="0"/>
        <v>2593727</v>
      </c>
    </row>
    <row r="43" spans="1:15">
      <c r="A43" s="1" t="s">
        <v>1</v>
      </c>
      <c r="B43" s="22" t="s">
        <v>57</v>
      </c>
      <c r="C43" s="24">
        <v>288180</v>
      </c>
      <c r="D43" s="24">
        <v>290951</v>
      </c>
      <c r="E43" s="69">
        <v>184450</v>
      </c>
      <c r="F43" s="26">
        <f t="shared" si="3"/>
        <v>763581</v>
      </c>
      <c r="G43" s="23">
        <v>242343</v>
      </c>
      <c r="H43" s="24">
        <v>227893</v>
      </c>
      <c r="I43" s="24">
        <v>195956</v>
      </c>
      <c r="J43" s="24">
        <v>235229</v>
      </c>
      <c r="K43" s="24">
        <v>240612</v>
      </c>
      <c r="L43" s="24">
        <v>190795</v>
      </c>
      <c r="M43" s="25">
        <v>223045</v>
      </c>
      <c r="N43" s="26">
        <f t="shared" si="4"/>
        <v>1555873</v>
      </c>
      <c r="O43" s="26">
        <f t="shared" si="0"/>
        <v>2319454</v>
      </c>
    </row>
    <row r="44" spans="1:15">
      <c r="A44" s="1" t="s">
        <v>1</v>
      </c>
      <c r="B44" s="22" t="s">
        <v>58</v>
      </c>
      <c r="C44" s="24">
        <v>288180</v>
      </c>
      <c r="D44" s="24">
        <v>290951</v>
      </c>
      <c r="E44" s="69">
        <v>184450</v>
      </c>
      <c r="F44" s="26">
        <f t="shared" si="3"/>
        <v>763581</v>
      </c>
      <c r="G44" s="23">
        <v>242343</v>
      </c>
      <c r="H44" s="24">
        <v>227893</v>
      </c>
      <c r="I44" s="24">
        <v>195956</v>
      </c>
      <c r="J44" s="24">
        <v>235229</v>
      </c>
      <c r="K44" s="24">
        <v>240612</v>
      </c>
      <c r="L44" s="24">
        <v>190795</v>
      </c>
      <c r="M44" s="25">
        <v>223045</v>
      </c>
      <c r="N44" s="26">
        <f t="shared" si="4"/>
        <v>1555873</v>
      </c>
      <c r="O44" s="26">
        <f t="shared" si="0"/>
        <v>2319454</v>
      </c>
    </row>
    <row r="45" spans="1:15">
      <c r="A45" s="1" t="s">
        <v>1</v>
      </c>
      <c r="B45" s="7" t="s">
        <v>59</v>
      </c>
      <c r="C45" s="19">
        <v>0</v>
      </c>
      <c r="D45" s="19">
        <v>0</v>
      </c>
      <c r="E45" s="68">
        <v>0</v>
      </c>
      <c r="F45" s="9"/>
      <c r="G45" s="18">
        <v>2</v>
      </c>
      <c r="H45" s="19">
        <v>2</v>
      </c>
      <c r="I45" s="19">
        <v>0</v>
      </c>
      <c r="J45" s="19">
        <v>0</v>
      </c>
      <c r="K45" s="19">
        <v>2</v>
      </c>
      <c r="L45" s="19">
        <v>0</v>
      </c>
      <c r="M45" s="8">
        <v>1</v>
      </c>
      <c r="N45" s="9"/>
      <c r="O45" s="76"/>
    </row>
    <row r="46" spans="1:15" ht="19.5" thickBot="1">
      <c r="A46" s="1" t="s">
        <v>1</v>
      </c>
      <c r="B46" s="10" t="s">
        <v>60</v>
      </c>
      <c r="C46" s="21" t="s">
        <v>61</v>
      </c>
      <c r="D46" s="21" t="s">
        <v>61</v>
      </c>
      <c r="E46" s="71" t="s">
        <v>61</v>
      </c>
      <c r="F46" s="12"/>
      <c r="G46" s="20" t="s">
        <v>61</v>
      </c>
      <c r="H46" s="21" t="s">
        <v>61</v>
      </c>
      <c r="I46" s="21" t="s">
        <v>61</v>
      </c>
      <c r="J46" s="21" t="s">
        <v>61</v>
      </c>
      <c r="K46" s="21" t="s">
        <v>61</v>
      </c>
      <c r="L46" s="21" t="s">
        <v>61</v>
      </c>
      <c r="M46" s="11" t="s">
        <v>61</v>
      </c>
      <c r="N46" s="12"/>
      <c r="O46" s="77"/>
    </row>
  </sheetData>
  <phoneticPr fontId="3"/>
  <pageMargins left="0.31496062992125984" right="0.31496062992125984" top="0.15748031496062992" bottom="0.15748031496062992" header="0.11811023622047245" footer="0.11811023622047245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2023年4月度給与 (2)</vt:lpstr>
      <vt:lpstr>'2023年4月度給与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2023-05-11T08:16:39Z</cp:lastPrinted>
  <dcterms:created xsi:type="dcterms:W3CDTF">2023-05-09T02:47:47Z</dcterms:created>
  <dcterms:modified xsi:type="dcterms:W3CDTF">2023-05-11T08:16:43Z</dcterms:modified>
</cp:coreProperties>
</file>