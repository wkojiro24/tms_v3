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.04\"/>
    </mc:Choice>
  </mc:AlternateContent>
  <xr:revisionPtr revIDLastSave="0" documentId="13_ncr:1_{51190088-53D8-4D9C-BA49-A0985000E221}" xr6:coauthVersionLast="47" xr6:coauthVersionMax="47" xr10:uidLastSave="{00000000-0000-0000-0000-000000000000}"/>
  <bookViews>
    <workbookView xWindow="-120" yWindow="-120" windowWidth="20730" windowHeight="11160" xr2:uid="{EDAC0D82-AB9F-4BB7-B001-60BB961A6915}"/>
  </bookViews>
  <sheets>
    <sheet name="2023年 4月度給与 (2)" sheetId="3" r:id="rId1"/>
  </sheets>
  <definedNames>
    <definedName name="_xlnm.Print_Area" localSheetId="0">'2023年 4月度給与 (2)'!$A$1:$M$48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9" i="3" l="1"/>
  <c r="M13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6" i="3"/>
  <c r="L5" i="3"/>
  <c r="E18" i="3"/>
  <c r="M18" i="3" s="1"/>
  <c r="E19" i="3"/>
  <c r="M19" i="3" s="1"/>
  <c r="E20" i="3"/>
  <c r="M20" i="3" s="1"/>
  <c r="E21" i="3"/>
  <c r="M21" i="3" s="1"/>
  <c r="E22" i="3"/>
  <c r="M22" i="3" s="1"/>
  <c r="E23" i="3"/>
  <c r="M23" i="3" s="1"/>
  <c r="E24" i="3"/>
  <c r="M24" i="3" s="1"/>
  <c r="E25" i="3"/>
  <c r="M25" i="3" s="1"/>
  <c r="E26" i="3"/>
  <c r="M26" i="3" s="1"/>
  <c r="E27" i="3"/>
  <c r="M27" i="3" s="1"/>
  <c r="E28" i="3"/>
  <c r="M28" i="3" s="1"/>
  <c r="E29" i="3"/>
  <c r="M29" i="3" s="1"/>
  <c r="E30" i="3"/>
  <c r="M30" i="3" s="1"/>
  <c r="E31" i="3"/>
  <c r="M31" i="3" s="1"/>
  <c r="E32" i="3"/>
  <c r="M32" i="3" s="1"/>
  <c r="E33" i="3"/>
  <c r="M33" i="3" s="1"/>
  <c r="E34" i="3"/>
  <c r="M34" i="3" s="1"/>
  <c r="E35" i="3"/>
  <c r="M35" i="3" s="1"/>
  <c r="E36" i="3"/>
  <c r="M36" i="3" s="1"/>
  <c r="E37" i="3"/>
  <c r="M37" i="3" s="1"/>
  <c r="E38" i="3"/>
  <c r="M38" i="3" s="1"/>
  <c r="E39" i="3"/>
  <c r="M39" i="3" s="1"/>
  <c r="E40" i="3"/>
  <c r="M40" i="3" s="1"/>
  <c r="E41" i="3"/>
  <c r="M41" i="3" s="1"/>
  <c r="E42" i="3"/>
  <c r="M42" i="3" s="1"/>
  <c r="E43" i="3"/>
  <c r="M43" i="3" s="1"/>
  <c r="E44" i="3"/>
  <c r="M44" i="3" s="1"/>
  <c r="E45" i="3"/>
  <c r="M45" i="3" s="1"/>
  <c r="E46" i="3"/>
  <c r="M46" i="3" s="1"/>
  <c r="E17" i="3"/>
  <c r="M17" i="3" s="1"/>
  <c r="E7" i="3"/>
  <c r="M7" i="3" s="1"/>
  <c r="E8" i="3"/>
  <c r="M8" i="3" s="1"/>
  <c r="E9" i="3"/>
  <c r="E10" i="3"/>
  <c r="M10" i="3" s="1"/>
  <c r="E11" i="3"/>
  <c r="M11" i="3" s="1"/>
  <c r="E12" i="3"/>
  <c r="M12" i="3" s="1"/>
  <c r="E13" i="3"/>
  <c r="E14" i="3"/>
  <c r="M14" i="3" s="1"/>
  <c r="E15" i="3"/>
  <c r="M15" i="3" s="1"/>
  <c r="E16" i="3"/>
  <c r="M16" i="3" s="1"/>
  <c r="E6" i="3"/>
  <c r="M6" i="3" s="1"/>
  <c r="E5" i="3"/>
  <c r="M5" i="3" s="1"/>
</calcChain>
</file>

<file path=xl/sharedStrings.xml><?xml version="1.0" encoding="utf-8"?>
<sst xmlns="http://schemas.openxmlformats.org/spreadsheetml/2006/main" count="121" uniqueCount="68">
  <si>
    <t>支給控除一覧表</t>
    <phoneticPr fontId="4"/>
  </si>
  <si>
    <t/>
  </si>
  <si>
    <t>1011</t>
    <phoneticPr fontId="4"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</si>
  <si>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</si>
  <si>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</si>
  <si>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</si>
  <si>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</si>
  <si>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</si>
  <si>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</si>
  <si>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1033</t>
    <phoneticPr fontId="4"/>
  </si>
  <si>
    <t>項目名</t>
    <phoneticPr fontId="4"/>
  </si>
  <si>
    <t>宮腰　真也</t>
    <phoneticPr fontId="4"/>
  </si>
  <si>
    <t>金子　勝彦</t>
    <phoneticPr fontId="4"/>
  </si>
  <si>
    <t>上原　勉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</si>
  <si>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</si>
  <si>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</si>
  <si>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</si>
  <si>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</si>
  <si>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新治　泰子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</si>
  <si>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</si>
  <si>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</si>
  <si>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</si>
  <si>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</si>
  <si>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有休日数</t>
    <phoneticPr fontId="4"/>
  </si>
  <si>
    <t>欠勤日数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</si>
  <si>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</si>
  <si>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</si>
  <si>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</si>
  <si>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</si>
  <si>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</si>
  <si>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</si>
  <si>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</si>
  <si>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</si>
  <si>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</si>
  <si>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</si>
  <si>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</si>
  <si>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</si>
  <si>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無事故報奨金</t>
    <phoneticPr fontId="4"/>
  </si>
  <si>
    <t>無事故加算</t>
    <phoneticPr fontId="4"/>
  </si>
  <si>
    <t>有給休暇</t>
    <phoneticPr fontId="4"/>
  </si>
  <si>
    <t>調整加算</t>
    <phoneticPr fontId="4"/>
  </si>
  <si>
    <t>欠勤控除</t>
    <phoneticPr fontId="4"/>
  </si>
  <si>
    <t>法定休日残業</t>
    <phoneticPr fontId="4"/>
  </si>
  <si>
    <t>法定外休日残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</si>
  <si>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</si>
  <si>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</si>
  <si>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</si>
  <si>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</si>
  <si>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</si>
  <si>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</si>
  <si>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</si>
  <si>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</si>
  <si>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</si>
  <si>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</si>
  <si>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</si>
  <si>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</si>
  <si>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</si>
  <si>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</si>
  <si>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</si>
  <si>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</si>
  <si>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</si>
  <si>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</si>
  <si>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</si>
  <si>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 4月度給与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</si>
  <si>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</si>
  <si>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</si>
  <si>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6名</t>
    <rPh sb="1" eb="2">
      <t>メイ</t>
    </rPh>
    <phoneticPr fontId="3"/>
  </si>
  <si>
    <t>８名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</si>
</sst>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3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left"/>
    </xf>
    <xf numFmtId="3" fontId="2" fillId="0" borderId="0" xfId="1" applyNumberFormat="1" applyFont="1"/>
    <xf numFmtId="3" fontId="2" fillId="0" borderId="3" xfId="1" applyNumberFormat="1" applyFont="1" applyBorder="1"/>
    <xf numFmtId="49" fontId="2" fillId="0" borderId="2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2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2" fontId="2" fillId="0" borderId="6" xfId="1" applyNumberFormat="1" applyFont="1" applyBorder="1"/>
    <xf numFmtId="2" fontId="2" fillId="0" borderId="5" xfId="1" applyNumberFormat="1" applyFont="1" applyBorder="1"/>
    <xf numFmtId="49" fontId="2" fillId="0" borderId="7" xfId="1" applyNumberFormat="1" applyFont="1" applyBorder="1" applyAlignment="1">
      <alignment horizontal="left"/>
    </xf>
    <xf numFmtId="3" fontId="2" fillId="0" borderId="8" xfId="1" applyNumberFormat="1" applyFont="1" applyBorder="1"/>
    <xf numFmtId="3" fontId="2" fillId="0" borderId="7" xfId="1" applyNumberFormat="1" applyFont="1" applyBorder="1"/>
    <xf numFmtId="49" fontId="2" fillId="0" borderId="9" xfId="1" applyNumberFormat="1" applyFont="1" applyBorder="1" applyAlignment="1">
      <alignment horizontal="left"/>
    </xf>
    <xf numFmtId="3" fontId="2" fillId="0" borderId="10" xfId="1" applyNumberFormat="1" applyFont="1" applyBorder="1"/>
    <xf numFmtId="3" fontId="2" fillId="0" borderId="9" xfId="1" applyNumberFormat="1" applyFont="1" applyBorder="1"/>
    <xf numFmtId="49" fontId="2" fillId="0" borderId="11" xfId="1" applyNumberFormat="1" applyFont="1" applyBorder="1" applyAlignment="1">
      <alignment horizontal="left"/>
    </xf>
    <xf numFmtId="2" fontId="2" fillId="0" borderId="12" xfId="1" applyNumberFormat="1" applyFont="1" applyBorder="1"/>
    <xf numFmtId="2" fontId="2" fillId="0" borderId="11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3" xfId="1" applyNumberFormat="1" applyFont="1" applyBorder="1"/>
    <xf numFmtId="176" fontId="2" fillId="0" borderId="14" xfId="1" applyNumberFormat="1" applyFont="1" applyBorder="1"/>
    <xf numFmtId="176" fontId="2" fillId="0" borderId="13" xfId="1" applyNumberFormat="1" applyFont="1" applyBorder="1"/>
    <xf numFmtId="3" fontId="2" fillId="0" borderId="14" xfId="1" applyNumberFormat="1" applyFont="1" applyBorder="1"/>
    <xf numFmtId="3" fontId="2" fillId="0" borderId="13" xfId="1" applyNumberFormat="1" applyFont="1" applyBorder="1"/>
    <xf numFmtId="177" fontId="2" fillId="0" borderId="14" xfId="1" applyNumberFormat="1" applyFont="1" applyBorder="1"/>
    <xf numFmtId="177" fontId="2" fillId="0" borderId="13" xfId="1" applyNumberFormat="1" applyFont="1" applyBorder="1"/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49" fontId="2" fillId="0" borderId="18" xfId="1" applyNumberFormat="1" applyFont="1" applyBorder="1" applyAlignment="1">
      <alignment horizontal="center"/>
    </xf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2" fontId="2" fillId="0" borderId="22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2" fontId="2" fillId="0" borderId="23" xfId="1" applyNumberFormat="1" applyFont="1" applyBorder="1"/>
    <xf numFmtId="2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177" fontId="2" fillId="0" borderId="22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49" fontId="2" fillId="0" borderId="17" xfId="1" applyNumberFormat="1" applyFont="1" applyBorder="1"/>
    <xf numFmtId="49" fontId="2" fillId="0" borderId="18" xfId="1" applyNumberFormat="1" applyFont="1" applyBorder="1"/>
    <xf numFmtId="49" fontId="2" fillId="0" borderId="31" xfId="1" applyNumberFormat="1" applyFont="1" applyBorder="1" applyAlignment="1">
      <alignment horizontal="center"/>
    </xf>
    <xf numFmtId="0" fontId="2" fillId="0" borderId="2" xfId="1" applyFont="1" applyBorder="1" applyAlignment="1">
      <alignment horizontal="right"/>
    </xf>
    <xf numFmtId="49" fontId="2" fillId="0" borderId="32" xfId="1" applyNumberFormat="1" applyFont="1" applyBorder="1" applyAlignment="1">
      <alignment horizontal="center"/>
    </xf>
    <xf numFmtId="49" fontId="2" fillId="0" borderId="33" xfId="1" applyNumberFormat="1" applyFont="1" applyBorder="1" applyAlignment="1">
      <alignment horizontal="center"/>
    </xf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2" fontId="2" fillId="0" borderId="36" xfId="1" applyNumberFormat="1" applyFont="1" applyBorder="1"/>
    <xf numFmtId="3" fontId="2" fillId="0" borderId="37" xfId="1" applyNumberFormat="1" applyFont="1" applyBorder="1"/>
    <xf numFmtId="3" fontId="2" fillId="0" borderId="35" xfId="1" applyNumberFormat="1" applyFont="1" applyBorder="1"/>
    <xf numFmtId="177" fontId="2" fillId="0" borderId="35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49" fontId="2" fillId="0" borderId="33" xfId="1" applyNumberFormat="1" applyFont="1" applyBorder="1"/>
    <xf numFmtId="49" fontId="2" fillId="0" borderId="4" xfId="1" applyNumberFormat="1" applyFont="1" applyBorder="1" applyAlignment="1">
      <alignment horizontal="left"/>
    </xf>
    <xf numFmtId="0" fontId="2" fillId="0" borderId="4" xfId="1" applyFont="1" applyBorder="1"/>
    <xf numFmtId="49" fontId="2" fillId="0" borderId="2" xfId="1" applyNumberFormat="1" applyFont="1" applyBorder="1" applyAlignment="1">
      <alignment horizontal="right"/>
    </xf>
  </cellXfs>
  <cellStyles count="2">
    <cellStyle name="標準" xfId="0" builtinId="0"/>
    <cellStyle name="標準 2" xfId="1" xr:uid="{4DDAC332-C643-4B48-99E3-98E8E42338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6F31A-94FF-4CC7-90E1-EF30F7C20469}">
  <sheetPr>
    <pageSetUpPr fitToPage="1"/>
  </sheetPr>
  <dimension ref="A1:M48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13" width="11.5" style="2" customWidth="1"/>
    <col min="14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3" width="9" style="2"/>
    <col min="264" max="267" width="11.125" style="2" bestFit="1" customWidth="1"/>
    <col min="268" max="268" width="9.625" style="2" bestFit="1" customWidth="1"/>
    <col min="269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9" width="9" style="2"/>
    <col min="520" max="523" width="11.125" style="2" bestFit="1" customWidth="1"/>
    <col min="524" max="524" width="9.625" style="2" bestFit="1" customWidth="1"/>
    <col min="525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5" width="9" style="2"/>
    <col min="776" max="779" width="11.125" style="2" bestFit="1" customWidth="1"/>
    <col min="780" max="780" width="9.625" style="2" bestFit="1" customWidth="1"/>
    <col min="781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1" width="9" style="2"/>
    <col min="1032" max="1035" width="11.125" style="2" bestFit="1" customWidth="1"/>
    <col min="1036" max="1036" width="9.625" style="2" bestFit="1" customWidth="1"/>
    <col min="1037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7" width="9" style="2"/>
    <col min="1288" max="1291" width="11.125" style="2" bestFit="1" customWidth="1"/>
    <col min="1292" max="1292" width="9.625" style="2" bestFit="1" customWidth="1"/>
    <col min="1293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3" width="9" style="2"/>
    <col min="1544" max="1547" width="11.125" style="2" bestFit="1" customWidth="1"/>
    <col min="1548" max="1548" width="9.625" style="2" bestFit="1" customWidth="1"/>
    <col min="1549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9" width="9" style="2"/>
    <col min="1800" max="1803" width="11.125" style="2" bestFit="1" customWidth="1"/>
    <col min="1804" max="1804" width="9.625" style="2" bestFit="1" customWidth="1"/>
    <col min="1805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5" width="9" style="2"/>
    <col min="2056" max="2059" width="11.125" style="2" bestFit="1" customWidth="1"/>
    <col min="2060" max="2060" width="9.625" style="2" bestFit="1" customWidth="1"/>
    <col min="2061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1" width="9" style="2"/>
    <col min="2312" max="2315" width="11.125" style="2" bestFit="1" customWidth="1"/>
    <col min="2316" max="2316" width="9.625" style="2" bestFit="1" customWidth="1"/>
    <col min="2317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7" width="9" style="2"/>
    <col min="2568" max="2571" width="11.125" style="2" bestFit="1" customWidth="1"/>
    <col min="2572" max="2572" width="9.625" style="2" bestFit="1" customWidth="1"/>
    <col min="2573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3" width="9" style="2"/>
    <col min="2824" max="2827" width="11.125" style="2" bestFit="1" customWidth="1"/>
    <col min="2828" max="2828" width="9.625" style="2" bestFit="1" customWidth="1"/>
    <col min="2829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9" width="9" style="2"/>
    <col min="3080" max="3083" width="11.125" style="2" bestFit="1" customWidth="1"/>
    <col min="3084" max="3084" width="9.625" style="2" bestFit="1" customWidth="1"/>
    <col min="3085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5" width="9" style="2"/>
    <col min="3336" max="3339" width="11.125" style="2" bestFit="1" customWidth="1"/>
    <col min="3340" max="3340" width="9.625" style="2" bestFit="1" customWidth="1"/>
    <col min="3341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1" width="9" style="2"/>
    <col min="3592" max="3595" width="11.125" style="2" bestFit="1" customWidth="1"/>
    <col min="3596" max="3596" width="9.625" style="2" bestFit="1" customWidth="1"/>
    <col min="3597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7" width="9" style="2"/>
    <col min="3848" max="3851" width="11.125" style="2" bestFit="1" customWidth="1"/>
    <col min="3852" max="3852" width="9.625" style="2" bestFit="1" customWidth="1"/>
    <col min="3853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3" width="9" style="2"/>
    <col min="4104" max="4107" width="11.125" style="2" bestFit="1" customWidth="1"/>
    <col min="4108" max="4108" width="9.625" style="2" bestFit="1" customWidth="1"/>
    <col min="4109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9" width="9" style="2"/>
    <col min="4360" max="4363" width="11.125" style="2" bestFit="1" customWidth="1"/>
    <col min="4364" max="4364" width="9.625" style="2" bestFit="1" customWidth="1"/>
    <col min="4365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5" width="9" style="2"/>
    <col min="4616" max="4619" width="11.125" style="2" bestFit="1" customWidth="1"/>
    <col min="4620" max="4620" width="9.625" style="2" bestFit="1" customWidth="1"/>
    <col min="4621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1" width="9" style="2"/>
    <col min="4872" max="4875" width="11.125" style="2" bestFit="1" customWidth="1"/>
    <col min="4876" max="4876" width="9.625" style="2" bestFit="1" customWidth="1"/>
    <col min="4877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7" width="9" style="2"/>
    <col min="5128" max="5131" width="11.125" style="2" bestFit="1" customWidth="1"/>
    <col min="5132" max="5132" width="9.625" style="2" bestFit="1" customWidth="1"/>
    <col min="5133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3" width="9" style="2"/>
    <col min="5384" max="5387" width="11.125" style="2" bestFit="1" customWidth="1"/>
    <col min="5388" max="5388" width="9.625" style="2" bestFit="1" customWidth="1"/>
    <col min="5389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9" width="9" style="2"/>
    <col min="5640" max="5643" width="11.125" style="2" bestFit="1" customWidth="1"/>
    <col min="5644" max="5644" width="9.625" style="2" bestFit="1" customWidth="1"/>
    <col min="5645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5" width="9" style="2"/>
    <col min="5896" max="5899" width="11.125" style="2" bestFit="1" customWidth="1"/>
    <col min="5900" max="5900" width="9.625" style="2" bestFit="1" customWidth="1"/>
    <col min="5901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1" width="9" style="2"/>
    <col min="6152" max="6155" width="11.125" style="2" bestFit="1" customWidth="1"/>
    <col min="6156" max="6156" width="9.625" style="2" bestFit="1" customWidth="1"/>
    <col min="6157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7" width="9" style="2"/>
    <col min="6408" max="6411" width="11.125" style="2" bestFit="1" customWidth="1"/>
    <col min="6412" max="6412" width="9.625" style="2" bestFit="1" customWidth="1"/>
    <col min="6413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3" width="9" style="2"/>
    <col min="6664" max="6667" width="11.125" style="2" bestFit="1" customWidth="1"/>
    <col min="6668" max="6668" width="9.625" style="2" bestFit="1" customWidth="1"/>
    <col min="6669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9" width="9" style="2"/>
    <col min="6920" max="6923" width="11.125" style="2" bestFit="1" customWidth="1"/>
    <col min="6924" max="6924" width="9.625" style="2" bestFit="1" customWidth="1"/>
    <col min="6925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5" width="9" style="2"/>
    <col min="7176" max="7179" width="11.125" style="2" bestFit="1" customWidth="1"/>
    <col min="7180" max="7180" width="9.625" style="2" bestFit="1" customWidth="1"/>
    <col min="7181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1" width="9" style="2"/>
    <col min="7432" max="7435" width="11.125" style="2" bestFit="1" customWidth="1"/>
    <col min="7436" max="7436" width="9.625" style="2" bestFit="1" customWidth="1"/>
    <col min="7437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7" width="9" style="2"/>
    <col min="7688" max="7691" width="11.125" style="2" bestFit="1" customWidth="1"/>
    <col min="7692" max="7692" width="9.625" style="2" bestFit="1" customWidth="1"/>
    <col min="7693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3" width="9" style="2"/>
    <col min="7944" max="7947" width="11.125" style="2" bestFit="1" customWidth="1"/>
    <col min="7948" max="7948" width="9.625" style="2" bestFit="1" customWidth="1"/>
    <col min="7949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9" width="9" style="2"/>
    <col min="8200" max="8203" width="11.125" style="2" bestFit="1" customWidth="1"/>
    <col min="8204" max="8204" width="9.625" style="2" bestFit="1" customWidth="1"/>
    <col min="8205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5" width="9" style="2"/>
    <col min="8456" max="8459" width="11.125" style="2" bestFit="1" customWidth="1"/>
    <col min="8460" max="8460" width="9.625" style="2" bestFit="1" customWidth="1"/>
    <col min="8461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1" width="9" style="2"/>
    <col min="8712" max="8715" width="11.125" style="2" bestFit="1" customWidth="1"/>
    <col min="8716" max="8716" width="9.625" style="2" bestFit="1" customWidth="1"/>
    <col min="8717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7" width="9" style="2"/>
    <col min="8968" max="8971" width="11.125" style="2" bestFit="1" customWidth="1"/>
    <col min="8972" max="8972" width="9.625" style="2" bestFit="1" customWidth="1"/>
    <col min="8973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3" width="9" style="2"/>
    <col min="9224" max="9227" width="11.125" style="2" bestFit="1" customWidth="1"/>
    <col min="9228" max="9228" width="9.625" style="2" bestFit="1" customWidth="1"/>
    <col min="9229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9" width="9" style="2"/>
    <col min="9480" max="9483" width="11.125" style="2" bestFit="1" customWidth="1"/>
    <col min="9484" max="9484" width="9.625" style="2" bestFit="1" customWidth="1"/>
    <col min="9485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5" width="9" style="2"/>
    <col min="9736" max="9739" width="11.125" style="2" bestFit="1" customWidth="1"/>
    <col min="9740" max="9740" width="9.625" style="2" bestFit="1" customWidth="1"/>
    <col min="9741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1" width="9" style="2"/>
    <col min="9992" max="9995" width="11.125" style="2" bestFit="1" customWidth="1"/>
    <col min="9996" max="9996" width="9.625" style="2" bestFit="1" customWidth="1"/>
    <col min="9997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7" width="9" style="2"/>
    <col min="10248" max="10251" width="11.125" style="2" bestFit="1" customWidth="1"/>
    <col min="10252" max="10252" width="9.625" style="2" bestFit="1" customWidth="1"/>
    <col min="10253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3" width="9" style="2"/>
    <col min="10504" max="10507" width="11.125" style="2" bestFit="1" customWidth="1"/>
    <col min="10508" max="10508" width="9.625" style="2" bestFit="1" customWidth="1"/>
    <col min="10509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9" width="9" style="2"/>
    <col min="10760" max="10763" width="11.125" style="2" bestFit="1" customWidth="1"/>
    <col min="10764" max="10764" width="9.625" style="2" bestFit="1" customWidth="1"/>
    <col min="10765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5" width="9" style="2"/>
    <col min="11016" max="11019" width="11.125" style="2" bestFit="1" customWidth="1"/>
    <col min="11020" max="11020" width="9.625" style="2" bestFit="1" customWidth="1"/>
    <col min="11021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1" width="9" style="2"/>
    <col min="11272" max="11275" width="11.125" style="2" bestFit="1" customWidth="1"/>
    <col min="11276" max="11276" width="9.625" style="2" bestFit="1" customWidth="1"/>
    <col min="11277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7" width="9" style="2"/>
    <col min="11528" max="11531" width="11.125" style="2" bestFit="1" customWidth="1"/>
    <col min="11532" max="11532" width="9.625" style="2" bestFit="1" customWidth="1"/>
    <col min="11533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3" width="9" style="2"/>
    <col min="11784" max="11787" width="11.125" style="2" bestFit="1" customWidth="1"/>
    <col min="11788" max="11788" width="9.625" style="2" bestFit="1" customWidth="1"/>
    <col min="11789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9" width="9" style="2"/>
    <col min="12040" max="12043" width="11.125" style="2" bestFit="1" customWidth="1"/>
    <col min="12044" max="12044" width="9.625" style="2" bestFit="1" customWidth="1"/>
    <col min="12045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5" width="9" style="2"/>
    <col min="12296" max="12299" width="11.125" style="2" bestFit="1" customWidth="1"/>
    <col min="12300" max="12300" width="9.625" style="2" bestFit="1" customWidth="1"/>
    <col min="12301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1" width="9" style="2"/>
    <col min="12552" max="12555" width="11.125" style="2" bestFit="1" customWidth="1"/>
    <col min="12556" max="12556" width="9.625" style="2" bestFit="1" customWidth="1"/>
    <col min="12557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7" width="9" style="2"/>
    <col min="12808" max="12811" width="11.125" style="2" bestFit="1" customWidth="1"/>
    <col min="12812" max="12812" width="9.625" style="2" bestFit="1" customWidth="1"/>
    <col min="12813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3" width="9" style="2"/>
    <col min="13064" max="13067" width="11.125" style="2" bestFit="1" customWidth="1"/>
    <col min="13068" max="13068" width="9.625" style="2" bestFit="1" customWidth="1"/>
    <col min="13069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9" width="9" style="2"/>
    <col min="13320" max="13323" width="11.125" style="2" bestFit="1" customWidth="1"/>
    <col min="13324" max="13324" width="9.625" style="2" bestFit="1" customWidth="1"/>
    <col min="13325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5" width="9" style="2"/>
    <col min="13576" max="13579" width="11.125" style="2" bestFit="1" customWidth="1"/>
    <col min="13580" max="13580" width="9.625" style="2" bestFit="1" customWidth="1"/>
    <col min="13581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1" width="9" style="2"/>
    <col min="13832" max="13835" width="11.125" style="2" bestFit="1" customWidth="1"/>
    <col min="13836" max="13836" width="9.625" style="2" bestFit="1" customWidth="1"/>
    <col min="13837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7" width="9" style="2"/>
    <col min="14088" max="14091" width="11.125" style="2" bestFit="1" customWidth="1"/>
    <col min="14092" max="14092" width="9.625" style="2" bestFit="1" customWidth="1"/>
    <col min="14093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3" width="9" style="2"/>
    <col min="14344" max="14347" width="11.125" style="2" bestFit="1" customWidth="1"/>
    <col min="14348" max="14348" width="9.625" style="2" bestFit="1" customWidth="1"/>
    <col min="14349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9" width="9" style="2"/>
    <col min="14600" max="14603" width="11.125" style="2" bestFit="1" customWidth="1"/>
    <col min="14604" max="14604" width="9.625" style="2" bestFit="1" customWidth="1"/>
    <col min="14605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5" width="9" style="2"/>
    <col min="14856" max="14859" width="11.125" style="2" bestFit="1" customWidth="1"/>
    <col min="14860" max="14860" width="9.625" style="2" bestFit="1" customWidth="1"/>
    <col min="14861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1" width="9" style="2"/>
    <col min="15112" max="15115" width="11.125" style="2" bestFit="1" customWidth="1"/>
    <col min="15116" max="15116" width="9.625" style="2" bestFit="1" customWidth="1"/>
    <col min="15117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7" width="9" style="2"/>
    <col min="15368" max="15371" width="11.125" style="2" bestFit="1" customWidth="1"/>
    <col min="15372" max="15372" width="9.625" style="2" bestFit="1" customWidth="1"/>
    <col min="15373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3" width="9" style="2"/>
    <col min="15624" max="15627" width="11.125" style="2" bestFit="1" customWidth="1"/>
    <col min="15628" max="15628" width="9.625" style="2" bestFit="1" customWidth="1"/>
    <col min="15629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9" width="9" style="2"/>
    <col min="15880" max="15883" width="11.125" style="2" bestFit="1" customWidth="1"/>
    <col min="15884" max="15884" width="9.625" style="2" bestFit="1" customWidth="1"/>
    <col min="15885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5" width="9" style="2"/>
    <col min="16136" max="16139" width="11.125" style="2" bestFit="1" customWidth="1"/>
    <col min="16140" max="16140" width="9.625" style="2" bestFit="1" customWidth="1"/>
    <col min="16141" max="16384" width="9" style="2"/>
  </cols>
  <sheetData>
    <row r="1" spans="1:13">
      <c r="A1" s="1" t="s">
        <v>0</v>
      </c>
    </row>
    <row r="2" spans="1:13" ht="19.5" thickBot="1">
      <c r="A2" s="1" t="s">
        <v>63</v>
      </c>
    </row>
    <row r="3" spans="1:13">
      <c r="B3" s="11"/>
      <c r="C3" s="34" t="s">
        <v>4</v>
      </c>
      <c r="D3" s="56" t="s">
        <v>9</v>
      </c>
      <c r="E3" s="70" t="s">
        <v>64</v>
      </c>
      <c r="F3" s="33" t="s">
        <v>2</v>
      </c>
      <c r="G3" s="34" t="s">
        <v>3</v>
      </c>
      <c r="H3" s="34" t="s">
        <v>5</v>
      </c>
      <c r="I3" s="34" t="s">
        <v>6</v>
      </c>
      <c r="J3" s="34" t="s">
        <v>7</v>
      </c>
      <c r="K3" s="58" t="s">
        <v>8</v>
      </c>
      <c r="L3" s="70" t="s">
        <v>64</v>
      </c>
      <c r="M3" s="71" t="s">
        <v>19</v>
      </c>
    </row>
    <row r="4" spans="1:13" ht="19.5" thickBot="1">
      <c r="B4" s="4" t="s">
        <v>10</v>
      </c>
      <c r="C4" s="36" t="s">
        <v>13</v>
      </c>
      <c r="D4" s="3" t="s">
        <v>18</v>
      </c>
      <c r="E4" s="72" t="s">
        <v>65</v>
      </c>
      <c r="F4" s="35" t="s">
        <v>11</v>
      </c>
      <c r="G4" s="36" t="s">
        <v>12</v>
      </c>
      <c r="H4" s="36" t="s">
        <v>14</v>
      </c>
      <c r="I4" s="36" t="s">
        <v>15</v>
      </c>
      <c r="J4" s="36" t="s">
        <v>16</v>
      </c>
      <c r="K4" s="59" t="s">
        <v>17</v>
      </c>
      <c r="L4" s="72" t="s">
        <v>66</v>
      </c>
      <c r="M4" s="57" t="s">
        <v>67</v>
      </c>
    </row>
    <row r="5" spans="1:13">
      <c r="A5" s="1" t="s">
        <v>1</v>
      </c>
      <c r="B5" s="21" t="s">
        <v>20</v>
      </c>
      <c r="C5" s="38">
        <v>21</v>
      </c>
      <c r="D5" s="22">
        <v>10</v>
      </c>
      <c r="E5" s="23">
        <f>SUM(C5:D5)</f>
        <v>31</v>
      </c>
      <c r="F5" s="37">
        <v>19</v>
      </c>
      <c r="G5" s="38">
        <v>20</v>
      </c>
      <c r="H5" s="38">
        <v>20</v>
      </c>
      <c r="I5" s="38">
        <v>13</v>
      </c>
      <c r="J5" s="38">
        <v>21</v>
      </c>
      <c r="K5" s="60">
        <v>21</v>
      </c>
      <c r="L5" s="23">
        <f>SUM(F5:K5)</f>
        <v>114</v>
      </c>
      <c r="M5" s="23">
        <f>E5+L5</f>
        <v>145</v>
      </c>
    </row>
    <row r="6" spans="1:13">
      <c r="A6" s="1" t="s">
        <v>1</v>
      </c>
      <c r="B6" s="24" t="s">
        <v>21</v>
      </c>
      <c r="C6" s="40">
        <v>0</v>
      </c>
      <c r="D6" s="25">
        <v>0</v>
      </c>
      <c r="E6" s="26">
        <f>SUM(C6:D6)</f>
        <v>0</v>
      </c>
      <c r="F6" s="39">
        <v>1</v>
      </c>
      <c r="G6" s="40">
        <v>0</v>
      </c>
      <c r="H6" s="40">
        <v>2</v>
      </c>
      <c r="I6" s="40">
        <v>0</v>
      </c>
      <c r="J6" s="40">
        <v>2</v>
      </c>
      <c r="K6" s="61">
        <v>4</v>
      </c>
      <c r="L6" s="26">
        <f>SUM(F6:K6)</f>
        <v>9</v>
      </c>
      <c r="M6" s="26">
        <f t="shared" ref="M6:M46" si="0">E6+L6</f>
        <v>9</v>
      </c>
    </row>
    <row r="7" spans="1:13">
      <c r="A7" s="1" t="s">
        <v>1</v>
      </c>
      <c r="B7" s="24" t="s">
        <v>22</v>
      </c>
      <c r="C7" s="40">
        <v>0</v>
      </c>
      <c r="D7" s="25">
        <v>0</v>
      </c>
      <c r="E7" s="26">
        <f t="shared" ref="E7:E16" si="1">SUM(C7:D7)</f>
        <v>0</v>
      </c>
      <c r="F7" s="39">
        <v>0</v>
      </c>
      <c r="G7" s="40">
        <v>0</v>
      </c>
      <c r="H7" s="40">
        <v>1</v>
      </c>
      <c r="I7" s="40">
        <v>0</v>
      </c>
      <c r="J7" s="40">
        <v>2</v>
      </c>
      <c r="K7" s="61">
        <v>0</v>
      </c>
      <c r="L7" s="26">
        <f t="shared" ref="L7:L46" si="2">SUM(F7:K7)</f>
        <v>3</v>
      </c>
      <c r="M7" s="26">
        <f t="shared" si="0"/>
        <v>3</v>
      </c>
    </row>
    <row r="8" spans="1:13">
      <c r="A8" s="1" t="s">
        <v>1</v>
      </c>
      <c r="B8" s="24" t="s">
        <v>23</v>
      </c>
      <c r="C8" s="40">
        <v>0</v>
      </c>
      <c r="D8" s="25">
        <v>1</v>
      </c>
      <c r="E8" s="26">
        <f t="shared" si="1"/>
        <v>1</v>
      </c>
      <c r="F8" s="39">
        <v>2</v>
      </c>
      <c r="G8" s="40">
        <v>1</v>
      </c>
      <c r="H8" s="40">
        <v>1</v>
      </c>
      <c r="I8" s="40">
        <v>2</v>
      </c>
      <c r="J8" s="40">
        <v>0</v>
      </c>
      <c r="K8" s="61">
        <v>0</v>
      </c>
      <c r="L8" s="26">
        <f t="shared" si="2"/>
        <v>6</v>
      </c>
      <c r="M8" s="26">
        <f t="shared" si="0"/>
        <v>7</v>
      </c>
    </row>
    <row r="9" spans="1:13">
      <c r="A9" s="1" t="s">
        <v>1</v>
      </c>
      <c r="B9" s="24" t="s">
        <v>24</v>
      </c>
      <c r="C9" s="40">
        <v>0</v>
      </c>
      <c r="D9" s="25">
        <v>0</v>
      </c>
      <c r="E9" s="26">
        <f t="shared" si="1"/>
        <v>0</v>
      </c>
      <c r="F9" s="39">
        <v>0</v>
      </c>
      <c r="G9" s="40">
        <v>0</v>
      </c>
      <c r="H9" s="40">
        <v>0</v>
      </c>
      <c r="I9" s="40">
        <v>6</v>
      </c>
      <c r="J9" s="40">
        <v>0</v>
      </c>
      <c r="K9" s="61">
        <v>0</v>
      </c>
      <c r="L9" s="26">
        <f t="shared" si="2"/>
        <v>6</v>
      </c>
      <c r="M9" s="26">
        <f t="shared" si="0"/>
        <v>6</v>
      </c>
    </row>
    <row r="10" spans="1:13">
      <c r="A10" s="1" t="s">
        <v>1</v>
      </c>
      <c r="B10" s="24" t="s">
        <v>25</v>
      </c>
      <c r="C10" s="42">
        <v>0</v>
      </c>
      <c r="D10" s="27">
        <v>2.875</v>
      </c>
      <c r="E10" s="28">
        <f t="shared" si="1"/>
        <v>2.875</v>
      </c>
      <c r="F10" s="41">
        <v>0</v>
      </c>
      <c r="G10" s="42">
        <v>0</v>
      </c>
      <c r="H10" s="42">
        <v>0</v>
      </c>
      <c r="I10" s="42">
        <v>0</v>
      </c>
      <c r="J10" s="42">
        <v>0</v>
      </c>
      <c r="K10" s="62">
        <v>0</v>
      </c>
      <c r="L10" s="28">
        <f t="shared" si="2"/>
        <v>0</v>
      </c>
      <c r="M10" s="28">
        <f t="shared" si="0"/>
        <v>2.875</v>
      </c>
    </row>
    <row r="11" spans="1:13">
      <c r="A11" s="1" t="s">
        <v>1</v>
      </c>
      <c r="B11" s="24" t="s">
        <v>26</v>
      </c>
      <c r="C11" s="42">
        <v>0</v>
      </c>
      <c r="D11" s="27">
        <v>0</v>
      </c>
      <c r="E11" s="28">
        <f t="shared" si="1"/>
        <v>0</v>
      </c>
      <c r="F11" s="41">
        <v>2.5</v>
      </c>
      <c r="G11" s="42">
        <v>2.0833333333333335</v>
      </c>
      <c r="H11" s="42">
        <v>1.1666666666666667</v>
      </c>
      <c r="I11" s="42">
        <v>0.45833333333333331</v>
      </c>
      <c r="J11" s="42">
        <v>1.6666666666666665</v>
      </c>
      <c r="K11" s="62">
        <v>1.5833333333333335</v>
      </c>
      <c r="L11" s="28">
        <f t="shared" si="2"/>
        <v>9.4583333333333339</v>
      </c>
      <c r="M11" s="28">
        <f t="shared" si="0"/>
        <v>9.4583333333333339</v>
      </c>
    </row>
    <row r="12" spans="1:13">
      <c r="A12" s="1" t="s">
        <v>1</v>
      </c>
      <c r="B12" s="24" t="s">
        <v>27</v>
      </c>
      <c r="C12" s="42">
        <v>0</v>
      </c>
      <c r="D12" s="27">
        <v>0</v>
      </c>
      <c r="E12" s="28">
        <f t="shared" si="1"/>
        <v>0</v>
      </c>
      <c r="F12" s="41">
        <v>0.5</v>
      </c>
      <c r="G12" s="42">
        <v>0</v>
      </c>
      <c r="H12" s="42">
        <v>0.54166666666666663</v>
      </c>
      <c r="I12" s="42">
        <v>0</v>
      </c>
      <c r="J12" s="42">
        <v>0.79166666666666663</v>
      </c>
      <c r="K12" s="62">
        <v>1.2083333333333333</v>
      </c>
      <c r="L12" s="28">
        <f t="shared" si="2"/>
        <v>3.0416666666666661</v>
      </c>
      <c r="M12" s="28">
        <f t="shared" si="0"/>
        <v>3.0416666666666661</v>
      </c>
    </row>
    <row r="13" spans="1:13">
      <c r="A13" s="1" t="s">
        <v>1</v>
      </c>
      <c r="B13" s="24" t="s">
        <v>28</v>
      </c>
      <c r="C13" s="42">
        <v>0</v>
      </c>
      <c r="D13" s="27">
        <v>0</v>
      </c>
      <c r="E13" s="28">
        <f t="shared" si="1"/>
        <v>0</v>
      </c>
      <c r="F13" s="41">
        <v>0</v>
      </c>
      <c r="G13" s="42">
        <v>0</v>
      </c>
      <c r="H13" s="42">
        <v>0.33333333333333331</v>
      </c>
      <c r="I13" s="42">
        <v>0</v>
      </c>
      <c r="J13" s="42">
        <v>0.70833333333333337</v>
      </c>
      <c r="K13" s="62">
        <v>0</v>
      </c>
      <c r="L13" s="28">
        <f t="shared" si="2"/>
        <v>1.0416666666666667</v>
      </c>
      <c r="M13" s="28">
        <f t="shared" si="0"/>
        <v>1.0416666666666667</v>
      </c>
    </row>
    <row r="14" spans="1:13">
      <c r="A14" s="1" t="s">
        <v>1</v>
      </c>
      <c r="B14" s="24" t="s">
        <v>29</v>
      </c>
      <c r="C14" s="42">
        <v>0</v>
      </c>
      <c r="D14" s="27">
        <v>0.29166666666666669</v>
      </c>
      <c r="E14" s="28">
        <f t="shared" si="1"/>
        <v>0.29166666666666669</v>
      </c>
      <c r="F14" s="41">
        <v>0</v>
      </c>
      <c r="G14" s="42">
        <v>0</v>
      </c>
      <c r="H14" s="42">
        <v>0</v>
      </c>
      <c r="I14" s="42">
        <v>0</v>
      </c>
      <c r="J14" s="42">
        <v>0</v>
      </c>
      <c r="K14" s="62">
        <v>0</v>
      </c>
      <c r="L14" s="28">
        <f t="shared" si="2"/>
        <v>0</v>
      </c>
      <c r="M14" s="28">
        <f t="shared" si="0"/>
        <v>0.29166666666666669</v>
      </c>
    </row>
    <row r="15" spans="1:13">
      <c r="A15" s="1" t="s">
        <v>1</v>
      </c>
      <c r="B15" s="24" t="s">
        <v>30</v>
      </c>
      <c r="C15" s="42">
        <v>4.1666666666666664E-2</v>
      </c>
      <c r="D15" s="27">
        <v>0</v>
      </c>
      <c r="E15" s="28">
        <f t="shared" si="1"/>
        <v>4.1666666666666664E-2</v>
      </c>
      <c r="F15" s="41">
        <v>0.54166666666666663</v>
      </c>
      <c r="G15" s="42">
        <v>0.625</v>
      </c>
      <c r="H15" s="42">
        <v>0.20833333333333334</v>
      </c>
      <c r="I15" s="42">
        <v>0.16666666666666666</v>
      </c>
      <c r="J15" s="42">
        <v>0.20833333333333334</v>
      </c>
      <c r="K15" s="62">
        <v>0.375</v>
      </c>
      <c r="L15" s="28">
        <f t="shared" si="2"/>
        <v>2.125</v>
      </c>
      <c r="M15" s="28">
        <f t="shared" si="0"/>
        <v>2.1666666666666665</v>
      </c>
    </row>
    <row r="16" spans="1:13">
      <c r="A16" s="1" t="s">
        <v>1</v>
      </c>
      <c r="B16" s="12" t="s">
        <v>31</v>
      </c>
      <c r="C16" s="44">
        <v>40</v>
      </c>
      <c r="D16" s="13">
        <v>10</v>
      </c>
      <c r="E16" s="14">
        <f t="shared" si="1"/>
        <v>50</v>
      </c>
      <c r="F16" s="43">
        <v>38</v>
      </c>
      <c r="G16" s="44">
        <v>39</v>
      </c>
      <c r="H16" s="44">
        <v>39</v>
      </c>
      <c r="I16" s="44">
        <v>35</v>
      </c>
      <c r="J16" s="44">
        <v>38</v>
      </c>
      <c r="K16" s="63">
        <v>38</v>
      </c>
      <c r="L16" s="14">
        <f t="shared" si="2"/>
        <v>227</v>
      </c>
      <c r="M16" s="14">
        <f t="shared" si="0"/>
        <v>277</v>
      </c>
    </row>
    <row r="17" spans="1:13">
      <c r="A17" s="1" t="s">
        <v>1</v>
      </c>
      <c r="B17" s="18" t="s">
        <v>32</v>
      </c>
      <c r="C17" s="46">
        <v>345000</v>
      </c>
      <c r="D17" s="19">
        <v>0</v>
      </c>
      <c r="E17" s="20">
        <f>SUM(C17:D17)</f>
        <v>345000</v>
      </c>
      <c r="F17" s="45">
        <v>177000</v>
      </c>
      <c r="G17" s="46">
        <v>192000</v>
      </c>
      <c r="H17" s="46">
        <v>177000</v>
      </c>
      <c r="I17" s="46">
        <v>177000</v>
      </c>
      <c r="J17" s="46">
        <v>177000</v>
      </c>
      <c r="K17" s="64">
        <v>170000</v>
      </c>
      <c r="L17" s="20">
        <f t="shared" si="2"/>
        <v>1070000</v>
      </c>
      <c r="M17" s="20">
        <f t="shared" si="0"/>
        <v>1415000</v>
      </c>
    </row>
    <row r="18" spans="1:13">
      <c r="A18" s="1" t="s">
        <v>1</v>
      </c>
      <c r="B18" s="24" t="s">
        <v>33</v>
      </c>
      <c r="C18" s="48">
        <v>0</v>
      </c>
      <c r="D18" s="29">
        <v>0</v>
      </c>
      <c r="E18" s="30">
        <f t="shared" ref="E18:E46" si="3">SUM(C18:D18)</f>
        <v>0</v>
      </c>
      <c r="F18" s="47">
        <v>0</v>
      </c>
      <c r="G18" s="48">
        <v>5000</v>
      </c>
      <c r="H18" s="48">
        <v>0</v>
      </c>
      <c r="I18" s="48">
        <v>0</v>
      </c>
      <c r="J18" s="48">
        <v>0</v>
      </c>
      <c r="K18" s="65">
        <v>0</v>
      </c>
      <c r="L18" s="30">
        <f t="shared" si="2"/>
        <v>5000</v>
      </c>
      <c r="M18" s="30">
        <f t="shared" si="0"/>
        <v>5000</v>
      </c>
    </row>
    <row r="19" spans="1:13">
      <c r="A19" s="1" t="s">
        <v>1</v>
      </c>
      <c r="B19" s="24" t="s">
        <v>34</v>
      </c>
      <c r="C19" s="48">
        <v>0</v>
      </c>
      <c r="D19" s="29">
        <v>0</v>
      </c>
      <c r="E19" s="30">
        <f t="shared" si="3"/>
        <v>0</v>
      </c>
      <c r="F19" s="47">
        <v>6000</v>
      </c>
      <c r="G19" s="48">
        <v>0</v>
      </c>
      <c r="H19" s="48">
        <v>3000</v>
      </c>
      <c r="I19" s="48">
        <v>0</v>
      </c>
      <c r="J19" s="48">
        <v>0</v>
      </c>
      <c r="K19" s="65">
        <v>0</v>
      </c>
      <c r="L19" s="30">
        <f t="shared" si="2"/>
        <v>9000</v>
      </c>
      <c r="M19" s="30">
        <f t="shared" si="0"/>
        <v>9000</v>
      </c>
    </row>
    <row r="20" spans="1:13">
      <c r="A20" s="1" t="s">
        <v>1</v>
      </c>
      <c r="B20" s="24" t="s">
        <v>35</v>
      </c>
      <c r="C20" s="48">
        <v>50000</v>
      </c>
      <c r="D20" s="29">
        <v>0</v>
      </c>
      <c r="E20" s="30">
        <f t="shared" si="3"/>
        <v>50000</v>
      </c>
      <c r="F20" s="47">
        <v>50000</v>
      </c>
      <c r="G20" s="48">
        <v>50000</v>
      </c>
      <c r="H20" s="48">
        <v>50000</v>
      </c>
      <c r="I20" s="48">
        <v>50000</v>
      </c>
      <c r="J20" s="48">
        <v>50000</v>
      </c>
      <c r="K20" s="65">
        <v>50000</v>
      </c>
      <c r="L20" s="30">
        <f t="shared" si="2"/>
        <v>300000</v>
      </c>
      <c r="M20" s="30">
        <f t="shared" si="0"/>
        <v>350000</v>
      </c>
    </row>
    <row r="21" spans="1:13">
      <c r="A21" s="1" t="s">
        <v>1</v>
      </c>
      <c r="B21" s="24" t="s">
        <v>36</v>
      </c>
      <c r="C21" s="48">
        <v>0</v>
      </c>
      <c r="D21" s="29">
        <v>80040</v>
      </c>
      <c r="E21" s="30">
        <f t="shared" si="3"/>
        <v>80040</v>
      </c>
      <c r="F21" s="47">
        <v>0</v>
      </c>
      <c r="G21" s="48">
        <v>0</v>
      </c>
      <c r="H21" s="48">
        <v>0</v>
      </c>
      <c r="I21" s="48">
        <v>0</v>
      </c>
      <c r="J21" s="48">
        <v>0</v>
      </c>
      <c r="K21" s="65">
        <v>0</v>
      </c>
      <c r="L21" s="30">
        <f t="shared" si="2"/>
        <v>0</v>
      </c>
      <c r="M21" s="30">
        <f t="shared" si="0"/>
        <v>80040</v>
      </c>
    </row>
    <row r="22" spans="1:13">
      <c r="A22" s="1" t="s">
        <v>1</v>
      </c>
      <c r="B22" s="24" t="s">
        <v>37</v>
      </c>
      <c r="C22" s="48">
        <v>0</v>
      </c>
      <c r="D22" s="29">
        <v>0</v>
      </c>
      <c r="E22" s="30">
        <f t="shared" si="3"/>
        <v>0</v>
      </c>
      <c r="F22" s="47">
        <v>0</v>
      </c>
      <c r="G22" s="48">
        <v>24200</v>
      </c>
      <c r="H22" s="48">
        <v>0</v>
      </c>
      <c r="I22" s="48">
        <v>11500</v>
      </c>
      <c r="J22" s="48">
        <v>28400</v>
      </c>
      <c r="K22" s="65">
        <v>0</v>
      </c>
      <c r="L22" s="30">
        <f t="shared" si="2"/>
        <v>64100</v>
      </c>
      <c r="M22" s="30">
        <f t="shared" si="0"/>
        <v>64100</v>
      </c>
    </row>
    <row r="23" spans="1:13">
      <c r="A23" s="1" t="s">
        <v>1</v>
      </c>
      <c r="B23" s="24" t="s">
        <v>38</v>
      </c>
      <c r="C23" s="48">
        <v>0</v>
      </c>
      <c r="D23" s="29">
        <v>0</v>
      </c>
      <c r="E23" s="30">
        <f t="shared" si="3"/>
        <v>0</v>
      </c>
      <c r="F23" s="47">
        <v>2000</v>
      </c>
      <c r="G23" s="48">
        <v>2000</v>
      </c>
      <c r="H23" s="48">
        <v>0</v>
      </c>
      <c r="I23" s="48">
        <v>2000</v>
      </c>
      <c r="J23" s="48">
        <v>2000</v>
      </c>
      <c r="K23" s="65">
        <v>2000</v>
      </c>
      <c r="L23" s="30">
        <f t="shared" si="2"/>
        <v>10000</v>
      </c>
      <c r="M23" s="30">
        <f t="shared" si="0"/>
        <v>10000</v>
      </c>
    </row>
    <row r="24" spans="1:13">
      <c r="A24" s="1" t="s">
        <v>1</v>
      </c>
      <c r="B24" s="24" t="s">
        <v>39</v>
      </c>
      <c r="C24" s="48">
        <v>0</v>
      </c>
      <c r="D24" s="29">
        <v>8120</v>
      </c>
      <c r="E24" s="30">
        <f t="shared" si="3"/>
        <v>8120</v>
      </c>
      <c r="F24" s="47">
        <v>0</v>
      </c>
      <c r="G24" s="48">
        <v>0</v>
      </c>
      <c r="H24" s="48">
        <v>0</v>
      </c>
      <c r="I24" s="48">
        <v>0</v>
      </c>
      <c r="J24" s="48">
        <v>0</v>
      </c>
      <c r="K24" s="65">
        <v>0</v>
      </c>
      <c r="L24" s="30">
        <f t="shared" si="2"/>
        <v>0</v>
      </c>
      <c r="M24" s="30">
        <f t="shared" si="0"/>
        <v>8120</v>
      </c>
    </row>
    <row r="25" spans="1:13">
      <c r="A25" s="1" t="s">
        <v>1</v>
      </c>
      <c r="B25" s="24" t="s">
        <v>40</v>
      </c>
      <c r="C25" s="48">
        <v>0</v>
      </c>
      <c r="D25" s="29">
        <v>0</v>
      </c>
      <c r="E25" s="30">
        <f t="shared" si="3"/>
        <v>0</v>
      </c>
      <c r="F25" s="47">
        <v>16900</v>
      </c>
      <c r="G25" s="48">
        <v>10500</v>
      </c>
      <c r="H25" s="48">
        <v>13500</v>
      </c>
      <c r="I25" s="48">
        <v>13000</v>
      </c>
      <c r="J25" s="48">
        <v>13000</v>
      </c>
      <c r="K25" s="65">
        <v>15000</v>
      </c>
      <c r="L25" s="30">
        <f t="shared" si="2"/>
        <v>81900</v>
      </c>
      <c r="M25" s="30">
        <f t="shared" si="0"/>
        <v>81900</v>
      </c>
    </row>
    <row r="26" spans="1:13">
      <c r="A26" s="1" t="s">
        <v>1</v>
      </c>
      <c r="B26" s="24" t="s">
        <v>41</v>
      </c>
      <c r="C26" s="48">
        <v>0</v>
      </c>
      <c r="D26" s="31">
        <v>0</v>
      </c>
      <c r="E26" s="32">
        <f t="shared" si="3"/>
        <v>0</v>
      </c>
      <c r="F26" s="47">
        <v>0</v>
      </c>
      <c r="G26" s="48">
        <v>0</v>
      </c>
      <c r="H26" s="48">
        <v>0</v>
      </c>
      <c r="I26" s="49">
        <v>-69468</v>
      </c>
      <c r="J26" s="49">
        <v>0</v>
      </c>
      <c r="K26" s="66">
        <v>0</v>
      </c>
      <c r="L26" s="32">
        <f t="shared" si="2"/>
        <v>-69468</v>
      </c>
      <c r="M26" s="32">
        <f t="shared" si="0"/>
        <v>-69468</v>
      </c>
    </row>
    <row r="27" spans="1:13">
      <c r="A27" s="1" t="s">
        <v>1</v>
      </c>
      <c r="B27" s="24" t="s">
        <v>26</v>
      </c>
      <c r="C27" s="48">
        <v>0</v>
      </c>
      <c r="D27" s="29">
        <v>0</v>
      </c>
      <c r="E27" s="30">
        <f t="shared" si="3"/>
        <v>0</v>
      </c>
      <c r="F27" s="47">
        <v>113100</v>
      </c>
      <c r="G27" s="48">
        <v>97150</v>
      </c>
      <c r="H27" s="48">
        <v>51044</v>
      </c>
      <c r="I27" s="48">
        <v>19921</v>
      </c>
      <c r="J27" s="48">
        <v>72440</v>
      </c>
      <c r="K27" s="65">
        <v>67412</v>
      </c>
      <c r="L27" s="30">
        <f t="shared" si="2"/>
        <v>421067</v>
      </c>
      <c r="M27" s="30">
        <f t="shared" si="0"/>
        <v>421067</v>
      </c>
    </row>
    <row r="28" spans="1:13">
      <c r="A28" s="1" t="s">
        <v>1</v>
      </c>
      <c r="B28" s="24" t="s">
        <v>42</v>
      </c>
      <c r="C28" s="48">
        <v>0</v>
      </c>
      <c r="D28" s="29">
        <v>0</v>
      </c>
      <c r="E28" s="30">
        <f t="shared" si="3"/>
        <v>0</v>
      </c>
      <c r="F28" s="47">
        <v>24432</v>
      </c>
      <c r="G28" s="48">
        <v>0</v>
      </c>
      <c r="H28" s="48">
        <v>25584</v>
      </c>
      <c r="I28" s="48">
        <v>0</v>
      </c>
      <c r="J28" s="48">
        <v>37164</v>
      </c>
      <c r="K28" s="65">
        <v>55564</v>
      </c>
      <c r="L28" s="30">
        <f t="shared" si="2"/>
        <v>142744</v>
      </c>
      <c r="M28" s="30">
        <f t="shared" si="0"/>
        <v>142744</v>
      </c>
    </row>
    <row r="29" spans="1:13">
      <c r="A29" s="1" t="s">
        <v>1</v>
      </c>
      <c r="B29" s="24" t="s">
        <v>43</v>
      </c>
      <c r="C29" s="48">
        <v>0</v>
      </c>
      <c r="D29" s="29">
        <v>0</v>
      </c>
      <c r="E29" s="30">
        <f t="shared" si="3"/>
        <v>0</v>
      </c>
      <c r="F29" s="47">
        <v>0</v>
      </c>
      <c r="G29" s="48">
        <v>0</v>
      </c>
      <c r="H29" s="48">
        <v>15744</v>
      </c>
      <c r="I29" s="48">
        <v>0</v>
      </c>
      <c r="J29" s="48">
        <v>33252</v>
      </c>
      <c r="K29" s="65">
        <v>0</v>
      </c>
      <c r="L29" s="30">
        <f t="shared" si="2"/>
        <v>48996</v>
      </c>
      <c r="M29" s="30">
        <f t="shared" si="0"/>
        <v>48996</v>
      </c>
    </row>
    <row r="30" spans="1:13">
      <c r="A30" s="1" t="s">
        <v>1</v>
      </c>
      <c r="B30" s="5" t="s">
        <v>30</v>
      </c>
      <c r="C30" s="51">
        <v>591</v>
      </c>
      <c r="D30" s="6">
        <v>0</v>
      </c>
      <c r="E30" s="7">
        <f t="shared" si="3"/>
        <v>591</v>
      </c>
      <c r="F30" s="50">
        <v>4901</v>
      </c>
      <c r="G30" s="51">
        <v>5835</v>
      </c>
      <c r="H30" s="51">
        <v>1825</v>
      </c>
      <c r="I30" s="51">
        <v>1448</v>
      </c>
      <c r="J30" s="51">
        <v>1810</v>
      </c>
      <c r="K30" s="67">
        <v>3195</v>
      </c>
      <c r="L30" s="7">
        <f t="shared" si="2"/>
        <v>19014</v>
      </c>
      <c r="M30" s="7">
        <f t="shared" si="0"/>
        <v>19605</v>
      </c>
    </row>
    <row r="31" spans="1:13">
      <c r="A31" s="1" t="s">
        <v>1</v>
      </c>
      <c r="B31" s="15" t="s">
        <v>44</v>
      </c>
      <c r="C31" s="53">
        <v>395591</v>
      </c>
      <c r="D31" s="16">
        <v>88160</v>
      </c>
      <c r="E31" s="17">
        <f t="shared" si="3"/>
        <v>483751</v>
      </c>
      <c r="F31" s="52">
        <v>394333</v>
      </c>
      <c r="G31" s="53">
        <v>386685</v>
      </c>
      <c r="H31" s="53">
        <v>337697</v>
      </c>
      <c r="I31" s="53">
        <v>205401</v>
      </c>
      <c r="J31" s="53">
        <v>415066</v>
      </c>
      <c r="K31" s="68">
        <v>363171</v>
      </c>
      <c r="L31" s="17">
        <f t="shared" si="2"/>
        <v>2102353</v>
      </c>
      <c r="M31" s="17">
        <f t="shared" si="0"/>
        <v>2586104</v>
      </c>
    </row>
    <row r="32" spans="1:13">
      <c r="A32" s="1" t="s">
        <v>1</v>
      </c>
      <c r="B32" s="18" t="s">
        <v>45</v>
      </c>
      <c r="C32" s="46">
        <v>11742</v>
      </c>
      <c r="D32" s="19">
        <v>3600</v>
      </c>
      <c r="E32" s="20">
        <f t="shared" si="3"/>
        <v>15342</v>
      </c>
      <c r="F32" s="45">
        <v>5382</v>
      </c>
      <c r="G32" s="46">
        <v>4893</v>
      </c>
      <c r="H32" s="46">
        <v>9115</v>
      </c>
      <c r="I32" s="46">
        <v>2898</v>
      </c>
      <c r="J32" s="46">
        <v>4281</v>
      </c>
      <c r="K32" s="64">
        <v>6116</v>
      </c>
      <c r="L32" s="20">
        <f t="shared" si="2"/>
        <v>32685</v>
      </c>
      <c r="M32" s="20">
        <f t="shared" si="0"/>
        <v>48027</v>
      </c>
    </row>
    <row r="33" spans="1:13">
      <c r="A33" s="1" t="s">
        <v>1</v>
      </c>
      <c r="B33" s="5" t="s">
        <v>46</v>
      </c>
      <c r="C33" s="51">
        <v>11742</v>
      </c>
      <c r="D33" s="6">
        <v>3600</v>
      </c>
      <c r="E33" s="7">
        <f t="shared" si="3"/>
        <v>15342</v>
      </c>
      <c r="F33" s="50">
        <v>5382</v>
      </c>
      <c r="G33" s="51">
        <v>4893</v>
      </c>
      <c r="H33" s="51">
        <v>9115</v>
      </c>
      <c r="I33" s="51">
        <v>2898</v>
      </c>
      <c r="J33" s="51">
        <v>4281</v>
      </c>
      <c r="K33" s="67">
        <v>6116</v>
      </c>
      <c r="L33" s="7">
        <f t="shared" si="2"/>
        <v>32685</v>
      </c>
      <c r="M33" s="7">
        <f t="shared" si="0"/>
        <v>48027</v>
      </c>
    </row>
    <row r="34" spans="1:13">
      <c r="A34" s="1" t="s">
        <v>1</v>
      </c>
      <c r="B34" s="15" t="s">
        <v>47</v>
      </c>
      <c r="C34" s="53">
        <v>407333</v>
      </c>
      <c r="D34" s="16">
        <v>91760</v>
      </c>
      <c r="E34" s="17">
        <f t="shared" si="3"/>
        <v>499093</v>
      </c>
      <c r="F34" s="52">
        <v>399715</v>
      </c>
      <c r="G34" s="53">
        <v>391578</v>
      </c>
      <c r="H34" s="53">
        <v>346812</v>
      </c>
      <c r="I34" s="53">
        <v>208299</v>
      </c>
      <c r="J34" s="53">
        <v>419347</v>
      </c>
      <c r="K34" s="68">
        <v>369287</v>
      </c>
      <c r="L34" s="17">
        <f t="shared" si="2"/>
        <v>2135038</v>
      </c>
      <c r="M34" s="17">
        <f t="shared" si="0"/>
        <v>2634131</v>
      </c>
    </row>
    <row r="35" spans="1:13">
      <c r="A35" s="1" t="s">
        <v>1</v>
      </c>
      <c r="B35" s="18" t="s">
        <v>48</v>
      </c>
      <c r="C35" s="46">
        <v>20910</v>
      </c>
      <c r="D35" s="19">
        <v>0</v>
      </c>
      <c r="E35" s="20">
        <f t="shared" si="3"/>
        <v>20910</v>
      </c>
      <c r="F35" s="45">
        <v>18360</v>
      </c>
      <c r="G35" s="46">
        <v>18360</v>
      </c>
      <c r="H35" s="46">
        <v>16320</v>
      </c>
      <c r="I35" s="46">
        <v>17340</v>
      </c>
      <c r="J35" s="46">
        <v>20910</v>
      </c>
      <c r="K35" s="64">
        <v>19380</v>
      </c>
      <c r="L35" s="20">
        <f t="shared" si="2"/>
        <v>110670</v>
      </c>
      <c r="M35" s="20">
        <f t="shared" si="0"/>
        <v>131580</v>
      </c>
    </row>
    <row r="36" spans="1:13">
      <c r="A36" s="1" t="s">
        <v>1</v>
      </c>
      <c r="B36" s="24" t="s">
        <v>49</v>
      </c>
      <c r="C36" s="48">
        <v>3690</v>
      </c>
      <c r="D36" s="29">
        <v>0</v>
      </c>
      <c r="E36" s="30">
        <f t="shared" si="3"/>
        <v>3690</v>
      </c>
      <c r="F36" s="47">
        <v>3240</v>
      </c>
      <c r="G36" s="48">
        <v>3240</v>
      </c>
      <c r="H36" s="48">
        <v>2880</v>
      </c>
      <c r="I36" s="48">
        <v>3060</v>
      </c>
      <c r="J36" s="48">
        <v>3690</v>
      </c>
      <c r="K36" s="65">
        <v>3420</v>
      </c>
      <c r="L36" s="30">
        <f t="shared" si="2"/>
        <v>19530</v>
      </c>
      <c r="M36" s="30">
        <f t="shared" si="0"/>
        <v>23220</v>
      </c>
    </row>
    <row r="37" spans="1:13">
      <c r="A37" s="1" t="s">
        <v>1</v>
      </c>
      <c r="B37" s="24" t="s">
        <v>50</v>
      </c>
      <c r="C37" s="48">
        <v>37515</v>
      </c>
      <c r="D37" s="29">
        <v>0</v>
      </c>
      <c r="E37" s="30">
        <f t="shared" si="3"/>
        <v>37515</v>
      </c>
      <c r="F37" s="47">
        <v>32940</v>
      </c>
      <c r="G37" s="48">
        <v>32940</v>
      </c>
      <c r="H37" s="48">
        <v>29280</v>
      </c>
      <c r="I37" s="48">
        <v>31110</v>
      </c>
      <c r="J37" s="48">
        <v>37515</v>
      </c>
      <c r="K37" s="65">
        <v>34770</v>
      </c>
      <c r="L37" s="30">
        <f t="shared" si="2"/>
        <v>198555</v>
      </c>
      <c r="M37" s="30">
        <f t="shared" si="0"/>
        <v>236070</v>
      </c>
    </row>
    <row r="38" spans="1:13">
      <c r="A38" s="1" t="s">
        <v>1</v>
      </c>
      <c r="B38" s="24" t="s">
        <v>51</v>
      </c>
      <c r="C38" s="48">
        <v>2444</v>
      </c>
      <c r="D38" s="29">
        <v>551</v>
      </c>
      <c r="E38" s="30">
        <f t="shared" si="3"/>
        <v>2995</v>
      </c>
      <c r="F38" s="47">
        <v>2398</v>
      </c>
      <c r="G38" s="48">
        <v>2349</v>
      </c>
      <c r="H38" s="48">
        <v>2081</v>
      </c>
      <c r="I38" s="48">
        <v>1250</v>
      </c>
      <c r="J38" s="48">
        <v>2516</v>
      </c>
      <c r="K38" s="65">
        <v>2216</v>
      </c>
      <c r="L38" s="30">
        <f t="shared" si="2"/>
        <v>12810</v>
      </c>
      <c r="M38" s="30">
        <f t="shared" si="0"/>
        <v>15805</v>
      </c>
    </row>
    <row r="39" spans="1:13">
      <c r="A39" s="1" t="s">
        <v>1</v>
      </c>
      <c r="B39" s="24" t="s">
        <v>52</v>
      </c>
      <c r="C39" s="48">
        <v>64559</v>
      </c>
      <c r="D39" s="29">
        <v>551</v>
      </c>
      <c r="E39" s="30">
        <f t="shared" si="3"/>
        <v>65110</v>
      </c>
      <c r="F39" s="47">
        <v>56938</v>
      </c>
      <c r="G39" s="48">
        <v>56889</v>
      </c>
      <c r="H39" s="48">
        <v>50561</v>
      </c>
      <c r="I39" s="48">
        <v>52760</v>
      </c>
      <c r="J39" s="48">
        <v>64631</v>
      </c>
      <c r="K39" s="65">
        <v>59786</v>
      </c>
      <c r="L39" s="30">
        <f t="shared" si="2"/>
        <v>341565</v>
      </c>
      <c r="M39" s="30">
        <f t="shared" si="0"/>
        <v>406675</v>
      </c>
    </row>
    <row r="40" spans="1:13">
      <c r="A40" s="1" t="s">
        <v>1</v>
      </c>
      <c r="B40" s="24" t="s">
        <v>53</v>
      </c>
      <c r="C40" s="48">
        <v>6370</v>
      </c>
      <c r="D40" s="29">
        <v>90</v>
      </c>
      <c r="E40" s="30">
        <f t="shared" si="3"/>
        <v>6460</v>
      </c>
      <c r="F40" s="47">
        <v>8250</v>
      </c>
      <c r="G40" s="48">
        <v>10810</v>
      </c>
      <c r="H40" s="48">
        <v>6260</v>
      </c>
      <c r="I40" s="48">
        <v>0</v>
      </c>
      <c r="J40" s="48">
        <v>12500</v>
      </c>
      <c r="K40" s="65">
        <v>8660</v>
      </c>
      <c r="L40" s="30">
        <f t="shared" si="2"/>
        <v>46480</v>
      </c>
      <c r="M40" s="30">
        <f t="shared" si="0"/>
        <v>52940</v>
      </c>
    </row>
    <row r="41" spans="1:13">
      <c r="A41" s="1" t="s">
        <v>1</v>
      </c>
      <c r="B41" s="24" t="s">
        <v>54</v>
      </c>
      <c r="C41" s="48">
        <v>26400</v>
      </c>
      <c r="D41" s="29">
        <v>600</v>
      </c>
      <c r="E41" s="30">
        <f t="shared" si="3"/>
        <v>27000</v>
      </c>
      <c r="F41" s="47">
        <v>14200</v>
      </c>
      <c r="G41" s="48">
        <v>17200</v>
      </c>
      <c r="H41" s="48">
        <v>5300</v>
      </c>
      <c r="I41" s="48">
        <v>7600</v>
      </c>
      <c r="J41" s="48">
        <v>16700</v>
      </c>
      <c r="K41" s="65">
        <v>5300</v>
      </c>
      <c r="L41" s="30">
        <f t="shared" si="2"/>
        <v>66300</v>
      </c>
      <c r="M41" s="30">
        <f t="shared" si="0"/>
        <v>93300</v>
      </c>
    </row>
    <row r="42" spans="1:13">
      <c r="A42" s="1" t="s">
        <v>1</v>
      </c>
      <c r="B42" s="5" t="s">
        <v>55</v>
      </c>
      <c r="C42" s="51">
        <v>0</v>
      </c>
      <c r="D42" s="6">
        <v>0</v>
      </c>
      <c r="E42" s="7">
        <f t="shared" si="3"/>
        <v>0</v>
      </c>
      <c r="F42" s="50">
        <v>0</v>
      </c>
      <c r="G42" s="51">
        <v>24200</v>
      </c>
      <c r="H42" s="51">
        <v>0</v>
      </c>
      <c r="I42" s="51">
        <v>11500</v>
      </c>
      <c r="J42" s="51">
        <v>28400</v>
      </c>
      <c r="K42" s="67">
        <v>0</v>
      </c>
      <c r="L42" s="7">
        <f t="shared" si="2"/>
        <v>64100</v>
      </c>
      <c r="M42" s="7">
        <f t="shared" si="0"/>
        <v>64100</v>
      </c>
    </row>
    <row r="43" spans="1:13">
      <c r="A43" s="1" t="s">
        <v>1</v>
      </c>
      <c r="B43" s="15" t="s">
        <v>56</v>
      </c>
      <c r="C43" s="53">
        <v>97329</v>
      </c>
      <c r="D43" s="16">
        <v>1241</v>
      </c>
      <c r="E43" s="17">
        <f t="shared" si="3"/>
        <v>98570</v>
      </c>
      <c r="F43" s="52">
        <v>79388</v>
      </c>
      <c r="G43" s="53">
        <v>109099</v>
      </c>
      <c r="H43" s="53">
        <v>62121</v>
      </c>
      <c r="I43" s="53">
        <v>71860</v>
      </c>
      <c r="J43" s="53">
        <v>122231</v>
      </c>
      <c r="K43" s="68">
        <v>73746</v>
      </c>
      <c r="L43" s="17">
        <f t="shared" si="2"/>
        <v>518445</v>
      </c>
      <c r="M43" s="17">
        <f t="shared" si="0"/>
        <v>617015</v>
      </c>
    </row>
    <row r="44" spans="1:13">
      <c r="A44" s="1" t="s">
        <v>1</v>
      </c>
      <c r="B44" s="15" t="s">
        <v>57</v>
      </c>
      <c r="C44" s="53">
        <v>331032</v>
      </c>
      <c r="D44" s="16">
        <v>87609</v>
      </c>
      <c r="E44" s="17">
        <f t="shared" si="3"/>
        <v>418641</v>
      </c>
      <c r="F44" s="52">
        <v>337395</v>
      </c>
      <c r="G44" s="53">
        <v>329796</v>
      </c>
      <c r="H44" s="53">
        <v>287136</v>
      </c>
      <c r="I44" s="53">
        <v>152641</v>
      </c>
      <c r="J44" s="53">
        <v>350435</v>
      </c>
      <c r="K44" s="68">
        <v>303385</v>
      </c>
      <c r="L44" s="17">
        <f t="shared" si="2"/>
        <v>1760788</v>
      </c>
      <c r="M44" s="17">
        <f t="shared" si="0"/>
        <v>2179429</v>
      </c>
    </row>
    <row r="45" spans="1:13">
      <c r="A45" s="1" t="s">
        <v>1</v>
      </c>
      <c r="B45" s="15" t="s">
        <v>58</v>
      </c>
      <c r="C45" s="53">
        <v>310004</v>
      </c>
      <c r="D45" s="16">
        <v>90519</v>
      </c>
      <c r="E45" s="17">
        <f t="shared" si="3"/>
        <v>400523</v>
      </c>
      <c r="F45" s="52">
        <v>320327</v>
      </c>
      <c r="G45" s="53">
        <v>282479</v>
      </c>
      <c r="H45" s="53">
        <v>284691</v>
      </c>
      <c r="I45" s="53">
        <v>136439</v>
      </c>
      <c r="J45" s="53">
        <v>297116</v>
      </c>
      <c r="K45" s="68">
        <v>295541</v>
      </c>
      <c r="L45" s="17">
        <f t="shared" si="2"/>
        <v>1616593</v>
      </c>
      <c r="M45" s="17">
        <f t="shared" si="0"/>
        <v>2017116</v>
      </c>
    </row>
    <row r="46" spans="1:13">
      <c r="A46" s="1" t="s">
        <v>1</v>
      </c>
      <c r="B46" s="15" t="s">
        <v>59</v>
      </c>
      <c r="C46" s="53">
        <v>310004</v>
      </c>
      <c r="D46" s="16">
        <v>90519</v>
      </c>
      <c r="E46" s="17">
        <f t="shared" si="3"/>
        <v>400523</v>
      </c>
      <c r="F46" s="52">
        <v>320327</v>
      </c>
      <c r="G46" s="53">
        <v>282479</v>
      </c>
      <c r="H46" s="53">
        <v>284691</v>
      </c>
      <c r="I46" s="53">
        <v>136439</v>
      </c>
      <c r="J46" s="53">
        <v>297116</v>
      </c>
      <c r="K46" s="68">
        <v>295541</v>
      </c>
      <c r="L46" s="17">
        <f t="shared" si="2"/>
        <v>1616593</v>
      </c>
      <c r="M46" s="17">
        <f t="shared" si="0"/>
        <v>2017116</v>
      </c>
    </row>
    <row r="47" spans="1:13">
      <c r="A47" s="1" t="s">
        <v>1</v>
      </c>
      <c r="B47" s="5" t="s">
        <v>60</v>
      </c>
      <c r="C47" s="51">
        <v>2</v>
      </c>
      <c r="D47" s="6">
        <v>0</v>
      </c>
      <c r="E47" s="7"/>
      <c r="F47" s="50">
        <v>1</v>
      </c>
      <c r="G47" s="51">
        <v>0</v>
      </c>
      <c r="H47" s="51">
        <v>1</v>
      </c>
      <c r="I47" s="51">
        <v>2</v>
      </c>
      <c r="J47" s="51">
        <v>0</v>
      </c>
      <c r="K47" s="67">
        <v>0</v>
      </c>
      <c r="L47" s="7"/>
      <c r="M47" s="7"/>
    </row>
    <row r="48" spans="1:13" ht="19.5" thickBot="1">
      <c r="A48" s="1" t="s">
        <v>1</v>
      </c>
      <c r="B48" s="8" t="s">
        <v>61</v>
      </c>
      <c r="C48" s="55" t="s">
        <v>62</v>
      </c>
      <c r="D48" s="9" t="s">
        <v>62</v>
      </c>
      <c r="E48" s="10"/>
      <c r="F48" s="54" t="s">
        <v>62</v>
      </c>
      <c r="G48" s="55" t="s">
        <v>62</v>
      </c>
      <c r="H48" s="55" t="s">
        <v>62</v>
      </c>
      <c r="I48" s="55" t="s">
        <v>62</v>
      </c>
      <c r="J48" s="55" t="s">
        <v>62</v>
      </c>
      <c r="K48" s="69" t="s">
        <v>62</v>
      </c>
      <c r="L48" s="10"/>
      <c r="M48" s="10"/>
    </row>
  </sheetData>
  <phoneticPr fontId="4"/>
  <pageMargins left="0.31496062992125984" right="0.31496062992125984" top="0.55118110236220474" bottom="0.35433070866141736" header="0.31496062992125984" footer="0.31496062992125984"/>
  <pageSetup paperSize="12"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2023年 4月度給与 (2)</vt:lpstr>
      <vt:lpstr>'2023年 4月度給与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2023-05-11T08:17:31Z</cp:lastPrinted>
  <dcterms:created xsi:type="dcterms:W3CDTF">2023-05-09T02:45:47Z</dcterms:created>
  <dcterms:modified xsi:type="dcterms:W3CDTF">2023-05-11T08:17:36Z</dcterms:modified>
</cp:coreProperties>
</file>