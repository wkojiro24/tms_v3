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4\"/>
    </mc:Choice>
  </mc:AlternateContent>
  <xr:revisionPtr revIDLastSave="0" documentId="13_ncr:1_{7C9AABAE-8E85-446C-8655-9A4F9777F0AB}" xr6:coauthVersionLast="47" xr6:coauthVersionMax="47" xr10:uidLastSave="{00000000-0000-0000-0000-000000000000}"/>
  <bookViews>
    <workbookView xWindow="-120" yWindow="-120" windowWidth="20730" windowHeight="11040" activeTab="1" xr2:uid="{45D07500-2044-405A-BCD4-BF2800B1BD77}"/>
  </bookViews>
  <sheets>
    <sheet name="2023年 4月度給与 (2)" sheetId="3" r:id="rId1"/>
    <sheet name="2023年 4月度給与 (3)" sheetId="4" r:id="rId2"/>
    <sheet name="2023年 4月度給与 (4)" sheetId="5" r:id="rId3"/>
  </sheets>
  <definedNames>
    <definedName name="_xlnm.Print_Area" localSheetId="2">'2023年 4月度給与 (4)'!$A$1:$V$52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4" l="1"/>
  <c r="E54" i="4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G20" i="3"/>
  <c r="AH20" i="3" s="1"/>
  <c r="AG21" i="3"/>
  <c r="AG22" i="3"/>
  <c r="AG23" i="3"/>
  <c r="AH23" i="3" s="1"/>
  <c r="AG24" i="3"/>
  <c r="AH24" i="3" s="1"/>
  <c r="AG25" i="3"/>
  <c r="AG26" i="3"/>
  <c r="AH26" i="3" s="1"/>
  <c r="AG27" i="3"/>
  <c r="AG28" i="3"/>
  <c r="AG29" i="3"/>
  <c r="AH29" i="3" s="1"/>
  <c r="AG30" i="3"/>
  <c r="AH30" i="3" s="1"/>
  <c r="AG31" i="3"/>
  <c r="AH31" i="3" s="1"/>
  <c r="AG32" i="3"/>
  <c r="AH32" i="3" s="1"/>
  <c r="AG33" i="3"/>
  <c r="AG34" i="3"/>
  <c r="AG35" i="3"/>
  <c r="AG36" i="3"/>
  <c r="AG37" i="3"/>
  <c r="AG38" i="3"/>
  <c r="AG39" i="3"/>
  <c r="AG40" i="3"/>
  <c r="AG41" i="3"/>
  <c r="AG42" i="3"/>
  <c r="AH42" i="3" s="1"/>
  <c r="AG43" i="3"/>
  <c r="AH43" i="3" s="1"/>
  <c r="AG44" i="3"/>
  <c r="AH44" i="3" s="1"/>
  <c r="AG45" i="3"/>
  <c r="AG46" i="3"/>
  <c r="AG47" i="3"/>
  <c r="AG48" i="3"/>
  <c r="AG49" i="3"/>
  <c r="AG50" i="3"/>
  <c r="AG19" i="3"/>
  <c r="AG7" i="3"/>
  <c r="AG8" i="3"/>
  <c r="AG9" i="3"/>
  <c r="AG10" i="3"/>
  <c r="AH10" i="3" s="1"/>
  <c r="AG11" i="3"/>
  <c r="AH11" i="3" s="1"/>
  <c r="AG12" i="3"/>
  <c r="AG13" i="3"/>
  <c r="AG14" i="3"/>
  <c r="AG15" i="3"/>
  <c r="AG16" i="3"/>
  <c r="AG17" i="3"/>
  <c r="AG6" i="3"/>
  <c r="AG5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19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H18" i="3" s="1"/>
  <c r="AE6" i="3"/>
  <c r="AE5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19" i="3"/>
  <c r="V7" i="3"/>
  <c r="V8" i="3"/>
  <c r="V9" i="3"/>
  <c r="V10" i="3"/>
  <c r="V11" i="3"/>
  <c r="V12" i="3"/>
  <c r="V13" i="3"/>
  <c r="V14" i="3"/>
  <c r="V15" i="3"/>
  <c r="V16" i="3"/>
  <c r="V17" i="3"/>
  <c r="V18" i="3"/>
  <c r="V6" i="3"/>
  <c r="V5" i="3"/>
  <c r="AH50" i="3" l="1"/>
  <c r="AH38" i="3"/>
  <c r="AH9" i="3"/>
  <c r="AH16" i="3"/>
  <c r="AH49" i="3"/>
  <c r="AH37" i="3"/>
  <c r="AH25" i="3"/>
  <c r="AH36" i="3"/>
  <c r="AH14" i="3"/>
  <c r="AH35" i="3"/>
  <c r="AH46" i="3"/>
  <c r="AH34" i="3"/>
  <c r="AH22" i="3"/>
  <c r="AH15" i="3"/>
  <c r="AH48" i="3"/>
  <c r="AH47" i="3"/>
  <c r="AH17" i="3"/>
  <c r="AH12" i="3"/>
  <c r="AH45" i="3"/>
  <c r="AH33" i="3"/>
  <c r="AH21" i="3"/>
  <c r="AH8" i="3"/>
  <c r="AH5" i="3"/>
  <c r="AH7" i="3"/>
  <c r="AH40" i="3"/>
  <c r="AH28" i="3"/>
  <c r="AH13" i="3"/>
  <c r="AH41" i="3"/>
  <c r="AH6" i="3"/>
  <c r="AH19" i="3"/>
  <c r="AH39" i="3"/>
  <c r="AH27" i="3"/>
</calcChain>
</file>

<file path=xl/sharedStrings.xml><?xml version="1.0" encoding="utf-8"?>
<sst xmlns="http://schemas.openxmlformats.org/spreadsheetml/2006/main" count="481" uniqueCount="112">
  <si>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</si>
  <si>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</si>
  <si>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</si>
  <si>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</si>
  <si>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</si>
  <si>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</si>
  <si>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</si>
  <si>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</si>
  <si>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</si>
  <si>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</si>
  <si>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</si>
  <si>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</si>
  <si>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</si>
  <si>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</si>
  <si>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</si>
  <si>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</si>
  <si>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</si>
  <si>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</si>
  <si>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</si>
  <si>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</si>
  <si>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</si>
  <si>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</si>
  <si>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</si>
  <si>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</si>
  <si>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</si>
  <si>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</si>
  <si>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</si>
  <si>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</si>
  <si>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</si>
  <si>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</si>
  <si>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</si>
  <si>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</si>
  <si>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</si>
  <si>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</si>
  <si>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</si>
  <si>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</si>
  <si>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</si>
  <si>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</si>
  <si>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</si>
  <si>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</si>
  <si>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</si>
  <si>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</si>
  <si>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</si>
  <si>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</si>
  <si>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</si>
  <si>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</si>
  <si>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</si>
  <si>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</si>
  <si>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</si>
  <si>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</si>
  <si>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</si>
  <si>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</si>
  <si>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</si>
  <si>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</si>
  <si>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</si>
  <si>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</si>
  <si>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</si>
  <si>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</si>
  <si>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</si>
  <si>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</si>
  <si>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</si>
  <si>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</si>
  <si>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</si>
  <si>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</si>
  <si>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</si>
  <si>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</si>
  <si>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</si>
  <si>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</si>
  <si>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</si>
  <si>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</si>
  <si>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</si>
  <si>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</si>
  <si>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</si>
  <si>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</si>
  <si>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</si>
  <si>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</si>
  <si>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</si>
  <si>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</si>
  <si>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</si>
  <si>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無事故報奨金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</si>
  <si>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</si>
  <si>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</si>
  <si>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</si>
  <si>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</si>
  <si>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</si>
  <si>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</si>
  <si>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</si>
  <si>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</si>
  <si>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</si>
  <si>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</si>
  <si>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</si>
  <si>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</si>
  <si>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</si>
  <si>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</si>
  <si>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</si>
  <si>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</si>
  <si>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</si>
  <si>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</si>
  <si>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</si>
  <si>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</si>
  <si>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</si>
  <si>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</si>
  <si>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</si>
  <si>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</si>
  <si>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</si>
  <si>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4月度給与</t>
    <phoneticPr fontId="4"/>
  </si>
  <si>
    <t>下山田英治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</si>
  <si>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</si>
  <si>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</si>
  <si>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８名</t>
    <rPh sb="1" eb="2">
      <t>メイ</t>
    </rPh>
    <phoneticPr fontId="3"/>
  </si>
  <si>
    <t>１名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</si>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</sst>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176" fontId="2" fillId="0" borderId="14" xfId="1" applyNumberFormat="1" applyFont="1" applyBorder="1"/>
    <xf numFmtId="176" fontId="2" fillId="0" borderId="13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3" xfId="1" applyNumberFormat="1" applyFont="1" applyBorder="1"/>
    <xf numFmtId="3" fontId="2" fillId="0" borderId="38" xfId="1" applyNumberFormat="1" applyFont="1" applyBorder="1"/>
    <xf numFmtId="49" fontId="2" fillId="0" borderId="32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3" xfId="1" applyNumberFormat="1" applyFont="1" applyBorder="1"/>
    <xf numFmtId="3" fontId="2" fillId="0" borderId="41" xfId="1" applyNumberFormat="1" applyFont="1" applyBorder="1"/>
    <xf numFmtId="3" fontId="2" fillId="0" borderId="46" xfId="1" applyNumberFormat="1" applyFont="1" applyBorder="1"/>
    <xf numFmtId="49" fontId="2" fillId="0" borderId="40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47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left"/>
    </xf>
    <xf numFmtId="0" fontId="2" fillId="0" borderId="4" xfId="1" applyFont="1" applyBorder="1"/>
    <xf numFmtId="49" fontId="2" fillId="0" borderId="48" xfId="1" applyNumberFormat="1" applyFont="1" applyBorder="1" applyAlignment="1">
      <alignment horizontal="left"/>
    </xf>
    <xf numFmtId="2" fontId="2" fillId="0" borderId="49" xfId="1" applyNumberFormat="1" applyFont="1" applyBorder="1"/>
    <xf numFmtId="2" fontId="2" fillId="0" borderId="50" xfId="1" applyNumberFormat="1" applyFont="1" applyBorder="1"/>
    <xf numFmtId="2" fontId="2" fillId="0" borderId="51" xfId="1" applyNumberFormat="1" applyFont="1" applyBorder="1"/>
    <xf numFmtId="2" fontId="2" fillId="0" borderId="48" xfId="1" applyNumberFormat="1" applyFont="1" applyBorder="1"/>
    <xf numFmtId="2" fontId="2" fillId="0" borderId="52" xfId="1" applyNumberFormat="1" applyFont="1" applyBorder="1"/>
    <xf numFmtId="2" fontId="2" fillId="0" borderId="53" xfId="1" applyNumberFormat="1" applyFont="1" applyBorder="1"/>
  </cellXfs>
  <cellStyles count="2">
    <cellStyle name="標準" xfId="0" builtinId="0"/>
    <cellStyle name="標準 2" xfId="1" xr:uid="{51A6AD0E-9DF0-4140-BBF2-E51D2F234F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1068-5E77-4CDD-A4BE-B1482898475D}">
  <dimension ref="A1:AH52"/>
  <sheetViews>
    <sheetView workbookViewId="0">
      <pane xSplit="2" ySplit="4" topLeftCell="C14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34" width="11.25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105</v>
      </c>
    </row>
    <row r="3" spans="1:34">
      <c r="B3" s="11"/>
      <c r="C3" s="31" t="s">
        <v>2</v>
      </c>
      <c r="D3" s="32" t="s">
        <v>3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2" t="s">
        <v>13</v>
      </c>
      <c r="M3" s="32" t="s">
        <v>14</v>
      </c>
      <c r="N3" s="32" t="s">
        <v>15</v>
      </c>
      <c r="O3" s="32" t="s">
        <v>16</v>
      </c>
      <c r="P3" s="32" t="s">
        <v>18</v>
      </c>
      <c r="Q3" s="32" t="s">
        <v>19</v>
      </c>
      <c r="R3" s="32" t="s">
        <v>20</v>
      </c>
      <c r="S3" s="32" t="s">
        <v>21</v>
      </c>
      <c r="T3" s="32" t="s">
        <v>22</v>
      </c>
      <c r="U3" s="55" t="s">
        <v>23</v>
      </c>
      <c r="V3" s="77" t="s">
        <v>107</v>
      </c>
      <c r="W3" s="66" t="s">
        <v>17</v>
      </c>
      <c r="X3" s="32" t="s">
        <v>4</v>
      </c>
      <c r="Y3" s="32" t="s">
        <v>26</v>
      </c>
      <c r="Z3" s="32" t="s">
        <v>27</v>
      </c>
      <c r="AA3" s="32" t="s">
        <v>24</v>
      </c>
      <c r="AB3" s="32" t="s">
        <v>25</v>
      </c>
      <c r="AC3" s="32" t="s">
        <v>28</v>
      </c>
      <c r="AD3" s="79" t="s">
        <v>29</v>
      </c>
      <c r="AE3" s="77" t="s">
        <v>107</v>
      </c>
      <c r="AF3" s="66" t="s">
        <v>5</v>
      </c>
      <c r="AG3" s="80" t="s">
        <v>107</v>
      </c>
      <c r="AH3" s="81" t="s">
        <v>58</v>
      </c>
    </row>
    <row r="4" spans="1:34" ht="19.5" thickBot="1">
      <c r="B4" s="4" t="s">
        <v>30</v>
      </c>
      <c r="C4" s="33" t="s">
        <v>31</v>
      </c>
      <c r="D4" s="34" t="s">
        <v>32</v>
      </c>
      <c r="E4" s="34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4" t="s">
        <v>40</v>
      </c>
      <c r="L4" s="34" t="s">
        <v>41</v>
      </c>
      <c r="M4" s="34" t="s">
        <v>42</v>
      </c>
      <c r="N4" s="34" t="s">
        <v>43</v>
      </c>
      <c r="O4" s="34" t="s">
        <v>44</v>
      </c>
      <c r="P4" s="34" t="s">
        <v>46</v>
      </c>
      <c r="Q4" s="34" t="s">
        <v>47</v>
      </c>
      <c r="R4" s="34" t="s">
        <v>48</v>
      </c>
      <c r="S4" s="34" t="s">
        <v>49</v>
      </c>
      <c r="T4" s="34" t="s">
        <v>50</v>
      </c>
      <c r="U4" s="56" t="s">
        <v>51</v>
      </c>
      <c r="V4" s="78" t="s">
        <v>108</v>
      </c>
      <c r="W4" s="67" t="s">
        <v>45</v>
      </c>
      <c r="X4" s="34" t="s">
        <v>106</v>
      </c>
      <c r="Y4" s="34" t="s">
        <v>54</v>
      </c>
      <c r="Z4" s="34" t="s">
        <v>55</v>
      </c>
      <c r="AA4" s="34" t="s">
        <v>52</v>
      </c>
      <c r="AB4" s="34" t="s">
        <v>53</v>
      </c>
      <c r="AC4" s="34" t="s">
        <v>56</v>
      </c>
      <c r="AD4" s="3" t="s">
        <v>57</v>
      </c>
      <c r="AE4" s="78" t="s">
        <v>109</v>
      </c>
      <c r="AF4" s="67" t="s">
        <v>33</v>
      </c>
      <c r="AG4" s="53" t="s">
        <v>110</v>
      </c>
      <c r="AH4" s="54" t="s">
        <v>111</v>
      </c>
    </row>
    <row r="5" spans="1:34">
      <c r="A5" s="1" t="s">
        <v>1</v>
      </c>
      <c r="B5" s="82" t="s">
        <v>59</v>
      </c>
      <c r="C5" s="83">
        <v>21</v>
      </c>
      <c r="D5" s="84">
        <v>20</v>
      </c>
      <c r="E5" s="84">
        <v>21</v>
      </c>
      <c r="F5" s="84">
        <v>16</v>
      </c>
      <c r="G5" s="84">
        <v>18</v>
      </c>
      <c r="H5" s="84">
        <v>18</v>
      </c>
      <c r="I5" s="84">
        <v>20</v>
      </c>
      <c r="J5" s="84">
        <v>20</v>
      </c>
      <c r="K5" s="84">
        <v>20</v>
      </c>
      <c r="L5" s="84">
        <v>20</v>
      </c>
      <c r="M5" s="84">
        <v>19</v>
      </c>
      <c r="N5" s="84">
        <v>17</v>
      </c>
      <c r="O5" s="84">
        <v>20</v>
      </c>
      <c r="P5" s="84">
        <v>18</v>
      </c>
      <c r="Q5" s="84">
        <v>17</v>
      </c>
      <c r="R5" s="84">
        <v>19</v>
      </c>
      <c r="S5" s="84">
        <v>16</v>
      </c>
      <c r="T5" s="84">
        <v>20</v>
      </c>
      <c r="U5" s="87">
        <v>21</v>
      </c>
      <c r="V5" s="86">
        <f>SUM(C5:U5)</f>
        <v>361</v>
      </c>
      <c r="W5" s="88">
        <v>19</v>
      </c>
      <c r="X5" s="84">
        <v>21</v>
      </c>
      <c r="Y5" s="84">
        <v>14</v>
      </c>
      <c r="Z5" s="84">
        <v>18</v>
      </c>
      <c r="AA5" s="84">
        <v>10</v>
      </c>
      <c r="AB5" s="84">
        <v>10</v>
      </c>
      <c r="AC5" s="84">
        <v>9</v>
      </c>
      <c r="AD5" s="85">
        <v>21</v>
      </c>
      <c r="AE5" s="86">
        <f>SUM(W5:AD5)</f>
        <v>122</v>
      </c>
      <c r="AF5" s="88">
        <v>20</v>
      </c>
      <c r="AG5" s="85">
        <f>SUM(AF5)</f>
        <v>20</v>
      </c>
      <c r="AH5" s="86">
        <f>AG5+AE5+V5</f>
        <v>503</v>
      </c>
    </row>
    <row r="6" spans="1:34">
      <c r="A6" s="1" t="s">
        <v>1</v>
      </c>
      <c r="B6" s="24" t="s">
        <v>60</v>
      </c>
      <c r="C6" s="37">
        <v>2</v>
      </c>
      <c r="D6" s="38">
        <v>4</v>
      </c>
      <c r="E6" s="38">
        <v>0</v>
      </c>
      <c r="F6" s="38">
        <v>3</v>
      </c>
      <c r="G6" s="38">
        <v>2</v>
      </c>
      <c r="H6" s="38">
        <v>3</v>
      </c>
      <c r="I6" s="38">
        <v>3</v>
      </c>
      <c r="J6" s="38">
        <v>3</v>
      </c>
      <c r="K6" s="38">
        <v>4</v>
      </c>
      <c r="L6" s="38">
        <v>1</v>
      </c>
      <c r="M6" s="38">
        <v>2</v>
      </c>
      <c r="N6" s="38">
        <v>4</v>
      </c>
      <c r="O6" s="38">
        <v>3</v>
      </c>
      <c r="P6" s="38">
        <v>3</v>
      </c>
      <c r="Q6" s="38">
        <v>5</v>
      </c>
      <c r="R6" s="38">
        <v>1</v>
      </c>
      <c r="S6" s="38">
        <v>4</v>
      </c>
      <c r="T6" s="38">
        <v>2</v>
      </c>
      <c r="U6" s="58">
        <v>3</v>
      </c>
      <c r="V6" s="26">
        <f>SUM(C6:U6)</f>
        <v>52</v>
      </c>
      <c r="W6" s="69">
        <v>0</v>
      </c>
      <c r="X6" s="38">
        <v>4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25">
        <v>0</v>
      </c>
      <c r="AE6" s="26">
        <f>SUM(W6:AD6)</f>
        <v>4</v>
      </c>
      <c r="AF6" s="69">
        <v>0</v>
      </c>
      <c r="AG6" s="25">
        <f>SUM(AF6)</f>
        <v>0</v>
      </c>
      <c r="AH6" s="26">
        <f t="shared" ref="AH6:AH50" si="0">AG6+AE6+V6</f>
        <v>56</v>
      </c>
    </row>
    <row r="7" spans="1:34">
      <c r="A7" s="1" t="s">
        <v>1</v>
      </c>
      <c r="B7" s="21" t="s">
        <v>61</v>
      </c>
      <c r="C7" s="35">
        <v>2</v>
      </c>
      <c r="D7" s="36">
        <v>1</v>
      </c>
      <c r="E7" s="36">
        <v>2</v>
      </c>
      <c r="F7" s="36">
        <v>3</v>
      </c>
      <c r="G7" s="36">
        <v>2</v>
      </c>
      <c r="H7" s="36">
        <v>1</v>
      </c>
      <c r="I7" s="36">
        <v>1</v>
      </c>
      <c r="J7" s="36">
        <v>1</v>
      </c>
      <c r="K7" s="36">
        <v>1</v>
      </c>
      <c r="L7" s="36">
        <v>3</v>
      </c>
      <c r="M7" s="36">
        <v>3</v>
      </c>
      <c r="N7" s="36">
        <v>3</v>
      </c>
      <c r="O7" s="36">
        <v>1</v>
      </c>
      <c r="P7" s="36">
        <v>1</v>
      </c>
      <c r="Q7" s="36">
        <v>2</v>
      </c>
      <c r="R7" s="36">
        <v>4</v>
      </c>
      <c r="S7" s="36">
        <v>2</v>
      </c>
      <c r="T7" s="36">
        <v>3</v>
      </c>
      <c r="U7" s="57">
        <v>1</v>
      </c>
      <c r="V7" s="23">
        <f t="shared" ref="V7:V18" si="1">SUM(C7:U7)</f>
        <v>37</v>
      </c>
      <c r="W7" s="68">
        <v>0</v>
      </c>
      <c r="X7" s="36">
        <v>1</v>
      </c>
      <c r="Y7" s="36">
        <v>0</v>
      </c>
      <c r="Z7" s="36">
        <v>1</v>
      </c>
      <c r="AA7" s="36">
        <v>0</v>
      </c>
      <c r="AB7" s="36">
        <v>0</v>
      </c>
      <c r="AC7" s="36">
        <v>0</v>
      </c>
      <c r="AD7" s="22">
        <v>0</v>
      </c>
      <c r="AE7" s="23">
        <f t="shared" ref="AE7:AE18" si="2">SUM(W7:AD7)</f>
        <v>2</v>
      </c>
      <c r="AF7" s="68">
        <v>0</v>
      </c>
      <c r="AG7" s="22">
        <f t="shared" ref="AG7:AG17" si="3">SUM(AF7)</f>
        <v>0</v>
      </c>
      <c r="AH7" s="23">
        <f t="shared" si="0"/>
        <v>39</v>
      </c>
    </row>
    <row r="8" spans="1:34">
      <c r="A8" s="1" t="s">
        <v>1</v>
      </c>
      <c r="B8" s="24" t="s">
        <v>62</v>
      </c>
      <c r="C8" s="37">
        <v>0</v>
      </c>
      <c r="D8" s="38">
        <v>0</v>
      </c>
      <c r="E8" s="38">
        <v>0</v>
      </c>
      <c r="F8" s="38">
        <v>1</v>
      </c>
      <c r="G8" s="38">
        <v>1</v>
      </c>
      <c r="H8" s="38">
        <v>1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3</v>
      </c>
      <c r="O8" s="38">
        <v>0</v>
      </c>
      <c r="P8" s="38">
        <v>0</v>
      </c>
      <c r="Q8" s="38">
        <v>4</v>
      </c>
      <c r="R8" s="38">
        <v>2</v>
      </c>
      <c r="S8" s="38">
        <v>2</v>
      </c>
      <c r="T8" s="38">
        <v>0</v>
      </c>
      <c r="U8" s="58">
        <v>0</v>
      </c>
      <c r="V8" s="26">
        <f t="shared" si="1"/>
        <v>14</v>
      </c>
      <c r="W8" s="69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25">
        <v>0</v>
      </c>
      <c r="AE8" s="26">
        <f t="shared" si="2"/>
        <v>0</v>
      </c>
      <c r="AF8" s="69">
        <v>0</v>
      </c>
      <c r="AG8" s="25">
        <f t="shared" si="3"/>
        <v>0</v>
      </c>
      <c r="AH8" s="26">
        <f t="shared" si="0"/>
        <v>14</v>
      </c>
    </row>
    <row r="9" spans="1:34">
      <c r="A9" s="1" t="s">
        <v>1</v>
      </c>
      <c r="B9" s="24" t="s">
        <v>63</v>
      </c>
      <c r="C9" s="37">
        <v>0</v>
      </c>
      <c r="D9" s="38">
        <v>1</v>
      </c>
      <c r="E9" s="38">
        <v>0</v>
      </c>
      <c r="F9" s="38">
        <v>4</v>
      </c>
      <c r="G9" s="38">
        <v>2</v>
      </c>
      <c r="H9" s="38">
        <v>2</v>
      </c>
      <c r="I9" s="38">
        <v>1</v>
      </c>
      <c r="J9" s="38">
        <v>1</v>
      </c>
      <c r="K9" s="38">
        <v>1</v>
      </c>
      <c r="L9" s="38">
        <v>1</v>
      </c>
      <c r="M9" s="38">
        <v>2</v>
      </c>
      <c r="N9" s="38">
        <v>1</v>
      </c>
      <c r="O9" s="38">
        <v>1</v>
      </c>
      <c r="P9" s="38">
        <v>3</v>
      </c>
      <c r="Q9" s="38">
        <v>0</v>
      </c>
      <c r="R9" s="38">
        <v>0</v>
      </c>
      <c r="S9" s="38">
        <v>3</v>
      </c>
      <c r="T9" s="38">
        <v>1</v>
      </c>
      <c r="U9" s="58">
        <v>0</v>
      </c>
      <c r="V9" s="26">
        <f t="shared" si="1"/>
        <v>24</v>
      </c>
      <c r="W9" s="69">
        <v>2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25">
        <v>0</v>
      </c>
      <c r="AE9" s="26">
        <f t="shared" si="2"/>
        <v>2</v>
      </c>
      <c r="AF9" s="69">
        <v>1</v>
      </c>
      <c r="AG9" s="25">
        <f t="shared" si="3"/>
        <v>1</v>
      </c>
      <c r="AH9" s="26">
        <f t="shared" si="0"/>
        <v>27</v>
      </c>
    </row>
    <row r="10" spans="1:34">
      <c r="A10" s="1" t="s">
        <v>1</v>
      </c>
      <c r="B10" s="24" t="s">
        <v>64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59">
        <v>0</v>
      </c>
      <c r="V10" s="28">
        <f t="shared" si="1"/>
        <v>0</v>
      </c>
      <c r="W10" s="70">
        <v>0</v>
      </c>
      <c r="X10" s="40">
        <v>0</v>
      </c>
      <c r="Y10" s="40">
        <v>3.625</v>
      </c>
      <c r="Z10" s="40">
        <v>4.041666666666667</v>
      </c>
      <c r="AA10" s="40">
        <v>2.9166666666666665</v>
      </c>
      <c r="AB10" s="40">
        <v>2.9583333333333335</v>
      </c>
      <c r="AC10" s="40">
        <v>2.8333333333333335</v>
      </c>
      <c r="AD10" s="27">
        <v>4.5</v>
      </c>
      <c r="AE10" s="28">
        <f t="shared" si="2"/>
        <v>20.875</v>
      </c>
      <c r="AF10" s="70">
        <v>0</v>
      </c>
      <c r="AG10" s="27">
        <f t="shared" si="3"/>
        <v>0</v>
      </c>
      <c r="AH10" s="28">
        <f t="shared" si="0"/>
        <v>20.875</v>
      </c>
    </row>
    <row r="11" spans="1:34">
      <c r="A11" s="1" t="s">
        <v>1</v>
      </c>
      <c r="B11" s="24" t="s">
        <v>65</v>
      </c>
      <c r="C11" s="39">
        <v>1.1666666666666667</v>
      </c>
      <c r="D11" s="40">
        <v>1.7916666666666665</v>
      </c>
      <c r="E11" s="40">
        <v>0.95833333333333337</v>
      </c>
      <c r="F11" s="40">
        <v>2.375</v>
      </c>
      <c r="G11" s="40">
        <v>2.4166666666666665</v>
      </c>
      <c r="H11" s="40">
        <v>2.875</v>
      </c>
      <c r="I11" s="40">
        <v>2.4166666666666665</v>
      </c>
      <c r="J11" s="40">
        <v>2.3333333333333335</v>
      </c>
      <c r="K11" s="40">
        <v>1.9166666666666665</v>
      </c>
      <c r="L11" s="40">
        <v>2.125</v>
      </c>
      <c r="M11" s="40">
        <v>1.8333333333333335</v>
      </c>
      <c r="N11" s="40">
        <v>1.4583333333333333</v>
      </c>
      <c r="O11" s="40">
        <v>0.375</v>
      </c>
      <c r="P11" s="40">
        <v>3.2083333333333335</v>
      </c>
      <c r="Q11" s="40">
        <v>1.125</v>
      </c>
      <c r="R11" s="40">
        <v>1.75</v>
      </c>
      <c r="S11" s="40">
        <v>2.5</v>
      </c>
      <c r="T11" s="40">
        <v>1.375</v>
      </c>
      <c r="U11" s="59">
        <v>2.2916666666666665</v>
      </c>
      <c r="V11" s="28">
        <f t="shared" si="1"/>
        <v>36.291666666666664</v>
      </c>
      <c r="W11" s="70">
        <v>0</v>
      </c>
      <c r="X11" s="40">
        <v>1.3333333333333333</v>
      </c>
      <c r="Y11" s="40">
        <v>0</v>
      </c>
      <c r="Z11" s="40">
        <v>0</v>
      </c>
      <c r="AA11" s="40">
        <v>0</v>
      </c>
      <c r="AB11" s="40">
        <v>0</v>
      </c>
      <c r="AC11" s="40">
        <v>4.1666666666666664E-2</v>
      </c>
      <c r="AD11" s="27">
        <v>0</v>
      </c>
      <c r="AE11" s="28">
        <f t="shared" si="2"/>
        <v>1.375</v>
      </c>
      <c r="AF11" s="70">
        <v>0</v>
      </c>
      <c r="AG11" s="27">
        <f t="shared" si="3"/>
        <v>0</v>
      </c>
      <c r="AH11" s="28">
        <f t="shared" si="0"/>
        <v>37.666666666666664</v>
      </c>
    </row>
    <row r="12" spans="1:34">
      <c r="A12" s="1" t="s">
        <v>1</v>
      </c>
      <c r="B12" s="24" t="s">
        <v>66</v>
      </c>
      <c r="C12" s="39">
        <v>0.5</v>
      </c>
      <c r="D12" s="40">
        <v>1.2083333333333333</v>
      </c>
      <c r="E12" s="40">
        <v>0</v>
      </c>
      <c r="F12" s="40">
        <v>0.79166666666666663</v>
      </c>
      <c r="G12" s="40">
        <v>0.29166666666666669</v>
      </c>
      <c r="H12" s="40">
        <v>1.2916666666666667</v>
      </c>
      <c r="I12" s="40">
        <v>1</v>
      </c>
      <c r="J12" s="40">
        <v>0.91666666666666663</v>
      </c>
      <c r="K12" s="40">
        <v>1.4583333333333333</v>
      </c>
      <c r="L12" s="40">
        <v>0.41666666666666669</v>
      </c>
      <c r="M12" s="40">
        <v>0.95833333333333337</v>
      </c>
      <c r="N12" s="40">
        <v>0.79166666666666663</v>
      </c>
      <c r="O12" s="40">
        <v>0.79166666666666663</v>
      </c>
      <c r="P12" s="40">
        <v>0.95833333333333337</v>
      </c>
      <c r="Q12" s="40">
        <v>0.79166666666666663</v>
      </c>
      <c r="R12" s="40">
        <v>0</v>
      </c>
      <c r="S12" s="40">
        <v>1.4166666666666667</v>
      </c>
      <c r="T12" s="40">
        <v>0.58333333333333337</v>
      </c>
      <c r="U12" s="59">
        <v>0.83333333333333337</v>
      </c>
      <c r="V12" s="28">
        <f t="shared" si="1"/>
        <v>15</v>
      </c>
      <c r="W12" s="70">
        <v>0</v>
      </c>
      <c r="X12" s="40">
        <v>0.83333333333333337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27">
        <v>0</v>
      </c>
      <c r="AE12" s="28">
        <f t="shared" si="2"/>
        <v>0.83333333333333337</v>
      </c>
      <c r="AF12" s="70">
        <v>0</v>
      </c>
      <c r="AG12" s="27">
        <f t="shared" si="3"/>
        <v>0</v>
      </c>
      <c r="AH12" s="28">
        <f t="shared" si="0"/>
        <v>15.833333333333334</v>
      </c>
    </row>
    <row r="13" spans="1:34">
      <c r="A13" s="1" t="s">
        <v>1</v>
      </c>
      <c r="B13" s="24" t="s">
        <v>67</v>
      </c>
      <c r="C13" s="39">
        <v>0.79166666666666663</v>
      </c>
      <c r="D13" s="40">
        <v>0.375</v>
      </c>
      <c r="E13" s="40">
        <v>0.75</v>
      </c>
      <c r="F13" s="40">
        <v>1</v>
      </c>
      <c r="G13" s="40">
        <v>0.54166666666666663</v>
      </c>
      <c r="H13" s="40">
        <v>0</v>
      </c>
      <c r="I13" s="40">
        <v>0.375</v>
      </c>
      <c r="J13" s="40">
        <v>0.29166666666666669</v>
      </c>
      <c r="K13" s="40">
        <v>0.41666666666666669</v>
      </c>
      <c r="L13" s="40">
        <v>0.91666666666666663</v>
      </c>
      <c r="M13" s="40">
        <v>1.0416666666666667</v>
      </c>
      <c r="N13" s="40">
        <v>0.875</v>
      </c>
      <c r="O13" s="40">
        <v>0.25</v>
      </c>
      <c r="P13" s="40">
        <v>0.5</v>
      </c>
      <c r="Q13" s="40">
        <v>0.45833333333333331</v>
      </c>
      <c r="R13" s="40">
        <v>1.2916666666666667</v>
      </c>
      <c r="S13" s="40">
        <v>0.33333333333333331</v>
      </c>
      <c r="T13" s="40">
        <v>1</v>
      </c>
      <c r="U13" s="59">
        <v>0.29166666666666669</v>
      </c>
      <c r="V13" s="28">
        <f t="shared" si="1"/>
        <v>11.5</v>
      </c>
      <c r="W13" s="70">
        <v>0</v>
      </c>
      <c r="X13" s="40">
        <v>8.3333333333333329E-2</v>
      </c>
      <c r="Y13" s="40">
        <v>0</v>
      </c>
      <c r="Z13" s="40">
        <v>0.125</v>
      </c>
      <c r="AA13" s="40">
        <v>0</v>
      </c>
      <c r="AB13" s="40">
        <v>0</v>
      </c>
      <c r="AC13" s="40">
        <v>0</v>
      </c>
      <c r="AD13" s="27">
        <v>0</v>
      </c>
      <c r="AE13" s="28">
        <f t="shared" si="2"/>
        <v>0.20833333333333331</v>
      </c>
      <c r="AF13" s="70">
        <v>0</v>
      </c>
      <c r="AG13" s="27">
        <f t="shared" si="3"/>
        <v>0</v>
      </c>
      <c r="AH13" s="28">
        <f t="shared" si="0"/>
        <v>11.708333333333334</v>
      </c>
    </row>
    <row r="14" spans="1:34">
      <c r="A14" s="1" t="s">
        <v>1</v>
      </c>
      <c r="B14" s="24" t="s">
        <v>68</v>
      </c>
      <c r="C14" s="39">
        <v>0</v>
      </c>
      <c r="D14" s="40">
        <v>0</v>
      </c>
      <c r="E14" s="40">
        <v>0</v>
      </c>
      <c r="F14" s="40">
        <v>0.125</v>
      </c>
      <c r="G14" s="40">
        <v>0.20833333333333334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0.625</v>
      </c>
      <c r="O14" s="40">
        <v>0</v>
      </c>
      <c r="P14" s="40">
        <v>0</v>
      </c>
      <c r="Q14" s="40">
        <v>1.0833333333333333</v>
      </c>
      <c r="R14" s="40">
        <v>0.45833333333333331</v>
      </c>
      <c r="S14" s="40">
        <v>0.16666666666666666</v>
      </c>
      <c r="T14" s="40">
        <v>0</v>
      </c>
      <c r="U14" s="59">
        <v>0</v>
      </c>
      <c r="V14" s="28">
        <f t="shared" si="1"/>
        <v>2.6666666666666665</v>
      </c>
      <c r="W14" s="7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27">
        <v>0</v>
      </c>
      <c r="AE14" s="28">
        <f t="shared" si="2"/>
        <v>0</v>
      </c>
      <c r="AF14" s="70">
        <v>0</v>
      </c>
      <c r="AG14" s="27">
        <f t="shared" si="3"/>
        <v>0</v>
      </c>
      <c r="AH14" s="28">
        <f t="shared" si="0"/>
        <v>2.6666666666666665</v>
      </c>
    </row>
    <row r="15" spans="1:34">
      <c r="A15" s="1" t="s">
        <v>1</v>
      </c>
      <c r="B15" s="24" t="s">
        <v>69</v>
      </c>
      <c r="C15" s="39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0.33333333333333331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0.45833333333333331</v>
      </c>
      <c r="O15" s="40">
        <v>0</v>
      </c>
      <c r="P15" s="40">
        <v>0</v>
      </c>
      <c r="Q15" s="40">
        <v>0.375</v>
      </c>
      <c r="R15" s="40">
        <v>0.41666666666666669</v>
      </c>
      <c r="S15" s="40">
        <v>8.3333333333333329E-2</v>
      </c>
      <c r="T15" s="40">
        <v>0</v>
      </c>
      <c r="U15" s="59">
        <v>0</v>
      </c>
      <c r="V15" s="28">
        <f t="shared" si="1"/>
        <v>1.6666666666666665</v>
      </c>
      <c r="W15" s="7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27">
        <v>0</v>
      </c>
      <c r="AE15" s="28">
        <f t="shared" si="2"/>
        <v>0</v>
      </c>
      <c r="AF15" s="70">
        <v>0</v>
      </c>
      <c r="AG15" s="27">
        <f t="shared" si="3"/>
        <v>0</v>
      </c>
      <c r="AH15" s="28">
        <f t="shared" si="0"/>
        <v>1.6666666666666665</v>
      </c>
    </row>
    <row r="16" spans="1:34">
      <c r="A16" s="1" t="s">
        <v>1</v>
      </c>
      <c r="B16" s="24" t="s">
        <v>70</v>
      </c>
      <c r="C16" s="39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0.375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0.83333333333333337</v>
      </c>
      <c r="Q16" s="40">
        <v>0</v>
      </c>
      <c r="R16" s="40">
        <v>0</v>
      </c>
      <c r="S16" s="40">
        <v>0</v>
      </c>
      <c r="T16" s="40">
        <v>0</v>
      </c>
      <c r="U16" s="59">
        <v>0</v>
      </c>
      <c r="V16" s="28">
        <f t="shared" si="1"/>
        <v>1.2083333333333335</v>
      </c>
      <c r="W16" s="7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27">
        <v>0</v>
      </c>
      <c r="AE16" s="28">
        <f t="shared" si="2"/>
        <v>0</v>
      </c>
      <c r="AF16" s="70">
        <v>0</v>
      </c>
      <c r="AG16" s="27">
        <f t="shared" si="3"/>
        <v>0</v>
      </c>
      <c r="AH16" s="28">
        <f t="shared" si="0"/>
        <v>1.2083333333333335</v>
      </c>
    </row>
    <row r="17" spans="1:34">
      <c r="A17" s="1" t="s">
        <v>1</v>
      </c>
      <c r="B17" s="24" t="s">
        <v>71</v>
      </c>
      <c r="C17" s="39">
        <v>0.25</v>
      </c>
      <c r="D17" s="40">
        <v>4.1666666666666664E-2</v>
      </c>
      <c r="E17" s="40">
        <v>0</v>
      </c>
      <c r="F17" s="40">
        <v>0.79166666666666663</v>
      </c>
      <c r="G17" s="40">
        <v>1.2916666666666667</v>
      </c>
      <c r="H17" s="40">
        <v>1.4583333333333333</v>
      </c>
      <c r="I17" s="40">
        <v>0.20833333333333334</v>
      </c>
      <c r="J17" s="40">
        <v>8.3333333333333329E-2</v>
      </c>
      <c r="K17" s="40">
        <v>8.3333333333333329E-2</v>
      </c>
      <c r="L17" s="40">
        <v>0.5</v>
      </c>
      <c r="M17" s="40">
        <v>0.54166666666666663</v>
      </c>
      <c r="N17" s="40">
        <v>1.625</v>
      </c>
      <c r="O17" s="40">
        <v>0</v>
      </c>
      <c r="P17" s="40">
        <v>0.91666666666666663</v>
      </c>
      <c r="Q17" s="40">
        <v>1</v>
      </c>
      <c r="R17" s="40">
        <v>0.95833333333333337</v>
      </c>
      <c r="S17" s="40">
        <v>1.0416666666666667</v>
      </c>
      <c r="T17" s="40">
        <v>4.1666666666666664E-2</v>
      </c>
      <c r="U17" s="59">
        <v>8.3333333333333329E-2</v>
      </c>
      <c r="V17" s="28">
        <f t="shared" si="1"/>
        <v>10.916666666666666</v>
      </c>
      <c r="W17" s="70">
        <v>4.1666666666666664E-2</v>
      </c>
      <c r="X17" s="40">
        <v>8.3333333333333329E-2</v>
      </c>
      <c r="Y17" s="40">
        <v>0</v>
      </c>
      <c r="Z17" s="40">
        <v>0</v>
      </c>
      <c r="AA17" s="40">
        <v>2.0833333333333335</v>
      </c>
      <c r="AB17" s="40">
        <v>2.0833333333333335</v>
      </c>
      <c r="AC17" s="40">
        <v>0.83333333333333337</v>
      </c>
      <c r="AD17" s="27">
        <v>1.25</v>
      </c>
      <c r="AE17" s="28">
        <f t="shared" si="2"/>
        <v>6.375</v>
      </c>
      <c r="AF17" s="70">
        <v>0</v>
      </c>
      <c r="AG17" s="27">
        <f t="shared" si="3"/>
        <v>0</v>
      </c>
      <c r="AH17" s="28">
        <f t="shared" si="0"/>
        <v>17.291666666666664</v>
      </c>
    </row>
    <row r="18" spans="1:34">
      <c r="A18" s="1" t="s">
        <v>1</v>
      </c>
      <c r="B18" s="12" t="s">
        <v>72</v>
      </c>
      <c r="C18" s="41">
        <v>22</v>
      </c>
      <c r="D18" s="42">
        <v>19</v>
      </c>
      <c r="E18" s="42">
        <v>40</v>
      </c>
      <c r="F18" s="42">
        <v>36</v>
      </c>
      <c r="G18" s="42">
        <v>38</v>
      </c>
      <c r="H18" s="42">
        <v>38</v>
      </c>
      <c r="I18" s="42">
        <v>35</v>
      </c>
      <c r="J18" s="42">
        <v>27</v>
      </c>
      <c r="K18" s="42">
        <v>39</v>
      </c>
      <c r="L18" s="42">
        <v>39</v>
      </c>
      <c r="M18" s="42">
        <v>18</v>
      </c>
      <c r="N18" s="42">
        <v>19</v>
      </c>
      <c r="O18" s="42">
        <v>33</v>
      </c>
      <c r="P18" s="42">
        <v>17</v>
      </c>
      <c r="Q18" s="42">
        <v>26</v>
      </c>
      <c r="R18" s="42">
        <v>15</v>
      </c>
      <c r="S18" s="42">
        <v>11</v>
      </c>
      <c r="T18" s="42">
        <v>15</v>
      </c>
      <c r="U18" s="60">
        <v>0</v>
      </c>
      <c r="V18" s="14">
        <f t="shared" si="1"/>
        <v>487</v>
      </c>
      <c r="W18" s="71">
        <v>32</v>
      </c>
      <c r="X18" s="42">
        <v>40</v>
      </c>
      <c r="Y18" s="42">
        <v>22</v>
      </c>
      <c r="Z18" s="42">
        <v>22</v>
      </c>
      <c r="AA18" s="42">
        <v>7</v>
      </c>
      <c r="AB18" s="42">
        <v>6</v>
      </c>
      <c r="AC18" s="42">
        <v>5</v>
      </c>
      <c r="AD18" s="13">
        <v>20</v>
      </c>
      <c r="AE18" s="14">
        <f t="shared" si="2"/>
        <v>154</v>
      </c>
      <c r="AF18" s="71">
        <v>39</v>
      </c>
      <c r="AG18" s="13"/>
      <c r="AH18" s="14">
        <f t="shared" si="0"/>
        <v>641</v>
      </c>
    </row>
    <row r="19" spans="1:34">
      <c r="A19" s="1" t="s">
        <v>1</v>
      </c>
      <c r="B19" s="18" t="s">
        <v>73</v>
      </c>
      <c r="C19" s="43">
        <v>177000</v>
      </c>
      <c r="D19" s="44">
        <v>187000</v>
      </c>
      <c r="E19" s="44">
        <v>187000</v>
      </c>
      <c r="F19" s="44">
        <v>192000</v>
      </c>
      <c r="G19" s="44">
        <v>187000</v>
      </c>
      <c r="H19" s="44">
        <v>192000</v>
      </c>
      <c r="I19" s="44">
        <v>177000</v>
      </c>
      <c r="J19" s="44">
        <v>177000</v>
      </c>
      <c r="K19" s="44">
        <v>177000</v>
      </c>
      <c r="L19" s="44">
        <v>187000</v>
      </c>
      <c r="M19" s="44">
        <v>177000</v>
      </c>
      <c r="N19" s="44">
        <v>177000</v>
      </c>
      <c r="O19" s="44">
        <v>187000</v>
      </c>
      <c r="P19" s="44">
        <v>170000</v>
      </c>
      <c r="Q19" s="44">
        <v>175000</v>
      </c>
      <c r="R19" s="44">
        <v>170000</v>
      </c>
      <c r="S19" s="44">
        <v>170000</v>
      </c>
      <c r="T19" s="44">
        <v>170000</v>
      </c>
      <c r="U19" s="61">
        <v>170000</v>
      </c>
      <c r="V19" s="20">
        <f>SUM(C19:U19)</f>
        <v>3406000</v>
      </c>
      <c r="W19" s="72">
        <v>355000</v>
      </c>
      <c r="X19" s="44">
        <v>270000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19">
        <v>0</v>
      </c>
      <c r="AE19" s="20">
        <f>SUM(W19:AD19)</f>
        <v>625000</v>
      </c>
      <c r="AF19" s="72">
        <v>365000</v>
      </c>
      <c r="AG19" s="19">
        <f>SUM(AF19)</f>
        <v>365000</v>
      </c>
      <c r="AH19" s="20">
        <f t="shared" si="0"/>
        <v>4396000</v>
      </c>
    </row>
    <row r="20" spans="1:34">
      <c r="A20" s="1" t="s">
        <v>1</v>
      </c>
      <c r="B20" s="24" t="s">
        <v>74</v>
      </c>
      <c r="C20" s="45">
        <v>0</v>
      </c>
      <c r="D20" s="46">
        <v>0</v>
      </c>
      <c r="E20" s="46">
        <v>20000</v>
      </c>
      <c r="F20" s="46">
        <v>5000</v>
      </c>
      <c r="G20" s="46">
        <v>5000</v>
      </c>
      <c r="H20" s="46">
        <v>5000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62">
        <v>0</v>
      </c>
      <c r="V20" s="30">
        <f t="shared" ref="V20:V50" si="4">SUM(C20:U20)</f>
        <v>35000</v>
      </c>
      <c r="W20" s="73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29">
        <v>0</v>
      </c>
      <c r="AE20" s="30">
        <f t="shared" ref="AE20:AE50" si="5">SUM(W20:AD20)</f>
        <v>0</v>
      </c>
      <c r="AF20" s="73">
        <v>0</v>
      </c>
      <c r="AG20" s="29">
        <f t="shared" ref="AG20:AG50" si="6">SUM(AF20)</f>
        <v>0</v>
      </c>
      <c r="AH20" s="30">
        <f t="shared" si="0"/>
        <v>35000</v>
      </c>
    </row>
    <row r="21" spans="1:34">
      <c r="A21" s="1" t="s">
        <v>1</v>
      </c>
      <c r="B21" s="24" t="s">
        <v>75</v>
      </c>
      <c r="C21" s="45">
        <v>0</v>
      </c>
      <c r="D21" s="46">
        <v>0</v>
      </c>
      <c r="E21" s="46">
        <v>3000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62">
        <v>0</v>
      </c>
      <c r="V21" s="30">
        <f t="shared" si="4"/>
        <v>3000</v>
      </c>
      <c r="W21" s="73">
        <v>0</v>
      </c>
      <c r="X21" s="46">
        <v>3000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29">
        <v>0</v>
      </c>
      <c r="AE21" s="30">
        <f t="shared" si="5"/>
        <v>3000</v>
      </c>
      <c r="AF21" s="73">
        <v>0</v>
      </c>
      <c r="AG21" s="29">
        <f t="shared" si="6"/>
        <v>0</v>
      </c>
      <c r="AH21" s="30">
        <f t="shared" si="0"/>
        <v>6000</v>
      </c>
    </row>
    <row r="22" spans="1:34">
      <c r="A22" s="1" t="s">
        <v>1</v>
      </c>
      <c r="B22" s="24" t="s">
        <v>76</v>
      </c>
      <c r="C22" s="45">
        <v>0</v>
      </c>
      <c r="D22" s="46">
        <v>0</v>
      </c>
      <c r="E22" s="46">
        <v>78859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37296</v>
      </c>
      <c r="M22" s="46">
        <v>0</v>
      </c>
      <c r="N22" s="46">
        <v>0</v>
      </c>
      <c r="O22" s="46">
        <v>78444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62">
        <v>0</v>
      </c>
      <c r="V22" s="30">
        <f t="shared" si="4"/>
        <v>194599</v>
      </c>
      <c r="W22" s="73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29">
        <v>0</v>
      </c>
      <c r="AE22" s="30">
        <f t="shared" si="5"/>
        <v>0</v>
      </c>
      <c r="AF22" s="73">
        <v>0</v>
      </c>
      <c r="AG22" s="29">
        <f t="shared" si="6"/>
        <v>0</v>
      </c>
      <c r="AH22" s="30">
        <f t="shared" si="0"/>
        <v>194599</v>
      </c>
    </row>
    <row r="23" spans="1:34">
      <c r="A23" s="1" t="s">
        <v>1</v>
      </c>
      <c r="B23" s="24" t="s">
        <v>77</v>
      </c>
      <c r="C23" s="45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62">
        <v>0</v>
      </c>
      <c r="V23" s="30">
        <f t="shared" si="4"/>
        <v>0</v>
      </c>
      <c r="W23" s="73">
        <v>0</v>
      </c>
      <c r="X23" s="46">
        <v>1000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29">
        <v>0</v>
      </c>
      <c r="AE23" s="30">
        <f t="shared" si="5"/>
        <v>1000</v>
      </c>
      <c r="AF23" s="73">
        <v>0</v>
      </c>
      <c r="AG23" s="29">
        <f t="shared" si="6"/>
        <v>0</v>
      </c>
      <c r="AH23" s="30">
        <f t="shared" si="0"/>
        <v>1000</v>
      </c>
    </row>
    <row r="24" spans="1:34">
      <c r="A24" s="1" t="s">
        <v>1</v>
      </c>
      <c r="B24" s="24" t="s">
        <v>78</v>
      </c>
      <c r="C24" s="45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62">
        <v>0</v>
      </c>
      <c r="V24" s="30">
        <f t="shared" si="4"/>
        <v>0</v>
      </c>
      <c r="W24" s="73">
        <v>0</v>
      </c>
      <c r="X24" s="46">
        <v>0</v>
      </c>
      <c r="Y24" s="46">
        <v>81780</v>
      </c>
      <c r="Z24" s="46">
        <v>91180</v>
      </c>
      <c r="AA24" s="46">
        <v>60200</v>
      </c>
      <c r="AB24" s="46">
        <v>61060</v>
      </c>
      <c r="AC24" s="46">
        <v>58480</v>
      </c>
      <c r="AD24" s="29">
        <v>92880</v>
      </c>
      <c r="AE24" s="30">
        <f t="shared" si="5"/>
        <v>445580</v>
      </c>
      <c r="AF24" s="73">
        <v>0</v>
      </c>
      <c r="AG24" s="29">
        <f t="shared" si="6"/>
        <v>0</v>
      </c>
      <c r="AH24" s="30">
        <f t="shared" si="0"/>
        <v>445580</v>
      </c>
    </row>
    <row r="25" spans="1:34">
      <c r="A25" s="1" t="s">
        <v>1</v>
      </c>
      <c r="B25" s="24" t="s">
        <v>79</v>
      </c>
      <c r="C25" s="45">
        <v>29000</v>
      </c>
      <c r="D25" s="46">
        <v>30200</v>
      </c>
      <c r="E25" s="46">
        <v>26200</v>
      </c>
      <c r="F25" s="46">
        <v>29800</v>
      </c>
      <c r="G25" s="46">
        <v>0</v>
      </c>
      <c r="H25" s="46">
        <v>27400</v>
      </c>
      <c r="I25" s="46">
        <v>28400</v>
      </c>
      <c r="J25" s="46">
        <v>27800</v>
      </c>
      <c r="K25" s="46">
        <v>29400</v>
      </c>
      <c r="L25" s="46">
        <v>29000</v>
      </c>
      <c r="M25" s="46">
        <v>14600</v>
      </c>
      <c r="N25" s="46">
        <v>14800</v>
      </c>
      <c r="O25" s="46">
        <v>29200</v>
      </c>
      <c r="P25" s="46">
        <v>12700</v>
      </c>
      <c r="Q25" s="46">
        <v>13200</v>
      </c>
      <c r="R25" s="46">
        <v>0</v>
      </c>
      <c r="S25" s="46">
        <v>0</v>
      </c>
      <c r="T25" s="46">
        <v>0</v>
      </c>
      <c r="U25" s="62">
        <v>0</v>
      </c>
      <c r="V25" s="30">
        <f t="shared" si="4"/>
        <v>341700</v>
      </c>
      <c r="W25" s="73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29">
        <v>0</v>
      </c>
      <c r="AE25" s="30">
        <f t="shared" si="5"/>
        <v>0</v>
      </c>
      <c r="AF25" s="73">
        <v>0</v>
      </c>
      <c r="AG25" s="29">
        <f t="shared" si="6"/>
        <v>0</v>
      </c>
      <c r="AH25" s="30">
        <f t="shared" si="0"/>
        <v>341700</v>
      </c>
    </row>
    <row r="26" spans="1:34">
      <c r="A26" s="1" t="s">
        <v>1</v>
      </c>
      <c r="B26" s="24" t="s">
        <v>80</v>
      </c>
      <c r="C26" s="45">
        <v>2000</v>
      </c>
      <c r="D26" s="46">
        <v>2000</v>
      </c>
      <c r="E26" s="46">
        <v>2000</v>
      </c>
      <c r="F26" s="46">
        <v>2000</v>
      </c>
      <c r="G26" s="46">
        <v>0</v>
      </c>
      <c r="H26" s="46">
        <v>2000</v>
      </c>
      <c r="I26" s="46">
        <v>2000</v>
      </c>
      <c r="J26" s="46">
        <v>2000</v>
      </c>
      <c r="K26" s="46">
        <v>2000</v>
      </c>
      <c r="L26" s="46">
        <v>2000</v>
      </c>
      <c r="M26" s="46">
        <v>1000</v>
      </c>
      <c r="N26" s="46">
        <v>1000</v>
      </c>
      <c r="O26" s="46">
        <v>2000</v>
      </c>
      <c r="P26" s="46">
        <v>2000</v>
      </c>
      <c r="Q26" s="46">
        <v>2000</v>
      </c>
      <c r="R26" s="46">
        <v>0</v>
      </c>
      <c r="S26" s="46">
        <v>0</v>
      </c>
      <c r="T26" s="46">
        <v>0</v>
      </c>
      <c r="U26" s="62">
        <v>0</v>
      </c>
      <c r="V26" s="30">
        <f t="shared" si="4"/>
        <v>26000</v>
      </c>
      <c r="W26" s="73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29">
        <v>0</v>
      </c>
      <c r="AE26" s="30">
        <f t="shared" si="5"/>
        <v>0</v>
      </c>
      <c r="AF26" s="73">
        <v>0</v>
      </c>
      <c r="AG26" s="29">
        <f t="shared" si="6"/>
        <v>0</v>
      </c>
      <c r="AH26" s="30">
        <f t="shared" si="0"/>
        <v>26000</v>
      </c>
    </row>
    <row r="27" spans="1:34">
      <c r="A27" s="1" t="s">
        <v>1</v>
      </c>
      <c r="B27" s="24" t="s">
        <v>65</v>
      </c>
      <c r="C27" s="45">
        <v>37520</v>
      </c>
      <c r="D27" s="46">
        <v>60845</v>
      </c>
      <c r="E27" s="46">
        <v>36478</v>
      </c>
      <c r="F27" s="46">
        <v>84930</v>
      </c>
      <c r="G27" s="46">
        <v>83404</v>
      </c>
      <c r="H27" s="46">
        <v>102810</v>
      </c>
      <c r="I27" s="46">
        <v>77720</v>
      </c>
      <c r="J27" s="46">
        <v>75040</v>
      </c>
      <c r="K27" s="46">
        <v>61640</v>
      </c>
      <c r="L27" s="46">
        <v>72165</v>
      </c>
      <c r="M27" s="46">
        <v>58652</v>
      </c>
      <c r="N27" s="46">
        <v>46655</v>
      </c>
      <c r="O27" s="46">
        <v>12735</v>
      </c>
      <c r="P27" s="46">
        <v>99176</v>
      </c>
      <c r="Q27" s="46">
        <v>35775</v>
      </c>
      <c r="R27" s="46">
        <v>53466</v>
      </c>
      <c r="S27" s="46">
        <v>76380</v>
      </c>
      <c r="T27" s="46">
        <v>42009</v>
      </c>
      <c r="U27" s="62">
        <v>70015</v>
      </c>
      <c r="V27" s="30">
        <f t="shared" si="4"/>
        <v>1187415</v>
      </c>
      <c r="W27" s="73">
        <v>0</v>
      </c>
      <c r="X27" s="46">
        <v>65408</v>
      </c>
      <c r="Y27" s="46">
        <v>0</v>
      </c>
      <c r="Z27" s="46">
        <v>0</v>
      </c>
      <c r="AA27" s="46">
        <v>0</v>
      </c>
      <c r="AB27" s="46">
        <v>0</v>
      </c>
      <c r="AC27" s="46">
        <v>1075</v>
      </c>
      <c r="AD27" s="29">
        <v>0</v>
      </c>
      <c r="AE27" s="30">
        <f t="shared" si="5"/>
        <v>66483</v>
      </c>
      <c r="AF27" s="73">
        <v>0</v>
      </c>
      <c r="AG27" s="29">
        <f t="shared" si="6"/>
        <v>0</v>
      </c>
      <c r="AH27" s="30">
        <f t="shared" si="0"/>
        <v>1253898</v>
      </c>
    </row>
    <row r="28" spans="1:34">
      <c r="A28" s="1" t="s">
        <v>1</v>
      </c>
      <c r="B28" s="24" t="s">
        <v>81</v>
      </c>
      <c r="C28" s="45">
        <v>17364</v>
      </c>
      <c r="D28" s="46">
        <v>44312</v>
      </c>
      <c r="E28" s="46">
        <v>0</v>
      </c>
      <c r="F28" s="46">
        <v>30571</v>
      </c>
      <c r="G28" s="46">
        <v>10871</v>
      </c>
      <c r="H28" s="46">
        <v>49879</v>
      </c>
      <c r="I28" s="46">
        <v>34728</v>
      </c>
      <c r="J28" s="46">
        <v>31834</v>
      </c>
      <c r="K28" s="46">
        <v>50645</v>
      </c>
      <c r="L28" s="46">
        <v>15280</v>
      </c>
      <c r="M28" s="46">
        <v>33097</v>
      </c>
      <c r="N28" s="46">
        <v>27341</v>
      </c>
      <c r="O28" s="46">
        <v>29032</v>
      </c>
      <c r="P28" s="46">
        <v>31993</v>
      </c>
      <c r="Q28" s="46">
        <v>27189</v>
      </c>
      <c r="R28" s="46">
        <v>0</v>
      </c>
      <c r="S28" s="46">
        <v>46716</v>
      </c>
      <c r="T28" s="46">
        <v>19236</v>
      </c>
      <c r="U28" s="62">
        <v>27480</v>
      </c>
      <c r="V28" s="30">
        <f t="shared" si="4"/>
        <v>527568</v>
      </c>
      <c r="W28" s="73">
        <v>0</v>
      </c>
      <c r="X28" s="46">
        <v>44140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29">
        <v>0</v>
      </c>
      <c r="AE28" s="30">
        <f t="shared" si="5"/>
        <v>44140</v>
      </c>
      <c r="AF28" s="73">
        <v>0</v>
      </c>
      <c r="AG28" s="29">
        <f t="shared" si="6"/>
        <v>0</v>
      </c>
      <c r="AH28" s="30">
        <f t="shared" si="0"/>
        <v>571708</v>
      </c>
    </row>
    <row r="29" spans="1:34">
      <c r="A29" s="1" t="s">
        <v>1</v>
      </c>
      <c r="B29" s="24" t="s">
        <v>82</v>
      </c>
      <c r="C29" s="45">
        <v>27493</v>
      </c>
      <c r="D29" s="46">
        <v>13752</v>
      </c>
      <c r="E29" s="46">
        <v>30834</v>
      </c>
      <c r="F29" s="46">
        <v>38616</v>
      </c>
      <c r="G29" s="46">
        <v>20189</v>
      </c>
      <c r="H29" s="46">
        <v>0</v>
      </c>
      <c r="I29" s="46">
        <v>13023</v>
      </c>
      <c r="J29" s="46">
        <v>10129</v>
      </c>
      <c r="K29" s="46">
        <v>14470</v>
      </c>
      <c r="L29" s="46">
        <v>33616</v>
      </c>
      <c r="M29" s="46">
        <v>35975</v>
      </c>
      <c r="N29" s="46">
        <v>30219</v>
      </c>
      <c r="O29" s="46">
        <v>9168</v>
      </c>
      <c r="P29" s="46">
        <v>16692</v>
      </c>
      <c r="Q29" s="46">
        <v>15741</v>
      </c>
      <c r="R29" s="46">
        <v>42594</v>
      </c>
      <c r="S29" s="46">
        <v>10992</v>
      </c>
      <c r="T29" s="46">
        <v>32976</v>
      </c>
      <c r="U29" s="62">
        <v>9618</v>
      </c>
      <c r="V29" s="30">
        <f t="shared" si="4"/>
        <v>406097</v>
      </c>
      <c r="W29" s="73">
        <v>0</v>
      </c>
      <c r="X29" s="46">
        <v>4414</v>
      </c>
      <c r="Y29" s="46">
        <v>0</v>
      </c>
      <c r="Z29" s="46">
        <v>3807</v>
      </c>
      <c r="AA29" s="46">
        <v>0</v>
      </c>
      <c r="AB29" s="46">
        <v>0</v>
      </c>
      <c r="AC29" s="46">
        <v>0</v>
      </c>
      <c r="AD29" s="29">
        <v>0</v>
      </c>
      <c r="AE29" s="30">
        <f t="shared" si="5"/>
        <v>8221</v>
      </c>
      <c r="AF29" s="73">
        <v>0</v>
      </c>
      <c r="AG29" s="29">
        <f t="shared" si="6"/>
        <v>0</v>
      </c>
      <c r="AH29" s="30">
        <f t="shared" si="0"/>
        <v>414318</v>
      </c>
    </row>
    <row r="30" spans="1:34">
      <c r="A30" s="1" t="s">
        <v>1</v>
      </c>
      <c r="B30" s="24" t="s">
        <v>83</v>
      </c>
      <c r="C30" s="45">
        <v>0</v>
      </c>
      <c r="D30" s="46">
        <v>0</v>
      </c>
      <c r="E30" s="46">
        <v>0</v>
      </c>
      <c r="F30" s="46">
        <v>1251</v>
      </c>
      <c r="G30" s="46">
        <v>2015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5595</v>
      </c>
      <c r="O30" s="46">
        <v>0</v>
      </c>
      <c r="P30" s="46">
        <v>0</v>
      </c>
      <c r="Q30" s="46">
        <v>9646</v>
      </c>
      <c r="R30" s="46">
        <v>3916</v>
      </c>
      <c r="S30" s="46">
        <v>1424</v>
      </c>
      <c r="T30" s="46">
        <v>0</v>
      </c>
      <c r="U30" s="62">
        <v>0</v>
      </c>
      <c r="V30" s="30">
        <f t="shared" si="4"/>
        <v>23847</v>
      </c>
      <c r="W30" s="73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29">
        <v>0</v>
      </c>
      <c r="AE30" s="30">
        <f t="shared" si="5"/>
        <v>0</v>
      </c>
      <c r="AF30" s="73">
        <v>0</v>
      </c>
      <c r="AG30" s="29">
        <f t="shared" si="6"/>
        <v>0</v>
      </c>
      <c r="AH30" s="30">
        <f t="shared" si="0"/>
        <v>23847</v>
      </c>
    </row>
    <row r="31" spans="1:34">
      <c r="A31" s="1" t="s">
        <v>1</v>
      </c>
      <c r="B31" s="24" t="s">
        <v>84</v>
      </c>
      <c r="C31" s="45">
        <v>0</v>
      </c>
      <c r="D31" s="46">
        <v>0</v>
      </c>
      <c r="E31" s="46">
        <v>0</v>
      </c>
      <c r="F31" s="46">
        <v>0</v>
      </c>
      <c r="G31" s="46">
        <v>0</v>
      </c>
      <c r="H31" s="46">
        <v>3336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4103</v>
      </c>
      <c r="O31" s="46">
        <v>0</v>
      </c>
      <c r="P31" s="46">
        <v>0</v>
      </c>
      <c r="Q31" s="46">
        <v>3339</v>
      </c>
      <c r="R31" s="46">
        <v>3560</v>
      </c>
      <c r="S31" s="46">
        <v>712</v>
      </c>
      <c r="T31" s="46">
        <v>0</v>
      </c>
      <c r="U31" s="62">
        <v>0</v>
      </c>
      <c r="V31" s="30">
        <f t="shared" si="4"/>
        <v>15050</v>
      </c>
      <c r="W31" s="73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29">
        <v>0</v>
      </c>
      <c r="AE31" s="30">
        <f t="shared" si="5"/>
        <v>0</v>
      </c>
      <c r="AF31" s="73">
        <v>0</v>
      </c>
      <c r="AG31" s="29">
        <f t="shared" si="6"/>
        <v>0</v>
      </c>
      <c r="AH31" s="30">
        <f t="shared" si="0"/>
        <v>15050</v>
      </c>
    </row>
    <row r="32" spans="1:34">
      <c r="A32" s="1" t="s">
        <v>1</v>
      </c>
      <c r="B32" s="24" t="s">
        <v>70</v>
      </c>
      <c r="C32" s="45">
        <v>0</v>
      </c>
      <c r="D32" s="46">
        <v>0</v>
      </c>
      <c r="E32" s="46">
        <v>0</v>
      </c>
      <c r="F32" s="46">
        <v>0</v>
      </c>
      <c r="G32" s="46">
        <v>0</v>
      </c>
      <c r="H32" s="46">
        <v>2682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5160</v>
      </c>
      <c r="Q32" s="46">
        <v>0</v>
      </c>
      <c r="R32" s="46">
        <v>0</v>
      </c>
      <c r="S32" s="46">
        <v>0</v>
      </c>
      <c r="T32" s="46">
        <v>0</v>
      </c>
      <c r="U32" s="62">
        <v>0</v>
      </c>
      <c r="V32" s="30">
        <f t="shared" si="4"/>
        <v>7842</v>
      </c>
      <c r="W32" s="73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29">
        <v>0</v>
      </c>
      <c r="AE32" s="30">
        <f t="shared" si="5"/>
        <v>0</v>
      </c>
      <c r="AF32" s="73">
        <v>0</v>
      </c>
      <c r="AG32" s="29">
        <f t="shared" si="6"/>
        <v>0</v>
      </c>
      <c r="AH32" s="30">
        <f t="shared" si="0"/>
        <v>7842</v>
      </c>
    </row>
    <row r="33" spans="1:34">
      <c r="A33" s="1" t="s">
        <v>1</v>
      </c>
      <c r="B33" s="5" t="s">
        <v>71</v>
      </c>
      <c r="C33" s="47">
        <v>1608</v>
      </c>
      <c r="D33" s="48">
        <v>283</v>
      </c>
      <c r="E33" s="48">
        <v>0</v>
      </c>
      <c r="F33" s="48">
        <v>5662</v>
      </c>
      <c r="G33" s="48">
        <v>8928</v>
      </c>
      <c r="H33" s="48">
        <v>10430</v>
      </c>
      <c r="I33" s="48">
        <v>1340</v>
      </c>
      <c r="J33" s="48">
        <v>536</v>
      </c>
      <c r="K33" s="48">
        <v>536</v>
      </c>
      <c r="L33" s="48">
        <v>3396</v>
      </c>
      <c r="M33" s="48">
        <v>3471</v>
      </c>
      <c r="N33" s="48">
        <v>10413</v>
      </c>
      <c r="O33" s="48">
        <v>0</v>
      </c>
      <c r="P33" s="48">
        <v>5676</v>
      </c>
      <c r="Q33" s="48">
        <v>6360</v>
      </c>
      <c r="R33" s="48">
        <v>5865</v>
      </c>
      <c r="S33" s="48">
        <v>6375</v>
      </c>
      <c r="T33" s="48">
        <v>255</v>
      </c>
      <c r="U33" s="63">
        <v>510</v>
      </c>
      <c r="V33" s="7">
        <f t="shared" si="4"/>
        <v>71644</v>
      </c>
      <c r="W33" s="74">
        <v>532</v>
      </c>
      <c r="X33" s="48">
        <v>818</v>
      </c>
      <c r="Y33" s="48">
        <v>0</v>
      </c>
      <c r="Z33" s="48">
        <v>0</v>
      </c>
      <c r="AA33" s="48">
        <v>10750</v>
      </c>
      <c r="AB33" s="48">
        <v>10750</v>
      </c>
      <c r="AC33" s="48">
        <v>4300</v>
      </c>
      <c r="AD33" s="6">
        <v>6450</v>
      </c>
      <c r="AE33" s="7">
        <f t="shared" si="5"/>
        <v>33600</v>
      </c>
      <c r="AF33" s="74">
        <v>0</v>
      </c>
      <c r="AG33" s="6">
        <f t="shared" si="6"/>
        <v>0</v>
      </c>
      <c r="AH33" s="7">
        <f t="shared" si="0"/>
        <v>105244</v>
      </c>
    </row>
    <row r="34" spans="1:34">
      <c r="A34" s="1" t="s">
        <v>1</v>
      </c>
      <c r="B34" s="15" t="s">
        <v>85</v>
      </c>
      <c r="C34" s="49">
        <v>291985</v>
      </c>
      <c r="D34" s="50">
        <v>338392</v>
      </c>
      <c r="E34" s="50">
        <v>384371</v>
      </c>
      <c r="F34" s="50">
        <v>389830</v>
      </c>
      <c r="G34" s="50">
        <v>317407</v>
      </c>
      <c r="H34" s="50">
        <v>395537</v>
      </c>
      <c r="I34" s="50">
        <v>334211</v>
      </c>
      <c r="J34" s="50">
        <v>324339</v>
      </c>
      <c r="K34" s="50">
        <v>335691</v>
      </c>
      <c r="L34" s="50">
        <v>379753</v>
      </c>
      <c r="M34" s="50">
        <v>323795</v>
      </c>
      <c r="N34" s="50">
        <v>317126</v>
      </c>
      <c r="O34" s="50">
        <v>347579</v>
      </c>
      <c r="P34" s="50">
        <v>343397</v>
      </c>
      <c r="Q34" s="50">
        <v>288250</v>
      </c>
      <c r="R34" s="50">
        <v>279401</v>
      </c>
      <c r="S34" s="50">
        <v>312599</v>
      </c>
      <c r="T34" s="50">
        <v>264476</v>
      </c>
      <c r="U34" s="64">
        <v>277623</v>
      </c>
      <c r="V34" s="17">
        <f t="shared" si="4"/>
        <v>6245762</v>
      </c>
      <c r="W34" s="75">
        <v>355532</v>
      </c>
      <c r="X34" s="50">
        <v>388780</v>
      </c>
      <c r="Y34" s="50">
        <v>81780</v>
      </c>
      <c r="Z34" s="50">
        <v>94987</v>
      </c>
      <c r="AA34" s="50">
        <v>70950</v>
      </c>
      <c r="AB34" s="50">
        <v>71810</v>
      </c>
      <c r="AC34" s="50">
        <v>63855</v>
      </c>
      <c r="AD34" s="16">
        <v>99330</v>
      </c>
      <c r="AE34" s="17">
        <f t="shared" si="5"/>
        <v>1227024</v>
      </c>
      <c r="AF34" s="75">
        <v>365000</v>
      </c>
      <c r="AG34" s="16">
        <f t="shared" si="6"/>
        <v>365000</v>
      </c>
      <c r="AH34" s="17">
        <f t="shared" si="0"/>
        <v>7837786</v>
      </c>
    </row>
    <row r="35" spans="1:34">
      <c r="A35" s="1" t="s">
        <v>1</v>
      </c>
      <c r="B35" s="18" t="s">
        <v>86</v>
      </c>
      <c r="C35" s="43">
        <v>12847</v>
      </c>
      <c r="D35" s="44">
        <v>3212</v>
      </c>
      <c r="E35" s="44">
        <v>5319</v>
      </c>
      <c r="F35" s="44">
        <v>2827</v>
      </c>
      <c r="G35" s="44">
        <v>13001</v>
      </c>
      <c r="H35" s="44">
        <v>2261</v>
      </c>
      <c r="I35" s="44">
        <v>2467</v>
      </c>
      <c r="J35" s="44">
        <v>1234</v>
      </c>
      <c r="K35" s="44">
        <v>3212</v>
      </c>
      <c r="L35" s="44">
        <v>4933</v>
      </c>
      <c r="M35" s="44">
        <v>6167</v>
      </c>
      <c r="N35" s="44">
        <v>4317</v>
      </c>
      <c r="O35" s="44">
        <v>7400</v>
      </c>
      <c r="P35" s="44">
        <v>5653</v>
      </c>
      <c r="Q35" s="44">
        <v>10483</v>
      </c>
      <c r="R35" s="44">
        <v>7400</v>
      </c>
      <c r="S35" s="44">
        <v>8479</v>
      </c>
      <c r="T35" s="44">
        <v>8350</v>
      </c>
      <c r="U35" s="61">
        <v>2570</v>
      </c>
      <c r="V35" s="20">
        <f t="shared" si="4"/>
        <v>112132</v>
      </c>
      <c r="W35" s="72">
        <v>3084</v>
      </c>
      <c r="X35" s="44">
        <v>6012</v>
      </c>
      <c r="Y35" s="44">
        <v>2878</v>
      </c>
      <c r="Z35" s="44">
        <v>2441</v>
      </c>
      <c r="AA35" s="44">
        <v>3084</v>
      </c>
      <c r="AB35" s="44">
        <v>4111</v>
      </c>
      <c r="AC35" s="44">
        <v>3006</v>
      </c>
      <c r="AD35" s="19">
        <v>7554</v>
      </c>
      <c r="AE35" s="20">
        <f t="shared" si="5"/>
        <v>32170</v>
      </c>
      <c r="AF35" s="72">
        <v>5344</v>
      </c>
      <c r="AG35" s="19">
        <f t="shared" si="6"/>
        <v>5344</v>
      </c>
      <c r="AH35" s="20">
        <f t="shared" si="0"/>
        <v>149646</v>
      </c>
    </row>
    <row r="36" spans="1:34">
      <c r="A36" s="1" t="s">
        <v>1</v>
      </c>
      <c r="B36" s="5" t="s">
        <v>87</v>
      </c>
      <c r="C36" s="47">
        <v>12847</v>
      </c>
      <c r="D36" s="48">
        <v>3212</v>
      </c>
      <c r="E36" s="48">
        <v>5319</v>
      </c>
      <c r="F36" s="48">
        <v>2827</v>
      </c>
      <c r="G36" s="48">
        <v>13001</v>
      </c>
      <c r="H36" s="48">
        <v>2261</v>
      </c>
      <c r="I36" s="48">
        <v>2467</v>
      </c>
      <c r="J36" s="48">
        <v>1234</v>
      </c>
      <c r="K36" s="48">
        <v>3212</v>
      </c>
      <c r="L36" s="48">
        <v>4933</v>
      </c>
      <c r="M36" s="48">
        <v>6167</v>
      </c>
      <c r="N36" s="48">
        <v>4317</v>
      </c>
      <c r="O36" s="48">
        <v>7400</v>
      </c>
      <c r="P36" s="48">
        <v>5653</v>
      </c>
      <c r="Q36" s="48">
        <v>10483</v>
      </c>
      <c r="R36" s="48">
        <v>7400</v>
      </c>
      <c r="S36" s="48">
        <v>8479</v>
      </c>
      <c r="T36" s="48">
        <v>8350</v>
      </c>
      <c r="U36" s="63">
        <v>2570</v>
      </c>
      <c r="V36" s="7">
        <f t="shared" si="4"/>
        <v>112132</v>
      </c>
      <c r="W36" s="74">
        <v>3084</v>
      </c>
      <c r="X36" s="48">
        <v>6012</v>
      </c>
      <c r="Y36" s="48">
        <v>2878</v>
      </c>
      <c r="Z36" s="48">
        <v>2441</v>
      </c>
      <c r="AA36" s="48">
        <v>3084</v>
      </c>
      <c r="AB36" s="48">
        <v>4111</v>
      </c>
      <c r="AC36" s="48">
        <v>3006</v>
      </c>
      <c r="AD36" s="6">
        <v>7554</v>
      </c>
      <c r="AE36" s="7">
        <f t="shared" si="5"/>
        <v>32170</v>
      </c>
      <c r="AF36" s="74">
        <v>5344</v>
      </c>
      <c r="AG36" s="6">
        <f t="shared" si="6"/>
        <v>5344</v>
      </c>
      <c r="AH36" s="7">
        <f t="shared" si="0"/>
        <v>149646</v>
      </c>
    </row>
    <row r="37" spans="1:34">
      <c r="A37" s="1" t="s">
        <v>1</v>
      </c>
      <c r="B37" s="15" t="s">
        <v>88</v>
      </c>
      <c r="C37" s="49">
        <v>304832</v>
      </c>
      <c r="D37" s="50">
        <v>341604</v>
      </c>
      <c r="E37" s="50">
        <v>389690</v>
      </c>
      <c r="F37" s="50">
        <v>392657</v>
      </c>
      <c r="G37" s="50">
        <v>330408</v>
      </c>
      <c r="H37" s="50">
        <v>397798</v>
      </c>
      <c r="I37" s="50">
        <v>336678</v>
      </c>
      <c r="J37" s="50">
        <v>325573</v>
      </c>
      <c r="K37" s="50">
        <v>338903</v>
      </c>
      <c r="L37" s="50">
        <v>384686</v>
      </c>
      <c r="M37" s="50">
        <v>329962</v>
      </c>
      <c r="N37" s="50">
        <v>321443</v>
      </c>
      <c r="O37" s="50">
        <v>354979</v>
      </c>
      <c r="P37" s="50">
        <v>349050</v>
      </c>
      <c r="Q37" s="50">
        <v>298733</v>
      </c>
      <c r="R37" s="50">
        <v>286801</v>
      </c>
      <c r="S37" s="50">
        <v>321078</v>
      </c>
      <c r="T37" s="50">
        <v>272826</v>
      </c>
      <c r="U37" s="64">
        <v>280193</v>
      </c>
      <c r="V37" s="17">
        <f t="shared" si="4"/>
        <v>6357894</v>
      </c>
      <c r="W37" s="75">
        <v>358616</v>
      </c>
      <c r="X37" s="50">
        <v>394792</v>
      </c>
      <c r="Y37" s="50">
        <v>84658</v>
      </c>
      <c r="Z37" s="50">
        <v>97428</v>
      </c>
      <c r="AA37" s="50">
        <v>74034</v>
      </c>
      <c r="AB37" s="50">
        <v>75921</v>
      </c>
      <c r="AC37" s="50">
        <v>66861</v>
      </c>
      <c r="AD37" s="16">
        <v>106884</v>
      </c>
      <c r="AE37" s="17">
        <f t="shared" si="5"/>
        <v>1259194</v>
      </c>
      <c r="AF37" s="75">
        <v>370344</v>
      </c>
      <c r="AG37" s="16">
        <f t="shared" si="6"/>
        <v>370344</v>
      </c>
      <c r="AH37" s="17">
        <f t="shared" si="0"/>
        <v>7987432</v>
      </c>
    </row>
    <row r="38" spans="1:34">
      <c r="A38" s="1" t="s">
        <v>1</v>
      </c>
      <c r="B38" s="18" t="s">
        <v>89</v>
      </c>
      <c r="C38" s="43">
        <v>16320</v>
      </c>
      <c r="D38" s="44">
        <v>19380</v>
      </c>
      <c r="E38" s="44">
        <v>19380</v>
      </c>
      <c r="F38" s="44">
        <v>18360</v>
      </c>
      <c r="G38" s="44">
        <v>16320</v>
      </c>
      <c r="H38" s="44">
        <v>19380</v>
      </c>
      <c r="I38" s="44">
        <v>17340</v>
      </c>
      <c r="J38" s="44">
        <v>16320</v>
      </c>
      <c r="K38" s="44">
        <v>16320</v>
      </c>
      <c r="L38" s="44">
        <v>18360</v>
      </c>
      <c r="M38" s="44">
        <v>15300</v>
      </c>
      <c r="N38" s="44">
        <v>17340</v>
      </c>
      <c r="O38" s="44">
        <v>15300</v>
      </c>
      <c r="P38" s="44">
        <v>17340</v>
      </c>
      <c r="Q38" s="44">
        <v>14280</v>
      </c>
      <c r="R38" s="44">
        <v>13260</v>
      </c>
      <c r="S38" s="44">
        <v>13260</v>
      </c>
      <c r="T38" s="44">
        <v>13260</v>
      </c>
      <c r="U38" s="61">
        <v>13260</v>
      </c>
      <c r="V38" s="20">
        <f t="shared" si="4"/>
        <v>310080</v>
      </c>
      <c r="W38" s="72">
        <v>19380</v>
      </c>
      <c r="X38" s="44">
        <v>20910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19">
        <v>0</v>
      </c>
      <c r="AE38" s="20">
        <f t="shared" si="5"/>
        <v>40290</v>
      </c>
      <c r="AF38" s="72">
        <v>19380</v>
      </c>
      <c r="AG38" s="19">
        <f t="shared" si="6"/>
        <v>19380</v>
      </c>
      <c r="AH38" s="20">
        <f t="shared" si="0"/>
        <v>369750</v>
      </c>
    </row>
    <row r="39" spans="1:34">
      <c r="A39" s="1" t="s">
        <v>1</v>
      </c>
      <c r="B39" s="24" t="s">
        <v>90</v>
      </c>
      <c r="C39" s="45">
        <v>2880</v>
      </c>
      <c r="D39" s="46">
        <v>3420</v>
      </c>
      <c r="E39" s="46">
        <v>3420</v>
      </c>
      <c r="F39" s="46">
        <v>3240</v>
      </c>
      <c r="G39" s="46">
        <v>2880</v>
      </c>
      <c r="H39" s="46">
        <v>3420</v>
      </c>
      <c r="I39" s="46">
        <v>3060</v>
      </c>
      <c r="J39" s="46">
        <v>2880</v>
      </c>
      <c r="K39" s="46">
        <v>2880</v>
      </c>
      <c r="L39" s="46">
        <v>3240</v>
      </c>
      <c r="M39" s="46">
        <v>2700</v>
      </c>
      <c r="N39" s="46">
        <v>3060</v>
      </c>
      <c r="O39" s="46">
        <v>2700</v>
      </c>
      <c r="P39" s="46">
        <v>3060</v>
      </c>
      <c r="Q39" s="46">
        <v>2520</v>
      </c>
      <c r="R39" s="46">
        <v>2340</v>
      </c>
      <c r="S39" s="46">
        <v>2340</v>
      </c>
      <c r="T39" s="46">
        <v>2340</v>
      </c>
      <c r="U39" s="62">
        <v>2340</v>
      </c>
      <c r="V39" s="30">
        <f t="shared" si="4"/>
        <v>54720</v>
      </c>
      <c r="W39" s="73">
        <v>3420</v>
      </c>
      <c r="X39" s="46">
        <v>3690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29">
        <v>0</v>
      </c>
      <c r="AE39" s="30">
        <f t="shared" si="5"/>
        <v>7110</v>
      </c>
      <c r="AF39" s="73">
        <v>3420</v>
      </c>
      <c r="AG39" s="29">
        <f t="shared" si="6"/>
        <v>3420</v>
      </c>
      <c r="AH39" s="30">
        <f t="shared" si="0"/>
        <v>65250</v>
      </c>
    </row>
    <row r="40" spans="1:34">
      <c r="A40" s="1" t="s">
        <v>1</v>
      </c>
      <c r="B40" s="24" t="s">
        <v>91</v>
      </c>
      <c r="C40" s="45">
        <v>29280</v>
      </c>
      <c r="D40" s="46">
        <v>34770</v>
      </c>
      <c r="E40" s="46">
        <v>34770</v>
      </c>
      <c r="F40" s="46">
        <v>32940</v>
      </c>
      <c r="G40" s="46">
        <v>29280</v>
      </c>
      <c r="H40" s="46">
        <v>34770</v>
      </c>
      <c r="I40" s="46">
        <v>31110</v>
      </c>
      <c r="J40" s="46">
        <v>29280</v>
      </c>
      <c r="K40" s="46">
        <v>29280</v>
      </c>
      <c r="L40" s="46">
        <v>32940</v>
      </c>
      <c r="M40" s="46">
        <v>27450</v>
      </c>
      <c r="N40" s="46">
        <v>31110</v>
      </c>
      <c r="O40" s="46">
        <v>27450</v>
      </c>
      <c r="P40" s="46">
        <v>31110</v>
      </c>
      <c r="Q40" s="46">
        <v>25620</v>
      </c>
      <c r="R40" s="46">
        <v>23790</v>
      </c>
      <c r="S40" s="46">
        <v>23790</v>
      </c>
      <c r="T40" s="46">
        <v>23790</v>
      </c>
      <c r="U40" s="62">
        <v>23790</v>
      </c>
      <c r="V40" s="30">
        <f t="shared" si="4"/>
        <v>556320</v>
      </c>
      <c r="W40" s="73">
        <v>34770</v>
      </c>
      <c r="X40" s="46">
        <v>37515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29">
        <v>0</v>
      </c>
      <c r="AE40" s="30">
        <f t="shared" si="5"/>
        <v>72285</v>
      </c>
      <c r="AF40" s="73">
        <v>34770</v>
      </c>
      <c r="AG40" s="29">
        <f t="shared" si="6"/>
        <v>34770</v>
      </c>
      <c r="AH40" s="30">
        <f t="shared" si="0"/>
        <v>663375</v>
      </c>
    </row>
    <row r="41" spans="1:34">
      <c r="A41" s="1" t="s">
        <v>1</v>
      </c>
      <c r="B41" s="24" t="s">
        <v>92</v>
      </c>
      <c r="C41" s="45">
        <v>1829</v>
      </c>
      <c r="D41" s="46">
        <v>2050</v>
      </c>
      <c r="E41" s="46">
        <v>2338</v>
      </c>
      <c r="F41" s="46">
        <v>2356</v>
      </c>
      <c r="G41" s="46">
        <v>1982</v>
      </c>
      <c r="H41" s="46">
        <v>2387</v>
      </c>
      <c r="I41" s="46">
        <v>2020</v>
      </c>
      <c r="J41" s="46">
        <v>1953</v>
      </c>
      <c r="K41" s="46">
        <v>2033</v>
      </c>
      <c r="L41" s="46">
        <v>2308</v>
      </c>
      <c r="M41" s="46">
        <v>1980</v>
      </c>
      <c r="N41" s="46">
        <v>1929</v>
      </c>
      <c r="O41" s="46">
        <v>2130</v>
      </c>
      <c r="P41" s="46">
        <v>2094</v>
      </c>
      <c r="Q41" s="46">
        <v>1792</v>
      </c>
      <c r="R41" s="46">
        <v>1721</v>
      </c>
      <c r="S41" s="46">
        <v>1926</v>
      </c>
      <c r="T41" s="46">
        <v>1637</v>
      </c>
      <c r="U41" s="62">
        <v>1681</v>
      </c>
      <c r="V41" s="30">
        <f t="shared" si="4"/>
        <v>38146</v>
      </c>
      <c r="W41" s="73">
        <v>2152</v>
      </c>
      <c r="X41" s="46">
        <v>2369</v>
      </c>
      <c r="Y41" s="46">
        <v>508</v>
      </c>
      <c r="Z41" s="46">
        <v>585</v>
      </c>
      <c r="AA41" s="46">
        <v>0</v>
      </c>
      <c r="AB41" s="46">
        <v>0</v>
      </c>
      <c r="AC41" s="46">
        <v>0</v>
      </c>
      <c r="AD41" s="29">
        <v>641</v>
      </c>
      <c r="AE41" s="30">
        <f t="shared" si="5"/>
        <v>6255</v>
      </c>
      <c r="AF41" s="73">
        <v>2222</v>
      </c>
      <c r="AG41" s="29">
        <f t="shared" si="6"/>
        <v>2222</v>
      </c>
      <c r="AH41" s="30">
        <f t="shared" si="0"/>
        <v>46623</v>
      </c>
    </row>
    <row r="42" spans="1:34">
      <c r="A42" s="1" t="s">
        <v>1</v>
      </c>
      <c r="B42" s="24" t="s">
        <v>93</v>
      </c>
      <c r="C42" s="45">
        <v>50309</v>
      </c>
      <c r="D42" s="46">
        <v>59620</v>
      </c>
      <c r="E42" s="46">
        <v>59908</v>
      </c>
      <c r="F42" s="46">
        <v>56896</v>
      </c>
      <c r="G42" s="46">
        <v>50462</v>
      </c>
      <c r="H42" s="46">
        <v>59957</v>
      </c>
      <c r="I42" s="46">
        <v>53530</v>
      </c>
      <c r="J42" s="46">
        <v>50433</v>
      </c>
      <c r="K42" s="46">
        <v>50513</v>
      </c>
      <c r="L42" s="46">
        <v>56848</v>
      </c>
      <c r="M42" s="46">
        <v>47430</v>
      </c>
      <c r="N42" s="46">
        <v>53439</v>
      </c>
      <c r="O42" s="46">
        <v>47580</v>
      </c>
      <c r="P42" s="46">
        <v>53604</v>
      </c>
      <c r="Q42" s="46">
        <v>44212</v>
      </c>
      <c r="R42" s="46">
        <v>41111</v>
      </c>
      <c r="S42" s="46">
        <v>41316</v>
      </c>
      <c r="T42" s="46">
        <v>41027</v>
      </c>
      <c r="U42" s="62">
        <v>41071</v>
      </c>
      <c r="V42" s="30">
        <f t="shared" si="4"/>
        <v>959266</v>
      </c>
      <c r="W42" s="73">
        <v>59722</v>
      </c>
      <c r="X42" s="46">
        <v>64484</v>
      </c>
      <c r="Y42" s="46">
        <v>508</v>
      </c>
      <c r="Z42" s="46">
        <v>585</v>
      </c>
      <c r="AA42" s="46">
        <v>0</v>
      </c>
      <c r="AB42" s="46">
        <v>0</v>
      </c>
      <c r="AC42" s="46">
        <v>0</v>
      </c>
      <c r="AD42" s="29">
        <v>641</v>
      </c>
      <c r="AE42" s="30">
        <f t="shared" si="5"/>
        <v>125940</v>
      </c>
      <c r="AF42" s="73">
        <v>59792</v>
      </c>
      <c r="AG42" s="29">
        <f t="shared" si="6"/>
        <v>59792</v>
      </c>
      <c r="AH42" s="30">
        <f t="shared" si="0"/>
        <v>1144998</v>
      </c>
    </row>
    <row r="43" spans="1:34">
      <c r="A43" s="1" t="s">
        <v>1</v>
      </c>
      <c r="B43" s="24" t="s">
        <v>94</v>
      </c>
      <c r="C43" s="45">
        <v>4640</v>
      </c>
      <c r="D43" s="46">
        <v>7580</v>
      </c>
      <c r="E43" s="46">
        <v>7720</v>
      </c>
      <c r="F43" s="46">
        <v>11070</v>
      </c>
      <c r="G43" s="46">
        <v>5540</v>
      </c>
      <c r="H43" s="46">
        <v>11290</v>
      </c>
      <c r="I43" s="46">
        <v>7650</v>
      </c>
      <c r="J43" s="46">
        <v>5790</v>
      </c>
      <c r="K43" s="46">
        <v>7810</v>
      </c>
      <c r="L43" s="46">
        <v>10250</v>
      </c>
      <c r="M43" s="46">
        <v>7490</v>
      </c>
      <c r="N43" s="46">
        <v>7040</v>
      </c>
      <c r="O43" s="46">
        <v>8380</v>
      </c>
      <c r="P43" s="46">
        <v>3120</v>
      </c>
      <c r="Q43" s="46">
        <v>6340</v>
      </c>
      <c r="R43" s="46">
        <v>6130</v>
      </c>
      <c r="S43" s="46">
        <v>5700</v>
      </c>
      <c r="T43" s="46">
        <v>5600</v>
      </c>
      <c r="U43" s="62">
        <v>6070</v>
      </c>
      <c r="V43" s="30">
        <f t="shared" si="4"/>
        <v>135210</v>
      </c>
      <c r="W43" s="73">
        <v>8190</v>
      </c>
      <c r="X43" s="46">
        <v>7710</v>
      </c>
      <c r="Y43" s="46">
        <v>0</v>
      </c>
      <c r="Z43" s="46">
        <v>440</v>
      </c>
      <c r="AA43" s="46">
        <v>0</v>
      </c>
      <c r="AB43" s="46">
        <v>0</v>
      </c>
      <c r="AC43" s="46">
        <v>0</v>
      </c>
      <c r="AD43" s="29">
        <v>0</v>
      </c>
      <c r="AE43" s="30">
        <f t="shared" si="5"/>
        <v>16340</v>
      </c>
      <c r="AF43" s="73">
        <v>8810</v>
      </c>
      <c r="AG43" s="29">
        <f t="shared" si="6"/>
        <v>8810</v>
      </c>
      <c r="AH43" s="30">
        <f t="shared" si="0"/>
        <v>160360</v>
      </c>
    </row>
    <row r="44" spans="1:34">
      <c r="A44" s="1" t="s">
        <v>1</v>
      </c>
      <c r="B44" s="24" t="s">
        <v>95</v>
      </c>
      <c r="C44" s="45">
        <v>1300</v>
      </c>
      <c r="D44" s="46">
        <v>1300</v>
      </c>
      <c r="E44" s="46">
        <v>1300</v>
      </c>
      <c r="F44" s="46">
        <v>0</v>
      </c>
      <c r="G44" s="46">
        <v>1300</v>
      </c>
      <c r="H44" s="46">
        <v>1300</v>
      </c>
      <c r="I44" s="46">
        <v>1300</v>
      </c>
      <c r="J44" s="46">
        <v>1300</v>
      </c>
      <c r="K44" s="46">
        <v>1300</v>
      </c>
      <c r="L44" s="46">
        <v>1300</v>
      </c>
      <c r="M44" s="46">
        <v>0</v>
      </c>
      <c r="N44" s="46">
        <v>0</v>
      </c>
      <c r="O44" s="46">
        <v>1300</v>
      </c>
      <c r="P44" s="46">
        <v>1300</v>
      </c>
      <c r="Q44" s="46">
        <v>1300</v>
      </c>
      <c r="R44" s="46">
        <v>0</v>
      </c>
      <c r="S44" s="46">
        <v>0</v>
      </c>
      <c r="T44" s="46">
        <v>0</v>
      </c>
      <c r="U44" s="62">
        <v>0</v>
      </c>
      <c r="V44" s="30">
        <f t="shared" si="4"/>
        <v>15600</v>
      </c>
      <c r="W44" s="73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29">
        <v>0</v>
      </c>
      <c r="AE44" s="30">
        <f t="shared" si="5"/>
        <v>0</v>
      </c>
      <c r="AF44" s="73">
        <v>0</v>
      </c>
      <c r="AG44" s="29">
        <f t="shared" si="6"/>
        <v>0</v>
      </c>
      <c r="AH44" s="30">
        <f t="shared" si="0"/>
        <v>15600</v>
      </c>
    </row>
    <row r="45" spans="1:34">
      <c r="A45" s="1" t="s">
        <v>1</v>
      </c>
      <c r="B45" s="24" t="s">
        <v>96</v>
      </c>
      <c r="C45" s="45">
        <v>9900</v>
      </c>
      <c r="D45" s="46">
        <v>16100</v>
      </c>
      <c r="E45" s="46">
        <v>15700</v>
      </c>
      <c r="F45" s="46">
        <v>18800</v>
      </c>
      <c r="G45" s="46">
        <v>12100</v>
      </c>
      <c r="H45" s="46">
        <v>18500</v>
      </c>
      <c r="I45" s="46">
        <v>14500</v>
      </c>
      <c r="J45" s="46">
        <v>9300</v>
      </c>
      <c r="K45" s="46">
        <v>13400</v>
      </c>
      <c r="L45" s="46">
        <v>13900</v>
      </c>
      <c r="M45" s="46">
        <v>10400</v>
      </c>
      <c r="N45" s="46">
        <v>24600</v>
      </c>
      <c r="O45" s="46">
        <v>12200</v>
      </c>
      <c r="P45" s="46">
        <v>6700</v>
      </c>
      <c r="Q45" s="46">
        <v>0</v>
      </c>
      <c r="R45" s="46">
        <v>0</v>
      </c>
      <c r="S45" s="46">
        <v>0</v>
      </c>
      <c r="T45" s="46">
        <v>0</v>
      </c>
      <c r="U45" s="62">
        <v>0</v>
      </c>
      <c r="V45" s="30">
        <f t="shared" si="4"/>
        <v>196100</v>
      </c>
      <c r="W45" s="73">
        <v>15200</v>
      </c>
      <c r="X45" s="46">
        <v>16300</v>
      </c>
      <c r="Y45" s="46">
        <v>600</v>
      </c>
      <c r="Z45" s="46">
        <v>500</v>
      </c>
      <c r="AA45" s="46">
        <v>0</v>
      </c>
      <c r="AB45" s="46">
        <v>0</v>
      </c>
      <c r="AC45" s="46">
        <v>0</v>
      </c>
      <c r="AD45" s="29">
        <v>11600</v>
      </c>
      <c r="AE45" s="30">
        <f t="shared" si="5"/>
        <v>44200</v>
      </c>
      <c r="AF45" s="73">
        <v>17800</v>
      </c>
      <c r="AG45" s="29">
        <f t="shared" si="6"/>
        <v>17800</v>
      </c>
      <c r="AH45" s="30">
        <f t="shared" si="0"/>
        <v>258100</v>
      </c>
    </row>
    <row r="46" spans="1:34">
      <c r="A46" s="1" t="s">
        <v>1</v>
      </c>
      <c r="B46" s="5" t="s">
        <v>97</v>
      </c>
      <c r="C46" s="47">
        <v>29000</v>
      </c>
      <c r="D46" s="48">
        <v>30200</v>
      </c>
      <c r="E46" s="48">
        <v>26200</v>
      </c>
      <c r="F46" s="48">
        <v>29800</v>
      </c>
      <c r="G46" s="48">
        <v>0</v>
      </c>
      <c r="H46" s="48">
        <v>27400</v>
      </c>
      <c r="I46" s="48">
        <v>28400</v>
      </c>
      <c r="J46" s="48">
        <v>27800</v>
      </c>
      <c r="K46" s="48">
        <v>29400</v>
      </c>
      <c r="L46" s="48">
        <v>29000</v>
      </c>
      <c r="M46" s="48">
        <v>14600</v>
      </c>
      <c r="N46" s="48">
        <v>14800</v>
      </c>
      <c r="O46" s="48">
        <v>29200</v>
      </c>
      <c r="P46" s="48">
        <v>12700</v>
      </c>
      <c r="Q46" s="48">
        <v>13200</v>
      </c>
      <c r="R46" s="48">
        <v>0</v>
      </c>
      <c r="S46" s="48">
        <v>0</v>
      </c>
      <c r="T46" s="48">
        <v>0</v>
      </c>
      <c r="U46" s="63">
        <v>0</v>
      </c>
      <c r="V46" s="7">
        <f t="shared" si="4"/>
        <v>341700</v>
      </c>
      <c r="W46" s="74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6">
        <v>0</v>
      </c>
      <c r="AE46" s="7">
        <f t="shared" si="5"/>
        <v>0</v>
      </c>
      <c r="AF46" s="74">
        <v>0</v>
      </c>
      <c r="AG46" s="6">
        <f t="shared" si="6"/>
        <v>0</v>
      </c>
      <c r="AH46" s="7">
        <f t="shared" si="0"/>
        <v>341700</v>
      </c>
    </row>
    <row r="47" spans="1:34">
      <c r="A47" s="1" t="s">
        <v>1</v>
      </c>
      <c r="B47" s="15" t="s">
        <v>98</v>
      </c>
      <c r="C47" s="49">
        <v>95149</v>
      </c>
      <c r="D47" s="50">
        <v>114800</v>
      </c>
      <c r="E47" s="50">
        <v>110828</v>
      </c>
      <c r="F47" s="50">
        <v>116566</v>
      </c>
      <c r="G47" s="50">
        <v>69402</v>
      </c>
      <c r="H47" s="50">
        <v>118447</v>
      </c>
      <c r="I47" s="50">
        <v>105380</v>
      </c>
      <c r="J47" s="50">
        <v>94623</v>
      </c>
      <c r="K47" s="50">
        <v>102423</v>
      </c>
      <c r="L47" s="50">
        <v>111298</v>
      </c>
      <c r="M47" s="50">
        <v>79920</v>
      </c>
      <c r="N47" s="50">
        <v>99879</v>
      </c>
      <c r="O47" s="50">
        <v>98660</v>
      </c>
      <c r="P47" s="50">
        <v>77424</v>
      </c>
      <c r="Q47" s="50">
        <v>65052</v>
      </c>
      <c r="R47" s="50">
        <v>47241</v>
      </c>
      <c r="S47" s="50">
        <v>47016</v>
      </c>
      <c r="T47" s="50">
        <v>46627</v>
      </c>
      <c r="U47" s="64">
        <v>47141</v>
      </c>
      <c r="V47" s="17">
        <f t="shared" si="4"/>
        <v>1647876</v>
      </c>
      <c r="W47" s="75">
        <v>83112</v>
      </c>
      <c r="X47" s="50">
        <v>88494</v>
      </c>
      <c r="Y47" s="50">
        <v>1108</v>
      </c>
      <c r="Z47" s="50">
        <v>1525</v>
      </c>
      <c r="AA47" s="50">
        <v>0</v>
      </c>
      <c r="AB47" s="50">
        <v>0</v>
      </c>
      <c r="AC47" s="50">
        <v>0</v>
      </c>
      <c r="AD47" s="16">
        <v>12241</v>
      </c>
      <c r="AE47" s="17">
        <f t="shared" si="5"/>
        <v>186480</v>
      </c>
      <c r="AF47" s="75">
        <v>86402</v>
      </c>
      <c r="AG47" s="16">
        <f t="shared" si="6"/>
        <v>86402</v>
      </c>
      <c r="AH47" s="17">
        <f t="shared" si="0"/>
        <v>1920758</v>
      </c>
    </row>
    <row r="48" spans="1:34">
      <c r="A48" s="1" t="s">
        <v>1</v>
      </c>
      <c r="B48" s="15" t="s">
        <v>99</v>
      </c>
      <c r="C48" s="49">
        <v>241676</v>
      </c>
      <c r="D48" s="50">
        <v>278772</v>
      </c>
      <c r="E48" s="50">
        <v>324463</v>
      </c>
      <c r="F48" s="50">
        <v>332934</v>
      </c>
      <c r="G48" s="50">
        <v>266945</v>
      </c>
      <c r="H48" s="50">
        <v>335580</v>
      </c>
      <c r="I48" s="50">
        <v>280681</v>
      </c>
      <c r="J48" s="50">
        <v>273906</v>
      </c>
      <c r="K48" s="50">
        <v>285178</v>
      </c>
      <c r="L48" s="50">
        <v>322905</v>
      </c>
      <c r="M48" s="50">
        <v>276365</v>
      </c>
      <c r="N48" s="50">
        <v>263687</v>
      </c>
      <c r="O48" s="50">
        <v>299999</v>
      </c>
      <c r="P48" s="50">
        <v>289793</v>
      </c>
      <c r="Q48" s="50">
        <v>244038</v>
      </c>
      <c r="R48" s="50">
        <v>238290</v>
      </c>
      <c r="S48" s="50">
        <v>271283</v>
      </c>
      <c r="T48" s="50">
        <v>223449</v>
      </c>
      <c r="U48" s="64">
        <v>236552</v>
      </c>
      <c r="V48" s="17">
        <f t="shared" si="4"/>
        <v>5286496</v>
      </c>
      <c r="W48" s="75">
        <v>295810</v>
      </c>
      <c r="X48" s="50">
        <v>324296</v>
      </c>
      <c r="Y48" s="50">
        <v>81272</v>
      </c>
      <c r="Z48" s="50">
        <v>94402</v>
      </c>
      <c r="AA48" s="50">
        <v>70950</v>
      </c>
      <c r="AB48" s="50">
        <v>71810</v>
      </c>
      <c r="AC48" s="50">
        <v>63855</v>
      </c>
      <c r="AD48" s="16">
        <v>98689</v>
      </c>
      <c r="AE48" s="17">
        <f t="shared" si="5"/>
        <v>1101084</v>
      </c>
      <c r="AF48" s="75">
        <v>305208</v>
      </c>
      <c r="AG48" s="16">
        <f t="shared" si="6"/>
        <v>305208</v>
      </c>
      <c r="AH48" s="17">
        <f t="shared" si="0"/>
        <v>6692788</v>
      </c>
    </row>
    <row r="49" spans="1:34">
      <c r="A49" s="1" t="s">
        <v>1</v>
      </c>
      <c r="B49" s="15" t="s">
        <v>100</v>
      </c>
      <c r="C49" s="49">
        <v>209683</v>
      </c>
      <c r="D49" s="50">
        <v>226804</v>
      </c>
      <c r="E49" s="50">
        <v>278862</v>
      </c>
      <c r="F49" s="50">
        <v>276091</v>
      </c>
      <c r="G49" s="50">
        <v>261006</v>
      </c>
      <c r="H49" s="50">
        <v>279351</v>
      </c>
      <c r="I49" s="50">
        <v>231298</v>
      </c>
      <c r="J49" s="50">
        <v>230950</v>
      </c>
      <c r="K49" s="50">
        <v>236480</v>
      </c>
      <c r="L49" s="50">
        <v>273388</v>
      </c>
      <c r="M49" s="50">
        <v>250042</v>
      </c>
      <c r="N49" s="50">
        <v>221564</v>
      </c>
      <c r="O49" s="50">
        <v>256319</v>
      </c>
      <c r="P49" s="50">
        <v>271626</v>
      </c>
      <c r="Q49" s="50">
        <v>233681</v>
      </c>
      <c r="R49" s="50">
        <v>239560</v>
      </c>
      <c r="S49" s="50">
        <v>274062</v>
      </c>
      <c r="T49" s="50">
        <v>226199</v>
      </c>
      <c r="U49" s="64">
        <v>233052</v>
      </c>
      <c r="V49" s="17">
        <f t="shared" si="4"/>
        <v>4710018</v>
      </c>
      <c r="W49" s="75">
        <v>275504</v>
      </c>
      <c r="X49" s="50">
        <v>306298</v>
      </c>
      <c r="Y49" s="50">
        <v>83550</v>
      </c>
      <c r="Z49" s="50">
        <v>95903</v>
      </c>
      <c r="AA49" s="50">
        <v>74034</v>
      </c>
      <c r="AB49" s="50">
        <v>75921</v>
      </c>
      <c r="AC49" s="50">
        <v>66861</v>
      </c>
      <c r="AD49" s="16">
        <v>94643</v>
      </c>
      <c r="AE49" s="17">
        <f t="shared" si="5"/>
        <v>1072714</v>
      </c>
      <c r="AF49" s="75">
        <v>283942</v>
      </c>
      <c r="AG49" s="16">
        <f t="shared" si="6"/>
        <v>283942</v>
      </c>
      <c r="AH49" s="17">
        <f t="shared" si="0"/>
        <v>6066674</v>
      </c>
    </row>
    <row r="50" spans="1:34">
      <c r="A50" s="1" t="s">
        <v>1</v>
      </c>
      <c r="B50" s="15" t="s">
        <v>101</v>
      </c>
      <c r="C50" s="49">
        <v>209683</v>
      </c>
      <c r="D50" s="50">
        <v>226804</v>
      </c>
      <c r="E50" s="50">
        <v>278862</v>
      </c>
      <c r="F50" s="50">
        <v>276091</v>
      </c>
      <c r="G50" s="50">
        <v>261006</v>
      </c>
      <c r="H50" s="50">
        <v>279351</v>
      </c>
      <c r="I50" s="50">
        <v>231298</v>
      </c>
      <c r="J50" s="50">
        <v>230950</v>
      </c>
      <c r="K50" s="50">
        <v>236480</v>
      </c>
      <c r="L50" s="50">
        <v>273388</v>
      </c>
      <c r="M50" s="50">
        <v>250042</v>
      </c>
      <c r="N50" s="50">
        <v>221564</v>
      </c>
      <c r="O50" s="50">
        <v>256319</v>
      </c>
      <c r="P50" s="50">
        <v>271626</v>
      </c>
      <c r="Q50" s="50">
        <v>233681</v>
      </c>
      <c r="R50" s="50">
        <v>239560</v>
      </c>
      <c r="S50" s="50">
        <v>274062</v>
      </c>
      <c r="T50" s="50">
        <v>226199</v>
      </c>
      <c r="U50" s="64">
        <v>233052</v>
      </c>
      <c r="V50" s="17">
        <f t="shared" si="4"/>
        <v>4710018</v>
      </c>
      <c r="W50" s="75">
        <v>275504</v>
      </c>
      <c r="X50" s="50">
        <v>306298</v>
      </c>
      <c r="Y50" s="50">
        <v>83550</v>
      </c>
      <c r="Z50" s="50">
        <v>95903</v>
      </c>
      <c r="AA50" s="50">
        <v>74034</v>
      </c>
      <c r="AB50" s="50">
        <v>75921</v>
      </c>
      <c r="AC50" s="50">
        <v>66861</v>
      </c>
      <c r="AD50" s="16">
        <v>94643</v>
      </c>
      <c r="AE50" s="17">
        <f t="shared" si="5"/>
        <v>1072714</v>
      </c>
      <c r="AF50" s="75">
        <v>283942</v>
      </c>
      <c r="AG50" s="16">
        <f t="shared" si="6"/>
        <v>283942</v>
      </c>
      <c r="AH50" s="17">
        <f t="shared" si="0"/>
        <v>6066674</v>
      </c>
    </row>
    <row r="51" spans="1:34">
      <c r="A51" s="1" t="s">
        <v>1</v>
      </c>
      <c r="B51" s="5" t="s">
        <v>102</v>
      </c>
      <c r="C51" s="47">
        <v>1</v>
      </c>
      <c r="D51" s="48">
        <v>0</v>
      </c>
      <c r="E51" s="48">
        <v>1</v>
      </c>
      <c r="F51" s="48">
        <v>0</v>
      </c>
      <c r="G51" s="48">
        <v>1</v>
      </c>
      <c r="H51" s="48">
        <v>0</v>
      </c>
      <c r="I51" s="48">
        <v>0</v>
      </c>
      <c r="J51" s="48">
        <v>1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3</v>
      </c>
      <c r="Q51" s="48">
        <v>0</v>
      </c>
      <c r="R51" s="48">
        <v>0</v>
      </c>
      <c r="S51" s="48">
        <v>1</v>
      </c>
      <c r="T51" s="48">
        <v>0</v>
      </c>
      <c r="U51" s="63">
        <v>0</v>
      </c>
      <c r="V51" s="7"/>
      <c r="W51" s="74">
        <v>0</v>
      </c>
      <c r="X51" s="48">
        <v>1</v>
      </c>
      <c r="Y51" s="48">
        <v>0</v>
      </c>
      <c r="Z51" s="48">
        <v>0</v>
      </c>
      <c r="AA51" s="48">
        <v>1</v>
      </c>
      <c r="AB51" s="48">
        <v>1</v>
      </c>
      <c r="AC51" s="48">
        <v>1</v>
      </c>
      <c r="AD51" s="6">
        <v>1</v>
      </c>
      <c r="AE51" s="7"/>
      <c r="AF51" s="74">
        <v>0</v>
      </c>
      <c r="AG51" s="6"/>
      <c r="AH51" s="7"/>
    </row>
    <row r="52" spans="1:34" ht="19.5" thickBot="1">
      <c r="A52" s="1" t="s">
        <v>1</v>
      </c>
      <c r="B52" s="8" t="s">
        <v>103</v>
      </c>
      <c r="C52" s="51" t="s">
        <v>104</v>
      </c>
      <c r="D52" s="52" t="s">
        <v>104</v>
      </c>
      <c r="E52" s="52" t="s">
        <v>104</v>
      </c>
      <c r="F52" s="52" t="s">
        <v>104</v>
      </c>
      <c r="G52" s="52" t="s">
        <v>104</v>
      </c>
      <c r="H52" s="52" t="s">
        <v>104</v>
      </c>
      <c r="I52" s="52" t="s">
        <v>104</v>
      </c>
      <c r="J52" s="52" t="s">
        <v>104</v>
      </c>
      <c r="K52" s="52" t="s">
        <v>104</v>
      </c>
      <c r="L52" s="52" t="s">
        <v>104</v>
      </c>
      <c r="M52" s="52" t="s">
        <v>104</v>
      </c>
      <c r="N52" s="52" t="s">
        <v>104</v>
      </c>
      <c r="O52" s="52" t="s">
        <v>104</v>
      </c>
      <c r="P52" s="52" t="s">
        <v>104</v>
      </c>
      <c r="Q52" s="52" t="s">
        <v>104</v>
      </c>
      <c r="R52" s="52" t="s">
        <v>104</v>
      </c>
      <c r="S52" s="52" t="s">
        <v>104</v>
      </c>
      <c r="T52" s="52" t="s">
        <v>104</v>
      </c>
      <c r="U52" s="65" t="s">
        <v>104</v>
      </c>
      <c r="V52" s="10"/>
      <c r="W52" s="76" t="s">
        <v>104</v>
      </c>
      <c r="X52" s="52" t="s">
        <v>104</v>
      </c>
      <c r="Y52" s="52" t="s">
        <v>104</v>
      </c>
      <c r="Z52" s="52" t="s">
        <v>104</v>
      </c>
      <c r="AA52" s="52" t="s">
        <v>104</v>
      </c>
      <c r="AB52" s="52" t="s">
        <v>104</v>
      </c>
      <c r="AC52" s="52" t="s">
        <v>104</v>
      </c>
      <c r="AD52" s="9" t="s">
        <v>104</v>
      </c>
      <c r="AE52" s="10"/>
      <c r="AF52" s="76" t="s">
        <v>104</v>
      </c>
      <c r="AG52" s="9"/>
      <c r="AH52" s="10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A76C-7AEE-4E00-AC50-5C3A70EB50A5}">
  <sheetPr>
    <pageSetUpPr fitToPage="1"/>
  </sheetPr>
  <dimension ref="A1:N54"/>
  <sheetViews>
    <sheetView tabSelected="1" workbookViewId="0">
      <pane xSplit="2" ySplit="4" topLeftCell="C44" activePane="bottomRight" state="frozen"/>
      <selection pane="topRight" activeCell="C1" sqref="C1"/>
      <selection pane="bottomLeft" activeCell="A9" sqref="A9"/>
      <selection pane="bottomRight" activeCell="F55" sqref="F55"/>
    </sheetView>
  </sheetViews>
  <sheetFormatPr defaultRowHeight="18.75"/>
  <cols>
    <col min="1" max="1" width="2.375" style="2" customWidth="1"/>
    <col min="2" max="2" width="13.25" style="2" bestFit="1" customWidth="1"/>
    <col min="3" max="14" width="11.2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105</v>
      </c>
    </row>
    <row r="3" spans="1:14">
      <c r="B3" s="11"/>
      <c r="C3" s="66" t="s">
        <v>17</v>
      </c>
      <c r="D3" s="32" t="s">
        <v>4</v>
      </c>
      <c r="E3" s="32" t="s">
        <v>26</v>
      </c>
      <c r="F3" s="32" t="s">
        <v>27</v>
      </c>
      <c r="G3" s="32" t="s">
        <v>24</v>
      </c>
      <c r="H3" s="32" t="s">
        <v>25</v>
      </c>
      <c r="I3" s="32" t="s">
        <v>28</v>
      </c>
      <c r="J3" s="79" t="s">
        <v>29</v>
      </c>
      <c r="K3" s="77" t="s">
        <v>107</v>
      </c>
      <c r="L3" s="66" t="s">
        <v>5</v>
      </c>
      <c r="M3" s="80" t="s">
        <v>107</v>
      </c>
      <c r="N3" s="81" t="s">
        <v>58</v>
      </c>
    </row>
    <row r="4" spans="1:14" ht="19.5" thickBot="1">
      <c r="B4" s="4" t="s">
        <v>30</v>
      </c>
      <c r="C4" s="67" t="s">
        <v>45</v>
      </c>
      <c r="D4" s="34" t="s">
        <v>106</v>
      </c>
      <c r="E4" s="34" t="s">
        <v>54</v>
      </c>
      <c r="F4" s="34" t="s">
        <v>55</v>
      </c>
      <c r="G4" s="34" t="s">
        <v>52</v>
      </c>
      <c r="H4" s="34" t="s">
        <v>53</v>
      </c>
      <c r="I4" s="34" t="s">
        <v>56</v>
      </c>
      <c r="J4" s="3" t="s">
        <v>57</v>
      </c>
      <c r="K4" s="78" t="s">
        <v>109</v>
      </c>
      <c r="L4" s="67" t="s">
        <v>33</v>
      </c>
      <c r="M4" s="53" t="s">
        <v>110</v>
      </c>
      <c r="N4" s="54" t="s">
        <v>111</v>
      </c>
    </row>
    <row r="5" spans="1:14">
      <c r="A5" s="1" t="s">
        <v>1</v>
      </c>
      <c r="B5" s="82" t="s">
        <v>59</v>
      </c>
      <c r="C5" s="88">
        <v>19</v>
      </c>
      <c r="D5" s="84">
        <v>21</v>
      </c>
      <c r="E5" s="84">
        <v>14</v>
      </c>
      <c r="F5" s="84">
        <v>18</v>
      </c>
      <c r="G5" s="84">
        <v>10</v>
      </c>
      <c r="H5" s="84">
        <v>10</v>
      </c>
      <c r="I5" s="84">
        <v>9</v>
      </c>
      <c r="J5" s="85">
        <v>21</v>
      </c>
      <c r="K5" s="86">
        <f>SUM(C5:J5)</f>
        <v>122</v>
      </c>
      <c r="L5" s="88">
        <v>20</v>
      </c>
      <c r="M5" s="85">
        <f>SUM(L5)</f>
        <v>20</v>
      </c>
      <c r="N5" s="86">
        <v>503</v>
      </c>
    </row>
    <row r="6" spans="1:14">
      <c r="A6" s="1" t="s">
        <v>1</v>
      </c>
      <c r="B6" s="21" t="s">
        <v>60</v>
      </c>
      <c r="C6" s="68">
        <v>0</v>
      </c>
      <c r="D6" s="36">
        <v>4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22">
        <v>0</v>
      </c>
      <c r="K6" s="23">
        <f>SUM(C6:J6)</f>
        <v>4</v>
      </c>
      <c r="L6" s="68">
        <v>0</v>
      </c>
      <c r="M6" s="22">
        <f>SUM(L6)</f>
        <v>0</v>
      </c>
      <c r="N6" s="23">
        <v>56</v>
      </c>
    </row>
    <row r="7" spans="1:14">
      <c r="A7" s="1" t="s">
        <v>1</v>
      </c>
      <c r="B7" s="21" t="s">
        <v>61</v>
      </c>
      <c r="C7" s="68">
        <v>0</v>
      </c>
      <c r="D7" s="36">
        <v>1</v>
      </c>
      <c r="E7" s="36">
        <v>0</v>
      </c>
      <c r="F7" s="36">
        <v>1</v>
      </c>
      <c r="G7" s="36">
        <v>0</v>
      </c>
      <c r="H7" s="36">
        <v>0</v>
      </c>
      <c r="I7" s="36">
        <v>0</v>
      </c>
      <c r="J7" s="22">
        <v>0</v>
      </c>
      <c r="K7" s="23">
        <f t="shared" ref="K7:K18" si="0">SUM(C7:J7)</f>
        <v>2</v>
      </c>
      <c r="L7" s="68">
        <v>0</v>
      </c>
      <c r="M7" s="22">
        <f t="shared" ref="M7:M17" si="1">SUM(L7)</f>
        <v>0</v>
      </c>
      <c r="N7" s="23">
        <v>39</v>
      </c>
    </row>
    <row r="8" spans="1:14">
      <c r="A8" s="1" t="s">
        <v>1</v>
      </c>
      <c r="B8" s="24" t="s">
        <v>62</v>
      </c>
      <c r="C8" s="69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25">
        <v>0</v>
      </c>
      <c r="K8" s="26">
        <f t="shared" si="0"/>
        <v>0</v>
      </c>
      <c r="L8" s="69">
        <v>0</v>
      </c>
      <c r="M8" s="25">
        <f t="shared" si="1"/>
        <v>0</v>
      </c>
      <c r="N8" s="26">
        <v>14</v>
      </c>
    </row>
    <row r="9" spans="1:14">
      <c r="A9" s="1" t="s">
        <v>1</v>
      </c>
      <c r="B9" s="24" t="s">
        <v>63</v>
      </c>
      <c r="C9" s="69">
        <v>2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25">
        <v>0</v>
      </c>
      <c r="K9" s="26">
        <f t="shared" si="0"/>
        <v>2</v>
      </c>
      <c r="L9" s="69">
        <v>1</v>
      </c>
      <c r="M9" s="25">
        <f t="shared" si="1"/>
        <v>1</v>
      </c>
      <c r="N9" s="26">
        <v>27</v>
      </c>
    </row>
    <row r="10" spans="1:14">
      <c r="A10" s="1" t="s">
        <v>1</v>
      </c>
      <c r="B10" s="24" t="s">
        <v>64</v>
      </c>
      <c r="C10" s="70">
        <v>0</v>
      </c>
      <c r="D10" s="40">
        <v>0</v>
      </c>
      <c r="E10" s="40">
        <v>3.625</v>
      </c>
      <c r="F10" s="40">
        <v>4.041666666666667</v>
      </c>
      <c r="G10" s="40">
        <v>2.9166666666666665</v>
      </c>
      <c r="H10" s="40">
        <v>2.9583333333333335</v>
      </c>
      <c r="I10" s="40">
        <v>2.8333333333333335</v>
      </c>
      <c r="J10" s="27">
        <v>4.5</v>
      </c>
      <c r="K10" s="28">
        <f t="shared" si="0"/>
        <v>20.875</v>
      </c>
      <c r="L10" s="70">
        <v>0</v>
      </c>
      <c r="M10" s="27">
        <f t="shared" si="1"/>
        <v>0</v>
      </c>
      <c r="N10" s="28">
        <v>20.875</v>
      </c>
    </row>
    <row r="11" spans="1:14">
      <c r="A11" s="1" t="s">
        <v>1</v>
      </c>
      <c r="B11" s="24" t="s">
        <v>65</v>
      </c>
      <c r="C11" s="70">
        <v>0</v>
      </c>
      <c r="D11" s="40">
        <v>1.3333333333333333</v>
      </c>
      <c r="E11" s="40">
        <v>0</v>
      </c>
      <c r="F11" s="40">
        <v>0</v>
      </c>
      <c r="G11" s="40">
        <v>0</v>
      </c>
      <c r="H11" s="40">
        <v>0</v>
      </c>
      <c r="I11" s="40">
        <v>4.1666666666666664E-2</v>
      </c>
      <c r="J11" s="27">
        <v>0</v>
      </c>
      <c r="K11" s="28">
        <f t="shared" si="0"/>
        <v>1.375</v>
      </c>
      <c r="L11" s="70">
        <v>0</v>
      </c>
      <c r="M11" s="27">
        <f t="shared" si="1"/>
        <v>0</v>
      </c>
      <c r="N11" s="28">
        <v>37.666666666666664</v>
      </c>
    </row>
    <row r="12" spans="1:14">
      <c r="A12" s="1" t="s">
        <v>1</v>
      </c>
      <c r="B12" s="24" t="s">
        <v>66</v>
      </c>
      <c r="C12" s="70">
        <v>0</v>
      </c>
      <c r="D12" s="40">
        <v>0.83333333333333337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27">
        <v>0</v>
      </c>
      <c r="K12" s="28">
        <f t="shared" si="0"/>
        <v>0.83333333333333337</v>
      </c>
      <c r="L12" s="70">
        <v>0</v>
      </c>
      <c r="M12" s="27">
        <f t="shared" si="1"/>
        <v>0</v>
      </c>
      <c r="N12" s="28">
        <v>15.833333333333334</v>
      </c>
    </row>
    <row r="13" spans="1:14">
      <c r="A13" s="1" t="s">
        <v>1</v>
      </c>
      <c r="B13" s="24" t="s">
        <v>67</v>
      </c>
      <c r="C13" s="70">
        <v>0</v>
      </c>
      <c r="D13" s="40">
        <v>8.3333333333333329E-2</v>
      </c>
      <c r="E13" s="40">
        <v>0</v>
      </c>
      <c r="F13" s="40">
        <v>0.125</v>
      </c>
      <c r="G13" s="40">
        <v>0</v>
      </c>
      <c r="H13" s="40">
        <v>0</v>
      </c>
      <c r="I13" s="40">
        <v>0</v>
      </c>
      <c r="J13" s="27">
        <v>0</v>
      </c>
      <c r="K13" s="28">
        <f t="shared" si="0"/>
        <v>0.20833333333333331</v>
      </c>
      <c r="L13" s="70">
        <v>0</v>
      </c>
      <c r="M13" s="27">
        <f t="shared" si="1"/>
        <v>0</v>
      </c>
      <c r="N13" s="28">
        <v>11.708333333333334</v>
      </c>
    </row>
    <row r="14" spans="1:14">
      <c r="A14" s="1" t="s">
        <v>1</v>
      </c>
      <c r="B14" s="24" t="s">
        <v>68</v>
      </c>
      <c r="C14" s="7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27">
        <v>0</v>
      </c>
      <c r="K14" s="28">
        <f t="shared" si="0"/>
        <v>0</v>
      </c>
      <c r="L14" s="70">
        <v>0</v>
      </c>
      <c r="M14" s="27">
        <f t="shared" si="1"/>
        <v>0</v>
      </c>
      <c r="N14" s="28">
        <v>2.6666666666666665</v>
      </c>
    </row>
    <row r="15" spans="1:14">
      <c r="A15" s="1" t="s">
        <v>1</v>
      </c>
      <c r="B15" s="24" t="s">
        <v>69</v>
      </c>
      <c r="C15" s="7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27">
        <v>0</v>
      </c>
      <c r="K15" s="28">
        <f t="shared" si="0"/>
        <v>0</v>
      </c>
      <c r="L15" s="70">
        <v>0</v>
      </c>
      <c r="M15" s="27">
        <f t="shared" si="1"/>
        <v>0</v>
      </c>
      <c r="N15" s="28">
        <v>1.6666666666666665</v>
      </c>
    </row>
    <row r="16" spans="1:14">
      <c r="A16" s="1" t="s">
        <v>1</v>
      </c>
      <c r="B16" s="5" t="s">
        <v>70</v>
      </c>
      <c r="C16" s="7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27">
        <v>0</v>
      </c>
      <c r="K16" s="28">
        <f t="shared" si="0"/>
        <v>0</v>
      </c>
      <c r="L16" s="70">
        <v>0</v>
      </c>
      <c r="M16" s="27">
        <f t="shared" si="1"/>
        <v>0</v>
      </c>
      <c r="N16" s="28">
        <v>1.2083333333333335</v>
      </c>
    </row>
    <row r="17" spans="1:14">
      <c r="A17" s="1" t="s">
        <v>1</v>
      </c>
      <c r="B17" s="5" t="s">
        <v>71</v>
      </c>
      <c r="C17" s="70">
        <v>4.1666666666666664E-2</v>
      </c>
      <c r="D17" s="40">
        <v>8.3333333333333329E-2</v>
      </c>
      <c r="E17" s="40">
        <v>0</v>
      </c>
      <c r="F17" s="40">
        <v>0</v>
      </c>
      <c r="G17" s="40">
        <v>2.0833333333333335</v>
      </c>
      <c r="H17" s="40">
        <v>2.0833333333333335</v>
      </c>
      <c r="I17" s="40">
        <v>0.83333333333333337</v>
      </c>
      <c r="J17" s="27">
        <v>1.25</v>
      </c>
      <c r="K17" s="28">
        <f t="shared" si="0"/>
        <v>6.375</v>
      </c>
      <c r="L17" s="70">
        <v>0</v>
      </c>
      <c r="M17" s="27">
        <f t="shared" si="1"/>
        <v>0</v>
      </c>
      <c r="N17" s="28">
        <v>17.291666666666664</v>
      </c>
    </row>
    <row r="18" spans="1:14">
      <c r="A18" s="1" t="s">
        <v>1</v>
      </c>
      <c r="B18" s="12" t="s">
        <v>72</v>
      </c>
      <c r="C18" s="71">
        <v>32</v>
      </c>
      <c r="D18" s="42">
        <v>40</v>
      </c>
      <c r="E18" s="42">
        <v>22</v>
      </c>
      <c r="F18" s="42">
        <v>22</v>
      </c>
      <c r="G18" s="42">
        <v>7</v>
      </c>
      <c r="H18" s="42">
        <v>6</v>
      </c>
      <c r="I18" s="42">
        <v>5</v>
      </c>
      <c r="J18" s="13">
        <v>20</v>
      </c>
      <c r="K18" s="14">
        <f t="shared" si="0"/>
        <v>154</v>
      </c>
      <c r="L18" s="71">
        <v>39</v>
      </c>
      <c r="M18" s="13"/>
      <c r="N18" s="14">
        <v>641</v>
      </c>
    </row>
    <row r="19" spans="1:14">
      <c r="A19" s="1" t="s">
        <v>1</v>
      </c>
      <c r="B19" s="18" t="s">
        <v>73</v>
      </c>
      <c r="C19" s="72">
        <v>355000</v>
      </c>
      <c r="D19" s="44">
        <v>270000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19">
        <v>0</v>
      </c>
      <c r="K19" s="20">
        <f>SUM(C19:J19)</f>
        <v>625000</v>
      </c>
      <c r="L19" s="72">
        <v>365000</v>
      </c>
      <c r="M19" s="19">
        <f>SUM(L19)</f>
        <v>365000</v>
      </c>
      <c r="N19" s="20">
        <v>4396000</v>
      </c>
    </row>
    <row r="20" spans="1:14">
      <c r="A20" s="1" t="s">
        <v>1</v>
      </c>
      <c r="B20" s="24" t="s">
        <v>74</v>
      </c>
      <c r="C20" s="73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29">
        <v>0</v>
      </c>
      <c r="K20" s="30">
        <f t="shared" ref="K20:K50" si="2">SUM(C20:J20)</f>
        <v>0</v>
      </c>
      <c r="L20" s="73">
        <v>0</v>
      </c>
      <c r="M20" s="29">
        <f t="shared" ref="M20:M50" si="3">SUM(L20)</f>
        <v>0</v>
      </c>
      <c r="N20" s="30">
        <v>35000</v>
      </c>
    </row>
    <row r="21" spans="1:14">
      <c r="A21" s="1" t="s">
        <v>1</v>
      </c>
      <c r="B21" s="24" t="s">
        <v>75</v>
      </c>
      <c r="C21" s="73">
        <v>0</v>
      </c>
      <c r="D21" s="46">
        <v>3000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29">
        <v>0</v>
      </c>
      <c r="K21" s="30">
        <f t="shared" si="2"/>
        <v>3000</v>
      </c>
      <c r="L21" s="73">
        <v>0</v>
      </c>
      <c r="M21" s="29">
        <f t="shared" si="3"/>
        <v>0</v>
      </c>
      <c r="N21" s="30">
        <v>6000</v>
      </c>
    </row>
    <row r="22" spans="1:14">
      <c r="A22" s="1" t="s">
        <v>1</v>
      </c>
      <c r="B22" s="24" t="s">
        <v>76</v>
      </c>
      <c r="C22" s="73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29">
        <v>0</v>
      </c>
      <c r="K22" s="30">
        <f t="shared" si="2"/>
        <v>0</v>
      </c>
      <c r="L22" s="73">
        <v>0</v>
      </c>
      <c r="M22" s="29">
        <f t="shared" si="3"/>
        <v>0</v>
      </c>
      <c r="N22" s="30">
        <v>194599</v>
      </c>
    </row>
    <row r="23" spans="1:14">
      <c r="A23" s="1" t="s">
        <v>1</v>
      </c>
      <c r="B23" s="24" t="s">
        <v>77</v>
      </c>
      <c r="C23" s="73">
        <v>0</v>
      </c>
      <c r="D23" s="46">
        <v>1000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29">
        <v>0</v>
      </c>
      <c r="K23" s="30">
        <f t="shared" si="2"/>
        <v>1000</v>
      </c>
      <c r="L23" s="73">
        <v>0</v>
      </c>
      <c r="M23" s="29">
        <f t="shared" si="3"/>
        <v>0</v>
      </c>
      <c r="N23" s="30">
        <v>1000</v>
      </c>
    </row>
    <row r="24" spans="1:14">
      <c r="A24" s="1" t="s">
        <v>1</v>
      </c>
      <c r="B24" s="24" t="s">
        <v>78</v>
      </c>
      <c r="C24" s="73">
        <v>0</v>
      </c>
      <c r="D24" s="46">
        <v>0</v>
      </c>
      <c r="E24" s="46">
        <v>81780</v>
      </c>
      <c r="F24" s="46">
        <v>91180</v>
      </c>
      <c r="G24" s="46">
        <v>60200</v>
      </c>
      <c r="H24" s="46">
        <v>61060</v>
      </c>
      <c r="I24" s="46">
        <v>58480</v>
      </c>
      <c r="J24" s="29">
        <v>92880</v>
      </c>
      <c r="K24" s="30">
        <f t="shared" si="2"/>
        <v>445580</v>
      </c>
      <c r="L24" s="73">
        <v>0</v>
      </c>
      <c r="M24" s="29">
        <f t="shared" si="3"/>
        <v>0</v>
      </c>
      <c r="N24" s="30">
        <v>445580</v>
      </c>
    </row>
    <row r="25" spans="1:14">
      <c r="A25" s="1" t="s">
        <v>1</v>
      </c>
      <c r="B25" s="24" t="s">
        <v>79</v>
      </c>
      <c r="C25" s="73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29">
        <v>0</v>
      </c>
      <c r="K25" s="30">
        <f t="shared" si="2"/>
        <v>0</v>
      </c>
      <c r="L25" s="73">
        <v>0</v>
      </c>
      <c r="M25" s="29">
        <f t="shared" si="3"/>
        <v>0</v>
      </c>
      <c r="N25" s="30">
        <v>341700</v>
      </c>
    </row>
    <row r="26" spans="1:14">
      <c r="A26" s="1" t="s">
        <v>1</v>
      </c>
      <c r="B26" s="24" t="s">
        <v>80</v>
      </c>
      <c r="C26" s="73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29">
        <v>0</v>
      </c>
      <c r="K26" s="30">
        <f t="shared" si="2"/>
        <v>0</v>
      </c>
      <c r="L26" s="73">
        <v>0</v>
      </c>
      <c r="M26" s="29">
        <f t="shared" si="3"/>
        <v>0</v>
      </c>
      <c r="N26" s="30">
        <v>26000</v>
      </c>
    </row>
    <row r="27" spans="1:14">
      <c r="A27" s="1" t="s">
        <v>1</v>
      </c>
      <c r="B27" s="24" t="s">
        <v>65</v>
      </c>
      <c r="C27" s="73">
        <v>0</v>
      </c>
      <c r="D27" s="46">
        <v>65408</v>
      </c>
      <c r="E27" s="46">
        <v>0</v>
      </c>
      <c r="F27" s="46">
        <v>0</v>
      </c>
      <c r="G27" s="46">
        <v>0</v>
      </c>
      <c r="H27" s="46">
        <v>0</v>
      </c>
      <c r="I27" s="46">
        <v>1075</v>
      </c>
      <c r="J27" s="29">
        <v>0</v>
      </c>
      <c r="K27" s="30">
        <f t="shared" si="2"/>
        <v>66483</v>
      </c>
      <c r="L27" s="73">
        <v>0</v>
      </c>
      <c r="M27" s="29">
        <f t="shared" si="3"/>
        <v>0</v>
      </c>
      <c r="N27" s="30">
        <v>1253898</v>
      </c>
    </row>
    <row r="28" spans="1:14">
      <c r="A28" s="1" t="s">
        <v>1</v>
      </c>
      <c r="B28" s="24" t="s">
        <v>81</v>
      </c>
      <c r="C28" s="73">
        <v>0</v>
      </c>
      <c r="D28" s="46">
        <v>44140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29">
        <v>0</v>
      </c>
      <c r="K28" s="30">
        <f t="shared" si="2"/>
        <v>44140</v>
      </c>
      <c r="L28" s="73">
        <v>0</v>
      </c>
      <c r="M28" s="29">
        <f t="shared" si="3"/>
        <v>0</v>
      </c>
      <c r="N28" s="30">
        <v>571708</v>
      </c>
    </row>
    <row r="29" spans="1:14">
      <c r="A29" s="1" t="s">
        <v>1</v>
      </c>
      <c r="B29" s="24" t="s">
        <v>82</v>
      </c>
      <c r="C29" s="73">
        <v>0</v>
      </c>
      <c r="D29" s="46">
        <v>4414</v>
      </c>
      <c r="E29" s="46">
        <v>0</v>
      </c>
      <c r="F29" s="46">
        <v>3807</v>
      </c>
      <c r="G29" s="46">
        <v>0</v>
      </c>
      <c r="H29" s="46">
        <v>0</v>
      </c>
      <c r="I29" s="46">
        <v>0</v>
      </c>
      <c r="J29" s="29">
        <v>0</v>
      </c>
      <c r="K29" s="30">
        <f t="shared" si="2"/>
        <v>8221</v>
      </c>
      <c r="L29" s="73">
        <v>0</v>
      </c>
      <c r="M29" s="29">
        <f t="shared" si="3"/>
        <v>0</v>
      </c>
      <c r="N29" s="30">
        <v>414318</v>
      </c>
    </row>
    <row r="30" spans="1:14">
      <c r="A30" s="1" t="s">
        <v>1</v>
      </c>
      <c r="B30" s="24" t="s">
        <v>83</v>
      </c>
      <c r="C30" s="73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29">
        <v>0</v>
      </c>
      <c r="K30" s="30">
        <f t="shared" si="2"/>
        <v>0</v>
      </c>
      <c r="L30" s="73">
        <v>0</v>
      </c>
      <c r="M30" s="29">
        <f t="shared" si="3"/>
        <v>0</v>
      </c>
      <c r="N30" s="30">
        <v>23847</v>
      </c>
    </row>
    <row r="31" spans="1:14">
      <c r="A31" s="1" t="s">
        <v>1</v>
      </c>
      <c r="B31" s="24" t="s">
        <v>84</v>
      </c>
      <c r="C31" s="73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29">
        <v>0</v>
      </c>
      <c r="K31" s="30">
        <f t="shared" si="2"/>
        <v>0</v>
      </c>
      <c r="L31" s="73">
        <v>0</v>
      </c>
      <c r="M31" s="29">
        <f t="shared" si="3"/>
        <v>0</v>
      </c>
      <c r="N31" s="30">
        <v>15050</v>
      </c>
    </row>
    <row r="32" spans="1:14">
      <c r="A32" s="1" t="s">
        <v>1</v>
      </c>
      <c r="B32" s="24" t="s">
        <v>70</v>
      </c>
      <c r="C32" s="73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29">
        <v>0</v>
      </c>
      <c r="K32" s="30">
        <f t="shared" si="2"/>
        <v>0</v>
      </c>
      <c r="L32" s="73">
        <v>0</v>
      </c>
      <c r="M32" s="29">
        <f t="shared" si="3"/>
        <v>0</v>
      </c>
      <c r="N32" s="30">
        <v>7842</v>
      </c>
    </row>
    <row r="33" spans="1:14">
      <c r="A33" s="1" t="s">
        <v>1</v>
      </c>
      <c r="B33" s="5" t="s">
        <v>71</v>
      </c>
      <c r="C33" s="74">
        <v>532</v>
      </c>
      <c r="D33" s="48">
        <v>818</v>
      </c>
      <c r="E33" s="48">
        <v>0</v>
      </c>
      <c r="F33" s="48">
        <v>0</v>
      </c>
      <c r="G33" s="48">
        <v>10750</v>
      </c>
      <c r="H33" s="48">
        <v>10750</v>
      </c>
      <c r="I33" s="48">
        <v>4300</v>
      </c>
      <c r="J33" s="6">
        <v>6450</v>
      </c>
      <c r="K33" s="7">
        <f t="shared" si="2"/>
        <v>33600</v>
      </c>
      <c r="L33" s="74">
        <v>0</v>
      </c>
      <c r="M33" s="6">
        <f t="shared" si="3"/>
        <v>0</v>
      </c>
      <c r="N33" s="7">
        <v>105244</v>
      </c>
    </row>
    <row r="34" spans="1:14">
      <c r="A34" s="1" t="s">
        <v>1</v>
      </c>
      <c r="B34" s="15" t="s">
        <v>85</v>
      </c>
      <c r="C34" s="75">
        <v>355532</v>
      </c>
      <c r="D34" s="50">
        <v>388780</v>
      </c>
      <c r="E34" s="50">
        <v>81780</v>
      </c>
      <c r="F34" s="50">
        <v>94987</v>
      </c>
      <c r="G34" s="50">
        <v>70950</v>
      </c>
      <c r="H34" s="50">
        <v>71810</v>
      </c>
      <c r="I34" s="50">
        <v>63855</v>
      </c>
      <c r="J34" s="16">
        <v>99330</v>
      </c>
      <c r="K34" s="17">
        <f t="shared" si="2"/>
        <v>1227024</v>
      </c>
      <c r="L34" s="75">
        <v>365000</v>
      </c>
      <c r="M34" s="16">
        <f t="shared" si="3"/>
        <v>365000</v>
      </c>
      <c r="N34" s="17">
        <v>7837786</v>
      </c>
    </row>
    <row r="35" spans="1:14">
      <c r="A35" s="1" t="s">
        <v>1</v>
      </c>
      <c r="B35" s="18" t="s">
        <v>86</v>
      </c>
      <c r="C35" s="72">
        <v>3084</v>
      </c>
      <c r="D35" s="44">
        <v>6012</v>
      </c>
      <c r="E35" s="44">
        <v>2878</v>
      </c>
      <c r="F35" s="44">
        <v>2441</v>
      </c>
      <c r="G35" s="44">
        <v>3084</v>
      </c>
      <c r="H35" s="44">
        <v>4111</v>
      </c>
      <c r="I35" s="44">
        <v>3006</v>
      </c>
      <c r="J35" s="19">
        <v>7554</v>
      </c>
      <c r="K35" s="20">
        <f t="shared" si="2"/>
        <v>32170</v>
      </c>
      <c r="L35" s="72">
        <v>5344</v>
      </c>
      <c r="M35" s="19">
        <f t="shared" si="3"/>
        <v>5344</v>
      </c>
      <c r="N35" s="20">
        <v>149646</v>
      </c>
    </row>
    <row r="36" spans="1:14">
      <c r="A36" s="1" t="s">
        <v>1</v>
      </c>
      <c r="B36" s="5" t="s">
        <v>87</v>
      </c>
      <c r="C36" s="74">
        <v>3084</v>
      </c>
      <c r="D36" s="48">
        <v>6012</v>
      </c>
      <c r="E36" s="48">
        <v>2878</v>
      </c>
      <c r="F36" s="48">
        <v>2441</v>
      </c>
      <c r="G36" s="48">
        <v>3084</v>
      </c>
      <c r="H36" s="48">
        <v>4111</v>
      </c>
      <c r="I36" s="48">
        <v>3006</v>
      </c>
      <c r="J36" s="6">
        <v>7554</v>
      </c>
      <c r="K36" s="7">
        <f t="shared" si="2"/>
        <v>32170</v>
      </c>
      <c r="L36" s="74">
        <v>5344</v>
      </c>
      <c r="M36" s="6">
        <f t="shared" si="3"/>
        <v>5344</v>
      </c>
      <c r="N36" s="7">
        <v>149646</v>
      </c>
    </row>
    <row r="37" spans="1:14">
      <c r="A37" s="1" t="s">
        <v>1</v>
      </c>
      <c r="B37" s="15" t="s">
        <v>88</v>
      </c>
      <c r="C37" s="75">
        <v>358616</v>
      </c>
      <c r="D37" s="50">
        <v>394792</v>
      </c>
      <c r="E37" s="50">
        <v>84658</v>
      </c>
      <c r="F37" s="50">
        <v>97428</v>
      </c>
      <c r="G37" s="50">
        <v>74034</v>
      </c>
      <c r="H37" s="50">
        <v>75921</v>
      </c>
      <c r="I37" s="50">
        <v>66861</v>
      </c>
      <c r="J37" s="16">
        <v>106884</v>
      </c>
      <c r="K37" s="17">
        <f t="shared" si="2"/>
        <v>1259194</v>
      </c>
      <c r="L37" s="75">
        <v>370344</v>
      </c>
      <c r="M37" s="16">
        <f t="shared" si="3"/>
        <v>370344</v>
      </c>
      <c r="N37" s="17">
        <v>7987432</v>
      </c>
    </row>
    <row r="38" spans="1:14">
      <c r="A38" s="1" t="s">
        <v>1</v>
      </c>
      <c r="B38" s="18" t="s">
        <v>89</v>
      </c>
      <c r="C38" s="72">
        <v>19380</v>
      </c>
      <c r="D38" s="44">
        <v>20910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19">
        <v>0</v>
      </c>
      <c r="K38" s="20">
        <f t="shared" si="2"/>
        <v>40290</v>
      </c>
      <c r="L38" s="72">
        <v>19380</v>
      </c>
      <c r="M38" s="19">
        <f t="shared" si="3"/>
        <v>19380</v>
      </c>
      <c r="N38" s="20">
        <v>369750</v>
      </c>
    </row>
    <row r="39" spans="1:14">
      <c r="A39" s="1" t="s">
        <v>1</v>
      </c>
      <c r="B39" s="24" t="s">
        <v>90</v>
      </c>
      <c r="C39" s="73">
        <v>3420</v>
      </c>
      <c r="D39" s="46">
        <v>3690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29">
        <v>0</v>
      </c>
      <c r="K39" s="30">
        <f t="shared" si="2"/>
        <v>7110</v>
      </c>
      <c r="L39" s="73">
        <v>3420</v>
      </c>
      <c r="M39" s="29">
        <f t="shared" si="3"/>
        <v>3420</v>
      </c>
      <c r="N39" s="30">
        <v>65250</v>
      </c>
    </row>
    <row r="40" spans="1:14">
      <c r="A40" s="1" t="s">
        <v>1</v>
      </c>
      <c r="B40" s="24" t="s">
        <v>91</v>
      </c>
      <c r="C40" s="73">
        <v>34770</v>
      </c>
      <c r="D40" s="46">
        <v>37515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29">
        <v>0</v>
      </c>
      <c r="K40" s="30">
        <f t="shared" si="2"/>
        <v>72285</v>
      </c>
      <c r="L40" s="73">
        <v>34770</v>
      </c>
      <c r="M40" s="29">
        <f t="shared" si="3"/>
        <v>34770</v>
      </c>
      <c r="N40" s="30">
        <v>663375</v>
      </c>
    </row>
    <row r="41" spans="1:14">
      <c r="A41" s="1" t="s">
        <v>1</v>
      </c>
      <c r="B41" s="24" t="s">
        <v>92</v>
      </c>
      <c r="C41" s="73">
        <v>2152</v>
      </c>
      <c r="D41" s="46">
        <v>2369</v>
      </c>
      <c r="E41" s="46">
        <v>508</v>
      </c>
      <c r="F41" s="46">
        <v>585</v>
      </c>
      <c r="G41" s="46">
        <v>0</v>
      </c>
      <c r="H41" s="46">
        <v>0</v>
      </c>
      <c r="I41" s="46">
        <v>0</v>
      </c>
      <c r="J41" s="29">
        <v>641</v>
      </c>
      <c r="K41" s="30">
        <f t="shared" si="2"/>
        <v>6255</v>
      </c>
      <c r="L41" s="73">
        <v>2222</v>
      </c>
      <c r="M41" s="29">
        <f t="shared" si="3"/>
        <v>2222</v>
      </c>
      <c r="N41" s="30">
        <v>46623</v>
      </c>
    </row>
    <row r="42" spans="1:14">
      <c r="A42" s="1" t="s">
        <v>1</v>
      </c>
      <c r="B42" s="24" t="s">
        <v>93</v>
      </c>
      <c r="C42" s="73">
        <v>59722</v>
      </c>
      <c r="D42" s="46">
        <v>64484</v>
      </c>
      <c r="E42" s="46">
        <v>508</v>
      </c>
      <c r="F42" s="46">
        <v>585</v>
      </c>
      <c r="G42" s="46">
        <v>0</v>
      </c>
      <c r="H42" s="46">
        <v>0</v>
      </c>
      <c r="I42" s="46">
        <v>0</v>
      </c>
      <c r="J42" s="29">
        <v>641</v>
      </c>
      <c r="K42" s="30">
        <f t="shared" si="2"/>
        <v>125940</v>
      </c>
      <c r="L42" s="73">
        <v>59792</v>
      </c>
      <c r="M42" s="29">
        <f t="shared" si="3"/>
        <v>59792</v>
      </c>
      <c r="N42" s="30">
        <v>1144998</v>
      </c>
    </row>
    <row r="43" spans="1:14">
      <c r="A43" s="1" t="s">
        <v>1</v>
      </c>
      <c r="B43" s="24" t="s">
        <v>94</v>
      </c>
      <c r="C43" s="73">
        <v>8190</v>
      </c>
      <c r="D43" s="46">
        <v>7710</v>
      </c>
      <c r="E43" s="46">
        <v>0</v>
      </c>
      <c r="F43" s="46">
        <v>440</v>
      </c>
      <c r="G43" s="46">
        <v>0</v>
      </c>
      <c r="H43" s="46">
        <v>0</v>
      </c>
      <c r="I43" s="46">
        <v>0</v>
      </c>
      <c r="J43" s="29">
        <v>0</v>
      </c>
      <c r="K43" s="30">
        <f t="shared" si="2"/>
        <v>16340</v>
      </c>
      <c r="L43" s="73">
        <v>8810</v>
      </c>
      <c r="M43" s="29">
        <f t="shared" si="3"/>
        <v>8810</v>
      </c>
      <c r="N43" s="30">
        <v>160360</v>
      </c>
    </row>
    <row r="44" spans="1:14">
      <c r="A44" s="1" t="s">
        <v>1</v>
      </c>
      <c r="B44" s="24" t="s">
        <v>95</v>
      </c>
      <c r="C44" s="73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29">
        <v>0</v>
      </c>
      <c r="K44" s="30">
        <f t="shared" si="2"/>
        <v>0</v>
      </c>
      <c r="L44" s="73">
        <v>0</v>
      </c>
      <c r="M44" s="29">
        <f t="shared" si="3"/>
        <v>0</v>
      </c>
      <c r="N44" s="30">
        <v>15600</v>
      </c>
    </row>
    <row r="45" spans="1:14">
      <c r="A45" s="1" t="s">
        <v>1</v>
      </c>
      <c r="B45" s="24" t="s">
        <v>96</v>
      </c>
      <c r="C45" s="73">
        <v>15200</v>
      </c>
      <c r="D45" s="46">
        <v>16300</v>
      </c>
      <c r="E45" s="46">
        <v>600</v>
      </c>
      <c r="F45" s="46">
        <v>500</v>
      </c>
      <c r="G45" s="46">
        <v>0</v>
      </c>
      <c r="H45" s="46">
        <v>0</v>
      </c>
      <c r="I45" s="46">
        <v>0</v>
      </c>
      <c r="J45" s="29">
        <v>11600</v>
      </c>
      <c r="K45" s="30">
        <f t="shared" si="2"/>
        <v>44200</v>
      </c>
      <c r="L45" s="73">
        <v>17800</v>
      </c>
      <c r="M45" s="29">
        <f t="shared" si="3"/>
        <v>17800</v>
      </c>
      <c r="N45" s="30">
        <v>258100</v>
      </c>
    </row>
    <row r="46" spans="1:14">
      <c r="A46" s="1" t="s">
        <v>1</v>
      </c>
      <c r="B46" s="5" t="s">
        <v>97</v>
      </c>
      <c r="C46" s="74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6">
        <v>0</v>
      </c>
      <c r="K46" s="7">
        <f t="shared" si="2"/>
        <v>0</v>
      </c>
      <c r="L46" s="74">
        <v>0</v>
      </c>
      <c r="M46" s="6">
        <f t="shared" si="3"/>
        <v>0</v>
      </c>
      <c r="N46" s="7">
        <v>341700</v>
      </c>
    </row>
    <row r="47" spans="1:14">
      <c r="A47" s="1" t="s">
        <v>1</v>
      </c>
      <c r="B47" s="15" t="s">
        <v>98</v>
      </c>
      <c r="C47" s="75">
        <v>83112</v>
      </c>
      <c r="D47" s="50">
        <v>88494</v>
      </c>
      <c r="E47" s="50">
        <v>1108</v>
      </c>
      <c r="F47" s="50">
        <v>1525</v>
      </c>
      <c r="G47" s="50">
        <v>0</v>
      </c>
      <c r="H47" s="50">
        <v>0</v>
      </c>
      <c r="I47" s="50">
        <v>0</v>
      </c>
      <c r="J47" s="16">
        <v>12241</v>
      </c>
      <c r="K47" s="17">
        <f t="shared" si="2"/>
        <v>186480</v>
      </c>
      <c r="L47" s="75">
        <v>86402</v>
      </c>
      <c r="M47" s="16">
        <f t="shared" si="3"/>
        <v>86402</v>
      </c>
      <c r="N47" s="17">
        <v>1920758</v>
      </c>
    </row>
    <row r="48" spans="1:14">
      <c r="A48" s="1" t="s">
        <v>1</v>
      </c>
      <c r="B48" s="15" t="s">
        <v>99</v>
      </c>
      <c r="C48" s="75">
        <v>295810</v>
      </c>
      <c r="D48" s="50">
        <v>324296</v>
      </c>
      <c r="E48" s="50">
        <v>81272</v>
      </c>
      <c r="F48" s="50">
        <v>94402</v>
      </c>
      <c r="G48" s="50">
        <v>70950</v>
      </c>
      <c r="H48" s="50">
        <v>71810</v>
      </c>
      <c r="I48" s="50">
        <v>63855</v>
      </c>
      <c r="J48" s="16">
        <v>98689</v>
      </c>
      <c r="K48" s="17">
        <f t="shared" si="2"/>
        <v>1101084</v>
      </c>
      <c r="L48" s="75">
        <v>305208</v>
      </c>
      <c r="M48" s="16">
        <f t="shared" si="3"/>
        <v>305208</v>
      </c>
      <c r="N48" s="17">
        <v>6692788</v>
      </c>
    </row>
    <row r="49" spans="1:14">
      <c r="A49" s="1" t="s">
        <v>1</v>
      </c>
      <c r="B49" s="15" t="s">
        <v>100</v>
      </c>
      <c r="C49" s="75">
        <v>275504</v>
      </c>
      <c r="D49" s="50">
        <v>306298</v>
      </c>
      <c r="E49" s="50">
        <v>83550</v>
      </c>
      <c r="F49" s="50">
        <v>95903</v>
      </c>
      <c r="G49" s="50">
        <v>74034</v>
      </c>
      <c r="H49" s="50">
        <v>75921</v>
      </c>
      <c r="I49" s="50">
        <v>66861</v>
      </c>
      <c r="J49" s="16">
        <v>94643</v>
      </c>
      <c r="K49" s="17">
        <f t="shared" si="2"/>
        <v>1072714</v>
      </c>
      <c r="L49" s="75">
        <v>283942</v>
      </c>
      <c r="M49" s="16">
        <f t="shared" si="3"/>
        <v>283942</v>
      </c>
      <c r="N49" s="17">
        <v>6066674</v>
      </c>
    </row>
    <row r="50" spans="1:14">
      <c r="A50" s="1" t="s">
        <v>1</v>
      </c>
      <c r="B50" s="15" t="s">
        <v>101</v>
      </c>
      <c r="C50" s="75">
        <v>275504</v>
      </c>
      <c r="D50" s="50">
        <v>306298</v>
      </c>
      <c r="E50" s="50">
        <v>83550</v>
      </c>
      <c r="F50" s="50">
        <v>95903</v>
      </c>
      <c r="G50" s="50">
        <v>74034</v>
      </c>
      <c r="H50" s="50">
        <v>75921</v>
      </c>
      <c r="I50" s="50">
        <v>66861</v>
      </c>
      <c r="J50" s="16">
        <v>94643</v>
      </c>
      <c r="K50" s="17">
        <f t="shared" si="2"/>
        <v>1072714</v>
      </c>
      <c r="L50" s="75">
        <v>283942</v>
      </c>
      <c r="M50" s="16">
        <f t="shared" si="3"/>
        <v>283942</v>
      </c>
      <c r="N50" s="17">
        <v>6066674</v>
      </c>
    </row>
    <row r="51" spans="1:14">
      <c r="A51" s="1" t="s">
        <v>1</v>
      </c>
      <c r="B51" s="5" t="s">
        <v>102</v>
      </c>
      <c r="C51" s="74">
        <v>0</v>
      </c>
      <c r="D51" s="48">
        <v>1</v>
      </c>
      <c r="E51" s="48">
        <v>0</v>
      </c>
      <c r="F51" s="48">
        <v>0</v>
      </c>
      <c r="G51" s="48">
        <v>1</v>
      </c>
      <c r="H51" s="48">
        <v>1</v>
      </c>
      <c r="I51" s="48">
        <v>1</v>
      </c>
      <c r="J51" s="6">
        <v>1</v>
      </c>
      <c r="K51" s="7"/>
      <c r="L51" s="74">
        <v>0</v>
      </c>
      <c r="M51" s="6"/>
      <c r="N51" s="7"/>
    </row>
    <row r="52" spans="1:14" ht="19.5" thickBot="1">
      <c r="A52" s="1" t="s">
        <v>1</v>
      </c>
      <c r="B52" s="8" t="s">
        <v>103</v>
      </c>
      <c r="C52" s="76" t="s">
        <v>104</v>
      </c>
      <c r="D52" s="52" t="s">
        <v>104</v>
      </c>
      <c r="E52" s="52" t="s">
        <v>104</v>
      </c>
      <c r="F52" s="52" t="s">
        <v>104</v>
      </c>
      <c r="G52" s="52" t="s">
        <v>104</v>
      </c>
      <c r="H52" s="52" t="s">
        <v>104</v>
      </c>
      <c r="I52" s="52" t="s">
        <v>104</v>
      </c>
      <c r="J52" s="9" t="s">
        <v>104</v>
      </c>
      <c r="K52" s="10"/>
      <c r="L52" s="76" t="s">
        <v>104</v>
      </c>
      <c r="M52" s="9"/>
      <c r="N52" s="10"/>
    </row>
    <row r="54" spans="1:14">
      <c r="E54" s="2">
        <f>E24/87</f>
        <v>940</v>
      </c>
      <c r="F54" s="2">
        <f>F24/97</f>
        <v>940</v>
      </c>
    </row>
  </sheetData>
  <phoneticPr fontId="3"/>
  <pageMargins left="0.31496062992125984" right="0.31496062992125984" top="0.35433070866141736" bottom="0.35433070866141736" header="0.31496062992125984" footer="0.31496062992125984"/>
  <pageSetup paperSize="12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9FDE-09CC-4CA2-B93D-5A02BF82BCC0}">
  <sheetPr>
    <pageSetUpPr fitToPage="1"/>
  </sheetPr>
  <dimension ref="A1:V52"/>
  <sheetViews>
    <sheetView workbookViewId="0">
      <pane xSplit="2" ySplit="4" topLeftCell="I5" activePane="bottomRight" state="frozen"/>
      <selection pane="topRight" activeCell="C1" sqref="C1"/>
      <selection pane="bottomLeft" activeCell="A9" sqref="A9"/>
      <selection pane="bottomRight" activeCell="I46" sqref="I46"/>
    </sheetView>
  </sheetViews>
  <sheetFormatPr defaultRowHeight="18.75"/>
  <cols>
    <col min="1" max="1" width="2.375" style="2" customWidth="1"/>
    <col min="2" max="2" width="13.25" style="2" bestFit="1" customWidth="1"/>
    <col min="3" max="22" width="10.12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105</v>
      </c>
    </row>
    <row r="3" spans="1:22">
      <c r="B3" s="11"/>
      <c r="C3" s="31" t="s">
        <v>2</v>
      </c>
      <c r="D3" s="32" t="s">
        <v>3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2" t="s">
        <v>13</v>
      </c>
      <c r="M3" s="32" t="s">
        <v>14</v>
      </c>
      <c r="N3" s="32" t="s">
        <v>15</v>
      </c>
      <c r="O3" s="32" t="s">
        <v>16</v>
      </c>
      <c r="P3" s="32" t="s">
        <v>18</v>
      </c>
      <c r="Q3" s="32" t="s">
        <v>19</v>
      </c>
      <c r="R3" s="32" t="s">
        <v>20</v>
      </c>
      <c r="S3" s="32" t="s">
        <v>21</v>
      </c>
      <c r="T3" s="32" t="s">
        <v>22</v>
      </c>
      <c r="U3" s="55" t="s">
        <v>23</v>
      </c>
      <c r="V3" s="77" t="s">
        <v>107</v>
      </c>
    </row>
    <row r="4" spans="1:22" ht="19.5" thickBot="1">
      <c r="B4" s="4" t="s">
        <v>30</v>
      </c>
      <c r="C4" s="33" t="s">
        <v>31</v>
      </c>
      <c r="D4" s="34" t="s">
        <v>32</v>
      </c>
      <c r="E4" s="34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4" t="s">
        <v>40</v>
      </c>
      <c r="L4" s="34" t="s">
        <v>41</v>
      </c>
      <c r="M4" s="34" t="s">
        <v>42</v>
      </c>
      <c r="N4" s="34" t="s">
        <v>43</v>
      </c>
      <c r="O4" s="34" t="s">
        <v>44</v>
      </c>
      <c r="P4" s="34" t="s">
        <v>46</v>
      </c>
      <c r="Q4" s="34" t="s">
        <v>47</v>
      </c>
      <c r="R4" s="34" t="s">
        <v>48</v>
      </c>
      <c r="S4" s="34" t="s">
        <v>49</v>
      </c>
      <c r="T4" s="34" t="s">
        <v>50</v>
      </c>
      <c r="U4" s="56" t="s">
        <v>51</v>
      </c>
      <c r="V4" s="78" t="s">
        <v>108</v>
      </c>
    </row>
    <row r="5" spans="1:22">
      <c r="A5" s="1" t="s">
        <v>1</v>
      </c>
      <c r="B5" s="82" t="s">
        <v>59</v>
      </c>
      <c r="C5" s="83">
        <v>21</v>
      </c>
      <c r="D5" s="84">
        <v>20</v>
      </c>
      <c r="E5" s="84">
        <v>21</v>
      </c>
      <c r="F5" s="84">
        <v>16</v>
      </c>
      <c r="G5" s="84">
        <v>18</v>
      </c>
      <c r="H5" s="84">
        <v>18</v>
      </c>
      <c r="I5" s="84">
        <v>20</v>
      </c>
      <c r="J5" s="84">
        <v>20</v>
      </c>
      <c r="K5" s="84">
        <v>20</v>
      </c>
      <c r="L5" s="84">
        <v>20</v>
      </c>
      <c r="M5" s="84">
        <v>19</v>
      </c>
      <c r="N5" s="84">
        <v>17</v>
      </c>
      <c r="O5" s="84">
        <v>20</v>
      </c>
      <c r="P5" s="84">
        <v>18</v>
      </c>
      <c r="Q5" s="84">
        <v>17</v>
      </c>
      <c r="R5" s="84">
        <v>19</v>
      </c>
      <c r="S5" s="84">
        <v>16</v>
      </c>
      <c r="T5" s="84">
        <v>20</v>
      </c>
      <c r="U5" s="87">
        <v>21</v>
      </c>
      <c r="V5" s="86">
        <f>SUM(C5:U5)</f>
        <v>361</v>
      </c>
    </row>
    <row r="6" spans="1:22">
      <c r="A6" s="1" t="s">
        <v>1</v>
      </c>
      <c r="B6" s="24" t="s">
        <v>60</v>
      </c>
      <c r="C6" s="37">
        <v>2</v>
      </c>
      <c r="D6" s="38">
        <v>4</v>
      </c>
      <c r="E6" s="38">
        <v>0</v>
      </c>
      <c r="F6" s="38">
        <v>3</v>
      </c>
      <c r="G6" s="38">
        <v>2</v>
      </c>
      <c r="H6" s="38">
        <v>3</v>
      </c>
      <c r="I6" s="38">
        <v>3</v>
      </c>
      <c r="J6" s="38">
        <v>3</v>
      </c>
      <c r="K6" s="38">
        <v>4</v>
      </c>
      <c r="L6" s="38">
        <v>1</v>
      </c>
      <c r="M6" s="38">
        <v>2</v>
      </c>
      <c r="N6" s="38">
        <v>4</v>
      </c>
      <c r="O6" s="38">
        <v>3</v>
      </c>
      <c r="P6" s="38">
        <v>3</v>
      </c>
      <c r="Q6" s="38">
        <v>5</v>
      </c>
      <c r="R6" s="38">
        <v>1</v>
      </c>
      <c r="S6" s="38">
        <v>4</v>
      </c>
      <c r="T6" s="38">
        <v>2</v>
      </c>
      <c r="U6" s="58">
        <v>3</v>
      </c>
      <c r="V6" s="26">
        <f>SUM(C6:U6)</f>
        <v>52</v>
      </c>
    </row>
    <row r="7" spans="1:22">
      <c r="A7" s="1" t="s">
        <v>1</v>
      </c>
      <c r="B7" s="21" t="s">
        <v>61</v>
      </c>
      <c r="C7" s="35">
        <v>2</v>
      </c>
      <c r="D7" s="36">
        <v>1</v>
      </c>
      <c r="E7" s="36">
        <v>2</v>
      </c>
      <c r="F7" s="36">
        <v>3</v>
      </c>
      <c r="G7" s="36">
        <v>2</v>
      </c>
      <c r="H7" s="36">
        <v>1</v>
      </c>
      <c r="I7" s="36">
        <v>1</v>
      </c>
      <c r="J7" s="36">
        <v>1</v>
      </c>
      <c r="K7" s="36">
        <v>1</v>
      </c>
      <c r="L7" s="36">
        <v>3</v>
      </c>
      <c r="M7" s="36">
        <v>3</v>
      </c>
      <c r="N7" s="36">
        <v>3</v>
      </c>
      <c r="O7" s="36">
        <v>1</v>
      </c>
      <c r="P7" s="36">
        <v>1</v>
      </c>
      <c r="Q7" s="36">
        <v>2</v>
      </c>
      <c r="R7" s="36">
        <v>4</v>
      </c>
      <c r="S7" s="36">
        <v>2</v>
      </c>
      <c r="T7" s="36">
        <v>3</v>
      </c>
      <c r="U7" s="57">
        <v>1</v>
      </c>
      <c r="V7" s="23">
        <f t="shared" ref="V7:V18" si="0">SUM(C7:U7)</f>
        <v>37</v>
      </c>
    </row>
    <row r="8" spans="1:22">
      <c r="A8" s="1" t="s">
        <v>1</v>
      </c>
      <c r="B8" s="24" t="s">
        <v>62</v>
      </c>
      <c r="C8" s="37">
        <v>0</v>
      </c>
      <c r="D8" s="38">
        <v>0</v>
      </c>
      <c r="E8" s="38">
        <v>0</v>
      </c>
      <c r="F8" s="38">
        <v>1</v>
      </c>
      <c r="G8" s="38">
        <v>1</v>
      </c>
      <c r="H8" s="38">
        <v>1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3</v>
      </c>
      <c r="O8" s="38">
        <v>0</v>
      </c>
      <c r="P8" s="38">
        <v>0</v>
      </c>
      <c r="Q8" s="38">
        <v>4</v>
      </c>
      <c r="R8" s="38">
        <v>2</v>
      </c>
      <c r="S8" s="38">
        <v>2</v>
      </c>
      <c r="T8" s="38">
        <v>0</v>
      </c>
      <c r="U8" s="58">
        <v>0</v>
      </c>
      <c r="V8" s="26">
        <f t="shared" si="0"/>
        <v>14</v>
      </c>
    </row>
    <row r="9" spans="1:22">
      <c r="A9" s="1" t="s">
        <v>1</v>
      </c>
      <c r="B9" s="24" t="s">
        <v>63</v>
      </c>
      <c r="C9" s="37">
        <v>0</v>
      </c>
      <c r="D9" s="38">
        <v>1</v>
      </c>
      <c r="E9" s="38">
        <v>0</v>
      </c>
      <c r="F9" s="38">
        <v>4</v>
      </c>
      <c r="G9" s="38">
        <v>2</v>
      </c>
      <c r="H9" s="38">
        <v>2</v>
      </c>
      <c r="I9" s="38">
        <v>1</v>
      </c>
      <c r="J9" s="38">
        <v>1</v>
      </c>
      <c r="K9" s="38">
        <v>1</v>
      </c>
      <c r="L9" s="38">
        <v>1</v>
      </c>
      <c r="M9" s="38">
        <v>2</v>
      </c>
      <c r="N9" s="38">
        <v>1</v>
      </c>
      <c r="O9" s="38">
        <v>1</v>
      </c>
      <c r="P9" s="38">
        <v>3</v>
      </c>
      <c r="Q9" s="38">
        <v>0</v>
      </c>
      <c r="R9" s="38">
        <v>0</v>
      </c>
      <c r="S9" s="38">
        <v>3</v>
      </c>
      <c r="T9" s="38">
        <v>1</v>
      </c>
      <c r="U9" s="58">
        <v>0</v>
      </c>
      <c r="V9" s="26">
        <f t="shared" si="0"/>
        <v>24</v>
      </c>
    </row>
    <row r="10" spans="1:22">
      <c r="A10" s="1" t="s">
        <v>1</v>
      </c>
      <c r="B10" s="24" t="s">
        <v>64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59">
        <v>0</v>
      </c>
      <c r="V10" s="28">
        <f t="shared" si="0"/>
        <v>0</v>
      </c>
    </row>
    <row r="11" spans="1:22">
      <c r="A11" s="1" t="s">
        <v>1</v>
      </c>
      <c r="B11" s="24" t="s">
        <v>65</v>
      </c>
      <c r="C11" s="39">
        <v>1.1666666666666667</v>
      </c>
      <c r="D11" s="40">
        <v>1.7916666666666665</v>
      </c>
      <c r="E11" s="40">
        <v>0.95833333333333337</v>
      </c>
      <c r="F11" s="40">
        <v>2.375</v>
      </c>
      <c r="G11" s="40">
        <v>2.4166666666666665</v>
      </c>
      <c r="H11" s="40">
        <v>2.875</v>
      </c>
      <c r="I11" s="40">
        <v>2.4166666666666665</v>
      </c>
      <c r="J11" s="40">
        <v>2.3333333333333335</v>
      </c>
      <c r="K11" s="40">
        <v>1.9166666666666665</v>
      </c>
      <c r="L11" s="40">
        <v>2.125</v>
      </c>
      <c r="M11" s="40">
        <v>1.8333333333333335</v>
      </c>
      <c r="N11" s="40">
        <v>1.4583333333333333</v>
      </c>
      <c r="O11" s="40">
        <v>0.375</v>
      </c>
      <c r="P11" s="40">
        <v>3.2083333333333335</v>
      </c>
      <c r="Q11" s="40">
        <v>1.125</v>
      </c>
      <c r="R11" s="40">
        <v>1.75</v>
      </c>
      <c r="S11" s="40">
        <v>2.5</v>
      </c>
      <c r="T11" s="40">
        <v>1.375</v>
      </c>
      <c r="U11" s="59">
        <v>2.2916666666666665</v>
      </c>
      <c r="V11" s="28">
        <f t="shared" si="0"/>
        <v>36.291666666666664</v>
      </c>
    </row>
    <row r="12" spans="1:22">
      <c r="A12" s="1" t="s">
        <v>1</v>
      </c>
      <c r="B12" s="24" t="s">
        <v>66</v>
      </c>
      <c r="C12" s="39">
        <v>0.5</v>
      </c>
      <c r="D12" s="40">
        <v>1.2083333333333333</v>
      </c>
      <c r="E12" s="40">
        <v>0</v>
      </c>
      <c r="F12" s="40">
        <v>0.79166666666666663</v>
      </c>
      <c r="G12" s="40">
        <v>0.29166666666666669</v>
      </c>
      <c r="H12" s="40">
        <v>1.2916666666666667</v>
      </c>
      <c r="I12" s="40">
        <v>1</v>
      </c>
      <c r="J12" s="40">
        <v>0.91666666666666663</v>
      </c>
      <c r="K12" s="40">
        <v>1.4583333333333333</v>
      </c>
      <c r="L12" s="40">
        <v>0.41666666666666669</v>
      </c>
      <c r="M12" s="40">
        <v>0.95833333333333337</v>
      </c>
      <c r="N12" s="40">
        <v>0.79166666666666663</v>
      </c>
      <c r="O12" s="40">
        <v>0.79166666666666663</v>
      </c>
      <c r="P12" s="40">
        <v>0.95833333333333337</v>
      </c>
      <c r="Q12" s="40">
        <v>0.79166666666666663</v>
      </c>
      <c r="R12" s="40">
        <v>0</v>
      </c>
      <c r="S12" s="40">
        <v>1.4166666666666667</v>
      </c>
      <c r="T12" s="40">
        <v>0.58333333333333337</v>
      </c>
      <c r="U12" s="59">
        <v>0.83333333333333337</v>
      </c>
      <c r="V12" s="28">
        <f t="shared" si="0"/>
        <v>15</v>
      </c>
    </row>
    <row r="13" spans="1:22">
      <c r="A13" s="1" t="s">
        <v>1</v>
      </c>
      <c r="B13" s="24" t="s">
        <v>67</v>
      </c>
      <c r="C13" s="39">
        <v>0.79166666666666663</v>
      </c>
      <c r="D13" s="40">
        <v>0.375</v>
      </c>
      <c r="E13" s="40">
        <v>0.75</v>
      </c>
      <c r="F13" s="40">
        <v>1</v>
      </c>
      <c r="G13" s="40">
        <v>0.54166666666666663</v>
      </c>
      <c r="H13" s="40">
        <v>0</v>
      </c>
      <c r="I13" s="40">
        <v>0.375</v>
      </c>
      <c r="J13" s="40">
        <v>0.29166666666666669</v>
      </c>
      <c r="K13" s="40">
        <v>0.41666666666666669</v>
      </c>
      <c r="L13" s="40">
        <v>0.91666666666666663</v>
      </c>
      <c r="M13" s="40">
        <v>1.0416666666666667</v>
      </c>
      <c r="N13" s="40">
        <v>0.875</v>
      </c>
      <c r="O13" s="40">
        <v>0.25</v>
      </c>
      <c r="P13" s="40">
        <v>0.5</v>
      </c>
      <c r="Q13" s="40">
        <v>0.45833333333333331</v>
      </c>
      <c r="R13" s="40">
        <v>1.2916666666666667</v>
      </c>
      <c r="S13" s="40">
        <v>0.33333333333333331</v>
      </c>
      <c r="T13" s="40">
        <v>1</v>
      </c>
      <c r="U13" s="59">
        <v>0.29166666666666669</v>
      </c>
      <c r="V13" s="28">
        <f t="shared" si="0"/>
        <v>11.5</v>
      </c>
    </row>
    <row r="14" spans="1:22">
      <c r="A14" s="1" t="s">
        <v>1</v>
      </c>
      <c r="B14" s="24" t="s">
        <v>68</v>
      </c>
      <c r="C14" s="39">
        <v>0</v>
      </c>
      <c r="D14" s="40">
        <v>0</v>
      </c>
      <c r="E14" s="40">
        <v>0</v>
      </c>
      <c r="F14" s="40">
        <v>0.125</v>
      </c>
      <c r="G14" s="40">
        <v>0.20833333333333334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0.625</v>
      </c>
      <c r="O14" s="40">
        <v>0</v>
      </c>
      <c r="P14" s="40">
        <v>0</v>
      </c>
      <c r="Q14" s="40">
        <v>1.0833333333333333</v>
      </c>
      <c r="R14" s="40">
        <v>0.45833333333333331</v>
      </c>
      <c r="S14" s="40">
        <v>0.16666666666666666</v>
      </c>
      <c r="T14" s="40">
        <v>0</v>
      </c>
      <c r="U14" s="59">
        <v>0</v>
      </c>
      <c r="V14" s="28">
        <f t="shared" si="0"/>
        <v>2.6666666666666665</v>
      </c>
    </row>
    <row r="15" spans="1:22">
      <c r="A15" s="1" t="s">
        <v>1</v>
      </c>
      <c r="B15" s="24" t="s">
        <v>69</v>
      </c>
      <c r="C15" s="39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0.33333333333333331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0.45833333333333331</v>
      </c>
      <c r="O15" s="40">
        <v>0</v>
      </c>
      <c r="P15" s="40">
        <v>0</v>
      </c>
      <c r="Q15" s="40">
        <v>0.375</v>
      </c>
      <c r="R15" s="40">
        <v>0.41666666666666669</v>
      </c>
      <c r="S15" s="40">
        <v>8.3333333333333329E-2</v>
      </c>
      <c r="T15" s="40">
        <v>0</v>
      </c>
      <c r="U15" s="59">
        <v>0</v>
      </c>
      <c r="V15" s="28">
        <f t="shared" si="0"/>
        <v>1.6666666666666665</v>
      </c>
    </row>
    <row r="16" spans="1:22">
      <c r="A16" s="1" t="s">
        <v>1</v>
      </c>
      <c r="B16" s="24" t="s">
        <v>70</v>
      </c>
      <c r="C16" s="39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0.375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0.83333333333333337</v>
      </c>
      <c r="Q16" s="40">
        <v>0</v>
      </c>
      <c r="R16" s="40">
        <v>0</v>
      </c>
      <c r="S16" s="40">
        <v>0</v>
      </c>
      <c r="T16" s="40">
        <v>0</v>
      </c>
      <c r="U16" s="59">
        <v>0</v>
      </c>
      <c r="V16" s="28">
        <f t="shared" si="0"/>
        <v>1.2083333333333335</v>
      </c>
    </row>
    <row r="17" spans="1:22">
      <c r="A17" s="1" t="s">
        <v>1</v>
      </c>
      <c r="B17" s="24" t="s">
        <v>71</v>
      </c>
      <c r="C17" s="39">
        <v>0.25</v>
      </c>
      <c r="D17" s="40">
        <v>4.1666666666666664E-2</v>
      </c>
      <c r="E17" s="40">
        <v>0</v>
      </c>
      <c r="F17" s="40">
        <v>0.79166666666666663</v>
      </c>
      <c r="G17" s="40">
        <v>1.2916666666666667</v>
      </c>
      <c r="H17" s="40">
        <v>1.4583333333333333</v>
      </c>
      <c r="I17" s="40">
        <v>0.20833333333333334</v>
      </c>
      <c r="J17" s="40">
        <v>8.3333333333333329E-2</v>
      </c>
      <c r="K17" s="40">
        <v>8.3333333333333329E-2</v>
      </c>
      <c r="L17" s="40">
        <v>0.5</v>
      </c>
      <c r="M17" s="40">
        <v>0.54166666666666663</v>
      </c>
      <c r="N17" s="40">
        <v>1.625</v>
      </c>
      <c r="O17" s="40">
        <v>0</v>
      </c>
      <c r="P17" s="40">
        <v>0.91666666666666663</v>
      </c>
      <c r="Q17" s="40">
        <v>1</v>
      </c>
      <c r="R17" s="40">
        <v>0.95833333333333337</v>
      </c>
      <c r="S17" s="40">
        <v>1.0416666666666667</v>
      </c>
      <c r="T17" s="40">
        <v>4.1666666666666664E-2</v>
      </c>
      <c r="U17" s="59">
        <v>8.3333333333333329E-2</v>
      </c>
      <c r="V17" s="28">
        <f t="shared" si="0"/>
        <v>10.916666666666666</v>
      </c>
    </row>
    <row r="18" spans="1:22">
      <c r="A18" s="1" t="s">
        <v>1</v>
      </c>
      <c r="B18" s="12" t="s">
        <v>72</v>
      </c>
      <c r="C18" s="41">
        <v>22</v>
      </c>
      <c r="D18" s="42">
        <v>19</v>
      </c>
      <c r="E18" s="42">
        <v>40</v>
      </c>
      <c r="F18" s="42">
        <v>36</v>
      </c>
      <c r="G18" s="42">
        <v>38</v>
      </c>
      <c r="H18" s="42">
        <v>38</v>
      </c>
      <c r="I18" s="42">
        <v>35</v>
      </c>
      <c r="J18" s="42">
        <v>27</v>
      </c>
      <c r="K18" s="42">
        <v>39</v>
      </c>
      <c r="L18" s="42">
        <v>39</v>
      </c>
      <c r="M18" s="42">
        <v>18</v>
      </c>
      <c r="N18" s="42">
        <v>19</v>
      </c>
      <c r="O18" s="42">
        <v>33</v>
      </c>
      <c r="P18" s="42">
        <v>17</v>
      </c>
      <c r="Q18" s="42">
        <v>26</v>
      </c>
      <c r="R18" s="42">
        <v>15</v>
      </c>
      <c r="S18" s="42">
        <v>11</v>
      </c>
      <c r="T18" s="42">
        <v>15</v>
      </c>
      <c r="U18" s="60">
        <v>0</v>
      </c>
      <c r="V18" s="14">
        <f t="shared" si="0"/>
        <v>487</v>
      </c>
    </row>
    <row r="19" spans="1:22">
      <c r="A19" s="1" t="s">
        <v>1</v>
      </c>
      <c r="B19" s="18" t="s">
        <v>73</v>
      </c>
      <c r="C19" s="43">
        <v>177000</v>
      </c>
      <c r="D19" s="44">
        <v>187000</v>
      </c>
      <c r="E19" s="44">
        <v>187000</v>
      </c>
      <c r="F19" s="44">
        <v>192000</v>
      </c>
      <c r="G19" s="44">
        <v>187000</v>
      </c>
      <c r="H19" s="44">
        <v>192000</v>
      </c>
      <c r="I19" s="44">
        <v>177000</v>
      </c>
      <c r="J19" s="44">
        <v>177000</v>
      </c>
      <c r="K19" s="44">
        <v>177000</v>
      </c>
      <c r="L19" s="44">
        <v>187000</v>
      </c>
      <c r="M19" s="44">
        <v>177000</v>
      </c>
      <c r="N19" s="44">
        <v>177000</v>
      </c>
      <c r="O19" s="44">
        <v>187000</v>
      </c>
      <c r="P19" s="44">
        <v>170000</v>
      </c>
      <c r="Q19" s="44">
        <v>175000</v>
      </c>
      <c r="R19" s="44">
        <v>170000</v>
      </c>
      <c r="S19" s="44">
        <v>170000</v>
      </c>
      <c r="T19" s="44">
        <v>170000</v>
      </c>
      <c r="U19" s="61">
        <v>170000</v>
      </c>
      <c r="V19" s="20">
        <f>SUM(C19:U19)</f>
        <v>3406000</v>
      </c>
    </row>
    <row r="20" spans="1:22">
      <c r="A20" s="1" t="s">
        <v>1</v>
      </c>
      <c r="B20" s="24" t="s">
        <v>74</v>
      </c>
      <c r="C20" s="45">
        <v>0</v>
      </c>
      <c r="D20" s="46">
        <v>0</v>
      </c>
      <c r="E20" s="46">
        <v>20000</v>
      </c>
      <c r="F20" s="46">
        <v>5000</v>
      </c>
      <c r="G20" s="46">
        <v>5000</v>
      </c>
      <c r="H20" s="46">
        <v>5000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62">
        <v>0</v>
      </c>
      <c r="V20" s="30">
        <f t="shared" ref="V20:V50" si="1">SUM(C20:U20)</f>
        <v>35000</v>
      </c>
    </row>
    <row r="21" spans="1:22">
      <c r="A21" s="1" t="s">
        <v>1</v>
      </c>
      <c r="B21" s="24" t="s">
        <v>75</v>
      </c>
      <c r="C21" s="45">
        <v>0</v>
      </c>
      <c r="D21" s="46">
        <v>0</v>
      </c>
      <c r="E21" s="46">
        <v>3000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62">
        <v>0</v>
      </c>
      <c r="V21" s="30">
        <f t="shared" si="1"/>
        <v>3000</v>
      </c>
    </row>
    <row r="22" spans="1:22">
      <c r="A22" s="1" t="s">
        <v>1</v>
      </c>
      <c r="B22" s="24" t="s">
        <v>76</v>
      </c>
      <c r="C22" s="45">
        <v>0</v>
      </c>
      <c r="D22" s="46">
        <v>0</v>
      </c>
      <c r="E22" s="46">
        <v>78859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37296</v>
      </c>
      <c r="M22" s="46">
        <v>0</v>
      </c>
      <c r="N22" s="46">
        <v>0</v>
      </c>
      <c r="O22" s="46">
        <v>78444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62">
        <v>0</v>
      </c>
      <c r="V22" s="30">
        <f t="shared" si="1"/>
        <v>194599</v>
      </c>
    </row>
    <row r="23" spans="1:22">
      <c r="A23" s="1" t="s">
        <v>1</v>
      </c>
      <c r="B23" s="24" t="s">
        <v>77</v>
      </c>
      <c r="C23" s="45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62">
        <v>0</v>
      </c>
      <c r="V23" s="30">
        <f t="shared" si="1"/>
        <v>0</v>
      </c>
    </row>
    <row r="24" spans="1:22">
      <c r="A24" s="1" t="s">
        <v>1</v>
      </c>
      <c r="B24" s="24" t="s">
        <v>78</v>
      </c>
      <c r="C24" s="45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62">
        <v>0</v>
      </c>
      <c r="V24" s="30">
        <f t="shared" si="1"/>
        <v>0</v>
      </c>
    </row>
    <row r="25" spans="1:22">
      <c r="A25" s="1" t="s">
        <v>1</v>
      </c>
      <c r="B25" s="24" t="s">
        <v>79</v>
      </c>
      <c r="C25" s="45">
        <v>29000</v>
      </c>
      <c r="D25" s="46">
        <v>30200</v>
      </c>
      <c r="E25" s="46">
        <v>26200</v>
      </c>
      <c r="F25" s="46">
        <v>29800</v>
      </c>
      <c r="G25" s="46">
        <v>0</v>
      </c>
      <c r="H25" s="46">
        <v>27400</v>
      </c>
      <c r="I25" s="46">
        <v>28400</v>
      </c>
      <c r="J25" s="46">
        <v>27800</v>
      </c>
      <c r="K25" s="46">
        <v>29400</v>
      </c>
      <c r="L25" s="46">
        <v>29000</v>
      </c>
      <c r="M25" s="46">
        <v>14600</v>
      </c>
      <c r="N25" s="46">
        <v>14800</v>
      </c>
      <c r="O25" s="46">
        <v>29200</v>
      </c>
      <c r="P25" s="46">
        <v>12700</v>
      </c>
      <c r="Q25" s="46">
        <v>13200</v>
      </c>
      <c r="R25" s="46">
        <v>0</v>
      </c>
      <c r="S25" s="46">
        <v>0</v>
      </c>
      <c r="T25" s="46">
        <v>0</v>
      </c>
      <c r="U25" s="62">
        <v>0</v>
      </c>
      <c r="V25" s="30">
        <f t="shared" si="1"/>
        <v>341700</v>
      </c>
    </row>
    <row r="26" spans="1:22">
      <c r="A26" s="1" t="s">
        <v>1</v>
      </c>
      <c r="B26" s="24" t="s">
        <v>80</v>
      </c>
      <c r="C26" s="45">
        <v>2000</v>
      </c>
      <c r="D26" s="46">
        <v>2000</v>
      </c>
      <c r="E26" s="46">
        <v>2000</v>
      </c>
      <c r="F26" s="46">
        <v>2000</v>
      </c>
      <c r="G26" s="46">
        <v>0</v>
      </c>
      <c r="H26" s="46">
        <v>2000</v>
      </c>
      <c r="I26" s="46">
        <v>2000</v>
      </c>
      <c r="J26" s="46">
        <v>2000</v>
      </c>
      <c r="K26" s="46">
        <v>2000</v>
      </c>
      <c r="L26" s="46">
        <v>2000</v>
      </c>
      <c r="M26" s="46">
        <v>1000</v>
      </c>
      <c r="N26" s="46">
        <v>1000</v>
      </c>
      <c r="O26" s="46">
        <v>2000</v>
      </c>
      <c r="P26" s="46">
        <v>2000</v>
      </c>
      <c r="Q26" s="46">
        <v>2000</v>
      </c>
      <c r="R26" s="46">
        <v>0</v>
      </c>
      <c r="S26" s="46">
        <v>0</v>
      </c>
      <c r="T26" s="46">
        <v>0</v>
      </c>
      <c r="U26" s="62">
        <v>0</v>
      </c>
      <c r="V26" s="30">
        <f t="shared" si="1"/>
        <v>26000</v>
      </c>
    </row>
    <row r="27" spans="1:22">
      <c r="A27" s="1" t="s">
        <v>1</v>
      </c>
      <c r="B27" s="24" t="s">
        <v>65</v>
      </c>
      <c r="C27" s="45">
        <v>37520</v>
      </c>
      <c r="D27" s="46">
        <v>60845</v>
      </c>
      <c r="E27" s="46">
        <v>36478</v>
      </c>
      <c r="F27" s="46">
        <v>84930</v>
      </c>
      <c r="G27" s="46">
        <v>83404</v>
      </c>
      <c r="H27" s="46">
        <v>102810</v>
      </c>
      <c r="I27" s="46">
        <v>77720</v>
      </c>
      <c r="J27" s="46">
        <v>75040</v>
      </c>
      <c r="K27" s="46">
        <v>61640</v>
      </c>
      <c r="L27" s="46">
        <v>72165</v>
      </c>
      <c r="M27" s="46">
        <v>58652</v>
      </c>
      <c r="N27" s="46">
        <v>46655</v>
      </c>
      <c r="O27" s="46">
        <v>12735</v>
      </c>
      <c r="P27" s="46">
        <v>99176</v>
      </c>
      <c r="Q27" s="46">
        <v>35775</v>
      </c>
      <c r="R27" s="46">
        <v>53466</v>
      </c>
      <c r="S27" s="46">
        <v>76380</v>
      </c>
      <c r="T27" s="46">
        <v>42009</v>
      </c>
      <c r="U27" s="62">
        <v>70015</v>
      </c>
      <c r="V27" s="30">
        <f t="shared" si="1"/>
        <v>1187415</v>
      </c>
    </row>
    <row r="28" spans="1:22">
      <c r="A28" s="1" t="s">
        <v>1</v>
      </c>
      <c r="B28" s="24" t="s">
        <v>81</v>
      </c>
      <c r="C28" s="45">
        <v>17364</v>
      </c>
      <c r="D28" s="46">
        <v>44312</v>
      </c>
      <c r="E28" s="46">
        <v>0</v>
      </c>
      <c r="F28" s="46">
        <v>30571</v>
      </c>
      <c r="G28" s="46">
        <v>10871</v>
      </c>
      <c r="H28" s="46">
        <v>49879</v>
      </c>
      <c r="I28" s="46">
        <v>34728</v>
      </c>
      <c r="J28" s="46">
        <v>31834</v>
      </c>
      <c r="K28" s="46">
        <v>50645</v>
      </c>
      <c r="L28" s="46">
        <v>15280</v>
      </c>
      <c r="M28" s="46">
        <v>33097</v>
      </c>
      <c r="N28" s="46">
        <v>27341</v>
      </c>
      <c r="O28" s="46">
        <v>29032</v>
      </c>
      <c r="P28" s="46">
        <v>31993</v>
      </c>
      <c r="Q28" s="46">
        <v>27189</v>
      </c>
      <c r="R28" s="46">
        <v>0</v>
      </c>
      <c r="S28" s="46">
        <v>46716</v>
      </c>
      <c r="T28" s="46">
        <v>19236</v>
      </c>
      <c r="U28" s="62">
        <v>27480</v>
      </c>
      <c r="V28" s="30">
        <f t="shared" si="1"/>
        <v>527568</v>
      </c>
    </row>
    <row r="29" spans="1:22">
      <c r="A29" s="1" t="s">
        <v>1</v>
      </c>
      <c r="B29" s="24" t="s">
        <v>82</v>
      </c>
      <c r="C29" s="45">
        <v>27493</v>
      </c>
      <c r="D29" s="46">
        <v>13752</v>
      </c>
      <c r="E29" s="46">
        <v>30834</v>
      </c>
      <c r="F29" s="46">
        <v>38616</v>
      </c>
      <c r="G29" s="46">
        <v>20189</v>
      </c>
      <c r="H29" s="46">
        <v>0</v>
      </c>
      <c r="I29" s="46">
        <v>13023</v>
      </c>
      <c r="J29" s="46">
        <v>10129</v>
      </c>
      <c r="K29" s="46">
        <v>14470</v>
      </c>
      <c r="L29" s="46">
        <v>33616</v>
      </c>
      <c r="M29" s="46">
        <v>35975</v>
      </c>
      <c r="N29" s="46">
        <v>30219</v>
      </c>
      <c r="O29" s="46">
        <v>9168</v>
      </c>
      <c r="P29" s="46">
        <v>16692</v>
      </c>
      <c r="Q29" s="46">
        <v>15741</v>
      </c>
      <c r="R29" s="46">
        <v>42594</v>
      </c>
      <c r="S29" s="46">
        <v>10992</v>
      </c>
      <c r="T29" s="46">
        <v>32976</v>
      </c>
      <c r="U29" s="62">
        <v>9618</v>
      </c>
      <c r="V29" s="30">
        <f t="shared" si="1"/>
        <v>406097</v>
      </c>
    </row>
    <row r="30" spans="1:22">
      <c r="A30" s="1" t="s">
        <v>1</v>
      </c>
      <c r="B30" s="24" t="s">
        <v>83</v>
      </c>
      <c r="C30" s="45">
        <v>0</v>
      </c>
      <c r="D30" s="46">
        <v>0</v>
      </c>
      <c r="E30" s="46">
        <v>0</v>
      </c>
      <c r="F30" s="46">
        <v>1251</v>
      </c>
      <c r="G30" s="46">
        <v>2015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5595</v>
      </c>
      <c r="O30" s="46">
        <v>0</v>
      </c>
      <c r="P30" s="46">
        <v>0</v>
      </c>
      <c r="Q30" s="46">
        <v>9646</v>
      </c>
      <c r="R30" s="46">
        <v>3916</v>
      </c>
      <c r="S30" s="46">
        <v>1424</v>
      </c>
      <c r="T30" s="46">
        <v>0</v>
      </c>
      <c r="U30" s="62">
        <v>0</v>
      </c>
      <c r="V30" s="30">
        <f t="shared" si="1"/>
        <v>23847</v>
      </c>
    </row>
    <row r="31" spans="1:22">
      <c r="A31" s="1" t="s">
        <v>1</v>
      </c>
      <c r="B31" s="24" t="s">
        <v>84</v>
      </c>
      <c r="C31" s="45">
        <v>0</v>
      </c>
      <c r="D31" s="46">
        <v>0</v>
      </c>
      <c r="E31" s="46">
        <v>0</v>
      </c>
      <c r="F31" s="46">
        <v>0</v>
      </c>
      <c r="G31" s="46">
        <v>0</v>
      </c>
      <c r="H31" s="46">
        <v>3336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4103</v>
      </c>
      <c r="O31" s="46">
        <v>0</v>
      </c>
      <c r="P31" s="46">
        <v>0</v>
      </c>
      <c r="Q31" s="46">
        <v>3339</v>
      </c>
      <c r="R31" s="46">
        <v>3560</v>
      </c>
      <c r="S31" s="46">
        <v>712</v>
      </c>
      <c r="T31" s="46">
        <v>0</v>
      </c>
      <c r="U31" s="62">
        <v>0</v>
      </c>
      <c r="V31" s="30">
        <f t="shared" si="1"/>
        <v>15050</v>
      </c>
    </row>
    <row r="32" spans="1:22">
      <c r="A32" s="1" t="s">
        <v>1</v>
      </c>
      <c r="B32" s="24" t="s">
        <v>70</v>
      </c>
      <c r="C32" s="45">
        <v>0</v>
      </c>
      <c r="D32" s="46">
        <v>0</v>
      </c>
      <c r="E32" s="46">
        <v>0</v>
      </c>
      <c r="F32" s="46">
        <v>0</v>
      </c>
      <c r="G32" s="46">
        <v>0</v>
      </c>
      <c r="H32" s="46">
        <v>2682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5160</v>
      </c>
      <c r="Q32" s="46">
        <v>0</v>
      </c>
      <c r="R32" s="46">
        <v>0</v>
      </c>
      <c r="S32" s="46">
        <v>0</v>
      </c>
      <c r="T32" s="46">
        <v>0</v>
      </c>
      <c r="U32" s="62">
        <v>0</v>
      </c>
      <c r="V32" s="30">
        <f t="shared" si="1"/>
        <v>7842</v>
      </c>
    </row>
    <row r="33" spans="1:22">
      <c r="A33" s="1" t="s">
        <v>1</v>
      </c>
      <c r="B33" s="5" t="s">
        <v>71</v>
      </c>
      <c r="C33" s="47">
        <v>1608</v>
      </c>
      <c r="D33" s="48">
        <v>283</v>
      </c>
      <c r="E33" s="48">
        <v>0</v>
      </c>
      <c r="F33" s="48">
        <v>5662</v>
      </c>
      <c r="G33" s="48">
        <v>8928</v>
      </c>
      <c r="H33" s="48">
        <v>10430</v>
      </c>
      <c r="I33" s="48">
        <v>1340</v>
      </c>
      <c r="J33" s="48">
        <v>536</v>
      </c>
      <c r="K33" s="48">
        <v>536</v>
      </c>
      <c r="L33" s="48">
        <v>3396</v>
      </c>
      <c r="M33" s="48">
        <v>3471</v>
      </c>
      <c r="N33" s="48">
        <v>10413</v>
      </c>
      <c r="O33" s="48">
        <v>0</v>
      </c>
      <c r="P33" s="48">
        <v>5676</v>
      </c>
      <c r="Q33" s="48">
        <v>6360</v>
      </c>
      <c r="R33" s="48">
        <v>5865</v>
      </c>
      <c r="S33" s="48">
        <v>6375</v>
      </c>
      <c r="T33" s="48">
        <v>255</v>
      </c>
      <c r="U33" s="63">
        <v>510</v>
      </c>
      <c r="V33" s="7">
        <f t="shared" si="1"/>
        <v>71644</v>
      </c>
    </row>
    <row r="34" spans="1:22">
      <c r="A34" s="1" t="s">
        <v>1</v>
      </c>
      <c r="B34" s="15" t="s">
        <v>85</v>
      </c>
      <c r="C34" s="49">
        <v>291985</v>
      </c>
      <c r="D34" s="50">
        <v>338392</v>
      </c>
      <c r="E34" s="50">
        <v>384371</v>
      </c>
      <c r="F34" s="50">
        <v>389830</v>
      </c>
      <c r="G34" s="50">
        <v>317407</v>
      </c>
      <c r="H34" s="50">
        <v>395537</v>
      </c>
      <c r="I34" s="50">
        <v>334211</v>
      </c>
      <c r="J34" s="50">
        <v>324339</v>
      </c>
      <c r="K34" s="50">
        <v>335691</v>
      </c>
      <c r="L34" s="50">
        <v>379753</v>
      </c>
      <c r="M34" s="50">
        <v>323795</v>
      </c>
      <c r="N34" s="50">
        <v>317126</v>
      </c>
      <c r="O34" s="50">
        <v>347579</v>
      </c>
      <c r="P34" s="50">
        <v>343397</v>
      </c>
      <c r="Q34" s="50">
        <v>288250</v>
      </c>
      <c r="R34" s="50">
        <v>279401</v>
      </c>
      <c r="S34" s="50">
        <v>312599</v>
      </c>
      <c r="T34" s="50">
        <v>264476</v>
      </c>
      <c r="U34" s="64">
        <v>277623</v>
      </c>
      <c r="V34" s="17">
        <f t="shared" si="1"/>
        <v>6245762</v>
      </c>
    </row>
    <row r="35" spans="1:22">
      <c r="A35" s="1" t="s">
        <v>1</v>
      </c>
      <c r="B35" s="18" t="s">
        <v>86</v>
      </c>
      <c r="C35" s="43">
        <v>12847</v>
      </c>
      <c r="D35" s="44">
        <v>3212</v>
      </c>
      <c r="E35" s="44">
        <v>5319</v>
      </c>
      <c r="F35" s="44">
        <v>2827</v>
      </c>
      <c r="G35" s="44">
        <v>13001</v>
      </c>
      <c r="H35" s="44">
        <v>2261</v>
      </c>
      <c r="I35" s="44">
        <v>2467</v>
      </c>
      <c r="J35" s="44">
        <v>1234</v>
      </c>
      <c r="K35" s="44">
        <v>3212</v>
      </c>
      <c r="L35" s="44">
        <v>4933</v>
      </c>
      <c r="M35" s="44">
        <v>6167</v>
      </c>
      <c r="N35" s="44">
        <v>4317</v>
      </c>
      <c r="O35" s="44">
        <v>7400</v>
      </c>
      <c r="P35" s="44">
        <v>5653</v>
      </c>
      <c r="Q35" s="44">
        <v>10483</v>
      </c>
      <c r="R35" s="44">
        <v>7400</v>
      </c>
      <c r="S35" s="44">
        <v>8479</v>
      </c>
      <c r="T35" s="44">
        <v>8350</v>
      </c>
      <c r="U35" s="61">
        <v>2570</v>
      </c>
      <c r="V35" s="20">
        <f t="shared" si="1"/>
        <v>112132</v>
      </c>
    </row>
    <row r="36" spans="1:22">
      <c r="A36" s="1" t="s">
        <v>1</v>
      </c>
      <c r="B36" s="5" t="s">
        <v>87</v>
      </c>
      <c r="C36" s="47">
        <v>12847</v>
      </c>
      <c r="D36" s="48">
        <v>3212</v>
      </c>
      <c r="E36" s="48">
        <v>5319</v>
      </c>
      <c r="F36" s="48">
        <v>2827</v>
      </c>
      <c r="G36" s="48">
        <v>13001</v>
      </c>
      <c r="H36" s="48">
        <v>2261</v>
      </c>
      <c r="I36" s="48">
        <v>2467</v>
      </c>
      <c r="J36" s="48">
        <v>1234</v>
      </c>
      <c r="K36" s="48">
        <v>3212</v>
      </c>
      <c r="L36" s="48">
        <v>4933</v>
      </c>
      <c r="M36" s="48">
        <v>6167</v>
      </c>
      <c r="N36" s="48">
        <v>4317</v>
      </c>
      <c r="O36" s="48">
        <v>7400</v>
      </c>
      <c r="P36" s="48">
        <v>5653</v>
      </c>
      <c r="Q36" s="48">
        <v>10483</v>
      </c>
      <c r="R36" s="48">
        <v>7400</v>
      </c>
      <c r="S36" s="48">
        <v>8479</v>
      </c>
      <c r="T36" s="48">
        <v>8350</v>
      </c>
      <c r="U36" s="63">
        <v>2570</v>
      </c>
      <c r="V36" s="7">
        <f t="shared" si="1"/>
        <v>112132</v>
      </c>
    </row>
    <row r="37" spans="1:22">
      <c r="A37" s="1" t="s">
        <v>1</v>
      </c>
      <c r="B37" s="15" t="s">
        <v>88</v>
      </c>
      <c r="C37" s="49">
        <v>304832</v>
      </c>
      <c r="D37" s="50">
        <v>341604</v>
      </c>
      <c r="E37" s="50">
        <v>389690</v>
      </c>
      <c r="F37" s="50">
        <v>392657</v>
      </c>
      <c r="G37" s="50">
        <v>330408</v>
      </c>
      <c r="H37" s="50">
        <v>397798</v>
      </c>
      <c r="I37" s="50">
        <v>336678</v>
      </c>
      <c r="J37" s="50">
        <v>325573</v>
      </c>
      <c r="K37" s="50">
        <v>338903</v>
      </c>
      <c r="L37" s="50">
        <v>384686</v>
      </c>
      <c r="M37" s="50">
        <v>329962</v>
      </c>
      <c r="N37" s="50">
        <v>321443</v>
      </c>
      <c r="O37" s="50">
        <v>354979</v>
      </c>
      <c r="P37" s="50">
        <v>349050</v>
      </c>
      <c r="Q37" s="50">
        <v>298733</v>
      </c>
      <c r="R37" s="50">
        <v>286801</v>
      </c>
      <c r="S37" s="50">
        <v>321078</v>
      </c>
      <c r="T37" s="50">
        <v>272826</v>
      </c>
      <c r="U37" s="64">
        <v>280193</v>
      </c>
      <c r="V37" s="17">
        <f t="shared" si="1"/>
        <v>6357894</v>
      </c>
    </row>
    <row r="38" spans="1:22">
      <c r="A38" s="1" t="s">
        <v>1</v>
      </c>
      <c r="B38" s="18" t="s">
        <v>89</v>
      </c>
      <c r="C38" s="43">
        <v>16320</v>
      </c>
      <c r="D38" s="44">
        <v>19380</v>
      </c>
      <c r="E38" s="44">
        <v>19380</v>
      </c>
      <c r="F38" s="44">
        <v>18360</v>
      </c>
      <c r="G38" s="44">
        <v>16320</v>
      </c>
      <c r="H38" s="44">
        <v>19380</v>
      </c>
      <c r="I38" s="44">
        <v>17340</v>
      </c>
      <c r="J38" s="44">
        <v>16320</v>
      </c>
      <c r="K38" s="44">
        <v>16320</v>
      </c>
      <c r="L38" s="44">
        <v>18360</v>
      </c>
      <c r="M38" s="44">
        <v>15300</v>
      </c>
      <c r="N38" s="44">
        <v>17340</v>
      </c>
      <c r="O38" s="44">
        <v>15300</v>
      </c>
      <c r="P38" s="44">
        <v>17340</v>
      </c>
      <c r="Q38" s="44">
        <v>14280</v>
      </c>
      <c r="R38" s="44">
        <v>13260</v>
      </c>
      <c r="S38" s="44">
        <v>13260</v>
      </c>
      <c r="T38" s="44">
        <v>13260</v>
      </c>
      <c r="U38" s="61">
        <v>13260</v>
      </c>
      <c r="V38" s="20">
        <f t="shared" si="1"/>
        <v>310080</v>
      </c>
    </row>
    <row r="39" spans="1:22">
      <c r="A39" s="1" t="s">
        <v>1</v>
      </c>
      <c r="B39" s="24" t="s">
        <v>90</v>
      </c>
      <c r="C39" s="45">
        <v>2880</v>
      </c>
      <c r="D39" s="46">
        <v>3420</v>
      </c>
      <c r="E39" s="46">
        <v>3420</v>
      </c>
      <c r="F39" s="46">
        <v>3240</v>
      </c>
      <c r="G39" s="46">
        <v>2880</v>
      </c>
      <c r="H39" s="46">
        <v>3420</v>
      </c>
      <c r="I39" s="46">
        <v>3060</v>
      </c>
      <c r="J39" s="46">
        <v>2880</v>
      </c>
      <c r="K39" s="46">
        <v>2880</v>
      </c>
      <c r="L39" s="46">
        <v>3240</v>
      </c>
      <c r="M39" s="46">
        <v>2700</v>
      </c>
      <c r="N39" s="46">
        <v>3060</v>
      </c>
      <c r="O39" s="46">
        <v>2700</v>
      </c>
      <c r="P39" s="46">
        <v>3060</v>
      </c>
      <c r="Q39" s="46">
        <v>2520</v>
      </c>
      <c r="R39" s="46">
        <v>2340</v>
      </c>
      <c r="S39" s="46">
        <v>2340</v>
      </c>
      <c r="T39" s="46">
        <v>2340</v>
      </c>
      <c r="U39" s="62">
        <v>2340</v>
      </c>
      <c r="V39" s="30">
        <f t="shared" si="1"/>
        <v>54720</v>
      </c>
    </row>
    <row r="40" spans="1:22">
      <c r="A40" s="1" t="s">
        <v>1</v>
      </c>
      <c r="B40" s="24" t="s">
        <v>91</v>
      </c>
      <c r="C40" s="45">
        <v>29280</v>
      </c>
      <c r="D40" s="46">
        <v>34770</v>
      </c>
      <c r="E40" s="46">
        <v>34770</v>
      </c>
      <c r="F40" s="46">
        <v>32940</v>
      </c>
      <c r="G40" s="46">
        <v>29280</v>
      </c>
      <c r="H40" s="46">
        <v>34770</v>
      </c>
      <c r="I40" s="46">
        <v>31110</v>
      </c>
      <c r="J40" s="46">
        <v>29280</v>
      </c>
      <c r="K40" s="46">
        <v>29280</v>
      </c>
      <c r="L40" s="46">
        <v>32940</v>
      </c>
      <c r="M40" s="46">
        <v>27450</v>
      </c>
      <c r="N40" s="46">
        <v>31110</v>
      </c>
      <c r="O40" s="46">
        <v>27450</v>
      </c>
      <c r="P40" s="46">
        <v>31110</v>
      </c>
      <c r="Q40" s="46">
        <v>25620</v>
      </c>
      <c r="R40" s="46">
        <v>23790</v>
      </c>
      <c r="S40" s="46">
        <v>23790</v>
      </c>
      <c r="T40" s="46">
        <v>23790</v>
      </c>
      <c r="U40" s="62">
        <v>23790</v>
      </c>
      <c r="V40" s="30">
        <f t="shared" si="1"/>
        <v>556320</v>
      </c>
    </row>
    <row r="41" spans="1:22">
      <c r="A41" s="1" t="s">
        <v>1</v>
      </c>
      <c r="B41" s="24" t="s">
        <v>92</v>
      </c>
      <c r="C41" s="45">
        <v>1829</v>
      </c>
      <c r="D41" s="46">
        <v>2050</v>
      </c>
      <c r="E41" s="46">
        <v>2338</v>
      </c>
      <c r="F41" s="46">
        <v>2356</v>
      </c>
      <c r="G41" s="46">
        <v>1982</v>
      </c>
      <c r="H41" s="46">
        <v>2387</v>
      </c>
      <c r="I41" s="46">
        <v>2020</v>
      </c>
      <c r="J41" s="46">
        <v>1953</v>
      </c>
      <c r="K41" s="46">
        <v>2033</v>
      </c>
      <c r="L41" s="46">
        <v>2308</v>
      </c>
      <c r="M41" s="46">
        <v>1980</v>
      </c>
      <c r="N41" s="46">
        <v>1929</v>
      </c>
      <c r="O41" s="46">
        <v>2130</v>
      </c>
      <c r="P41" s="46">
        <v>2094</v>
      </c>
      <c r="Q41" s="46">
        <v>1792</v>
      </c>
      <c r="R41" s="46">
        <v>1721</v>
      </c>
      <c r="S41" s="46">
        <v>1926</v>
      </c>
      <c r="T41" s="46">
        <v>1637</v>
      </c>
      <c r="U41" s="62">
        <v>1681</v>
      </c>
      <c r="V41" s="30">
        <f t="shared" si="1"/>
        <v>38146</v>
      </c>
    </row>
    <row r="42" spans="1:22">
      <c r="A42" s="1" t="s">
        <v>1</v>
      </c>
      <c r="B42" s="24" t="s">
        <v>93</v>
      </c>
      <c r="C42" s="45">
        <v>50309</v>
      </c>
      <c r="D42" s="46">
        <v>59620</v>
      </c>
      <c r="E42" s="46">
        <v>59908</v>
      </c>
      <c r="F42" s="46">
        <v>56896</v>
      </c>
      <c r="G42" s="46">
        <v>50462</v>
      </c>
      <c r="H42" s="46">
        <v>59957</v>
      </c>
      <c r="I42" s="46">
        <v>53530</v>
      </c>
      <c r="J42" s="46">
        <v>50433</v>
      </c>
      <c r="K42" s="46">
        <v>50513</v>
      </c>
      <c r="L42" s="46">
        <v>56848</v>
      </c>
      <c r="M42" s="46">
        <v>47430</v>
      </c>
      <c r="N42" s="46">
        <v>53439</v>
      </c>
      <c r="O42" s="46">
        <v>47580</v>
      </c>
      <c r="P42" s="46">
        <v>53604</v>
      </c>
      <c r="Q42" s="46">
        <v>44212</v>
      </c>
      <c r="R42" s="46">
        <v>41111</v>
      </c>
      <c r="S42" s="46">
        <v>41316</v>
      </c>
      <c r="T42" s="46">
        <v>41027</v>
      </c>
      <c r="U42" s="62">
        <v>41071</v>
      </c>
      <c r="V42" s="30">
        <f t="shared" si="1"/>
        <v>959266</v>
      </c>
    </row>
    <row r="43" spans="1:22">
      <c r="A43" s="1" t="s">
        <v>1</v>
      </c>
      <c r="B43" s="24" t="s">
        <v>94</v>
      </c>
      <c r="C43" s="45">
        <v>4640</v>
      </c>
      <c r="D43" s="46">
        <v>7580</v>
      </c>
      <c r="E43" s="46">
        <v>7720</v>
      </c>
      <c r="F43" s="46">
        <v>11070</v>
      </c>
      <c r="G43" s="46">
        <v>5540</v>
      </c>
      <c r="H43" s="46">
        <v>11290</v>
      </c>
      <c r="I43" s="46">
        <v>7650</v>
      </c>
      <c r="J43" s="46">
        <v>5790</v>
      </c>
      <c r="K43" s="46">
        <v>7810</v>
      </c>
      <c r="L43" s="46">
        <v>10250</v>
      </c>
      <c r="M43" s="46">
        <v>7490</v>
      </c>
      <c r="N43" s="46">
        <v>7040</v>
      </c>
      <c r="O43" s="46">
        <v>8380</v>
      </c>
      <c r="P43" s="46">
        <v>3120</v>
      </c>
      <c r="Q43" s="46">
        <v>6340</v>
      </c>
      <c r="R43" s="46">
        <v>6130</v>
      </c>
      <c r="S43" s="46">
        <v>5700</v>
      </c>
      <c r="T43" s="46">
        <v>5600</v>
      </c>
      <c r="U43" s="62">
        <v>6070</v>
      </c>
      <c r="V43" s="30">
        <f t="shared" si="1"/>
        <v>135210</v>
      </c>
    </row>
    <row r="44" spans="1:22">
      <c r="A44" s="1" t="s">
        <v>1</v>
      </c>
      <c r="B44" s="24" t="s">
        <v>95</v>
      </c>
      <c r="C44" s="45">
        <v>1300</v>
      </c>
      <c r="D44" s="46">
        <v>1300</v>
      </c>
      <c r="E44" s="46">
        <v>1300</v>
      </c>
      <c r="F44" s="46">
        <v>0</v>
      </c>
      <c r="G44" s="46">
        <v>1300</v>
      </c>
      <c r="H44" s="46">
        <v>1300</v>
      </c>
      <c r="I44" s="46">
        <v>1300</v>
      </c>
      <c r="J44" s="46">
        <v>1300</v>
      </c>
      <c r="K44" s="46">
        <v>1300</v>
      </c>
      <c r="L44" s="46">
        <v>1300</v>
      </c>
      <c r="M44" s="46">
        <v>0</v>
      </c>
      <c r="N44" s="46">
        <v>0</v>
      </c>
      <c r="O44" s="46">
        <v>1300</v>
      </c>
      <c r="P44" s="46">
        <v>1300</v>
      </c>
      <c r="Q44" s="46">
        <v>1300</v>
      </c>
      <c r="R44" s="46">
        <v>0</v>
      </c>
      <c r="S44" s="46">
        <v>0</v>
      </c>
      <c r="T44" s="46">
        <v>0</v>
      </c>
      <c r="U44" s="62">
        <v>0</v>
      </c>
      <c r="V44" s="30">
        <f t="shared" si="1"/>
        <v>15600</v>
      </c>
    </row>
    <row r="45" spans="1:22">
      <c r="A45" s="1" t="s">
        <v>1</v>
      </c>
      <c r="B45" s="24" t="s">
        <v>96</v>
      </c>
      <c r="C45" s="45">
        <v>9900</v>
      </c>
      <c r="D45" s="46">
        <v>16100</v>
      </c>
      <c r="E45" s="46">
        <v>15700</v>
      </c>
      <c r="F45" s="46">
        <v>18800</v>
      </c>
      <c r="G45" s="46">
        <v>12100</v>
      </c>
      <c r="H45" s="46">
        <v>18500</v>
      </c>
      <c r="I45" s="46">
        <v>14500</v>
      </c>
      <c r="J45" s="46">
        <v>9300</v>
      </c>
      <c r="K45" s="46">
        <v>13400</v>
      </c>
      <c r="L45" s="46">
        <v>13900</v>
      </c>
      <c r="M45" s="46">
        <v>10400</v>
      </c>
      <c r="N45" s="46">
        <v>24600</v>
      </c>
      <c r="O45" s="46">
        <v>12200</v>
      </c>
      <c r="P45" s="46">
        <v>6700</v>
      </c>
      <c r="Q45" s="46">
        <v>0</v>
      </c>
      <c r="R45" s="46">
        <v>0</v>
      </c>
      <c r="S45" s="46">
        <v>0</v>
      </c>
      <c r="T45" s="46">
        <v>0</v>
      </c>
      <c r="U45" s="62">
        <v>0</v>
      </c>
      <c r="V45" s="30">
        <f t="shared" si="1"/>
        <v>196100</v>
      </c>
    </row>
    <row r="46" spans="1:22">
      <c r="A46" s="1" t="s">
        <v>1</v>
      </c>
      <c r="B46" s="5" t="s">
        <v>97</v>
      </c>
      <c r="C46" s="47">
        <v>29000</v>
      </c>
      <c r="D46" s="48">
        <v>30200</v>
      </c>
      <c r="E46" s="48">
        <v>26200</v>
      </c>
      <c r="F46" s="48">
        <v>29800</v>
      </c>
      <c r="G46" s="48">
        <v>0</v>
      </c>
      <c r="H46" s="48">
        <v>27400</v>
      </c>
      <c r="I46" s="48">
        <v>28400</v>
      </c>
      <c r="J46" s="48">
        <v>27800</v>
      </c>
      <c r="K46" s="48">
        <v>29400</v>
      </c>
      <c r="L46" s="48">
        <v>29000</v>
      </c>
      <c r="M46" s="48">
        <v>14600</v>
      </c>
      <c r="N46" s="48">
        <v>14800</v>
      </c>
      <c r="O46" s="48">
        <v>29200</v>
      </c>
      <c r="P46" s="48">
        <v>12700</v>
      </c>
      <c r="Q46" s="48">
        <v>13200</v>
      </c>
      <c r="R46" s="48">
        <v>0</v>
      </c>
      <c r="S46" s="48">
        <v>0</v>
      </c>
      <c r="T46" s="48">
        <v>0</v>
      </c>
      <c r="U46" s="63">
        <v>0</v>
      </c>
      <c r="V46" s="7">
        <f t="shared" si="1"/>
        <v>341700</v>
      </c>
    </row>
    <row r="47" spans="1:22">
      <c r="A47" s="1" t="s">
        <v>1</v>
      </c>
      <c r="B47" s="15" t="s">
        <v>98</v>
      </c>
      <c r="C47" s="49">
        <v>95149</v>
      </c>
      <c r="D47" s="50">
        <v>114800</v>
      </c>
      <c r="E47" s="50">
        <v>110828</v>
      </c>
      <c r="F47" s="50">
        <v>116566</v>
      </c>
      <c r="G47" s="50">
        <v>69402</v>
      </c>
      <c r="H47" s="50">
        <v>118447</v>
      </c>
      <c r="I47" s="50">
        <v>105380</v>
      </c>
      <c r="J47" s="50">
        <v>94623</v>
      </c>
      <c r="K47" s="50">
        <v>102423</v>
      </c>
      <c r="L47" s="50">
        <v>111298</v>
      </c>
      <c r="M47" s="50">
        <v>79920</v>
      </c>
      <c r="N47" s="50">
        <v>99879</v>
      </c>
      <c r="O47" s="50">
        <v>98660</v>
      </c>
      <c r="P47" s="50">
        <v>77424</v>
      </c>
      <c r="Q47" s="50">
        <v>65052</v>
      </c>
      <c r="R47" s="50">
        <v>47241</v>
      </c>
      <c r="S47" s="50">
        <v>47016</v>
      </c>
      <c r="T47" s="50">
        <v>46627</v>
      </c>
      <c r="U47" s="64">
        <v>47141</v>
      </c>
      <c r="V47" s="17">
        <f t="shared" si="1"/>
        <v>1647876</v>
      </c>
    </row>
    <row r="48" spans="1:22">
      <c r="A48" s="1" t="s">
        <v>1</v>
      </c>
      <c r="B48" s="15" t="s">
        <v>99</v>
      </c>
      <c r="C48" s="49">
        <v>241676</v>
      </c>
      <c r="D48" s="50">
        <v>278772</v>
      </c>
      <c r="E48" s="50">
        <v>324463</v>
      </c>
      <c r="F48" s="50">
        <v>332934</v>
      </c>
      <c r="G48" s="50">
        <v>266945</v>
      </c>
      <c r="H48" s="50">
        <v>335580</v>
      </c>
      <c r="I48" s="50">
        <v>280681</v>
      </c>
      <c r="J48" s="50">
        <v>273906</v>
      </c>
      <c r="K48" s="50">
        <v>285178</v>
      </c>
      <c r="L48" s="50">
        <v>322905</v>
      </c>
      <c r="M48" s="50">
        <v>276365</v>
      </c>
      <c r="N48" s="50">
        <v>263687</v>
      </c>
      <c r="O48" s="50">
        <v>299999</v>
      </c>
      <c r="P48" s="50">
        <v>289793</v>
      </c>
      <c r="Q48" s="50">
        <v>244038</v>
      </c>
      <c r="R48" s="50">
        <v>238290</v>
      </c>
      <c r="S48" s="50">
        <v>271283</v>
      </c>
      <c r="T48" s="50">
        <v>223449</v>
      </c>
      <c r="U48" s="64">
        <v>236552</v>
      </c>
      <c r="V48" s="17">
        <f t="shared" si="1"/>
        <v>5286496</v>
      </c>
    </row>
    <row r="49" spans="1:22">
      <c r="A49" s="1" t="s">
        <v>1</v>
      </c>
      <c r="B49" s="15" t="s">
        <v>100</v>
      </c>
      <c r="C49" s="49">
        <v>209683</v>
      </c>
      <c r="D49" s="50">
        <v>226804</v>
      </c>
      <c r="E49" s="50">
        <v>278862</v>
      </c>
      <c r="F49" s="50">
        <v>276091</v>
      </c>
      <c r="G49" s="50">
        <v>261006</v>
      </c>
      <c r="H49" s="50">
        <v>279351</v>
      </c>
      <c r="I49" s="50">
        <v>231298</v>
      </c>
      <c r="J49" s="50">
        <v>230950</v>
      </c>
      <c r="K49" s="50">
        <v>236480</v>
      </c>
      <c r="L49" s="50">
        <v>273388</v>
      </c>
      <c r="M49" s="50">
        <v>250042</v>
      </c>
      <c r="N49" s="50">
        <v>221564</v>
      </c>
      <c r="O49" s="50">
        <v>256319</v>
      </c>
      <c r="P49" s="50">
        <v>271626</v>
      </c>
      <c r="Q49" s="50">
        <v>233681</v>
      </c>
      <c r="R49" s="50">
        <v>239560</v>
      </c>
      <c r="S49" s="50">
        <v>274062</v>
      </c>
      <c r="T49" s="50">
        <v>226199</v>
      </c>
      <c r="U49" s="64">
        <v>233052</v>
      </c>
      <c r="V49" s="17">
        <f t="shared" si="1"/>
        <v>4710018</v>
      </c>
    </row>
    <row r="50" spans="1:22">
      <c r="A50" s="1" t="s">
        <v>1</v>
      </c>
      <c r="B50" s="15" t="s">
        <v>101</v>
      </c>
      <c r="C50" s="49">
        <v>209683</v>
      </c>
      <c r="D50" s="50">
        <v>226804</v>
      </c>
      <c r="E50" s="50">
        <v>278862</v>
      </c>
      <c r="F50" s="50">
        <v>276091</v>
      </c>
      <c r="G50" s="50">
        <v>261006</v>
      </c>
      <c r="H50" s="50">
        <v>279351</v>
      </c>
      <c r="I50" s="50">
        <v>231298</v>
      </c>
      <c r="J50" s="50">
        <v>230950</v>
      </c>
      <c r="K50" s="50">
        <v>236480</v>
      </c>
      <c r="L50" s="50">
        <v>273388</v>
      </c>
      <c r="M50" s="50">
        <v>250042</v>
      </c>
      <c r="N50" s="50">
        <v>221564</v>
      </c>
      <c r="O50" s="50">
        <v>256319</v>
      </c>
      <c r="P50" s="50">
        <v>271626</v>
      </c>
      <c r="Q50" s="50">
        <v>233681</v>
      </c>
      <c r="R50" s="50">
        <v>239560</v>
      </c>
      <c r="S50" s="50">
        <v>274062</v>
      </c>
      <c r="T50" s="50">
        <v>226199</v>
      </c>
      <c r="U50" s="64">
        <v>233052</v>
      </c>
      <c r="V50" s="17">
        <f t="shared" si="1"/>
        <v>4710018</v>
      </c>
    </row>
    <row r="51" spans="1:22">
      <c r="A51" s="1" t="s">
        <v>1</v>
      </c>
      <c r="B51" s="5" t="s">
        <v>102</v>
      </c>
      <c r="C51" s="47">
        <v>1</v>
      </c>
      <c r="D51" s="48">
        <v>0</v>
      </c>
      <c r="E51" s="48">
        <v>1</v>
      </c>
      <c r="F51" s="48">
        <v>0</v>
      </c>
      <c r="G51" s="48">
        <v>1</v>
      </c>
      <c r="H51" s="48">
        <v>0</v>
      </c>
      <c r="I51" s="48">
        <v>0</v>
      </c>
      <c r="J51" s="48">
        <v>1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3</v>
      </c>
      <c r="Q51" s="48">
        <v>0</v>
      </c>
      <c r="R51" s="48">
        <v>0</v>
      </c>
      <c r="S51" s="48">
        <v>1</v>
      </c>
      <c r="T51" s="48">
        <v>0</v>
      </c>
      <c r="U51" s="63">
        <v>0</v>
      </c>
      <c r="V51" s="7"/>
    </row>
    <row r="52" spans="1:22" ht="19.5" thickBot="1">
      <c r="A52" s="1" t="s">
        <v>1</v>
      </c>
      <c r="B52" s="8" t="s">
        <v>103</v>
      </c>
      <c r="C52" s="51" t="s">
        <v>104</v>
      </c>
      <c r="D52" s="52" t="s">
        <v>104</v>
      </c>
      <c r="E52" s="52" t="s">
        <v>104</v>
      </c>
      <c r="F52" s="52" t="s">
        <v>104</v>
      </c>
      <c r="G52" s="52" t="s">
        <v>104</v>
      </c>
      <c r="H52" s="52" t="s">
        <v>104</v>
      </c>
      <c r="I52" s="52" t="s">
        <v>104</v>
      </c>
      <c r="J52" s="52" t="s">
        <v>104</v>
      </c>
      <c r="K52" s="52" t="s">
        <v>104</v>
      </c>
      <c r="L52" s="52" t="s">
        <v>104</v>
      </c>
      <c r="M52" s="52" t="s">
        <v>104</v>
      </c>
      <c r="N52" s="52" t="s">
        <v>104</v>
      </c>
      <c r="O52" s="52" t="s">
        <v>104</v>
      </c>
      <c r="P52" s="52" t="s">
        <v>104</v>
      </c>
      <c r="Q52" s="52" t="s">
        <v>104</v>
      </c>
      <c r="R52" s="52" t="s">
        <v>104</v>
      </c>
      <c r="S52" s="52" t="s">
        <v>104</v>
      </c>
      <c r="T52" s="52" t="s">
        <v>104</v>
      </c>
      <c r="U52" s="65" t="s">
        <v>104</v>
      </c>
      <c r="V52" s="10"/>
    </row>
  </sheetData>
  <phoneticPr fontId="3"/>
  <pageMargins left="0.11811023622047245" right="0.31496062992125984" top="0.35433070866141736" bottom="0.15748031496062992" header="0.11811023622047245" footer="0.11811023622047245"/>
  <pageSetup paperSize="12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2023年 4月度給与 (2)</vt:lpstr>
      <vt:lpstr>2023年 4月度給与 (3)</vt:lpstr>
      <vt:lpstr>2023年 4月度給与 (4)</vt:lpstr>
      <vt:lpstr>'2023年 4月度給与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2023-05-11T08:16:13Z</cp:lastPrinted>
  <dcterms:created xsi:type="dcterms:W3CDTF">2023-05-09T05:35:16Z</dcterms:created>
  <dcterms:modified xsi:type="dcterms:W3CDTF">2024-09-26T07:13:30Z</dcterms:modified>
</cp:coreProperties>
</file>