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01給与計算関係\弥生給与明細\2023年度\2023.冬季賞与\"/>
    </mc:Choice>
  </mc:AlternateContent>
  <xr:revisionPtr revIDLastSave="0" documentId="13_ncr:1_{75B17CB9-6A9E-4A43-A112-2BEFDD2BD0B8}" xr6:coauthVersionLast="47" xr6:coauthVersionMax="47" xr10:uidLastSave="{00000000-0000-0000-0000-000000000000}"/>
  <bookViews>
    <workbookView xWindow="-120" yWindow="-120" windowWidth="20730" windowHeight="11160" activeTab="1" xr2:uid="{0D67263D-7357-4D48-8B39-5869A9BDF770}"/>
  </bookViews>
  <sheets>
    <sheet name="冬季賞与" sheetId="2" r:id="rId1"/>
    <sheet name="冬季賞与 (2)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" i="3" l="1"/>
  <c r="N6" i="3" s="1"/>
  <c r="M7" i="3"/>
  <c r="N7" i="3" s="1"/>
  <c r="M8" i="3"/>
  <c r="N8" i="3" s="1"/>
  <c r="M9" i="3"/>
  <c r="M10" i="3"/>
  <c r="N10" i="3" s="1"/>
  <c r="M11" i="3"/>
  <c r="N11" i="3" s="1"/>
  <c r="M12" i="3"/>
  <c r="N12" i="3" s="1"/>
  <c r="M13" i="3"/>
  <c r="M14" i="3"/>
  <c r="N14" i="3" s="1"/>
  <c r="M15" i="3"/>
  <c r="N15" i="3" s="1"/>
  <c r="M16" i="3"/>
  <c r="N16" i="3" s="1"/>
  <c r="M17" i="3"/>
  <c r="M18" i="3"/>
  <c r="N18" i="3" s="1"/>
  <c r="M19" i="3"/>
  <c r="N19" i="3" s="1"/>
  <c r="M20" i="3"/>
  <c r="N20" i="3" s="1"/>
  <c r="M21" i="3"/>
  <c r="M22" i="3"/>
  <c r="N22" i="3" s="1"/>
  <c r="M5" i="3"/>
  <c r="N5" i="3" s="1"/>
  <c r="F6" i="3"/>
  <c r="F7" i="3"/>
  <c r="F8" i="3"/>
  <c r="F9" i="3"/>
  <c r="N9" i="3" s="1"/>
  <c r="F10" i="3"/>
  <c r="F11" i="3"/>
  <c r="F12" i="3"/>
  <c r="F13" i="3"/>
  <c r="N13" i="3" s="1"/>
  <c r="F14" i="3"/>
  <c r="F15" i="3"/>
  <c r="F16" i="3"/>
  <c r="F17" i="3"/>
  <c r="N17" i="3" s="1"/>
  <c r="F18" i="3"/>
  <c r="F19" i="3"/>
  <c r="F20" i="3"/>
  <c r="F21" i="3"/>
  <c r="N21" i="3" s="1"/>
  <c r="F22" i="3"/>
  <c r="F5" i="3"/>
</calcChain>
</file>

<file path=xl/sharedStrings.xml><?xml version="1.0" encoding="utf-8"?>
<sst xmlns="http://schemas.openxmlformats.org/spreadsheetml/2006/main" count="133" uniqueCount="49">
  <si>
    <t>賞与支給控除一覧表</t>
    <phoneticPr fontId="4"/>
  </si>
  <si>
    <t/>
  </si>
  <si>
    <t>冬季賞与</t>
    <phoneticPr fontId="4"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</si>
  <si>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</si>
  <si>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</si>
  <si>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</si>
  <si>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</si>
  <si>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</si>
  <si>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</si>
  <si>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</si>
  <si>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</si>
  <si>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</si>
  <si>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</si>
  <si>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</si>
  <si>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</si>
  <si>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</si>
  <si>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</si>
  <si>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</si>
  <si>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ゆうこ</t>
    <phoneticPr fontId="4"/>
  </si>
  <si>
    <t>佐藤　禎尚</t>
    <phoneticPr fontId="4"/>
  </si>
  <si>
    <t>土谷　栄</t>
    <phoneticPr fontId="4"/>
  </si>
  <si>
    <t>合計</t>
    <phoneticPr fontId="4"/>
  </si>
  <si>
    <t>賞与</t>
    <phoneticPr fontId="4"/>
  </si>
  <si>
    <t>職位加算</t>
    <phoneticPr fontId="4"/>
  </si>
  <si>
    <t>職責加算</t>
    <phoneticPr fontId="4"/>
  </si>
  <si>
    <t>業績連動</t>
    <phoneticPr fontId="4"/>
  </si>
  <si>
    <t>課税支給合計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</si>
  <si>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</si>
  <si>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</si>
  <si>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</si>
  <si>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</si>
  <si>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</si>
  <si>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課税対象額</t>
    <phoneticPr fontId="4"/>
  </si>
  <si>
    <t>所得税</t>
    <phoneticPr fontId="4"/>
  </si>
  <si>
    <t>社会保険料計</t>
    <phoneticPr fontId="4"/>
  </si>
  <si>
    <t>控除合計</t>
    <phoneticPr fontId="4"/>
  </si>
  <si>
    <t>年末調整還付</t>
    <phoneticPr fontId="4"/>
  </si>
  <si>
    <t>年末調整徴収</t>
    <phoneticPr fontId="4"/>
  </si>
  <si>
    <t>差引支給合計</t>
    <phoneticPr fontId="4"/>
  </si>
  <si>
    <t>振込支給合計</t>
    <phoneticPr fontId="4"/>
  </si>
  <si>
    <t>扶養人数</t>
    <phoneticPr fontId="4"/>
  </si>
  <si>
    <t>税率</t>
    <phoneticPr fontId="4"/>
  </si>
  <si>
    <t>前社保控除後</t>
    <phoneticPr fontId="4"/>
  </si>
  <si>
    <t>小田島健司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</si>
  <si>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</si>
  <si>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</si>
  <si>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６名</t>
    <rPh sb="1" eb="2">
      <t>メイ</t>
    </rPh>
    <phoneticPr fontId="3"/>
  </si>
  <si>
    <t>９名</t>
    <rPh sb="1" eb="2">
      <t>メイ</t>
    </rPh>
    <phoneticPr fontId="4"/>
  </si>
  <si>
    <t>佐藤ゆうこ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</si>
</sst>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indexed="64"/>
      </right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dotted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dotted">
        <color auto="1"/>
      </bottom>
      <diagonal/>
    </border>
    <border>
      <left style="medium">
        <color indexed="64"/>
      </left>
      <right style="hair">
        <color indexed="64"/>
      </right>
      <top style="dotted">
        <color auto="1"/>
      </top>
      <bottom style="dotted">
        <color auto="1"/>
      </bottom>
      <diagonal/>
    </border>
    <border>
      <left style="hair">
        <color indexed="64"/>
      </left>
      <right style="hair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hair">
        <color indexed="64"/>
      </right>
      <top style="dotted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dotted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/>
      <bottom style="thin">
        <color auto="1"/>
      </bottom>
      <diagonal/>
    </border>
    <border>
      <left style="hair">
        <color indexed="64"/>
      </left>
      <right style="hair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0" fontId="2" fillId="0" borderId="4" xfId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3" fontId="2" fillId="0" borderId="0" xfId="1" applyNumberFormat="1" applyFont="1"/>
    <xf numFmtId="3" fontId="2" fillId="0" borderId="6" xfId="1" applyNumberFormat="1" applyFont="1" applyBorder="1"/>
    <xf numFmtId="49" fontId="2" fillId="0" borderId="5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 applyAlignment="1">
      <alignment horizontal="left"/>
    </xf>
    <xf numFmtId="3" fontId="2" fillId="0" borderId="10" xfId="1" applyNumberFormat="1" applyFont="1" applyBorder="1"/>
    <xf numFmtId="3" fontId="2" fillId="0" borderId="9" xfId="1" applyNumberFormat="1" applyFont="1" applyBorder="1"/>
    <xf numFmtId="176" fontId="2" fillId="0" borderId="8" xfId="1" applyNumberFormat="1" applyFont="1" applyBorder="1"/>
    <xf numFmtId="176" fontId="2" fillId="0" borderId="7" xfId="1" applyNumberFormat="1" applyFont="1" applyBorder="1"/>
    <xf numFmtId="49" fontId="2" fillId="0" borderId="11" xfId="1" applyNumberFormat="1" applyFont="1" applyBorder="1" applyAlignment="1">
      <alignment horizontal="left"/>
    </xf>
    <xf numFmtId="3" fontId="2" fillId="0" borderId="12" xfId="1" applyNumberFormat="1" applyFont="1" applyBorder="1"/>
    <xf numFmtId="3" fontId="2" fillId="0" borderId="11" xfId="1" applyNumberFormat="1" applyFont="1" applyBorder="1"/>
    <xf numFmtId="49" fontId="2" fillId="0" borderId="13" xfId="1" applyNumberFormat="1" applyFont="1" applyBorder="1" applyAlignment="1">
      <alignment horizontal="left"/>
    </xf>
    <xf numFmtId="3" fontId="2" fillId="0" borderId="14" xfId="1" applyNumberFormat="1" applyFont="1" applyBorder="1"/>
    <xf numFmtId="3" fontId="2" fillId="0" borderId="13" xfId="1" applyNumberFormat="1" applyFont="1" applyBorder="1"/>
    <xf numFmtId="49" fontId="2" fillId="0" borderId="15" xfId="1" applyNumberFormat="1" applyFont="1" applyBorder="1" applyAlignment="1">
      <alignment horizontal="left"/>
    </xf>
    <xf numFmtId="3" fontId="2" fillId="0" borderId="16" xfId="1" applyNumberFormat="1" applyFont="1" applyBorder="1"/>
    <xf numFmtId="3" fontId="2" fillId="0" borderId="15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7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19" xfId="1" applyNumberFormat="1" applyFont="1" applyBorder="1"/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49" fontId="2" fillId="0" borderId="24" xfId="1" applyNumberFormat="1" applyFont="1" applyBorder="1" applyAlignment="1">
      <alignment horizontal="center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41" xfId="1" applyNumberFormat="1" applyFont="1" applyBorder="1" applyAlignment="1">
      <alignment horizontal="left"/>
    </xf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1" xfId="1" applyNumberFormat="1" applyFont="1" applyBorder="1"/>
    <xf numFmtId="49" fontId="2" fillId="0" borderId="45" xfId="1" applyNumberFormat="1" applyFont="1" applyBorder="1" applyAlignment="1">
      <alignment horizontal="center"/>
    </xf>
    <xf numFmtId="49" fontId="2" fillId="0" borderId="46" xfId="1" applyNumberFormat="1" applyFont="1" applyBorder="1" applyAlignment="1">
      <alignment horizontal="center"/>
    </xf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51" xfId="1" applyNumberFormat="1" applyFont="1" applyBorder="1"/>
    <xf numFmtId="3" fontId="2" fillId="0" borderId="52" xfId="1" applyNumberFormat="1" applyFont="1" applyBorder="1"/>
    <xf numFmtId="176" fontId="2" fillId="0" borderId="50" xfId="1" applyNumberFormat="1" applyFont="1" applyBorder="1"/>
    <xf numFmtId="3" fontId="2" fillId="0" borderId="4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0" fontId="2" fillId="0" borderId="2" xfId="1" applyFont="1" applyBorder="1"/>
  </cellXfs>
  <cellStyles count="2">
    <cellStyle name="標準" xfId="0" builtinId="0"/>
    <cellStyle name="標準 2" xfId="1" xr:uid="{6EDC9373-704C-4C5C-8EB5-B15E2C0BD8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E004-6C6A-4558-9FB1-9357E706B65D}">
  <dimension ref="A1:L25"/>
  <sheetViews>
    <sheetView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I3" sqref="I3"/>
    </sheetView>
  </sheetViews>
  <sheetFormatPr defaultRowHeight="18.75"/>
  <cols>
    <col min="1" max="1" width="2.375" style="2" customWidth="1"/>
    <col min="2" max="2" width="13.25" style="2" bestFit="1" customWidth="1"/>
    <col min="3" max="12" width="13.625" style="2" customWidth="1"/>
    <col min="13" max="256" width="9" style="2"/>
    <col min="257" max="257" width="2.375" style="2" customWidth="1"/>
    <col min="258" max="258" width="13.25" style="2" bestFit="1" customWidth="1"/>
    <col min="259" max="260" width="9" style="2" bestFit="1"/>
    <col min="261" max="263" width="11.125" style="2" bestFit="1" customWidth="1"/>
    <col min="264" max="264" width="13.25" style="2" bestFit="1" customWidth="1"/>
    <col min="265" max="265" width="11.125" style="2" bestFit="1" customWidth="1"/>
    <col min="266" max="266" width="9" style="2" bestFit="1"/>
    <col min="267" max="267" width="13.25" style="2" bestFit="1" customWidth="1"/>
    <col min="268" max="268" width="9.625" style="2" bestFit="1" customWidth="1"/>
    <col min="269" max="512" width="9" style="2"/>
    <col min="513" max="513" width="2.375" style="2" customWidth="1"/>
    <col min="514" max="514" width="13.25" style="2" bestFit="1" customWidth="1"/>
    <col min="515" max="516" width="9" style="2" bestFit="1"/>
    <col min="517" max="519" width="11.125" style="2" bestFit="1" customWidth="1"/>
    <col min="520" max="520" width="13.25" style="2" bestFit="1" customWidth="1"/>
    <col min="521" max="521" width="11.125" style="2" bestFit="1" customWidth="1"/>
    <col min="522" max="522" width="9" style="2" bestFit="1"/>
    <col min="523" max="523" width="13.25" style="2" bestFit="1" customWidth="1"/>
    <col min="524" max="524" width="9.625" style="2" bestFit="1" customWidth="1"/>
    <col min="525" max="768" width="9" style="2"/>
    <col min="769" max="769" width="2.375" style="2" customWidth="1"/>
    <col min="770" max="770" width="13.25" style="2" bestFit="1" customWidth="1"/>
    <col min="771" max="772" width="9" style="2" bestFit="1"/>
    <col min="773" max="775" width="11.125" style="2" bestFit="1" customWidth="1"/>
    <col min="776" max="776" width="13.25" style="2" bestFit="1" customWidth="1"/>
    <col min="777" max="777" width="11.125" style="2" bestFit="1" customWidth="1"/>
    <col min="778" max="778" width="9" style="2" bestFit="1"/>
    <col min="779" max="779" width="13.25" style="2" bestFit="1" customWidth="1"/>
    <col min="780" max="780" width="9.625" style="2" bestFit="1" customWidth="1"/>
    <col min="781" max="1024" width="9" style="2"/>
    <col min="1025" max="1025" width="2.375" style="2" customWidth="1"/>
    <col min="1026" max="1026" width="13.25" style="2" bestFit="1" customWidth="1"/>
    <col min="1027" max="1028" width="9" style="2" bestFit="1"/>
    <col min="1029" max="1031" width="11.125" style="2" bestFit="1" customWidth="1"/>
    <col min="1032" max="1032" width="13.25" style="2" bestFit="1" customWidth="1"/>
    <col min="1033" max="1033" width="11.125" style="2" bestFit="1" customWidth="1"/>
    <col min="1034" max="1034" width="9" style="2" bestFit="1"/>
    <col min="1035" max="1035" width="13.25" style="2" bestFit="1" customWidth="1"/>
    <col min="1036" max="1036" width="9.625" style="2" bestFit="1" customWidth="1"/>
    <col min="1037" max="1280" width="9" style="2"/>
    <col min="1281" max="1281" width="2.375" style="2" customWidth="1"/>
    <col min="1282" max="1282" width="13.25" style="2" bestFit="1" customWidth="1"/>
    <col min="1283" max="1284" width="9" style="2" bestFit="1"/>
    <col min="1285" max="1287" width="11.125" style="2" bestFit="1" customWidth="1"/>
    <col min="1288" max="1288" width="13.25" style="2" bestFit="1" customWidth="1"/>
    <col min="1289" max="1289" width="11.125" style="2" bestFit="1" customWidth="1"/>
    <col min="1290" max="1290" width="9" style="2" bestFit="1"/>
    <col min="1291" max="1291" width="13.25" style="2" bestFit="1" customWidth="1"/>
    <col min="1292" max="1292" width="9.625" style="2" bestFit="1" customWidth="1"/>
    <col min="1293" max="1536" width="9" style="2"/>
    <col min="1537" max="1537" width="2.375" style="2" customWidth="1"/>
    <col min="1538" max="1538" width="13.25" style="2" bestFit="1" customWidth="1"/>
    <col min="1539" max="1540" width="9" style="2" bestFit="1"/>
    <col min="1541" max="1543" width="11.125" style="2" bestFit="1" customWidth="1"/>
    <col min="1544" max="1544" width="13.25" style="2" bestFit="1" customWidth="1"/>
    <col min="1545" max="1545" width="11.125" style="2" bestFit="1" customWidth="1"/>
    <col min="1546" max="1546" width="9" style="2" bestFit="1"/>
    <col min="1547" max="1547" width="13.25" style="2" bestFit="1" customWidth="1"/>
    <col min="1548" max="1548" width="9.625" style="2" bestFit="1" customWidth="1"/>
    <col min="1549" max="1792" width="9" style="2"/>
    <col min="1793" max="1793" width="2.375" style="2" customWidth="1"/>
    <col min="1794" max="1794" width="13.25" style="2" bestFit="1" customWidth="1"/>
    <col min="1795" max="1796" width="9" style="2" bestFit="1"/>
    <col min="1797" max="1799" width="11.125" style="2" bestFit="1" customWidth="1"/>
    <col min="1800" max="1800" width="13.25" style="2" bestFit="1" customWidth="1"/>
    <col min="1801" max="1801" width="11.125" style="2" bestFit="1" customWidth="1"/>
    <col min="1802" max="1802" width="9" style="2" bestFit="1"/>
    <col min="1803" max="1803" width="13.25" style="2" bestFit="1" customWidth="1"/>
    <col min="1804" max="1804" width="9.625" style="2" bestFit="1" customWidth="1"/>
    <col min="1805" max="2048" width="9" style="2"/>
    <col min="2049" max="2049" width="2.375" style="2" customWidth="1"/>
    <col min="2050" max="2050" width="13.25" style="2" bestFit="1" customWidth="1"/>
    <col min="2051" max="2052" width="9" style="2" bestFit="1"/>
    <col min="2053" max="2055" width="11.125" style="2" bestFit="1" customWidth="1"/>
    <col min="2056" max="2056" width="13.25" style="2" bestFit="1" customWidth="1"/>
    <col min="2057" max="2057" width="11.125" style="2" bestFit="1" customWidth="1"/>
    <col min="2058" max="2058" width="9" style="2" bestFit="1"/>
    <col min="2059" max="2059" width="13.25" style="2" bestFit="1" customWidth="1"/>
    <col min="2060" max="2060" width="9.625" style="2" bestFit="1" customWidth="1"/>
    <col min="2061" max="2304" width="9" style="2"/>
    <col min="2305" max="2305" width="2.375" style="2" customWidth="1"/>
    <col min="2306" max="2306" width="13.25" style="2" bestFit="1" customWidth="1"/>
    <col min="2307" max="2308" width="9" style="2" bestFit="1"/>
    <col min="2309" max="2311" width="11.125" style="2" bestFit="1" customWidth="1"/>
    <col min="2312" max="2312" width="13.25" style="2" bestFit="1" customWidth="1"/>
    <col min="2313" max="2313" width="11.125" style="2" bestFit="1" customWidth="1"/>
    <col min="2314" max="2314" width="9" style="2" bestFit="1"/>
    <col min="2315" max="2315" width="13.25" style="2" bestFit="1" customWidth="1"/>
    <col min="2316" max="2316" width="9.625" style="2" bestFit="1" customWidth="1"/>
    <col min="2317" max="2560" width="9" style="2"/>
    <col min="2561" max="2561" width="2.375" style="2" customWidth="1"/>
    <col min="2562" max="2562" width="13.25" style="2" bestFit="1" customWidth="1"/>
    <col min="2563" max="2564" width="9" style="2" bestFit="1"/>
    <col min="2565" max="2567" width="11.125" style="2" bestFit="1" customWidth="1"/>
    <col min="2568" max="2568" width="13.25" style="2" bestFit="1" customWidth="1"/>
    <col min="2569" max="2569" width="11.125" style="2" bestFit="1" customWidth="1"/>
    <col min="2570" max="2570" width="9" style="2" bestFit="1"/>
    <col min="2571" max="2571" width="13.25" style="2" bestFit="1" customWidth="1"/>
    <col min="2572" max="2572" width="9.625" style="2" bestFit="1" customWidth="1"/>
    <col min="2573" max="2816" width="9" style="2"/>
    <col min="2817" max="2817" width="2.375" style="2" customWidth="1"/>
    <col min="2818" max="2818" width="13.25" style="2" bestFit="1" customWidth="1"/>
    <col min="2819" max="2820" width="9" style="2" bestFit="1"/>
    <col min="2821" max="2823" width="11.125" style="2" bestFit="1" customWidth="1"/>
    <col min="2824" max="2824" width="13.25" style="2" bestFit="1" customWidth="1"/>
    <col min="2825" max="2825" width="11.125" style="2" bestFit="1" customWidth="1"/>
    <col min="2826" max="2826" width="9" style="2" bestFit="1"/>
    <col min="2827" max="2827" width="13.25" style="2" bestFit="1" customWidth="1"/>
    <col min="2828" max="2828" width="9.625" style="2" bestFit="1" customWidth="1"/>
    <col min="2829" max="3072" width="9" style="2"/>
    <col min="3073" max="3073" width="2.375" style="2" customWidth="1"/>
    <col min="3074" max="3074" width="13.25" style="2" bestFit="1" customWidth="1"/>
    <col min="3075" max="3076" width="9" style="2" bestFit="1"/>
    <col min="3077" max="3079" width="11.125" style="2" bestFit="1" customWidth="1"/>
    <col min="3080" max="3080" width="13.25" style="2" bestFit="1" customWidth="1"/>
    <col min="3081" max="3081" width="11.125" style="2" bestFit="1" customWidth="1"/>
    <col min="3082" max="3082" width="9" style="2" bestFit="1"/>
    <col min="3083" max="3083" width="13.25" style="2" bestFit="1" customWidth="1"/>
    <col min="3084" max="3084" width="9.625" style="2" bestFit="1" customWidth="1"/>
    <col min="3085" max="3328" width="9" style="2"/>
    <col min="3329" max="3329" width="2.375" style="2" customWidth="1"/>
    <col min="3330" max="3330" width="13.25" style="2" bestFit="1" customWidth="1"/>
    <col min="3331" max="3332" width="9" style="2" bestFit="1"/>
    <col min="3333" max="3335" width="11.125" style="2" bestFit="1" customWidth="1"/>
    <col min="3336" max="3336" width="13.25" style="2" bestFit="1" customWidth="1"/>
    <col min="3337" max="3337" width="11.125" style="2" bestFit="1" customWidth="1"/>
    <col min="3338" max="3338" width="9" style="2" bestFit="1"/>
    <col min="3339" max="3339" width="13.25" style="2" bestFit="1" customWidth="1"/>
    <col min="3340" max="3340" width="9.625" style="2" bestFit="1" customWidth="1"/>
    <col min="3341" max="3584" width="9" style="2"/>
    <col min="3585" max="3585" width="2.375" style="2" customWidth="1"/>
    <col min="3586" max="3586" width="13.25" style="2" bestFit="1" customWidth="1"/>
    <col min="3587" max="3588" width="9" style="2" bestFit="1"/>
    <col min="3589" max="3591" width="11.125" style="2" bestFit="1" customWidth="1"/>
    <col min="3592" max="3592" width="13.25" style="2" bestFit="1" customWidth="1"/>
    <col min="3593" max="3593" width="11.125" style="2" bestFit="1" customWidth="1"/>
    <col min="3594" max="3594" width="9" style="2" bestFit="1"/>
    <col min="3595" max="3595" width="13.25" style="2" bestFit="1" customWidth="1"/>
    <col min="3596" max="3596" width="9.625" style="2" bestFit="1" customWidth="1"/>
    <col min="3597" max="3840" width="9" style="2"/>
    <col min="3841" max="3841" width="2.375" style="2" customWidth="1"/>
    <col min="3842" max="3842" width="13.25" style="2" bestFit="1" customWidth="1"/>
    <col min="3843" max="3844" width="9" style="2" bestFit="1"/>
    <col min="3845" max="3847" width="11.125" style="2" bestFit="1" customWidth="1"/>
    <col min="3848" max="3848" width="13.25" style="2" bestFit="1" customWidth="1"/>
    <col min="3849" max="3849" width="11.125" style="2" bestFit="1" customWidth="1"/>
    <col min="3850" max="3850" width="9" style="2" bestFit="1"/>
    <col min="3851" max="3851" width="13.25" style="2" bestFit="1" customWidth="1"/>
    <col min="3852" max="3852" width="9.625" style="2" bestFit="1" customWidth="1"/>
    <col min="3853" max="4096" width="9" style="2"/>
    <col min="4097" max="4097" width="2.375" style="2" customWidth="1"/>
    <col min="4098" max="4098" width="13.25" style="2" bestFit="1" customWidth="1"/>
    <col min="4099" max="4100" width="9" style="2" bestFit="1"/>
    <col min="4101" max="4103" width="11.125" style="2" bestFit="1" customWidth="1"/>
    <col min="4104" max="4104" width="13.25" style="2" bestFit="1" customWidth="1"/>
    <col min="4105" max="4105" width="11.125" style="2" bestFit="1" customWidth="1"/>
    <col min="4106" max="4106" width="9" style="2" bestFit="1"/>
    <col min="4107" max="4107" width="13.25" style="2" bestFit="1" customWidth="1"/>
    <col min="4108" max="4108" width="9.625" style="2" bestFit="1" customWidth="1"/>
    <col min="4109" max="4352" width="9" style="2"/>
    <col min="4353" max="4353" width="2.375" style="2" customWidth="1"/>
    <col min="4354" max="4354" width="13.25" style="2" bestFit="1" customWidth="1"/>
    <col min="4355" max="4356" width="9" style="2" bestFit="1"/>
    <col min="4357" max="4359" width="11.125" style="2" bestFit="1" customWidth="1"/>
    <col min="4360" max="4360" width="13.25" style="2" bestFit="1" customWidth="1"/>
    <col min="4361" max="4361" width="11.125" style="2" bestFit="1" customWidth="1"/>
    <col min="4362" max="4362" width="9" style="2" bestFit="1"/>
    <col min="4363" max="4363" width="13.25" style="2" bestFit="1" customWidth="1"/>
    <col min="4364" max="4364" width="9.625" style="2" bestFit="1" customWidth="1"/>
    <col min="4365" max="4608" width="9" style="2"/>
    <col min="4609" max="4609" width="2.375" style="2" customWidth="1"/>
    <col min="4610" max="4610" width="13.25" style="2" bestFit="1" customWidth="1"/>
    <col min="4611" max="4612" width="9" style="2" bestFit="1"/>
    <col min="4613" max="4615" width="11.125" style="2" bestFit="1" customWidth="1"/>
    <col min="4616" max="4616" width="13.25" style="2" bestFit="1" customWidth="1"/>
    <col min="4617" max="4617" width="11.125" style="2" bestFit="1" customWidth="1"/>
    <col min="4618" max="4618" width="9" style="2" bestFit="1"/>
    <col min="4619" max="4619" width="13.25" style="2" bestFit="1" customWidth="1"/>
    <col min="4620" max="4620" width="9.625" style="2" bestFit="1" customWidth="1"/>
    <col min="4621" max="4864" width="9" style="2"/>
    <col min="4865" max="4865" width="2.375" style="2" customWidth="1"/>
    <col min="4866" max="4866" width="13.25" style="2" bestFit="1" customWidth="1"/>
    <col min="4867" max="4868" width="9" style="2" bestFit="1"/>
    <col min="4869" max="4871" width="11.125" style="2" bestFit="1" customWidth="1"/>
    <col min="4872" max="4872" width="13.25" style="2" bestFit="1" customWidth="1"/>
    <col min="4873" max="4873" width="11.125" style="2" bestFit="1" customWidth="1"/>
    <col min="4874" max="4874" width="9" style="2" bestFit="1"/>
    <col min="4875" max="4875" width="13.25" style="2" bestFit="1" customWidth="1"/>
    <col min="4876" max="4876" width="9.625" style="2" bestFit="1" customWidth="1"/>
    <col min="4877" max="5120" width="9" style="2"/>
    <col min="5121" max="5121" width="2.375" style="2" customWidth="1"/>
    <col min="5122" max="5122" width="13.25" style="2" bestFit="1" customWidth="1"/>
    <col min="5123" max="5124" width="9" style="2" bestFit="1"/>
    <col min="5125" max="5127" width="11.125" style="2" bestFit="1" customWidth="1"/>
    <col min="5128" max="5128" width="13.25" style="2" bestFit="1" customWidth="1"/>
    <col min="5129" max="5129" width="11.125" style="2" bestFit="1" customWidth="1"/>
    <col min="5130" max="5130" width="9" style="2" bestFit="1"/>
    <col min="5131" max="5131" width="13.25" style="2" bestFit="1" customWidth="1"/>
    <col min="5132" max="5132" width="9.625" style="2" bestFit="1" customWidth="1"/>
    <col min="5133" max="5376" width="9" style="2"/>
    <col min="5377" max="5377" width="2.375" style="2" customWidth="1"/>
    <col min="5378" max="5378" width="13.25" style="2" bestFit="1" customWidth="1"/>
    <col min="5379" max="5380" width="9" style="2" bestFit="1"/>
    <col min="5381" max="5383" width="11.125" style="2" bestFit="1" customWidth="1"/>
    <col min="5384" max="5384" width="13.25" style="2" bestFit="1" customWidth="1"/>
    <col min="5385" max="5385" width="11.125" style="2" bestFit="1" customWidth="1"/>
    <col min="5386" max="5386" width="9" style="2" bestFit="1"/>
    <col min="5387" max="5387" width="13.25" style="2" bestFit="1" customWidth="1"/>
    <col min="5388" max="5388" width="9.625" style="2" bestFit="1" customWidth="1"/>
    <col min="5389" max="5632" width="9" style="2"/>
    <col min="5633" max="5633" width="2.375" style="2" customWidth="1"/>
    <col min="5634" max="5634" width="13.25" style="2" bestFit="1" customWidth="1"/>
    <col min="5635" max="5636" width="9" style="2" bestFit="1"/>
    <col min="5637" max="5639" width="11.125" style="2" bestFit="1" customWidth="1"/>
    <col min="5640" max="5640" width="13.25" style="2" bestFit="1" customWidth="1"/>
    <col min="5641" max="5641" width="11.125" style="2" bestFit="1" customWidth="1"/>
    <col min="5642" max="5642" width="9" style="2" bestFit="1"/>
    <col min="5643" max="5643" width="13.25" style="2" bestFit="1" customWidth="1"/>
    <col min="5644" max="5644" width="9.625" style="2" bestFit="1" customWidth="1"/>
    <col min="5645" max="5888" width="9" style="2"/>
    <col min="5889" max="5889" width="2.375" style="2" customWidth="1"/>
    <col min="5890" max="5890" width="13.25" style="2" bestFit="1" customWidth="1"/>
    <col min="5891" max="5892" width="9" style="2" bestFit="1"/>
    <col min="5893" max="5895" width="11.125" style="2" bestFit="1" customWidth="1"/>
    <col min="5896" max="5896" width="13.25" style="2" bestFit="1" customWidth="1"/>
    <col min="5897" max="5897" width="11.125" style="2" bestFit="1" customWidth="1"/>
    <col min="5898" max="5898" width="9" style="2" bestFit="1"/>
    <col min="5899" max="5899" width="13.25" style="2" bestFit="1" customWidth="1"/>
    <col min="5900" max="5900" width="9.625" style="2" bestFit="1" customWidth="1"/>
    <col min="5901" max="6144" width="9" style="2"/>
    <col min="6145" max="6145" width="2.375" style="2" customWidth="1"/>
    <col min="6146" max="6146" width="13.25" style="2" bestFit="1" customWidth="1"/>
    <col min="6147" max="6148" width="9" style="2" bestFit="1"/>
    <col min="6149" max="6151" width="11.125" style="2" bestFit="1" customWidth="1"/>
    <col min="6152" max="6152" width="13.25" style="2" bestFit="1" customWidth="1"/>
    <col min="6153" max="6153" width="11.125" style="2" bestFit="1" customWidth="1"/>
    <col min="6154" max="6154" width="9" style="2" bestFit="1"/>
    <col min="6155" max="6155" width="13.25" style="2" bestFit="1" customWidth="1"/>
    <col min="6156" max="6156" width="9.625" style="2" bestFit="1" customWidth="1"/>
    <col min="6157" max="6400" width="9" style="2"/>
    <col min="6401" max="6401" width="2.375" style="2" customWidth="1"/>
    <col min="6402" max="6402" width="13.25" style="2" bestFit="1" customWidth="1"/>
    <col min="6403" max="6404" width="9" style="2" bestFit="1"/>
    <col min="6405" max="6407" width="11.125" style="2" bestFit="1" customWidth="1"/>
    <col min="6408" max="6408" width="13.25" style="2" bestFit="1" customWidth="1"/>
    <col min="6409" max="6409" width="11.125" style="2" bestFit="1" customWidth="1"/>
    <col min="6410" max="6410" width="9" style="2" bestFit="1"/>
    <col min="6411" max="6411" width="13.25" style="2" bestFit="1" customWidth="1"/>
    <col min="6412" max="6412" width="9.625" style="2" bestFit="1" customWidth="1"/>
    <col min="6413" max="6656" width="9" style="2"/>
    <col min="6657" max="6657" width="2.375" style="2" customWidth="1"/>
    <col min="6658" max="6658" width="13.25" style="2" bestFit="1" customWidth="1"/>
    <col min="6659" max="6660" width="9" style="2" bestFit="1"/>
    <col min="6661" max="6663" width="11.125" style="2" bestFit="1" customWidth="1"/>
    <col min="6664" max="6664" width="13.25" style="2" bestFit="1" customWidth="1"/>
    <col min="6665" max="6665" width="11.125" style="2" bestFit="1" customWidth="1"/>
    <col min="6666" max="6666" width="9" style="2" bestFit="1"/>
    <col min="6667" max="6667" width="13.25" style="2" bestFit="1" customWidth="1"/>
    <col min="6668" max="6668" width="9.625" style="2" bestFit="1" customWidth="1"/>
    <col min="6669" max="6912" width="9" style="2"/>
    <col min="6913" max="6913" width="2.375" style="2" customWidth="1"/>
    <col min="6914" max="6914" width="13.25" style="2" bestFit="1" customWidth="1"/>
    <col min="6915" max="6916" width="9" style="2" bestFit="1"/>
    <col min="6917" max="6919" width="11.125" style="2" bestFit="1" customWidth="1"/>
    <col min="6920" max="6920" width="13.25" style="2" bestFit="1" customWidth="1"/>
    <col min="6921" max="6921" width="11.125" style="2" bestFit="1" customWidth="1"/>
    <col min="6922" max="6922" width="9" style="2" bestFit="1"/>
    <col min="6923" max="6923" width="13.25" style="2" bestFit="1" customWidth="1"/>
    <col min="6924" max="6924" width="9.625" style="2" bestFit="1" customWidth="1"/>
    <col min="6925" max="7168" width="9" style="2"/>
    <col min="7169" max="7169" width="2.375" style="2" customWidth="1"/>
    <col min="7170" max="7170" width="13.25" style="2" bestFit="1" customWidth="1"/>
    <col min="7171" max="7172" width="9" style="2" bestFit="1"/>
    <col min="7173" max="7175" width="11.125" style="2" bestFit="1" customWidth="1"/>
    <col min="7176" max="7176" width="13.25" style="2" bestFit="1" customWidth="1"/>
    <col min="7177" max="7177" width="11.125" style="2" bestFit="1" customWidth="1"/>
    <col min="7178" max="7178" width="9" style="2" bestFit="1"/>
    <col min="7179" max="7179" width="13.25" style="2" bestFit="1" customWidth="1"/>
    <col min="7180" max="7180" width="9.625" style="2" bestFit="1" customWidth="1"/>
    <col min="7181" max="7424" width="9" style="2"/>
    <col min="7425" max="7425" width="2.375" style="2" customWidth="1"/>
    <col min="7426" max="7426" width="13.25" style="2" bestFit="1" customWidth="1"/>
    <col min="7427" max="7428" width="9" style="2" bestFit="1"/>
    <col min="7429" max="7431" width="11.125" style="2" bestFit="1" customWidth="1"/>
    <col min="7432" max="7432" width="13.25" style="2" bestFit="1" customWidth="1"/>
    <col min="7433" max="7433" width="11.125" style="2" bestFit="1" customWidth="1"/>
    <col min="7434" max="7434" width="9" style="2" bestFit="1"/>
    <col min="7435" max="7435" width="13.25" style="2" bestFit="1" customWidth="1"/>
    <col min="7436" max="7436" width="9.625" style="2" bestFit="1" customWidth="1"/>
    <col min="7437" max="7680" width="9" style="2"/>
    <col min="7681" max="7681" width="2.375" style="2" customWidth="1"/>
    <col min="7682" max="7682" width="13.25" style="2" bestFit="1" customWidth="1"/>
    <col min="7683" max="7684" width="9" style="2" bestFit="1"/>
    <col min="7685" max="7687" width="11.125" style="2" bestFit="1" customWidth="1"/>
    <col min="7688" max="7688" width="13.25" style="2" bestFit="1" customWidth="1"/>
    <col min="7689" max="7689" width="11.125" style="2" bestFit="1" customWidth="1"/>
    <col min="7690" max="7690" width="9" style="2" bestFit="1"/>
    <col min="7691" max="7691" width="13.25" style="2" bestFit="1" customWidth="1"/>
    <col min="7692" max="7692" width="9.625" style="2" bestFit="1" customWidth="1"/>
    <col min="7693" max="7936" width="9" style="2"/>
    <col min="7937" max="7937" width="2.375" style="2" customWidth="1"/>
    <col min="7938" max="7938" width="13.25" style="2" bestFit="1" customWidth="1"/>
    <col min="7939" max="7940" width="9" style="2" bestFit="1"/>
    <col min="7941" max="7943" width="11.125" style="2" bestFit="1" customWidth="1"/>
    <col min="7944" max="7944" width="13.25" style="2" bestFit="1" customWidth="1"/>
    <col min="7945" max="7945" width="11.125" style="2" bestFit="1" customWidth="1"/>
    <col min="7946" max="7946" width="9" style="2" bestFit="1"/>
    <col min="7947" max="7947" width="13.25" style="2" bestFit="1" customWidth="1"/>
    <col min="7948" max="7948" width="9.625" style="2" bestFit="1" customWidth="1"/>
    <col min="7949" max="8192" width="9" style="2"/>
    <col min="8193" max="8193" width="2.375" style="2" customWidth="1"/>
    <col min="8194" max="8194" width="13.25" style="2" bestFit="1" customWidth="1"/>
    <col min="8195" max="8196" width="9" style="2" bestFit="1"/>
    <col min="8197" max="8199" width="11.125" style="2" bestFit="1" customWidth="1"/>
    <col min="8200" max="8200" width="13.25" style="2" bestFit="1" customWidth="1"/>
    <col min="8201" max="8201" width="11.125" style="2" bestFit="1" customWidth="1"/>
    <col min="8202" max="8202" width="9" style="2" bestFit="1"/>
    <col min="8203" max="8203" width="13.25" style="2" bestFit="1" customWidth="1"/>
    <col min="8204" max="8204" width="9.625" style="2" bestFit="1" customWidth="1"/>
    <col min="8205" max="8448" width="9" style="2"/>
    <col min="8449" max="8449" width="2.375" style="2" customWidth="1"/>
    <col min="8450" max="8450" width="13.25" style="2" bestFit="1" customWidth="1"/>
    <col min="8451" max="8452" width="9" style="2" bestFit="1"/>
    <col min="8453" max="8455" width="11.125" style="2" bestFit="1" customWidth="1"/>
    <col min="8456" max="8456" width="13.25" style="2" bestFit="1" customWidth="1"/>
    <col min="8457" max="8457" width="11.125" style="2" bestFit="1" customWidth="1"/>
    <col min="8458" max="8458" width="9" style="2" bestFit="1"/>
    <col min="8459" max="8459" width="13.25" style="2" bestFit="1" customWidth="1"/>
    <col min="8460" max="8460" width="9.625" style="2" bestFit="1" customWidth="1"/>
    <col min="8461" max="8704" width="9" style="2"/>
    <col min="8705" max="8705" width="2.375" style="2" customWidth="1"/>
    <col min="8706" max="8706" width="13.25" style="2" bestFit="1" customWidth="1"/>
    <col min="8707" max="8708" width="9" style="2" bestFit="1"/>
    <col min="8709" max="8711" width="11.125" style="2" bestFit="1" customWidth="1"/>
    <col min="8712" max="8712" width="13.25" style="2" bestFit="1" customWidth="1"/>
    <col min="8713" max="8713" width="11.125" style="2" bestFit="1" customWidth="1"/>
    <col min="8714" max="8714" width="9" style="2" bestFit="1"/>
    <col min="8715" max="8715" width="13.25" style="2" bestFit="1" customWidth="1"/>
    <col min="8716" max="8716" width="9.625" style="2" bestFit="1" customWidth="1"/>
    <col min="8717" max="8960" width="9" style="2"/>
    <col min="8961" max="8961" width="2.375" style="2" customWidth="1"/>
    <col min="8962" max="8962" width="13.25" style="2" bestFit="1" customWidth="1"/>
    <col min="8963" max="8964" width="9" style="2" bestFit="1"/>
    <col min="8965" max="8967" width="11.125" style="2" bestFit="1" customWidth="1"/>
    <col min="8968" max="8968" width="13.25" style="2" bestFit="1" customWidth="1"/>
    <col min="8969" max="8969" width="11.125" style="2" bestFit="1" customWidth="1"/>
    <col min="8970" max="8970" width="9" style="2" bestFit="1"/>
    <col min="8971" max="8971" width="13.25" style="2" bestFit="1" customWidth="1"/>
    <col min="8972" max="8972" width="9.625" style="2" bestFit="1" customWidth="1"/>
    <col min="8973" max="9216" width="9" style="2"/>
    <col min="9217" max="9217" width="2.375" style="2" customWidth="1"/>
    <col min="9218" max="9218" width="13.25" style="2" bestFit="1" customWidth="1"/>
    <col min="9219" max="9220" width="9" style="2" bestFit="1"/>
    <col min="9221" max="9223" width="11.125" style="2" bestFit="1" customWidth="1"/>
    <col min="9224" max="9224" width="13.25" style="2" bestFit="1" customWidth="1"/>
    <col min="9225" max="9225" width="11.125" style="2" bestFit="1" customWidth="1"/>
    <col min="9226" max="9226" width="9" style="2" bestFit="1"/>
    <col min="9227" max="9227" width="13.25" style="2" bestFit="1" customWidth="1"/>
    <col min="9228" max="9228" width="9.625" style="2" bestFit="1" customWidth="1"/>
    <col min="9229" max="9472" width="9" style="2"/>
    <col min="9473" max="9473" width="2.375" style="2" customWidth="1"/>
    <col min="9474" max="9474" width="13.25" style="2" bestFit="1" customWidth="1"/>
    <col min="9475" max="9476" width="9" style="2" bestFit="1"/>
    <col min="9477" max="9479" width="11.125" style="2" bestFit="1" customWidth="1"/>
    <col min="9480" max="9480" width="13.25" style="2" bestFit="1" customWidth="1"/>
    <col min="9481" max="9481" width="11.125" style="2" bestFit="1" customWidth="1"/>
    <col min="9482" max="9482" width="9" style="2" bestFit="1"/>
    <col min="9483" max="9483" width="13.25" style="2" bestFit="1" customWidth="1"/>
    <col min="9484" max="9484" width="9.625" style="2" bestFit="1" customWidth="1"/>
    <col min="9485" max="9728" width="9" style="2"/>
    <col min="9729" max="9729" width="2.375" style="2" customWidth="1"/>
    <col min="9730" max="9730" width="13.25" style="2" bestFit="1" customWidth="1"/>
    <col min="9731" max="9732" width="9" style="2" bestFit="1"/>
    <col min="9733" max="9735" width="11.125" style="2" bestFit="1" customWidth="1"/>
    <col min="9736" max="9736" width="13.25" style="2" bestFit="1" customWidth="1"/>
    <col min="9737" max="9737" width="11.125" style="2" bestFit="1" customWidth="1"/>
    <col min="9738" max="9738" width="9" style="2" bestFit="1"/>
    <col min="9739" max="9739" width="13.25" style="2" bestFit="1" customWidth="1"/>
    <col min="9740" max="9740" width="9.625" style="2" bestFit="1" customWidth="1"/>
    <col min="9741" max="9984" width="9" style="2"/>
    <col min="9985" max="9985" width="2.375" style="2" customWidth="1"/>
    <col min="9986" max="9986" width="13.25" style="2" bestFit="1" customWidth="1"/>
    <col min="9987" max="9988" width="9" style="2" bestFit="1"/>
    <col min="9989" max="9991" width="11.125" style="2" bestFit="1" customWidth="1"/>
    <col min="9992" max="9992" width="13.25" style="2" bestFit="1" customWidth="1"/>
    <col min="9993" max="9993" width="11.125" style="2" bestFit="1" customWidth="1"/>
    <col min="9994" max="9994" width="9" style="2" bestFit="1"/>
    <col min="9995" max="9995" width="13.25" style="2" bestFit="1" customWidth="1"/>
    <col min="9996" max="9996" width="9.625" style="2" bestFit="1" customWidth="1"/>
    <col min="9997" max="10240" width="9" style="2"/>
    <col min="10241" max="10241" width="2.375" style="2" customWidth="1"/>
    <col min="10242" max="10242" width="13.25" style="2" bestFit="1" customWidth="1"/>
    <col min="10243" max="10244" width="9" style="2" bestFit="1"/>
    <col min="10245" max="10247" width="11.125" style="2" bestFit="1" customWidth="1"/>
    <col min="10248" max="10248" width="13.25" style="2" bestFit="1" customWidth="1"/>
    <col min="10249" max="10249" width="11.125" style="2" bestFit="1" customWidth="1"/>
    <col min="10250" max="10250" width="9" style="2" bestFit="1"/>
    <col min="10251" max="10251" width="13.25" style="2" bestFit="1" customWidth="1"/>
    <col min="10252" max="10252" width="9.625" style="2" bestFit="1" customWidth="1"/>
    <col min="10253" max="10496" width="9" style="2"/>
    <col min="10497" max="10497" width="2.375" style="2" customWidth="1"/>
    <col min="10498" max="10498" width="13.25" style="2" bestFit="1" customWidth="1"/>
    <col min="10499" max="10500" width="9" style="2" bestFit="1"/>
    <col min="10501" max="10503" width="11.125" style="2" bestFit="1" customWidth="1"/>
    <col min="10504" max="10504" width="13.25" style="2" bestFit="1" customWidth="1"/>
    <col min="10505" max="10505" width="11.125" style="2" bestFit="1" customWidth="1"/>
    <col min="10506" max="10506" width="9" style="2" bestFit="1"/>
    <col min="10507" max="10507" width="13.25" style="2" bestFit="1" customWidth="1"/>
    <col min="10508" max="10508" width="9.625" style="2" bestFit="1" customWidth="1"/>
    <col min="10509" max="10752" width="9" style="2"/>
    <col min="10753" max="10753" width="2.375" style="2" customWidth="1"/>
    <col min="10754" max="10754" width="13.25" style="2" bestFit="1" customWidth="1"/>
    <col min="10755" max="10756" width="9" style="2" bestFit="1"/>
    <col min="10757" max="10759" width="11.125" style="2" bestFit="1" customWidth="1"/>
    <col min="10760" max="10760" width="13.25" style="2" bestFit="1" customWidth="1"/>
    <col min="10761" max="10761" width="11.125" style="2" bestFit="1" customWidth="1"/>
    <col min="10762" max="10762" width="9" style="2" bestFit="1"/>
    <col min="10763" max="10763" width="13.25" style="2" bestFit="1" customWidth="1"/>
    <col min="10764" max="10764" width="9.625" style="2" bestFit="1" customWidth="1"/>
    <col min="10765" max="11008" width="9" style="2"/>
    <col min="11009" max="11009" width="2.375" style="2" customWidth="1"/>
    <col min="11010" max="11010" width="13.25" style="2" bestFit="1" customWidth="1"/>
    <col min="11011" max="11012" width="9" style="2" bestFit="1"/>
    <col min="11013" max="11015" width="11.125" style="2" bestFit="1" customWidth="1"/>
    <col min="11016" max="11016" width="13.25" style="2" bestFit="1" customWidth="1"/>
    <col min="11017" max="11017" width="11.125" style="2" bestFit="1" customWidth="1"/>
    <col min="11018" max="11018" width="9" style="2" bestFit="1"/>
    <col min="11019" max="11019" width="13.25" style="2" bestFit="1" customWidth="1"/>
    <col min="11020" max="11020" width="9.625" style="2" bestFit="1" customWidth="1"/>
    <col min="11021" max="11264" width="9" style="2"/>
    <col min="11265" max="11265" width="2.375" style="2" customWidth="1"/>
    <col min="11266" max="11266" width="13.25" style="2" bestFit="1" customWidth="1"/>
    <col min="11267" max="11268" width="9" style="2" bestFit="1"/>
    <col min="11269" max="11271" width="11.125" style="2" bestFit="1" customWidth="1"/>
    <col min="11272" max="11272" width="13.25" style="2" bestFit="1" customWidth="1"/>
    <col min="11273" max="11273" width="11.125" style="2" bestFit="1" customWidth="1"/>
    <col min="11274" max="11274" width="9" style="2" bestFit="1"/>
    <col min="11275" max="11275" width="13.25" style="2" bestFit="1" customWidth="1"/>
    <col min="11276" max="11276" width="9.625" style="2" bestFit="1" customWidth="1"/>
    <col min="11277" max="11520" width="9" style="2"/>
    <col min="11521" max="11521" width="2.375" style="2" customWidth="1"/>
    <col min="11522" max="11522" width="13.25" style="2" bestFit="1" customWidth="1"/>
    <col min="11523" max="11524" width="9" style="2" bestFit="1"/>
    <col min="11525" max="11527" width="11.125" style="2" bestFit="1" customWidth="1"/>
    <col min="11528" max="11528" width="13.25" style="2" bestFit="1" customWidth="1"/>
    <col min="11529" max="11529" width="11.125" style="2" bestFit="1" customWidth="1"/>
    <col min="11530" max="11530" width="9" style="2" bestFit="1"/>
    <col min="11531" max="11531" width="13.25" style="2" bestFit="1" customWidth="1"/>
    <col min="11532" max="11532" width="9.625" style="2" bestFit="1" customWidth="1"/>
    <col min="11533" max="11776" width="9" style="2"/>
    <col min="11777" max="11777" width="2.375" style="2" customWidth="1"/>
    <col min="11778" max="11778" width="13.25" style="2" bestFit="1" customWidth="1"/>
    <col min="11779" max="11780" width="9" style="2" bestFit="1"/>
    <col min="11781" max="11783" width="11.125" style="2" bestFit="1" customWidth="1"/>
    <col min="11784" max="11784" width="13.25" style="2" bestFit="1" customWidth="1"/>
    <col min="11785" max="11785" width="11.125" style="2" bestFit="1" customWidth="1"/>
    <col min="11786" max="11786" width="9" style="2" bestFit="1"/>
    <col min="11787" max="11787" width="13.25" style="2" bestFit="1" customWidth="1"/>
    <col min="11788" max="11788" width="9.625" style="2" bestFit="1" customWidth="1"/>
    <col min="11789" max="12032" width="9" style="2"/>
    <col min="12033" max="12033" width="2.375" style="2" customWidth="1"/>
    <col min="12034" max="12034" width="13.25" style="2" bestFit="1" customWidth="1"/>
    <col min="12035" max="12036" width="9" style="2" bestFit="1"/>
    <col min="12037" max="12039" width="11.125" style="2" bestFit="1" customWidth="1"/>
    <col min="12040" max="12040" width="13.25" style="2" bestFit="1" customWidth="1"/>
    <col min="12041" max="12041" width="11.125" style="2" bestFit="1" customWidth="1"/>
    <col min="12042" max="12042" width="9" style="2" bestFit="1"/>
    <col min="12043" max="12043" width="13.25" style="2" bestFit="1" customWidth="1"/>
    <col min="12044" max="12044" width="9.625" style="2" bestFit="1" customWidth="1"/>
    <col min="12045" max="12288" width="9" style="2"/>
    <col min="12289" max="12289" width="2.375" style="2" customWidth="1"/>
    <col min="12290" max="12290" width="13.25" style="2" bestFit="1" customWidth="1"/>
    <col min="12291" max="12292" width="9" style="2" bestFit="1"/>
    <col min="12293" max="12295" width="11.125" style="2" bestFit="1" customWidth="1"/>
    <col min="12296" max="12296" width="13.25" style="2" bestFit="1" customWidth="1"/>
    <col min="12297" max="12297" width="11.125" style="2" bestFit="1" customWidth="1"/>
    <col min="12298" max="12298" width="9" style="2" bestFit="1"/>
    <col min="12299" max="12299" width="13.25" style="2" bestFit="1" customWidth="1"/>
    <col min="12300" max="12300" width="9.625" style="2" bestFit="1" customWidth="1"/>
    <col min="12301" max="12544" width="9" style="2"/>
    <col min="12545" max="12545" width="2.375" style="2" customWidth="1"/>
    <col min="12546" max="12546" width="13.25" style="2" bestFit="1" customWidth="1"/>
    <col min="12547" max="12548" width="9" style="2" bestFit="1"/>
    <col min="12549" max="12551" width="11.125" style="2" bestFit="1" customWidth="1"/>
    <col min="12552" max="12552" width="13.25" style="2" bestFit="1" customWidth="1"/>
    <col min="12553" max="12553" width="11.125" style="2" bestFit="1" customWidth="1"/>
    <col min="12554" max="12554" width="9" style="2" bestFit="1"/>
    <col min="12555" max="12555" width="13.25" style="2" bestFit="1" customWidth="1"/>
    <col min="12556" max="12556" width="9.625" style="2" bestFit="1" customWidth="1"/>
    <col min="12557" max="12800" width="9" style="2"/>
    <col min="12801" max="12801" width="2.375" style="2" customWidth="1"/>
    <col min="12802" max="12802" width="13.25" style="2" bestFit="1" customWidth="1"/>
    <col min="12803" max="12804" width="9" style="2" bestFit="1"/>
    <col min="12805" max="12807" width="11.125" style="2" bestFit="1" customWidth="1"/>
    <col min="12808" max="12808" width="13.25" style="2" bestFit="1" customWidth="1"/>
    <col min="12809" max="12809" width="11.125" style="2" bestFit="1" customWidth="1"/>
    <col min="12810" max="12810" width="9" style="2" bestFit="1"/>
    <col min="12811" max="12811" width="13.25" style="2" bestFit="1" customWidth="1"/>
    <col min="12812" max="12812" width="9.625" style="2" bestFit="1" customWidth="1"/>
    <col min="12813" max="13056" width="9" style="2"/>
    <col min="13057" max="13057" width="2.375" style="2" customWidth="1"/>
    <col min="13058" max="13058" width="13.25" style="2" bestFit="1" customWidth="1"/>
    <col min="13059" max="13060" width="9" style="2" bestFit="1"/>
    <col min="13061" max="13063" width="11.125" style="2" bestFit="1" customWidth="1"/>
    <col min="13064" max="13064" width="13.25" style="2" bestFit="1" customWidth="1"/>
    <col min="13065" max="13065" width="11.125" style="2" bestFit="1" customWidth="1"/>
    <col min="13066" max="13066" width="9" style="2" bestFit="1"/>
    <col min="13067" max="13067" width="13.25" style="2" bestFit="1" customWidth="1"/>
    <col min="13068" max="13068" width="9.625" style="2" bestFit="1" customWidth="1"/>
    <col min="13069" max="13312" width="9" style="2"/>
    <col min="13313" max="13313" width="2.375" style="2" customWidth="1"/>
    <col min="13314" max="13314" width="13.25" style="2" bestFit="1" customWidth="1"/>
    <col min="13315" max="13316" width="9" style="2" bestFit="1"/>
    <col min="13317" max="13319" width="11.125" style="2" bestFit="1" customWidth="1"/>
    <col min="13320" max="13320" width="13.25" style="2" bestFit="1" customWidth="1"/>
    <col min="13321" max="13321" width="11.125" style="2" bestFit="1" customWidth="1"/>
    <col min="13322" max="13322" width="9" style="2" bestFit="1"/>
    <col min="13323" max="13323" width="13.25" style="2" bestFit="1" customWidth="1"/>
    <col min="13324" max="13324" width="9.625" style="2" bestFit="1" customWidth="1"/>
    <col min="13325" max="13568" width="9" style="2"/>
    <col min="13569" max="13569" width="2.375" style="2" customWidth="1"/>
    <col min="13570" max="13570" width="13.25" style="2" bestFit="1" customWidth="1"/>
    <col min="13571" max="13572" width="9" style="2" bestFit="1"/>
    <col min="13573" max="13575" width="11.125" style="2" bestFit="1" customWidth="1"/>
    <col min="13576" max="13576" width="13.25" style="2" bestFit="1" customWidth="1"/>
    <col min="13577" max="13577" width="11.125" style="2" bestFit="1" customWidth="1"/>
    <col min="13578" max="13578" width="9" style="2" bestFit="1"/>
    <col min="13579" max="13579" width="13.25" style="2" bestFit="1" customWidth="1"/>
    <col min="13580" max="13580" width="9.625" style="2" bestFit="1" customWidth="1"/>
    <col min="13581" max="13824" width="9" style="2"/>
    <col min="13825" max="13825" width="2.375" style="2" customWidth="1"/>
    <col min="13826" max="13826" width="13.25" style="2" bestFit="1" customWidth="1"/>
    <col min="13827" max="13828" width="9" style="2" bestFit="1"/>
    <col min="13829" max="13831" width="11.125" style="2" bestFit="1" customWidth="1"/>
    <col min="13832" max="13832" width="13.25" style="2" bestFit="1" customWidth="1"/>
    <col min="13833" max="13833" width="11.125" style="2" bestFit="1" customWidth="1"/>
    <col min="13834" max="13834" width="9" style="2" bestFit="1"/>
    <col min="13835" max="13835" width="13.25" style="2" bestFit="1" customWidth="1"/>
    <col min="13836" max="13836" width="9.625" style="2" bestFit="1" customWidth="1"/>
    <col min="13837" max="14080" width="9" style="2"/>
    <col min="14081" max="14081" width="2.375" style="2" customWidth="1"/>
    <col min="14082" max="14082" width="13.25" style="2" bestFit="1" customWidth="1"/>
    <col min="14083" max="14084" width="9" style="2" bestFit="1"/>
    <col min="14085" max="14087" width="11.125" style="2" bestFit="1" customWidth="1"/>
    <col min="14088" max="14088" width="13.25" style="2" bestFit="1" customWidth="1"/>
    <col min="14089" max="14089" width="11.125" style="2" bestFit="1" customWidth="1"/>
    <col min="14090" max="14090" width="9" style="2" bestFit="1"/>
    <col min="14091" max="14091" width="13.25" style="2" bestFit="1" customWidth="1"/>
    <col min="14092" max="14092" width="9.625" style="2" bestFit="1" customWidth="1"/>
    <col min="14093" max="14336" width="9" style="2"/>
    <col min="14337" max="14337" width="2.375" style="2" customWidth="1"/>
    <col min="14338" max="14338" width="13.25" style="2" bestFit="1" customWidth="1"/>
    <col min="14339" max="14340" width="9" style="2" bestFit="1"/>
    <col min="14341" max="14343" width="11.125" style="2" bestFit="1" customWidth="1"/>
    <col min="14344" max="14344" width="13.25" style="2" bestFit="1" customWidth="1"/>
    <col min="14345" max="14345" width="11.125" style="2" bestFit="1" customWidth="1"/>
    <col min="14346" max="14346" width="9" style="2" bestFit="1"/>
    <col min="14347" max="14347" width="13.25" style="2" bestFit="1" customWidth="1"/>
    <col min="14348" max="14348" width="9.625" style="2" bestFit="1" customWidth="1"/>
    <col min="14349" max="14592" width="9" style="2"/>
    <col min="14593" max="14593" width="2.375" style="2" customWidth="1"/>
    <col min="14594" max="14594" width="13.25" style="2" bestFit="1" customWidth="1"/>
    <col min="14595" max="14596" width="9" style="2" bestFit="1"/>
    <col min="14597" max="14599" width="11.125" style="2" bestFit="1" customWidth="1"/>
    <col min="14600" max="14600" width="13.25" style="2" bestFit="1" customWidth="1"/>
    <col min="14601" max="14601" width="11.125" style="2" bestFit="1" customWidth="1"/>
    <col min="14602" max="14602" width="9" style="2" bestFit="1"/>
    <col min="14603" max="14603" width="13.25" style="2" bestFit="1" customWidth="1"/>
    <col min="14604" max="14604" width="9.625" style="2" bestFit="1" customWidth="1"/>
    <col min="14605" max="14848" width="9" style="2"/>
    <col min="14849" max="14849" width="2.375" style="2" customWidth="1"/>
    <col min="14850" max="14850" width="13.25" style="2" bestFit="1" customWidth="1"/>
    <col min="14851" max="14852" width="9" style="2" bestFit="1"/>
    <col min="14853" max="14855" width="11.125" style="2" bestFit="1" customWidth="1"/>
    <col min="14856" max="14856" width="13.25" style="2" bestFit="1" customWidth="1"/>
    <col min="14857" max="14857" width="11.125" style="2" bestFit="1" customWidth="1"/>
    <col min="14858" max="14858" width="9" style="2" bestFit="1"/>
    <col min="14859" max="14859" width="13.25" style="2" bestFit="1" customWidth="1"/>
    <col min="14860" max="14860" width="9.625" style="2" bestFit="1" customWidth="1"/>
    <col min="14861" max="15104" width="9" style="2"/>
    <col min="15105" max="15105" width="2.375" style="2" customWidth="1"/>
    <col min="15106" max="15106" width="13.25" style="2" bestFit="1" customWidth="1"/>
    <col min="15107" max="15108" width="9" style="2" bestFit="1"/>
    <col min="15109" max="15111" width="11.125" style="2" bestFit="1" customWidth="1"/>
    <col min="15112" max="15112" width="13.25" style="2" bestFit="1" customWidth="1"/>
    <col min="15113" max="15113" width="11.125" style="2" bestFit="1" customWidth="1"/>
    <col min="15114" max="15114" width="9" style="2" bestFit="1"/>
    <col min="15115" max="15115" width="13.25" style="2" bestFit="1" customWidth="1"/>
    <col min="15116" max="15116" width="9.625" style="2" bestFit="1" customWidth="1"/>
    <col min="15117" max="15360" width="9" style="2"/>
    <col min="15361" max="15361" width="2.375" style="2" customWidth="1"/>
    <col min="15362" max="15362" width="13.25" style="2" bestFit="1" customWidth="1"/>
    <col min="15363" max="15364" width="9" style="2" bestFit="1"/>
    <col min="15365" max="15367" width="11.125" style="2" bestFit="1" customWidth="1"/>
    <col min="15368" max="15368" width="13.25" style="2" bestFit="1" customWidth="1"/>
    <col min="15369" max="15369" width="11.125" style="2" bestFit="1" customWidth="1"/>
    <col min="15370" max="15370" width="9" style="2" bestFit="1"/>
    <col min="15371" max="15371" width="13.25" style="2" bestFit="1" customWidth="1"/>
    <col min="15372" max="15372" width="9.625" style="2" bestFit="1" customWidth="1"/>
    <col min="15373" max="15616" width="9" style="2"/>
    <col min="15617" max="15617" width="2.375" style="2" customWidth="1"/>
    <col min="15618" max="15618" width="13.25" style="2" bestFit="1" customWidth="1"/>
    <col min="15619" max="15620" width="9" style="2" bestFit="1"/>
    <col min="15621" max="15623" width="11.125" style="2" bestFit="1" customWidth="1"/>
    <col min="15624" max="15624" width="13.25" style="2" bestFit="1" customWidth="1"/>
    <col min="15625" max="15625" width="11.125" style="2" bestFit="1" customWidth="1"/>
    <col min="15626" max="15626" width="9" style="2" bestFit="1"/>
    <col min="15627" max="15627" width="13.25" style="2" bestFit="1" customWidth="1"/>
    <col min="15628" max="15628" width="9.625" style="2" bestFit="1" customWidth="1"/>
    <col min="15629" max="15872" width="9" style="2"/>
    <col min="15873" max="15873" width="2.375" style="2" customWidth="1"/>
    <col min="15874" max="15874" width="13.25" style="2" bestFit="1" customWidth="1"/>
    <col min="15875" max="15876" width="9" style="2" bestFit="1"/>
    <col min="15877" max="15879" width="11.125" style="2" bestFit="1" customWidth="1"/>
    <col min="15880" max="15880" width="13.25" style="2" bestFit="1" customWidth="1"/>
    <col min="15881" max="15881" width="11.125" style="2" bestFit="1" customWidth="1"/>
    <col min="15882" max="15882" width="9" style="2" bestFit="1"/>
    <col min="15883" max="15883" width="13.25" style="2" bestFit="1" customWidth="1"/>
    <col min="15884" max="15884" width="9.625" style="2" bestFit="1" customWidth="1"/>
    <col min="15885" max="16128" width="9" style="2"/>
    <col min="16129" max="16129" width="2.375" style="2" customWidth="1"/>
    <col min="16130" max="16130" width="13.25" style="2" bestFit="1" customWidth="1"/>
    <col min="16131" max="16132" width="9" style="2" bestFit="1"/>
    <col min="16133" max="16135" width="11.125" style="2" bestFit="1" customWidth="1"/>
    <col min="16136" max="16136" width="13.25" style="2" bestFit="1" customWidth="1"/>
    <col min="16137" max="16137" width="11.125" style="2" bestFit="1" customWidth="1"/>
    <col min="16138" max="16138" width="9" style="2" bestFit="1"/>
    <col min="16139" max="16139" width="13.25" style="2" bestFit="1" customWidth="1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 ht="19.5" thickBot="1">
      <c r="A2" s="1" t="s">
        <v>2</v>
      </c>
    </row>
    <row r="3" spans="1:12">
      <c r="B3" s="4"/>
      <c r="C3" s="38" t="s">
        <v>3</v>
      </c>
      <c r="D3" s="39" t="s">
        <v>4</v>
      </c>
      <c r="E3" s="39" t="s">
        <v>5</v>
      </c>
      <c r="F3" s="39" t="s">
        <v>6</v>
      </c>
      <c r="G3" s="39" t="s">
        <v>7</v>
      </c>
      <c r="H3" s="39" t="s">
        <v>8</v>
      </c>
      <c r="I3" s="39" t="s">
        <v>9</v>
      </c>
      <c r="J3" s="39" t="s">
        <v>10</v>
      </c>
      <c r="K3" s="6" t="s">
        <v>11</v>
      </c>
      <c r="L3" s="7"/>
    </row>
    <row r="4" spans="1:12" ht="19.5" thickBot="1">
      <c r="B4" s="8" t="s">
        <v>12</v>
      </c>
      <c r="C4" s="40" t="s">
        <v>13</v>
      </c>
      <c r="D4" s="41" t="s">
        <v>14</v>
      </c>
      <c r="E4" s="41" t="s">
        <v>15</v>
      </c>
      <c r="F4" s="41" t="s">
        <v>16</v>
      </c>
      <c r="G4" s="41" t="s">
        <v>17</v>
      </c>
      <c r="H4" s="41" t="s">
        <v>18</v>
      </c>
      <c r="I4" s="41" t="s">
        <v>19</v>
      </c>
      <c r="J4" s="41" t="s">
        <v>20</v>
      </c>
      <c r="K4" s="3" t="s">
        <v>43</v>
      </c>
      <c r="L4" s="8" t="s">
        <v>21</v>
      </c>
    </row>
    <row r="5" spans="1:12">
      <c r="A5" s="1" t="s">
        <v>1</v>
      </c>
      <c r="B5" s="32" t="s">
        <v>22</v>
      </c>
      <c r="C5" s="42">
        <v>75000</v>
      </c>
      <c r="D5" s="43">
        <v>63000</v>
      </c>
      <c r="E5" s="43">
        <v>63000</v>
      </c>
      <c r="F5" s="43">
        <v>387000</v>
      </c>
      <c r="G5" s="43">
        <v>75000</v>
      </c>
      <c r="H5" s="43">
        <v>56000</v>
      </c>
      <c r="I5" s="43">
        <v>387000</v>
      </c>
      <c r="J5" s="43">
        <v>56000</v>
      </c>
      <c r="K5" s="33">
        <v>63000</v>
      </c>
      <c r="L5" s="34">
        <v>1225000</v>
      </c>
    </row>
    <row r="6" spans="1:12">
      <c r="A6" s="1" t="s">
        <v>1</v>
      </c>
      <c r="B6" s="35" t="s">
        <v>23</v>
      </c>
      <c r="C6" s="44">
        <v>15000</v>
      </c>
      <c r="D6" s="45">
        <v>0</v>
      </c>
      <c r="E6" s="45">
        <v>0</v>
      </c>
      <c r="F6" s="45">
        <v>0</v>
      </c>
      <c r="G6" s="45">
        <v>0</v>
      </c>
      <c r="H6" s="45">
        <v>0</v>
      </c>
      <c r="I6" s="45">
        <v>0</v>
      </c>
      <c r="J6" s="45">
        <v>0</v>
      </c>
      <c r="K6" s="36">
        <v>0</v>
      </c>
      <c r="L6" s="37">
        <v>15000</v>
      </c>
    </row>
    <row r="7" spans="1:12">
      <c r="A7" s="1" t="s">
        <v>1</v>
      </c>
      <c r="B7" s="35" t="s">
        <v>24</v>
      </c>
      <c r="C7" s="44">
        <v>0</v>
      </c>
      <c r="D7" s="45">
        <v>5000</v>
      </c>
      <c r="E7" s="45">
        <v>0</v>
      </c>
      <c r="F7" s="45">
        <v>0</v>
      </c>
      <c r="G7" s="45">
        <v>0</v>
      </c>
      <c r="H7" s="45">
        <v>6000</v>
      </c>
      <c r="I7" s="45">
        <v>0</v>
      </c>
      <c r="J7" s="45">
        <v>0</v>
      </c>
      <c r="K7" s="36">
        <v>0</v>
      </c>
      <c r="L7" s="37">
        <v>11000</v>
      </c>
    </row>
    <row r="8" spans="1:12">
      <c r="A8" s="1" t="s">
        <v>1</v>
      </c>
      <c r="B8" s="9" t="s">
        <v>25</v>
      </c>
      <c r="C8" s="46">
        <v>15000</v>
      </c>
      <c r="D8" s="47">
        <v>15000</v>
      </c>
      <c r="E8" s="47">
        <v>15000</v>
      </c>
      <c r="F8" s="47">
        <v>15000</v>
      </c>
      <c r="G8" s="47">
        <v>15000</v>
      </c>
      <c r="H8" s="47">
        <v>15000</v>
      </c>
      <c r="I8" s="47">
        <v>15000</v>
      </c>
      <c r="J8" s="47">
        <v>15000</v>
      </c>
      <c r="K8" s="10">
        <v>15000</v>
      </c>
      <c r="L8" s="11">
        <v>135000</v>
      </c>
    </row>
    <row r="9" spans="1:12">
      <c r="A9" s="1" t="s">
        <v>1</v>
      </c>
      <c r="B9" s="15" t="s">
        <v>26</v>
      </c>
      <c r="C9" s="48">
        <v>105000</v>
      </c>
      <c r="D9" s="49">
        <v>83000</v>
      </c>
      <c r="E9" s="49">
        <v>78000</v>
      </c>
      <c r="F9" s="49">
        <v>402000</v>
      </c>
      <c r="G9" s="49">
        <v>90000</v>
      </c>
      <c r="H9" s="49">
        <v>77000</v>
      </c>
      <c r="I9" s="49">
        <v>402000</v>
      </c>
      <c r="J9" s="49">
        <v>71000</v>
      </c>
      <c r="K9" s="16">
        <v>78000</v>
      </c>
      <c r="L9" s="17">
        <v>1386000</v>
      </c>
    </row>
    <row r="10" spans="1:12">
      <c r="A10" s="1" t="s">
        <v>1</v>
      </c>
      <c r="B10" s="15" t="s">
        <v>27</v>
      </c>
      <c r="C10" s="48">
        <v>105000</v>
      </c>
      <c r="D10" s="49">
        <v>83000</v>
      </c>
      <c r="E10" s="49">
        <v>78000</v>
      </c>
      <c r="F10" s="49">
        <v>402000</v>
      </c>
      <c r="G10" s="49">
        <v>90000</v>
      </c>
      <c r="H10" s="49">
        <v>77000</v>
      </c>
      <c r="I10" s="49">
        <v>402000</v>
      </c>
      <c r="J10" s="49">
        <v>71000</v>
      </c>
      <c r="K10" s="16">
        <v>78000</v>
      </c>
      <c r="L10" s="17">
        <v>1386000</v>
      </c>
    </row>
    <row r="11" spans="1:12">
      <c r="A11" s="1" t="s">
        <v>1</v>
      </c>
      <c r="B11" s="23" t="s">
        <v>28</v>
      </c>
      <c r="C11" s="50">
        <v>5355</v>
      </c>
      <c r="D11" s="51">
        <v>4233</v>
      </c>
      <c r="E11" s="51">
        <v>3978</v>
      </c>
      <c r="F11" s="51">
        <v>20502</v>
      </c>
      <c r="G11" s="51">
        <v>4590</v>
      </c>
      <c r="H11" s="51">
        <v>3927</v>
      </c>
      <c r="I11" s="51">
        <v>20502</v>
      </c>
      <c r="J11" s="51">
        <v>3621</v>
      </c>
      <c r="K11" s="24">
        <v>3978</v>
      </c>
      <c r="L11" s="25">
        <v>70686</v>
      </c>
    </row>
    <row r="12" spans="1:12">
      <c r="A12" s="1" t="s">
        <v>1</v>
      </c>
      <c r="B12" s="26" t="s">
        <v>29</v>
      </c>
      <c r="C12" s="52">
        <v>945</v>
      </c>
      <c r="D12" s="53">
        <v>747</v>
      </c>
      <c r="E12" s="53">
        <v>702</v>
      </c>
      <c r="F12" s="53">
        <v>3618</v>
      </c>
      <c r="G12" s="53">
        <v>810</v>
      </c>
      <c r="H12" s="53">
        <v>0</v>
      </c>
      <c r="I12" s="53">
        <v>3618</v>
      </c>
      <c r="J12" s="53">
        <v>639</v>
      </c>
      <c r="K12" s="27">
        <v>702</v>
      </c>
      <c r="L12" s="28">
        <v>11781</v>
      </c>
    </row>
    <row r="13" spans="1:12">
      <c r="A13" s="1" t="s">
        <v>1</v>
      </c>
      <c r="B13" s="26" t="s">
        <v>30</v>
      </c>
      <c r="C13" s="52">
        <v>9607</v>
      </c>
      <c r="D13" s="53">
        <v>7594</v>
      </c>
      <c r="E13" s="53">
        <v>7137</v>
      </c>
      <c r="F13" s="53">
        <v>36783</v>
      </c>
      <c r="G13" s="53">
        <v>8235</v>
      </c>
      <c r="H13" s="53">
        <v>7045</v>
      </c>
      <c r="I13" s="53">
        <v>36783</v>
      </c>
      <c r="J13" s="53">
        <v>6496</v>
      </c>
      <c r="K13" s="27">
        <v>7137</v>
      </c>
      <c r="L13" s="28">
        <v>126817</v>
      </c>
    </row>
    <row r="14" spans="1:12">
      <c r="A14" s="1" t="s">
        <v>1</v>
      </c>
      <c r="B14" s="29" t="s">
        <v>31</v>
      </c>
      <c r="C14" s="54">
        <v>630</v>
      </c>
      <c r="D14" s="55">
        <v>498</v>
      </c>
      <c r="E14" s="55">
        <v>468</v>
      </c>
      <c r="F14" s="55">
        <v>2412</v>
      </c>
      <c r="G14" s="55">
        <v>540</v>
      </c>
      <c r="H14" s="55">
        <v>462</v>
      </c>
      <c r="I14" s="55">
        <v>2412</v>
      </c>
      <c r="J14" s="55">
        <v>426</v>
      </c>
      <c r="K14" s="30">
        <v>468</v>
      </c>
      <c r="L14" s="31">
        <v>8316</v>
      </c>
    </row>
    <row r="15" spans="1:12">
      <c r="A15" s="1" t="s">
        <v>1</v>
      </c>
      <c r="B15" s="18" t="s">
        <v>32</v>
      </c>
      <c r="C15" s="56">
        <v>88463</v>
      </c>
      <c r="D15" s="57">
        <v>69928</v>
      </c>
      <c r="E15" s="57">
        <v>65715</v>
      </c>
      <c r="F15" s="57">
        <v>338685</v>
      </c>
      <c r="G15" s="57">
        <v>75825</v>
      </c>
      <c r="H15" s="57">
        <v>65566</v>
      </c>
      <c r="I15" s="57">
        <v>338685</v>
      </c>
      <c r="J15" s="57">
        <v>59818</v>
      </c>
      <c r="K15" s="19">
        <v>65715</v>
      </c>
      <c r="L15" s="20">
        <v>1168400</v>
      </c>
    </row>
    <row r="16" spans="1:12">
      <c r="A16" s="1" t="s">
        <v>1</v>
      </c>
      <c r="B16" s="15" t="s">
        <v>33</v>
      </c>
      <c r="C16" s="48">
        <v>0</v>
      </c>
      <c r="D16" s="49">
        <v>2855</v>
      </c>
      <c r="E16" s="49">
        <v>4025</v>
      </c>
      <c r="F16" s="49">
        <v>27663</v>
      </c>
      <c r="G16" s="49">
        <v>4645</v>
      </c>
      <c r="H16" s="49">
        <v>2677</v>
      </c>
      <c r="I16" s="49">
        <v>27663</v>
      </c>
      <c r="J16" s="49">
        <v>3664</v>
      </c>
      <c r="K16" s="16">
        <v>4025</v>
      </c>
      <c r="L16" s="17">
        <v>77217</v>
      </c>
    </row>
    <row r="17" spans="1:12">
      <c r="A17" s="1" t="s">
        <v>1</v>
      </c>
      <c r="B17" s="15" t="s">
        <v>34</v>
      </c>
      <c r="C17" s="48">
        <v>16537</v>
      </c>
      <c r="D17" s="49">
        <v>13072</v>
      </c>
      <c r="E17" s="49">
        <v>12285</v>
      </c>
      <c r="F17" s="49">
        <v>63315</v>
      </c>
      <c r="G17" s="49">
        <v>14175</v>
      </c>
      <c r="H17" s="49">
        <v>11434</v>
      </c>
      <c r="I17" s="49">
        <v>63315</v>
      </c>
      <c r="J17" s="49">
        <v>11182</v>
      </c>
      <c r="K17" s="16">
        <v>12285</v>
      </c>
      <c r="L17" s="17">
        <v>217600</v>
      </c>
    </row>
    <row r="18" spans="1:12">
      <c r="A18" s="1" t="s">
        <v>1</v>
      </c>
      <c r="B18" s="15" t="s">
        <v>35</v>
      </c>
      <c r="C18" s="48">
        <v>16537</v>
      </c>
      <c r="D18" s="49">
        <v>15927</v>
      </c>
      <c r="E18" s="49">
        <v>16310</v>
      </c>
      <c r="F18" s="49">
        <v>90978</v>
      </c>
      <c r="G18" s="49">
        <v>18820</v>
      </c>
      <c r="H18" s="49">
        <v>14111</v>
      </c>
      <c r="I18" s="49">
        <v>90978</v>
      </c>
      <c r="J18" s="49">
        <v>14846</v>
      </c>
      <c r="K18" s="16">
        <v>16310</v>
      </c>
      <c r="L18" s="17">
        <v>294817</v>
      </c>
    </row>
    <row r="19" spans="1:12">
      <c r="A19" s="1" t="s">
        <v>1</v>
      </c>
      <c r="B19" s="15" t="s">
        <v>36</v>
      </c>
      <c r="C19" s="48">
        <v>18355</v>
      </c>
      <c r="D19" s="49">
        <v>0</v>
      </c>
      <c r="E19" s="49">
        <v>15674</v>
      </c>
      <c r="F19" s="49">
        <v>32115</v>
      </c>
      <c r="G19" s="49">
        <v>17272</v>
      </c>
      <c r="H19" s="49">
        <v>8930</v>
      </c>
      <c r="I19" s="49">
        <v>102559</v>
      </c>
      <c r="J19" s="49">
        <v>15090</v>
      </c>
      <c r="K19" s="16">
        <v>13714</v>
      </c>
      <c r="L19" s="17">
        <v>223709</v>
      </c>
    </row>
    <row r="20" spans="1:12">
      <c r="A20" s="1" t="s">
        <v>1</v>
      </c>
      <c r="B20" s="15" t="s">
        <v>37</v>
      </c>
      <c r="C20" s="48">
        <v>0</v>
      </c>
      <c r="D20" s="49">
        <v>7296</v>
      </c>
      <c r="E20" s="49">
        <v>0</v>
      </c>
      <c r="F20" s="49">
        <v>0</v>
      </c>
      <c r="G20" s="49">
        <v>0</v>
      </c>
      <c r="H20" s="49">
        <v>0</v>
      </c>
      <c r="I20" s="49">
        <v>0</v>
      </c>
      <c r="J20" s="49">
        <v>0</v>
      </c>
      <c r="K20" s="16">
        <v>0</v>
      </c>
      <c r="L20" s="17">
        <v>7296</v>
      </c>
    </row>
    <row r="21" spans="1:12">
      <c r="A21" s="1" t="s">
        <v>1</v>
      </c>
      <c r="B21" s="15" t="s">
        <v>38</v>
      </c>
      <c r="C21" s="48">
        <v>106818</v>
      </c>
      <c r="D21" s="49">
        <v>59777</v>
      </c>
      <c r="E21" s="49">
        <v>77364</v>
      </c>
      <c r="F21" s="49">
        <v>343137</v>
      </c>
      <c r="G21" s="49">
        <v>88452</v>
      </c>
      <c r="H21" s="49">
        <v>71819</v>
      </c>
      <c r="I21" s="49">
        <v>413581</v>
      </c>
      <c r="J21" s="49">
        <v>71244</v>
      </c>
      <c r="K21" s="16">
        <v>75404</v>
      </c>
      <c r="L21" s="17">
        <v>1307596</v>
      </c>
    </row>
    <row r="22" spans="1:12">
      <c r="A22" s="1" t="s">
        <v>1</v>
      </c>
      <c r="B22" s="15" t="s">
        <v>39</v>
      </c>
      <c r="C22" s="48">
        <v>106818</v>
      </c>
      <c r="D22" s="49">
        <v>59777</v>
      </c>
      <c r="E22" s="49">
        <v>77364</v>
      </c>
      <c r="F22" s="49">
        <v>343137</v>
      </c>
      <c r="G22" s="49">
        <v>88452</v>
      </c>
      <c r="H22" s="49">
        <v>71819</v>
      </c>
      <c r="I22" s="49">
        <v>413581</v>
      </c>
      <c r="J22" s="49">
        <v>71244</v>
      </c>
      <c r="K22" s="16">
        <v>75404</v>
      </c>
      <c r="L22" s="17">
        <v>1307596</v>
      </c>
    </row>
    <row r="23" spans="1:12">
      <c r="A23" s="1" t="s">
        <v>1</v>
      </c>
      <c r="B23" s="15" t="s">
        <v>40</v>
      </c>
      <c r="C23" s="48">
        <v>2</v>
      </c>
      <c r="D23" s="49">
        <v>1</v>
      </c>
      <c r="E23" s="49">
        <v>0</v>
      </c>
      <c r="F23" s="49">
        <v>0</v>
      </c>
      <c r="G23" s="49">
        <v>0</v>
      </c>
      <c r="H23" s="49">
        <v>0</v>
      </c>
      <c r="I23" s="49">
        <v>0</v>
      </c>
      <c r="J23" s="49">
        <v>0</v>
      </c>
      <c r="K23" s="16">
        <v>1</v>
      </c>
      <c r="L23" s="17"/>
    </row>
    <row r="24" spans="1:12">
      <c r="A24" s="1" t="s">
        <v>1</v>
      </c>
      <c r="B24" s="15" t="s">
        <v>41</v>
      </c>
      <c r="C24" s="58">
        <v>0</v>
      </c>
      <c r="D24" s="59">
        <v>4.0839999999999996</v>
      </c>
      <c r="E24" s="59">
        <v>6.1260000000000003</v>
      </c>
      <c r="F24" s="59">
        <v>8.1679999999999993</v>
      </c>
      <c r="G24" s="59">
        <v>6.1260000000000003</v>
      </c>
      <c r="H24" s="59">
        <v>4.0839999999999996</v>
      </c>
      <c r="I24" s="59">
        <v>8.1679999999999993</v>
      </c>
      <c r="J24" s="59">
        <v>6.1260000000000003</v>
      </c>
      <c r="K24" s="21">
        <v>6.1260000000000003</v>
      </c>
      <c r="L24" s="22"/>
    </row>
    <row r="25" spans="1:12" ht="19.5" thickBot="1">
      <c r="A25" s="1" t="s">
        <v>1</v>
      </c>
      <c r="B25" s="12" t="s">
        <v>42</v>
      </c>
      <c r="C25" s="60">
        <v>15946</v>
      </c>
      <c r="D25" s="61">
        <v>246878</v>
      </c>
      <c r="E25" s="61">
        <v>258449</v>
      </c>
      <c r="F25" s="61">
        <v>311485</v>
      </c>
      <c r="G25" s="61">
        <v>267398</v>
      </c>
      <c r="H25" s="61">
        <v>177730</v>
      </c>
      <c r="I25" s="61">
        <v>305156</v>
      </c>
      <c r="J25" s="61">
        <v>262494</v>
      </c>
      <c r="K25" s="13">
        <v>296161</v>
      </c>
      <c r="L25" s="14"/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BD7E-612C-47EF-8A2A-38A1071858C1}">
  <sheetPr>
    <pageSetUpPr fitToPage="1"/>
  </sheetPr>
  <dimension ref="A1:N25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4" width="11.875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2</v>
      </c>
    </row>
    <row r="3" spans="1:14">
      <c r="B3" s="4"/>
      <c r="C3" s="39" t="s">
        <v>6</v>
      </c>
      <c r="D3" s="39" t="s">
        <v>9</v>
      </c>
      <c r="E3" s="67" t="s">
        <v>8</v>
      </c>
      <c r="F3" s="77" t="s">
        <v>44</v>
      </c>
      <c r="G3" s="38" t="s">
        <v>3</v>
      </c>
      <c r="H3" s="39" t="s">
        <v>4</v>
      </c>
      <c r="I3" s="39" t="s">
        <v>5</v>
      </c>
      <c r="J3" s="39" t="s">
        <v>7</v>
      </c>
      <c r="K3" s="39" t="s">
        <v>10</v>
      </c>
      <c r="L3" s="5" t="s">
        <v>11</v>
      </c>
      <c r="M3" s="77" t="s">
        <v>44</v>
      </c>
      <c r="N3" s="79" t="s">
        <v>21</v>
      </c>
    </row>
    <row r="4" spans="1:14" ht="19.5" thickBot="1">
      <c r="B4" s="8" t="s">
        <v>12</v>
      </c>
      <c r="C4" s="41" t="s">
        <v>16</v>
      </c>
      <c r="D4" s="41" t="s">
        <v>19</v>
      </c>
      <c r="E4" s="68" t="s">
        <v>48</v>
      </c>
      <c r="F4" s="78" t="s">
        <v>45</v>
      </c>
      <c r="G4" s="40" t="s">
        <v>13</v>
      </c>
      <c r="H4" s="41" t="s">
        <v>14</v>
      </c>
      <c r="I4" s="41" t="s">
        <v>15</v>
      </c>
      <c r="J4" s="41" t="s">
        <v>17</v>
      </c>
      <c r="K4" s="41" t="s">
        <v>20</v>
      </c>
      <c r="L4" s="3" t="s">
        <v>43</v>
      </c>
      <c r="M4" s="78" t="s">
        <v>46</v>
      </c>
      <c r="N4" s="8" t="s">
        <v>47</v>
      </c>
    </row>
    <row r="5" spans="1:14">
      <c r="A5" s="1" t="s">
        <v>1</v>
      </c>
      <c r="B5" s="32" t="s">
        <v>22</v>
      </c>
      <c r="C5" s="43">
        <v>387000</v>
      </c>
      <c r="D5" s="43">
        <v>387000</v>
      </c>
      <c r="E5" s="69">
        <v>56000</v>
      </c>
      <c r="F5" s="34">
        <f>SUM(C5:E5)</f>
        <v>830000</v>
      </c>
      <c r="G5" s="42">
        <v>75000</v>
      </c>
      <c r="H5" s="43">
        <v>63000</v>
      </c>
      <c r="I5" s="43">
        <v>63000</v>
      </c>
      <c r="J5" s="43">
        <v>75000</v>
      </c>
      <c r="K5" s="43">
        <v>56000</v>
      </c>
      <c r="L5" s="33">
        <v>63000</v>
      </c>
      <c r="M5" s="34">
        <f>SUM(G5:L5)</f>
        <v>395000</v>
      </c>
      <c r="N5" s="34">
        <f>SUM(M5,F5)</f>
        <v>1225000</v>
      </c>
    </row>
    <row r="6" spans="1:14">
      <c r="A6" s="1" t="s">
        <v>1</v>
      </c>
      <c r="B6" s="35" t="s">
        <v>23</v>
      </c>
      <c r="C6" s="45">
        <v>0</v>
      </c>
      <c r="D6" s="45">
        <v>0</v>
      </c>
      <c r="E6" s="70">
        <v>0</v>
      </c>
      <c r="F6" s="37">
        <f t="shared" ref="F6:F22" si="0">SUM(C6:E6)</f>
        <v>0</v>
      </c>
      <c r="G6" s="44">
        <v>15000</v>
      </c>
      <c r="H6" s="45">
        <v>0</v>
      </c>
      <c r="I6" s="45">
        <v>0</v>
      </c>
      <c r="J6" s="45">
        <v>0</v>
      </c>
      <c r="K6" s="45">
        <v>0</v>
      </c>
      <c r="L6" s="36">
        <v>0</v>
      </c>
      <c r="M6" s="37">
        <f t="shared" ref="M6:M22" si="1">SUM(G6:L6)</f>
        <v>15000</v>
      </c>
      <c r="N6" s="37">
        <f t="shared" ref="N6:N22" si="2">SUM(M6,F6)</f>
        <v>15000</v>
      </c>
    </row>
    <row r="7" spans="1:14">
      <c r="A7" s="1" t="s">
        <v>1</v>
      </c>
      <c r="B7" s="35" t="s">
        <v>24</v>
      </c>
      <c r="C7" s="45">
        <v>0</v>
      </c>
      <c r="D7" s="45">
        <v>0</v>
      </c>
      <c r="E7" s="70">
        <v>6000</v>
      </c>
      <c r="F7" s="37">
        <f t="shared" si="0"/>
        <v>6000</v>
      </c>
      <c r="G7" s="44">
        <v>0</v>
      </c>
      <c r="H7" s="45">
        <v>5000</v>
      </c>
      <c r="I7" s="45">
        <v>0</v>
      </c>
      <c r="J7" s="45">
        <v>0</v>
      </c>
      <c r="K7" s="45">
        <v>0</v>
      </c>
      <c r="L7" s="36">
        <v>0</v>
      </c>
      <c r="M7" s="37">
        <f t="shared" si="1"/>
        <v>5000</v>
      </c>
      <c r="N7" s="37">
        <f t="shared" si="2"/>
        <v>11000</v>
      </c>
    </row>
    <row r="8" spans="1:14">
      <c r="A8" s="1" t="s">
        <v>1</v>
      </c>
      <c r="B8" s="9" t="s">
        <v>25</v>
      </c>
      <c r="C8" s="47">
        <v>15000</v>
      </c>
      <c r="D8" s="47">
        <v>15000</v>
      </c>
      <c r="E8" s="71">
        <v>15000</v>
      </c>
      <c r="F8" s="11">
        <f t="shared" si="0"/>
        <v>45000</v>
      </c>
      <c r="G8" s="46">
        <v>15000</v>
      </c>
      <c r="H8" s="47">
        <v>15000</v>
      </c>
      <c r="I8" s="47">
        <v>15000</v>
      </c>
      <c r="J8" s="47">
        <v>15000</v>
      </c>
      <c r="K8" s="47">
        <v>15000</v>
      </c>
      <c r="L8" s="10">
        <v>15000</v>
      </c>
      <c r="M8" s="11">
        <f t="shared" si="1"/>
        <v>90000</v>
      </c>
      <c r="N8" s="11">
        <f t="shared" si="2"/>
        <v>135000</v>
      </c>
    </row>
    <row r="9" spans="1:14">
      <c r="A9" s="1" t="s">
        <v>1</v>
      </c>
      <c r="B9" s="15" t="s">
        <v>26</v>
      </c>
      <c r="C9" s="49">
        <v>402000</v>
      </c>
      <c r="D9" s="49">
        <v>402000</v>
      </c>
      <c r="E9" s="72">
        <v>77000</v>
      </c>
      <c r="F9" s="17">
        <f t="shared" si="0"/>
        <v>881000</v>
      </c>
      <c r="G9" s="48">
        <v>105000</v>
      </c>
      <c r="H9" s="49">
        <v>83000</v>
      </c>
      <c r="I9" s="49">
        <v>78000</v>
      </c>
      <c r="J9" s="49">
        <v>90000</v>
      </c>
      <c r="K9" s="49">
        <v>71000</v>
      </c>
      <c r="L9" s="16">
        <v>78000</v>
      </c>
      <c r="M9" s="17">
        <f t="shared" si="1"/>
        <v>505000</v>
      </c>
      <c r="N9" s="17">
        <f t="shared" si="2"/>
        <v>1386000</v>
      </c>
    </row>
    <row r="10" spans="1:14">
      <c r="A10" s="1" t="s">
        <v>1</v>
      </c>
      <c r="B10" s="15" t="s">
        <v>27</v>
      </c>
      <c r="C10" s="49">
        <v>402000</v>
      </c>
      <c r="D10" s="49">
        <v>402000</v>
      </c>
      <c r="E10" s="72">
        <v>77000</v>
      </c>
      <c r="F10" s="17">
        <f t="shared" si="0"/>
        <v>881000</v>
      </c>
      <c r="G10" s="48">
        <v>105000</v>
      </c>
      <c r="H10" s="49">
        <v>83000</v>
      </c>
      <c r="I10" s="49">
        <v>78000</v>
      </c>
      <c r="J10" s="49">
        <v>90000</v>
      </c>
      <c r="K10" s="49">
        <v>71000</v>
      </c>
      <c r="L10" s="16">
        <v>78000</v>
      </c>
      <c r="M10" s="17">
        <f t="shared" si="1"/>
        <v>505000</v>
      </c>
      <c r="N10" s="17">
        <f t="shared" si="2"/>
        <v>1386000</v>
      </c>
    </row>
    <row r="11" spans="1:14">
      <c r="A11" s="1" t="s">
        <v>1</v>
      </c>
      <c r="B11" s="62" t="s">
        <v>28</v>
      </c>
      <c r="C11" s="63">
        <v>20502</v>
      </c>
      <c r="D11" s="63">
        <v>20502</v>
      </c>
      <c r="E11" s="73">
        <v>3927</v>
      </c>
      <c r="F11" s="66">
        <f t="shared" si="0"/>
        <v>44931</v>
      </c>
      <c r="G11" s="64">
        <v>5355</v>
      </c>
      <c r="H11" s="63">
        <v>4233</v>
      </c>
      <c r="I11" s="63">
        <v>3978</v>
      </c>
      <c r="J11" s="63">
        <v>4590</v>
      </c>
      <c r="K11" s="63">
        <v>3621</v>
      </c>
      <c r="L11" s="65">
        <v>3978</v>
      </c>
      <c r="M11" s="66">
        <f t="shared" si="1"/>
        <v>25755</v>
      </c>
      <c r="N11" s="66">
        <f t="shared" si="2"/>
        <v>70686</v>
      </c>
    </row>
    <row r="12" spans="1:14">
      <c r="A12" s="1" t="s">
        <v>1</v>
      </c>
      <c r="B12" s="35" t="s">
        <v>29</v>
      </c>
      <c r="C12" s="45">
        <v>3618</v>
      </c>
      <c r="D12" s="45">
        <v>3618</v>
      </c>
      <c r="E12" s="70">
        <v>0</v>
      </c>
      <c r="F12" s="37">
        <f t="shared" si="0"/>
        <v>7236</v>
      </c>
      <c r="G12" s="44">
        <v>945</v>
      </c>
      <c r="H12" s="45">
        <v>747</v>
      </c>
      <c r="I12" s="45">
        <v>702</v>
      </c>
      <c r="J12" s="45">
        <v>810</v>
      </c>
      <c r="K12" s="45">
        <v>639</v>
      </c>
      <c r="L12" s="36">
        <v>702</v>
      </c>
      <c r="M12" s="37">
        <f t="shared" si="1"/>
        <v>4545</v>
      </c>
      <c r="N12" s="37">
        <f t="shared" si="2"/>
        <v>11781</v>
      </c>
    </row>
    <row r="13" spans="1:14">
      <c r="A13" s="1" t="s">
        <v>1</v>
      </c>
      <c r="B13" s="35" t="s">
        <v>30</v>
      </c>
      <c r="C13" s="45">
        <v>36783</v>
      </c>
      <c r="D13" s="45">
        <v>36783</v>
      </c>
      <c r="E13" s="70">
        <v>7045</v>
      </c>
      <c r="F13" s="37">
        <f t="shared" si="0"/>
        <v>80611</v>
      </c>
      <c r="G13" s="44">
        <v>9607</v>
      </c>
      <c r="H13" s="45">
        <v>7594</v>
      </c>
      <c r="I13" s="45">
        <v>7137</v>
      </c>
      <c r="J13" s="45">
        <v>8235</v>
      </c>
      <c r="K13" s="45">
        <v>6496</v>
      </c>
      <c r="L13" s="36">
        <v>7137</v>
      </c>
      <c r="M13" s="37">
        <f t="shared" si="1"/>
        <v>46206</v>
      </c>
      <c r="N13" s="37">
        <f t="shared" si="2"/>
        <v>126817</v>
      </c>
    </row>
    <row r="14" spans="1:14">
      <c r="A14" s="1" t="s">
        <v>1</v>
      </c>
      <c r="B14" s="18" t="s">
        <v>31</v>
      </c>
      <c r="C14" s="57">
        <v>2412</v>
      </c>
      <c r="D14" s="57">
        <v>2412</v>
      </c>
      <c r="E14" s="74">
        <v>462</v>
      </c>
      <c r="F14" s="20">
        <f t="shared" si="0"/>
        <v>5286</v>
      </c>
      <c r="G14" s="56">
        <v>630</v>
      </c>
      <c r="H14" s="57">
        <v>498</v>
      </c>
      <c r="I14" s="57">
        <v>468</v>
      </c>
      <c r="J14" s="57">
        <v>540</v>
      </c>
      <c r="K14" s="57">
        <v>426</v>
      </c>
      <c r="L14" s="19">
        <v>468</v>
      </c>
      <c r="M14" s="20">
        <f t="shared" si="1"/>
        <v>3030</v>
      </c>
      <c r="N14" s="20">
        <f t="shared" si="2"/>
        <v>8316</v>
      </c>
    </row>
    <row r="15" spans="1:14">
      <c r="A15" s="1" t="s">
        <v>1</v>
      </c>
      <c r="B15" s="18" t="s">
        <v>32</v>
      </c>
      <c r="C15" s="57">
        <v>338685</v>
      </c>
      <c r="D15" s="57">
        <v>338685</v>
      </c>
      <c r="E15" s="74">
        <v>65566</v>
      </c>
      <c r="F15" s="20">
        <f t="shared" si="0"/>
        <v>742936</v>
      </c>
      <c r="G15" s="56">
        <v>88463</v>
      </c>
      <c r="H15" s="57">
        <v>69928</v>
      </c>
      <c r="I15" s="57">
        <v>65715</v>
      </c>
      <c r="J15" s="57">
        <v>75825</v>
      </c>
      <c r="K15" s="57">
        <v>59818</v>
      </c>
      <c r="L15" s="19">
        <v>65715</v>
      </c>
      <c r="M15" s="20">
        <f t="shared" si="1"/>
        <v>425464</v>
      </c>
      <c r="N15" s="20">
        <f t="shared" si="2"/>
        <v>1168400</v>
      </c>
    </row>
    <row r="16" spans="1:14">
      <c r="A16" s="1" t="s">
        <v>1</v>
      </c>
      <c r="B16" s="15" t="s">
        <v>33</v>
      </c>
      <c r="C16" s="49">
        <v>27663</v>
      </c>
      <c r="D16" s="49">
        <v>27663</v>
      </c>
      <c r="E16" s="72">
        <v>2677</v>
      </c>
      <c r="F16" s="17">
        <f t="shared" si="0"/>
        <v>58003</v>
      </c>
      <c r="G16" s="48">
        <v>0</v>
      </c>
      <c r="H16" s="49">
        <v>2855</v>
      </c>
      <c r="I16" s="49">
        <v>4025</v>
      </c>
      <c r="J16" s="49">
        <v>4645</v>
      </c>
      <c r="K16" s="49">
        <v>3664</v>
      </c>
      <c r="L16" s="16">
        <v>4025</v>
      </c>
      <c r="M16" s="17">
        <f t="shared" si="1"/>
        <v>19214</v>
      </c>
      <c r="N16" s="17">
        <f t="shared" si="2"/>
        <v>77217</v>
      </c>
    </row>
    <row r="17" spans="1:14">
      <c r="A17" s="1" t="s">
        <v>1</v>
      </c>
      <c r="B17" s="15" t="s">
        <v>34</v>
      </c>
      <c r="C17" s="49">
        <v>63315</v>
      </c>
      <c r="D17" s="49">
        <v>63315</v>
      </c>
      <c r="E17" s="72">
        <v>11434</v>
      </c>
      <c r="F17" s="17">
        <f t="shared" si="0"/>
        <v>138064</v>
      </c>
      <c r="G17" s="48">
        <v>16537</v>
      </c>
      <c r="H17" s="49">
        <v>13072</v>
      </c>
      <c r="I17" s="49">
        <v>12285</v>
      </c>
      <c r="J17" s="49">
        <v>14175</v>
      </c>
      <c r="K17" s="49">
        <v>11182</v>
      </c>
      <c r="L17" s="16">
        <v>12285</v>
      </c>
      <c r="M17" s="17">
        <f t="shared" si="1"/>
        <v>79536</v>
      </c>
      <c r="N17" s="17">
        <f t="shared" si="2"/>
        <v>217600</v>
      </c>
    </row>
    <row r="18" spans="1:14">
      <c r="A18" s="1" t="s">
        <v>1</v>
      </c>
      <c r="B18" s="15" t="s">
        <v>35</v>
      </c>
      <c r="C18" s="49">
        <v>90978</v>
      </c>
      <c r="D18" s="49">
        <v>90978</v>
      </c>
      <c r="E18" s="72">
        <v>14111</v>
      </c>
      <c r="F18" s="17">
        <f t="shared" si="0"/>
        <v>196067</v>
      </c>
      <c r="G18" s="48">
        <v>16537</v>
      </c>
      <c r="H18" s="49">
        <v>15927</v>
      </c>
      <c r="I18" s="49">
        <v>16310</v>
      </c>
      <c r="J18" s="49">
        <v>18820</v>
      </c>
      <c r="K18" s="49">
        <v>14846</v>
      </c>
      <c r="L18" s="16">
        <v>16310</v>
      </c>
      <c r="M18" s="17">
        <f t="shared" si="1"/>
        <v>98750</v>
      </c>
      <c r="N18" s="17">
        <f t="shared" si="2"/>
        <v>294817</v>
      </c>
    </row>
    <row r="19" spans="1:14">
      <c r="A19" s="1" t="s">
        <v>1</v>
      </c>
      <c r="B19" s="15" t="s">
        <v>36</v>
      </c>
      <c r="C19" s="49">
        <v>32115</v>
      </c>
      <c r="D19" s="49">
        <v>102559</v>
      </c>
      <c r="E19" s="72">
        <v>8930</v>
      </c>
      <c r="F19" s="17">
        <f t="shared" si="0"/>
        <v>143604</v>
      </c>
      <c r="G19" s="48">
        <v>18355</v>
      </c>
      <c r="H19" s="49">
        <v>0</v>
      </c>
      <c r="I19" s="49">
        <v>15674</v>
      </c>
      <c r="J19" s="49">
        <v>17272</v>
      </c>
      <c r="K19" s="49">
        <v>15090</v>
      </c>
      <c r="L19" s="16">
        <v>13714</v>
      </c>
      <c r="M19" s="17">
        <f t="shared" si="1"/>
        <v>80105</v>
      </c>
      <c r="N19" s="17">
        <f t="shared" si="2"/>
        <v>223709</v>
      </c>
    </row>
    <row r="20" spans="1:14">
      <c r="A20" s="1" t="s">
        <v>1</v>
      </c>
      <c r="B20" s="15" t="s">
        <v>37</v>
      </c>
      <c r="C20" s="49">
        <v>0</v>
      </c>
      <c r="D20" s="49">
        <v>0</v>
      </c>
      <c r="E20" s="72">
        <v>0</v>
      </c>
      <c r="F20" s="17">
        <f t="shared" si="0"/>
        <v>0</v>
      </c>
      <c r="G20" s="48">
        <v>0</v>
      </c>
      <c r="H20" s="49">
        <v>7296</v>
      </c>
      <c r="I20" s="49">
        <v>0</v>
      </c>
      <c r="J20" s="49">
        <v>0</v>
      </c>
      <c r="K20" s="49">
        <v>0</v>
      </c>
      <c r="L20" s="16">
        <v>0</v>
      </c>
      <c r="M20" s="17">
        <f t="shared" si="1"/>
        <v>7296</v>
      </c>
      <c r="N20" s="17">
        <f t="shared" si="2"/>
        <v>7296</v>
      </c>
    </row>
    <row r="21" spans="1:14">
      <c r="A21" s="1" t="s">
        <v>1</v>
      </c>
      <c r="B21" s="15" t="s">
        <v>38</v>
      </c>
      <c r="C21" s="49">
        <v>343137</v>
      </c>
      <c r="D21" s="49">
        <v>413581</v>
      </c>
      <c r="E21" s="72">
        <v>71819</v>
      </c>
      <c r="F21" s="17">
        <f t="shared" si="0"/>
        <v>828537</v>
      </c>
      <c r="G21" s="48">
        <v>106818</v>
      </c>
      <c r="H21" s="49">
        <v>59777</v>
      </c>
      <c r="I21" s="49">
        <v>77364</v>
      </c>
      <c r="J21" s="49">
        <v>88452</v>
      </c>
      <c r="K21" s="49">
        <v>71244</v>
      </c>
      <c r="L21" s="16">
        <v>75404</v>
      </c>
      <c r="M21" s="17">
        <f t="shared" si="1"/>
        <v>479059</v>
      </c>
      <c r="N21" s="17">
        <f t="shared" si="2"/>
        <v>1307596</v>
      </c>
    </row>
    <row r="22" spans="1:14">
      <c r="A22" s="1" t="s">
        <v>1</v>
      </c>
      <c r="B22" s="15" t="s">
        <v>39</v>
      </c>
      <c r="C22" s="49">
        <v>343137</v>
      </c>
      <c r="D22" s="49">
        <v>413581</v>
      </c>
      <c r="E22" s="72">
        <v>71819</v>
      </c>
      <c r="F22" s="17">
        <f t="shared" si="0"/>
        <v>828537</v>
      </c>
      <c r="G22" s="48">
        <v>106818</v>
      </c>
      <c r="H22" s="49">
        <v>59777</v>
      </c>
      <c r="I22" s="49">
        <v>77364</v>
      </c>
      <c r="J22" s="49">
        <v>88452</v>
      </c>
      <c r="K22" s="49">
        <v>71244</v>
      </c>
      <c r="L22" s="16">
        <v>75404</v>
      </c>
      <c r="M22" s="17">
        <f t="shared" si="1"/>
        <v>479059</v>
      </c>
      <c r="N22" s="17">
        <f t="shared" si="2"/>
        <v>1307596</v>
      </c>
    </row>
    <row r="23" spans="1:14">
      <c r="A23" s="1" t="s">
        <v>1</v>
      </c>
      <c r="B23" s="15" t="s">
        <v>40</v>
      </c>
      <c r="C23" s="49">
        <v>0</v>
      </c>
      <c r="D23" s="49">
        <v>0</v>
      </c>
      <c r="E23" s="72">
        <v>0</v>
      </c>
      <c r="F23" s="17"/>
      <c r="G23" s="48">
        <v>2</v>
      </c>
      <c r="H23" s="49">
        <v>1</v>
      </c>
      <c r="I23" s="49">
        <v>0</v>
      </c>
      <c r="J23" s="49">
        <v>0</v>
      </c>
      <c r="K23" s="49">
        <v>0</v>
      </c>
      <c r="L23" s="16">
        <v>1</v>
      </c>
      <c r="M23" s="17"/>
      <c r="N23" s="17"/>
    </row>
    <row r="24" spans="1:14">
      <c r="A24" s="1" t="s">
        <v>1</v>
      </c>
      <c r="B24" s="15" t="s">
        <v>41</v>
      </c>
      <c r="C24" s="59">
        <v>8.1679999999999993</v>
      </c>
      <c r="D24" s="59">
        <v>8.1679999999999993</v>
      </c>
      <c r="E24" s="75">
        <v>4.0839999999999996</v>
      </c>
      <c r="F24" s="22"/>
      <c r="G24" s="58">
        <v>0</v>
      </c>
      <c r="H24" s="59">
        <v>4.0839999999999996</v>
      </c>
      <c r="I24" s="59">
        <v>6.1260000000000003</v>
      </c>
      <c r="J24" s="59">
        <v>6.1260000000000003</v>
      </c>
      <c r="K24" s="59">
        <v>6.1260000000000003</v>
      </c>
      <c r="L24" s="21">
        <v>6.1260000000000003</v>
      </c>
      <c r="M24" s="22"/>
      <c r="N24" s="22"/>
    </row>
    <row r="25" spans="1:14" ht="19.5" thickBot="1">
      <c r="A25" s="1" t="s">
        <v>1</v>
      </c>
      <c r="B25" s="12" t="s">
        <v>42</v>
      </c>
      <c r="C25" s="61">
        <v>311485</v>
      </c>
      <c r="D25" s="61">
        <v>305156</v>
      </c>
      <c r="E25" s="76">
        <v>177730</v>
      </c>
      <c r="F25" s="14"/>
      <c r="G25" s="60">
        <v>15946</v>
      </c>
      <c r="H25" s="61">
        <v>246878</v>
      </c>
      <c r="I25" s="61">
        <v>258449</v>
      </c>
      <c r="J25" s="61">
        <v>267398</v>
      </c>
      <c r="K25" s="61">
        <v>262494</v>
      </c>
      <c r="L25" s="13">
        <v>296161</v>
      </c>
      <c r="M25" s="14"/>
      <c r="N25" s="14"/>
    </row>
  </sheetData>
  <phoneticPr fontId="3"/>
  <pageMargins left="0.31496062992125984" right="0.31496062992125984" top="0.74803149606299213" bottom="0.74803149606299213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冬季賞与</vt:lpstr>
      <vt:lpstr>冬季賞与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2023-12-16T07:50:51Z</cp:lastPrinted>
  <dcterms:created xsi:type="dcterms:W3CDTF">2023-12-16T00:48:33Z</dcterms:created>
  <dcterms:modified xsi:type="dcterms:W3CDTF">2023-12-16T07:50:56Z</dcterms:modified>
</cp:coreProperties>
</file>