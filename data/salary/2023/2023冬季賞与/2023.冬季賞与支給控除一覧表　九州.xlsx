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冬季賞与\"/>
    </mc:Choice>
  </mc:AlternateContent>
  <xr:revisionPtr revIDLastSave="0" documentId="13_ncr:1_{27D7F6CC-E590-4583-8F9D-0DD00A1989E3}" xr6:coauthVersionLast="47" xr6:coauthVersionMax="47" xr10:uidLastSave="{00000000-0000-0000-0000-000000000000}"/>
  <bookViews>
    <workbookView xWindow="-120" yWindow="-120" windowWidth="20730" windowHeight="11160" xr2:uid="{791C40EC-C92E-4C00-94B2-1B9C043B9F43}"/>
  </bookViews>
  <sheets>
    <sheet name="冬季賞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3" l="1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5" i="3"/>
  <c r="L5" i="3" s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</calcChain>
</file>

<file path=xl/sharedStrings.xml><?xml version="1.0" encoding="utf-8"?>
<sst xmlns="http://schemas.openxmlformats.org/spreadsheetml/2006/main" count="61" uniqueCount="42">
  <si>
    <t>賞与支給控除一覧表</t>
    <phoneticPr fontId="4"/>
  </si>
  <si>
    <t/>
  </si>
  <si>
    <t>冬季賞与</t>
    <phoneticPr fontId="4"/>
  </si>
  <si>
    <t>1056</t>
    <phoneticPr fontId="4"/>
  </si>
  <si>
    <t>1057</t>
    <phoneticPr fontId="4"/>
  </si>
  <si>
    <t>1061</t>
    <phoneticPr fontId="4"/>
  </si>
  <si>
    <t>1063</t>
    <phoneticPr fontId="4"/>
  </si>
  <si>
    <t>1067</t>
    <phoneticPr fontId="4"/>
  </si>
  <si>
    <t>1071</t>
    <phoneticPr fontId="4"/>
  </si>
  <si>
    <t>1097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</si>
  <si>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</si>
  <si>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</si>
  <si>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</si>
  <si>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</si>
  <si>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木下　知美</t>
    <phoneticPr fontId="4"/>
  </si>
  <si>
    <t>米澤　敬</t>
    <phoneticPr fontId="4"/>
  </si>
  <si>
    <t>大賀　勇也</t>
    <phoneticPr fontId="4"/>
  </si>
  <si>
    <t>新田　竜二</t>
    <phoneticPr fontId="4"/>
  </si>
  <si>
    <t>合計</t>
    <phoneticPr fontId="4"/>
  </si>
  <si>
    <t>賞与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</si>
  <si>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</si>
  <si>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</si>
  <si>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</si>
  <si>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</si>
  <si>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</si>
  <si>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</si>
  <si>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</si>
  <si>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</si>
  <si>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</si>
  <si>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</si>
  <si>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</si>
  <si>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</si>
  <si>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</si>
  <si>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差引支給合計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</si>
  <si>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</si>
  <si>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</si>
  <si>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</si>
  <si>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</si>
  <si>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</si>
  <si>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</si>
  <si>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５名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</si>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</sst>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4" xfId="1" applyNumberFormat="1" applyFont="1" applyBorder="1"/>
    <xf numFmtId="0" fontId="2" fillId="0" borderId="6" xfId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176" fontId="2" fillId="0" borderId="8" xfId="1" applyNumberFormat="1" applyFont="1" applyBorder="1"/>
    <xf numFmtId="176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29" xfId="1" applyNumberFormat="1" applyFont="1" applyBorder="1"/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176" fontId="2" fillId="0" borderId="35" xfId="1" applyNumberFormat="1" applyFont="1" applyBorder="1"/>
    <xf numFmtId="3" fontId="2" fillId="0" borderId="31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0" fontId="2" fillId="0" borderId="6" xfId="1" applyFont="1" applyBorder="1"/>
    <xf numFmtId="49" fontId="2" fillId="0" borderId="4" xfId="1" applyNumberFormat="1" applyFont="1" applyBorder="1" applyAlignment="1">
      <alignment horizontal="center"/>
    </xf>
    <xf numFmtId="0" fontId="2" fillId="0" borderId="2" xfId="1" applyFont="1" applyBorder="1"/>
  </cellXfs>
  <cellStyles count="2">
    <cellStyle name="標準" xfId="0" builtinId="0"/>
    <cellStyle name="標準 2" xfId="1" xr:uid="{FD487072-40D1-4ECA-9F16-AC6409DC9B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FA88-CF9F-4FFE-BECD-A8AB6BB6176F}">
  <dimension ref="A1:L2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375" style="2" customWidth="1"/>
    <col min="13" max="257" width="9" style="2"/>
    <col min="258" max="258" width="2.375" style="2" customWidth="1"/>
    <col min="259" max="259" width="13.25" style="2" bestFit="1" customWidth="1"/>
    <col min="260" max="263" width="11.125" style="2" bestFit="1" customWidth="1"/>
    <col min="264" max="264" width="9" style="2"/>
    <col min="265" max="266" width="11.125" style="2" bestFit="1" customWidth="1"/>
    <col min="267" max="513" width="9" style="2"/>
    <col min="514" max="514" width="2.375" style="2" customWidth="1"/>
    <col min="515" max="515" width="13.25" style="2" bestFit="1" customWidth="1"/>
    <col min="516" max="519" width="11.125" style="2" bestFit="1" customWidth="1"/>
    <col min="520" max="520" width="9" style="2"/>
    <col min="521" max="522" width="11.125" style="2" bestFit="1" customWidth="1"/>
    <col min="523" max="769" width="9" style="2"/>
    <col min="770" max="770" width="2.375" style="2" customWidth="1"/>
    <col min="771" max="771" width="13.25" style="2" bestFit="1" customWidth="1"/>
    <col min="772" max="775" width="11.125" style="2" bestFit="1" customWidth="1"/>
    <col min="776" max="776" width="9" style="2"/>
    <col min="777" max="778" width="11.1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1" width="11.125" style="2" bestFit="1" customWidth="1"/>
    <col min="1032" max="1032" width="9" style="2"/>
    <col min="1033" max="1034" width="11.1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7" width="11.125" style="2" bestFit="1" customWidth="1"/>
    <col min="1288" max="1288" width="9" style="2"/>
    <col min="1289" max="1290" width="11.1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3" width="11.125" style="2" bestFit="1" customWidth="1"/>
    <col min="1544" max="1544" width="9" style="2"/>
    <col min="1545" max="1546" width="11.1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9" width="11.125" style="2" bestFit="1" customWidth="1"/>
    <col min="1800" max="1800" width="9" style="2"/>
    <col min="1801" max="1802" width="11.1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5" width="11.125" style="2" bestFit="1" customWidth="1"/>
    <col min="2056" max="2056" width="9" style="2"/>
    <col min="2057" max="2058" width="11.1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1" width="11.125" style="2" bestFit="1" customWidth="1"/>
    <col min="2312" max="2312" width="9" style="2"/>
    <col min="2313" max="2314" width="11.1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7" width="11.125" style="2" bestFit="1" customWidth="1"/>
    <col min="2568" max="2568" width="9" style="2"/>
    <col min="2569" max="2570" width="11.1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3" width="11.125" style="2" bestFit="1" customWidth="1"/>
    <col min="2824" max="2824" width="9" style="2"/>
    <col min="2825" max="2826" width="11.1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9" width="11.125" style="2" bestFit="1" customWidth="1"/>
    <col min="3080" max="3080" width="9" style="2"/>
    <col min="3081" max="3082" width="11.1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5" width="11.125" style="2" bestFit="1" customWidth="1"/>
    <col min="3336" max="3336" width="9" style="2"/>
    <col min="3337" max="3338" width="11.1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1" width="11.125" style="2" bestFit="1" customWidth="1"/>
    <col min="3592" max="3592" width="9" style="2"/>
    <col min="3593" max="3594" width="11.1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7" width="11.125" style="2" bestFit="1" customWidth="1"/>
    <col min="3848" max="3848" width="9" style="2"/>
    <col min="3849" max="3850" width="11.1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3" width="11.125" style="2" bestFit="1" customWidth="1"/>
    <col min="4104" max="4104" width="9" style="2"/>
    <col min="4105" max="4106" width="11.1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9" width="11.125" style="2" bestFit="1" customWidth="1"/>
    <col min="4360" max="4360" width="9" style="2"/>
    <col min="4361" max="4362" width="11.1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5" width="11.125" style="2" bestFit="1" customWidth="1"/>
    <col min="4616" max="4616" width="9" style="2"/>
    <col min="4617" max="4618" width="11.1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1" width="11.125" style="2" bestFit="1" customWidth="1"/>
    <col min="4872" max="4872" width="9" style="2"/>
    <col min="4873" max="4874" width="11.1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7" width="11.125" style="2" bestFit="1" customWidth="1"/>
    <col min="5128" max="5128" width="9" style="2"/>
    <col min="5129" max="5130" width="11.1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3" width="11.125" style="2" bestFit="1" customWidth="1"/>
    <col min="5384" max="5384" width="9" style="2"/>
    <col min="5385" max="5386" width="11.1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9" width="11.125" style="2" bestFit="1" customWidth="1"/>
    <col min="5640" max="5640" width="9" style="2"/>
    <col min="5641" max="5642" width="11.1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5" width="11.125" style="2" bestFit="1" customWidth="1"/>
    <col min="5896" max="5896" width="9" style="2"/>
    <col min="5897" max="5898" width="11.1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1" width="11.125" style="2" bestFit="1" customWidth="1"/>
    <col min="6152" max="6152" width="9" style="2"/>
    <col min="6153" max="6154" width="11.1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7" width="11.125" style="2" bestFit="1" customWidth="1"/>
    <col min="6408" max="6408" width="9" style="2"/>
    <col min="6409" max="6410" width="11.1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3" width="11.125" style="2" bestFit="1" customWidth="1"/>
    <col min="6664" max="6664" width="9" style="2"/>
    <col min="6665" max="6666" width="11.1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9" width="11.125" style="2" bestFit="1" customWidth="1"/>
    <col min="6920" max="6920" width="9" style="2"/>
    <col min="6921" max="6922" width="11.1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5" width="11.125" style="2" bestFit="1" customWidth="1"/>
    <col min="7176" max="7176" width="9" style="2"/>
    <col min="7177" max="7178" width="11.1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1" width="11.125" style="2" bestFit="1" customWidth="1"/>
    <col min="7432" max="7432" width="9" style="2"/>
    <col min="7433" max="7434" width="11.1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7" width="11.125" style="2" bestFit="1" customWidth="1"/>
    <col min="7688" max="7688" width="9" style="2"/>
    <col min="7689" max="7690" width="11.1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3" width="11.125" style="2" bestFit="1" customWidth="1"/>
    <col min="7944" max="7944" width="9" style="2"/>
    <col min="7945" max="7946" width="11.1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9" width="11.125" style="2" bestFit="1" customWidth="1"/>
    <col min="8200" max="8200" width="9" style="2"/>
    <col min="8201" max="8202" width="11.1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5" width="11.125" style="2" bestFit="1" customWidth="1"/>
    <col min="8456" max="8456" width="9" style="2"/>
    <col min="8457" max="8458" width="11.1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1" width="11.125" style="2" bestFit="1" customWidth="1"/>
    <col min="8712" max="8712" width="9" style="2"/>
    <col min="8713" max="8714" width="11.1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7" width="11.125" style="2" bestFit="1" customWidth="1"/>
    <col min="8968" max="8968" width="9" style="2"/>
    <col min="8969" max="8970" width="11.1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3" width="11.125" style="2" bestFit="1" customWidth="1"/>
    <col min="9224" max="9224" width="9" style="2"/>
    <col min="9225" max="9226" width="11.1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9" width="11.125" style="2" bestFit="1" customWidth="1"/>
    <col min="9480" max="9480" width="9" style="2"/>
    <col min="9481" max="9482" width="11.1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5" width="11.125" style="2" bestFit="1" customWidth="1"/>
    <col min="9736" max="9736" width="9" style="2"/>
    <col min="9737" max="9738" width="11.1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1" width="11.125" style="2" bestFit="1" customWidth="1"/>
    <col min="9992" max="9992" width="9" style="2"/>
    <col min="9993" max="9994" width="11.1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7" width="11.125" style="2" bestFit="1" customWidth="1"/>
    <col min="10248" max="10248" width="9" style="2"/>
    <col min="10249" max="10250" width="11.1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3" width="11.125" style="2" bestFit="1" customWidth="1"/>
    <col min="10504" max="10504" width="9" style="2"/>
    <col min="10505" max="10506" width="11.1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9" width="11.125" style="2" bestFit="1" customWidth="1"/>
    <col min="10760" max="10760" width="9" style="2"/>
    <col min="10761" max="10762" width="11.1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5" width="11.125" style="2" bestFit="1" customWidth="1"/>
    <col min="11016" max="11016" width="9" style="2"/>
    <col min="11017" max="11018" width="11.1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1" width="11.125" style="2" bestFit="1" customWidth="1"/>
    <col min="11272" max="11272" width="9" style="2"/>
    <col min="11273" max="11274" width="11.1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7" width="11.125" style="2" bestFit="1" customWidth="1"/>
    <col min="11528" max="11528" width="9" style="2"/>
    <col min="11529" max="11530" width="11.1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3" width="11.125" style="2" bestFit="1" customWidth="1"/>
    <col min="11784" max="11784" width="9" style="2"/>
    <col min="11785" max="11786" width="11.1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9" width="11.125" style="2" bestFit="1" customWidth="1"/>
    <col min="12040" max="12040" width="9" style="2"/>
    <col min="12041" max="12042" width="11.1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5" width="11.125" style="2" bestFit="1" customWidth="1"/>
    <col min="12296" max="12296" width="9" style="2"/>
    <col min="12297" max="12298" width="11.1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1" width="11.125" style="2" bestFit="1" customWidth="1"/>
    <col min="12552" max="12552" width="9" style="2"/>
    <col min="12553" max="12554" width="11.1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7" width="11.125" style="2" bestFit="1" customWidth="1"/>
    <col min="12808" max="12808" width="9" style="2"/>
    <col min="12809" max="12810" width="11.1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3" width="11.125" style="2" bestFit="1" customWidth="1"/>
    <col min="13064" max="13064" width="9" style="2"/>
    <col min="13065" max="13066" width="11.1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9" width="11.125" style="2" bestFit="1" customWidth="1"/>
    <col min="13320" max="13320" width="9" style="2"/>
    <col min="13321" max="13322" width="11.1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5" width="11.125" style="2" bestFit="1" customWidth="1"/>
    <col min="13576" max="13576" width="9" style="2"/>
    <col min="13577" max="13578" width="11.1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1" width="11.125" style="2" bestFit="1" customWidth="1"/>
    <col min="13832" max="13832" width="9" style="2"/>
    <col min="13833" max="13834" width="11.1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7" width="11.125" style="2" bestFit="1" customWidth="1"/>
    <col min="14088" max="14088" width="9" style="2"/>
    <col min="14089" max="14090" width="11.1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3" width="11.125" style="2" bestFit="1" customWidth="1"/>
    <col min="14344" max="14344" width="9" style="2"/>
    <col min="14345" max="14346" width="11.1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9" width="11.125" style="2" bestFit="1" customWidth="1"/>
    <col min="14600" max="14600" width="9" style="2"/>
    <col min="14601" max="14602" width="11.1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5" width="11.125" style="2" bestFit="1" customWidth="1"/>
    <col min="14856" max="14856" width="9" style="2"/>
    <col min="14857" max="14858" width="11.1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1" width="11.125" style="2" bestFit="1" customWidth="1"/>
    <col min="15112" max="15112" width="9" style="2"/>
    <col min="15113" max="15114" width="11.1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7" width="11.125" style="2" bestFit="1" customWidth="1"/>
    <col min="15368" max="15368" width="9" style="2"/>
    <col min="15369" max="15370" width="11.1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3" width="11.125" style="2" bestFit="1" customWidth="1"/>
    <col min="15624" max="15624" width="9" style="2"/>
    <col min="15625" max="15626" width="11.1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9" width="11.125" style="2" bestFit="1" customWidth="1"/>
    <col min="15880" max="15880" width="9" style="2"/>
    <col min="15881" max="15882" width="11.1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5" width="11.125" style="2" bestFit="1" customWidth="1"/>
    <col min="16136" max="16136" width="9" style="2"/>
    <col min="16137" max="16138" width="11.125" style="2" bestFit="1" customWidth="1"/>
    <col min="16139" max="16384" width="9" style="2"/>
  </cols>
  <sheetData>
    <row r="1" spans="1:12">
      <c r="A1" s="1" t="s">
        <v>0</v>
      </c>
    </row>
    <row r="2" spans="1:12" ht="19.5" thickBot="1">
      <c r="A2" s="1" t="s">
        <v>2</v>
      </c>
    </row>
    <row r="3" spans="1:12">
      <c r="B3" s="12"/>
      <c r="C3" s="28" t="s">
        <v>4</v>
      </c>
      <c r="D3" s="46" t="s">
        <v>6</v>
      </c>
      <c r="E3" s="55" t="s">
        <v>38</v>
      </c>
      <c r="F3" s="27" t="s">
        <v>3</v>
      </c>
      <c r="G3" s="28" t="s">
        <v>5</v>
      </c>
      <c r="H3" s="28" t="s">
        <v>7</v>
      </c>
      <c r="I3" s="28" t="s">
        <v>8</v>
      </c>
      <c r="J3" s="4" t="s">
        <v>9</v>
      </c>
      <c r="K3" s="55" t="s">
        <v>38</v>
      </c>
      <c r="L3" s="57" t="s">
        <v>18</v>
      </c>
    </row>
    <row r="4" spans="1:12" ht="19.5" thickBot="1">
      <c r="A4" s="59"/>
      <c r="B4" s="5" t="s">
        <v>10</v>
      </c>
      <c r="C4" s="30" t="s">
        <v>12</v>
      </c>
      <c r="D4" s="47" t="s">
        <v>14</v>
      </c>
      <c r="E4" s="56" t="s">
        <v>39</v>
      </c>
      <c r="F4" s="29" t="s">
        <v>11</v>
      </c>
      <c r="G4" s="30" t="s">
        <v>13</v>
      </c>
      <c r="H4" s="30" t="s">
        <v>15</v>
      </c>
      <c r="I4" s="30" t="s">
        <v>16</v>
      </c>
      <c r="J4" s="3" t="s">
        <v>17</v>
      </c>
      <c r="K4" s="58" t="s">
        <v>40</v>
      </c>
      <c r="L4" s="5" t="s">
        <v>41</v>
      </c>
    </row>
    <row r="5" spans="1:12">
      <c r="A5" s="1" t="s">
        <v>1</v>
      </c>
      <c r="B5" s="18" t="s">
        <v>19</v>
      </c>
      <c r="C5" s="32">
        <v>387000</v>
      </c>
      <c r="D5" s="48">
        <v>0</v>
      </c>
      <c r="E5" s="20">
        <f>SUM(C5:D5)</f>
        <v>387000</v>
      </c>
      <c r="F5" s="31">
        <v>75000</v>
      </c>
      <c r="G5" s="32">
        <v>75000</v>
      </c>
      <c r="H5" s="32">
        <v>75000</v>
      </c>
      <c r="I5" s="32">
        <v>75000</v>
      </c>
      <c r="J5" s="19">
        <v>63000</v>
      </c>
      <c r="K5" s="20">
        <f>SUM(F5:J5)</f>
        <v>363000</v>
      </c>
      <c r="L5" s="20">
        <f>SUM(K5,E5)</f>
        <v>750000</v>
      </c>
    </row>
    <row r="6" spans="1:12">
      <c r="A6" s="1" t="s">
        <v>1</v>
      </c>
      <c r="B6" s="21" t="s">
        <v>20</v>
      </c>
      <c r="C6" s="34">
        <v>0</v>
      </c>
      <c r="D6" s="49">
        <v>0</v>
      </c>
      <c r="E6" s="23">
        <f t="shared" ref="E6:E20" si="0">SUM(C6:D6)</f>
        <v>0</v>
      </c>
      <c r="F6" s="33">
        <v>6000</v>
      </c>
      <c r="G6" s="34">
        <v>0</v>
      </c>
      <c r="H6" s="34">
        <v>6000</v>
      </c>
      <c r="I6" s="34">
        <v>0</v>
      </c>
      <c r="J6" s="22">
        <v>0</v>
      </c>
      <c r="K6" s="23">
        <f t="shared" ref="K6:K20" si="1">SUM(F6:J6)</f>
        <v>12000</v>
      </c>
      <c r="L6" s="23">
        <f t="shared" ref="L6:L20" si="2">SUM(K6,E6)</f>
        <v>12000</v>
      </c>
    </row>
    <row r="7" spans="1:12">
      <c r="A7" s="1" t="s">
        <v>1</v>
      </c>
      <c r="B7" s="6" t="s">
        <v>21</v>
      </c>
      <c r="C7" s="36">
        <v>15000</v>
      </c>
      <c r="D7" s="50">
        <v>0</v>
      </c>
      <c r="E7" s="8">
        <f t="shared" si="0"/>
        <v>15000</v>
      </c>
      <c r="F7" s="35">
        <v>15000</v>
      </c>
      <c r="G7" s="36">
        <v>15000</v>
      </c>
      <c r="H7" s="36">
        <v>15000</v>
      </c>
      <c r="I7" s="36">
        <v>15000</v>
      </c>
      <c r="J7" s="7">
        <v>15000</v>
      </c>
      <c r="K7" s="8">
        <f t="shared" si="1"/>
        <v>75000</v>
      </c>
      <c r="L7" s="8">
        <f t="shared" si="2"/>
        <v>90000</v>
      </c>
    </row>
    <row r="8" spans="1:12">
      <c r="A8" s="1" t="s">
        <v>1</v>
      </c>
      <c r="B8" s="13" t="s">
        <v>22</v>
      </c>
      <c r="C8" s="38">
        <v>402000</v>
      </c>
      <c r="D8" s="51">
        <v>0</v>
      </c>
      <c r="E8" s="15">
        <f t="shared" si="0"/>
        <v>402000</v>
      </c>
      <c r="F8" s="37">
        <v>96000</v>
      </c>
      <c r="G8" s="38">
        <v>90000</v>
      </c>
      <c r="H8" s="38">
        <v>96000</v>
      </c>
      <c r="I8" s="38">
        <v>90000</v>
      </c>
      <c r="J8" s="14">
        <v>78000</v>
      </c>
      <c r="K8" s="15">
        <f t="shared" si="1"/>
        <v>450000</v>
      </c>
      <c r="L8" s="15">
        <f t="shared" si="2"/>
        <v>852000</v>
      </c>
    </row>
    <row r="9" spans="1:12">
      <c r="A9" s="1" t="s">
        <v>1</v>
      </c>
      <c r="B9" s="13" t="s">
        <v>23</v>
      </c>
      <c r="C9" s="38">
        <v>402000</v>
      </c>
      <c r="D9" s="51">
        <v>0</v>
      </c>
      <c r="E9" s="15">
        <f t="shared" si="0"/>
        <v>402000</v>
      </c>
      <c r="F9" s="37">
        <v>96000</v>
      </c>
      <c r="G9" s="38">
        <v>90000</v>
      </c>
      <c r="H9" s="38">
        <v>96000</v>
      </c>
      <c r="I9" s="38">
        <v>90000</v>
      </c>
      <c r="J9" s="14">
        <v>78000</v>
      </c>
      <c r="K9" s="15">
        <f t="shared" si="1"/>
        <v>450000</v>
      </c>
      <c r="L9" s="15">
        <f t="shared" si="2"/>
        <v>852000</v>
      </c>
    </row>
    <row r="10" spans="1:12">
      <c r="A10" s="1" t="s">
        <v>1</v>
      </c>
      <c r="B10" s="24" t="s">
        <v>24</v>
      </c>
      <c r="C10" s="40">
        <v>20502</v>
      </c>
      <c r="D10" s="52">
        <v>0</v>
      </c>
      <c r="E10" s="26">
        <f t="shared" si="0"/>
        <v>20502</v>
      </c>
      <c r="F10" s="39">
        <v>4896</v>
      </c>
      <c r="G10" s="40">
        <v>4590</v>
      </c>
      <c r="H10" s="40">
        <v>4896</v>
      </c>
      <c r="I10" s="40">
        <v>4590</v>
      </c>
      <c r="J10" s="25">
        <v>3978</v>
      </c>
      <c r="K10" s="26">
        <f t="shared" si="1"/>
        <v>22950</v>
      </c>
      <c r="L10" s="26">
        <f t="shared" si="2"/>
        <v>43452</v>
      </c>
    </row>
    <row r="11" spans="1:12">
      <c r="A11" s="1" t="s">
        <v>1</v>
      </c>
      <c r="B11" s="21" t="s">
        <v>25</v>
      </c>
      <c r="C11" s="34">
        <v>3618</v>
      </c>
      <c r="D11" s="49">
        <v>0</v>
      </c>
      <c r="E11" s="23">
        <f t="shared" si="0"/>
        <v>3618</v>
      </c>
      <c r="F11" s="33">
        <v>0</v>
      </c>
      <c r="G11" s="34">
        <v>810</v>
      </c>
      <c r="H11" s="34">
        <v>864</v>
      </c>
      <c r="I11" s="34">
        <v>810</v>
      </c>
      <c r="J11" s="22">
        <v>702</v>
      </c>
      <c r="K11" s="23">
        <f t="shared" si="1"/>
        <v>3186</v>
      </c>
      <c r="L11" s="23">
        <f t="shared" si="2"/>
        <v>6804</v>
      </c>
    </row>
    <row r="12" spans="1:12">
      <c r="A12" s="1" t="s">
        <v>1</v>
      </c>
      <c r="B12" s="21" t="s">
        <v>26</v>
      </c>
      <c r="C12" s="34">
        <v>36783</v>
      </c>
      <c r="D12" s="49">
        <v>0</v>
      </c>
      <c r="E12" s="23">
        <f t="shared" si="0"/>
        <v>36783</v>
      </c>
      <c r="F12" s="33">
        <v>8784</v>
      </c>
      <c r="G12" s="34">
        <v>8235</v>
      </c>
      <c r="H12" s="34">
        <v>8784</v>
      </c>
      <c r="I12" s="34">
        <v>8235</v>
      </c>
      <c r="J12" s="22">
        <v>7137</v>
      </c>
      <c r="K12" s="23">
        <f t="shared" si="1"/>
        <v>41175</v>
      </c>
      <c r="L12" s="23">
        <f t="shared" si="2"/>
        <v>77958</v>
      </c>
    </row>
    <row r="13" spans="1:12">
      <c r="A13" s="1" t="s">
        <v>1</v>
      </c>
      <c r="B13" s="6" t="s">
        <v>27</v>
      </c>
      <c r="C13" s="36">
        <v>2412</v>
      </c>
      <c r="D13" s="50">
        <v>0</v>
      </c>
      <c r="E13" s="8">
        <f t="shared" si="0"/>
        <v>2412</v>
      </c>
      <c r="F13" s="35">
        <v>576</v>
      </c>
      <c r="G13" s="36">
        <v>540</v>
      </c>
      <c r="H13" s="36">
        <v>576</v>
      </c>
      <c r="I13" s="36">
        <v>540</v>
      </c>
      <c r="J13" s="7">
        <v>468</v>
      </c>
      <c r="K13" s="8">
        <f t="shared" si="1"/>
        <v>2700</v>
      </c>
      <c r="L13" s="8">
        <f t="shared" si="2"/>
        <v>5112</v>
      </c>
    </row>
    <row r="14" spans="1:12">
      <c r="A14" s="1" t="s">
        <v>1</v>
      </c>
      <c r="B14" s="13" t="s">
        <v>28</v>
      </c>
      <c r="C14" s="38">
        <v>338685</v>
      </c>
      <c r="D14" s="51">
        <v>0</v>
      </c>
      <c r="E14" s="15">
        <f t="shared" si="0"/>
        <v>338685</v>
      </c>
      <c r="F14" s="37">
        <v>81744</v>
      </c>
      <c r="G14" s="38">
        <v>75825</v>
      </c>
      <c r="H14" s="38">
        <v>80880</v>
      </c>
      <c r="I14" s="38">
        <v>75825</v>
      </c>
      <c r="J14" s="14">
        <v>65715</v>
      </c>
      <c r="K14" s="15">
        <f t="shared" si="1"/>
        <v>379989</v>
      </c>
      <c r="L14" s="15">
        <f t="shared" si="2"/>
        <v>718674</v>
      </c>
    </row>
    <row r="15" spans="1:12">
      <c r="A15" s="1" t="s">
        <v>1</v>
      </c>
      <c r="B15" s="13" t="s">
        <v>29</v>
      </c>
      <c r="C15" s="38">
        <v>27663</v>
      </c>
      <c r="D15" s="51">
        <v>0</v>
      </c>
      <c r="E15" s="15">
        <f t="shared" si="0"/>
        <v>27663</v>
      </c>
      <c r="F15" s="37">
        <v>5007</v>
      </c>
      <c r="G15" s="38">
        <v>4645</v>
      </c>
      <c r="H15" s="38">
        <v>6606</v>
      </c>
      <c r="I15" s="38">
        <v>3096</v>
      </c>
      <c r="J15" s="14">
        <v>2683</v>
      </c>
      <c r="K15" s="15">
        <f t="shared" si="1"/>
        <v>22037</v>
      </c>
      <c r="L15" s="15">
        <f t="shared" si="2"/>
        <v>49700</v>
      </c>
    </row>
    <row r="16" spans="1:12">
      <c r="A16" s="1" t="s">
        <v>1</v>
      </c>
      <c r="B16" s="13" t="s">
        <v>30</v>
      </c>
      <c r="C16" s="38">
        <v>63315</v>
      </c>
      <c r="D16" s="51">
        <v>0</v>
      </c>
      <c r="E16" s="15">
        <f t="shared" si="0"/>
        <v>63315</v>
      </c>
      <c r="F16" s="37">
        <v>14256</v>
      </c>
      <c r="G16" s="38">
        <v>14175</v>
      </c>
      <c r="H16" s="38">
        <v>15120</v>
      </c>
      <c r="I16" s="38">
        <v>14175</v>
      </c>
      <c r="J16" s="14">
        <v>12285</v>
      </c>
      <c r="K16" s="15">
        <f t="shared" si="1"/>
        <v>70011</v>
      </c>
      <c r="L16" s="15">
        <f t="shared" si="2"/>
        <v>133326</v>
      </c>
    </row>
    <row r="17" spans="1:12">
      <c r="A17" s="1" t="s">
        <v>1</v>
      </c>
      <c r="B17" s="13" t="s">
        <v>31</v>
      </c>
      <c r="C17" s="38">
        <v>90978</v>
      </c>
      <c r="D17" s="51">
        <v>0</v>
      </c>
      <c r="E17" s="15">
        <f t="shared" si="0"/>
        <v>90978</v>
      </c>
      <c r="F17" s="37">
        <v>19263</v>
      </c>
      <c r="G17" s="38">
        <v>18820</v>
      </c>
      <c r="H17" s="38">
        <v>21726</v>
      </c>
      <c r="I17" s="38">
        <v>17271</v>
      </c>
      <c r="J17" s="14">
        <v>14968</v>
      </c>
      <c r="K17" s="15">
        <f t="shared" si="1"/>
        <v>92048</v>
      </c>
      <c r="L17" s="15">
        <f t="shared" si="2"/>
        <v>183026</v>
      </c>
    </row>
    <row r="18" spans="1:12">
      <c r="A18" s="1" t="s">
        <v>1</v>
      </c>
      <c r="B18" s="13" t="s">
        <v>32</v>
      </c>
      <c r="C18" s="38">
        <v>29375</v>
      </c>
      <c r="D18" s="51">
        <v>490</v>
      </c>
      <c r="E18" s="15">
        <f t="shared" si="0"/>
        <v>29865</v>
      </c>
      <c r="F18" s="37">
        <v>13885</v>
      </c>
      <c r="G18" s="38">
        <v>18214</v>
      </c>
      <c r="H18" s="38">
        <v>109287</v>
      </c>
      <c r="I18" s="38">
        <v>71455</v>
      </c>
      <c r="J18" s="14">
        <v>13192</v>
      </c>
      <c r="K18" s="15">
        <f t="shared" si="1"/>
        <v>226033</v>
      </c>
      <c r="L18" s="15">
        <f t="shared" si="2"/>
        <v>255898</v>
      </c>
    </row>
    <row r="19" spans="1:12">
      <c r="A19" s="1" t="s">
        <v>1</v>
      </c>
      <c r="B19" s="13" t="s">
        <v>33</v>
      </c>
      <c r="C19" s="38">
        <v>340397</v>
      </c>
      <c r="D19" s="51">
        <v>490</v>
      </c>
      <c r="E19" s="15">
        <f t="shared" si="0"/>
        <v>340887</v>
      </c>
      <c r="F19" s="37">
        <v>90622</v>
      </c>
      <c r="G19" s="38">
        <v>89394</v>
      </c>
      <c r="H19" s="38">
        <v>183561</v>
      </c>
      <c r="I19" s="38">
        <v>144184</v>
      </c>
      <c r="J19" s="14">
        <v>76224</v>
      </c>
      <c r="K19" s="15">
        <f t="shared" si="1"/>
        <v>583985</v>
      </c>
      <c r="L19" s="15">
        <f t="shared" si="2"/>
        <v>924872</v>
      </c>
    </row>
    <row r="20" spans="1:12">
      <c r="A20" s="1" t="s">
        <v>1</v>
      </c>
      <c r="B20" s="13" t="s">
        <v>34</v>
      </c>
      <c r="C20" s="38">
        <v>340397</v>
      </c>
      <c r="D20" s="51">
        <v>490</v>
      </c>
      <c r="E20" s="15">
        <f t="shared" si="0"/>
        <v>340887</v>
      </c>
      <c r="F20" s="37">
        <v>90622</v>
      </c>
      <c r="G20" s="38">
        <v>89394</v>
      </c>
      <c r="H20" s="38">
        <v>183561</v>
      </c>
      <c r="I20" s="38">
        <v>144184</v>
      </c>
      <c r="J20" s="14">
        <v>76224</v>
      </c>
      <c r="K20" s="15">
        <f t="shared" si="1"/>
        <v>583985</v>
      </c>
      <c r="L20" s="15">
        <f t="shared" si="2"/>
        <v>924872</v>
      </c>
    </row>
    <row r="21" spans="1:12">
      <c r="A21" s="1" t="s">
        <v>1</v>
      </c>
      <c r="B21" s="13" t="s">
        <v>35</v>
      </c>
      <c r="C21" s="38">
        <v>0</v>
      </c>
      <c r="D21" s="51">
        <v>0</v>
      </c>
      <c r="E21" s="15"/>
      <c r="F21" s="37">
        <v>0</v>
      </c>
      <c r="G21" s="38">
        <v>1</v>
      </c>
      <c r="H21" s="38">
        <v>0</v>
      </c>
      <c r="I21" s="38">
        <v>1</v>
      </c>
      <c r="J21" s="14">
        <v>0</v>
      </c>
      <c r="K21" s="15"/>
      <c r="L21" s="15"/>
    </row>
    <row r="22" spans="1:12">
      <c r="A22" s="1" t="s">
        <v>1</v>
      </c>
      <c r="B22" s="13" t="s">
        <v>36</v>
      </c>
      <c r="C22" s="42">
        <v>8.1679999999999993</v>
      </c>
      <c r="D22" s="53">
        <v>4.0839999999999996</v>
      </c>
      <c r="E22" s="17"/>
      <c r="F22" s="41">
        <v>6.1260000000000003</v>
      </c>
      <c r="G22" s="42">
        <v>6.1260000000000003</v>
      </c>
      <c r="H22" s="42">
        <v>8.1679999999999993</v>
      </c>
      <c r="I22" s="42">
        <v>4.0839999999999996</v>
      </c>
      <c r="J22" s="16">
        <v>4.0839999999999996</v>
      </c>
      <c r="K22" s="17"/>
      <c r="L22" s="17"/>
    </row>
    <row r="23" spans="1:12" ht="19.5" thickBot="1">
      <c r="A23" s="1" t="s">
        <v>1</v>
      </c>
      <c r="B23" s="9" t="s">
        <v>37</v>
      </c>
      <c r="C23" s="45"/>
      <c r="D23" s="54">
        <v>84133</v>
      </c>
      <c r="E23" s="11"/>
      <c r="F23" s="43">
        <v>293588</v>
      </c>
      <c r="G23" s="44">
        <v>282112</v>
      </c>
      <c r="H23" s="44">
        <v>326075</v>
      </c>
      <c r="I23" s="44">
        <v>281142</v>
      </c>
      <c r="J23" s="10">
        <v>225094</v>
      </c>
      <c r="K23" s="11"/>
      <c r="L23" s="11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冬季賞与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2023-12-16T06:16:42Z</cp:lastPrinted>
  <dcterms:created xsi:type="dcterms:W3CDTF">2023-12-16T00:53:17Z</dcterms:created>
  <dcterms:modified xsi:type="dcterms:W3CDTF">2023-12-18T02:14:30Z</dcterms:modified>
</cp:coreProperties>
</file>