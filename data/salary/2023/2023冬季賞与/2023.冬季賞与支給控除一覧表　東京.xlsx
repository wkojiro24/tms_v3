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01給与計算関係\弥生給与明細\2023年度\2023.冬季賞与\"/>
    </mc:Choice>
  </mc:AlternateContent>
  <xr:revisionPtr revIDLastSave="0" documentId="13_ncr:1_{763B056C-F77E-400B-BFAF-1904FF82CADD}" xr6:coauthVersionLast="47" xr6:coauthVersionMax="47" xr10:uidLastSave="{00000000-0000-0000-0000-000000000000}"/>
  <bookViews>
    <workbookView xWindow="-120" yWindow="-120" windowWidth="20730" windowHeight="11160" xr2:uid="{4B37CBFD-167E-4CB4-9378-FC45053E8E86}"/>
  </bookViews>
  <sheets>
    <sheet name="冬季賞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2" l="1"/>
  <c r="M13" i="2"/>
  <c r="M17" i="2"/>
  <c r="M21" i="2"/>
  <c r="L6" i="2"/>
  <c r="M6" i="2" s="1"/>
  <c r="L7" i="2"/>
  <c r="M7" i="2" s="1"/>
  <c r="L8" i="2"/>
  <c r="M8" i="2" s="1"/>
  <c r="L9" i="2"/>
  <c r="L10" i="2"/>
  <c r="M10" i="2" s="1"/>
  <c r="L11" i="2"/>
  <c r="M11" i="2" s="1"/>
  <c r="L12" i="2"/>
  <c r="M12" i="2" s="1"/>
  <c r="L13" i="2"/>
  <c r="L14" i="2"/>
  <c r="M14" i="2" s="1"/>
  <c r="L15" i="2"/>
  <c r="M15" i="2" s="1"/>
  <c r="L16" i="2"/>
  <c r="M16" i="2" s="1"/>
  <c r="L17" i="2"/>
  <c r="L18" i="2"/>
  <c r="M18" i="2" s="1"/>
  <c r="L19" i="2"/>
  <c r="M19" i="2" s="1"/>
  <c r="L20" i="2"/>
  <c r="M20" i="2" s="1"/>
  <c r="L21" i="2"/>
  <c r="L5" i="2"/>
  <c r="M5" i="2" s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5" i="2"/>
</calcChain>
</file>

<file path=xl/sharedStrings.xml><?xml version="1.0" encoding="utf-8"?>
<sst xmlns="http://schemas.openxmlformats.org/spreadsheetml/2006/main" count="65" uniqueCount="45">
  <si>
    <t>賞与支給控除一覧表</t>
    <phoneticPr fontId="4"/>
  </si>
  <si>
    <t/>
  </si>
  <si>
    <t>冬季賞与</t>
    <phoneticPr fontId="4"/>
  </si>
  <si>
    <t>1011</t>
    <phoneticPr fontId="4"/>
  </si>
  <si>
    <t>1025</t>
    <phoneticPr fontId="4"/>
  </si>
  <si>
    <t>1029</t>
    <phoneticPr fontId="4"/>
  </si>
  <si>
    <t>1030</t>
    <phoneticPr fontId="4"/>
  </si>
  <si>
    <t>1033</t>
    <phoneticPr fontId="4"/>
  </si>
  <si>
    <t>1052</t>
    <phoneticPr fontId="4"/>
  </si>
  <si>
    <t>1054</t>
    <phoneticPr fontId="4"/>
  </si>
  <si>
    <t>1060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</si>
  <si>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</si>
  <si>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</si>
  <si>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</si>
  <si>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</si>
  <si>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</si>
  <si>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新治　泰子</t>
    <phoneticPr fontId="4"/>
  </si>
  <si>
    <t>銅谷　和久</t>
    <phoneticPr fontId="4"/>
  </si>
  <si>
    <t>土屋　勝三</t>
    <phoneticPr fontId="4"/>
  </si>
  <si>
    <t>本間　裕康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</si>
  <si>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</si>
  <si>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</si>
  <si>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</si>
  <si>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</si>
  <si>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</si>
  <si>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</si>
  <si>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</si>
  <si>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</si>
  <si>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</si>
  <si>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</si>
  <si>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</si>
  <si>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</si>
  <si>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</si>
  <si>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</si>
  <si>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</si>
  <si>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</si>
  <si>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差引支給合計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</si>
  <si>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</si>
  <si>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</si>
  <si>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</si>
  <si>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</si>
  <si>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</si>
  <si>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</si>
  <si>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６名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</si>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</sst>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0" xfId="1" applyFont="1" applyBorder="1"/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 applyBorder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176" fontId="2" fillId="0" borderId="7" xfId="1" applyNumberFormat="1" applyFont="1" applyBorder="1"/>
    <xf numFmtId="176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176" fontId="2" fillId="0" borderId="33" xfId="1" applyNumberFormat="1" applyFont="1" applyBorder="1"/>
    <xf numFmtId="3" fontId="2" fillId="0" borderId="29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2DE6E4A0-4156-42F8-9E58-E8945F82C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C652-DC62-441C-86ED-5F55668154C3}">
  <dimension ref="A1:M2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J5" sqref="J5"/>
    </sheetView>
  </sheetViews>
  <sheetFormatPr defaultRowHeight="18.75"/>
  <cols>
    <col min="1" max="1" width="2.375" style="2" customWidth="1"/>
    <col min="2" max="2" width="13.25" style="2" bestFit="1" customWidth="1"/>
    <col min="3" max="13" width="11.7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 bestFit="1"/>
    <col min="264" max="267" width="11.125" style="2" bestFit="1" customWidth="1"/>
    <col min="268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 bestFit="1"/>
    <col min="520" max="523" width="11.125" style="2" bestFit="1" customWidth="1"/>
    <col min="524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 bestFit="1"/>
    <col min="776" max="779" width="11.1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 bestFit="1"/>
    <col min="1032" max="1035" width="11.1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 bestFit="1"/>
    <col min="1288" max="1291" width="11.1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 bestFit="1"/>
    <col min="1544" max="1547" width="11.1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 bestFit="1"/>
    <col min="1800" max="1803" width="11.1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 bestFit="1"/>
    <col min="2056" max="2059" width="11.1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 bestFit="1"/>
    <col min="2312" max="2315" width="11.1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 bestFit="1"/>
    <col min="2568" max="2571" width="11.1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 bestFit="1"/>
    <col min="2824" max="2827" width="11.1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 bestFit="1"/>
    <col min="3080" max="3083" width="11.1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 bestFit="1"/>
    <col min="3336" max="3339" width="11.1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 bestFit="1"/>
    <col min="3592" max="3595" width="11.1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 bestFit="1"/>
    <col min="3848" max="3851" width="11.1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 bestFit="1"/>
    <col min="4104" max="4107" width="11.1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 bestFit="1"/>
    <col min="4360" max="4363" width="11.1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 bestFit="1"/>
    <col min="4616" max="4619" width="11.1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 bestFit="1"/>
    <col min="4872" max="4875" width="11.1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 bestFit="1"/>
    <col min="5128" max="5131" width="11.1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 bestFit="1"/>
    <col min="5384" max="5387" width="11.1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 bestFit="1"/>
    <col min="5640" max="5643" width="11.1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 bestFit="1"/>
    <col min="5896" max="5899" width="11.1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 bestFit="1"/>
    <col min="6152" max="6155" width="11.1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 bestFit="1"/>
    <col min="6408" max="6411" width="11.1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 bestFit="1"/>
    <col min="6664" max="6667" width="11.1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 bestFit="1"/>
    <col min="6920" max="6923" width="11.1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 bestFit="1"/>
    <col min="7176" max="7179" width="11.1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 bestFit="1"/>
    <col min="7432" max="7435" width="11.1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 bestFit="1"/>
    <col min="7688" max="7691" width="11.1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 bestFit="1"/>
    <col min="7944" max="7947" width="11.1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 bestFit="1"/>
    <col min="8200" max="8203" width="11.1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 bestFit="1"/>
    <col min="8456" max="8459" width="11.1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 bestFit="1"/>
    <col min="8712" max="8715" width="11.1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 bestFit="1"/>
    <col min="8968" max="8971" width="11.1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 bestFit="1"/>
    <col min="9224" max="9227" width="11.1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 bestFit="1"/>
    <col min="9480" max="9483" width="11.1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 bestFit="1"/>
    <col min="9736" max="9739" width="11.1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 bestFit="1"/>
    <col min="9992" max="9995" width="11.1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 bestFit="1"/>
    <col min="10248" max="10251" width="11.1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 bestFit="1"/>
    <col min="10504" max="10507" width="11.1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 bestFit="1"/>
    <col min="10760" max="10763" width="11.1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 bestFit="1"/>
    <col min="11016" max="11019" width="11.1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 bestFit="1"/>
    <col min="11272" max="11275" width="11.1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 bestFit="1"/>
    <col min="11528" max="11531" width="11.1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 bestFit="1"/>
    <col min="11784" max="11787" width="11.1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 bestFit="1"/>
    <col min="12040" max="12043" width="11.1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 bestFit="1"/>
    <col min="12296" max="12299" width="11.1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 bestFit="1"/>
    <col min="12552" max="12555" width="11.1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 bestFit="1"/>
    <col min="12808" max="12811" width="11.1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 bestFit="1"/>
    <col min="13064" max="13067" width="11.1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 bestFit="1"/>
    <col min="13320" max="13323" width="11.1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 bestFit="1"/>
    <col min="13576" max="13579" width="11.1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 bestFit="1"/>
    <col min="13832" max="13835" width="11.1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 bestFit="1"/>
    <col min="14088" max="14091" width="11.1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 bestFit="1"/>
    <col min="14344" max="14347" width="11.1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 bestFit="1"/>
    <col min="14600" max="14603" width="11.1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 bestFit="1"/>
    <col min="14856" max="14859" width="11.1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 bestFit="1"/>
    <col min="15112" max="15115" width="11.1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 bestFit="1"/>
    <col min="15368" max="15371" width="11.1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 bestFit="1"/>
    <col min="15624" max="15627" width="11.1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 bestFit="1"/>
    <col min="15880" max="15883" width="11.1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 bestFit="1"/>
    <col min="16136" max="16139" width="11.125" style="2" bestFit="1" customWidth="1"/>
    <col min="16140" max="16384" width="9" style="2"/>
  </cols>
  <sheetData>
    <row r="1" spans="1:13">
      <c r="A1" s="1" t="s">
        <v>0</v>
      </c>
    </row>
    <row r="2" spans="1:13" ht="19.5" thickBot="1">
      <c r="A2" s="1" t="s">
        <v>2</v>
      </c>
    </row>
    <row r="3" spans="1:13">
      <c r="B3" s="13"/>
      <c r="C3" s="29" t="s">
        <v>5</v>
      </c>
      <c r="D3" s="46" t="s">
        <v>7</v>
      </c>
      <c r="E3" s="55" t="s">
        <v>41</v>
      </c>
      <c r="F3" s="28" t="s">
        <v>3</v>
      </c>
      <c r="G3" s="29" t="s">
        <v>4</v>
      </c>
      <c r="H3" s="29" t="s">
        <v>6</v>
      </c>
      <c r="I3" s="29" t="s">
        <v>8</v>
      </c>
      <c r="J3" s="29" t="s">
        <v>9</v>
      </c>
      <c r="K3" s="5" t="s">
        <v>10</v>
      </c>
      <c r="L3" s="55" t="s">
        <v>41</v>
      </c>
      <c r="M3" s="57" t="s">
        <v>20</v>
      </c>
    </row>
    <row r="4" spans="1:13" ht="19.5" thickBot="1">
      <c r="A4" s="4"/>
      <c r="B4" s="6" t="s">
        <v>11</v>
      </c>
      <c r="C4" s="31" t="s">
        <v>14</v>
      </c>
      <c r="D4" s="47" t="s">
        <v>16</v>
      </c>
      <c r="E4" s="56" t="s">
        <v>42</v>
      </c>
      <c r="F4" s="30" t="s">
        <v>12</v>
      </c>
      <c r="G4" s="31" t="s">
        <v>13</v>
      </c>
      <c r="H4" s="31" t="s">
        <v>15</v>
      </c>
      <c r="I4" s="31" t="s">
        <v>17</v>
      </c>
      <c r="J4" s="31" t="s">
        <v>18</v>
      </c>
      <c r="K4" s="3" t="s">
        <v>19</v>
      </c>
      <c r="L4" s="56" t="s">
        <v>43</v>
      </c>
      <c r="M4" s="6" t="s">
        <v>44</v>
      </c>
    </row>
    <row r="5" spans="1:13">
      <c r="A5" s="1" t="s">
        <v>1</v>
      </c>
      <c r="B5" s="25" t="s">
        <v>21</v>
      </c>
      <c r="C5" s="33">
        <v>387000</v>
      </c>
      <c r="D5" s="48">
        <v>0</v>
      </c>
      <c r="E5" s="27">
        <f>SUM(C5:D5)</f>
        <v>387000</v>
      </c>
      <c r="F5" s="32">
        <v>63000</v>
      </c>
      <c r="G5" s="33">
        <v>88000</v>
      </c>
      <c r="H5" s="33">
        <v>63000</v>
      </c>
      <c r="I5" s="33">
        <v>61740</v>
      </c>
      <c r="J5" s="33">
        <v>63000</v>
      </c>
      <c r="K5" s="26">
        <v>56000</v>
      </c>
      <c r="L5" s="27">
        <f>SUM(F5:K5)</f>
        <v>394740</v>
      </c>
      <c r="M5" s="27">
        <f>SUM(L5,E5)</f>
        <v>781740</v>
      </c>
    </row>
    <row r="6" spans="1:13">
      <c r="A6" s="1" t="s">
        <v>1</v>
      </c>
      <c r="B6" s="22" t="s">
        <v>22</v>
      </c>
      <c r="C6" s="35">
        <v>0</v>
      </c>
      <c r="D6" s="49">
        <v>0</v>
      </c>
      <c r="E6" s="24">
        <f t="shared" ref="E6:E21" si="0">SUM(C6:D6)</f>
        <v>0</v>
      </c>
      <c r="F6" s="34">
        <v>0</v>
      </c>
      <c r="G6" s="35">
        <v>15000</v>
      </c>
      <c r="H6" s="35">
        <v>0</v>
      </c>
      <c r="I6" s="35">
        <v>0</v>
      </c>
      <c r="J6" s="35">
        <v>0</v>
      </c>
      <c r="K6" s="23">
        <v>0</v>
      </c>
      <c r="L6" s="24">
        <f t="shared" ref="L6:L21" si="1">SUM(F6:K6)</f>
        <v>15000</v>
      </c>
      <c r="M6" s="24">
        <f t="shared" ref="M6:M21" si="2">SUM(L6,E6)</f>
        <v>15000</v>
      </c>
    </row>
    <row r="7" spans="1:13">
      <c r="A7" s="1" t="s">
        <v>1</v>
      </c>
      <c r="B7" s="22" t="s">
        <v>23</v>
      </c>
      <c r="C7" s="35">
        <v>0</v>
      </c>
      <c r="D7" s="49">
        <v>0</v>
      </c>
      <c r="E7" s="24">
        <f t="shared" si="0"/>
        <v>0</v>
      </c>
      <c r="F7" s="34">
        <v>6000</v>
      </c>
      <c r="G7" s="35">
        <v>0</v>
      </c>
      <c r="H7" s="35">
        <v>3000</v>
      </c>
      <c r="I7" s="35">
        <v>0</v>
      </c>
      <c r="J7" s="35">
        <v>0</v>
      </c>
      <c r="K7" s="23">
        <v>0</v>
      </c>
      <c r="L7" s="24">
        <f t="shared" si="1"/>
        <v>9000</v>
      </c>
      <c r="M7" s="24">
        <f t="shared" si="2"/>
        <v>9000</v>
      </c>
    </row>
    <row r="8" spans="1:13">
      <c r="A8" s="1" t="s">
        <v>1</v>
      </c>
      <c r="B8" s="7" t="s">
        <v>24</v>
      </c>
      <c r="C8" s="37">
        <v>15000</v>
      </c>
      <c r="D8" s="50">
        <v>0</v>
      </c>
      <c r="E8" s="9">
        <f t="shared" si="0"/>
        <v>15000</v>
      </c>
      <c r="F8" s="36">
        <v>15000</v>
      </c>
      <c r="G8" s="37">
        <v>15000</v>
      </c>
      <c r="H8" s="37">
        <v>15000</v>
      </c>
      <c r="I8" s="37">
        <v>15000</v>
      </c>
      <c r="J8" s="37">
        <v>15000</v>
      </c>
      <c r="K8" s="8">
        <v>15000</v>
      </c>
      <c r="L8" s="9">
        <f t="shared" si="1"/>
        <v>90000</v>
      </c>
      <c r="M8" s="9">
        <f t="shared" si="2"/>
        <v>105000</v>
      </c>
    </row>
    <row r="9" spans="1:13">
      <c r="A9" s="1" t="s">
        <v>1</v>
      </c>
      <c r="B9" s="14" t="s">
        <v>25</v>
      </c>
      <c r="C9" s="39">
        <v>402000</v>
      </c>
      <c r="D9" s="51">
        <v>0</v>
      </c>
      <c r="E9" s="16">
        <f t="shared" si="0"/>
        <v>402000</v>
      </c>
      <c r="F9" s="38">
        <v>84000</v>
      </c>
      <c r="G9" s="39">
        <v>118000</v>
      </c>
      <c r="H9" s="39">
        <v>81000</v>
      </c>
      <c r="I9" s="39">
        <v>76740</v>
      </c>
      <c r="J9" s="39">
        <v>78000</v>
      </c>
      <c r="K9" s="15">
        <v>71000</v>
      </c>
      <c r="L9" s="16">
        <f t="shared" si="1"/>
        <v>508740</v>
      </c>
      <c r="M9" s="16">
        <f t="shared" si="2"/>
        <v>910740</v>
      </c>
    </row>
    <row r="10" spans="1:13">
      <c r="A10" s="1" t="s">
        <v>1</v>
      </c>
      <c r="B10" s="14" t="s">
        <v>26</v>
      </c>
      <c r="C10" s="39">
        <v>402000</v>
      </c>
      <c r="D10" s="51">
        <v>0</v>
      </c>
      <c r="E10" s="16">
        <f t="shared" si="0"/>
        <v>402000</v>
      </c>
      <c r="F10" s="38">
        <v>84000</v>
      </c>
      <c r="G10" s="39">
        <v>118000</v>
      </c>
      <c r="H10" s="39">
        <v>81000</v>
      </c>
      <c r="I10" s="39">
        <v>76740</v>
      </c>
      <c r="J10" s="39">
        <v>78000</v>
      </c>
      <c r="K10" s="15">
        <v>71000</v>
      </c>
      <c r="L10" s="16">
        <f t="shared" si="1"/>
        <v>508740</v>
      </c>
      <c r="M10" s="16">
        <f t="shared" si="2"/>
        <v>910740</v>
      </c>
    </row>
    <row r="11" spans="1:13">
      <c r="A11" s="1" t="s">
        <v>1</v>
      </c>
      <c r="B11" s="19" t="s">
        <v>27</v>
      </c>
      <c r="C11" s="41">
        <v>20502</v>
      </c>
      <c r="D11" s="52">
        <v>0</v>
      </c>
      <c r="E11" s="21">
        <f t="shared" si="0"/>
        <v>20502</v>
      </c>
      <c r="F11" s="40">
        <v>4284</v>
      </c>
      <c r="G11" s="41">
        <v>6018</v>
      </c>
      <c r="H11" s="41">
        <v>4131</v>
      </c>
      <c r="I11" s="41">
        <v>3876</v>
      </c>
      <c r="J11" s="41">
        <v>3978</v>
      </c>
      <c r="K11" s="20">
        <v>3621</v>
      </c>
      <c r="L11" s="21">
        <f t="shared" si="1"/>
        <v>25908</v>
      </c>
      <c r="M11" s="21">
        <f t="shared" si="2"/>
        <v>46410</v>
      </c>
    </row>
    <row r="12" spans="1:13">
      <c r="A12" s="1" t="s">
        <v>1</v>
      </c>
      <c r="B12" s="22" t="s">
        <v>28</v>
      </c>
      <c r="C12" s="35">
        <v>3618</v>
      </c>
      <c r="D12" s="49">
        <v>0</v>
      </c>
      <c r="E12" s="24">
        <f t="shared" si="0"/>
        <v>3618</v>
      </c>
      <c r="F12" s="34">
        <v>756</v>
      </c>
      <c r="G12" s="35">
        <v>1062</v>
      </c>
      <c r="H12" s="35">
        <v>729</v>
      </c>
      <c r="I12" s="35">
        <v>684</v>
      </c>
      <c r="J12" s="35">
        <v>702</v>
      </c>
      <c r="K12" s="23">
        <v>639</v>
      </c>
      <c r="L12" s="24">
        <f t="shared" si="1"/>
        <v>4572</v>
      </c>
      <c r="M12" s="24">
        <f t="shared" si="2"/>
        <v>8190</v>
      </c>
    </row>
    <row r="13" spans="1:13">
      <c r="A13" s="1" t="s">
        <v>1</v>
      </c>
      <c r="B13" s="22" t="s">
        <v>29</v>
      </c>
      <c r="C13" s="35">
        <v>36783</v>
      </c>
      <c r="D13" s="49">
        <v>0</v>
      </c>
      <c r="E13" s="24">
        <f t="shared" si="0"/>
        <v>36783</v>
      </c>
      <c r="F13" s="34">
        <v>7686</v>
      </c>
      <c r="G13" s="35">
        <v>10797</v>
      </c>
      <c r="H13" s="35">
        <v>7411</v>
      </c>
      <c r="I13" s="35">
        <v>6954</v>
      </c>
      <c r="J13" s="35">
        <v>7137</v>
      </c>
      <c r="K13" s="23">
        <v>6496</v>
      </c>
      <c r="L13" s="24">
        <f t="shared" si="1"/>
        <v>46481</v>
      </c>
      <c r="M13" s="24">
        <f t="shared" si="2"/>
        <v>83264</v>
      </c>
    </row>
    <row r="14" spans="1:13">
      <c r="A14" s="1" t="s">
        <v>1</v>
      </c>
      <c r="B14" s="7" t="s">
        <v>30</v>
      </c>
      <c r="C14" s="37">
        <v>2412</v>
      </c>
      <c r="D14" s="50">
        <v>0</v>
      </c>
      <c r="E14" s="9">
        <f t="shared" si="0"/>
        <v>2412</v>
      </c>
      <c r="F14" s="36">
        <v>504</v>
      </c>
      <c r="G14" s="37">
        <v>708</v>
      </c>
      <c r="H14" s="37">
        <v>486</v>
      </c>
      <c r="I14" s="37">
        <v>460</v>
      </c>
      <c r="J14" s="37">
        <v>468</v>
      </c>
      <c r="K14" s="8">
        <v>426</v>
      </c>
      <c r="L14" s="9">
        <f t="shared" si="1"/>
        <v>3052</v>
      </c>
      <c r="M14" s="9">
        <f t="shared" si="2"/>
        <v>5464</v>
      </c>
    </row>
    <row r="15" spans="1:13">
      <c r="A15" s="1" t="s">
        <v>1</v>
      </c>
      <c r="B15" s="14" t="s">
        <v>31</v>
      </c>
      <c r="C15" s="39">
        <v>338685</v>
      </c>
      <c r="D15" s="51">
        <v>0</v>
      </c>
      <c r="E15" s="16">
        <f t="shared" si="0"/>
        <v>338685</v>
      </c>
      <c r="F15" s="38">
        <v>70770</v>
      </c>
      <c r="G15" s="39">
        <v>99415</v>
      </c>
      <c r="H15" s="39">
        <v>68243</v>
      </c>
      <c r="I15" s="39">
        <v>64766</v>
      </c>
      <c r="J15" s="39">
        <v>65715</v>
      </c>
      <c r="K15" s="15">
        <v>59818</v>
      </c>
      <c r="L15" s="16">
        <f t="shared" si="1"/>
        <v>428727</v>
      </c>
      <c r="M15" s="16">
        <f t="shared" si="2"/>
        <v>767412</v>
      </c>
    </row>
    <row r="16" spans="1:13">
      <c r="A16" s="1" t="s">
        <v>1</v>
      </c>
      <c r="B16" s="14" t="s">
        <v>32</v>
      </c>
      <c r="C16" s="39">
        <v>20747</v>
      </c>
      <c r="D16" s="51">
        <v>0</v>
      </c>
      <c r="E16" s="16">
        <f t="shared" si="0"/>
        <v>20747</v>
      </c>
      <c r="F16" s="38">
        <v>4335</v>
      </c>
      <c r="G16" s="39">
        <v>12180</v>
      </c>
      <c r="H16" s="39">
        <v>4180</v>
      </c>
      <c r="I16" s="39">
        <v>3967</v>
      </c>
      <c r="J16" s="39">
        <v>5367</v>
      </c>
      <c r="K16" s="15">
        <v>3664</v>
      </c>
      <c r="L16" s="16">
        <f t="shared" si="1"/>
        <v>33693</v>
      </c>
      <c r="M16" s="16">
        <f t="shared" si="2"/>
        <v>54440</v>
      </c>
    </row>
    <row r="17" spans="1:13">
      <c r="A17" s="1" t="s">
        <v>1</v>
      </c>
      <c r="B17" s="14" t="s">
        <v>33</v>
      </c>
      <c r="C17" s="39">
        <v>63315</v>
      </c>
      <c r="D17" s="51">
        <v>0</v>
      </c>
      <c r="E17" s="16">
        <f t="shared" si="0"/>
        <v>63315</v>
      </c>
      <c r="F17" s="38">
        <v>13230</v>
      </c>
      <c r="G17" s="39">
        <v>18585</v>
      </c>
      <c r="H17" s="39">
        <v>12757</v>
      </c>
      <c r="I17" s="39">
        <v>11974</v>
      </c>
      <c r="J17" s="39">
        <v>12285</v>
      </c>
      <c r="K17" s="15">
        <v>11182</v>
      </c>
      <c r="L17" s="16">
        <f t="shared" si="1"/>
        <v>80013</v>
      </c>
      <c r="M17" s="16">
        <f t="shared" si="2"/>
        <v>143328</v>
      </c>
    </row>
    <row r="18" spans="1:13">
      <c r="A18" s="1" t="s">
        <v>1</v>
      </c>
      <c r="B18" s="14" t="s">
        <v>34</v>
      </c>
      <c r="C18" s="39">
        <v>84062</v>
      </c>
      <c r="D18" s="51">
        <v>0</v>
      </c>
      <c r="E18" s="16">
        <f t="shared" si="0"/>
        <v>84062</v>
      </c>
      <c r="F18" s="38">
        <v>17565</v>
      </c>
      <c r="G18" s="39">
        <v>30765</v>
      </c>
      <c r="H18" s="39">
        <v>16937</v>
      </c>
      <c r="I18" s="39">
        <v>15941</v>
      </c>
      <c r="J18" s="39">
        <v>17652</v>
      </c>
      <c r="K18" s="15">
        <v>14846</v>
      </c>
      <c r="L18" s="16">
        <f t="shared" si="1"/>
        <v>113706</v>
      </c>
      <c r="M18" s="16">
        <f t="shared" si="2"/>
        <v>197768</v>
      </c>
    </row>
    <row r="19" spans="1:13">
      <c r="A19" s="1" t="s">
        <v>1</v>
      </c>
      <c r="B19" s="14" t="s">
        <v>35</v>
      </c>
      <c r="C19" s="39">
        <v>25083</v>
      </c>
      <c r="D19" s="51">
        <v>2790</v>
      </c>
      <c r="E19" s="16">
        <f t="shared" si="0"/>
        <v>27873</v>
      </c>
      <c r="F19" s="38">
        <v>15703</v>
      </c>
      <c r="G19" s="39">
        <v>29566</v>
      </c>
      <c r="H19" s="39">
        <v>12184</v>
      </c>
      <c r="I19" s="39">
        <v>12650</v>
      </c>
      <c r="J19" s="39">
        <v>29502</v>
      </c>
      <c r="K19" s="15">
        <v>108273</v>
      </c>
      <c r="L19" s="16">
        <f t="shared" si="1"/>
        <v>207878</v>
      </c>
      <c r="M19" s="16">
        <f t="shared" si="2"/>
        <v>235751</v>
      </c>
    </row>
    <row r="20" spans="1:13">
      <c r="A20" s="1" t="s">
        <v>1</v>
      </c>
      <c r="B20" s="14" t="s">
        <v>36</v>
      </c>
      <c r="C20" s="39">
        <v>343021</v>
      </c>
      <c r="D20" s="51">
        <v>2790</v>
      </c>
      <c r="E20" s="16">
        <f t="shared" si="0"/>
        <v>345811</v>
      </c>
      <c r="F20" s="38">
        <v>82138</v>
      </c>
      <c r="G20" s="39">
        <v>116801</v>
      </c>
      <c r="H20" s="39">
        <v>76247</v>
      </c>
      <c r="I20" s="39">
        <v>73449</v>
      </c>
      <c r="J20" s="39">
        <v>89850</v>
      </c>
      <c r="K20" s="15">
        <v>164427</v>
      </c>
      <c r="L20" s="16">
        <f t="shared" si="1"/>
        <v>602912</v>
      </c>
      <c r="M20" s="16">
        <f t="shared" si="2"/>
        <v>948723</v>
      </c>
    </row>
    <row r="21" spans="1:13">
      <c r="A21" s="1" t="s">
        <v>1</v>
      </c>
      <c r="B21" s="14" t="s">
        <v>37</v>
      </c>
      <c r="C21" s="39">
        <v>343021</v>
      </c>
      <c r="D21" s="51">
        <v>2790</v>
      </c>
      <c r="E21" s="16">
        <f t="shared" si="0"/>
        <v>345811</v>
      </c>
      <c r="F21" s="38">
        <v>82138</v>
      </c>
      <c r="G21" s="39">
        <v>116801</v>
      </c>
      <c r="H21" s="39">
        <v>76247</v>
      </c>
      <c r="I21" s="39">
        <v>73449</v>
      </c>
      <c r="J21" s="39">
        <v>89850</v>
      </c>
      <c r="K21" s="15">
        <v>164427</v>
      </c>
      <c r="L21" s="16">
        <f t="shared" si="1"/>
        <v>602912</v>
      </c>
      <c r="M21" s="16">
        <f t="shared" si="2"/>
        <v>948723</v>
      </c>
    </row>
    <row r="22" spans="1:13">
      <c r="A22" s="1" t="s">
        <v>1</v>
      </c>
      <c r="B22" s="14" t="s">
        <v>38</v>
      </c>
      <c r="C22" s="39">
        <v>2</v>
      </c>
      <c r="D22" s="51">
        <v>0</v>
      </c>
      <c r="E22" s="16"/>
      <c r="F22" s="38">
        <v>1</v>
      </c>
      <c r="G22" s="39">
        <v>0</v>
      </c>
      <c r="H22" s="39">
        <v>1</v>
      </c>
      <c r="I22" s="39">
        <v>2</v>
      </c>
      <c r="J22" s="39">
        <v>0</v>
      </c>
      <c r="K22" s="15">
        <v>2</v>
      </c>
      <c r="L22" s="16"/>
      <c r="M22" s="16"/>
    </row>
    <row r="23" spans="1:13">
      <c r="A23" s="1" t="s">
        <v>1</v>
      </c>
      <c r="B23" s="14" t="s">
        <v>39</v>
      </c>
      <c r="C23" s="43">
        <v>6.1260000000000003</v>
      </c>
      <c r="D23" s="53">
        <v>4.0839999999999996</v>
      </c>
      <c r="E23" s="18"/>
      <c r="F23" s="42">
        <v>6.1260000000000003</v>
      </c>
      <c r="G23" s="43">
        <v>12.252000000000001</v>
      </c>
      <c r="H23" s="43">
        <v>6.1260000000000003</v>
      </c>
      <c r="I23" s="43">
        <v>6.1260000000000003</v>
      </c>
      <c r="J23" s="43">
        <v>8.1679999999999993</v>
      </c>
      <c r="K23" s="17">
        <v>6.1260000000000003</v>
      </c>
      <c r="L23" s="18"/>
      <c r="M23" s="18"/>
    </row>
    <row r="24" spans="1:13" ht="19.5" thickBot="1">
      <c r="A24" s="1" t="s">
        <v>1</v>
      </c>
      <c r="B24" s="10" t="s">
        <v>40</v>
      </c>
      <c r="C24" s="45">
        <v>340376</v>
      </c>
      <c r="D24" s="54">
        <v>85856</v>
      </c>
      <c r="E24" s="12"/>
      <c r="F24" s="44">
        <v>309232</v>
      </c>
      <c r="G24" s="45">
        <v>364380</v>
      </c>
      <c r="H24" s="45">
        <v>324482</v>
      </c>
      <c r="I24" s="45">
        <v>319071</v>
      </c>
      <c r="J24" s="45">
        <v>323742</v>
      </c>
      <c r="K24" s="11">
        <v>317392</v>
      </c>
      <c r="L24" s="12"/>
      <c r="M24" s="12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冬季賞与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2023-12-16T06:31:18Z</cp:lastPrinted>
  <dcterms:created xsi:type="dcterms:W3CDTF">2023-12-16T00:50:11Z</dcterms:created>
  <dcterms:modified xsi:type="dcterms:W3CDTF">2023-12-16T06:31:25Z</dcterms:modified>
</cp:coreProperties>
</file>