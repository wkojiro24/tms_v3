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01給与計算関係\弥生給与明細\2023年度\2023.冬季賞与\"/>
    </mc:Choice>
  </mc:AlternateContent>
  <xr:revisionPtr revIDLastSave="0" documentId="13_ncr:1_{213E692D-8E65-4A9B-8D45-F7A4913AC34F}" xr6:coauthVersionLast="47" xr6:coauthVersionMax="47" xr10:uidLastSave="{00000000-0000-0000-0000-000000000000}"/>
  <bookViews>
    <workbookView xWindow="-120" yWindow="-120" windowWidth="20730" windowHeight="11160" activeTab="1" xr2:uid="{C07620D6-906F-4E1B-B4B3-9D5FBD6680D1}"/>
  </bookViews>
  <sheets>
    <sheet name="冬季賞与" sheetId="2" r:id="rId1"/>
    <sheet name="冬季賞与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3" l="1"/>
  <c r="J13" i="3"/>
  <c r="J17" i="3"/>
  <c r="J21" i="3"/>
  <c r="I6" i="3"/>
  <c r="J6" i="3" s="1"/>
  <c r="I7" i="3"/>
  <c r="J7" i="3" s="1"/>
  <c r="I8" i="3"/>
  <c r="J8" i="3" s="1"/>
  <c r="I9" i="3"/>
  <c r="I10" i="3"/>
  <c r="J10" i="3" s="1"/>
  <c r="I11" i="3"/>
  <c r="J11" i="3" s="1"/>
  <c r="I12" i="3"/>
  <c r="J12" i="3" s="1"/>
  <c r="I13" i="3"/>
  <c r="I14" i="3"/>
  <c r="J14" i="3" s="1"/>
  <c r="I15" i="3"/>
  <c r="J15" i="3" s="1"/>
  <c r="I16" i="3"/>
  <c r="J16" i="3" s="1"/>
  <c r="I17" i="3"/>
  <c r="I18" i="3"/>
  <c r="J18" i="3" s="1"/>
  <c r="I19" i="3"/>
  <c r="J19" i="3" s="1"/>
  <c r="I20" i="3"/>
  <c r="J20" i="3" s="1"/>
  <c r="I21" i="3"/>
  <c r="I5" i="3"/>
  <c r="J5" i="3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5" i="3"/>
</calcChain>
</file>

<file path=xl/sharedStrings.xml><?xml version="1.0" encoding="utf-8"?>
<sst xmlns="http://schemas.openxmlformats.org/spreadsheetml/2006/main" count="113" uniqueCount="39">
  <si>
    <t>賞与支給控除一覧表</t>
    <phoneticPr fontId="4"/>
  </si>
  <si>
    <t/>
  </si>
  <si>
    <t>冬季賞与</t>
    <phoneticPr fontId="4"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</si>
  <si>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</si>
  <si>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</si>
  <si>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</si>
  <si>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</si>
  <si>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</si>
  <si>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</si>
  <si>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</si>
  <si>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</si>
  <si>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</si>
  <si>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</si>
  <si>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</si>
  <si>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</si>
  <si>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</si>
  <si>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</si>
  <si>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</si>
  <si>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</si>
  <si>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</si>
  <si>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</si>
  <si>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</si>
  <si>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</si>
  <si>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</si>
  <si>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</si>
  <si>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</si>
  <si>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</si>
  <si>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</si>
  <si>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</si>
  <si>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</si>
  <si>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</si>
  <si>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</si>
  <si>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</si>
  <si>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</si>
  <si>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</si>
  <si>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</si>
  <si>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</si>
  <si>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３名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</si>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</sst>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176" fontId="2" fillId="0" borderId="8" xfId="1" applyNumberFormat="1" applyFont="1" applyBorder="1"/>
    <xf numFmtId="176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176" fontId="2" fillId="0" borderId="34" xfId="1" applyNumberFormat="1" applyFont="1" applyBorder="1"/>
    <xf numFmtId="3" fontId="2" fillId="0" borderId="30" xfId="1" applyNumberFormat="1" applyFont="1" applyBorder="1"/>
    <xf numFmtId="0" fontId="2" fillId="0" borderId="6" xfId="1" applyFont="1" applyBorder="1"/>
  </cellXfs>
  <cellStyles count="2">
    <cellStyle name="標準" xfId="0" builtinId="0"/>
    <cellStyle name="標準 2" xfId="1" xr:uid="{B102B50F-0001-4B82-ACAE-3EA85C210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88F3-F0B4-46FF-B0E7-8A22851F8176}">
  <dimension ref="A1:H24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L20" sqref="L20"/>
    </sheetView>
  </sheetViews>
  <sheetFormatPr defaultRowHeight="18.75"/>
  <cols>
    <col min="1" max="1" width="2.375" style="2" customWidth="1"/>
    <col min="2" max="2" width="13.25" style="2" bestFit="1" customWidth="1"/>
    <col min="3" max="8" width="13.375" style="2" customWidth="1"/>
    <col min="9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1" width="9" style="2" bestFit="1"/>
    <col min="262" max="263" width="11.125" style="2" bestFit="1" customWidth="1"/>
    <col min="264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7" width="9" style="2" bestFit="1"/>
    <col min="518" max="519" width="11.125" style="2" bestFit="1" customWidth="1"/>
    <col min="520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3" width="9" style="2" bestFit="1"/>
    <col min="774" max="775" width="11.125" style="2" bestFit="1" customWidth="1"/>
    <col min="776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29" width="9" style="2" bestFit="1"/>
    <col min="1030" max="1031" width="11.125" style="2" bestFit="1" customWidth="1"/>
    <col min="1032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5" width="9" style="2" bestFit="1"/>
    <col min="1286" max="1287" width="11.125" style="2" bestFit="1" customWidth="1"/>
    <col min="1288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1" width="9" style="2" bestFit="1"/>
    <col min="1542" max="1543" width="11.125" style="2" bestFit="1" customWidth="1"/>
    <col min="1544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7" width="9" style="2" bestFit="1"/>
    <col min="1798" max="1799" width="11.125" style="2" bestFit="1" customWidth="1"/>
    <col min="1800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3" width="9" style="2" bestFit="1"/>
    <col min="2054" max="2055" width="11.125" style="2" bestFit="1" customWidth="1"/>
    <col min="2056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09" width="9" style="2" bestFit="1"/>
    <col min="2310" max="2311" width="11.125" style="2" bestFit="1" customWidth="1"/>
    <col min="2312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5" width="9" style="2" bestFit="1"/>
    <col min="2566" max="2567" width="11.125" style="2" bestFit="1" customWidth="1"/>
    <col min="2568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1" width="9" style="2" bestFit="1"/>
    <col min="2822" max="2823" width="11.125" style="2" bestFit="1" customWidth="1"/>
    <col min="2824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7" width="9" style="2" bestFit="1"/>
    <col min="3078" max="3079" width="11.125" style="2" bestFit="1" customWidth="1"/>
    <col min="3080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3" width="9" style="2" bestFit="1"/>
    <col min="3334" max="3335" width="11.125" style="2" bestFit="1" customWidth="1"/>
    <col min="3336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89" width="9" style="2" bestFit="1"/>
    <col min="3590" max="3591" width="11.125" style="2" bestFit="1" customWidth="1"/>
    <col min="3592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5" width="9" style="2" bestFit="1"/>
    <col min="3846" max="3847" width="11.125" style="2" bestFit="1" customWidth="1"/>
    <col min="3848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1" width="9" style="2" bestFit="1"/>
    <col min="4102" max="4103" width="11.125" style="2" bestFit="1" customWidth="1"/>
    <col min="4104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7" width="9" style="2" bestFit="1"/>
    <col min="4358" max="4359" width="11.125" style="2" bestFit="1" customWidth="1"/>
    <col min="4360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3" width="9" style="2" bestFit="1"/>
    <col min="4614" max="4615" width="11.125" style="2" bestFit="1" customWidth="1"/>
    <col min="4616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69" width="9" style="2" bestFit="1"/>
    <col min="4870" max="4871" width="11.125" style="2" bestFit="1" customWidth="1"/>
    <col min="4872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5" width="9" style="2" bestFit="1"/>
    <col min="5126" max="5127" width="11.125" style="2" bestFit="1" customWidth="1"/>
    <col min="5128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1" width="9" style="2" bestFit="1"/>
    <col min="5382" max="5383" width="11.125" style="2" bestFit="1" customWidth="1"/>
    <col min="5384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7" width="9" style="2" bestFit="1"/>
    <col min="5638" max="5639" width="11.125" style="2" bestFit="1" customWidth="1"/>
    <col min="5640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3" width="9" style="2" bestFit="1"/>
    <col min="5894" max="5895" width="11.125" style="2" bestFit="1" customWidth="1"/>
    <col min="5896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49" width="9" style="2" bestFit="1"/>
    <col min="6150" max="6151" width="11.125" style="2" bestFit="1" customWidth="1"/>
    <col min="6152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5" width="9" style="2" bestFit="1"/>
    <col min="6406" max="6407" width="11.125" style="2" bestFit="1" customWidth="1"/>
    <col min="6408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1" width="9" style="2" bestFit="1"/>
    <col min="6662" max="6663" width="11.125" style="2" bestFit="1" customWidth="1"/>
    <col min="6664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7" width="9" style="2" bestFit="1"/>
    <col min="6918" max="6919" width="11.125" style="2" bestFit="1" customWidth="1"/>
    <col min="6920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3" width="9" style="2" bestFit="1"/>
    <col min="7174" max="7175" width="11.125" style="2" bestFit="1" customWidth="1"/>
    <col min="7176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29" width="9" style="2" bestFit="1"/>
    <col min="7430" max="7431" width="11.125" style="2" bestFit="1" customWidth="1"/>
    <col min="7432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5" width="9" style="2" bestFit="1"/>
    <col min="7686" max="7687" width="11.125" style="2" bestFit="1" customWidth="1"/>
    <col min="7688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1" width="9" style="2" bestFit="1"/>
    <col min="7942" max="7943" width="11.125" style="2" bestFit="1" customWidth="1"/>
    <col min="7944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7" width="9" style="2" bestFit="1"/>
    <col min="8198" max="8199" width="11.125" style="2" bestFit="1" customWidth="1"/>
    <col min="8200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3" width="9" style="2" bestFit="1"/>
    <col min="8454" max="8455" width="11.125" style="2" bestFit="1" customWidth="1"/>
    <col min="8456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09" width="9" style="2" bestFit="1"/>
    <col min="8710" max="8711" width="11.125" style="2" bestFit="1" customWidth="1"/>
    <col min="8712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5" width="9" style="2" bestFit="1"/>
    <col min="8966" max="8967" width="11.125" style="2" bestFit="1" customWidth="1"/>
    <col min="8968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1" width="9" style="2" bestFit="1"/>
    <col min="9222" max="9223" width="11.125" style="2" bestFit="1" customWidth="1"/>
    <col min="9224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7" width="9" style="2" bestFit="1"/>
    <col min="9478" max="9479" width="11.125" style="2" bestFit="1" customWidth="1"/>
    <col min="9480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3" width="9" style="2" bestFit="1"/>
    <col min="9734" max="9735" width="11.125" style="2" bestFit="1" customWidth="1"/>
    <col min="9736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89" width="9" style="2" bestFit="1"/>
    <col min="9990" max="9991" width="11.125" style="2" bestFit="1" customWidth="1"/>
    <col min="9992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5" width="9" style="2" bestFit="1"/>
    <col min="10246" max="10247" width="11.125" style="2" bestFit="1" customWidth="1"/>
    <col min="10248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1" width="9" style="2" bestFit="1"/>
    <col min="10502" max="10503" width="11.125" style="2" bestFit="1" customWidth="1"/>
    <col min="10504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7" width="9" style="2" bestFit="1"/>
    <col min="10758" max="10759" width="11.125" style="2" bestFit="1" customWidth="1"/>
    <col min="10760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3" width="9" style="2" bestFit="1"/>
    <col min="11014" max="11015" width="11.125" style="2" bestFit="1" customWidth="1"/>
    <col min="11016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69" width="9" style="2" bestFit="1"/>
    <col min="11270" max="11271" width="11.125" style="2" bestFit="1" customWidth="1"/>
    <col min="11272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5" width="9" style="2" bestFit="1"/>
    <col min="11526" max="11527" width="11.125" style="2" bestFit="1" customWidth="1"/>
    <col min="11528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1" width="9" style="2" bestFit="1"/>
    <col min="11782" max="11783" width="11.125" style="2" bestFit="1" customWidth="1"/>
    <col min="11784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7" width="9" style="2" bestFit="1"/>
    <col min="12038" max="12039" width="11.125" style="2" bestFit="1" customWidth="1"/>
    <col min="12040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3" width="9" style="2" bestFit="1"/>
    <col min="12294" max="12295" width="11.125" style="2" bestFit="1" customWidth="1"/>
    <col min="12296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49" width="9" style="2" bestFit="1"/>
    <col min="12550" max="12551" width="11.125" style="2" bestFit="1" customWidth="1"/>
    <col min="12552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5" width="9" style="2" bestFit="1"/>
    <col min="12806" max="12807" width="11.125" style="2" bestFit="1" customWidth="1"/>
    <col min="12808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1" width="9" style="2" bestFit="1"/>
    <col min="13062" max="13063" width="11.125" style="2" bestFit="1" customWidth="1"/>
    <col min="13064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7" width="9" style="2" bestFit="1"/>
    <col min="13318" max="13319" width="11.125" style="2" bestFit="1" customWidth="1"/>
    <col min="13320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3" width="9" style="2" bestFit="1"/>
    <col min="13574" max="13575" width="11.125" style="2" bestFit="1" customWidth="1"/>
    <col min="13576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29" width="9" style="2" bestFit="1"/>
    <col min="13830" max="13831" width="11.125" style="2" bestFit="1" customWidth="1"/>
    <col min="13832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5" width="9" style="2" bestFit="1"/>
    <col min="14086" max="14087" width="11.125" style="2" bestFit="1" customWidth="1"/>
    <col min="14088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1" width="9" style="2" bestFit="1"/>
    <col min="14342" max="14343" width="11.125" style="2" bestFit="1" customWidth="1"/>
    <col min="14344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7" width="9" style="2" bestFit="1"/>
    <col min="14598" max="14599" width="11.125" style="2" bestFit="1" customWidth="1"/>
    <col min="14600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3" width="9" style="2" bestFit="1"/>
    <col min="14854" max="14855" width="11.125" style="2" bestFit="1" customWidth="1"/>
    <col min="14856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09" width="9" style="2" bestFit="1"/>
    <col min="15110" max="15111" width="11.125" style="2" bestFit="1" customWidth="1"/>
    <col min="15112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5" width="9" style="2" bestFit="1"/>
    <col min="15366" max="15367" width="11.125" style="2" bestFit="1" customWidth="1"/>
    <col min="15368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1" width="9" style="2" bestFit="1"/>
    <col min="15622" max="15623" width="11.125" style="2" bestFit="1" customWidth="1"/>
    <col min="15624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7" width="9" style="2" bestFit="1"/>
    <col min="15878" max="15879" width="11.125" style="2" bestFit="1" customWidth="1"/>
    <col min="15880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3" width="9" style="2" bestFit="1"/>
    <col min="16134" max="16135" width="11.125" style="2" bestFit="1" customWidth="1"/>
    <col min="16136" max="16384" width="9" style="2"/>
  </cols>
  <sheetData>
    <row r="1" spans="1:8">
      <c r="A1" s="1" t="s">
        <v>0</v>
      </c>
    </row>
    <row r="2" spans="1:8" ht="19.5" thickBot="1">
      <c r="A2" s="1" t="s">
        <v>2</v>
      </c>
    </row>
    <row r="3" spans="1:8">
      <c r="B3" s="13"/>
      <c r="C3" s="29" t="s">
        <v>3</v>
      </c>
      <c r="D3" s="30" t="s">
        <v>4</v>
      </c>
      <c r="E3" s="30" t="s">
        <v>5</v>
      </c>
      <c r="F3" s="30" t="s">
        <v>6</v>
      </c>
      <c r="G3" s="14" t="s">
        <v>7</v>
      </c>
      <c r="H3" s="5"/>
    </row>
    <row r="4" spans="1:8" ht="19.5" thickBot="1">
      <c r="B4" s="6" t="s">
        <v>8</v>
      </c>
      <c r="C4" s="31" t="s">
        <v>9</v>
      </c>
      <c r="D4" s="32" t="s">
        <v>10</v>
      </c>
      <c r="E4" s="32" t="s">
        <v>11</v>
      </c>
      <c r="F4" s="32" t="s">
        <v>12</v>
      </c>
      <c r="G4" s="3" t="s">
        <v>13</v>
      </c>
      <c r="H4" s="6" t="s">
        <v>14</v>
      </c>
    </row>
    <row r="5" spans="1:8">
      <c r="A5" s="1" t="s">
        <v>1</v>
      </c>
      <c r="B5" s="26" t="s">
        <v>15</v>
      </c>
      <c r="C5" s="33">
        <v>75000</v>
      </c>
      <c r="D5" s="34">
        <v>75000</v>
      </c>
      <c r="E5" s="34">
        <v>387000</v>
      </c>
      <c r="F5" s="34">
        <v>63000</v>
      </c>
      <c r="G5" s="27">
        <v>0</v>
      </c>
      <c r="H5" s="28">
        <v>600000</v>
      </c>
    </row>
    <row r="6" spans="1:8">
      <c r="A6" s="1" t="s">
        <v>1</v>
      </c>
      <c r="B6" s="23" t="s">
        <v>16</v>
      </c>
      <c r="C6" s="35">
        <v>15000</v>
      </c>
      <c r="D6" s="36">
        <v>0</v>
      </c>
      <c r="E6" s="36">
        <v>0</v>
      </c>
      <c r="F6" s="36">
        <v>0</v>
      </c>
      <c r="G6" s="24">
        <v>0</v>
      </c>
      <c r="H6" s="25">
        <v>15000</v>
      </c>
    </row>
    <row r="7" spans="1:8">
      <c r="A7" s="1" t="s">
        <v>1</v>
      </c>
      <c r="B7" s="23" t="s">
        <v>17</v>
      </c>
      <c r="C7" s="35">
        <v>3000</v>
      </c>
      <c r="D7" s="36">
        <v>3000</v>
      </c>
      <c r="E7" s="36">
        <v>0</v>
      </c>
      <c r="F7" s="36">
        <v>0</v>
      </c>
      <c r="G7" s="24">
        <v>0</v>
      </c>
      <c r="H7" s="25">
        <v>6000</v>
      </c>
    </row>
    <row r="8" spans="1:8">
      <c r="A8" s="1" t="s">
        <v>1</v>
      </c>
      <c r="B8" s="7" t="s">
        <v>18</v>
      </c>
      <c r="C8" s="37">
        <v>15000</v>
      </c>
      <c r="D8" s="38">
        <v>15000</v>
      </c>
      <c r="E8" s="38">
        <v>15000</v>
      </c>
      <c r="F8" s="38">
        <v>15000</v>
      </c>
      <c r="G8" s="8">
        <v>0</v>
      </c>
      <c r="H8" s="9">
        <v>60000</v>
      </c>
    </row>
    <row r="9" spans="1:8">
      <c r="A9" s="1" t="s">
        <v>1</v>
      </c>
      <c r="B9" s="15" t="s">
        <v>19</v>
      </c>
      <c r="C9" s="39">
        <v>108000</v>
      </c>
      <c r="D9" s="40">
        <v>93000</v>
      </c>
      <c r="E9" s="40">
        <v>402000</v>
      </c>
      <c r="F9" s="40">
        <v>78000</v>
      </c>
      <c r="G9" s="16">
        <v>0</v>
      </c>
      <c r="H9" s="17">
        <v>681000</v>
      </c>
    </row>
    <row r="10" spans="1:8">
      <c r="A10" s="1" t="s">
        <v>1</v>
      </c>
      <c r="B10" s="15" t="s">
        <v>20</v>
      </c>
      <c r="C10" s="39">
        <v>108000</v>
      </c>
      <c r="D10" s="40">
        <v>93000</v>
      </c>
      <c r="E10" s="40">
        <v>402000</v>
      </c>
      <c r="F10" s="40">
        <v>78000</v>
      </c>
      <c r="G10" s="16">
        <v>0</v>
      </c>
      <c r="H10" s="17">
        <v>681000</v>
      </c>
    </row>
    <row r="11" spans="1:8">
      <c r="A11" s="1" t="s">
        <v>1</v>
      </c>
      <c r="B11" s="20" t="s">
        <v>21</v>
      </c>
      <c r="C11" s="41">
        <v>5508</v>
      </c>
      <c r="D11" s="42">
        <v>4743</v>
      </c>
      <c r="E11" s="42">
        <v>20502</v>
      </c>
      <c r="F11" s="42">
        <v>3978</v>
      </c>
      <c r="G11" s="21">
        <v>0</v>
      </c>
      <c r="H11" s="22">
        <v>34731</v>
      </c>
    </row>
    <row r="12" spans="1:8">
      <c r="A12" s="1" t="s">
        <v>1</v>
      </c>
      <c r="B12" s="23" t="s">
        <v>22</v>
      </c>
      <c r="C12" s="35">
        <v>972</v>
      </c>
      <c r="D12" s="36">
        <v>837</v>
      </c>
      <c r="E12" s="36">
        <v>3618</v>
      </c>
      <c r="F12" s="36">
        <v>702</v>
      </c>
      <c r="G12" s="24">
        <v>0</v>
      </c>
      <c r="H12" s="25">
        <v>6129</v>
      </c>
    </row>
    <row r="13" spans="1:8">
      <c r="A13" s="1" t="s">
        <v>1</v>
      </c>
      <c r="B13" s="23" t="s">
        <v>23</v>
      </c>
      <c r="C13" s="35">
        <v>9882</v>
      </c>
      <c r="D13" s="36">
        <v>8509</v>
      </c>
      <c r="E13" s="36">
        <v>36783</v>
      </c>
      <c r="F13" s="36">
        <v>7137</v>
      </c>
      <c r="G13" s="24">
        <v>0</v>
      </c>
      <c r="H13" s="25">
        <v>62311</v>
      </c>
    </row>
    <row r="14" spans="1:8">
      <c r="A14" s="1" t="s">
        <v>1</v>
      </c>
      <c r="B14" s="7" t="s">
        <v>24</v>
      </c>
      <c r="C14" s="37">
        <v>648</v>
      </c>
      <c r="D14" s="38">
        <v>558</v>
      </c>
      <c r="E14" s="38">
        <v>2412</v>
      </c>
      <c r="F14" s="38">
        <v>468</v>
      </c>
      <c r="G14" s="8">
        <v>0</v>
      </c>
      <c r="H14" s="9">
        <v>4086</v>
      </c>
    </row>
    <row r="15" spans="1:8">
      <c r="A15" s="1" t="s">
        <v>1</v>
      </c>
      <c r="B15" s="15" t="s">
        <v>25</v>
      </c>
      <c r="C15" s="39">
        <v>90990</v>
      </c>
      <c r="D15" s="40">
        <v>78353</v>
      </c>
      <c r="E15" s="40">
        <v>338685</v>
      </c>
      <c r="F15" s="40">
        <v>65715</v>
      </c>
      <c r="G15" s="16">
        <v>0</v>
      </c>
      <c r="H15" s="17">
        <v>573743</v>
      </c>
    </row>
    <row r="16" spans="1:8">
      <c r="A16" s="1" t="s">
        <v>1</v>
      </c>
      <c r="B16" s="15" t="s">
        <v>26</v>
      </c>
      <c r="C16" s="39">
        <v>5574</v>
      </c>
      <c r="D16" s="40">
        <v>9599</v>
      </c>
      <c r="E16" s="40">
        <v>27663</v>
      </c>
      <c r="F16" s="40">
        <v>4025</v>
      </c>
      <c r="G16" s="16">
        <v>0</v>
      </c>
      <c r="H16" s="17">
        <v>46861</v>
      </c>
    </row>
    <row r="17" spans="1:8">
      <c r="A17" s="1" t="s">
        <v>1</v>
      </c>
      <c r="B17" s="15" t="s">
        <v>27</v>
      </c>
      <c r="C17" s="39">
        <v>17010</v>
      </c>
      <c r="D17" s="40">
        <v>14647</v>
      </c>
      <c r="E17" s="40">
        <v>63315</v>
      </c>
      <c r="F17" s="40">
        <v>12285</v>
      </c>
      <c r="G17" s="16">
        <v>0</v>
      </c>
      <c r="H17" s="17">
        <v>107257</v>
      </c>
    </row>
    <row r="18" spans="1:8">
      <c r="A18" s="1" t="s">
        <v>1</v>
      </c>
      <c r="B18" s="15" t="s">
        <v>28</v>
      </c>
      <c r="C18" s="39">
        <v>22584</v>
      </c>
      <c r="D18" s="40">
        <v>24246</v>
      </c>
      <c r="E18" s="40">
        <v>90978</v>
      </c>
      <c r="F18" s="40">
        <v>16310</v>
      </c>
      <c r="G18" s="16">
        <v>0</v>
      </c>
      <c r="H18" s="17">
        <v>154118</v>
      </c>
    </row>
    <row r="19" spans="1:8">
      <c r="A19" s="1" t="s">
        <v>1</v>
      </c>
      <c r="B19" s="15" t="s">
        <v>29</v>
      </c>
      <c r="C19" s="39">
        <v>14141</v>
      </c>
      <c r="D19" s="40">
        <v>29534</v>
      </c>
      <c r="E19" s="40">
        <v>28675</v>
      </c>
      <c r="F19" s="40">
        <v>19574</v>
      </c>
      <c r="G19" s="16">
        <v>1000</v>
      </c>
      <c r="H19" s="17">
        <v>92924</v>
      </c>
    </row>
    <row r="20" spans="1:8">
      <c r="A20" s="1" t="s">
        <v>1</v>
      </c>
      <c r="B20" s="15" t="s">
        <v>30</v>
      </c>
      <c r="C20" s="39">
        <v>99557</v>
      </c>
      <c r="D20" s="40">
        <v>98288</v>
      </c>
      <c r="E20" s="40">
        <v>339697</v>
      </c>
      <c r="F20" s="40">
        <v>81264</v>
      </c>
      <c r="G20" s="16">
        <v>1000</v>
      </c>
      <c r="H20" s="17">
        <v>619806</v>
      </c>
    </row>
    <row r="21" spans="1:8">
      <c r="A21" s="1" t="s">
        <v>1</v>
      </c>
      <c r="B21" s="15" t="s">
        <v>31</v>
      </c>
      <c r="C21" s="39">
        <v>99557</v>
      </c>
      <c r="D21" s="40">
        <v>98288</v>
      </c>
      <c r="E21" s="40">
        <v>339697</v>
      </c>
      <c r="F21" s="40">
        <v>81264</v>
      </c>
      <c r="G21" s="16">
        <v>1000</v>
      </c>
      <c r="H21" s="17">
        <v>619806</v>
      </c>
    </row>
    <row r="22" spans="1:8">
      <c r="A22" s="1" t="s">
        <v>1</v>
      </c>
      <c r="B22" s="15" t="s">
        <v>32</v>
      </c>
      <c r="C22" s="39">
        <v>1</v>
      </c>
      <c r="D22" s="40">
        <v>0</v>
      </c>
      <c r="E22" s="40">
        <v>1</v>
      </c>
      <c r="F22" s="40">
        <v>1</v>
      </c>
      <c r="G22" s="16">
        <v>0</v>
      </c>
      <c r="H22" s="17"/>
    </row>
    <row r="23" spans="1:8">
      <c r="A23" s="1" t="s">
        <v>1</v>
      </c>
      <c r="B23" s="15" t="s">
        <v>33</v>
      </c>
      <c r="C23" s="43">
        <v>6.1260000000000003</v>
      </c>
      <c r="D23" s="44">
        <v>12.252000000000001</v>
      </c>
      <c r="E23" s="44">
        <v>8.1679999999999993</v>
      </c>
      <c r="F23" s="44">
        <v>6.1260000000000003</v>
      </c>
      <c r="G23" s="18">
        <v>0</v>
      </c>
      <c r="H23" s="19"/>
    </row>
    <row r="24" spans="1:8" ht="19.5" thickBot="1">
      <c r="A24" s="1" t="s">
        <v>1</v>
      </c>
      <c r="B24" s="10" t="s">
        <v>34</v>
      </c>
      <c r="C24" s="45">
        <v>310422</v>
      </c>
      <c r="D24" s="46">
        <v>365815</v>
      </c>
      <c r="E24" s="46">
        <v>352186</v>
      </c>
      <c r="F24" s="46">
        <v>288493</v>
      </c>
      <c r="G24" s="11">
        <v>26719</v>
      </c>
      <c r="H24" s="12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17A5-E02F-4B5A-A039-9E5ACF4BD337}">
  <dimension ref="A1:J2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0" width="13.37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384" width="9" style="2"/>
  </cols>
  <sheetData>
    <row r="1" spans="1:10">
      <c r="A1" s="1" t="s">
        <v>0</v>
      </c>
    </row>
    <row r="2" spans="1:10" ht="19.5" thickBot="1">
      <c r="A2" s="1" t="s">
        <v>2</v>
      </c>
    </row>
    <row r="3" spans="1:10">
      <c r="B3" s="13"/>
      <c r="C3" s="30" t="s">
        <v>5</v>
      </c>
      <c r="D3" s="4" t="s">
        <v>7</v>
      </c>
      <c r="E3" s="47" t="s">
        <v>35</v>
      </c>
      <c r="F3" s="29" t="s">
        <v>3</v>
      </c>
      <c r="G3" s="30" t="s">
        <v>4</v>
      </c>
      <c r="H3" s="49" t="s">
        <v>6</v>
      </c>
      <c r="I3" s="47" t="s">
        <v>35</v>
      </c>
      <c r="J3" s="58" t="s">
        <v>14</v>
      </c>
    </row>
    <row r="4" spans="1:10" ht="19.5" thickBot="1">
      <c r="B4" s="6" t="s">
        <v>8</v>
      </c>
      <c r="C4" s="32" t="s">
        <v>11</v>
      </c>
      <c r="D4" s="3" t="s">
        <v>13</v>
      </c>
      <c r="E4" s="48" t="s">
        <v>36</v>
      </c>
      <c r="F4" s="31" t="s">
        <v>9</v>
      </c>
      <c r="G4" s="32" t="s">
        <v>10</v>
      </c>
      <c r="H4" s="50" t="s">
        <v>12</v>
      </c>
      <c r="I4" s="48" t="s">
        <v>37</v>
      </c>
      <c r="J4" s="6" t="s">
        <v>38</v>
      </c>
    </row>
    <row r="5" spans="1:10">
      <c r="A5" s="1" t="s">
        <v>1</v>
      </c>
      <c r="B5" s="26" t="s">
        <v>15</v>
      </c>
      <c r="C5" s="34">
        <v>387000</v>
      </c>
      <c r="D5" s="27">
        <v>0</v>
      </c>
      <c r="E5" s="28">
        <f>SUM(C5:D5)</f>
        <v>387000</v>
      </c>
      <c r="F5" s="33">
        <v>75000</v>
      </c>
      <c r="G5" s="34">
        <v>75000</v>
      </c>
      <c r="H5" s="51">
        <v>63000</v>
      </c>
      <c r="I5" s="28">
        <f>SUM(F5:H5)</f>
        <v>213000</v>
      </c>
      <c r="J5" s="28">
        <f>SUM(I5,E5)</f>
        <v>600000</v>
      </c>
    </row>
    <row r="6" spans="1:10">
      <c r="A6" s="1" t="s">
        <v>1</v>
      </c>
      <c r="B6" s="23" t="s">
        <v>16</v>
      </c>
      <c r="C6" s="36">
        <v>0</v>
      </c>
      <c r="D6" s="24">
        <v>0</v>
      </c>
      <c r="E6" s="25">
        <f t="shared" ref="E6:E21" si="0">SUM(C6:D6)</f>
        <v>0</v>
      </c>
      <c r="F6" s="35">
        <v>15000</v>
      </c>
      <c r="G6" s="36">
        <v>0</v>
      </c>
      <c r="H6" s="52">
        <v>0</v>
      </c>
      <c r="I6" s="25">
        <f t="shared" ref="I6:I21" si="1">SUM(F6:H6)</f>
        <v>15000</v>
      </c>
      <c r="J6" s="25">
        <f t="shared" ref="J6:J21" si="2">SUM(I6,E6)</f>
        <v>15000</v>
      </c>
    </row>
    <row r="7" spans="1:10">
      <c r="A7" s="1" t="s">
        <v>1</v>
      </c>
      <c r="B7" s="23" t="s">
        <v>17</v>
      </c>
      <c r="C7" s="36">
        <v>0</v>
      </c>
      <c r="D7" s="24">
        <v>0</v>
      </c>
      <c r="E7" s="25">
        <f t="shared" si="0"/>
        <v>0</v>
      </c>
      <c r="F7" s="35">
        <v>3000</v>
      </c>
      <c r="G7" s="36">
        <v>3000</v>
      </c>
      <c r="H7" s="52">
        <v>0</v>
      </c>
      <c r="I7" s="25">
        <f t="shared" si="1"/>
        <v>6000</v>
      </c>
      <c r="J7" s="25">
        <f t="shared" si="2"/>
        <v>6000</v>
      </c>
    </row>
    <row r="8" spans="1:10">
      <c r="A8" s="1" t="s">
        <v>1</v>
      </c>
      <c r="B8" s="7" t="s">
        <v>18</v>
      </c>
      <c r="C8" s="38">
        <v>15000</v>
      </c>
      <c r="D8" s="8">
        <v>0</v>
      </c>
      <c r="E8" s="9">
        <f t="shared" si="0"/>
        <v>15000</v>
      </c>
      <c r="F8" s="37">
        <v>15000</v>
      </c>
      <c r="G8" s="38">
        <v>15000</v>
      </c>
      <c r="H8" s="53">
        <v>15000</v>
      </c>
      <c r="I8" s="9">
        <f t="shared" si="1"/>
        <v>45000</v>
      </c>
      <c r="J8" s="9">
        <f t="shared" si="2"/>
        <v>60000</v>
      </c>
    </row>
    <row r="9" spans="1:10">
      <c r="A9" s="1" t="s">
        <v>1</v>
      </c>
      <c r="B9" s="15" t="s">
        <v>19</v>
      </c>
      <c r="C9" s="40">
        <v>402000</v>
      </c>
      <c r="D9" s="16">
        <v>0</v>
      </c>
      <c r="E9" s="17">
        <f t="shared" si="0"/>
        <v>402000</v>
      </c>
      <c r="F9" s="39">
        <v>108000</v>
      </c>
      <c r="G9" s="40">
        <v>93000</v>
      </c>
      <c r="H9" s="54">
        <v>78000</v>
      </c>
      <c r="I9" s="17">
        <f t="shared" si="1"/>
        <v>279000</v>
      </c>
      <c r="J9" s="17">
        <f t="shared" si="2"/>
        <v>681000</v>
      </c>
    </row>
    <row r="10" spans="1:10">
      <c r="A10" s="1" t="s">
        <v>1</v>
      </c>
      <c r="B10" s="15" t="s">
        <v>20</v>
      </c>
      <c r="C10" s="40">
        <v>402000</v>
      </c>
      <c r="D10" s="16">
        <v>0</v>
      </c>
      <c r="E10" s="17">
        <f t="shared" si="0"/>
        <v>402000</v>
      </c>
      <c r="F10" s="39">
        <v>108000</v>
      </c>
      <c r="G10" s="40">
        <v>93000</v>
      </c>
      <c r="H10" s="54">
        <v>78000</v>
      </c>
      <c r="I10" s="17">
        <f t="shared" si="1"/>
        <v>279000</v>
      </c>
      <c r="J10" s="17">
        <f t="shared" si="2"/>
        <v>681000</v>
      </c>
    </row>
    <row r="11" spans="1:10">
      <c r="A11" s="1" t="s">
        <v>1</v>
      </c>
      <c r="B11" s="20" t="s">
        <v>21</v>
      </c>
      <c r="C11" s="42">
        <v>20502</v>
      </c>
      <c r="D11" s="21">
        <v>0</v>
      </c>
      <c r="E11" s="22">
        <f t="shared" si="0"/>
        <v>20502</v>
      </c>
      <c r="F11" s="41">
        <v>5508</v>
      </c>
      <c r="G11" s="42">
        <v>4743</v>
      </c>
      <c r="H11" s="55">
        <v>3978</v>
      </c>
      <c r="I11" s="22">
        <f t="shared" si="1"/>
        <v>14229</v>
      </c>
      <c r="J11" s="22">
        <f t="shared" si="2"/>
        <v>34731</v>
      </c>
    </row>
    <row r="12" spans="1:10">
      <c r="A12" s="1" t="s">
        <v>1</v>
      </c>
      <c r="B12" s="23" t="s">
        <v>22</v>
      </c>
      <c r="C12" s="36">
        <v>3618</v>
      </c>
      <c r="D12" s="24">
        <v>0</v>
      </c>
      <c r="E12" s="25">
        <f t="shared" si="0"/>
        <v>3618</v>
      </c>
      <c r="F12" s="35">
        <v>972</v>
      </c>
      <c r="G12" s="36">
        <v>837</v>
      </c>
      <c r="H12" s="52">
        <v>702</v>
      </c>
      <c r="I12" s="25">
        <f t="shared" si="1"/>
        <v>2511</v>
      </c>
      <c r="J12" s="25">
        <f t="shared" si="2"/>
        <v>6129</v>
      </c>
    </row>
    <row r="13" spans="1:10">
      <c r="A13" s="1" t="s">
        <v>1</v>
      </c>
      <c r="B13" s="23" t="s">
        <v>23</v>
      </c>
      <c r="C13" s="36">
        <v>36783</v>
      </c>
      <c r="D13" s="24">
        <v>0</v>
      </c>
      <c r="E13" s="25">
        <f t="shared" si="0"/>
        <v>36783</v>
      </c>
      <c r="F13" s="35">
        <v>9882</v>
      </c>
      <c r="G13" s="36">
        <v>8509</v>
      </c>
      <c r="H13" s="52">
        <v>7137</v>
      </c>
      <c r="I13" s="25">
        <f t="shared" si="1"/>
        <v>25528</v>
      </c>
      <c r="J13" s="25">
        <f t="shared" si="2"/>
        <v>62311</v>
      </c>
    </row>
    <row r="14" spans="1:10">
      <c r="A14" s="1" t="s">
        <v>1</v>
      </c>
      <c r="B14" s="7" t="s">
        <v>24</v>
      </c>
      <c r="C14" s="38">
        <v>2412</v>
      </c>
      <c r="D14" s="8">
        <v>0</v>
      </c>
      <c r="E14" s="9">
        <f t="shared" si="0"/>
        <v>2412</v>
      </c>
      <c r="F14" s="37">
        <v>648</v>
      </c>
      <c r="G14" s="38">
        <v>558</v>
      </c>
      <c r="H14" s="53">
        <v>468</v>
      </c>
      <c r="I14" s="9">
        <f t="shared" si="1"/>
        <v>1674</v>
      </c>
      <c r="J14" s="9">
        <f t="shared" si="2"/>
        <v>4086</v>
      </c>
    </row>
    <row r="15" spans="1:10">
      <c r="A15" s="1" t="s">
        <v>1</v>
      </c>
      <c r="B15" s="15" t="s">
        <v>25</v>
      </c>
      <c r="C15" s="40">
        <v>338685</v>
      </c>
      <c r="D15" s="16">
        <v>0</v>
      </c>
      <c r="E15" s="17">
        <f t="shared" si="0"/>
        <v>338685</v>
      </c>
      <c r="F15" s="39">
        <v>90990</v>
      </c>
      <c r="G15" s="40">
        <v>78353</v>
      </c>
      <c r="H15" s="54">
        <v>65715</v>
      </c>
      <c r="I15" s="17">
        <f t="shared" si="1"/>
        <v>235058</v>
      </c>
      <c r="J15" s="17">
        <f t="shared" si="2"/>
        <v>573743</v>
      </c>
    </row>
    <row r="16" spans="1:10">
      <c r="A16" s="1" t="s">
        <v>1</v>
      </c>
      <c r="B16" s="15" t="s">
        <v>26</v>
      </c>
      <c r="C16" s="40">
        <v>27663</v>
      </c>
      <c r="D16" s="16">
        <v>0</v>
      </c>
      <c r="E16" s="17">
        <f t="shared" si="0"/>
        <v>27663</v>
      </c>
      <c r="F16" s="39">
        <v>5574</v>
      </c>
      <c r="G16" s="40">
        <v>9599</v>
      </c>
      <c r="H16" s="54">
        <v>4025</v>
      </c>
      <c r="I16" s="17">
        <f t="shared" si="1"/>
        <v>19198</v>
      </c>
      <c r="J16" s="17">
        <f t="shared" si="2"/>
        <v>46861</v>
      </c>
    </row>
    <row r="17" spans="1:10">
      <c r="A17" s="1" t="s">
        <v>1</v>
      </c>
      <c r="B17" s="15" t="s">
        <v>27</v>
      </c>
      <c r="C17" s="40">
        <v>63315</v>
      </c>
      <c r="D17" s="16">
        <v>0</v>
      </c>
      <c r="E17" s="17">
        <f t="shared" si="0"/>
        <v>63315</v>
      </c>
      <c r="F17" s="39">
        <v>17010</v>
      </c>
      <c r="G17" s="40">
        <v>14647</v>
      </c>
      <c r="H17" s="54">
        <v>12285</v>
      </c>
      <c r="I17" s="17">
        <f t="shared" si="1"/>
        <v>43942</v>
      </c>
      <c r="J17" s="17">
        <f t="shared" si="2"/>
        <v>107257</v>
      </c>
    </row>
    <row r="18" spans="1:10">
      <c r="A18" s="1" t="s">
        <v>1</v>
      </c>
      <c r="B18" s="15" t="s">
        <v>28</v>
      </c>
      <c r="C18" s="40">
        <v>90978</v>
      </c>
      <c r="D18" s="16">
        <v>0</v>
      </c>
      <c r="E18" s="17">
        <f t="shared" si="0"/>
        <v>90978</v>
      </c>
      <c r="F18" s="39">
        <v>22584</v>
      </c>
      <c r="G18" s="40">
        <v>24246</v>
      </c>
      <c r="H18" s="54">
        <v>16310</v>
      </c>
      <c r="I18" s="17">
        <f t="shared" si="1"/>
        <v>63140</v>
      </c>
      <c r="J18" s="17">
        <f t="shared" si="2"/>
        <v>154118</v>
      </c>
    </row>
    <row r="19" spans="1:10">
      <c r="A19" s="1" t="s">
        <v>1</v>
      </c>
      <c r="B19" s="15" t="s">
        <v>29</v>
      </c>
      <c r="C19" s="40">
        <v>28675</v>
      </c>
      <c r="D19" s="16">
        <v>1000</v>
      </c>
      <c r="E19" s="17">
        <f t="shared" si="0"/>
        <v>29675</v>
      </c>
      <c r="F19" s="39">
        <v>14141</v>
      </c>
      <c r="G19" s="40">
        <v>29534</v>
      </c>
      <c r="H19" s="54">
        <v>19574</v>
      </c>
      <c r="I19" s="17">
        <f t="shared" si="1"/>
        <v>63249</v>
      </c>
      <c r="J19" s="17">
        <f t="shared" si="2"/>
        <v>92924</v>
      </c>
    </row>
    <row r="20" spans="1:10">
      <c r="A20" s="1" t="s">
        <v>1</v>
      </c>
      <c r="B20" s="15" t="s">
        <v>30</v>
      </c>
      <c r="C20" s="40">
        <v>339697</v>
      </c>
      <c r="D20" s="16">
        <v>1000</v>
      </c>
      <c r="E20" s="17">
        <f t="shared" si="0"/>
        <v>340697</v>
      </c>
      <c r="F20" s="39">
        <v>99557</v>
      </c>
      <c r="G20" s="40">
        <v>98288</v>
      </c>
      <c r="H20" s="54">
        <v>81264</v>
      </c>
      <c r="I20" s="17">
        <f t="shared" si="1"/>
        <v>279109</v>
      </c>
      <c r="J20" s="17">
        <f t="shared" si="2"/>
        <v>619806</v>
      </c>
    </row>
    <row r="21" spans="1:10">
      <c r="A21" s="1" t="s">
        <v>1</v>
      </c>
      <c r="B21" s="15" t="s">
        <v>31</v>
      </c>
      <c r="C21" s="40">
        <v>339697</v>
      </c>
      <c r="D21" s="16">
        <v>1000</v>
      </c>
      <c r="E21" s="17">
        <f t="shared" si="0"/>
        <v>340697</v>
      </c>
      <c r="F21" s="39">
        <v>99557</v>
      </c>
      <c r="G21" s="40">
        <v>98288</v>
      </c>
      <c r="H21" s="54">
        <v>81264</v>
      </c>
      <c r="I21" s="17">
        <f t="shared" si="1"/>
        <v>279109</v>
      </c>
      <c r="J21" s="17">
        <f t="shared" si="2"/>
        <v>619806</v>
      </c>
    </row>
    <row r="22" spans="1:10">
      <c r="A22" s="1" t="s">
        <v>1</v>
      </c>
      <c r="B22" s="15" t="s">
        <v>32</v>
      </c>
      <c r="C22" s="40">
        <v>1</v>
      </c>
      <c r="D22" s="16">
        <v>0</v>
      </c>
      <c r="E22" s="17"/>
      <c r="F22" s="39">
        <v>1</v>
      </c>
      <c r="G22" s="40">
        <v>0</v>
      </c>
      <c r="H22" s="54">
        <v>1</v>
      </c>
      <c r="I22" s="17"/>
      <c r="J22" s="17"/>
    </row>
    <row r="23" spans="1:10">
      <c r="A23" s="1" t="s">
        <v>1</v>
      </c>
      <c r="B23" s="15" t="s">
        <v>33</v>
      </c>
      <c r="C23" s="44">
        <v>8.1679999999999993</v>
      </c>
      <c r="D23" s="18">
        <v>0</v>
      </c>
      <c r="E23" s="19"/>
      <c r="F23" s="43">
        <v>6.1260000000000003</v>
      </c>
      <c r="G23" s="44">
        <v>12.252000000000001</v>
      </c>
      <c r="H23" s="56">
        <v>6.1260000000000003</v>
      </c>
      <c r="I23" s="19"/>
      <c r="J23" s="19"/>
    </row>
    <row r="24" spans="1:10" ht="19.5" thickBot="1">
      <c r="A24" s="1" t="s">
        <v>1</v>
      </c>
      <c r="B24" s="10" t="s">
        <v>34</v>
      </c>
      <c r="C24" s="46">
        <v>352186</v>
      </c>
      <c r="D24" s="11">
        <v>26719</v>
      </c>
      <c r="E24" s="12"/>
      <c r="F24" s="45">
        <v>310422</v>
      </c>
      <c r="G24" s="46">
        <v>365815</v>
      </c>
      <c r="H24" s="57">
        <v>288493</v>
      </c>
      <c r="I24" s="12"/>
      <c r="J24" s="12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冬季賞与</vt:lpstr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2023-12-16T07:51:14Z</cp:lastPrinted>
  <dcterms:created xsi:type="dcterms:W3CDTF">2023-12-16T00:52:06Z</dcterms:created>
  <dcterms:modified xsi:type="dcterms:W3CDTF">2023-12-16T07:51:18Z</dcterms:modified>
</cp:coreProperties>
</file>