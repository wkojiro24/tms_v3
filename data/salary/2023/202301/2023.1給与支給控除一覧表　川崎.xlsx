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BB6D9732-A982-42C3-AC72-606F24748915}" xr6:coauthVersionLast="47" xr6:coauthVersionMax="47" xr10:uidLastSave="{00000000-0000-0000-0000-000000000000}"/>
  <bookViews>
    <workbookView xWindow="-120" yWindow="-120" windowWidth="20730" windowHeight="11160" xr2:uid="{D0AD707C-55E2-4178-88F2-C53077140668}"/>
  </bookViews>
  <sheets>
    <sheet name="2023年 1月度給与 (2)" sheetId="3" r:id="rId1"/>
  </sheets>
  <definedNames>
    <definedName name="_xlnm.Print_Area" localSheetId="0">'2023年 1月度給与 (2)'!$A$1:$K$67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3" l="1"/>
  <c r="K7" i="3" s="1"/>
  <c r="J8" i="3"/>
  <c r="K8" i="3" s="1"/>
  <c r="J9" i="3"/>
  <c r="J10" i="3"/>
  <c r="K10" i="3" s="1"/>
  <c r="J11" i="3"/>
  <c r="K11" i="3" s="1"/>
  <c r="J12" i="3"/>
  <c r="K12" i="3" s="1"/>
  <c r="J13" i="3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J22" i="3"/>
  <c r="K22" i="3" s="1"/>
  <c r="J23" i="3"/>
  <c r="J24" i="3"/>
  <c r="K24" i="3" s="1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" i="3"/>
  <c r="K6" i="3" s="1"/>
  <c r="J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25" i="3"/>
  <c r="E23" i="3"/>
  <c r="E21" i="3"/>
  <c r="E13" i="3"/>
  <c r="E9" i="3"/>
  <c r="E5" i="3"/>
  <c r="K9" i="3" l="1"/>
  <c r="K25" i="3"/>
  <c r="K13" i="3"/>
  <c r="K31" i="3"/>
  <c r="K27" i="3"/>
  <c r="K62" i="3"/>
  <c r="K57" i="3"/>
  <c r="K50" i="3"/>
  <c r="K43" i="3"/>
  <c r="K36" i="3"/>
  <c r="K54" i="3"/>
  <c r="K47" i="3"/>
  <c r="K29" i="3"/>
  <c r="K30" i="3"/>
  <c r="K21" i="3"/>
  <c r="K64" i="3"/>
  <c r="K59" i="3"/>
  <c r="K52" i="3"/>
  <c r="K49" i="3"/>
  <c r="K45" i="3"/>
  <c r="K41" i="3"/>
  <c r="K38" i="3"/>
  <c r="K33" i="3"/>
  <c r="K23" i="3"/>
  <c r="K65" i="3"/>
  <c r="K61" i="3"/>
  <c r="K60" i="3"/>
  <c r="K56" i="3"/>
  <c r="K53" i="3"/>
  <c r="K46" i="3"/>
  <c r="K42" i="3"/>
  <c r="K39" i="3"/>
  <c r="K34" i="3"/>
  <c r="K26" i="3"/>
  <c r="K5" i="3"/>
  <c r="K63" i="3"/>
  <c r="K58" i="3"/>
  <c r="K55" i="3"/>
  <c r="K51" i="3"/>
  <c r="K48" i="3"/>
  <c r="K44" i="3"/>
  <c r="K40" i="3"/>
  <c r="K37" i="3"/>
  <c r="K35" i="3"/>
  <c r="K32" i="3"/>
  <c r="K28" i="3"/>
</calcChain>
</file>

<file path=xl/sharedStrings.xml><?xml version="1.0" encoding="utf-8"?>
<sst xmlns="http://schemas.openxmlformats.org/spreadsheetml/2006/main" count="153" uniqueCount="82">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</sst>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9" xfId="1" applyNumberFormat="1" applyFont="1" applyBorder="1"/>
    <xf numFmtId="49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  <xf numFmtId="0" fontId="2" fillId="0" borderId="38" xfId="1" applyFont="1" applyBorder="1" applyAlignment="1">
      <alignment horizontal="right"/>
    </xf>
  </cellXfs>
  <cellStyles count="2">
    <cellStyle name="標準" xfId="0" builtinId="0"/>
    <cellStyle name="標準 2" xfId="1" xr:uid="{73186E88-65D2-4EED-BA13-61527D8E7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DA63-6777-439C-9EC5-7B45CD2095EB}">
  <sheetPr>
    <pageSetUpPr fitToPage="1"/>
  </sheetPr>
  <dimension ref="A1:K67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2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77</v>
      </c>
    </row>
    <row r="3" spans="1:11">
      <c r="B3" s="3"/>
      <c r="C3" s="7" t="s">
        <v>5</v>
      </c>
      <c r="D3" s="8" t="s">
        <v>7</v>
      </c>
      <c r="E3" s="50" t="s">
        <v>78</v>
      </c>
      <c r="F3" s="6" t="s">
        <v>2</v>
      </c>
      <c r="G3" s="7" t="s">
        <v>3</v>
      </c>
      <c r="H3" s="7" t="s">
        <v>4</v>
      </c>
      <c r="I3" s="52" t="s">
        <v>6</v>
      </c>
      <c r="J3" s="63" t="s">
        <v>78</v>
      </c>
      <c r="K3" s="64" t="s">
        <v>15</v>
      </c>
    </row>
    <row r="4" spans="1:11" ht="19.5" thickBot="1">
      <c r="A4" s="43"/>
      <c r="B4" s="25" t="s">
        <v>8</v>
      </c>
      <c r="C4" s="27" t="s">
        <v>12</v>
      </c>
      <c r="D4" s="28" t="s">
        <v>14</v>
      </c>
      <c r="E4" s="51" t="s">
        <v>79</v>
      </c>
      <c r="F4" s="26" t="s">
        <v>9</v>
      </c>
      <c r="G4" s="27" t="s">
        <v>10</v>
      </c>
      <c r="H4" s="27" t="s">
        <v>11</v>
      </c>
      <c r="I4" s="53" t="s">
        <v>13</v>
      </c>
      <c r="J4" s="65" t="s">
        <v>80</v>
      </c>
      <c r="K4" s="75" t="s">
        <v>81</v>
      </c>
    </row>
    <row r="5" spans="1:11">
      <c r="A5" s="1" t="s">
        <v>1</v>
      </c>
      <c r="B5" s="21" t="s">
        <v>16</v>
      </c>
      <c r="C5" s="23">
        <v>19</v>
      </c>
      <c r="D5" s="24">
        <v>17</v>
      </c>
      <c r="E5" s="44">
        <f>SUM(C5:D5)</f>
        <v>36</v>
      </c>
      <c r="F5" s="22">
        <v>18</v>
      </c>
      <c r="G5" s="23">
        <v>18</v>
      </c>
      <c r="H5" s="23">
        <v>18</v>
      </c>
      <c r="I5" s="54">
        <v>18</v>
      </c>
      <c r="J5" s="66">
        <f>SUM(F5:I5)</f>
        <v>72</v>
      </c>
      <c r="K5" s="66">
        <f>E5+J5</f>
        <v>108</v>
      </c>
    </row>
    <row r="6" spans="1:11">
      <c r="A6" s="1" t="s">
        <v>1</v>
      </c>
      <c r="B6" s="4" t="s">
        <v>17</v>
      </c>
      <c r="C6" s="10">
        <v>0</v>
      </c>
      <c r="D6" s="11">
        <v>0</v>
      </c>
      <c r="E6" s="45"/>
      <c r="F6" s="9">
        <v>0</v>
      </c>
      <c r="G6" s="10">
        <v>1</v>
      </c>
      <c r="H6" s="10">
        <v>2</v>
      </c>
      <c r="I6" s="55">
        <v>0</v>
      </c>
      <c r="J6" s="67">
        <f>SUM(F6:I6)</f>
        <v>3</v>
      </c>
      <c r="K6" s="67">
        <f t="shared" ref="K6:K57" si="0">E6+J6</f>
        <v>3</v>
      </c>
    </row>
    <row r="7" spans="1:11">
      <c r="A7" s="1" t="s">
        <v>1</v>
      </c>
      <c r="B7" s="4" t="s">
        <v>18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0</v>
      </c>
      <c r="I7" s="55">
        <v>0</v>
      </c>
      <c r="J7" s="67">
        <f t="shared" ref="J7:J58" si="1">SUM(F7:I7)</f>
        <v>0</v>
      </c>
      <c r="K7" s="67">
        <f t="shared" si="0"/>
        <v>0</v>
      </c>
    </row>
    <row r="8" spans="1:11">
      <c r="A8" s="1" t="s">
        <v>1</v>
      </c>
      <c r="B8" s="4" t="s">
        <v>19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55">
        <v>0</v>
      </c>
      <c r="J8" s="67">
        <f t="shared" si="1"/>
        <v>0</v>
      </c>
      <c r="K8" s="67">
        <f t="shared" si="0"/>
        <v>0</v>
      </c>
    </row>
    <row r="9" spans="1:11">
      <c r="A9" s="1" t="s">
        <v>1</v>
      </c>
      <c r="B9" s="4" t="s">
        <v>20</v>
      </c>
      <c r="C9" s="10">
        <v>0</v>
      </c>
      <c r="D9" s="11">
        <v>1</v>
      </c>
      <c r="E9" s="45">
        <f>SUM(C9:D9)</f>
        <v>1</v>
      </c>
      <c r="F9" s="9">
        <v>1</v>
      </c>
      <c r="G9" s="10">
        <v>1</v>
      </c>
      <c r="H9" s="10">
        <v>1</v>
      </c>
      <c r="I9" s="55">
        <v>1</v>
      </c>
      <c r="J9" s="67">
        <f t="shared" si="1"/>
        <v>4</v>
      </c>
      <c r="K9" s="67">
        <f t="shared" si="0"/>
        <v>5</v>
      </c>
    </row>
    <row r="10" spans="1:11">
      <c r="A10" s="1" t="s">
        <v>1</v>
      </c>
      <c r="B10" s="4" t="s">
        <v>21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55">
        <v>0</v>
      </c>
      <c r="J10" s="67">
        <f t="shared" si="1"/>
        <v>0</v>
      </c>
      <c r="K10" s="67">
        <f t="shared" si="0"/>
        <v>0</v>
      </c>
    </row>
    <row r="11" spans="1:11">
      <c r="A11" s="1" t="s">
        <v>1</v>
      </c>
      <c r="B11" s="4" t="s">
        <v>22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55">
        <v>0</v>
      </c>
      <c r="J11" s="67">
        <f t="shared" si="1"/>
        <v>0</v>
      </c>
      <c r="K11" s="67">
        <f t="shared" si="0"/>
        <v>0</v>
      </c>
    </row>
    <row r="12" spans="1:11">
      <c r="A12" s="1" t="s">
        <v>1</v>
      </c>
      <c r="B12" s="4" t="s">
        <v>23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55">
        <v>0</v>
      </c>
      <c r="J12" s="67">
        <f t="shared" si="1"/>
        <v>0</v>
      </c>
      <c r="K12" s="67">
        <f t="shared" si="0"/>
        <v>0</v>
      </c>
    </row>
    <row r="13" spans="1:11">
      <c r="A13" s="1" t="s">
        <v>1</v>
      </c>
      <c r="B13" s="4" t="s">
        <v>24</v>
      </c>
      <c r="C13" s="13">
        <v>0</v>
      </c>
      <c r="D13" s="14">
        <v>2.9166666666666665</v>
      </c>
      <c r="E13" s="46">
        <f>SUM(C13:D13)</f>
        <v>2.9166666666666665</v>
      </c>
      <c r="F13" s="12">
        <v>0</v>
      </c>
      <c r="G13" s="13">
        <v>0</v>
      </c>
      <c r="H13" s="13">
        <v>0</v>
      </c>
      <c r="I13" s="56">
        <v>0</v>
      </c>
      <c r="J13" s="68">
        <f t="shared" si="1"/>
        <v>0</v>
      </c>
      <c r="K13" s="68">
        <f t="shared" si="0"/>
        <v>2.9166666666666665</v>
      </c>
    </row>
    <row r="14" spans="1:11">
      <c r="A14" s="1" t="s">
        <v>1</v>
      </c>
      <c r="B14" s="4" t="s">
        <v>25</v>
      </c>
      <c r="C14" s="13">
        <v>0</v>
      </c>
      <c r="D14" s="14">
        <v>0</v>
      </c>
      <c r="E14" s="46"/>
      <c r="F14" s="12">
        <v>0</v>
      </c>
      <c r="G14" s="13">
        <v>0</v>
      </c>
      <c r="H14" s="13">
        <v>0</v>
      </c>
      <c r="I14" s="56">
        <v>0</v>
      </c>
      <c r="J14" s="68">
        <f t="shared" si="1"/>
        <v>0</v>
      </c>
      <c r="K14" s="68">
        <f t="shared" si="0"/>
        <v>0</v>
      </c>
    </row>
    <row r="15" spans="1:11">
      <c r="A15" s="1" t="s">
        <v>1</v>
      </c>
      <c r="B15" s="4" t="s">
        <v>26</v>
      </c>
      <c r="C15" s="13">
        <v>0</v>
      </c>
      <c r="D15" s="14">
        <v>0</v>
      </c>
      <c r="E15" s="46"/>
      <c r="F15" s="12">
        <v>2.0833333333333335</v>
      </c>
      <c r="G15" s="13">
        <v>2.4583333333333335</v>
      </c>
      <c r="H15" s="13">
        <v>2.625</v>
      </c>
      <c r="I15" s="56">
        <v>1.5833333333333335</v>
      </c>
      <c r="J15" s="68">
        <f t="shared" si="1"/>
        <v>8.75</v>
      </c>
      <c r="K15" s="68">
        <f t="shared" si="0"/>
        <v>8.75</v>
      </c>
    </row>
    <row r="16" spans="1:11">
      <c r="A16" s="1" t="s">
        <v>1</v>
      </c>
      <c r="B16" s="4" t="s">
        <v>27</v>
      </c>
      <c r="C16" s="13">
        <v>0</v>
      </c>
      <c r="D16" s="14">
        <v>0</v>
      </c>
      <c r="E16" s="46"/>
      <c r="F16" s="12">
        <v>0</v>
      </c>
      <c r="G16" s="13">
        <v>0.5</v>
      </c>
      <c r="H16" s="13">
        <v>0.70833333333333337</v>
      </c>
      <c r="I16" s="56">
        <v>0</v>
      </c>
      <c r="J16" s="68">
        <f t="shared" si="1"/>
        <v>1.2083333333333335</v>
      </c>
      <c r="K16" s="68">
        <f t="shared" si="0"/>
        <v>1.2083333333333335</v>
      </c>
    </row>
    <row r="17" spans="1:11">
      <c r="A17" s="1" t="s">
        <v>1</v>
      </c>
      <c r="B17" s="4" t="s">
        <v>28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56">
        <v>0</v>
      </c>
      <c r="J17" s="68">
        <f t="shared" si="1"/>
        <v>0</v>
      </c>
      <c r="K17" s="68">
        <f t="shared" si="0"/>
        <v>0</v>
      </c>
    </row>
    <row r="18" spans="1:11">
      <c r="A18" s="1" t="s">
        <v>1</v>
      </c>
      <c r="B18" s="4" t="s">
        <v>29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56">
        <v>0</v>
      </c>
      <c r="J18" s="68">
        <f t="shared" si="1"/>
        <v>0</v>
      </c>
      <c r="K18" s="68">
        <f t="shared" si="0"/>
        <v>0</v>
      </c>
    </row>
    <row r="19" spans="1:11">
      <c r="A19" s="1" t="s">
        <v>1</v>
      </c>
      <c r="B19" s="4" t="s">
        <v>30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56">
        <v>0</v>
      </c>
      <c r="J19" s="68">
        <f t="shared" si="1"/>
        <v>0</v>
      </c>
      <c r="K19" s="68">
        <f t="shared" si="0"/>
        <v>0</v>
      </c>
    </row>
    <row r="20" spans="1:11">
      <c r="A20" s="1" t="s">
        <v>1</v>
      </c>
      <c r="B20" s="4" t="s">
        <v>31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56">
        <v>0</v>
      </c>
      <c r="J20" s="68">
        <f t="shared" si="1"/>
        <v>0</v>
      </c>
      <c r="K20" s="68">
        <f t="shared" si="0"/>
        <v>0</v>
      </c>
    </row>
    <row r="21" spans="1:11">
      <c r="A21" s="1" t="s">
        <v>1</v>
      </c>
      <c r="B21" s="4" t="s">
        <v>32</v>
      </c>
      <c r="C21" s="13">
        <v>0</v>
      </c>
      <c r="D21" s="14">
        <v>0.16666666666666666</v>
      </c>
      <c r="E21" s="46">
        <f>SUM(C21:D21)</f>
        <v>0.16666666666666666</v>
      </c>
      <c r="F21" s="12">
        <v>0</v>
      </c>
      <c r="G21" s="13">
        <v>0</v>
      </c>
      <c r="H21" s="13">
        <v>0</v>
      </c>
      <c r="I21" s="56">
        <v>0</v>
      </c>
      <c r="J21" s="68">
        <f t="shared" si="1"/>
        <v>0</v>
      </c>
      <c r="K21" s="68">
        <f t="shared" si="0"/>
        <v>0.16666666666666666</v>
      </c>
    </row>
    <row r="22" spans="1:11">
      <c r="A22" s="1" t="s">
        <v>1</v>
      </c>
      <c r="B22" s="4" t="s">
        <v>33</v>
      </c>
      <c r="C22" s="13">
        <v>0</v>
      </c>
      <c r="D22" s="14">
        <v>0</v>
      </c>
      <c r="E22" s="46"/>
      <c r="F22" s="12">
        <v>0</v>
      </c>
      <c r="G22" s="13">
        <v>0</v>
      </c>
      <c r="H22" s="13">
        <v>0</v>
      </c>
      <c r="I22" s="56">
        <v>0</v>
      </c>
      <c r="J22" s="68">
        <f t="shared" si="1"/>
        <v>0</v>
      </c>
      <c r="K22" s="68">
        <f t="shared" si="0"/>
        <v>0</v>
      </c>
    </row>
    <row r="23" spans="1:11">
      <c r="A23" s="1" t="s">
        <v>1</v>
      </c>
      <c r="B23" s="4" t="s">
        <v>34</v>
      </c>
      <c r="C23" s="13">
        <v>0.16666666666666666</v>
      </c>
      <c r="D23" s="14">
        <v>0</v>
      </c>
      <c r="E23" s="46">
        <f>SUM(C23:D23)</f>
        <v>0.16666666666666666</v>
      </c>
      <c r="F23" s="12">
        <v>0.20833333333333334</v>
      </c>
      <c r="G23" s="13">
        <v>0.33333333333333331</v>
      </c>
      <c r="H23" s="13">
        <v>0.125</v>
      </c>
      <c r="I23" s="56">
        <v>0.20833333333333334</v>
      </c>
      <c r="J23" s="68">
        <f t="shared" si="1"/>
        <v>0.875</v>
      </c>
      <c r="K23" s="68">
        <f t="shared" si="0"/>
        <v>1.0416666666666667</v>
      </c>
    </row>
    <row r="24" spans="1:11" ht="19.5" thickBot="1">
      <c r="A24" s="1" t="s">
        <v>1</v>
      </c>
      <c r="B24" s="5" t="s">
        <v>35</v>
      </c>
      <c r="C24" s="33">
        <v>23</v>
      </c>
      <c r="D24" s="34">
        <v>9</v>
      </c>
      <c r="E24" s="47"/>
      <c r="F24" s="32">
        <v>26</v>
      </c>
      <c r="G24" s="33">
        <v>26</v>
      </c>
      <c r="H24" s="33">
        <v>14</v>
      </c>
      <c r="I24" s="57">
        <v>8</v>
      </c>
      <c r="J24" s="69">
        <f t="shared" si="1"/>
        <v>74</v>
      </c>
      <c r="K24" s="69">
        <f t="shared" si="0"/>
        <v>74</v>
      </c>
    </row>
    <row r="25" spans="1:11">
      <c r="A25" s="1" t="s">
        <v>1</v>
      </c>
      <c r="B25" s="21" t="s">
        <v>36</v>
      </c>
      <c r="C25" s="30">
        <v>355000</v>
      </c>
      <c r="D25" s="31">
        <v>0</v>
      </c>
      <c r="E25" s="31">
        <f>SUM(C25:D25)</f>
        <v>355000</v>
      </c>
      <c r="F25" s="29">
        <v>182000</v>
      </c>
      <c r="G25" s="30">
        <v>192000</v>
      </c>
      <c r="H25" s="30">
        <v>177000</v>
      </c>
      <c r="I25" s="58">
        <v>182000</v>
      </c>
      <c r="J25" s="70">
        <f t="shared" si="1"/>
        <v>733000</v>
      </c>
      <c r="K25" s="70">
        <f t="shared" si="0"/>
        <v>1088000</v>
      </c>
    </row>
    <row r="26" spans="1:11">
      <c r="A26" s="1" t="s">
        <v>1</v>
      </c>
      <c r="B26" s="4" t="s">
        <v>37</v>
      </c>
      <c r="C26" s="16">
        <v>0</v>
      </c>
      <c r="D26" s="17">
        <v>0</v>
      </c>
      <c r="E26" s="17">
        <f t="shared" ref="E26:E65" si="2">SUM(C26:D26)</f>
        <v>0</v>
      </c>
      <c r="F26" s="15">
        <v>5000</v>
      </c>
      <c r="G26" s="16">
        <v>0</v>
      </c>
      <c r="H26" s="16">
        <v>5000</v>
      </c>
      <c r="I26" s="59">
        <v>0</v>
      </c>
      <c r="J26" s="71">
        <f t="shared" si="1"/>
        <v>10000</v>
      </c>
      <c r="K26" s="71">
        <f t="shared" si="0"/>
        <v>10000</v>
      </c>
    </row>
    <row r="27" spans="1:11">
      <c r="A27" s="1" t="s">
        <v>1</v>
      </c>
      <c r="B27" s="4" t="s">
        <v>38</v>
      </c>
      <c r="C27" s="16">
        <v>0</v>
      </c>
      <c r="D27" s="17">
        <v>0</v>
      </c>
      <c r="E27" s="17">
        <f t="shared" si="2"/>
        <v>0</v>
      </c>
      <c r="F27" s="15">
        <v>3000</v>
      </c>
      <c r="G27" s="16">
        <v>3000</v>
      </c>
      <c r="H27" s="16">
        <v>6000</v>
      </c>
      <c r="I27" s="59">
        <v>0</v>
      </c>
      <c r="J27" s="71">
        <f t="shared" si="1"/>
        <v>12000</v>
      </c>
      <c r="K27" s="71">
        <f t="shared" si="0"/>
        <v>12000</v>
      </c>
    </row>
    <row r="28" spans="1:11">
      <c r="A28" s="1" t="s">
        <v>1</v>
      </c>
      <c r="B28" s="4" t="s">
        <v>39</v>
      </c>
      <c r="C28" s="16">
        <v>50000</v>
      </c>
      <c r="D28" s="17">
        <v>0</v>
      </c>
      <c r="E28" s="17">
        <f t="shared" si="2"/>
        <v>50000</v>
      </c>
      <c r="F28" s="15">
        <v>50000</v>
      </c>
      <c r="G28" s="16">
        <v>50000</v>
      </c>
      <c r="H28" s="16">
        <v>50000</v>
      </c>
      <c r="I28" s="59">
        <v>50000</v>
      </c>
      <c r="J28" s="71">
        <f t="shared" si="1"/>
        <v>200000</v>
      </c>
      <c r="K28" s="71">
        <f t="shared" si="0"/>
        <v>250000</v>
      </c>
    </row>
    <row r="29" spans="1:11">
      <c r="A29" s="1" t="s">
        <v>1</v>
      </c>
      <c r="B29" s="4" t="s">
        <v>40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59">
        <v>0</v>
      </c>
      <c r="J29" s="71">
        <f t="shared" si="1"/>
        <v>0</v>
      </c>
      <c r="K29" s="71">
        <f t="shared" si="0"/>
        <v>0</v>
      </c>
    </row>
    <row r="30" spans="1:11">
      <c r="A30" s="1" t="s">
        <v>1</v>
      </c>
      <c r="B30" s="4" t="s">
        <v>41</v>
      </c>
      <c r="C30" s="16">
        <v>0</v>
      </c>
      <c r="D30" s="17">
        <v>75250</v>
      </c>
      <c r="E30" s="17">
        <f t="shared" si="2"/>
        <v>75250</v>
      </c>
      <c r="F30" s="15">
        <v>0</v>
      </c>
      <c r="G30" s="16">
        <v>0</v>
      </c>
      <c r="H30" s="16">
        <v>0</v>
      </c>
      <c r="I30" s="59">
        <v>0</v>
      </c>
      <c r="J30" s="71">
        <f t="shared" si="1"/>
        <v>0</v>
      </c>
      <c r="K30" s="71">
        <f t="shared" si="0"/>
        <v>75250</v>
      </c>
    </row>
    <row r="31" spans="1:11">
      <c r="A31" s="1" t="s">
        <v>1</v>
      </c>
      <c r="B31" s="4" t="s">
        <v>42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59">
        <v>0</v>
      </c>
      <c r="J31" s="71">
        <f t="shared" si="1"/>
        <v>0</v>
      </c>
      <c r="K31" s="71">
        <f t="shared" si="0"/>
        <v>0</v>
      </c>
    </row>
    <row r="32" spans="1:11">
      <c r="A32" s="1" t="s">
        <v>1</v>
      </c>
      <c r="B32" s="4" t="s">
        <v>43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59">
        <v>0</v>
      </c>
      <c r="J32" s="71">
        <f t="shared" si="1"/>
        <v>0</v>
      </c>
      <c r="K32" s="71">
        <f t="shared" si="0"/>
        <v>0</v>
      </c>
    </row>
    <row r="33" spans="1:11">
      <c r="A33" s="1" t="s">
        <v>1</v>
      </c>
      <c r="B33" s="4" t="s">
        <v>44</v>
      </c>
      <c r="C33" s="16">
        <v>0</v>
      </c>
      <c r="D33" s="17">
        <v>0</v>
      </c>
      <c r="E33" s="17">
        <f t="shared" si="2"/>
        <v>0</v>
      </c>
      <c r="F33" s="15">
        <v>2000</v>
      </c>
      <c r="G33" s="16">
        <v>2000</v>
      </c>
      <c r="H33" s="16">
        <v>0</v>
      </c>
      <c r="I33" s="59">
        <v>2000</v>
      </c>
      <c r="J33" s="71">
        <f t="shared" si="1"/>
        <v>6000</v>
      </c>
      <c r="K33" s="71">
        <f t="shared" si="0"/>
        <v>6000</v>
      </c>
    </row>
    <row r="34" spans="1:11">
      <c r="A34" s="1" t="s">
        <v>1</v>
      </c>
      <c r="B34" s="4" t="s">
        <v>45</v>
      </c>
      <c r="C34" s="16">
        <v>0</v>
      </c>
      <c r="D34" s="17">
        <v>4300</v>
      </c>
      <c r="E34" s="17">
        <f t="shared" si="2"/>
        <v>4300</v>
      </c>
      <c r="F34" s="15">
        <v>0</v>
      </c>
      <c r="G34" s="16">
        <v>0</v>
      </c>
      <c r="H34" s="16">
        <v>0</v>
      </c>
      <c r="I34" s="59">
        <v>0</v>
      </c>
      <c r="J34" s="71">
        <f t="shared" si="1"/>
        <v>0</v>
      </c>
      <c r="K34" s="71">
        <f t="shared" si="0"/>
        <v>4300</v>
      </c>
    </row>
    <row r="35" spans="1:11">
      <c r="A35" s="1" t="s">
        <v>1</v>
      </c>
      <c r="B35" s="4" t="s">
        <v>46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59">
        <v>0</v>
      </c>
      <c r="J35" s="71">
        <f t="shared" si="1"/>
        <v>0</v>
      </c>
      <c r="K35" s="71">
        <f t="shared" si="0"/>
        <v>0</v>
      </c>
    </row>
    <row r="36" spans="1:11">
      <c r="A36" s="1" t="s">
        <v>1</v>
      </c>
      <c r="B36" s="4" t="s">
        <v>47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13000</v>
      </c>
      <c r="H36" s="16">
        <v>15000</v>
      </c>
      <c r="I36" s="59">
        <v>13000</v>
      </c>
      <c r="J36" s="71">
        <f t="shared" si="1"/>
        <v>41000</v>
      </c>
      <c r="K36" s="71">
        <f t="shared" si="0"/>
        <v>41000</v>
      </c>
    </row>
    <row r="37" spans="1:11">
      <c r="A37" s="1" t="s">
        <v>1</v>
      </c>
      <c r="B37" s="4" t="s">
        <v>48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59">
        <v>0</v>
      </c>
      <c r="J37" s="71">
        <f t="shared" si="1"/>
        <v>0</v>
      </c>
      <c r="K37" s="71">
        <f t="shared" si="0"/>
        <v>0</v>
      </c>
    </row>
    <row r="38" spans="1:11">
      <c r="A38" s="1" t="s">
        <v>1</v>
      </c>
      <c r="B38" s="4" t="s">
        <v>49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59">
        <v>0</v>
      </c>
      <c r="J38" s="71">
        <f t="shared" si="1"/>
        <v>0</v>
      </c>
      <c r="K38" s="71">
        <f t="shared" si="0"/>
        <v>0</v>
      </c>
    </row>
    <row r="39" spans="1:11">
      <c r="A39" s="1" t="s">
        <v>1</v>
      </c>
      <c r="B39" s="4" t="s">
        <v>50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59">
        <v>0</v>
      </c>
      <c r="J39" s="71">
        <f t="shared" si="1"/>
        <v>0</v>
      </c>
      <c r="K39" s="71">
        <f t="shared" si="0"/>
        <v>0</v>
      </c>
    </row>
    <row r="40" spans="1:11">
      <c r="A40" s="1" t="s">
        <v>1</v>
      </c>
      <c r="B40" s="4" t="s">
        <v>26</v>
      </c>
      <c r="C40" s="16">
        <v>0</v>
      </c>
      <c r="D40" s="17">
        <v>0</v>
      </c>
      <c r="E40" s="17">
        <f t="shared" si="2"/>
        <v>0</v>
      </c>
      <c r="F40" s="15">
        <v>90550</v>
      </c>
      <c r="G40" s="16">
        <v>114814</v>
      </c>
      <c r="H40" s="16">
        <v>119322</v>
      </c>
      <c r="I40" s="59">
        <v>70262</v>
      </c>
      <c r="J40" s="71">
        <f t="shared" si="1"/>
        <v>394948</v>
      </c>
      <c r="K40" s="71">
        <f t="shared" si="0"/>
        <v>394948</v>
      </c>
    </row>
    <row r="41" spans="1:11">
      <c r="A41" s="1" t="s">
        <v>1</v>
      </c>
      <c r="B41" s="4" t="s">
        <v>51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25224</v>
      </c>
      <c r="H41" s="16">
        <v>34765</v>
      </c>
      <c r="I41" s="59">
        <v>0</v>
      </c>
      <c r="J41" s="71">
        <f t="shared" si="1"/>
        <v>59989</v>
      </c>
      <c r="K41" s="71">
        <f t="shared" si="0"/>
        <v>59989</v>
      </c>
    </row>
    <row r="42" spans="1:11">
      <c r="A42" s="1" t="s">
        <v>1</v>
      </c>
      <c r="B42" s="4" t="s">
        <v>52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59">
        <v>0</v>
      </c>
      <c r="J42" s="71">
        <f t="shared" si="1"/>
        <v>0</v>
      </c>
      <c r="K42" s="71">
        <f t="shared" si="0"/>
        <v>0</v>
      </c>
    </row>
    <row r="43" spans="1:11">
      <c r="A43" s="1" t="s">
        <v>1</v>
      </c>
      <c r="B43" s="4" t="s">
        <v>53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59">
        <v>0</v>
      </c>
      <c r="J43" s="71">
        <f t="shared" si="1"/>
        <v>0</v>
      </c>
      <c r="K43" s="71">
        <f t="shared" si="0"/>
        <v>0</v>
      </c>
    </row>
    <row r="44" spans="1:11">
      <c r="A44" s="1" t="s">
        <v>1</v>
      </c>
      <c r="B44" s="4" t="s">
        <v>54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59">
        <v>0</v>
      </c>
      <c r="J44" s="71">
        <f t="shared" si="1"/>
        <v>0</v>
      </c>
      <c r="K44" s="71">
        <f t="shared" si="0"/>
        <v>0</v>
      </c>
    </row>
    <row r="45" spans="1:11">
      <c r="A45" s="1" t="s">
        <v>1</v>
      </c>
      <c r="B45" s="4" t="s">
        <v>55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59">
        <v>0</v>
      </c>
      <c r="J45" s="71">
        <f t="shared" si="1"/>
        <v>0</v>
      </c>
      <c r="K45" s="71">
        <f t="shared" si="0"/>
        <v>0</v>
      </c>
    </row>
    <row r="46" spans="1:11">
      <c r="A46" s="1" t="s">
        <v>1</v>
      </c>
      <c r="B46" s="4" t="s">
        <v>31</v>
      </c>
      <c r="C46" s="16">
        <v>0</v>
      </c>
      <c r="D46" s="17">
        <v>0</v>
      </c>
      <c r="E46" s="17">
        <f t="shared" si="2"/>
        <v>0</v>
      </c>
      <c r="F46" s="15">
        <v>0</v>
      </c>
      <c r="G46" s="16">
        <v>0</v>
      </c>
      <c r="H46" s="16">
        <v>0</v>
      </c>
      <c r="I46" s="59">
        <v>0</v>
      </c>
      <c r="J46" s="71">
        <f t="shared" si="1"/>
        <v>0</v>
      </c>
      <c r="K46" s="71">
        <f t="shared" si="0"/>
        <v>0</v>
      </c>
    </row>
    <row r="47" spans="1:11" ht="19.5" thickBot="1">
      <c r="A47" s="1" t="s">
        <v>1</v>
      </c>
      <c r="B47" s="35" t="s">
        <v>34</v>
      </c>
      <c r="C47" s="37">
        <v>2424</v>
      </c>
      <c r="D47" s="38">
        <v>0</v>
      </c>
      <c r="E47" s="38">
        <f t="shared" si="2"/>
        <v>2424</v>
      </c>
      <c r="F47" s="36">
        <v>1810</v>
      </c>
      <c r="G47" s="37">
        <v>3112</v>
      </c>
      <c r="H47" s="37">
        <v>1137</v>
      </c>
      <c r="I47" s="60">
        <v>1850</v>
      </c>
      <c r="J47" s="72">
        <f t="shared" si="1"/>
        <v>7909</v>
      </c>
      <c r="K47" s="72">
        <f t="shared" si="0"/>
        <v>10333</v>
      </c>
    </row>
    <row r="48" spans="1:11" ht="19.5" thickBot="1">
      <c r="A48" s="1" t="s">
        <v>1</v>
      </c>
      <c r="B48" s="39" t="s">
        <v>56</v>
      </c>
      <c r="C48" s="41">
        <v>407424</v>
      </c>
      <c r="D48" s="42">
        <v>79550</v>
      </c>
      <c r="E48" s="42">
        <f t="shared" si="2"/>
        <v>486974</v>
      </c>
      <c r="F48" s="40">
        <v>334360</v>
      </c>
      <c r="G48" s="41">
        <v>403150</v>
      </c>
      <c r="H48" s="41">
        <v>408224</v>
      </c>
      <c r="I48" s="61">
        <v>319112</v>
      </c>
      <c r="J48" s="73">
        <f t="shared" si="1"/>
        <v>1464846</v>
      </c>
      <c r="K48" s="73">
        <f t="shared" si="0"/>
        <v>1951820</v>
      </c>
    </row>
    <row r="49" spans="1:11" ht="19.5" thickBot="1">
      <c r="A49" s="1" t="s">
        <v>1</v>
      </c>
      <c r="B49" s="21" t="s">
        <v>57</v>
      </c>
      <c r="C49" s="30">
        <v>9059</v>
      </c>
      <c r="D49" s="31">
        <v>0</v>
      </c>
      <c r="E49" s="31">
        <f t="shared" si="2"/>
        <v>9059</v>
      </c>
      <c r="F49" s="29">
        <v>5367</v>
      </c>
      <c r="G49" s="30">
        <v>1431</v>
      </c>
      <c r="H49" s="30">
        <v>3478</v>
      </c>
      <c r="I49" s="58">
        <v>0</v>
      </c>
      <c r="J49" s="70">
        <f t="shared" si="1"/>
        <v>10276</v>
      </c>
      <c r="K49" s="70">
        <f t="shared" si="0"/>
        <v>19335</v>
      </c>
    </row>
    <row r="50" spans="1:11" ht="19.5" thickBot="1">
      <c r="A50" s="1" t="s">
        <v>1</v>
      </c>
      <c r="B50" s="39" t="s">
        <v>58</v>
      </c>
      <c r="C50" s="41">
        <v>9059</v>
      </c>
      <c r="D50" s="42">
        <v>0</v>
      </c>
      <c r="E50" s="42">
        <f t="shared" si="2"/>
        <v>9059</v>
      </c>
      <c r="F50" s="40">
        <v>5367</v>
      </c>
      <c r="G50" s="41">
        <v>1431</v>
      </c>
      <c r="H50" s="41">
        <v>3478</v>
      </c>
      <c r="I50" s="61">
        <v>0</v>
      </c>
      <c r="J50" s="73">
        <f t="shared" si="1"/>
        <v>10276</v>
      </c>
      <c r="K50" s="73">
        <f t="shared" si="0"/>
        <v>19335</v>
      </c>
    </row>
    <row r="51" spans="1:11" ht="19.5" thickBot="1">
      <c r="A51" s="1" t="s">
        <v>1</v>
      </c>
      <c r="B51" s="39" t="s">
        <v>59</v>
      </c>
      <c r="C51" s="41">
        <v>416483</v>
      </c>
      <c r="D51" s="42">
        <v>79550</v>
      </c>
      <c r="E51" s="42">
        <f t="shared" si="2"/>
        <v>496033</v>
      </c>
      <c r="F51" s="40">
        <v>339727</v>
      </c>
      <c r="G51" s="41">
        <v>404581</v>
      </c>
      <c r="H51" s="41">
        <v>411702</v>
      </c>
      <c r="I51" s="61">
        <v>319112</v>
      </c>
      <c r="J51" s="73">
        <f t="shared" si="1"/>
        <v>1475122</v>
      </c>
      <c r="K51" s="73">
        <f t="shared" si="0"/>
        <v>1971155</v>
      </c>
    </row>
    <row r="52" spans="1:11">
      <c r="A52" s="1" t="s">
        <v>1</v>
      </c>
      <c r="B52" s="21" t="s">
        <v>60</v>
      </c>
      <c r="C52" s="30">
        <v>20910</v>
      </c>
      <c r="D52" s="31">
        <v>0</v>
      </c>
      <c r="E52" s="31">
        <f t="shared" si="2"/>
        <v>20910</v>
      </c>
      <c r="F52" s="29">
        <v>17340</v>
      </c>
      <c r="G52" s="30">
        <v>22440</v>
      </c>
      <c r="H52" s="30">
        <v>18360</v>
      </c>
      <c r="I52" s="58">
        <v>18360</v>
      </c>
      <c r="J52" s="70">
        <f t="shared" si="1"/>
        <v>76500</v>
      </c>
      <c r="K52" s="70">
        <f t="shared" si="0"/>
        <v>97410</v>
      </c>
    </row>
    <row r="53" spans="1:11">
      <c r="A53" s="1" t="s">
        <v>1</v>
      </c>
      <c r="B53" s="4" t="s">
        <v>61</v>
      </c>
      <c r="C53" s="16">
        <v>3690</v>
      </c>
      <c r="D53" s="17">
        <v>0</v>
      </c>
      <c r="E53" s="17">
        <f t="shared" si="2"/>
        <v>3690</v>
      </c>
      <c r="F53" s="15">
        <v>3060</v>
      </c>
      <c r="G53" s="16">
        <v>3960</v>
      </c>
      <c r="H53" s="16">
        <v>3240</v>
      </c>
      <c r="I53" s="59">
        <v>3240</v>
      </c>
      <c r="J53" s="71">
        <f t="shared" si="1"/>
        <v>13500</v>
      </c>
      <c r="K53" s="71">
        <f t="shared" si="0"/>
        <v>17190</v>
      </c>
    </row>
    <row r="54" spans="1:11">
      <c r="A54" s="1" t="s">
        <v>1</v>
      </c>
      <c r="B54" s="4" t="s">
        <v>62</v>
      </c>
      <c r="C54" s="16">
        <v>37515</v>
      </c>
      <c r="D54" s="17">
        <v>0</v>
      </c>
      <c r="E54" s="17">
        <f t="shared" si="2"/>
        <v>37515</v>
      </c>
      <c r="F54" s="15">
        <v>31110</v>
      </c>
      <c r="G54" s="16">
        <v>40260</v>
      </c>
      <c r="H54" s="16">
        <v>32940</v>
      </c>
      <c r="I54" s="59">
        <v>32940</v>
      </c>
      <c r="J54" s="71">
        <f t="shared" si="1"/>
        <v>137250</v>
      </c>
      <c r="K54" s="71">
        <f t="shared" si="0"/>
        <v>174765</v>
      </c>
    </row>
    <row r="55" spans="1:11" ht="19.5" thickBot="1">
      <c r="A55" s="1" t="s">
        <v>1</v>
      </c>
      <c r="B55" s="4" t="s">
        <v>63</v>
      </c>
      <c r="C55" s="16">
        <v>2082</v>
      </c>
      <c r="D55" s="17">
        <v>398</v>
      </c>
      <c r="E55" s="17">
        <f t="shared" si="2"/>
        <v>2480</v>
      </c>
      <c r="F55" s="15">
        <v>1699</v>
      </c>
      <c r="G55" s="16">
        <v>2023</v>
      </c>
      <c r="H55" s="16">
        <v>2059</v>
      </c>
      <c r="I55" s="59">
        <v>1596</v>
      </c>
      <c r="J55" s="71">
        <f t="shared" si="1"/>
        <v>7377</v>
      </c>
      <c r="K55" s="71">
        <f t="shared" si="0"/>
        <v>9857</v>
      </c>
    </row>
    <row r="56" spans="1:11" ht="19.5" thickBot="1">
      <c r="A56" s="1" t="s">
        <v>1</v>
      </c>
      <c r="B56" s="39" t="s">
        <v>64</v>
      </c>
      <c r="C56" s="41">
        <v>64197</v>
      </c>
      <c r="D56" s="42">
        <v>398</v>
      </c>
      <c r="E56" s="42">
        <f t="shared" si="2"/>
        <v>64595</v>
      </c>
      <c r="F56" s="40">
        <v>53209</v>
      </c>
      <c r="G56" s="41">
        <v>68683</v>
      </c>
      <c r="H56" s="41">
        <v>56599</v>
      </c>
      <c r="I56" s="61">
        <v>56136</v>
      </c>
      <c r="J56" s="73">
        <f t="shared" si="1"/>
        <v>234627</v>
      </c>
      <c r="K56" s="73">
        <f t="shared" si="0"/>
        <v>299222</v>
      </c>
    </row>
    <row r="57" spans="1:11">
      <c r="A57" s="1" t="s">
        <v>1</v>
      </c>
      <c r="B57" s="21" t="s">
        <v>65</v>
      </c>
      <c r="C57" s="30">
        <v>8680</v>
      </c>
      <c r="D57" s="31">
        <v>0</v>
      </c>
      <c r="E57" s="31">
        <f t="shared" si="2"/>
        <v>8680</v>
      </c>
      <c r="F57" s="29">
        <v>6050</v>
      </c>
      <c r="G57" s="30">
        <v>11200</v>
      </c>
      <c r="H57" s="30">
        <v>9360</v>
      </c>
      <c r="I57" s="58">
        <v>5400</v>
      </c>
      <c r="J57" s="70">
        <f t="shared" si="1"/>
        <v>32010</v>
      </c>
      <c r="K57" s="70">
        <f t="shared" si="0"/>
        <v>40690</v>
      </c>
    </row>
    <row r="58" spans="1:11">
      <c r="A58" s="1" t="s">
        <v>1</v>
      </c>
      <c r="B58" s="4" t="s">
        <v>66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16">
        <v>0</v>
      </c>
      <c r="I58" s="59">
        <v>0</v>
      </c>
      <c r="J58" s="71">
        <f t="shared" si="1"/>
        <v>0</v>
      </c>
      <c r="K58" s="71">
        <f t="shared" ref="K58:K65" si="3">E58+J58</f>
        <v>0</v>
      </c>
    </row>
    <row r="59" spans="1:11">
      <c r="A59" s="1" t="s">
        <v>1</v>
      </c>
      <c r="B59" s="4" t="s">
        <v>67</v>
      </c>
      <c r="C59" s="16">
        <v>19900</v>
      </c>
      <c r="D59" s="17">
        <v>0</v>
      </c>
      <c r="E59" s="17">
        <f t="shared" si="2"/>
        <v>19900</v>
      </c>
      <c r="F59" s="15">
        <v>12100</v>
      </c>
      <c r="G59" s="16">
        <v>17900</v>
      </c>
      <c r="H59" s="16">
        <v>18900</v>
      </c>
      <c r="I59" s="59">
        <v>6000</v>
      </c>
      <c r="J59" s="71">
        <f t="shared" ref="J59:J65" si="4">SUM(F59:I59)</f>
        <v>54900</v>
      </c>
      <c r="K59" s="71">
        <f t="shared" si="3"/>
        <v>74800</v>
      </c>
    </row>
    <row r="60" spans="1:11" ht="19.5" thickBot="1">
      <c r="A60" s="1" t="s">
        <v>1</v>
      </c>
      <c r="B60" s="4" t="s">
        <v>68</v>
      </c>
      <c r="C60" s="16">
        <v>0</v>
      </c>
      <c r="D60" s="17">
        <v>0</v>
      </c>
      <c r="E60" s="17">
        <f t="shared" si="2"/>
        <v>0</v>
      </c>
      <c r="F60" s="15">
        <v>0</v>
      </c>
      <c r="G60" s="16">
        <v>0</v>
      </c>
      <c r="H60" s="16">
        <v>0</v>
      </c>
      <c r="I60" s="59">
        <v>0</v>
      </c>
      <c r="J60" s="71">
        <f t="shared" si="4"/>
        <v>0</v>
      </c>
      <c r="K60" s="71">
        <f t="shared" si="3"/>
        <v>0</v>
      </c>
    </row>
    <row r="61" spans="1:11" ht="19.5" thickBot="1">
      <c r="A61" s="1" t="s">
        <v>1</v>
      </c>
      <c r="B61" s="39" t="s">
        <v>69</v>
      </c>
      <c r="C61" s="41">
        <v>92777</v>
      </c>
      <c r="D61" s="42">
        <v>398</v>
      </c>
      <c r="E61" s="42">
        <f t="shared" si="2"/>
        <v>93175</v>
      </c>
      <c r="F61" s="40">
        <v>71359</v>
      </c>
      <c r="G61" s="41">
        <v>97783</v>
      </c>
      <c r="H61" s="41">
        <v>84859</v>
      </c>
      <c r="I61" s="61">
        <v>67536</v>
      </c>
      <c r="J61" s="73">
        <f t="shared" si="4"/>
        <v>321537</v>
      </c>
      <c r="K61" s="73">
        <f t="shared" si="3"/>
        <v>414712</v>
      </c>
    </row>
    <row r="62" spans="1:11" ht="19.5" thickBot="1">
      <c r="A62" s="1" t="s">
        <v>1</v>
      </c>
      <c r="B62" s="39" t="s">
        <v>70</v>
      </c>
      <c r="C62" s="41">
        <v>343227</v>
      </c>
      <c r="D62" s="42">
        <v>79152</v>
      </c>
      <c r="E62" s="42">
        <f t="shared" si="2"/>
        <v>422379</v>
      </c>
      <c r="F62" s="40">
        <v>281151</v>
      </c>
      <c r="G62" s="41">
        <v>334467</v>
      </c>
      <c r="H62" s="41">
        <v>351625</v>
      </c>
      <c r="I62" s="61">
        <v>262976</v>
      </c>
      <c r="J62" s="73">
        <f t="shared" si="4"/>
        <v>1230219</v>
      </c>
      <c r="K62" s="73">
        <f t="shared" si="3"/>
        <v>1652598</v>
      </c>
    </row>
    <row r="63" spans="1:11" ht="19.5" thickBot="1">
      <c r="A63" s="1" t="s">
        <v>1</v>
      </c>
      <c r="B63" s="39" t="s">
        <v>71</v>
      </c>
      <c r="C63" s="41">
        <v>323706</v>
      </c>
      <c r="D63" s="42">
        <v>79152</v>
      </c>
      <c r="E63" s="42">
        <f t="shared" si="2"/>
        <v>402858</v>
      </c>
      <c r="F63" s="40">
        <v>268368</v>
      </c>
      <c r="G63" s="41">
        <v>306798</v>
      </c>
      <c r="H63" s="41">
        <v>326843</v>
      </c>
      <c r="I63" s="61">
        <v>251576</v>
      </c>
      <c r="J63" s="73">
        <f t="shared" si="4"/>
        <v>1153585</v>
      </c>
      <c r="K63" s="73">
        <f t="shared" si="3"/>
        <v>1556443</v>
      </c>
    </row>
    <row r="64" spans="1:11">
      <c r="A64" s="1" t="s">
        <v>1</v>
      </c>
      <c r="B64" s="21" t="s">
        <v>72</v>
      </c>
      <c r="C64" s="30">
        <v>0</v>
      </c>
      <c r="D64" s="31">
        <v>0</v>
      </c>
      <c r="E64" s="31">
        <f t="shared" si="2"/>
        <v>0</v>
      </c>
      <c r="F64" s="29">
        <v>0</v>
      </c>
      <c r="G64" s="30">
        <v>0</v>
      </c>
      <c r="H64" s="30">
        <v>0</v>
      </c>
      <c r="I64" s="58">
        <v>0</v>
      </c>
      <c r="J64" s="70">
        <f t="shared" si="4"/>
        <v>0</v>
      </c>
      <c r="K64" s="70">
        <f t="shared" si="3"/>
        <v>0</v>
      </c>
    </row>
    <row r="65" spans="1:11">
      <c r="A65" s="1" t="s">
        <v>1</v>
      </c>
      <c r="B65" s="4" t="s">
        <v>73</v>
      </c>
      <c r="C65" s="16">
        <v>323706</v>
      </c>
      <c r="D65" s="17">
        <v>79152</v>
      </c>
      <c r="E65" s="17">
        <f t="shared" si="2"/>
        <v>402858</v>
      </c>
      <c r="F65" s="15">
        <v>268368</v>
      </c>
      <c r="G65" s="16">
        <v>306798</v>
      </c>
      <c r="H65" s="16">
        <v>326843</v>
      </c>
      <c r="I65" s="59">
        <v>251576</v>
      </c>
      <c r="J65" s="71">
        <f t="shared" si="4"/>
        <v>1153585</v>
      </c>
      <c r="K65" s="71">
        <f t="shared" si="3"/>
        <v>1556443</v>
      </c>
    </row>
    <row r="66" spans="1:11">
      <c r="A66" s="1" t="s">
        <v>1</v>
      </c>
      <c r="B66" s="4" t="s">
        <v>74</v>
      </c>
      <c r="C66" s="16">
        <v>1</v>
      </c>
      <c r="D66" s="17">
        <v>0</v>
      </c>
      <c r="E66" s="48"/>
      <c r="F66" s="15">
        <v>1</v>
      </c>
      <c r="G66" s="16">
        <v>0</v>
      </c>
      <c r="H66" s="16">
        <v>1</v>
      </c>
      <c r="I66" s="59">
        <v>1</v>
      </c>
      <c r="J66" s="71"/>
      <c r="K66" s="71"/>
    </row>
    <row r="67" spans="1:11" ht="19.5" thickBot="1">
      <c r="A67" s="1" t="s">
        <v>1</v>
      </c>
      <c r="B67" s="5" t="s">
        <v>75</v>
      </c>
      <c r="C67" s="19" t="s">
        <v>76</v>
      </c>
      <c r="D67" s="20" t="s">
        <v>76</v>
      </c>
      <c r="E67" s="49"/>
      <c r="F67" s="18" t="s">
        <v>76</v>
      </c>
      <c r="G67" s="19" t="s">
        <v>76</v>
      </c>
      <c r="H67" s="19" t="s">
        <v>76</v>
      </c>
      <c r="I67" s="62" t="s">
        <v>76</v>
      </c>
      <c r="J67" s="74"/>
      <c r="K67" s="74"/>
    </row>
  </sheetData>
  <phoneticPr fontId="3"/>
  <pageMargins left="0.31496062992125984" right="0.31496062992125984" top="0.15748031496062992" bottom="0.15748031496062992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1月度給与 (2)</vt:lpstr>
      <vt:lpstr>'2023年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2023-02-10T05:45:00Z</cp:lastPrinted>
  <dcterms:created xsi:type="dcterms:W3CDTF">2023-02-10T00:30:42Z</dcterms:created>
  <dcterms:modified xsi:type="dcterms:W3CDTF">2023-02-10T06:39:17Z</dcterms:modified>
</cp:coreProperties>
</file>