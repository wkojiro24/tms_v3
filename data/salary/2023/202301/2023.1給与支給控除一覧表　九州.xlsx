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1\"/>
    </mc:Choice>
  </mc:AlternateContent>
  <xr:revisionPtr revIDLastSave="0" documentId="13_ncr:1_{25BB6B1B-2509-4D93-AC60-DBA842DFC1B0}" xr6:coauthVersionLast="47" xr6:coauthVersionMax="47" xr10:uidLastSave="{00000000-0000-0000-0000-000000000000}"/>
  <bookViews>
    <workbookView xWindow="-120" yWindow="-120" windowWidth="20730" windowHeight="11160" xr2:uid="{EA229974-326C-46FF-B723-1A81F03FC345}"/>
  </bookViews>
  <sheets>
    <sheet name="2023年 1月度給与 (2)" sheetId="3" r:id="rId1"/>
  </sheets>
  <definedNames>
    <definedName name="_xlnm.Print_Area" localSheetId="0">'2023年 1月度給与 (2)'!$A$1:$M$66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3" l="1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L14" i="3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L24" i="3"/>
  <c r="M24" i="3" s="1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" i="3"/>
  <c r="M6" i="3" s="1"/>
  <c r="L5" i="3"/>
  <c r="E26" i="3"/>
  <c r="E27" i="3"/>
  <c r="E28" i="3"/>
  <c r="E29" i="3"/>
  <c r="M29" i="3" s="1"/>
  <c r="E30" i="3"/>
  <c r="E31" i="3"/>
  <c r="E32" i="3"/>
  <c r="M32" i="3" s="1"/>
  <c r="E33" i="3"/>
  <c r="E34" i="3"/>
  <c r="E35" i="3"/>
  <c r="E36" i="3"/>
  <c r="E37" i="3"/>
  <c r="M37" i="3" s="1"/>
  <c r="E38" i="3"/>
  <c r="E39" i="3"/>
  <c r="E40" i="3"/>
  <c r="M40" i="3" s="1"/>
  <c r="E41" i="3"/>
  <c r="E42" i="3"/>
  <c r="E43" i="3"/>
  <c r="E44" i="3"/>
  <c r="M44" i="3" s="1"/>
  <c r="E45" i="3"/>
  <c r="E46" i="3"/>
  <c r="E47" i="3"/>
  <c r="E48" i="3"/>
  <c r="M48" i="3" s="1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25" i="3"/>
  <c r="E23" i="3"/>
  <c r="E14" i="3"/>
  <c r="E13" i="3"/>
  <c r="E5" i="3"/>
  <c r="M23" i="3" l="1"/>
  <c r="M63" i="3"/>
  <c r="M58" i="3"/>
  <c r="M51" i="3"/>
  <c r="M27" i="3"/>
  <c r="M61" i="3"/>
  <c r="M53" i="3"/>
  <c r="M49" i="3"/>
  <c r="M46" i="3"/>
  <c r="M42" i="3"/>
  <c r="M56" i="3"/>
  <c r="M34" i="3"/>
  <c r="M30" i="3"/>
  <c r="M25" i="3"/>
  <c r="M13" i="3"/>
  <c r="M64" i="3"/>
  <c r="M60" i="3"/>
  <c r="M59" i="3"/>
  <c r="M55" i="3"/>
  <c r="M52" i="3"/>
  <c r="M45" i="3"/>
  <c r="M41" i="3"/>
  <c r="M38" i="3"/>
  <c r="M35" i="3"/>
  <c r="M31" i="3"/>
  <c r="M26" i="3"/>
  <c r="M14" i="3"/>
  <c r="M5" i="3"/>
  <c r="M62" i="3"/>
  <c r="M57" i="3"/>
  <c r="M54" i="3"/>
  <c r="M50" i="3"/>
  <c r="M47" i="3"/>
  <c r="M43" i="3"/>
  <c r="M39" i="3"/>
  <c r="M36" i="3"/>
  <c r="M33" i="3"/>
  <c r="M28" i="3"/>
</calcChain>
</file>

<file path=xl/sharedStrings.xml><?xml version="1.0" encoding="utf-8"?>
<sst xmlns="http://schemas.openxmlformats.org/spreadsheetml/2006/main" count="157" uniqueCount="85">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</sst>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  <xf numFmtId="177" fontId="2" fillId="0" borderId="8" xfId="1" applyNumberFormat="1" applyFont="1" applyBorder="1"/>
    <xf numFmtId="177" fontId="2" fillId="0" borderId="34" xfId="1" applyNumberFormat="1" applyFont="1" applyBorder="1"/>
    <xf numFmtId="177" fontId="2" fillId="0" borderId="40" xfId="1" applyNumberFormat="1" applyFont="1" applyBorder="1"/>
  </cellXfs>
  <cellStyles count="2">
    <cellStyle name="標準" xfId="0" builtinId="0"/>
    <cellStyle name="標準 2" xfId="1" xr:uid="{4102A6AE-A38B-4ECC-A536-1BCBE622C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2401-22D8-4918-BF9E-165D2BCD72C4}">
  <sheetPr>
    <pageSetUpPr fitToPage="1"/>
  </sheetPr>
  <dimension ref="A1:M66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1.25" style="2" customWidth="1"/>
    <col min="14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80</v>
      </c>
    </row>
    <row r="3" spans="1:13">
      <c r="B3" s="3"/>
      <c r="C3" s="7" t="s">
        <v>3</v>
      </c>
      <c r="D3" s="8" t="s">
        <v>9</v>
      </c>
      <c r="E3" s="48" t="s">
        <v>81</v>
      </c>
      <c r="F3" s="6" t="s">
        <v>2</v>
      </c>
      <c r="G3" s="7" t="s">
        <v>4</v>
      </c>
      <c r="H3" s="7" t="s">
        <v>5</v>
      </c>
      <c r="I3" s="7" t="s">
        <v>6</v>
      </c>
      <c r="J3" s="7" t="s">
        <v>7</v>
      </c>
      <c r="K3" s="50" t="s">
        <v>8</v>
      </c>
      <c r="L3" s="61" t="s">
        <v>81</v>
      </c>
      <c r="M3" s="62" t="s">
        <v>19</v>
      </c>
    </row>
    <row r="4" spans="1:13" ht="19.5" thickBot="1">
      <c r="A4" s="43"/>
      <c r="B4" s="25" t="s">
        <v>10</v>
      </c>
      <c r="C4" s="27" t="s">
        <v>12</v>
      </c>
      <c r="D4" s="28" t="s">
        <v>18</v>
      </c>
      <c r="E4" s="49" t="s">
        <v>82</v>
      </c>
      <c r="F4" s="26" t="s">
        <v>11</v>
      </c>
      <c r="G4" s="27" t="s">
        <v>13</v>
      </c>
      <c r="H4" s="27" t="s">
        <v>14</v>
      </c>
      <c r="I4" s="27" t="s">
        <v>15</v>
      </c>
      <c r="J4" s="27" t="s">
        <v>16</v>
      </c>
      <c r="K4" s="51" t="s">
        <v>17</v>
      </c>
      <c r="L4" s="63" t="s">
        <v>83</v>
      </c>
      <c r="M4" s="64" t="s">
        <v>84</v>
      </c>
    </row>
    <row r="5" spans="1:13">
      <c r="A5" s="1" t="s">
        <v>1</v>
      </c>
      <c r="B5" s="21" t="s">
        <v>20</v>
      </c>
      <c r="C5" s="23">
        <v>19</v>
      </c>
      <c r="D5" s="24">
        <v>18</v>
      </c>
      <c r="E5" s="44">
        <f>SUM(C5:D5)</f>
        <v>37</v>
      </c>
      <c r="F5" s="22">
        <v>18</v>
      </c>
      <c r="G5" s="23">
        <v>18</v>
      </c>
      <c r="H5" s="23">
        <v>15</v>
      </c>
      <c r="I5" s="23">
        <v>19</v>
      </c>
      <c r="J5" s="23">
        <v>19</v>
      </c>
      <c r="K5" s="52">
        <v>19</v>
      </c>
      <c r="L5" s="65">
        <f>SUM(F5:K5)</f>
        <v>108</v>
      </c>
      <c r="M5" s="65">
        <f>E5+L5</f>
        <v>145</v>
      </c>
    </row>
    <row r="6" spans="1:13">
      <c r="A6" s="1" t="s">
        <v>1</v>
      </c>
      <c r="B6" s="4" t="s">
        <v>21</v>
      </c>
      <c r="C6" s="10">
        <v>0</v>
      </c>
      <c r="D6" s="11">
        <v>0</v>
      </c>
      <c r="E6" s="45"/>
      <c r="F6" s="9">
        <v>2</v>
      </c>
      <c r="G6" s="10">
        <v>2</v>
      </c>
      <c r="H6" s="10">
        <v>2</v>
      </c>
      <c r="I6" s="10">
        <v>2</v>
      </c>
      <c r="J6" s="10">
        <v>3</v>
      </c>
      <c r="K6" s="53">
        <v>3</v>
      </c>
      <c r="L6" s="66">
        <f>SUM(F6:K6)</f>
        <v>14</v>
      </c>
      <c r="M6" s="66">
        <f t="shared" ref="M6:M56" si="0">E6+L6</f>
        <v>14</v>
      </c>
    </row>
    <row r="7" spans="1:13">
      <c r="A7" s="1" t="s">
        <v>1</v>
      </c>
      <c r="B7" s="4" t="s">
        <v>22</v>
      </c>
      <c r="C7" s="10">
        <v>0</v>
      </c>
      <c r="D7" s="11">
        <v>0</v>
      </c>
      <c r="E7" s="45"/>
      <c r="F7" s="9">
        <v>0</v>
      </c>
      <c r="G7" s="10">
        <v>0</v>
      </c>
      <c r="H7" s="10">
        <v>0</v>
      </c>
      <c r="I7" s="10">
        <v>0</v>
      </c>
      <c r="J7" s="10">
        <v>0</v>
      </c>
      <c r="K7" s="53">
        <v>0</v>
      </c>
      <c r="L7" s="66">
        <f t="shared" ref="L7:L57" si="1">SUM(F7:K7)</f>
        <v>0</v>
      </c>
      <c r="M7" s="66">
        <f t="shared" si="0"/>
        <v>0</v>
      </c>
    </row>
    <row r="8" spans="1:13">
      <c r="A8" s="1" t="s">
        <v>1</v>
      </c>
      <c r="B8" s="4" t="s">
        <v>23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53">
        <v>0</v>
      </c>
      <c r="L8" s="66">
        <f t="shared" si="1"/>
        <v>0</v>
      </c>
      <c r="M8" s="66">
        <f t="shared" si="0"/>
        <v>0</v>
      </c>
    </row>
    <row r="9" spans="1:13">
      <c r="A9" s="1" t="s">
        <v>1</v>
      </c>
      <c r="B9" s="4" t="s">
        <v>24</v>
      </c>
      <c r="C9" s="10">
        <v>0</v>
      </c>
      <c r="D9" s="11">
        <v>0</v>
      </c>
      <c r="E9" s="45"/>
      <c r="F9" s="9">
        <v>1</v>
      </c>
      <c r="G9" s="10">
        <v>1</v>
      </c>
      <c r="H9" s="10">
        <v>1</v>
      </c>
      <c r="I9" s="10">
        <v>0</v>
      </c>
      <c r="J9" s="10">
        <v>0</v>
      </c>
      <c r="K9" s="53">
        <v>0</v>
      </c>
      <c r="L9" s="66">
        <f t="shared" si="1"/>
        <v>3</v>
      </c>
      <c r="M9" s="66">
        <f t="shared" si="0"/>
        <v>3</v>
      </c>
    </row>
    <row r="10" spans="1:13">
      <c r="A10" s="1" t="s">
        <v>1</v>
      </c>
      <c r="B10" s="4" t="s">
        <v>25</v>
      </c>
      <c r="C10" s="10">
        <v>0</v>
      </c>
      <c r="D10" s="11">
        <v>0</v>
      </c>
      <c r="E10" s="45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3">
        <v>0</v>
      </c>
      <c r="L10" s="66">
        <f t="shared" si="1"/>
        <v>0</v>
      </c>
      <c r="M10" s="66">
        <f t="shared" si="0"/>
        <v>0</v>
      </c>
    </row>
    <row r="11" spans="1:13">
      <c r="A11" s="1" t="s">
        <v>1</v>
      </c>
      <c r="B11" s="4" t="s">
        <v>26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3</v>
      </c>
      <c r="I11" s="10">
        <v>0</v>
      </c>
      <c r="J11" s="10">
        <v>0</v>
      </c>
      <c r="K11" s="53">
        <v>0</v>
      </c>
      <c r="L11" s="66">
        <f t="shared" si="1"/>
        <v>3</v>
      </c>
      <c r="M11" s="66">
        <f t="shared" si="0"/>
        <v>3</v>
      </c>
    </row>
    <row r="12" spans="1:13">
      <c r="A12" s="1" t="s">
        <v>1</v>
      </c>
      <c r="B12" s="4" t="s">
        <v>27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3</v>
      </c>
      <c r="I12" s="10">
        <v>0</v>
      </c>
      <c r="J12" s="10">
        <v>0</v>
      </c>
      <c r="K12" s="53">
        <v>0</v>
      </c>
      <c r="L12" s="66">
        <f t="shared" si="1"/>
        <v>3</v>
      </c>
      <c r="M12" s="66">
        <f t="shared" si="0"/>
        <v>3</v>
      </c>
    </row>
    <row r="13" spans="1:13">
      <c r="A13" s="1" t="s">
        <v>1</v>
      </c>
      <c r="B13" s="4" t="s">
        <v>28</v>
      </c>
      <c r="C13" s="13">
        <v>0</v>
      </c>
      <c r="D13" s="14">
        <v>3.1666666666666665</v>
      </c>
      <c r="E13" s="46">
        <f>SUM(C13:D13)</f>
        <v>3.1666666666666665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4">
        <v>0</v>
      </c>
      <c r="L13" s="67">
        <f t="shared" si="1"/>
        <v>0</v>
      </c>
      <c r="M13" s="67">
        <f t="shared" si="0"/>
        <v>3.1666666666666665</v>
      </c>
    </row>
    <row r="14" spans="1:13">
      <c r="A14" s="1" t="s">
        <v>1</v>
      </c>
      <c r="B14" s="4" t="s">
        <v>29</v>
      </c>
      <c r="C14" s="13">
        <v>0</v>
      </c>
      <c r="D14" s="14">
        <v>0.41666666666666669</v>
      </c>
      <c r="E14" s="46">
        <f>SUM(C14:D14)</f>
        <v>0.41666666666666669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4">
        <v>0</v>
      </c>
      <c r="L14" s="67">
        <f t="shared" si="1"/>
        <v>0</v>
      </c>
      <c r="M14" s="67">
        <f t="shared" si="0"/>
        <v>0.41666666666666669</v>
      </c>
    </row>
    <row r="15" spans="1:13">
      <c r="A15" s="1" t="s">
        <v>1</v>
      </c>
      <c r="B15" s="4" t="s">
        <v>30</v>
      </c>
      <c r="C15" s="13">
        <v>0</v>
      </c>
      <c r="D15" s="14">
        <v>0</v>
      </c>
      <c r="E15" s="46"/>
      <c r="F15" s="12">
        <v>0.54166666666666663</v>
      </c>
      <c r="G15" s="13">
        <v>0.75</v>
      </c>
      <c r="H15" s="13">
        <v>1.1666666666666667</v>
      </c>
      <c r="I15" s="13">
        <v>1</v>
      </c>
      <c r="J15" s="13">
        <v>0.75</v>
      </c>
      <c r="K15" s="54">
        <v>1.25</v>
      </c>
      <c r="L15" s="67">
        <f t="shared" si="1"/>
        <v>5.458333333333333</v>
      </c>
      <c r="M15" s="67">
        <f t="shared" si="0"/>
        <v>5.458333333333333</v>
      </c>
    </row>
    <row r="16" spans="1:13">
      <c r="A16" s="1" t="s">
        <v>1</v>
      </c>
      <c r="B16" s="4" t="s">
        <v>31</v>
      </c>
      <c r="C16" s="13">
        <v>0</v>
      </c>
      <c r="D16" s="14">
        <v>0</v>
      </c>
      <c r="E16" s="46"/>
      <c r="F16" s="12">
        <v>0.66666666666666663</v>
      </c>
      <c r="G16" s="13">
        <v>0.83333333333333337</v>
      </c>
      <c r="H16" s="13">
        <v>0.79166666666666663</v>
      </c>
      <c r="I16" s="13">
        <v>0.79166666666666663</v>
      </c>
      <c r="J16" s="13">
        <v>0.75</v>
      </c>
      <c r="K16" s="54">
        <v>1.0833333333333333</v>
      </c>
      <c r="L16" s="67">
        <f t="shared" si="1"/>
        <v>4.9166666666666661</v>
      </c>
      <c r="M16" s="67">
        <f t="shared" si="0"/>
        <v>4.9166666666666661</v>
      </c>
    </row>
    <row r="17" spans="1:13">
      <c r="A17" s="1" t="s">
        <v>1</v>
      </c>
      <c r="B17" s="4" t="s">
        <v>32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4">
        <v>0</v>
      </c>
      <c r="L17" s="67">
        <f t="shared" si="1"/>
        <v>0</v>
      </c>
      <c r="M17" s="67">
        <f t="shared" si="0"/>
        <v>0</v>
      </c>
    </row>
    <row r="18" spans="1:13">
      <c r="A18" s="1" t="s">
        <v>1</v>
      </c>
      <c r="B18" s="4" t="s">
        <v>33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4">
        <v>0</v>
      </c>
      <c r="L18" s="67">
        <f t="shared" si="1"/>
        <v>0</v>
      </c>
      <c r="M18" s="67">
        <f t="shared" si="0"/>
        <v>0</v>
      </c>
    </row>
    <row r="19" spans="1:13">
      <c r="A19" s="1" t="s">
        <v>1</v>
      </c>
      <c r="B19" s="4" t="s">
        <v>34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4">
        <v>0</v>
      </c>
      <c r="L19" s="67">
        <f t="shared" si="1"/>
        <v>0</v>
      </c>
      <c r="M19" s="67">
        <f t="shared" si="0"/>
        <v>0</v>
      </c>
    </row>
    <row r="20" spans="1:13">
      <c r="A20" s="1" t="s">
        <v>1</v>
      </c>
      <c r="B20" s="4" t="s">
        <v>35</v>
      </c>
      <c r="C20" s="13">
        <v>0</v>
      </c>
      <c r="D20" s="14">
        <v>0</v>
      </c>
      <c r="E20" s="46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4">
        <v>0</v>
      </c>
      <c r="L20" s="67">
        <f t="shared" si="1"/>
        <v>0</v>
      </c>
      <c r="M20" s="67">
        <f t="shared" si="0"/>
        <v>0</v>
      </c>
    </row>
    <row r="21" spans="1:13">
      <c r="A21" s="1" t="s">
        <v>1</v>
      </c>
      <c r="B21" s="4" t="s">
        <v>36</v>
      </c>
      <c r="C21" s="13">
        <v>0</v>
      </c>
      <c r="D21" s="14">
        <v>0</v>
      </c>
      <c r="E21" s="46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4">
        <v>0</v>
      </c>
      <c r="L21" s="67">
        <f t="shared" si="1"/>
        <v>0</v>
      </c>
      <c r="M21" s="67">
        <f t="shared" si="0"/>
        <v>0</v>
      </c>
    </row>
    <row r="22" spans="1:13">
      <c r="A22" s="1" t="s">
        <v>1</v>
      </c>
      <c r="B22" s="4" t="s">
        <v>37</v>
      </c>
      <c r="C22" s="13">
        <v>0</v>
      </c>
      <c r="D22" s="14">
        <v>0</v>
      </c>
      <c r="E22" s="46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54">
        <v>0</v>
      </c>
      <c r="L22" s="67">
        <f t="shared" si="1"/>
        <v>0</v>
      </c>
      <c r="M22" s="67">
        <f t="shared" si="0"/>
        <v>0</v>
      </c>
    </row>
    <row r="23" spans="1:13">
      <c r="A23" s="1" t="s">
        <v>1</v>
      </c>
      <c r="B23" s="4" t="s">
        <v>38</v>
      </c>
      <c r="C23" s="13">
        <v>8.3333333333333329E-2</v>
      </c>
      <c r="D23" s="14">
        <v>0</v>
      </c>
      <c r="E23" s="46">
        <f>SUM(C23:D23)</f>
        <v>8.3333333333333329E-2</v>
      </c>
      <c r="F23" s="12">
        <v>8.3333333333333329E-2</v>
      </c>
      <c r="G23" s="13">
        <v>8.3333333333333329E-2</v>
      </c>
      <c r="H23" s="13">
        <v>4.1666666666666664E-2</v>
      </c>
      <c r="I23" s="13">
        <v>4.1666666666666664E-2</v>
      </c>
      <c r="J23" s="13">
        <v>0</v>
      </c>
      <c r="K23" s="54">
        <v>8.3333333333333329E-2</v>
      </c>
      <c r="L23" s="67">
        <f t="shared" si="1"/>
        <v>0.33333333333333331</v>
      </c>
      <c r="M23" s="67">
        <f t="shared" si="0"/>
        <v>0.41666666666666663</v>
      </c>
    </row>
    <row r="24" spans="1:13" ht="19.5" thickBot="1">
      <c r="A24" s="1" t="s">
        <v>1</v>
      </c>
      <c r="B24" s="5" t="s">
        <v>39</v>
      </c>
      <c r="C24" s="33">
        <v>29</v>
      </c>
      <c r="D24" s="34">
        <v>22</v>
      </c>
      <c r="E24" s="47"/>
      <c r="F24" s="32">
        <v>4</v>
      </c>
      <c r="G24" s="33">
        <v>10</v>
      </c>
      <c r="H24" s="33">
        <v>17</v>
      </c>
      <c r="I24" s="33">
        <v>15</v>
      </c>
      <c r="J24" s="33">
        <v>10</v>
      </c>
      <c r="K24" s="55">
        <v>0</v>
      </c>
      <c r="L24" s="68">
        <f t="shared" si="1"/>
        <v>56</v>
      </c>
      <c r="M24" s="68">
        <f t="shared" si="0"/>
        <v>56</v>
      </c>
    </row>
    <row r="25" spans="1:13">
      <c r="A25" s="1" t="s">
        <v>1</v>
      </c>
      <c r="B25" s="21" t="s">
        <v>40</v>
      </c>
      <c r="C25" s="30">
        <v>365000</v>
      </c>
      <c r="D25" s="31">
        <v>0</v>
      </c>
      <c r="E25" s="31">
        <f>SUM(C25:D25)</f>
        <v>365000</v>
      </c>
      <c r="F25" s="29">
        <v>187000</v>
      </c>
      <c r="G25" s="30">
        <v>187000</v>
      </c>
      <c r="H25" s="30">
        <v>182000</v>
      </c>
      <c r="I25" s="30">
        <v>187000</v>
      </c>
      <c r="J25" s="30">
        <v>175000</v>
      </c>
      <c r="K25" s="56">
        <v>170000</v>
      </c>
      <c r="L25" s="69">
        <f t="shared" si="1"/>
        <v>1088000</v>
      </c>
      <c r="M25" s="69">
        <f t="shared" si="0"/>
        <v>1453000</v>
      </c>
    </row>
    <row r="26" spans="1:13">
      <c r="A26" s="1" t="s">
        <v>1</v>
      </c>
      <c r="B26" s="4" t="s">
        <v>41</v>
      </c>
      <c r="C26" s="16">
        <v>0</v>
      </c>
      <c r="D26" s="17">
        <v>0</v>
      </c>
      <c r="E26" s="17">
        <f t="shared" ref="E26:E64" si="2">SUM(C26:D26)</f>
        <v>0</v>
      </c>
      <c r="F26" s="15">
        <v>0</v>
      </c>
      <c r="G26" s="16">
        <v>0</v>
      </c>
      <c r="H26" s="16">
        <v>0</v>
      </c>
      <c r="I26" s="16">
        <v>0</v>
      </c>
      <c r="J26" s="16">
        <v>0</v>
      </c>
      <c r="K26" s="57">
        <v>0</v>
      </c>
      <c r="L26" s="70">
        <f t="shared" si="1"/>
        <v>0</v>
      </c>
      <c r="M26" s="70">
        <f t="shared" si="0"/>
        <v>0</v>
      </c>
    </row>
    <row r="27" spans="1:13">
      <c r="A27" s="1" t="s">
        <v>1</v>
      </c>
      <c r="B27" s="4" t="s">
        <v>42</v>
      </c>
      <c r="C27" s="16">
        <v>0</v>
      </c>
      <c r="D27" s="17">
        <v>0</v>
      </c>
      <c r="E27" s="17">
        <f t="shared" si="2"/>
        <v>0</v>
      </c>
      <c r="F27" s="15">
        <v>6000</v>
      </c>
      <c r="G27" s="16">
        <v>0</v>
      </c>
      <c r="H27" s="16">
        <v>6000</v>
      </c>
      <c r="I27" s="16">
        <v>0</v>
      </c>
      <c r="J27" s="16">
        <v>0</v>
      </c>
      <c r="K27" s="57">
        <v>0</v>
      </c>
      <c r="L27" s="70">
        <f t="shared" si="1"/>
        <v>12000</v>
      </c>
      <c r="M27" s="70">
        <f t="shared" si="0"/>
        <v>12000</v>
      </c>
    </row>
    <row r="28" spans="1:13">
      <c r="A28" s="1" t="s">
        <v>1</v>
      </c>
      <c r="B28" s="4" t="s">
        <v>43</v>
      </c>
      <c r="C28" s="16">
        <v>0</v>
      </c>
      <c r="D28" s="17">
        <v>0</v>
      </c>
      <c r="E28" s="17">
        <f t="shared" si="2"/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7">
        <v>0</v>
      </c>
      <c r="L28" s="70">
        <f t="shared" si="1"/>
        <v>0</v>
      </c>
      <c r="M28" s="70">
        <f t="shared" si="0"/>
        <v>0</v>
      </c>
    </row>
    <row r="29" spans="1:13">
      <c r="A29" s="1" t="s">
        <v>1</v>
      </c>
      <c r="B29" s="4" t="s">
        <v>44</v>
      </c>
      <c r="C29" s="16">
        <v>0</v>
      </c>
      <c r="D29" s="17">
        <v>0</v>
      </c>
      <c r="E29" s="17">
        <f t="shared" si="2"/>
        <v>0</v>
      </c>
      <c r="F29" s="15">
        <v>81760</v>
      </c>
      <c r="G29" s="16">
        <v>72165</v>
      </c>
      <c r="H29" s="16">
        <v>61189</v>
      </c>
      <c r="I29" s="16">
        <v>63675</v>
      </c>
      <c r="J29" s="16">
        <v>55020</v>
      </c>
      <c r="K29" s="57">
        <v>38190</v>
      </c>
      <c r="L29" s="70">
        <f t="shared" si="1"/>
        <v>371999</v>
      </c>
      <c r="M29" s="70">
        <f t="shared" si="0"/>
        <v>371999</v>
      </c>
    </row>
    <row r="30" spans="1:13">
      <c r="A30" s="1" t="s">
        <v>1</v>
      </c>
      <c r="B30" s="4" t="s">
        <v>45</v>
      </c>
      <c r="C30" s="16">
        <v>0</v>
      </c>
      <c r="D30" s="17">
        <v>72960</v>
      </c>
      <c r="E30" s="17">
        <f t="shared" si="2"/>
        <v>72960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7">
        <v>0</v>
      </c>
      <c r="L30" s="70">
        <f t="shared" si="1"/>
        <v>0</v>
      </c>
      <c r="M30" s="70">
        <f t="shared" si="0"/>
        <v>72960</v>
      </c>
    </row>
    <row r="31" spans="1:13">
      <c r="A31" s="1" t="s">
        <v>1</v>
      </c>
      <c r="B31" s="4" t="s">
        <v>46</v>
      </c>
      <c r="C31" s="16">
        <v>0</v>
      </c>
      <c r="D31" s="17">
        <v>9800</v>
      </c>
      <c r="E31" s="17">
        <f t="shared" si="2"/>
        <v>9800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7">
        <v>0</v>
      </c>
      <c r="L31" s="70">
        <f t="shared" si="1"/>
        <v>0</v>
      </c>
      <c r="M31" s="70">
        <f t="shared" si="0"/>
        <v>9800</v>
      </c>
    </row>
    <row r="32" spans="1:13">
      <c r="A32" s="1" t="s">
        <v>1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7">
        <v>0</v>
      </c>
      <c r="L32" s="70">
        <f t="shared" si="1"/>
        <v>0</v>
      </c>
      <c r="M32" s="70">
        <f t="shared" si="0"/>
        <v>0</v>
      </c>
    </row>
    <row r="33" spans="1:13">
      <c r="A33" s="1" t="s">
        <v>1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7">
        <v>0</v>
      </c>
      <c r="L33" s="70">
        <f t="shared" si="1"/>
        <v>0</v>
      </c>
      <c r="M33" s="70">
        <f t="shared" si="0"/>
        <v>0</v>
      </c>
    </row>
    <row r="34" spans="1:13">
      <c r="A34" s="1" t="s">
        <v>1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2000</v>
      </c>
      <c r="G34" s="16">
        <v>2000</v>
      </c>
      <c r="H34" s="16">
        <v>2000</v>
      </c>
      <c r="I34" s="16">
        <v>2000</v>
      </c>
      <c r="J34" s="16">
        <v>0</v>
      </c>
      <c r="K34" s="57">
        <v>0</v>
      </c>
      <c r="L34" s="70">
        <f t="shared" si="1"/>
        <v>8000</v>
      </c>
      <c r="M34" s="70">
        <f t="shared" si="0"/>
        <v>8000</v>
      </c>
    </row>
    <row r="35" spans="1:13">
      <c r="A35" s="1" t="s">
        <v>1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7">
        <v>0</v>
      </c>
      <c r="L35" s="70">
        <f t="shared" si="1"/>
        <v>0</v>
      </c>
      <c r="M35" s="70">
        <f t="shared" si="0"/>
        <v>0</v>
      </c>
    </row>
    <row r="36" spans="1:13">
      <c r="A36" s="1" t="s">
        <v>1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7">
        <v>0</v>
      </c>
      <c r="L36" s="70">
        <f t="shared" si="1"/>
        <v>0</v>
      </c>
      <c r="M36" s="70">
        <f t="shared" si="0"/>
        <v>0</v>
      </c>
    </row>
    <row r="37" spans="1:13">
      <c r="A37" s="1" t="s">
        <v>1</v>
      </c>
      <c r="B37" s="4" t="s">
        <v>52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57">
        <v>0</v>
      </c>
      <c r="L37" s="70">
        <f t="shared" si="1"/>
        <v>0</v>
      </c>
      <c r="M37" s="70">
        <f t="shared" si="0"/>
        <v>0</v>
      </c>
    </row>
    <row r="38" spans="1:13">
      <c r="A38" s="1" t="s">
        <v>1</v>
      </c>
      <c r="B38" s="4" t="s">
        <v>53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74">
        <v>-27270</v>
      </c>
      <c r="I38" s="74">
        <v>0</v>
      </c>
      <c r="J38" s="74">
        <v>0</v>
      </c>
      <c r="K38" s="75">
        <v>0</v>
      </c>
      <c r="L38" s="76">
        <f t="shared" si="1"/>
        <v>-27270</v>
      </c>
      <c r="M38" s="76">
        <f t="shared" si="0"/>
        <v>-27270</v>
      </c>
    </row>
    <row r="39" spans="1:13">
      <c r="A39" s="1" t="s">
        <v>1</v>
      </c>
      <c r="B39" s="4" t="s">
        <v>30</v>
      </c>
      <c r="C39" s="16">
        <v>0</v>
      </c>
      <c r="D39" s="17">
        <v>0</v>
      </c>
      <c r="E39" s="17">
        <f t="shared" si="2"/>
        <v>0</v>
      </c>
      <c r="F39" s="15">
        <v>18980</v>
      </c>
      <c r="G39" s="16">
        <v>25470</v>
      </c>
      <c r="H39" s="16">
        <v>39844</v>
      </c>
      <c r="I39" s="16">
        <v>33960</v>
      </c>
      <c r="J39" s="16">
        <v>23580</v>
      </c>
      <c r="K39" s="57">
        <v>38190</v>
      </c>
      <c r="L39" s="70">
        <f t="shared" si="1"/>
        <v>180024</v>
      </c>
      <c r="M39" s="70">
        <f t="shared" si="0"/>
        <v>180024</v>
      </c>
    </row>
    <row r="40" spans="1:13">
      <c r="A40" s="1" t="s">
        <v>1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25232</v>
      </c>
      <c r="G40" s="16">
        <v>30560</v>
      </c>
      <c r="H40" s="16">
        <v>29184</v>
      </c>
      <c r="I40" s="16">
        <v>29032</v>
      </c>
      <c r="J40" s="16">
        <v>25470</v>
      </c>
      <c r="K40" s="57">
        <v>35724</v>
      </c>
      <c r="L40" s="70">
        <f t="shared" si="1"/>
        <v>175202</v>
      </c>
      <c r="M40" s="70">
        <f t="shared" si="0"/>
        <v>175202</v>
      </c>
    </row>
    <row r="41" spans="1:13">
      <c r="A41" s="1" t="s">
        <v>1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7">
        <v>0</v>
      </c>
      <c r="L41" s="70">
        <f t="shared" si="1"/>
        <v>0</v>
      </c>
      <c r="M41" s="70">
        <f t="shared" si="0"/>
        <v>0</v>
      </c>
    </row>
    <row r="42" spans="1:13">
      <c r="A42" s="1" t="s">
        <v>1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7">
        <v>0</v>
      </c>
      <c r="L42" s="70">
        <f t="shared" si="1"/>
        <v>0</v>
      </c>
      <c r="M42" s="70">
        <f t="shared" si="0"/>
        <v>0</v>
      </c>
    </row>
    <row r="43" spans="1:13">
      <c r="A43" s="1" t="s">
        <v>1</v>
      </c>
      <c r="B43" s="4" t="s">
        <v>57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7">
        <v>0</v>
      </c>
      <c r="L43" s="70">
        <f t="shared" si="1"/>
        <v>0</v>
      </c>
      <c r="M43" s="70">
        <f t="shared" si="0"/>
        <v>0</v>
      </c>
    </row>
    <row r="44" spans="1:13">
      <c r="A44" s="1" t="s">
        <v>1</v>
      </c>
      <c r="B44" s="4" t="s">
        <v>58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27270</v>
      </c>
      <c r="I44" s="16">
        <v>0</v>
      </c>
      <c r="J44" s="16">
        <v>0</v>
      </c>
      <c r="K44" s="57">
        <v>0</v>
      </c>
      <c r="L44" s="70">
        <f t="shared" si="1"/>
        <v>27270</v>
      </c>
      <c r="M44" s="70">
        <f t="shared" si="0"/>
        <v>27270</v>
      </c>
    </row>
    <row r="45" spans="1:13">
      <c r="A45" s="1" t="s">
        <v>1</v>
      </c>
      <c r="B45" s="4" t="s">
        <v>35</v>
      </c>
      <c r="C45" s="16">
        <v>0</v>
      </c>
      <c r="D45" s="17">
        <v>0</v>
      </c>
      <c r="E45" s="17">
        <f t="shared" si="2"/>
        <v>0</v>
      </c>
      <c r="F45" s="15">
        <v>0</v>
      </c>
      <c r="G45" s="16">
        <v>0</v>
      </c>
      <c r="H45" s="16">
        <v>0</v>
      </c>
      <c r="I45" s="16">
        <v>0</v>
      </c>
      <c r="J45" s="16">
        <v>0</v>
      </c>
      <c r="K45" s="57">
        <v>0</v>
      </c>
      <c r="L45" s="70">
        <f t="shared" si="1"/>
        <v>0</v>
      </c>
      <c r="M45" s="70">
        <f t="shared" si="0"/>
        <v>0</v>
      </c>
    </row>
    <row r="46" spans="1:13" ht="19.5" thickBot="1">
      <c r="A46" s="1" t="s">
        <v>1</v>
      </c>
      <c r="B46" s="35" t="s">
        <v>38</v>
      </c>
      <c r="C46" s="37">
        <v>1094</v>
      </c>
      <c r="D46" s="38">
        <v>0</v>
      </c>
      <c r="E46" s="38">
        <f t="shared" si="2"/>
        <v>1094</v>
      </c>
      <c r="F46" s="36">
        <v>584</v>
      </c>
      <c r="G46" s="37">
        <v>566</v>
      </c>
      <c r="H46" s="37">
        <v>285</v>
      </c>
      <c r="I46" s="37">
        <v>283</v>
      </c>
      <c r="J46" s="37">
        <v>0</v>
      </c>
      <c r="K46" s="58">
        <v>510</v>
      </c>
      <c r="L46" s="71">
        <f t="shared" si="1"/>
        <v>2228</v>
      </c>
      <c r="M46" s="71">
        <f t="shared" si="0"/>
        <v>3322</v>
      </c>
    </row>
    <row r="47" spans="1:13" ht="19.5" thickBot="1">
      <c r="A47" s="1" t="s">
        <v>1</v>
      </c>
      <c r="B47" s="39" t="s">
        <v>59</v>
      </c>
      <c r="C47" s="41">
        <v>366094</v>
      </c>
      <c r="D47" s="42">
        <v>82760</v>
      </c>
      <c r="E47" s="42">
        <f t="shared" si="2"/>
        <v>448854</v>
      </c>
      <c r="F47" s="40">
        <v>321556</v>
      </c>
      <c r="G47" s="41">
        <v>317761</v>
      </c>
      <c r="H47" s="41">
        <v>320502</v>
      </c>
      <c r="I47" s="41">
        <v>315950</v>
      </c>
      <c r="J47" s="41">
        <v>279070</v>
      </c>
      <c r="K47" s="59">
        <v>282614</v>
      </c>
      <c r="L47" s="72">
        <f t="shared" si="1"/>
        <v>1837453</v>
      </c>
      <c r="M47" s="72">
        <f t="shared" si="0"/>
        <v>2286307</v>
      </c>
    </row>
    <row r="48" spans="1:13" ht="19.5" thickBot="1">
      <c r="A48" s="1" t="s">
        <v>1</v>
      </c>
      <c r="B48" s="21" t="s">
        <v>60</v>
      </c>
      <c r="C48" s="30">
        <v>4247</v>
      </c>
      <c r="D48" s="31">
        <v>3008</v>
      </c>
      <c r="E48" s="31">
        <f t="shared" si="2"/>
        <v>7255</v>
      </c>
      <c r="F48" s="29">
        <v>6067</v>
      </c>
      <c r="G48" s="30">
        <v>4550</v>
      </c>
      <c r="H48" s="30">
        <v>7306</v>
      </c>
      <c r="I48" s="30">
        <v>1593</v>
      </c>
      <c r="J48" s="30">
        <v>6674</v>
      </c>
      <c r="K48" s="56">
        <v>8342</v>
      </c>
      <c r="L48" s="69">
        <f t="shared" si="1"/>
        <v>34532</v>
      </c>
      <c r="M48" s="69">
        <f t="shared" si="0"/>
        <v>41787</v>
      </c>
    </row>
    <row r="49" spans="1:13" ht="19.5" thickBot="1">
      <c r="A49" s="1" t="s">
        <v>1</v>
      </c>
      <c r="B49" s="39" t="s">
        <v>61</v>
      </c>
      <c r="C49" s="41">
        <v>4247</v>
      </c>
      <c r="D49" s="42">
        <v>3008</v>
      </c>
      <c r="E49" s="42">
        <f t="shared" si="2"/>
        <v>7255</v>
      </c>
      <c r="F49" s="40">
        <v>6067</v>
      </c>
      <c r="G49" s="41">
        <v>4550</v>
      </c>
      <c r="H49" s="41">
        <v>7306</v>
      </c>
      <c r="I49" s="41">
        <v>1593</v>
      </c>
      <c r="J49" s="41">
        <v>6674</v>
      </c>
      <c r="K49" s="59">
        <v>8342</v>
      </c>
      <c r="L49" s="72">
        <f t="shared" si="1"/>
        <v>34532</v>
      </c>
      <c r="M49" s="72">
        <f t="shared" si="0"/>
        <v>41787</v>
      </c>
    </row>
    <row r="50" spans="1:13" ht="19.5" thickBot="1">
      <c r="A50" s="1" t="s">
        <v>1</v>
      </c>
      <c r="B50" s="39" t="s">
        <v>62</v>
      </c>
      <c r="C50" s="41">
        <v>370341</v>
      </c>
      <c r="D50" s="42">
        <v>85768</v>
      </c>
      <c r="E50" s="42">
        <f t="shared" si="2"/>
        <v>456109</v>
      </c>
      <c r="F50" s="40">
        <v>327623</v>
      </c>
      <c r="G50" s="41">
        <v>322311</v>
      </c>
      <c r="H50" s="41">
        <v>327808</v>
      </c>
      <c r="I50" s="41">
        <v>317543</v>
      </c>
      <c r="J50" s="41">
        <v>285744</v>
      </c>
      <c r="K50" s="59">
        <v>290956</v>
      </c>
      <c r="L50" s="72">
        <f t="shared" si="1"/>
        <v>1871985</v>
      </c>
      <c r="M50" s="72">
        <f t="shared" si="0"/>
        <v>2328094</v>
      </c>
    </row>
    <row r="51" spans="1:13">
      <c r="A51" s="1" t="s">
        <v>1</v>
      </c>
      <c r="B51" s="21" t="s">
        <v>63</v>
      </c>
      <c r="C51" s="30">
        <v>18360</v>
      </c>
      <c r="D51" s="31">
        <v>0</v>
      </c>
      <c r="E51" s="31">
        <f t="shared" si="2"/>
        <v>18360</v>
      </c>
      <c r="F51" s="29">
        <v>16320</v>
      </c>
      <c r="G51" s="30">
        <v>16320</v>
      </c>
      <c r="H51" s="30">
        <v>16320</v>
      </c>
      <c r="I51" s="30">
        <v>16320</v>
      </c>
      <c r="J51" s="30">
        <v>14280</v>
      </c>
      <c r="K51" s="56">
        <v>13260</v>
      </c>
      <c r="L51" s="69">
        <f t="shared" si="1"/>
        <v>92820</v>
      </c>
      <c r="M51" s="69">
        <f t="shared" si="0"/>
        <v>111180</v>
      </c>
    </row>
    <row r="52" spans="1:13">
      <c r="A52" s="1" t="s">
        <v>1</v>
      </c>
      <c r="B52" s="4" t="s">
        <v>64</v>
      </c>
      <c r="C52" s="16">
        <v>3240</v>
      </c>
      <c r="D52" s="17">
        <v>0</v>
      </c>
      <c r="E52" s="17">
        <f t="shared" si="2"/>
        <v>3240</v>
      </c>
      <c r="F52" s="15">
        <v>0</v>
      </c>
      <c r="G52" s="16">
        <v>2880</v>
      </c>
      <c r="H52" s="16">
        <v>2880</v>
      </c>
      <c r="I52" s="16">
        <v>2880</v>
      </c>
      <c r="J52" s="16">
        <v>2520</v>
      </c>
      <c r="K52" s="57">
        <v>0</v>
      </c>
      <c r="L52" s="70">
        <f t="shared" si="1"/>
        <v>11160</v>
      </c>
      <c r="M52" s="70">
        <f t="shared" si="0"/>
        <v>14400</v>
      </c>
    </row>
    <row r="53" spans="1:13">
      <c r="A53" s="1" t="s">
        <v>1</v>
      </c>
      <c r="B53" s="4" t="s">
        <v>65</v>
      </c>
      <c r="C53" s="16">
        <v>32940</v>
      </c>
      <c r="D53" s="17">
        <v>0</v>
      </c>
      <c r="E53" s="17">
        <f t="shared" si="2"/>
        <v>32940</v>
      </c>
      <c r="F53" s="15">
        <v>29280</v>
      </c>
      <c r="G53" s="16">
        <v>29280</v>
      </c>
      <c r="H53" s="16">
        <v>29280</v>
      </c>
      <c r="I53" s="16">
        <v>29280</v>
      </c>
      <c r="J53" s="16">
        <v>25620</v>
      </c>
      <c r="K53" s="57">
        <v>23790</v>
      </c>
      <c r="L53" s="70">
        <f t="shared" si="1"/>
        <v>166530</v>
      </c>
      <c r="M53" s="70">
        <f t="shared" si="0"/>
        <v>199470</v>
      </c>
    </row>
    <row r="54" spans="1:13" ht="19.5" thickBot="1">
      <c r="A54" s="1" t="s">
        <v>1</v>
      </c>
      <c r="B54" s="4" t="s">
        <v>66</v>
      </c>
      <c r="C54" s="16">
        <v>1852</v>
      </c>
      <c r="D54" s="17">
        <v>429</v>
      </c>
      <c r="E54" s="17">
        <f t="shared" si="2"/>
        <v>2281</v>
      </c>
      <c r="F54" s="15">
        <v>1638</v>
      </c>
      <c r="G54" s="16">
        <v>1612</v>
      </c>
      <c r="H54" s="16">
        <v>1639</v>
      </c>
      <c r="I54" s="16">
        <v>1588</v>
      </c>
      <c r="J54" s="16">
        <v>1429</v>
      </c>
      <c r="K54" s="57">
        <v>1455</v>
      </c>
      <c r="L54" s="70">
        <f t="shared" si="1"/>
        <v>9361</v>
      </c>
      <c r="M54" s="70">
        <f t="shared" si="0"/>
        <v>11642</v>
      </c>
    </row>
    <row r="55" spans="1:13" ht="19.5" thickBot="1">
      <c r="A55" s="1" t="s">
        <v>1</v>
      </c>
      <c r="B55" s="39" t="s">
        <v>67</v>
      </c>
      <c r="C55" s="41">
        <v>56392</v>
      </c>
      <c r="D55" s="42">
        <v>429</v>
      </c>
      <c r="E55" s="42">
        <f t="shared" si="2"/>
        <v>56821</v>
      </c>
      <c r="F55" s="40">
        <v>47238</v>
      </c>
      <c r="G55" s="41">
        <v>50092</v>
      </c>
      <c r="H55" s="41">
        <v>50119</v>
      </c>
      <c r="I55" s="41">
        <v>50068</v>
      </c>
      <c r="J55" s="41">
        <v>43849</v>
      </c>
      <c r="K55" s="59">
        <v>38505</v>
      </c>
      <c r="L55" s="72">
        <f t="shared" si="1"/>
        <v>279871</v>
      </c>
      <c r="M55" s="72">
        <f t="shared" si="0"/>
        <v>336692</v>
      </c>
    </row>
    <row r="56" spans="1:13">
      <c r="A56" s="1" t="s">
        <v>1</v>
      </c>
      <c r="B56" s="21" t="s">
        <v>68</v>
      </c>
      <c r="C56" s="30">
        <v>9170</v>
      </c>
      <c r="D56" s="31">
        <v>0</v>
      </c>
      <c r="E56" s="31">
        <f t="shared" si="2"/>
        <v>9170</v>
      </c>
      <c r="F56" s="29">
        <v>7420</v>
      </c>
      <c r="G56" s="30">
        <v>5570</v>
      </c>
      <c r="H56" s="30">
        <v>7280</v>
      </c>
      <c r="I56" s="30">
        <v>5500</v>
      </c>
      <c r="J56" s="30">
        <v>6020</v>
      </c>
      <c r="K56" s="56">
        <v>6340</v>
      </c>
      <c r="L56" s="69">
        <f t="shared" si="1"/>
        <v>38130</v>
      </c>
      <c r="M56" s="69">
        <f t="shared" si="0"/>
        <v>47300</v>
      </c>
    </row>
    <row r="57" spans="1:13">
      <c r="A57" s="1" t="s">
        <v>1</v>
      </c>
      <c r="B57" s="4" t="s">
        <v>69</v>
      </c>
      <c r="C57" s="16">
        <v>0</v>
      </c>
      <c r="D57" s="17">
        <v>0</v>
      </c>
      <c r="E57" s="17">
        <f t="shared" si="2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57">
        <v>0</v>
      </c>
      <c r="L57" s="70">
        <f t="shared" si="1"/>
        <v>0</v>
      </c>
      <c r="M57" s="70">
        <f t="shared" ref="M57:M64" si="3">E57+L57</f>
        <v>0</v>
      </c>
    </row>
    <row r="58" spans="1:13">
      <c r="A58" s="1" t="s">
        <v>1</v>
      </c>
      <c r="B58" s="4" t="s">
        <v>70</v>
      </c>
      <c r="C58" s="16">
        <v>20200</v>
      </c>
      <c r="D58" s="17">
        <v>500</v>
      </c>
      <c r="E58" s="17">
        <f t="shared" si="2"/>
        <v>20700</v>
      </c>
      <c r="F58" s="15">
        <v>14600</v>
      </c>
      <c r="G58" s="16">
        <v>11000</v>
      </c>
      <c r="H58" s="16">
        <v>8300</v>
      </c>
      <c r="I58" s="16">
        <v>3900</v>
      </c>
      <c r="J58" s="16">
        <v>8900</v>
      </c>
      <c r="K58" s="57">
        <v>0</v>
      </c>
      <c r="L58" s="70">
        <f t="shared" ref="L58:L64" si="4">SUM(F58:K58)</f>
        <v>46700</v>
      </c>
      <c r="M58" s="70">
        <f t="shared" si="3"/>
        <v>67400</v>
      </c>
    </row>
    <row r="59" spans="1:13" ht="19.5" thickBot="1">
      <c r="A59" s="1" t="s">
        <v>1</v>
      </c>
      <c r="B59" s="4" t="s">
        <v>71</v>
      </c>
      <c r="C59" s="16">
        <v>0</v>
      </c>
      <c r="D59" s="17">
        <v>0</v>
      </c>
      <c r="E59" s="17">
        <f t="shared" si="2"/>
        <v>0</v>
      </c>
      <c r="F59" s="15">
        <v>0</v>
      </c>
      <c r="G59" s="16">
        <v>0</v>
      </c>
      <c r="H59" s="16">
        <v>0</v>
      </c>
      <c r="I59" s="16">
        <v>0</v>
      </c>
      <c r="J59" s="16">
        <v>0</v>
      </c>
      <c r="K59" s="57">
        <v>0</v>
      </c>
      <c r="L59" s="70">
        <f t="shared" si="4"/>
        <v>0</v>
      </c>
      <c r="M59" s="70">
        <f t="shared" si="3"/>
        <v>0</v>
      </c>
    </row>
    <row r="60" spans="1:13" ht="19.5" thickBot="1">
      <c r="A60" s="1" t="s">
        <v>1</v>
      </c>
      <c r="B60" s="39" t="s">
        <v>72</v>
      </c>
      <c r="C60" s="41">
        <v>85762</v>
      </c>
      <c r="D60" s="42">
        <v>929</v>
      </c>
      <c r="E60" s="42">
        <f t="shared" si="2"/>
        <v>86691</v>
      </c>
      <c r="F60" s="40">
        <v>69258</v>
      </c>
      <c r="G60" s="41">
        <v>66662</v>
      </c>
      <c r="H60" s="41">
        <v>65699</v>
      </c>
      <c r="I60" s="41">
        <v>59468</v>
      </c>
      <c r="J60" s="41">
        <v>58769</v>
      </c>
      <c r="K60" s="59">
        <v>44845</v>
      </c>
      <c r="L60" s="72">
        <f t="shared" si="4"/>
        <v>364701</v>
      </c>
      <c r="M60" s="72">
        <f t="shared" si="3"/>
        <v>451392</v>
      </c>
    </row>
    <row r="61" spans="1:13" ht="19.5" thickBot="1">
      <c r="A61" s="1" t="s">
        <v>1</v>
      </c>
      <c r="B61" s="39" t="s">
        <v>73</v>
      </c>
      <c r="C61" s="41">
        <v>309702</v>
      </c>
      <c r="D61" s="42">
        <v>82331</v>
      </c>
      <c r="E61" s="42">
        <f t="shared" si="2"/>
        <v>392033</v>
      </c>
      <c r="F61" s="40">
        <v>274318</v>
      </c>
      <c r="G61" s="41">
        <v>267669</v>
      </c>
      <c r="H61" s="41">
        <v>270383</v>
      </c>
      <c r="I61" s="41">
        <v>265882</v>
      </c>
      <c r="J61" s="41">
        <v>235221</v>
      </c>
      <c r="K61" s="59">
        <v>244109</v>
      </c>
      <c r="L61" s="72">
        <f t="shared" si="4"/>
        <v>1557582</v>
      </c>
      <c r="M61" s="72">
        <f t="shared" si="3"/>
        <v>1949615</v>
      </c>
    </row>
    <row r="62" spans="1:13" ht="19.5" thickBot="1">
      <c r="A62" s="1" t="s">
        <v>1</v>
      </c>
      <c r="B62" s="39" t="s">
        <v>74</v>
      </c>
      <c r="C62" s="41">
        <v>284579</v>
      </c>
      <c r="D62" s="42">
        <v>84839</v>
      </c>
      <c r="E62" s="42">
        <f t="shared" si="2"/>
        <v>369418</v>
      </c>
      <c r="F62" s="40">
        <v>258365</v>
      </c>
      <c r="G62" s="41">
        <v>255649</v>
      </c>
      <c r="H62" s="41">
        <v>262109</v>
      </c>
      <c r="I62" s="41">
        <v>258075</v>
      </c>
      <c r="J62" s="41">
        <v>226975</v>
      </c>
      <c r="K62" s="59">
        <v>246111</v>
      </c>
      <c r="L62" s="72">
        <f t="shared" si="4"/>
        <v>1507284</v>
      </c>
      <c r="M62" s="72">
        <f t="shared" si="3"/>
        <v>1876702</v>
      </c>
    </row>
    <row r="63" spans="1:13">
      <c r="A63" s="1" t="s">
        <v>1</v>
      </c>
      <c r="B63" s="21" t="s">
        <v>75</v>
      </c>
      <c r="C63" s="30">
        <v>0</v>
      </c>
      <c r="D63" s="31">
        <v>0</v>
      </c>
      <c r="E63" s="31">
        <f t="shared" si="2"/>
        <v>0</v>
      </c>
      <c r="F63" s="29">
        <v>0</v>
      </c>
      <c r="G63" s="30">
        <v>0</v>
      </c>
      <c r="H63" s="30">
        <v>0</v>
      </c>
      <c r="I63" s="30">
        <v>0</v>
      </c>
      <c r="J63" s="30">
        <v>0</v>
      </c>
      <c r="K63" s="56">
        <v>0</v>
      </c>
      <c r="L63" s="69">
        <f t="shared" si="4"/>
        <v>0</v>
      </c>
      <c r="M63" s="69">
        <f t="shared" si="3"/>
        <v>0</v>
      </c>
    </row>
    <row r="64" spans="1:13">
      <c r="A64" s="1" t="s">
        <v>1</v>
      </c>
      <c r="B64" s="4" t="s">
        <v>76</v>
      </c>
      <c r="C64" s="16">
        <v>284579</v>
      </c>
      <c r="D64" s="17">
        <v>84839</v>
      </c>
      <c r="E64" s="17">
        <f t="shared" si="2"/>
        <v>369418</v>
      </c>
      <c r="F64" s="15">
        <v>258365</v>
      </c>
      <c r="G64" s="16">
        <v>255649</v>
      </c>
      <c r="H64" s="16">
        <v>262109</v>
      </c>
      <c r="I64" s="16">
        <v>258075</v>
      </c>
      <c r="J64" s="16">
        <v>226975</v>
      </c>
      <c r="K64" s="57">
        <v>246111</v>
      </c>
      <c r="L64" s="70">
        <f t="shared" si="4"/>
        <v>1507284</v>
      </c>
      <c r="M64" s="70">
        <f t="shared" si="3"/>
        <v>1876702</v>
      </c>
    </row>
    <row r="65" spans="1:13">
      <c r="A65" s="1" t="s">
        <v>1</v>
      </c>
      <c r="B65" s="4" t="s">
        <v>77</v>
      </c>
      <c r="C65" s="16">
        <v>0</v>
      </c>
      <c r="D65" s="17">
        <v>0</v>
      </c>
      <c r="E65" s="17"/>
      <c r="F65" s="15">
        <v>0</v>
      </c>
      <c r="G65" s="16">
        <v>1</v>
      </c>
      <c r="H65" s="16">
        <v>0</v>
      </c>
      <c r="I65" s="16">
        <v>1</v>
      </c>
      <c r="J65" s="16">
        <v>0</v>
      </c>
      <c r="K65" s="57">
        <v>0</v>
      </c>
      <c r="L65" s="70"/>
      <c r="M65" s="70"/>
    </row>
    <row r="66" spans="1:13" ht="19.5" thickBot="1">
      <c r="A66" s="1" t="s">
        <v>1</v>
      </c>
      <c r="B66" s="5" t="s">
        <v>78</v>
      </c>
      <c r="C66" s="19" t="s">
        <v>79</v>
      </c>
      <c r="D66" s="20" t="s">
        <v>79</v>
      </c>
      <c r="E66" s="20"/>
      <c r="F66" s="18" t="s">
        <v>79</v>
      </c>
      <c r="G66" s="19" t="s">
        <v>79</v>
      </c>
      <c r="H66" s="19" t="s">
        <v>79</v>
      </c>
      <c r="I66" s="19" t="s">
        <v>79</v>
      </c>
      <c r="J66" s="19" t="s">
        <v>79</v>
      </c>
      <c r="K66" s="60" t="s">
        <v>79</v>
      </c>
      <c r="L66" s="73"/>
      <c r="M66" s="73"/>
    </row>
  </sheetData>
  <phoneticPr fontId="4"/>
  <pageMargins left="0.31496062992125984" right="0.70866141732283472" top="0.15748031496062992" bottom="0.35433070866141736" header="0.11811023622047245" footer="0.11811023622047245"/>
  <pageSetup paperSize="12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1月度給与 (2)</vt:lpstr>
      <vt:lpstr>'2023年 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2023-02-10T05:44:18Z</cp:lastPrinted>
  <dcterms:created xsi:type="dcterms:W3CDTF">2023-02-10T00:34:17Z</dcterms:created>
  <dcterms:modified xsi:type="dcterms:W3CDTF">2023-02-10T06:37:50Z</dcterms:modified>
</cp:coreProperties>
</file>