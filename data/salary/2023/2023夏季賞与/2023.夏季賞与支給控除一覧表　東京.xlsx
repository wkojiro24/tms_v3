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夏季賞与\"/>
    </mc:Choice>
  </mc:AlternateContent>
  <xr:revisionPtr revIDLastSave="0" documentId="13_ncr:1_{E31321F5-A38C-4C1D-883A-6B10D1DA7F3D}" xr6:coauthVersionLast="47" xr6:coauthVersionMax="47" xr10:uidLastSave="{00000000-0000-0000-0000-000000000000}"/>
  <bookViews>
    <workbookView xWindow="-120" yWindow="-120" windowWidth="20730" windowHeight="11160" xr2:uid="{03D121A3-35F1-4FCD-A6B5-55B2E72DCAE8}"/>
  </bookViews>
  <sheets>
    <sheet name="5年夏賞与 (2)" sheetId="3" r:id="rId1"/>
  </sheets>
  <definedNames>
    <definedName name="_xlnm.Print_Area" localSheetId="0">'5年夏賞与 (2)'!$A$1:$L$23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5" i="3"/>
  <c r="L5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5" i="3"/>
</calcChain>
</file>

<file path=xl/sharedStrings.xml><?xml version="1.0" encoding="utf-8"?>
<sst xmlns="http://schemas.openxmlformats.org/spreadsheetml/2006/main" count="61" uniqueCount="42">
  <si>
    <t>賞与支給控除一覧表</t>
    <phoneticPr fontId="4"/>
  </si>
  <si>
    <t/>
  </si>
  <si>
    <t>5年夏賞与</t>
    <phoneticPr fontId="4"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</si>
  <si>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</si>
  <si>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</si>
  <si>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</si>
  <si>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</si>
  <si>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</si>
  <si>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</si>
  <si>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</si>
  <si>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</si>
  <si>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</si>
  <si>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</si>
  <si>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</si>
  <si>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</si>
  <si>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</si>
  <si>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</si>
  <si>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</si>
  <si>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</si>
  <si>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</si>
  <si>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</si>
  <si>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</si>
  <si>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</si>
  <si>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</si>
  <si>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</si>
  <si>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</si>
  <si>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</si>
  <si>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</si>
  <si>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</si>
  <si>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</si>
  <si>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</si>
  <si>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</si>
  <si>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</si>
  <si>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</si>
  <si>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</si>
  <si>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</si>
  <si>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</si>
  <si>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</si>
  <si>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</si>
  <si>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</si>
  <si>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６名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</si>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</sst>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176" fontId="2" fillId="0" borderId="0" xfId="1" applyNumberFormat="1" applyFont="1"/>
    <xf numFmtId="176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5" xfId="1" applyFont="1" applyBorder="1"/>
  </cellXfs>
  <cellStyles count="2">
    <cellStyle name="標準" xfId="0" builtinId="0"/>
    <cellStyle name="標準 2" xfId="1" xr:uid="{8DE88DE3-66AD-40CE-94C9-34C62F2773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CCAB-927F-4CE9-BD2B-478E5AE592ED}">
  <dimension ref="A1:L2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1.75" style="2" customWidth="1"/>
    <col min="13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2" width="9" style="2"/>
    <col min="263" max="266" width="11.125" style="2" bestFit="1" customWidth="1"/>
    <col min="267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8" width="9" style="2"/>
    <col min="519" max="522" width="11.125" style="2" bestFit="1" customWidth="1"/>
    <col min="523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4" width="9" style="2"/>
    <col min="775" max="778" width="11.125" style="2" bestFit="1" customWidth="1"/>
    <col min="779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30" width="9" style="2"/>
    <col min="1031" max="1034" width="11.125" style="2" bestFit="1" customWidth="1"/>
    <col min="1035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6" width="9" style="2"/>
    <col min="1287" max="1290" width="11.125" style="2" bestFit="1" customWidth="1"/>
    <col min="1291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2" width="9" style="2"/>
    <col min="1543" max="1546" width="11.125" style="2" bestFit="1" customWidth="1"/>
    <col min="1547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8" width="9" style="2"/>
    <col min="1799" max="1802" width="11.125" style="2" bestFit="1" customWidth="1"/>
    <col min="1803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4" width="9" style="2"/>
    <col min="2055" max="2058" width="11.125" style="2" bestFit="1" customWidth="1"/>
    <col min="2059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10" width="9" style="2"/>
    <col min="2311" max="2314" width="11.125" style="2" bestFit="1" customWidth="1"/>
    <col min="2315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6" width="9" style="2"/>
    <col min="2567" max="2570" width="11.125" style="2" bestFit="1" customWidth="1"/>
    <col min="2571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2" width="9" style="2"/>
    <col min="2823" max="2826" width="11.125" style="2" bestFit="1" customWidth="1"/>
    <col min="2827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8" width="9" style="2"/>
    <col min="3079" max="3082" width="11.125" style="2" bestFit="1" customWidth="1"/>
    <col min="3083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4" width="9" style="2"/>
    <col min="3335" max="3338" width="11.125" style="2" bestFit="1" customWidth="1"/>
    <col min="3339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90" width="9" style="2"/>
    <col min="3591" max="3594" width="11.125" style="2" bestFit="1" customWidth="1"/>
    <col min="3595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6" width="9" style="2"/>
    <col min="3847" max="3850" width="11.125" style="2" bestFit="1" customWidth="1"/>
    <col min="3851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2" width="9" style="2"/>
    <col min="4103" max="4106" width="11.125" style="2" bestFit="1" customWidth="1"/>
    <col min="4107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8" width="9" style="2"/>
    <col min="4359" max="4362" width="11.125" style="2" bestFit="1" customWidth="1"/>
    <col min="4363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4" width="9" style="2"/>
    <col min="4615" max="4618" width="11.125" style="2" bestFit="1" customWidth="1"/>
    <col min="4619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70" width="9" style="2"/>
    <col min="4871" max="4874" width="11.125" style="2" bestFit="1" customWidth="1"/>
    <col min="4875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6" width="9" style="2"/>
    <col min="5127" max="5130" width="11.125" style="2" bestFit="1" customWidth="1"/>
    <col min="5131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2" width="9" style="2"/>
    <col min="5383" max="5386" width="11.125" style="2" bestFit="1" customWidth="1"/>
    <col min="5387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8" width="9" style="2"/>
    <col min="5639" max="5642" width="11.125" style="2" bestFit="1" customWidth="1"/>
    <col min="5643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4" width="9" style="2"/>
    <col min="5895" max="5898" width="11.125" style="2" bestFit="1" customWidth="1"/>
    <col min="5899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50" width="9" style="2"/>
    <col min="6151" max="6154" width="11.125" style="2" bestFit="1" customWidth="1"/>
    <col min="6155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6" width="9" style="2"/>
    <col min="6407" max="6410" width="11.125" style="2" bestFit="1" customWidth="1"/>
    <col min="6411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2" width="9" style="2"/>
    <col min="6663" max="6666" width="11.125" style="2" bestFit="1" customWidth="1"/>
    <col min="6667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8" width="9" style="2"/>
    <col min="6919" max="6922" width="11.125" style="2" bestFit="1" customWidth="1"/>
    <col min="6923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4" width="9" style="2"/>
    <col min="7175" max="7178" width="11.125" style="2" bestFit="1" customWidth="1"/>
    <col min="7179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30" width="9" style="2"/>
    <col min="7431" max="7434" width="11.125" style="2" bestFit="1" customWidth="1"/>
    <col min="7435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6" width="9" style="2"/>
    <col min="7687" max="7690" width="11.125" style="2" bestFit="1" customWidth="1"/>
    <col min="7691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2" width="9" style="2"/>
    <col min="7943" max="7946" width="11.125" style="2" bestFit="1" customWidth="1"/>
    <col min="7947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8" width="9" style="2"/>
    <col min="8199" max="8202" width="11.125" style="2" bestFit="1" customWidth="1"/>
    <col min="8203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4" width="9" style="2"/>
    <col min="8455" max="8458" width="11.125" style="2" bestFit="1" customWidth="1"/>
    <col min="8459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10" width="9" style="2"/>
    <col min="8711" max="8714" width="11.125" style="2" bestFit="1" customWidth="1"/>
    <col min="8715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6" width="9" style="2"/>
    <col min="8967" max="8970" width="11.125" style="2" bestFit="1" customWidth="1"/>
    <col min="8971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2" width="9" style="2"/>
    <col min="9223" max="9226" width="11.125" style="2" bestFit="1" customWidth="1"/>
    <col min="9227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8" width="9" style="2"/>
    <col min="9479" max="9482" width="11.125" style="2" bestFit="1" customWidth="1"/>
    <col min="9483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4" width="9" style="2"/>
    <col min="9735" max="9738" width="11.125" style="2" bestFit="1" customWidth="1"/>
    <col min="9739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90" width="9" style="2"/>
    <col min="9991" max="9994" width="11.125" style="2" bestFit="1" customWidth="1"/>
    <col min="9995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6" width="9" style="2"/>
    <col min="10247" max="10250" width="11.125" style="2" bestFit="1" customWidth="1"/>
    <col min="10251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2" width="9" style="2"/>
    <col min="10503" max="10506" width="11.125" style="2" bestFit="1" customWidth="1"/>
    <col min="10507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8" width="9" style="2"/>
    <col min="10759" max="10762" width="11.125" style="2" bestFit="1" customWidth="1"/>
    <col min="10763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4" width="9" style="2"/>
    <col min="11015" max="11018" width="11.125" style="2" bestFit="1" customWidth="1"/>
    <col min="11019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70" width="9" style="2"/>
    <col min="11271" max="11274" width="11.125" style="2" bestFit="1" customWidth="1"/>
    <col min="11275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6" width="9" style="2"/>
    <col min="11527" max="11530" width="11.125" style="2" bestFit="1" customWidth="1"/>
    <col min="11531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2" width="9" style="2"/>
    <col min="11783" max="11786" width="11.125" style="2" bestFit="1" customWidth="1"/>
    <col min="11787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8" width="9" style="2"/>
    <col min="12039" max="12042" width="11.125" style="2" bestFit="1" customWidth="1"/>
    <col min="12043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4" width="9" style="2"/>
    <col min="12295" max="12298" width="11.125" style="2" bestFit="1" customWidth="1"/>
    <col min="12299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50" width="9" style="2"/>
    <col min="12551" max="12554" width="11.125" style="2" bestFit="1" customWidth="1"/>
    <col min="12555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6" width="9" style="2"/>
    <col min="12807" max="12810" width="11.125" style="2" bestFit="1" customWidth="1"/>
    <col min="12811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2" width="9" style="2"/>
    <col min="13063" max="13066" width="11.125" style="2" bestFit="1" customWidth="1"/>
    <col min="13067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8" width="9" style="2"/>
    <col min="13319" max="13322" width="11.125" style="2" bestFit="1" customWidth="1"/>
    <col min="13323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4" width="9" style="2"/>
    <col min="13575" max="13578" width="11.125" style="2" bestFit="1" customWidth="1"/>
    <col min="13579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30" width="9" style="2"/>
    <col min="13831" max="13834" width="11.125" style="2" bestFit="1" customWidth="1"/>
    <col min="13835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6" width="9" style="2"/>
    <col min="14087" max="14090" width="11.125" style="2" bestFit="1" customWidth="1"/>
    <col min="14091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2" width="9" style="2"/>
    <col min="14343" max="14346" width="11.125" style="2" bestFit="1" customWidth="1"/>
    <col min="14347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8" width="9" style="2"/>
    <col min="14599" max="14602" width="11.125" style="2" bestFit="1" customWidth="1"/>
    <col min="14603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4" width="9" style="2"/>
    <col min="14855" max="14858" width="11.125" style="2" bestFit="1" customWidth="1"/>
    <col min="14859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10" width="9" style="2"/>
    <col min="15111" max="15114" width="11.125" style="2" bestFit="1" customWidth="1"/>
    <col min="15115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6" width="9" style="2"/>
    <col min="15367" max="15370" width="11.125" style="2" bestFit="1" customWidth="1"/>
    <col min="15371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2" width="9" style="2"/>
    <col min="15623" max="15626" width="11.125" style="2" bestFit="1" customWidth="1"/>
    <col min="15627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8" width="9" style="2"/>
    <col min="15879" max="15882" width="11.125" style="2" bestFit="1" customWidth="1"/>
    <col min="15883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4" width="9" style="2"/>
    <col min="16135" max="16138" width="11.1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2</v>
      </c>
    </row>
    <row r="3" spans="1:12">
      <c r="B3" s="14"/>
      <c r="C3" s="4" t="s">
        <v>5</v>
      </c>
      <c r="D3" s="27" t="s">
        <v>38</v>
      </c>
      <c r="E3" s="4" t="s">
        <v>3</v>
      </c>
      <c r="F3" s="4" t="s">
        <v>4</v>
      </c>
      <c r="G3" s="4" t="s">
        <v>6</v>
      </c>
      <c r="H3" s="4" t="s">
        <v>7</v>
      </c>
      <c r="I3" s="4" t="s">
        <v>8</v>
      </c>
      <c r="J3" s="4" t="s">
        <v>9</v>
      </c>
      <c r="K3" s="27" t="s">
        <v>38</v>
      </c>
      <c r="L3" s="30" t="s">
        <v>18</v>
      </c>
    </row>
    <row r="4" spans="1:12" ht="19.5" thickBot="1">
      <c r="B4" s="5" t="s">
        <v>10</v>
      </c>
      <c r="C4" s="3" t="s">
        <v>13</v>
      </c>
      <c r="D4" s="28" t="s">
        <v>39</v>
      </c>
      <c r="E4" s="3" t="s">
        <v>11</v>
      </c>
      <c r="F4" s="3" t="s">
        <v>12</v>
      </c>
      <c r="G4" s="3" t="s">
        <v>14</v>
      </c>
      <c r="H4" s="3" t="s">
        <v>15</v>
      </c>
      <c r="I4" s="3" t="s">
        <v>16</v>
      </c>
      <c r="J4" s="3" t="s">
        <v>17</v>
      </c>
      <c r="K4" s="28" t="s">
        <v>40</v>
      </c>
      <c r="L4" s="29" t="s">
        <v>41</v>
      </c>
    </row>
    <row r="5" spans="1:12">
      <c r="A5" s="1" t="s">
        <v>1</v>
      </c>
      <c r="B5" s="24" t="s">
        <v>19</v>
      </c>
      <c r="C5" s="25">
        <v>355000</v>
      </c>
      <c r="D5" s="26">
        <f>SUM(C5)</f>
        <v>355000</v>
      </c>
      <c r="E5" s="25">
        <v>59000</v>
      </c>
      <c r="F5" s="25">
        <v>83000</v>
      </c>
      <c r="G5" s="25">
        <v>59000</v>
      </c>
      <c r="H5" s="25">
        <v>59000</v>
      </c>
      <c r="I5" s="25">
        <v>59000</v>
      </c>
      <c r="J5" s="25">
        <v>53000</v>
      </c>
      <c r="K5" s="26">
        <f>SUM(E5:J5)</f>
        <v>372000</v>
      </c>
      <c r="L5" s="26">
        <f>SUM(K5,D5)</f>
        <v>727000</v>
      </c>
    </row>
    <row r="6" spans="1:12">
      <c r="A6" s="1" t="s">
        <v>1</v>
      </c>
      <c r="B6" s="21" t="s">
        <v>20</v>
      </c>
      <c r="C6" s="22">
        <v>0</v>
      </c>
      <c r="D6" s="23">
        <f t="shared" ref="D6:D20" si="0">SUM(C6)</f>
        <v>0</v>
      </c>
      <c r="E6" s="22">
        <v>0</v>
      </c>
      <c r="F6" s="22">
        <v>15000</v>
      </c>
      <c r="G6" s="22">
        <v>0</v>
      </c>
      <c r="H6" s="22">
        <v>0</v>
      </c>
      <c r="I6" s="22">
        <v>0</v>
      </c>
      <c r="J6" s="22">
        <v>0</v>
      </c>
      <c r="K6" s="23">
        <f t="shared" ref="K6:K20" si="1">SUM(E6:J6)</f>
        <v>15000</v>
      </c>
      <c r="L6" s="23">
        <f t="shared" ref="L6:L20" si="2">SUM(K6,D6)</f>
        <v>15000</v>
      </c>
    </row>
    <row r="7" spans="1:12">
      <c r="A7" s="1" t="s">
        <v>1</v>
      </c>
      <c r="B7" s="21" t="s">
        <v>21</v>
      </c>
      <c r="C7" s="22">
        <v>0</v>
      </c>
      <c r="D7" s="23">
        <f t="shared" si="0"/>
        <v>0</v>
      </c>
      <c r="E7" s="22">
        <v>6000</v>
      </c>
      <c r="F7" s="22">
        <v>0</v>
      </c>
      <c r="G7" s="22">
        <v>3000</v>
      </c>
      <c r="H7" s="22">
        <v>0</v>
      </c>
      <c r="I7" s="22">
        <v>0</v>
      </c>
      <c r="J7" s="22">
        <v>0</v>
      </c>
      <c r="K7" s="23">
        <f t="shared" si="1"/>
        <v>9000</v>
      </c>
      <c r="L7" s="23">
        <f t="shared" si="2"/>
        <v>9000</v>
      </c>
    </row>
    <row r="8" spans="1:12">
      <c r="A8" s="1" t="s">
        <v>1</v>
      </c>
      <c r="B8" s="6" t="s">
        <v>22</v>
      </c>
      <c r="C8" s="7">
        <v>15000</v>
      </c>
      <c r="D8" s="8">
        <f t="shared" si="0"/>
        <v>15000</v>
      </c>
      <c r="E8" s="7">
        <v>15000</v>
      </c>
      <c r="F8" s="7">
        <v>15000</v>
      </c>
      <c r="G8" s="7">
        <v>15000</v>
      </c>
      <c r="H8" s="7">
        <v>15000</v>
      </c>
      <c r="I8" s="7">
        <v>15000</v>
      </c>
      <c r="J8" s="7">
        <v>15000</v>
      </c>
      <c r="K8" s="8">
        <f t="shared" si="1"/>
        <v>90000</v>
      </c>
      <c r="L8" s="8">
        <f t="shared" si="2"/>
        <v>105000</v>
      </c>
    </row>
    <row r="9" spans="1:12">
      <c r="A9" s="1" t="s">
        <v>1</v>
      </c>
      <c r="B9" s="15" t="s">
        <v>23</v>
      </c>
      <c r="C9" s="16">
        <v>370000</v>
      </c>
      <c r="D9" s="17">
        <f t="shared" si="0"/>
        <v>370000</v>
      </c>
      <c r="E9" s="16">
        <v>80000</v>
      </c>
      <c r="F9" s="16">
        <v>113000</v>
      </c>
      <c r="G9" s="16">
        <v>77000</v>
      </c>
      <c r="H9" s="16">
        <v>74000</v>
      </c>
      <c r="I9" s="16">
        <v>74000</v>
      </c>
      <c r="J9" s="16">
        <v>68000</v>
      </c>
      <c r="K9" s="17">
        <f t="shared" si="1"/>
        <v>486000</v>
      </c>
      <c r="L9" s="17">
        <f t="shared" si="2"/>
        <v>856000</v>
      </c>
    </row>
    <row r="10" spans="1:12">
      <c r="A10" s="1" t="s">
        <v>1</v>
      </c>
      <c r="B10" s="15" t="s">
        <v>24</v>
      </c>
      <c r="C10" s="16">
        <v>370000</v>
      </c>
      <c r="D10" s="17">
        <f t="shared" si="0"/>
        <v>370000</v>
      </c>
      <c r="E10" s="16">
        <v>80000</v>
      </c>
      <c r="F10" s="16">
        <v>113000</v>
      </c>
      <c r="G10" s="16">
        <v>77000</v>
      </c>
      <c r="H10" s="16">
        <v>74000</v>
      </c>
      <c r="I10" s="16">
        <v>74000</v>
      </c>
      <c r="J10" s="16">
        <v>68000</v>
      </c>
      <c r="K10" s="17">
        <f t="shared" si="1"/>
        <v>486000</v>
      </c>
      <c r="L10" s="17">
        <f t="shared" si="2"/>
        <v>856000</v>
      </c>
    </row>
    <row r="11" spans="1:12">
      <c r="A11" s="1" t="s">
        <v>1</v>
      </c>
      <c r="B11" s="18" t="s">
        <v>25</v>
      </c>
      <c r="C11" s="19">
        <v>18870</v>
      </c>
      <c r="D11" s="20">
        <f t="shared" si="0"/>
        <v>18870</v>
      </c>
      <c r="E11" s="19">
        <v>4080</v>
      </c>
      <c r="F11" s="19">
        <v>5763</v>
      </c>
      <c r="G11" s="19">
        <v>3927</v>
      </c>
      <c r="H11" s="19">
        <v>3774</v>
      </c>
      <c r="I11" s="19">
        <v>3774</v>
      </c>
      <c r="J11" s="19">
        <v>3468</v>
      </c>
      <c r="K11" s="20">
        <f t="shared" si="1"/>
        <v>24786</v>
      </c>
      <c r="L11" s="20">
        <f t="shared" si="2"/>
        <v>43656</v>
      </c>
    </row>
    <row r="12" spans="1:12">
      <c r="A12" s="1" t="s">
        <v>1</v>
      </c>
      <c r="B12" s="21" t="s">
        <v>26</v>
      </c>
      <c r="C12" s="22">
        <v>3330</v>
      </c>
      <c r="D12" s="23">
        <f t="shared" si="0"/>
        <v>3330</v>
      </c>
      <c r="E12" s="22">
        <v>720</v>
      </c>
      <c r="F12" s="22">
        <v>1017</v>
      </c>
      <c r="G12" s="22">
        <v>693</v>
      </c>
      <c r="H12" s="22">
        <v>666</v>
      </c>
      <c r="I12" s="22">
        <v>666</v>
      </c>
      <c r="J12" s="22">
        <v>612</v>
      </c>
      <c r="K12" s="23">
        <f t="shared" si="1"/>
        <v>4374</v>
      </c>
      <c r="L12" s="23">
        <f t="shared" si="2"/>
        <v>7704</v>
      </c>
    </row>
    <row r="13" spans="1:12">
      <c r="A13" s="1" t="s">
        <v>1</v>
      </c>
      <c r="B13" s="21" t="s">
        <v>27</v>
      </c>
      <c r="C13" s="22">
        <v>33855</v>
      </c>
      <c r="D13" s="23">
        <f t="shared" si="0"/>
        <v>33855</v>
      </c>
      <c r="E13" s="22">
        <v>7320</v>
      </c>
      <c r="F13" s="22">
        <v>10339</v>
      </c>
      <c r="G13" s="22">
        <v>7045</v>
      </c>
      <c r="H13" s="22">
        <v>6771</v>
      </c>
      <c r="I13" s="22">
        <v>6771</v>
      </c>
      <c r="J13" s="22">
        <v>6222</v>
      </c>
      <c r="K13" s="23">
        <f t="shared" si="1"/>
        <v>44468</v>
      </c>
      <c r="L13" s="23">
        <f t="shared" si="2"/>
        <v>78323</v>
      </c>
    </row>
    <row r="14" spans="1:12">
      <c r="A14" s="1" t="s">
        <v>1</v>
      </c>
      <c r="B14" s="6" t="s">
        <v>28</v>
      </c>
      <c r="C14" s="7">
        <v>2220</v>
      </c>
      <c r="D14" s="8">
        <f t="shared" si="0"/>
        <v>2220</v>
      </c>
      <c r="E14" s="7">
        <v>480</v>
      </c>
      <c r="F14" s="7">
        <v>678</v>
      </c>
      <c r="G14" s="7">
        <v>462</v>
      </c>
      <c r="H14" s="7">
        <v>444</v>
      </c>
      <c r="I14" s="7">
        <v>444</v>
      </c>
      <c r="J14" s="7">
        <v>408</v>
      </c>
      <c r="K14" s="8">
        <f t="shared" si="1"/>
        <v>2916</v>
      </c>
      <c r="L14" s="8">
        <f t="shared" si="2"/>
        <v>5136</v>
      </c>
    </row>
    <row r="15" spans="1:12">
      <c r="A15" s="1" t="s">
        <v>1</v>
      </c>
      <c r="B15" s="15" t="s">
        <v>29</v>
      </c>
      <c r="C15" s="16">
        <v>311725</v>
      </c>
      <c r="D15" s="17">
        <f t="shared" si="0"/>
        <v>311725</v>
      </c>
      <c r="E15" s="16">
        <v>67400</v>
      </c>
      <c r="F15" s="16">
        <v>95203</v>
      </c>
      <c r="G15" s="16">
        <v>64873</v>
      </c>
      <c r="H15" s="16">
        <v>62345</v>
      </c>
      <c r="I15" s="16">
        <v>62345</v>
      </c>
      <c r="J15" s="16">
        <v>57290</v>
      </c>
      <c r="K15" s="17">
        <f t="shared" si="1"/>
        <v>409456</v>
      </c>
      <c r="L15" s="17">
        <f t="shared" si="2"/>
        <v>721181</v>
      </c>
    </row>
    <row r="16" spans="1:12">
      <c r="A16" s="1" t="s">
        <v>1</v>
      </c>
      <c r="B16" s="15" t="s">
        <v>30</v>
      </c>
      <c r="C16" s="16">
        <v>19096</v>
      </c>
      <c r="D16" s="17">
        <f t="shared" si="0"/>
        <v>19096</v>
      </c>
      <c r="E16" s="16">
        <v>4128</v>
      </c>
      <c r="F16" s="16">
        <v>7776</v>
      </c>
      <c r="G16" s="16">
        <v>3974</v>
      </c>
      <c r="H16" s="16">
        <v>1273</v>
      </c>
      <c r="I16" s="16">
        <v>6365</v>
      </c>
      <c r="J16" s="16">
        <v>4679</v>
      </c>
      <c r="K16" s="17">
        <f t="shared" si="1"/>
        <v>28195</v>
      </c>
      <c r="L16" s="17">
        <f t="shared" si="2"/>
        <v>47291</v>
      </c>
    </row>
    <row r="17" spans="1:12">
      <c r="A17" s="1" t="s">
        <v>1</v>
      </c>
      <c r="B17" s="15" t="s">
        <v>31</v>
      </c>
      <c r="C17" s="16">
        <v>58275</v>
      </c>
      <c r="D17" s="17">
        <f t="shared" si="0"/>
        <v>58275</v>
      </c>
      <c r="E17" s="16">
        <v>12600</v>
      </c>
      <c r="F17" s="16">
        <v>17797</v>
      </c>
      <c r="G17" s="16">
        <v>12127</v>
      </c>
      <c r="H17" s="16">
        <v>11655</v>
      </c>
      <c r="I17" s="16">
        <v>11655</v>
      </c>
      <c r="J17" s="16">
        <v>10710</v>
      </c>
      <c r="K17" s="17">
        <f t="shared" si="1"/>
        <v>76544</v>
      </c>
      <c r="L17" s="17">
        <f t="shared" si="2"/>
        <v>134819</v>
      </c>
    </row>
    <row r="18" spans="1:12">
      <c r="A18" s="1" t="s">
        <v>1</v>
      </c>
      <c r="B18" s="15" t="s">
        <v>32</v>
      </c>
      <c r="C18" s="16">
        <v>77371</v>
      </c>
      <c r="D18" s="17">
        <f t="shared" si="0"/>
        <v>77371</v>
      </c>
      <c r="E18" s="16">
        <v>16728</v>
      </c>
      <c r="F18" s="16">
        <v>25573</v>
      </c>
      <c r="G18" s="16">
        <v>16101</v>
      </c>
      <c r="H18" s="16">
        <v>12928</v>
      </c>
      <c r="I18" s="16">
        <v>18020</v>
      </c>
      <c r="J18" s="16">
        <v>15389</v>
      </c>
      <c r="K18" s="17">
        <f t="shared" si="1"/>
        <v>104739</v>
      </c>
      <c r="L18" s="17">
        <f t="shared" si="2"/>
        <v>182110</v>
      </c>
    </row>
    <row r="19" spans="1:12">
      <c r="A19" s="1" t="s">
        <v>1</v>
      </c>
      <c r="B19" s="15" t="s">
        <v>33</v>
      </c>
      <c r="C19" s="16">
        <v>292629</v>
      </c>
      <c r="D19" s="17">
        <f t="shared" si="0"/>
        <v>292629</v>
      </c>
      <c r="E19" s="16">
        <v>63272</v>
      </c>
      <c r="F19" s="16">
        <v>87427</v>
      </c>
      <c r="G19" s="16">
        <v>60899</v>
      </c>
      <c r="H19" s="16">
        <v>61072</v>
      </c>
      <c r="I19" s="16">
        <v>55980</v>
      </c>
      <c r="J19" s="16">
        <v>52611</v>
      </c>
      <c r="K19" s="17">
        <f t="shared" si="1"/>
        <v>381261</v>
      </c>
      <c r="L19" s="17">
        <f t="shared" si="2"/>
        <v>673890</v>
      </c>
    </row>
    <row r="20" spans="1:12">
      <c r="A20" s="1" t="s">
        <v>1</v>
      </c>
      <c r="B20" s="15" t="s">
        <v>34</v>
      </c>
      <c r="C20" s="16">
        <v>292629</v>
      </c>
      <c r="D20" s="17">
        <f t="shared" si="0"/>
        <v>292629</v>
      </c>
      <c r="E20" s="16">
        <v>63272</v>
      </c>
      <c r="F20" s="16">
        <v>87427</v>
      </c>
      <c r="G20" s="16">
        <v>60899</v>
      </c>
      <c r="H20" s="16">
        <v>61072</v>
      </c>
      <c r="I20" s="16">
        <v>55980</v>
      </c>
      <c r="J20" s="16">
        <v>52611</v>
      </c>
      <c r="K20" s="17">
        <f t="shared" si="1"/>
        <v>381261</v>
      </c>
      <c r="L20" s="17">
        <f t="shared" si="2"/>
        <v>673890</v>
      </c>
    </row>
    <row r="21" spans="1:12">
      <c r="A21" s="1" t="s">
        <v>1</v>
      </c>
      <c r="B21" s="15" t="s">
        <v>35</v>
      </c>
      <c r="C21" s="16">
        <v>2</v>
      </c>
      <c r="D21" s="17"/>
      <c r="E21" s="16">
        <v>1</v>
      </c>
      <c r="F21" s="16">
        <v>0</v>
      </c>
      <c r="G21" s="16">
        <v>1</v>
      </c>
      <c r="H21" s="16">
        <v>2</v>
      </c>
      <c r="I21" s="16">
        <v>0</v>
      </c>
      <c r="J21" s="16">
        <v>0</v>
      </c>
      <c r="K21" s="17"/>
      <c r="L21" s="17"/>
    </row>
    <row r="22" spans="1:12">
      <c r="A22" s="1" t="s">
        <v>1</v>
      </c>
      <c r="B22" s="6" t="s">
        <v>36</v>
      </c>
      <c r="C22" s="9">
        <v>6.1260000000000003</v>
      </c>
      <c r="D22" s="10"/>
      <c r="E22" s="9">
        <v>6.1260000000000003</v>
      </c>
      <c r="F22" s="9">
        <v>8.1679999999999993</v>
      </c>
      <c r="G22" s="9">
        <v>6.1260000000000003</v>
      </c>
      <c r="H22" s="9">
        <v>2.0419999999999998</v>
      </c>
      <c r="I22" s="9">
        <v>10.210000000000001</v>
      </c>
      <c r="J22" s="9">
        <v>8.1679999999999993</v>
      </c>
      <c r="K22" s="10"/>
      <c r="L22" s="10"/>
    </row>
    <row r="23" spans="1:12" ht="19.5" thickBot="1">
      <c r="A23" s="1" t="s">
        <v>1</v>
      </c>
      <c r="B23" s="11" t="s">
        <v>37</v>
      </c>
      <c r="C23" s="12">
        <v>331032</v>
      </c>
      <c r="D23" s="13"/>
      <c r="E23" s="12">
        <v>337395</v>
      </c>
      <c r="F23" s="12">
        <v>329796</v>
      </c>
      <c r="G23" s="12">
        <v>287136</v>
      </c>
      <c r="H23" s="12">
        <v>152641</v>
      </c>
      <c r="I23" s="12">
        <v>350435</v>
      </c>
      <c r="J23" s="12">
        <v>303385</v>
      </c>
      <c r="K23" s="13"/>
      <c r="L23" s="13"/>
    </row>
  </sheetData>
  <phoneticPr fontId="3"/>
  <pageMargins left="0.31496062992125984" right="0.31496062992125984" top="0.55118110236220474" bottom="0.55118110236220474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5年夏賞与 (2)</vt:lpstr>
      <vt:lpstr>'5年夏賞与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2023-06-14T05:22:58Z</cp:lastPrinted>
  <dcterms:created xsi:type="dcterms:W3CDTF">2023-06-14T04:15:47Z</dcterms:created>
  <dcterms:modified xsi:type="dcterms:W3CDTF">2023-06-15T06:21:41Z</dcterms:modified>
</cp:coreProperties>
</file>