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ukasawa\Dropbox\総務・経理\給与集計内訳\2023\2023夏季賞与\"/>
    </mc:Choice>
  </mc:AlternateContent>
  <xr:revisionPtr revIDLastSave="0" documentId="13_ncr:1_{D8FE11CB-8234-4501-8CEF-9662584FD9FB}" xr6:coauthVersionLast="47" xr6:coauthVersionMax="47" xr10:uidLastSave="{00000000-0000-0000-0000-000000000000}"/>
  <bookViews>
    <workbookView xWindow="-120" yWindow="-120" windowWidth="20730" windowHeight="11160" xr2:uid="{324C9700-F6D6-43BA-AFE8-A09D00F45A8F}"/>
  </bookViews>
  <sheets>
    <sheet name="5年夏賞与 (2)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20" i="3" l="1"/>
  <c r="L21" i="3"/>
  <c r="K6" i="3"/>
  <c r="L6" i="3" s="1"/>
  <c r="K7" i="3"/>
  <c r="L7" i="3" s="1"/>
  <c r="K8" i="3"/>
  <c r="L8" i="3" s="1"/>
  <c r="K9" i="3"/>
  <c r="K10" i="3"/>
  <c r="L10" i="3" s="1"/>
  <c r="K11" i="3"/>
  <c r="L11" i="3" s="1"/>
  <c r="K12" i="3"/>
  <c r="L12" i="3" s="1"/>
  <c r="K13" i="3"/>
  <c r="K14" i="3"/>
  <c r="L14" i="3" s="1"/>
  <c r="K15" i="3"/>
  <c r="L15" i="3" s="1"/>
  <c r="K16" i="3"/>
  <c r="L16" i="3" s="1"/>
  <c r="K17" i="3"/>
  <c r="K18" i="3"/>
  <c r="L18" i="3" s="1"/>
  <c r="K19" i="3"/>
  <c r="L19" i="3" s="1"/>
  <c r="K5" i="3"/>
  <c r="L5" i="3" s="1"/>
  <c r="D6" i="3"/>
  <c r="D7" i="3"/>
  <c r="D8" i="3"/>
  <c r="D9" i="3"/>
  <c r="L9" i="3" s="1"/>
  <c r="D10" i="3"/>
  <c r="D11" i="3"/>
  <c r="D12" i="3"/>
  <c r="D13" i="3"/>
  <c r="L13" i="3" s="1"/>
  <c r="D14" i="3"/>
  <c r="D15" i="3"/>
  <c r="D16" i="3"/>
  <c r="D17" i="3"/>
  <c r="L17" i="3" s="1"/>
  <c r="D18" i="3"/>
  <c r="D19" i="3"/>
  <c r="D5" i="3"/>
</calcChain>
</file>

<file path=xl/sharedStrings.xml><?xml version="1.0" encoding="utf-8"?>
<sst xmlns="http://schemas.openxmlformats.org/spreadsheetml/2006/main" count="59" uniqueCount="41">
  <si>
    <t>賞与支給控除一覧表</t>
    <phoneticPr fontId="4"/>
  </si>
  <si>
    <t/>
  </si>
  <si>
    <t>5年夏賞与</t>
    <phoneticPr fontId="4"/>
  </si>
  <si>
    <t>1056</t>
    <phoneticPr fontId="4"/>
  </si>
  <si>
    <t>1057</t>
    <phoneticPr fontId="4"/>
  </si>
  <si>
    <t>1061</t>
    <phoneticPr fontId="4"/>
  </si>
  <si>
    <t>1067</t>
    <phoneticPr fontId="4"/>
  </si>
  <si>
    <t>1071</t>
    <phoneticPr fontId="4"/>
  </si>
  <si>
    <t>1097</t>
    <phoneticPr fontId="4"/>
  </si>
  <si>
    <t>1108</t>
    <phoneticPr fontId="4"/>
  </si>
  <si>
    <t>項目名</t>
    <phoneticPr fontId="4"/>
  </si>
  <si>
    <t>河村　智春</t>
    <phoneticPr fontId="4"/>
  </si>
  <si>
    <t>赤﨑　功幸</t>
    <phoneticPr fontId="4"/>
  </si>
  <si>
    <t>櫻木　諭治</t>
    <phoneticPr fontId="4"/>
  </si>
  <si>
    <t>米澤　敬</t>
    <phoneticPr fontId="4"/>
  </si>
  <si>
    <t>大賀　勇也</t>
    <phoneticPr fontId="4"/>
  </si>
  <si>
    <t>新田　竜二</t>
    <phoneticPr fontId="4"/>
  </si>
  <si>
    <t>島田　亮一</t>
    <phoneticPr fontId="4"/>
  </si>
  <si>
    <t>合計</t>
    <phoneticPr fontId="4"/>
  </si>
  <si>
    <t>賞与</t>
    <phoneticPr fontId="4"/>
  </si>
  <si>
    <t>職責加算</t>
    <phoneticPr fontId="4"/>
  </si>
  <si>
    <t>業績連動</t>
    <phoneticPr fontId="4"/>
  </si>
  <si>
    <t>課税支給合計</t>
    <phoneticPr fontId="4"/>
  </si>
  <si>
    <t>支給合計</t>
    <phoneticPr fontId="4"/>
  </si>
  <si>
    <t>健康保険料</t>
    <phoneticPr fontId="4"/>
  </si>
  <si>
    <t>介護保険料</t>
    <phoneticPr fontId="4"/>
  </si>
  <si>
    <t>厚生年金保険</t>
    <phoneticPr fontId="4"/>
  </si>
  <si>
    <t>雇用保険料</t>
    <phoneticPr fontId="4"/>
  </si>
  <si>
    <t>課税対象額</t>
    <phoneticPr fontId="4"/>
  </si>
  <si>
    <t>所得税</t>
    <phoneticPr fontId="4"/>
  </si>
  <si>
    <t>社会保険料計</t>
    <phoneticPr fontId="4"/>
  </si>
  <si>
    <t>控除合計</t>
    <phoneticPr fontId="4"/>
  </si>
  <si>
    <t>差引支給合計</t>
    <phoneticPr fontId="4"/>
  </si>
  <si>
    <t>振込支給合計</t>
    <phoneticPr fontId="4"/>
  </si>
  <si>
    <t>扶養人数</t>
    <phoneticPr fontId="4"/>
  </si>
  <si>
    <t>税率</t>
    <phoneticPr fontId="4"/>
  </si>
  <si>
    <t>前社保控除後</t>
    <phoneticPr fontId="4"/>
  </si>
  <si>
    <t>小計</t>
    <rPh sb="0" eb="2">
      <t>ショウケイ</t>
    </rPh>
    <phoneticPr fontId="3"/>
  </si>
  <si>
    <t>１名</t>
    <rPh sb="1" eb="2">
      <t>メイ</t>
    </rPh>
    <phoneticPr fontId="3"/>
  </si>
  <si>
    <t>６名</t>
    <rPh sb="1" eb="2">
      <t>メイ</t>
    </rPh>
    <phoneticPr fontId="3"/>
  </si>
  <si>
    <t>７名</t>
    <rPh sb="1" eb="2">
      <t>メイ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</si>
</sst>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"/>
  </numFmts>
  <fonts count="5">
    <font>
      <sz val="11"/>
      <color theme="1"/>
      <name val="游ゴシック"/>
      <family val="2"/>
      <charset val="128"/>
      <scheme val="minor"/>
    </font>
    <font>
      <sz val="10"/>
      <name val="ＭＳ Ｐ明朝"/>
      <family val="1"/>
      <charset val="128"/>
    </font>
    <font>
      <sz val="11"/>
      <name val="Yu Gothic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3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 style="medium">
        <color indexed="64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indexed="64"/>
      </right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 style="medium">
        <color auto="1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indexed="64"/>
      </right>
      <top style="medium">
        <color indexed="64"/>
      </top>
      <bottom style="hair">
        <color auto="1"/>
      </bottom>
      <diagonal/>
    </border>
    <border>
      <left/>
      <right/>
      <top style="medium">
        <color indexed="64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/>
      <diagonal/>
    </border>
    <border>
      <left style="hair">
        <color auto="1"/>
      </left>
      <right style="hair">
        <color auto="1"/>
      </right>
      <top style="medium">
        <color auto="1"/>
      </top>
      <bottom/>
      <diagonal/>
    </border>
    <border>
      <left style="medium">
        <color auto="1"/>
      </left>
      <right style="hair">
        <color auto="1"/>
      </right>
      <top/>
      <bottom style="medium">
        <color indexed="64"/>
      </bottom>
      <diagonal/>
    </border>
    <border>
      <left style="hair">
        <color auto="1"/>
      </left>
      <right style="hair">
        <color auto="1"/>
      </right>
      <top/>
      <bottom style="medium">
        <color indexed="64"/>
      </bottom>
      <diagonal/>
    </border>
    <border>
      <left style="medium">
        <color auto="1"/>
      </left>
      <right style="hair">
        <color auto="1"/>
      </right>
      <top style="medium">
        <color indexed="64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indexed="64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medium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medium">
        <color auto="1"/>
      </top>
      <bottom/>
      <diagonal/>
    </border>
    <border>
      <left style="hair">
        <color auto="1"/>
      </left>
      <right/>
      <top/>
      <bottom style="medium">
        <color indexed="64"/>
      </bottom>
      <diagonal/>
    </border>
    <border>
      <left style="hair">
        <color auto="1"/>
      </left>
      <right/>
      <top style="medium">
        <color indexed="64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58">
    <xf numFmtId="0" fontId="0" fillId="0" borderId="0" xfId="0">
      <alignment vertical="center"/>
    </xf>
    <xf numFmtId="49" fontId="2" fillId="0" borderId="0" xfId="1" applyNumberFormat="1" applyFont="1"/>
    <xf numFmtId="0" fontId="2" fillId="0" borderId="0" xfId="1" applyFont="1"/>
    <xf numFmtId="49" fontId="2" fillId="0" borderId="1" xfId="1" applyNumberFormat="1" applyFont="1" applyBorder="1" applyAlignment="1">
      <alignment horizontal="center"/>
    </xf>
    <xf numFmtId="49" fontId="2" fillId="0" borderId="2" xfId="1" applyNumberFormat="1" applyFont="1" applyBorder="1" applyAlignment="1">
      <alignment horizontal="center"/>
    </xf>
    <xf numFmtId="0" fontId="2" fillId="0" borderId="3" xfId="1" applyFont="1" applyBorder="1" applyAlignment="1">
      <alignment horizontal="center"/>
    </xf>
    <xf numFmtId="49" fontId="2" fillId="0" borderId="4" xfId="1" applyNumberFormat="1" applyFont="1" applyBorder="1" applyAlignment="1">
      <alignment horizontal="left"/>
    </xf>
    <xf numFmtId="3" fontId="2" fillId="0" borderId="0" xfId="1" applyNumberFormat="1" applyFont="1"/>
    <xf numFmtId="3" fontId="2" fillId="0" borderId="4" xfId="1" applyNumberFormat="1" applyFont="1" applyBorder="1"/>
    <xf numFmtId="49" fontId="2" fillId="0" borderId="3" xfId="1" applyNumberFormat="1" applyFont="1" applyBorder="1" applyAlignment="1">
      <alignment horizontal="left"/>
    </xf>
    <xf numFmtId="3" fontId="2" fillId="0" borderId="1" xfId="1" applyNumberFormat="1" applyFont="1" applyBorder="1"/>
    <xf numFmtId="3" fontId="2" fillId="0" borderId="3" xfId="1" applyNumberFormat="1" applyFont="1" applyBorder="1"/>
    <xf numFmtId="0" fontId="2" fillId="0" borderId="5" xfId="1" applyFont="1" applyBorder="1" applyAlignment="1">
      <alignment horizontal="center"/>
    </xf>
    <xf numFmtId="49" fontId="2" fillId="0" borderId="6" xfId="1" applyNumberFormat="1" applyFont="1" applyBorder="1" applyAlignment="1">
      <alignment horizontal="left"/>
    </xf>
    <xf numFmtId="3" fontId="2" fillId="0" borderId="7" xfId="1" applyNumberFormat="1" applyFont="1" applyBorder="1"/>
    <xf numFmtId="3" fontId="2" fillId="0" borderId="6" xfId="1" applyNumberFormat="1" applyFont="1" applyBorder="1"/>
    <xf numFmtId="49" fontId="2" fillId="0" borderId="8" xfId="1" applyNumberFormat="1" applyFont="1" applyBorder="1" applyAlignment="1">
      <alignment horizontal="left"/>
    </xf>
    <xf numFmtId="3" fontId="2" fillId="0" borderId="9" xfId="1" applyNumberFormat="1" applyFont="1" applyBorder="1"/>
    <xf numFmtId="3" fontId="2" fillId="0" borderId="8" xfId="1" applyNumberFormat="1" applyFont="1" applyBorder="1"/>
    <xf numFmtId="49" fontId="2" fillId="0" borderId="10" xfId="1" applyNumberFormat="1" applyFont="1" applyBorder="1" applyAlignment="1">
      <alignment horizontal="left"/>
    </xf>
    <xf numFmtId="3" fontId="2" fillId="0" borderId="11" xfId="1" applyNumberFormat="1" applyFont="1" applyBorder="1"/>
    <xf numFmtId="3" fontId="2" fillId="0" borderId="10" xfId="1" applyNumberFormat="1" applyFont="1" applyBorder="1"/>
    <xf numFmtId="176" fontId="2" fillId="0" borderId="7" xfId="1" applyNumberFormat="1" applyFont="1" applyBorder="1"/>
    <xf numFmtId="176" fontId="2" fillId="0" borderId="6" xfId="1" applyNumberFormat="1" applyFont="1" applyBorder="1"/>
    <xf numFmtId="49" fontId="2" fillId="0" borderId="12" xfId="1" applyNumberFormat="1" applyFont="1" applyBorder="1" applyAlignment="1">
      <alignment horizontal="left"/>
    </xf>
    <xf numFmtId="3" fontId="2" fillId="0" borderId="13" xfId="1" applyNumberFormat="1" applyFont="1" applyBorder="1"/>
    <xf numFmtId="3" fontId="2" fillId="0" borderId="12" xfId="1" applyNumberFormat="1" applyFont="1" applyBorder="1"/>
    <xf numFmtId="49" fontId="2" fillId="0" borderId="14" xfId="1" applyNumberFormat="1" applyFont="1" applyBorder="1" applyAlignment="1">
      <alignment horizontal="center"/>
    </xf>
    <xf numFmtId="49" fontId="2" fillId="0" borderId="15" xfId="1" applyNumberFormat="1" applyFont="1" applyBorder="1" applyAlignment="1">
      <alignment horizontal="center"/>
    </xf>
    <xf numFmtId="49" fontId="2" fillId="0" borderId="16" xfId="1" applyNumberFormat="1" applyFont="1" applyBorder="1" applyAlignment="1">
      <alignment horizontal="center"/>
    </xf>
    <xf numFmtId="49" fontId="2" fillId="0" borderId="17" xfId="1" applyNumberFormat="1" applyFont="1" applyBorder="1" applyAlignment="1">
      <alignment horizontal="center"/>
    </xf>
    <xf numFmtId="3" fontId="2" fillId="0" borderId="18" xfId="1" applyNumberFormat="1" applyFont="1" applyBorder="1"/>
    <xf numFmtId="3" fontId="2" fillId="0" borderId="19" xfId="1" applyNumberFormat="1" applyFont="1" applyBorder="1"/>
    <xf numFmtId="3" fontId="2" fillId="0" borderId="20" xfId="1" applyNumberFormat="1" applyFont="1" applyBorder="1"/>
    <xf numFmtId="3" fontId="2" fillId="0" borderId="21" xfId="1" applyNumberFormat="1" applyFont="1" applyBorder="1"/>
    <xf numFmtId="3" fontId="2" fillId="0" borderId="22" xfId="1" applyNumberFormat="1" applyFont="1" applyBorder="1"/>
    <xf numFmtId="3" fontId="2" fillId="0" borderId="23" xfId="1" applyNumberFormat="1" applyFont="1" applyBorder="1"/>
    <xf numFmtId="3" fontId="2" fillId="0" borderId="24" xfId="1" applyNumberFormat="1" applyFont="1" applyBorder="1"/>
    <xf numFmtId="3" fontId="2" fillId="0" borderId="25" xfId="1" applyNumberFormat="1" applyFont="1" applyBorder="1"/>
    <xf numFmtId="3" fontId="2" fillId="0" borderId="26" xfId="1" applyNumberFormat="1" applyFont="1" applyBorder="1"/>
    <xf numFmtId="3" fontId="2" fillId="0" borderId="27" xfId="1" applyNumberFormat="1" applyFont="1" applyBorder="1"/>
    <xf numFmtId="176" fontId="2" fillId="0" borderId="24" xfId="1" applyNumberFormat="1" applyFont="1" applyBorder="1"/>
    <xf numFmtId="176" fontId="2" fillId="0" borderId="25" xfId="1" applyNumberFormat="1" applyFont="1" applyBorder="1"/>
    <xf numFmtId="3" fontId="2" fillId="0" borderId="16" xfId="1" applyNumberFormat="1" applyFont="1" applyBorder="1"/>
    <xf numFmtId="3" fontId="2" fillId="0" borderId="17" xfId="1" applyNumberFormat="1" applyFont="1" applyBorder="1"/>
    <xf numFmtId="0" fontId="2" fillId="0" borderId="3" xfId="1" applyFont="1" applyBorder="1" applyAlignment="1">
      <alignment horizontal="right"/>
    </xf>
    <xf numFmtId="49" fontId="2" fillId="0" borderId="28" xfId="1" applyNumberFormat="1" applyFont="1" applyBorder="1" applyAlignment="1">
      <alignment horizontal="center"/>
    </xf>
    <xf numFmtId="49" fontId="2" fillId="0" borderId="29" xfId="1" applyNumberFormat="1" applyFont="1" applyBorder="1" applyAlignment="1">
      <alignment horizontal="center"/>
    </xf>
    <xf numFmtId="3" fontId="2" fillId="0" borderId="30" xfId="1" applyNumberFormat="1" applyFont="1" applyBorder="1"/>
    <xf numFmtId="3" fontId="2" fillId="0" borderId="31" xfId="1" applyNumberFormat="1" applyFont="1" applyBorder="1"/>
    <xf numFmtId="3" fontId="2" fillId="0" borderId="32" xfId="1" applyNumberFormat="1" applyFont="1" applyBorder="1"/>
    <xf numFmtId="3" fontId="2" fillId="0" borderId="33" xfId="1" applyNumberFormat="1" applyFont="1" applyBorder="1"/>
    <xf numFmtId="3" fontId="2" fillId="0" borderId="34" xfId="1" applyNumberFormat="1" applyFont="1" applyBorder="1"/>
    <xf numFmtId="176" fontId="2" fillId="0" borderId="33" xfId="1" applyNumberFormat="1" applyFont="1" applyBorder="1"/>
    <xf numFmtId="3" fontId="2" fillId="0" borderId="29" xfId="1" applyNumberFormat="1" applyFont="1" applyBorder="1"/>
    <xf numFmtId="49" fontId="2" fillId="0" borderId="5" xfId="1" applyNumberFormat="1" applyFont="1" applyBorder="1" applyAlignment="1">
      <alignment horizontal="left"/>
    </xf>
    <xf numFmtId="49" fontId="2" fillId="0" borderId="3" xfId="1" applyNumberFormat="1" applyFont="1" applyBorder="1" applyAlignment="1">
      <alignment horizontal="right"/>
    </xf>
    <xf numFmtId="0" fontId="2" fillId="0" borderId="5" xfId="1" applyFont="1" applyBorder="1"/>
  </cellXfs>
  <cellStyles count="2">
    <cellStyle name="標準" xfId="0" builtinId="0"/>
    <cellStyle name="標準 2" xfId="1" xr:uid="{112A166A-A67B-4CD4-A7A3-83CF2010FFF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9DD3B9-1566-444A-81C0-8AF8D1469AA6}">
  <dimension ref="A1:L22"/>
  <sheetViews>
    <sheetView tabSelected="1" workbookViewId="0">
      <pane xSplit="2" ySplit="4" topLeftCell="C5" activePane="bottomRight" state="frozen"/>
      <selection pane="topRight" activeCell="C1" sqref="C1"/>
      <selection pane="bottomLeft" activeCell="A9" sqref="A9"/>
      <selection pane="bottomRight" activeCell="C2" sqref="C2"/>
    </sheetView>
  </sheetViews>
  <sheetFormatPr defaultRowHeight="18.75"/>
  <cols>
    <col min="1" max="1" width="2.375" style="2" customWidth="1"/>
    <col min="2" max="2" width="13.25" style="2" bestFit="1" customWidth="1"/>
    <col min="3" max="12" width="12.125" style="2" customWidth="1"/>
    <col min="13" max="256" width="9" style="2"/>
    <col min="257" max="257" width="2.375" style="2" customWidth="1"/>
    <col min="258" max="258" width="13.25" style="2" bestFit="1" customWidth="1"/>
    <col min="259" max="262" width="11.125" style="2" bestFit="1" customWidth="1"/>
    <col min="263" max="263" width="9" style="2"/>
    <col min="264" max="266" width="11.125" style="2" bestFit="1" customWidth="1"/>
    <col min="267" max="512" width="9" style="2"/>
    <col min="513" max="513" width="2.375" style="2" customWidth="1"/>
    <col min="514" max="514" width="13.25" style="2" bestFit="1" customWidth="1"/>
    <col min="515" max="518" width="11.125" style="2" bestFit="1" customWidth="1"/>
    <col min="519" max="519" width="9" style="2"/>
    <col min="520" max="522" width="11.125" style="2" bestFit="1" customWidth="1"/>
    <col min="523" max="768" width="9" style="2"/>
    <col min="769" max="769" width="2.375" style="2" customWidth="1"/>
    <col min="770" max="770" width="13.25" style="2" bestFit="1" customWidth="1"/>
    <col min="771" max="774" width="11.125" style="2" bestFit="1" customWidth="1"/>
    <col min="775" max="775" width="9" style="2"/>
    <col min="776" max="778" width="11.125" style="2" bestFit="1" customWidth="1"/>
    <col min="779" max="1024" width="9" style="2"/>
    <col min="1025" max="1025" width="2.375" style="2" customWidth="1"/>
    <col min="1026" max="1026" width="13.25" style="2" bestFit="1" customWidth="1"/>
    <col min="1027" max="1030" width="11.125" style="2" bestFit="1" customWidth="1"/>
    <col min="1031" max="1031" width="9" style="2"/>
    <col min="1032" max="1034" width="11.125" style="2" bestFit="1" customWidth="1"/>
    <col min="1035" max="1280" width="9" style="2"/>
    <col min="1281" max="1281" width="2.375" style="2" customWidth="1"/>
    <col min="1282" max="1282" width="13.25" style="2" bestFit="1" customWidth="1"/>
    <col min="1283" max="1286" width="11.125" style="2" bestFit="1" customWidth="1"/>
    <col min="1287" max="1287" width="9" style="2"/>
    <col min="1288" max="1290" width="11.125" style="2" bestFit="1" customWidth="1"/>
    <col min="1291" max="1536" width="9" style="2"/>
    <col min="1537" max="1537" width="2.375" style="2" customWidth="1"/>
    <col min="1538" max="1538" width="13.25" style="2" bestFit="1" customWidth="1"/>
    <col min="1539" max="1542" width="11.125" style="2" bestFit="1" customWidth="1"/>
    <col min="1543" max="1543" width="9" style="2"/>
    <col min="1544" max="1546" width="11.125" style="2" bestFit="1" customWidth="1"/>
    <col min="1547" max="1792" width="9" style="2"/>
    <col min="1793" max="1793" width="2.375" style="2" customWidth="1"/>
    <col min="1794" max="1794" width="13.25" style="2" bestFit="1" customWidth="1"/>
    <col min="1795" max="1798" width="11.125" style="2" bestFit="1" customWidth="1"/>
    <col min="1799" max="1799" width="9" style="2"/>
    <col min="1800" max="1802" width="11.125" style="2" bestFit="1" customWidth="1"/>
    <col min="1803" max="2048" width="9" style="2"/>
    <col min="2049" max="2049" width="2.375" style="2" customWidth="1"/>
    <col min="2050" max="2050" width="13.25" style="2" bestFit="1" customWidth="1"/>
    <col min="2051" max="2054" width="11.125" style="2" bestFit="1" customWidth="1"/>
    <col min="2055" max="2055" width="9" style="2"/>
    <col min="2056" max="2058" width="11.125" style="2" bestFit="1" customWidth="1"/>
    <col min="2059" max="2304" width="9" style="2"/>
    <col min="2305" max="2305" width="2.375" style="2" customWidth="1"/>
    <col min="2306" max="2306" width="13.25" style="2" bestFit="1" customWidth="1"/>
    <col min="2307" max="2310" width="11.125" style="2" bestFit="1" customWidth="1"/>
    <col min="2311" max="2311" width="9" style="2"/>
    <col min="2312" max="2314" width="11.125" style="2" bestFit="1" customWidth="1"/>
    <col min="2315" max="2560" width="9" style="2"/>
    <col min="2561" max="2561" width="2.375" style="2" customWidth="1"/>
    <col min="2562" max="2562" width="13.25" style="2" bestFit="1" customWidth="1"/>
    <col min="2563" max="2566" width="11.125" style="2" bestFit="1" customWidth="1"/>
    <col min="2567" max="2567" width="9" style="2"/>
    <col min="2568" max="2570" width="11.125" style="2" bestFit="1" customWidth="1"/>
    <col min="2571" max="2816" width="9" style="2"/>
    <col min="2817" max="2817" width="2.375" style="2" customWidth="1"/>
    <col min="2818" max="2818" width="13.25" style="2" bestFit="1" customWidth="1"/>
    <col min="2819" max="2822" width="11.125" style="2" bestFit="1" customWidth="1"/>
    <col min="2823" max="2823" width="9" style="2"/>
    <col min="2824" max="2826" width="11.125" style="2" bestFit="1" customWidth="1"/>
    <col min="2827" max="3072" width="9" style="2"/>
    <col min="3073" max="3073" width="2.375" style="2" customWidth="1"/>
    <col min="3074" max="3074" width="13.25" style="2" bestFit="1" customWidth="1"/>
    <col min="3075" max="3078" width="11.125" style="2" bestFit="1" customWidth="1"/>
    <col min="3079" max="3079" width="9" style="2"/>
    <col min="3080" max="3082" width="11.125" style="2" bestFit="1" customWidth="1"/>
    <col min="3083" max="3328" width="9" style="2"/>
    <col min="3329" max="3329" width="2.375" style="2" customWidth="1"/>
    <col min="3330" max="3330" width="13.25" style="2" bestFit="1" customWidth="1"/>
    <col min="3331" max="3334" width="11.125" style="2" bestFit="1" customWidth="1"/>
    <col min="3335" max="3335" width="9" style="2"/>
    <col min="3336" max="3338" width="11.125" style="2" bestFit="1" customWidth="1"/>
    <col min="3339" max="3584" width="9" style="2"/>
    <col min="3585" max="3585" width="2.375" style="2" customWidth="1"/>
    <col min="3586" max="3586" width="13.25" style="2" bestFit="1" customWidth="1"/>
    <col min="3587" max="3590" width="11.125" style="2" bestFit="1" customWidth="1"/>
    <col min="3591" max="3591" width="9" style="2"/>
    <col min="3592" max="3594" width="11.125" style="2" bestFit="1" customWidth="1"/>
    <col min="3595" max="3840" width="9" style="2"/>
    <col min="3841" max="3841" width="2.375" style="2" customWidth="1"/>
    <col min="3842" max="3842" width="13.25" style="2" bestFit="1" customWidth="1"/>
    <col min="3843" max="3846" width="11.125" style="2" bestFit="1" customWidth="1"/>
    <col min="3847" max="3847" width="9" style="2"/>
    <col min="3848" max="3850" width="11.125" style="2" bestFit="1" customWidth="1"/>
    <col min="3851" max="4096" width="9" style="2"/>
    <col min="4097" max="4097" width="2.375" style="2" customWidth="1"/>
    <col min="4098" max="4098" width="13.25" style="2" bestFit="1" customWidth="1"/>
    <col min="4099" max="4102" width="11.125" style="2" bestFit="1" customWidth="1"/>
    <col min="4103" max="4103" width="9" style="2"/>
    <col min="4104" max="4106" width="11.125" style="2" bestFit="1" customWidth="1"/>
    <col min="4107" max="4352" width="9" style="2"/>
    <col min="4353" max="4353" width="2.375" style="2" customWidth="1"/>
    <col min="4354" max="4354" width="13.25" style="2" bestFit="1" customWidth="1"/>
    <col min="4355" max="4358" width="11.125" style="2" bestFit="1" customWidth="1"/>
    <col min="4359" max="4359" width="9" style="2"/>
    <col min="4360" max="4362" width="11.125" style="2" bestFit="1" customWidth="1"/>
    <col min="4363" max="4608" width="9" style="2"/>
    <col min="4609" max="4609" width="2.375" style="2" customWidth="1"/>
    <col min="4610" max="4610" width="13.25" style="2" bestFit="1" customWidth="1"/>
    <col min="4611" max="4614" width="11.125" style="2" bestFit="1" customWidth="1"/>
    <col min="4615" max="4615" width="9" style="2"/>
    <col min="4616" max="4618" width="11.125" style="2" bestFit="1" customWidth="1"/>
    <col min="4619" max="4864" width="9" style="2"/>
    <col min="4865" max="4865" width="2.375" style="2" customWidth="1"/>
    <col min="4866" max="4866" width="13.25" style="2" bestFit="1" customWidth="1"/>
    <col min="4867" max="4870" width="11.125" style="2" bestFit="1" customWidth="1"/>
    <col min="4871" max="4871" width="9" style="2"/>
    <col min="4872" max="4874" width="11.125" style="2" bestFit="1" customWidth="1"/>
    <col min="4875" max="5120" width="9" style="2"/>
    <col min="5121" max="5121" width="2.375" style="2" customWidth="1"/>
    <col min="5122" max="5122" width="13.25" style="2" bestFit="1" customWidth="1"/>
    <col min="5123" max="5126" width="11.125" style="2" bestFit="1" customWidth="1"/>
    <col min="5127" max="5127" width="9" style="2"/>
    <col min="5128" max="5130" width="11.125" style="2" bestFit="1" customWidth="1"/>
    <col min="5131" max="5376" width="9" style="2"/>
    <col min="5377" max="5377" width="2.375" style="2" customWidth="1"/>
    <col min="5378" max="5378" width="13.25" style="2" bestFit="1" customWidth="1"/>
    <col min="5379" max="5382" width="11.125" style="2" bestFit="1" customWidth="1"/>
    <col min="5383" max="5383" width="9" style="2"/>
    <col min="5384" max="5386" width="11.125" style="2" bestFit="1" customWidth="1"/>
    <col min="5387" max="5632" width="9" style="2"/>
    <col min="5633" max="5633" width="2.375" style="2" customWidth="1"/>
    <col min="5634" max="5634" width="13.25" style="2" bestFit="1" customWidth="1"/>
    <col min="5635" max="5638" width="11.125" style="2" bestFit="1" customWidth="1"/>
    <col min="5639" max="5639" width="9" style="2"/>
    <col min="5640" max="5642" width="11.125" style="2" bestFit="1" customWidth="1"/>
    <col min="5643" max="5888" width="9" style="2"/>
    <col min="5889" max="5889" width="2.375" style="2" customWidth="1"/>
    <col min="5890" max="5890" width="13.25" style="2" bestFit="1" customWidth="1"/>
    <col min="5891" max="5894" width="11.125" style="2" bestFit="1" customWidth="1"/>
    <col min="5895" max="5895" width="9" style="2"/>
    <col min="5896" max="5898" width="11.125" style="2" bestFit="1" customWidth="1"/>
    <col min="5899" max="6144" width="9" style="2"/>
    <col min="6145" max="6145" width="2.375" style="2" customWidth="1"/>
    <col min="6146" max="6146" width="13.25" style="2" bestFit="1" customWidth="1"/>
    <col min="6147" max="6150" width="11.125" style="2" bestFit="1" customWidth="1"/>
    <col min="6151" max="6151" width="9" style="2"/>
    <col min="6152" max="6154" width="11.125" style="2" bestFit="1" customWidth="1"/>
    <col min="6155" max="6400" width="9" style="2"/>
    <col min="6401" max="6401" width="2.375" style="2" customWidth="1"/>
    <col min="6402" max="6402" width="13.25" style="2" bestFit="1" customWidth="1"/>
    <col min="6403" max="6406" width="11.125" style="2" bestFit="1" customWidth="1"/>
    <col min="6407" max="6407" width="9" style="2"/>
    <col min="6408" max="6410" width="11.125" style="2" bestFit="1" customWidth="1"/>
    <col min="6411" max="6656" width="9" style="2"/>
    <col min="6657" max="6657" width="2.375" style="2" customWidth="1"/>
    <col min="6658" max="6658" width="13.25" style="2" bestFit="1" customWidth="1"/>
    <col min="6659" max="6662" width="11.125" style="2" bestFit="1" customWidth="1"/>
    <col min="6663" max="6663" width="9" style="2"/>
    <col min="6664" max="6666" width="11.125" style="2" bestFit="1" customWidth="1"/>
    <col min="6667" max="6912" width="9" style="2"/>
    <col min="6913" max="6913" width="2.375" style="2" customWidth="1"/>
    <col min="6914" max="6914" width="13.25" style="2" bestFit="1" customWidth="1"/>
    <col min="6915" max="6918" width="11.125" style="2" bestFit="1" customWidth="1"/>
    <col min="6919" max="6919" width="9" style="2"/>
    <col min="6920" max="6922" width="11.125" style="2" bestFit="1" customWidth="1"/>
    <col min="6923" max="7168" width="9" style="2"/>
    <col min="7169" max="7169" width="2.375" style="2" customWidth="1"/>
    <col min="7170" max="7170" width="13.25" style="2" bestFit="1" customWidth="1"/>
    <col min="7171" max="7174" width="11.125" style="2" bestFit="1" customWidth="1"/>
    <col min="7175" max="7175" width="9" style="2"/>
    <col min="7176" max="7178" width="11.125" style="2" bestFit="1" customWidth="1"/>
    <col min="7179" max="7424" width="9" style="2"/>
    <col min="7425" max="7425" width="2.375" style="2" customWidth="1"/>
    <col min="7426" max="7426" width="13.25" style="2" bestFit="1" customWidth="1"/>
    <col min="7427" max="7430" width="11.125" style="2" bestFit="1" customWidth="1"/>
    <col min="7431" max="7431" width="9" style="2"/>
    <col min="7432" max="7434" width="11.125" style="2" bestFit="1" customWidth="1"/>
    <col min="7435" max="7680" width="9" style="2"/>
    <col min="7681" max="7681" width="2.375" style="2" customWidth="1"/>
    <col min="7682" max="7682" width="13.25" style="2" bestFit="1" customWidth="1"/>
    <col min="7683" max="7686" width="11.125" style="2" bestFit="1" customWidth="1"/>
    <col min="7687" max="7687" width="9" style="2"/>
    <col min="7688" max="7690" width="11.125" style="2" bestFit="1" customWidth="1"/>
    <col min="7691" max="7936" width="9" style="2"/>
    <col min="7937" max="7937" width="2.375" style="2" customWidth="1"/>
    <col min="7938" max="7938" width="13.25" style="2" bestFit="1" customWidth="1"/>
    <col min="7939" max="7942" width="11.125" style="2" bestFit="1" customWidth="1"/>
    <col min="7943" max="7943" width="9" style="2"/>
    <col min="7944" max="7946" width="11.125" style="2" bestFit="1" customWidth="1"/>
    <col min="7947" max="8192" width="9" style="2"/>
    <col min="8193" max="8193" width="2.375" style="2" customWidth="1"/>
    <col min="8194" max="8194" width="13.25" style="2" bestFit="1" customWidth="1"/>
    <col min="8195" max="8198" width="11.125" style="2" bestFit="1" customWidth="1"/>
    <col min="8199" max="8199" width="9" style="2"/>
    <col min="8200" max="8202" width="11.125" style="2" bestFit="1" customWidth="1"/>
    <col min="8203" max="8448" width="9" style="2"/>
    <col min="8449" max="8449" width="2.375" style="2" customWidth="1"/>
    <col min="8450" max="8450" width="13.25" style="2" bestFit="1" customWidth="1"/>
    <col min="8451" max="8454" width="11.125" style="2" bestFit="1" customWidth="1"/>
    <col min="8455" max="8455" width="9" style="2"/>
    <col min="8456" max="8458" width="11.125" style="2" bestFit="1" customWidth="1"/>
    <col min="8459" max="8704" width="9" style="2"/>
    <col min="8705" max="8705" width="2.375" style="2" customWidth="1"/>
    <col min="8706" max="8706" width="13.25" style="2" bestFit="1" customWidth="1"/>
    <col min="8707" max="8710" width="11.125" style="2" bestFit="1" customWidth="1"/>
    <col min="8711" max="8711" width="9" style="2"/>
    <col min="8712" max="8714" width="11.125" style="2" bestFit="1" customWidth="1"/>
    <col min="8715" max="8960" width="9" style="2"/>
    <col min="8961" max="8961" width="2.375" style="2" customWidth="1"/>
    <col min="8962" max="8962" width="13.25" style="2" bestFit="1" customWidth="1"/>
    <col min="8963" max="8966" width="11.125" style="2" bestFit="1" customWidth="1"/>
    <col min="8967" max="8967" width="9" style="2"/>
    <col min="8968" max="8970" width="11.125" style="2" bestFit="1" customWidth="1"/>
    <col min="8971" max="9216" width="9" style="2"/>
    <col min="9217" max="9217" width="2.375" style="2" customWidth="1"/>
    <col min="9218" max="9218" width="13.25" style="2" bestFit="1" customWidth="1"/>
    <col min="9219" max="9222" width="11.125" style="2" bestFit="1" customWidth="1"/>
    <col min="9223" max="9223" width="9" style="2"/>
    <col min="9224" max="9226" width="11.125" style="2" bestFit="1" customWidth="1"/>
    <col min="9227" max="9472" width="9" style="2"/>
    <col min="9473" max="9473" width="2.375" style="2" customWidth="1"/>
    <col min="9474" max="9474" width="13.25" style="2" bestFit="1" customWidth="1"/>
    <col min="9475" max="9478" width="11.125" style="2" bestFit="1" customWidth="1"/>
    <col min="9479" max="9479" width="9" style="2"/>
    <col min="9480" max="9482" width="11.125" style="2" bestFit="1" customWidth="1"/>
    <col min="9483" max="9728" width="9" style="2"/>
    <col min="9729" max="9729" width="2.375" style="2" customWidth="1"/>
    <col min="9730" max="9730" width="13.25" style="2" bestFit="1" customWidth="1"/>
    <col min="9731" max="9734" width="11.125" style="2" bestFit="1" customWidth="1"/>
    <col min="9735" max="9735" width="9" style="2"/>
    <col min="9736" max="9738" width="11.125" style="2" bestFit="1" customWidth="1"/>
    <col min="9739" max="9984" width="9" style="2"/>
    <col min="9985" max="9985" width="2.375" style="2" customWidth="1"/>
    <col min="9986" max="9986" width="13.25" style="2" bestFit="1" customWidth="1"/>
    <col min="9987" max="9990" width="11.125" style="2" bestFit="1" customWidth="1"/>
    <col min="9991" max="9991" width="9" style="2"/>
    <col min="9992" max="9994" width="11.125" style="2" bestFit="1" customWidth="1"/>
    <col min="9995" max="10240" width="9" style="2"/>
    <col min="10241" max="10241" width="2.375" style="2" customWidth="1"/>
    <col min="10242" max="10242" width="13.25" style="2" bestFit="1" customWidth="1"/>
    <col min="10243" max="10246" width="11.125" style="2" bestFit="1" customWidth="1"/>
    <col min="10247" max="10247" width="9" style="2"/>
    <col min="10248" max="10250" width="11.125" style="2" bestFit="1" customWidth="1"/>
    <col min="10251" max="10496" width="9" style="2"/>
    <col min="10497" max="10497" width="2.375" style="2" customWidth="1"/>
    <col min="10498" max="10498" width="13.25" style="2" bestFit="1" customWidth="1"/>
    <col min="10499" max="10502" width="11.125" style="2" bestFit="1" customWidth="1"/>
    <col min="10503" max="10503" width="9" style="2"/>
    <col min="10504" max="10506" width="11.125" style="2" bestFit="1" customWidth="1"/>
    <col min="10507" max="10752" width="9" style="2"/>
    <col min="10753" max="10753" width="2.375" style="2" customWidth="1"/>
    <col min="10754" max="10754" width="13.25" style="2" bestFit="1" customWidth="1"/>
    <col min="10755" max="10758" width="11.125" style="2" bestFit="1" customWidth="1"/>
    <col min="10759" max="10759" width="9" style="2"/>
    <col min="10760" max="10762" width="11.125" style="2" bestFit="1" customWidth="1"/>
    <col min="10763" max="11008" width="9" style="2"/>
    <col min="11009" max="11009" width="2.375" style="2" customWidth="1"/>
    <col min="11010" max="11010" width="13.25" style="2" bestFit="1" customWidth="1"/>
    <col min="11011" max="11014" width="11.125" style="2" bestFit="1" customWidth="1"/>
    <col min="11015" max="11015" width="9" style="2"/>
    <col min="11016" max="11018" width="11.125" style="2" bestFit="1" customWidth="1"/>
    <col min="11019" max="11264" width="9" style="2"/>
    <col min="11265" max="11265" width="2.375" style="2" customWidth="1"/>
    <col min="11266" max="11266" width="13.25" style="2" bestFit="1" customWidth="1"/>
    <col min="11267" max="11270" width="11.125" style="2" bestFit="1" customWidth="1"/>
    <col min="11271" max="11271" width="9" style="2"/>
    <col min="11272" max="11274" width="11.125" style="2" bestFit="1" customWidth="1"/>
    <col min="11275" max="11520" width="9" style="2"/>
    <col min="11521" max="11521" width="2.375" style="2" customWidth="1"/>
    <col min="11522" max="11522" width="13.25" style="2" bestFit="1" customWidth="1"/>
    <col min="11523" max="11526" width="11.125" style="2" bestFit="1" customWidth="1"/>
    <col min="11527" max="11527" width="9" style="2"/>
    <col min="11528" max="11530" width="11.125" style="2" bestFit="1" customWidth="1"/>
    <col min="11531" max="11776" width="9" style="2"/>
    <col min="11777" max="11777" width="2.375" style="2" customWidth="1"/>
    <col min="11778" max="11778" width="13.25" style="2" bestFit="1" customWidth="1"/>
    <col min="11779" max="11782" width="11.125" style="2" bestFit="1" customWidth="1"/>
    <col min="11783" max="11783" width="9" style="2"/>
    <col min="11784" max="11786" width="11.125" style="2" bestFit="1" customWidth="1"/>
    <col min="11787" max="12032" width="9" style="2"/>
    <col min="12033" max="12033" width="2.375" style="2" customWidth="1"/>
    <col min="12034" max="12034" width="13.25" style="2" bestFit="1" customWidth="1"/>
    <col min="12035" max="12038" width="11.125" style="2" bestFit="1" customWidth="1"/>
    <col min="12039" max="12039" width="9" style="2"/>
    <col min="12040" max="12042" width="11.125" style="2" bestFit="1" customWidth="1"/>
    <col min="12043" max="12288" width="9" style="2"/>
    <col min="12289" max="12289" width="2.375" style="2" customWidth="1"/>
    <col min="12290" max="12290" width="13.25" style="2" bestFit="1" customWidth="1"/>
    <col min="12291" max="12294" width="11.125" style="2" bestFit="1" customWidth="1"/>
    <col min="12295" max="12295" width="9" style="2"/>
    <col min="12296" max="12298" width="11.125" style="2" bestFit="1" customWidth="1"/>
    <col min="12299" max="12544" width="9" style="2"/>
    <col min="12545" max="12545" width="2.375" style="2" customWidth="1"/>
    <col min="12546" max="12546" width="13.25" style="2" bestFit="1" customWidth="1"/>
    <col min="12547" max="12550" width="11.125" style="2" bestFit="1" customWidth="1"/>
    <col min="12551" max="12551" width="9" style="2"/>
    <col min="12552" max="12554" width="11.125" style="2" bestFit="1" customWidth="1"/>
    <col min="12555" max="12800" width="9" style="2"/>
    <col min="12801" max="12801" width="2.375" style="2" customWidth="1"/>
    <col min="12802" max="12802" width="13.25" style="2" bestFit="1" customWidth="1"/>
    <col min="12803" max="12806" width="11.125" style="2" bestFit="1" customWidth="1"/>
    <col min="12807" max="12807" width="9" style="2"/>
    <col min="12808" max="12810" width="11.125" style="2" bestFit="1" customWidth="1"/>
    <col min="12811" max="13056" width="9" style="2"/>
    <col min="13057" max="13057" width="2.375" style="2" customWidth="1"/>
    <col min="13058" max="13058" width="13.25" style="2" bestFit="1" customWidth="1"/>
    <col min="13059" max="13062" width="11.125" style="2" bestFit="1" customWidth="1"/>
    <col min="13063" max="13063" width="9" style="2"/>
    <col min="13064" max="13066" width="11.125" style="2" bestFit="1" customWidth="1"/>
    <col min="13067" max="13312" width="9" style="2"/>
    <col min="13313" max="13313" width="2.375" style="2" customWidth="1"/>
    <col min="13314" max="13314" width="13.25" style="2" bestFit="1" customWidth="1"/>
    <col min="13315" max="13318" width="11.125" style="2" bestFit="1" customWidth="1"/>
    <col min="13319" max="13319" width="9" style="2"/>
    <col min="13320" max="13322" width="11.125" style="2" bestFit="1" customWidth="1"/>
    <col min="13323" max="13568" width="9" style="2"/>
    <col min="13569" max="13569" width="2.375" style="2" customWidth="1"/>
    <col min="13570" max="13570" width="13.25" style="2" bestFit="1" customWidth="1"/>
    <col min="13571" max="13574" width="11.125" style="2" bestFit="1" customWidth="1"/>
    <col min="13575" max="13575" width="9" style="2"/>
    <col min="13576" max="13578" width="11.125" style="2" bestFit="1" customWidth="1"/>
    <col min="13579" max="13824" width="9" style="2"/>
    <col min="13825" max="13825" width="2.375" style="2" customWidth="1"/>
    <col min="13826" max="13826" width="13.25" style="2" bestFit="1" customWidth="1"/>
    <col min="13827" max="13830" width="11.125" style="2" bestFit="1" customWidth="1"/>
    <col min="13831" max="13831" width="9" style="2"/>
    <col min="13832" max="13834" width="11.125" style="2" bestFit="1" customWidth="1"/>
    <col min="13835" max="14080" width="9" style="2"/>
    <col min="14081" max="14081" width="2.375" style="2" customWidth="1"/>
    <col min="14082" max="14082" width="13.25" style="2" bestFit="1" customWidth="1"/>
    <col min="14083" max="14086" width="11.125" style="2" bestFit="1" customWidth="1"/>
    <col min="14087" max="14087" width="9" style="2"/>
    <col min="14088" max="14090" width="11.125" style="2" bestFit="1" customWidth="1"/>
    <col min="14091" max="14336" width="9" style="2"/>
    <col min="14337" max="14337" width="2.375" style="2" customWidth="1"/>
    <col min="14338" max="14338" width="13.25" style="2" bestFit="1" customWidth="1"/>
    <col min="14339" max="14342" width="11.125" style="2" bestFit="1" customWidth="1"/>
    <col min="14343" max="14343" width="9" style="2"/>
    <col min="14344" max="14346" width="11.125" style="2" bestFit="1" customWidth="1"/>
    <col min="14347" max="14592" width="9" style="2"/>
    <col min="14593" max="14593" width="2.375" style="2" customWidth="1"/>
    <col min="14594" max="14594" width="13.25" style="2" bestFit="1" customWidth="1"/>
    <col min="14595" max="14598" width="11.125" style="2" bestFit="1" customWidth="1"/>
    <col min="14599" max="14599" width="9" style="2"/>
    <col min="14600" max="14602" width="11.125" style="2" bestFit="1" customWidth="1"/>
    <col min="14603" max="14848" width="9" style="2"/>
    <col min="14849" max="14849" width="2.375" style="2" customWidth="1"/>
    <col min="14850" max="14850" width="13.25" style="2" bestFit="1" customWidth="1"/>
    <col min="14851" max="14854" width="11.125" style="2" bestFit="1" customWidth="1"/>
    <col min="14855" max="14855" width="9" style="2"/>
    <col min="14856" max="14858" width="11.125" style="2" bestFit="1" customWidth="1"/>
    <col min="14859" max="15104" width="9" style="2"/>
    <col min="15105" max="15105" width="2.375" style="2" customWidth="1"/>
    <col min="15106" max="15106" width="13.25" style="2" bestFit="1" customWidth="1"/>
    <col min="15107" max="15110" width="11.125" style="2" bestFit="1" customWidth="1"/>
    <col min="15111" max="15111" width="9" style="2"/>
    <col min="15112" max="15114" width="11.125" style="2" bestFit="1" customWidth="1"/>
    <col min="15115" max="15360" width="9" style="2"/>
    <col min="15361" max="15361" width="2.375" style="2" customWidth="1"/>
    <col min="15362" max="15362" width="13.25" style="2" bestFit="1" customWidth="1"/>
    <col min="15363" max="15366" width="11.125" style="2" bestFit="1" customWidth="1"/>
    <col min="15367" max="15367" width="9" style="2"/>
    <col min="15368" max="15370" width="11.125" style="2" bestFit="1" customWidth="1"/>
    <col min="15371" max="15616" width="9" style="2"/>
    <col min="15617" max="15617" width="2.375" style="2" customWidth="1"/>
    <col min="15618" max="15618" width="13.25" style="2" bestFit="1" customWidth="1"/>
    <col min="15619" max="15622" width="11.125" style="2" bestFit="1" customWidth="1"/>
    <col min="15623" max="15623" width="9" style="2"/>
    <col min="15624" max="15626" width="11.125" style="2" bestFit="1" customWidth="1"/>
    <col min="15627" max="15872" width="9" style="2"/>
    <col min="15873" max="15873" width="2.375" style="2" customWidth="1"/>
    <col min="15874" max="15874" width="13.25" style="2" bestFit="1" customWidth="1"/>
    <col min="15875" max="15878" width="11.125" style="2" bestFit="1" customWidth="1"/>
    <col min="15879" max="15879" width="9" style="2"/>
    <col min="15880" max="15882" width="11.125" style="2" bestFit="1" customWidth="1"/>
    <col min="15883" max="16128" width="9" style="2"/>
    <col min="16129" max="16129" width="2.375" style="2" customWidth="1"/>
    <col min="16130" max="16130" width="13.25" style="2" bestFit="1" customWidth="1"/>
    <col min="16131" max="16134" width="11.125" style="2" bestFit="1" customWidth="1"/>
    <col min="16135" max="16135" width="9" style="2"/>
    <col min="16136" max="16138" width="11.125" style="2" bestFit="1" customWidth="1"/>
    <col min="16139" max="16384" width="9" style="2"/>
  </cols>
  <sheetData>
    <row r="1" spans="1:12">
      <c r="A1" s="1" t="s">
        <v>0</v>
      </c>
    </row>
    <row r="2" spans="1:12" ht="19.5" thickBot="1">
      <c r="A2" s="1" t="s">
        <v>2</v>
      </c>
    </row>
    <row r="3" spans="1:12">
      <c r="B3" s="12"/>
      <c r="C3" s="46" t="s">
        <v>4</v>
      </c>
      <c r="D3" s="55" t="s">
        <v>37</v>
      </c>
      <c r="E3" s="27" t="s">
        <v>3</v>
      </c>
      <c r="F3" s="28" t="s">
        <v>5</v>
      </c>
      <c r="G3" s="28" t="s">
        <v>6</v>
      </c>
      <c r="H3" s="28" t="s">
        <v>7</v>
      </c>
      <c r="I3" s="28" t="s">
        <v>8</v>
      </c>
      <c r="J3" s="4" t="s">
        <v>9</v>
      </c>
      <c r="K3" s="55" t="s">
        <v>37</v>
      </c>
      <c r="L3" s="57" t="s">
        <v>18</v>
      </c>
    </row>
    <row r="4" spans="1:12" ht="19.5" thickBot="1">
      <c r="B4" s="5" t="s">
        <v>10</v>
      </c>
      <c r="C4" s="47" t="s">
        <v>12</v>
      </c>
      <c r="D4" s="56" t="s">
        <v>38</v>
      </c>
      <c r="E4" s="29" t="s">
        <v>11</v>
      </c>
      <c r="F4" s="30" t="s">
        <v>13</v>
      </c>
      <c r="G4" s="30" t="s">
        <v>14</v>
      </c>
      <c r="H4" s="30" t="s">
        <v>15</v>
      </c>
      <c r="I4" s="30" t="s">
        <v>16</v>
      </c>
      <c r="J4" s="3" t="s">
        <v>17</v>
      </c>
      <c r="K4" s="56" t="s">
        <v>39</v>
      </c>
      <c r="L4" s="45" t="s">
        <v>40</v>
      </c>
    </row>
    <row r="5" spans="1:12">
      <c r="A5" s="1" t="s">
        <v>1</v>
      </c>
      <c r="B5" s="24" t="s">
        <v>19</v>
      </c>
      <c r="C5" s="48">
        <v>380000</v>
      </c>
      <c r="D5" s="26">
        <f>SUM(C5)</f>
        <v>380000</v>
      </c>
      <c r="E5" s="31">
        <v>71000</v>
      </c>
      <c r="F5" s="32">
        <v>59000</v>
      </c>
      <c r="G5" s="32">
        <v>71000</v>
      </c>
      <c r="H5" s="32">
        <v>71000</v>
      </c>
      <c r="I5" s="32">
        <v>53000</v>
      </c>
      <c r="J5" s="25">
        <v>35830</v>
      </c>
      <c r="K5" s="26">
        <f>SUM(E5:J5)</f>
        <v>360830</v>
      </c>
      <c r="L5" s="26">
        <f>SUM(K5,D5)</f>
        <v>740830</v>
      </c>
    </row>
    <row r="6" spans="1:12">
      <c r="A6" s="1" t="s">
        <v>1</v>
      </c>
      <c r="B6" s="19" t="s">
        <v>20</v>
      </c>
      <c r="C6" s="49">
        <v>0</v>
      </c>
      <c r="D6" s="21">
        <f t="shared" ref="D6:D19" si="0">SUM(C6)</f>
        <v>0</v>
      </c>
      <c r="E6" s="33">
        <v>6000</v>
      </c>
      <c r="F6" s="34">
        <v>0</v>
      </c>
      <c r="G6" s="34">
        <v>6000</v>
      </c>
      <c r="H6" s="34">
        <v>0</v>
      </c>
      <c r="I6" s="34">
        <v>0</v>
      </c>
      <c r="J6" s="20">
        <v>0</v>
      </c>
      <c r="K6" s="21">
        <f t="shared" ref="K6:K19" si="1">SUM(E6:J6)</f>
        <v>12000</v>
      </c>
      <c r="L6" s="21">
        <f t="shared" ref="L6:L21" si="2">SUM(K6,D6)</f>
        <v>12000</v>
      </c>
    </row>
    <row r="7" spans="1:12">
      <c r="A7" s="1" t="s">
        <v>1</v>
      </c>
      <c r="B7" s="6" t="s">
        <v>21</v>
      </c>
      <c r="C7" s="50">
        <v>15000</v>
      </c>
      <c r="D7" s="8">
        <f t="shared" si="0"/>
        <v>15000</v>
      </c>
      <c r="E7" s="35">
        <v>15000</v>
      </c>
      <c r="F7" s="36">
        <v>15000</v>
      </c>
      <c r="G7" s="36">
        <v>15000</v>
      </c>
      <c r="H7" s="36">
        <v>15000</v>
      </c>
      <c r="I7" s="36">
        <v>15000</v>
      </c>
      <c r="J7" s="7">
        <v>15000</v>
      </c>
      <c r="K7" s="8">
        <f t="shared" si="1"/>
        <v>90000</v>
      </c>
      <c r="L7" s="8">
        <f t="shared" si="2"/>
        <v>105000</v>
      </c>
    </row>
    <row r="8" spans="1:12">
      <c r="A8" s="1" t="s">
        <v>1</v>
      </c>
      <c r="B8" s="13" t="s">
        <v>22</v>
      </c>
      <c r="C8" s="51">
        <v>395000</v>
      </c>
      <c r="D8" s="15">
        <f t="shared" si="0"/>
        <v>395000</v>
      </c>
      <c r="E8" s="37">
        <v>92000</v>
      </c>
      <c r="F8" s="38">
        <v>74000</v>
      </c>
      <c r="G8" s="38">
        <v>92000</v>
      </c>
      <c r="H8" s="38">
        <v>86000</v>
      </c>
      <c r="I8" s="38">
        <v>68000</v>
      </c>
      <c r="J8" s="14">
        <v>50830</v>
      </c>
      <c r="K8" s="15">
        <f t="shared" si="1"/>
        <v>462830</v>
      </c>
      <c r="L8" s="15">
        <f t="shared" si="2"/>
        <v>857830</v>
      </c>
    </row>
    <row r="9" spans="1:12">
      <c r="A9" s="1" t="s">
        <v>1</v>
      </c>
      <c r="B9" s="13" t="s">
        <v>23</v>
      </c>
      <c r="C9" s="51">
        <v>395000</v>
      </c>
      <c r="D9" s="15">
        <f t="shared" si="0"/>
        <v>395000</v>
      </c>
      <c r="E9" s="37">
        <v>92000</v>
      </c>
      <c r="F9" s="38">
        <v>74000</v>
      </c>
      <c r="G9" s="38">
        <v>92000</v>
      </c>
      <c r="H9" s="38">
        <v>86000</v>
      </c>
      <c r="I9" s="38">
        <v>68000</v>
      </c>
      <c r="J9" s="14">
        <v>50830</v>
      </c>
      <c r="K9" s="15">
        <f t="shared" si="1"/>
        <v>462830</v>
      </c>
      <c r="L9" s="15">
        <f t="shared" si="2"/>
        <v>857830</v>
      </c>
    </row>
    <row r="10" spans="1:12">
      <c r="A10" s="1" t="s">
        <v>1</v>
      </c>
      <c r="B10" s="16" t="s">
        <v>24</v>
      </c>
      <c r="C10" s="52">
        <v>20145</v>
      </c>
      <c r="D10" s="18">
        <f t="shared" si="0"/>
        <v>20145</v>
      </c>
      <c r="E10" s="39">
        <v>4692</v>
      </c>
      <c r="F10" s="40">
        <v>3774</v>
      </c>
      <c r="G10" s="40">
        <v>4692</v>
      </c>
      <c r="H10" s="40">
        <v>4386</v>
      </c>
      <c r="I10" s="40">
        <v>3468</v>
      </c>
      <c r="J10" s="17">
        <v>2550</v>
      </c>
      <c r="K10" s="18">
        <f t="shared" si="1"/>
        <v>23562</v>
      </c>
      <c r="L10" s="18">
        <f t="shared" si="2"/>
        <v>43707</v>
      </c>
    </row>
    <row r="11" spans="1:12">
      <c r="A11" s="1" t="s">
        <v>1</v>
      </c>
      <c r="B11" s="19" t="s">
        <v>25</v>
      </c>
      <c r="C11" s="49">
        <v>3555</v>
      </c>
      <c r="D11" s="21">
        <f t="shared" si="0"/>
        <v>3555</v>
      </c>
      <c r="E11" s="33">
        <v>0</v>
      </c>
      <c r="F11" s="34">
        <v>666</v>
      </c>
      <c r="G11" s="34">
        <v>828</v>
      </c>
      <c r="H11" s="34">
        <v>774</v>
      </c>
      <c r="I11" s="34">
        <v>612</v>
      </c>
      <c r="J11" s="20">
        <v>0</v>
      </c>
      <c r="K11" s="21">
        <f t="shared" si="1"/>
        <v>2880</v>
      </c>
      <c r="L11" s="21">
        <f t="shared" si="2"/>
        <v>6435</v>
      </c>
    </row>
    <row r="12" spans="1:12">
      <c r="A12" s="1" t="s">
        <v>1</v>
      </c>
      <c r="B12" s="19" t="s">
        <v>26</v>
      </c>
      <c r="C12" s="49">
        <v>36142</v>
      </c>
      <c r="D12" s="21">
        <f t="shared" si="0"/>
        <v>36142</v>
      </c>
      <c r="E12" s="33">
        <v>8418</v>
      </c>
      <c r="F12" s="34">
        <v>6771</v>
      </c>
      <c r="G12" s="34">
        <v>8418</v>
      </c>
      <c r="H12" s="34">
        <v>7869</v>
      </c>
      <c r="I12" s="34">
        <v>6222</v>
      </c>
      <c r="J12" s="20">
        <v>4575</v>
      </c>
      <c r="K12" s="21">
        <f t="shared" si="1"/>
        <v>42273</v>
      </c>
      <c r="L12" s="21">
        <f t="shared" si="2"/>
        <v>78415</v>
      </c>
    </row>
    <row r="13" spans="1:12">
      <c r="A13" s="1" t="s">
        <v>1</v>
      </c>
      <c r="B13" s="6" t="s">
        <v>27</v>
      </c>
      <c r="C13" s="50">
        <v>2370</v>
      </c>
      <c r="D13" s="8">
        <f t="shared" si="0"/>
        <v>2370</v>
      </c>
      <c r="E13" s="35">
        <v>552</v>
      </c>
      <c r="F13" s="36">
        <v>444</v>
      </c>
      <c r="G13" s="36">
        <v>552</v>
      </c>
      <c r="H13" s="36">
        <v>516</v>
      </c>
      <c r="I13" s="36">
        <v>408</v>
      </c>
      <c r="J13" s="7">
        <v>305</v>
      </c>
      <c r="K13" s="8">
        <f t="shared" si="1"/>
        <v>2777</v>
      </c>
      <c r="L13" s="8">
        <f t="shared" si="2"/>
        <v>5147</v>
      </c>
    </row>
    <row r="14" spans="1:12">
      <c r="A14" s="1" t="s">
        <v>1</v>
      </c>
      <c r="B14" s="13" t="s">
        <v>28</v>
      </c>
      <c r="C14" s="51">
        <v>332788</v>
      </c>
      <c r="D14" s="15">
        <f t="shared" si="0"/>
        <v>332788</v>
      </c>
      <c r="E14" s="37">
        <v>78338</v>
      </c>
      <c r="F14" s="38">
        <v>62345</v>
      </c>
      <c r="G14" s="38">
        <v>77510</v>
      </c>
      <c r="H14" s="38">
        <v>72455</v>
      </c>
      <c r="I14" s="38">
        <v>57290</v>
      </c>
      <c r="J14" s="14">
        <v>43400</v>
      </c>
      <c r="K14" s="15">
        <f t="shared" si="1"/>
        <v>391338</v>
      </c>
      <c r="L14" s="15">
        <f t="shared" si="2"/>
        <v>724126</v>
      </c>
    </row>
    <row r="15" spans="1:12">
      <c r="A15" s="1" t="s">
        <v>1</v>
      </c>
      <c r="B15" s="6" t="s">
        <v>29</v>
      </c>
      <c r="C15" s="50">
        <v>27182</v>
      </c>
      <c r="D15" s="8">
        <f t="shared" si="0"/>
        <v>27182</v>
      </c>
      <c r="E15" s="35">
        <v>4798</v>
      </c>
      <c r="F15" s="36">
        <v>3819</v>
      </c>
      <c r="G15" s="36">
        <v>6331</v>
      </c>
      <c r="H15" s="36">
        <v>2959</v>
      </c>
      <c r="I15" s="36">
        <v>2339</v>
      </c>
      <c r="J15" s="7">
        <v>1772</v>
      </c>
      <c r="K15" s="8">
        <f t="shared" si="1"/>
        <v>22018</v>
      </c>
      <c r="L15" s="8">
        <f t="shared" si="2"/>
        <v>49200</v>
      </c>
    </row>
    <row r="16" spans="1:12">
      <c r="A16" s="1" t="s">
        <v>1</v>
      </c>
      <c r="B16" s="13" t="s">
        <v>30</v>
      </c>
      <c r="C16" s="51">
        <v>62212</v>
      </c>
      <c r="D16" s="15">
        <f t="shared" si="0"/>
        <v>62212</v>
      </c>
      <c r="E16" s="37">
        <v>13662</v>
      </c>
      <c r="F16" s="38">
        <v>11655</v>
      </c>
      <c r="G16" s="38">
        <v>14490</v>
      </c>
      <c r="H16" s="38">
        <v>13545</v>
      </c>
      <c r="I16" s="38">
        <v>10710</v>
      </c>
      <c r="J16" s="14">
        <v>7430</v>
      </c>
      <c r="K16" s="15">
        <f t="shared" si="1"/>
        <v>71492</v>
      </c>
      <c r="L16" s="15">
        <f t="shared" si="2"/>
        <v>133704</v>
      </c>
    </row>
    <row r="17" spans="1:12">
      <c r="A17" s="1" t="s">
        <v>1</v>
      </c>
      <c r="B17" s="13" t="s">
        <v>31</v>
      </c>
      <c r="C17" s="51">
        <v>89394</v>
      </c>
      <c r="D17" s="15">
        <f t="shared" si="0"/>
        <v>89394</v>
      </c>
      <c r="E17" s="37">
        <v>18460</v>
      </c>
      <c r="F17" s="38">
        <v>15474</v>
      </c>
      <c r="G17" s="38">
        <v>20821</v>
      </c>
      <c r="H17" s="38">
        <v>16504</v>
      </c>
      <c r="I17" s="38">
        <v>13049</v>
      </c>
      <c r="J17" s="14">
        <v>9202</v>
      </c>
      <c r="K17" s="15">
        <f t="shared" si="1"/>
        <v>93510</v>
      </c>
      <c r="L17" s="15">
        <f t="shared" si="2"/>
        <v>182904</v>
      </c>
    </row>
    <row r="18" spans="1:12">
      <c r="A18" s="1" t="s">
        <v>1</v>
      </c>
      <c r="B18" s="13" t="s">
        <v>32</v>
      </c>
      <c r="C18" s="51">
        <v>305606</v>
      </c>
      <c r="D18" s="15">
        <f t="shared" si="0"/>
        <v>305606</v>
      </c>
      <c r="E18" s="37">
        <v>73540</v>
      </c>
      <c r="F18" s="38">
        <v>58526</v>
      </c>
      <c r="G18" s="38">
        <v>71179</v>
      </c>
      <c r="H18" s="38">
        <v>69496</v>
      </c>
      <c r="I18" s="38">
        <v>54951</v>
      </c>
      <c r="J18" s="14">
        <v>41628</v>
      </c>
      <c r="K18" s="15">
        <f t="shared" si="1"/>
        <v>369320</v>
      </c>
      <c r="L18" s="15">
        <f t="shared" si="2"/>
        <v>674926</v>
      </c>
    </row>
    <row r="19" spans="1:12">
      <c r="A19" s="1" t="s">
        <v>1</v>
      </c>
      <c r="B19" s="13" t="s">
        <v>33</v>
      </c>
      <c r="C19" s="51">
        <v>305606</v>
      </c>
      <c r="D19" s="15">
        <f t="shared" si="0"/>
        <v>305606</v>
      </c>
      <c r="E19" s="37">
        <v>73540</v>
      </c>
      <c r="F19" s="38">
        <v>58526</v>
      </c>
      <c r="G19" s="38">
        <v>71179</v>
      </c>
      <c r="H19" s="38">
        <v>69496</v>
      </c>
      <c r="I19" s="38">
        <v>54951</v>
      </c>
      <c r="J19" s="14">
        <v>41628</v>
      </c>
      <c r="K19" s="15">
        <f t="shared" si="1"/>
        <v>369320</v>
      </c>
      <c r="L19" s="15">
        <f t="shared" si="2"/>
        <v>674926</v>
      </c>
    </row>
    <row r="20" spans="1:12">
      <c r="A20" s="1" t="s">
        <v>1</v>
      </c>
      <c r="B20" s="13" t="s">
        <v>34</v>
      </c>
      <c r="C20" s="51">
        <v>0</v>
      </c>
      <c r="D20" s="15"/>
      <c r="E20" s="37">
        <v>0</v>
      </c>
      <c r="F20" s="38">
        <v>1</v>
      </c>
      <c r="G20" s="38">
        <v>0</v>
      </c>
      <c r="H20" s="38">
        <v>1</v>
      </c>
      <c r="I20" s="38">
        <v>0</v>
      </c>
      <c r="J20" s="14">
        <v>0</v>
      </c>
      <c r="K20" s="15"/>
      <c r="L20" s="15">
        <f t="shared" si="2"/>
        <v>0</v>
      </c>
    </row>
    <row r="21" spans="1:12">
      <c r="A21" s="1" t="s">
        <v>1</v>
      </c>
      <c r="B21" s="13" t="s">
        <v>35</v>
      </c>
      <c r="C21" s="53">
        <v>8.1679999999999993</v>
      </c>
      <c r="D21" s="23"/>
      <c r="E21" s="41">
        <v>6.1260000000000003</v>
      </c>
      <c r="F21" s="42">
        <v>6.1260000000000003</v>
      </c>
      <c r="G21" s="42">
        <v>8.1679999999999993</v>
      </c>
      <c r="H21" s="42">
        <v>4.0839999999999996</v>
      </c>
      <c r="I21" s="42">
        <v>4.0839999999999996</v>
      </c>
      <c r="J21" s="22">
        <v>4.0839999999999996</v>
      </c>
      <c r="K21" s="23"/>
      <c r="L21" s="23">
        <f t="shared" si="2"/>
        <v>0</v>
      </c>
    </row>
    <row r="22" spans="1:12" ht="19.5" thickBot="1">
      <c r="A22" s="1" t="s">
        <v>1</v>
      </c>
      <c r="B22" s="9" t="s">
        <v>36</v>
      </c>
      <c r="C22" s="54">
        <v>308242</v>
      </c>
      <c r="D22" s="11"/>
      <c r="E22" s="43">
        <v>282160</v>
      </c>
      <c r="F22" s="44">
        <v>296891</v>
      </c>
      <c r="G22" s="44">
        <v>311114</v>
      </c>
      <c r="H22" s="44">
        <v>269679</v>
      </c>
      <c r="I22" s="44">
        <v>225093</v>
      </c>
      <c r="J22" s="10">
        <v>249533</v>
      </c>
      <c r="K22" s="11"/>
      <c r="L22" s="11"/>
    </row>
  </sheetData>
  <phoneticPr fontId="3"/>
  <pageMargins left="0.7" right="0.7" top="0.75" bottom="0.75" header="0.3" footer="0.3"/>
  <pageSetup paperSize="1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5年夏賞与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fukasawa</dc:creator>
  <cp:lastModifiedBy>fukasawa</cp:lastModifiedBy>
  <cp:lastPrinted>2023-06-14T05:06:51Z</cp:lastPrinted>
  <dcterms:created xsi:type="dcterms:W3CDTF">2023-06-14T04:19:11Z</dcterms:created>
  <dcterms:modified xsi:type="dcterms:W3CDTF">2023-06-15T06:21:00Z</dcterms:modified>
</cp:coreProperties>
</file>