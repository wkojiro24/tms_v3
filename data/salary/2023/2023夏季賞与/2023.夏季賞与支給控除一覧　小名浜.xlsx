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夏季賞与\"/>
    </mc:Choice>
  </mc:AlternateContent>
  <xr:revisionPtr revIDLastSave="0" documentId="13_ncr:1_{A97D1A47-7544-4E97-ACDF-99A36FBF2327}" xr6:coauthVersionLast="47" xr6:coauthVersionMax="47" xr10:uidLastSave="{00000000-0000-0000-0000-000000000000}"/>
  <bookViews>
    <workbookView xWindow="-120" yWindow="-120" windowWidth="20730" windowHeight="11160" xr2:uid="{5DA7BF2B-0F28-473C-84D6-A44D4B5C066E}"/>
  </bookViews>
  <sheets>
    <sheet name="5年夏賞与 (2)" sheetId="4" r:id="rId1"/>
  </sheets>
  <definedNames>
    <definedName name="_xlnm.Print_Area" localSheetId="0">'5年夏賞与 (2)'!$A$1:$AB$23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6" i="4" l="1"/>
  <c r="AB6" i="4" s="1"/>
  <c r="AA7" i="4"/>
  <c r="AB7" i="4" s="1"/>
  <c r="AA8" i="4"/>
  <c r="AB8" i="4" s="1"/>
  <c r="AA9" i="4"/>
  <c r="AB9" i="4" s="1"/>
  <c r="AA10" i="4"/>
  <c r="AB10" i="4" s="1"/>
  <c r="AA11" i="4"/>
  <c r="AB11" i="4" s="1"/>
  <c r="AA12" i="4"/>
  <c r="AB12" i="4" s="1"/>
  <c r="AA13" i="4"/>
  <c r="AB13" i="4" s="1"/>
  <c r="AA14" i="4"/>
  <c r="AB14" i="4" s="1"/>
  <c r="AA15" i="4"/>
  <c r="AB15" i="4" s="1"/>
  <c r="AA16" i="4"/>
  <c r="AB16" i="4" s="1"/>
  <c r="AA17" i="4"/>
  <c r="AB17" i="4" s="1"/>
  <c r="AA18" i="4"/>
  <c r="AB18" i="4" s="1"/>
  <c r="AA19" i="4"/>
  <c r="AB19" i="4" s="1"/>
  <c r="AA20" i="4"/>
  <c r="AB20" i="4" s="1"/>
  <c r="AA21" i="4"/>
  <c r="AA22" i="4"/>
  <c r="AA23" i="4"/>
  <c r="AA5" i="4"/>
  <c r="AB5" i="4" s="1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5" i="4"/>
</calcChain>
</file>

<file path=xl/sharedStrings.xml><?xml version="1.0" encoding="utf-8"?>
<sst xmlns="http://schemas.openxmlformats.org/spreadsheetml/2006/main" count="93" uniqueCount="73">
  <si>
    <t>賞与支給控除一覧表</t>
    <phoneticPr fontId="4"/>
  </si>
  <si>
    <t/>
  </si>
  <si>
    <t>5年夏賞与</t>
    <phoneticPr fontId="4"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</si>
  <si>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</si>
  <si>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</si>
  <si>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</si>
  <si>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</si>
  <si>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</si>
  <si>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</si>
  <si>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</si>
  <si>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</si>
  <si>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</si>
  <si>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</si>
  <si>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</si>
  <si>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</si>
  <si>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</si>
  <si>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</si>
  <si>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</si>
  <si>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</si>
  <si>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</si>
  <si>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</si>
  <si>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1107</t>
    <phoneticPr fontId="4"/>
  </si>
  <si>
    <t>1109</t>
    <phoneticPr fontId="4"/>
  </si>
  <si>
    <t>1110</t>
    <phoneticPr fontId="4"/>
  </si>
  <si>
    <t>1112</t>
    <phoneticPr fontId="4"/>
  </si>
  <si>
    <t>項目名</t>
    <phoneticPr fontId="4"/>
  </si>
  <si>
    <t>小林　啓一</t>
    <phoneticPr fontId="4"/>
  </si>
  <si>
    <t>鈴木　富雄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</si>
  <si>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</si>
  <si>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</si>
  <si>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</si>
  <si>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</si>
  <si>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</si>
  <si>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</si>
  <si>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</si>
  <si>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</si>
  <si>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</si>
  <si>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</si>
  <si>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</si>
  <si>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</si>
  <si>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</si>
  <si>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</si>
  <si>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</si>
  <si>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渡邊　晃弘</t>
    <phoneticPr fontId="4"/>
  </si>
  <si>
    <t>渡邉　進一</t>
    <phoneticPr fontId="4"/>
  </si>
  <si>
    <t>山口　豊</t>
    <phoneticPr fontId="4"/>
  </si>
  <si>
    <t>齋藤　健一</t>
    <phoneticPr fontId="4"/>
  </si>
  <si>
    <t>合計</t>
    <phoneticPr fontId="4"/>
  </si>
  <si>
    <t>賞与</t>
    <phoneticPr fontId="4"/>
  </si>
  <si>
    <t>職位加算</t>
    <phoneticPr fontId="4"/>
  </si>
  <si>
    <t>職責加算</t>
    <phoneticPr fontId="4"/>
  </si>
  <si>
    <t>業績連動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</si>
  <si>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</si>
  <si>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</si>
  <si>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</si>
  <si>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</si>
  <si>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</si>
  <si>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</si>
  <si>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</si>
  <si>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</si>
  <si>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</si>
  <si>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</si>
  <si>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差引支給合計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</si>
  <si>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</si>
  <si>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</si>
  <si>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</si>
  <si>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</si>
  <si>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小計</t>
    <rPh sb="0" eb="2">
      <t>ショウケイ</t>
    </rPh>
    <phoneticPr fontId="3"/>
  </si>
  <si>
    <t>１８名</t>
    <rPh sb="2" eb="3">
      <t>メイ</t>
    </rPh>
    <phoneticPr fontId="3"/>
  </si>
  <si>
    <t>２名</t>
    <rPh sb="1" eb="2">
      <t>メイ</t>
    </rPh>
    <phoneticPr fontId="3"/>
  </si>
  <si>
    <t>1名</t>
    <rPh sb="1" eb="2">
      <t>メイ</t>
    </rPh>
    <phoneticPr fontId="3"/>
  </si>
  <si>
    <t>２１名</t>
    <rPh sb="2" eb="3">
      <t>メイ</t>
    </rPh>
    <phoneticPr fontId="4"/>
  </si>
  <si>
    <t>下山田英治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</si>
</sst>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3" fontId="2" fillId="0" borderId="7" xfId="1" applyNumberFormat="1" applyFont="1" applyBorder="1"/>
    <xf numFmtId="3" fontId="2" fillId="0" borderId="6" xfId="1" applyNumberFormat="1" applyFont="1" applyBorder="1"/>
    <xf numFmtId="176" fontId="2" fillId="0" borderId="7" xfId="1" applyNumberFormat="1" applyFont="1" applyBorder="1"/>
    <xf numFmtId="176" fontId="2" fillId="0" borderId="6" xfId="1" applyNumberFormat="1" applyFont="1" applyBorder="1"/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176" fontId="2" fillId="0" borderId="14" xfId="1" applyNumberFormat="1" applyFont="1" applyBorder="1"/>
    <xf numFmtId="176" fontId="2" fillId="0" borderId="15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49" fontId="2" fillId="0" borderId="16" xfId="1" applyNumberFormat="1" applyFont="1" applyBorder="1" applyAlignment="1">
      <alignment horizontal="left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16" xfId="1" applyNumberFormat="1" applyFont="1" applyBorder="1"/>
    <xf numFmtId="49" fontId="2" fillId="0" borderId="20" xfId="1" applyNumberFormat="1" applyFont="1" applyBorder="1" applyAlignment="1">
      <alignment horizontal="left"/>
    </xf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0" xfId="1" applyNumberFormat="1" applyFont="1" applyBorder="1"/>
    <xf numFmtId="49" fontId="2" fillId="0" borderId="24" xfId="1" applyNumberFormat="1" applyFont="1" applyBorder="1" applyAlignment="1">
      <alignment horizontal="left"/>
    </xf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4" xfId="1" applyNumberFormat="1" applyFont="1" applyBorder="1"/>
    <xf numFmtId="49" fontId="2" fillId="0" borderId="28" xfId="1" applyNumberFormat="1" applyFont="1" applyBorder="1" applyAlignment="1">
      <alignment horizontal="left"/>
    </xf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28" xfId="1" applyNumberFormat="1" applyFont="1" applyBorder="1"/>
    <xf numFmtId="0" fontId="2" fillId="0" borderId="3" xfId="1" applyFont="1" applyBorder="1" applyAlignment="1">
      <alignment horizontal="right"/>
    </xf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176" fontId="2" fillId="0" borderId="38" xfId="1" applyNumberFormat="1" applyFont="1" applyBorder="1"/>
    <xf numFmtId="3" fontId="2" fillId="0" borderId="33" xfId="1" applyNumberFormat="1" applyFont="1" applyBorder="1"/>
    <xf numFmtId="49" fontId="2" fillId="0" borderId="40" xfId="1" applyNumberFormat="1" applyFont="1" applyBorder="1" applyAlignment="1">
      <alignment horizontal="center"/>
    </xf>
    <xf numFmtId="49" fontId="2" fillId="0" borderId="41" xfId="1" applyNumberFormat="1" applyFont="1" applyBorder="1" applyAlignment="1">
      <alignment horizontal="center"/>
    </xf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44" xfId="1" applyNumberFormat="1" applyFont="1" applyBorder="1"/>
    <xf numFmtId="3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176" fontId="2" fillId="0" borderId="46" xfId="1" applyNumberFormat="1" applyFont="1" applyBorder="1"/>
    <xf numFmtId="3" fontId="2" fillId="0" borderId="41" xfId="1" applyNumberFormat="1" applyFont="1" applyBorder="1"/>
    <xf numFmtId="49" fontId="2" fillId="0" borderId="5" xfId="1" applyNumberFormat="1" applyFont="1" applyBorder="1" applyAlignment="1">
      <alignment horizontal="left"/>
    </xf>
    <xf numFmtId="0" fontId="2" fillId="0" borderId="5" xfId="1" applyFont="1" applyBorder="1"/>
    <xf numFmtId="49" fontId="2" fillId="0" borderId="3" xfId="1" applyNumberFormat="1" applyFont="1" applyBorder="1" applyAlignment="1">
      <alignment horizontal="right"/>
    </xf>
  </cellXfs>
  <cellStyles count="2">
    <cellStyle name="標準" xfId="0" builtinId="0"/>
    <cellStyle name="標準 2" xfId="1" xr:uid="{EE770966-277A-4A51-818F-76ABF860B2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EB211-8EF3-4042-96C8-C27629E77C8E}">
  <sheetPr>
    <pageSetUpPr fitToPage="1"/>
  </sheetPr>
  <dimension ref="A1:AB23"/>
  <sheetViews>
    <sheetView tabSelected="1" workbookViewId="0">
      <pane xSplit="2" ySplit="4" topLeftCell="Q5" activePane="bottomRight" state="frozen"/>
      <selection pane="topRight" activeCell="C1" sqref="C1"/>
      <selection pane="bottomLeft" activeCell="A9" sqref="A9"/>
      <selection pane="bottomRight" activeCell="Q2" sqref="Q2"/>
    </sheetView>
  </sheetViews>
  <sheetFormatPr defaultRowHeight="18.75"/>
  <cols>
    <col min="1" max="1" width="2.375" style="2" customWidth="1"/>
    <col min="2" max="2" width="13.25" style="2" bestFit="1" customWidth="1"/>
    <col min="3" max="28" width="11.25" style="2" customWidth="1"/>
    <col min="29" max="252" width="9" style="2"/>
    <col min="253" max="253" width="2.375" style="2" customWidth="1"/>
    <col min="254" max="254" width="13.25" style="2" bestFit="1" customWidth="1"/>
    <col min="255" max="258" width="11.125" style="2" bestFit="1" customWidth="1"/>
    <col min="259" max="259" width="13.25" style="2" bestFit="1" customWidth="1"/>
    <col min="260" max="260" width="11.125" style="2" bestFit="1" customWidth="1"/>
    <col min="261" max="261" width="9" style="2"/>
    <col min="262" max="262" width="11.125" style="2" bestFit="1" customWidth="1"/>
    <col min="263" max="263" width="9" style="2"/>
    <col min="264" max="280" width="11.125" style="2" bestFit="1" customWidth="1"/>
    <col min="281" max="281" width="9" style="2"/>
    <col min="282" max="282" width="11.125" style="2" bestFit="1" customWidth="1"/>
    <col min="283" max="283" width="9.625" style="2" bestFit="1" customWidth="1"/>
    <col min="284" max="508" width="9" style="2"/>
    <col min="509" max="509" width="2.375" style="2" customWidth="1"/>
    <col min="510" max="510" width="13.25" style="2" bestFit="1" customWidth="1"/>
    <col min="511" max="514" width="11.125" style="2" bestFit="1" customWidth="1"/>
    <col min="515" max="515" width="13.25" style="2" bestFit="1" customWidth="1"/>
    <col min="516" max="516" width="11.125" style="2" bestFit="1" customWidth="1"/>
    <col min="517" max="517" width="9" style="2"/>
    <col min="518" max="518" width="11.125" style="2" bestFit="1" customWidth="1"/>
    <col min="519" max="519" width="9" style="2"/>
    <col min="520" max="536" width="11.125" style="2" bestFit="1" customWidth="1"/>
    <col min="537" max="537" width="9" style="2"/>
    <col min="538" max="538" width="11.125" style="2" bestFit="1" customWidth="1"/>
    <col min="539" max="539" width="9.625" style="2" bestFit="1" customWidth="1"/>
    <col min="540" max="764" width="9" style="2"/>
    <col min="765" max="765" width="2.375" style="2" customWidth="1"/>
    <col min="766" max="766" width="13.25" style="2" bestFit="1" customWidth="1"/>
    <col min="767" max="770" width="11.125" style="2" bestFit="1" customWidth="1"/>
    <col min="771" max="771" width="13.25" style="2" bestFit="1" customWidth="1"/>
    <col min="772" max="772" width="11.125" style="2" bestFit="1" customWidth="1"/>
    <col min="773" max="773" width="9" style="2"/>
    <col min="774" max="774" width="11.125" style="2" bestFit="1" customWidth="1"/>
    <col min="775" max="775" width="9" style="2"/>
    <col min="776" max="792" width="11.125" style="2" bestFit="1" customWidth="1"/>
    <col min="793" max="793" width="9" style="2"/>
    <col min="794" max="794" width="11.125" style="2" bestFit="1" customWidth="1"/>
    <col min="795" max="795" width="9.625" style="2" bestFit="1" customWidth="1"/>
    <col min="796" max="1020" width="9" style="2"/>
    <col min="1021" max="1021" width="2.375" style="2" customWidth="1"/>
    <col min="1022" max="1022" width="13.25" style="2" bestFit="1" customWidth="1"/>
    <col min="1023" max="1026" width="11.125" style="2" bestFit="1" customWidth="1"/>
    <col min="1027" max="1027" width="13.25" style="2" bestFit="1" customWidth="1"/>
    <col min="1028" max="1028" width="11.125" style="2" bestFit="1" customWidth="1"/>
    <col min="1029" max="1029" width="9" style="2"/>
    <col min="1030" max="1030" width="11.125" style="2" bestFit="1" customWidth="1"/>
    <col min="1031" max="1031" width="9" style="2"/>
    <col min="1032" max="1048" width="11.125" style="2" bestFit="1" customWidth="1"/>
    <col min="1049" max="1049" width="9" style="2"/>
    <col min="1050" max="1050" width="11.125" style="2" bestFit="1" customWidth="1"/>
    <col min="1051" max="1051" width="9.625" style="2" bestFit="1" customWidth="1"/>
    <col min="1052" max="1276" width="9" style="2"/>
    <col min="1277" max="1277" width="2.375" style="2" customWidth="1"/>
    <col min="1278" max="1278" width="13.25" style="2" bestFit="1" customWidth="1"/>
    <col min="1279" max="1282" width="11.125" style="2" bestFit="1" customWidth="1"/>
    <col min="1283" max="1283" width="13.25" style="2" bestFit="1" customWidth="1"/>
    <col min="1284" max="1284" width="11.125" style="2" bestFit="1" customWidth="1"/>
    <col min="1285" max="1285" width="9" style="2"/>
    <col min="1286" max="1286" width="11.125" style="2" bestFit="1" customWidth="1"/>
    <col min="1287" max="1287" width="9" style="2"/>
    <col min="1288" max="1304" width="11.125" style="2" bestFit="1" customWidth="1"/>
    <col min="1305" max="1305" width="9" style="2"/>
    <col min="1306" max="1306" width="11.125" style="2" bestFit="1" customWidth="1"/>
    <col min="1307" max="1307" width="9.625" style="2" bestFit="1" customWidth="1"/>
    <col min="1308" max="1532" width="9" style="2"/>
    <col min="1533" max="1533" width="2.375" style="2" customWidth="1"/>
    <col min="1534" max="1534" width="13.25" style="2" bestFit="1" customWidth="1"/>
    <col min="1535" max="1538" width="11.125" style="2" bestFit="1" customWidth="1"/>
    <col min="1539" max="1539" width="13.25" style="2" bestFit="1" customWidth="1"/>
    <col min="1540" max="1540" width="11.125" style="2" bestFit="1" customWidth="1"/>
    <col min="1541" max="1541" width="9" style="2"/>
    <col min="1542" max="1542" width="11.125" style="2" bestFit="1" customWidth="1"/>
    <col min="1543" max="1543" width="9" style="2"/>
    <col min="1544" max="1560" width="11.125" style="2" bestFit="1" customWidth="1"/>
    <col min="1561" max="1561" width="9" style="2"/>
    <col min="1562" max="1562" width="11.125" style="2" bestFit="1" customWidth="1"/>
    <col min="1563" max="1563" width="9.625" style="2" bestFit="1" customWidth="1"/>
    <col min="1564" max="1788" width="9" style="2"/>
    <col min="1789" max="1789" width="2.375" style="2" customWidth="1"/>
    <col min="1790" max="1790" width="13.25" style="2" bestFit="1" customWidth="1"/>
    <col min="1791" max="1794" width="11.125" style="2" bestFit="1" customWidth="1"/>
    <col min="1795" max="1795" width="13.25" style="2" bestFit="1" customWidth="1"/>
    <col min="1796" max="1796" width="11.125" style="2" bestFit="1" customWidth="1"/>
    <col min="1797" max="1797" width="9" style="2"/>
    <col min="1798" max="1798" width="11.125" style="2" bestFit="1" customWidth="1"/>
    <col min="1799" max="1799" width="9" style="2"/>
    <col min="1800" max="1816" width="11.125" style="2" bestFit="1" customWidth="1"/>
    <col min="1817" max="1817" width="9" style="2"/>
    <col min="1818" max="1818" width="11.125" style="2" bestFit="1" customWidth="1"/>
    <col min="1819" max="1819" width="9.625" style="2" bestFit="1" customWidth="1"/>
    <col min="1820" max="2044" width="9" style="2"/>
    <col min="2045" max="2045" width="2.375" style="2" customWidth="1"/>
    <col min="2046" max="2046" width="13.25" style="2" bestFit="1" customWidth="1"/>
    <col min="2047" max="2050" width="11.125" style="2" bestFit="1" customWidth="1"/>
    <col min="2051" max="2051" width="13.25" style="2" bestFit="1" customWidth="1"/>
    <col min="2052" max="2052" width="11.125" style="2" bestFit="1" customWidth="1"/>
    <col min="2053" max="2053" width="9" style="2"/>
    <col min="2054" max="2054" width="11.125" style="2" bestFit="1" customWidth="1"/>
    <col min="2055" max="2055" width="9" style="2"/>
    <col min="2056" max="2072" width="11.125" style="2" bestFit="1" customWidth="1"/>
    <col min="2073" max="2073" width="9" style="2"/>
    <col min="2074" max="2074" width="11.125" style="2" bestFit="1" customWidth="1"/>
    <col min="2075" max="2075" width="9.625" style="2" bestFit="1" customWidth="1"/>
    <col min="2076" max="2300" width="9" style="2"/>
    <col min="2301" max="2301" width="2.375" style="2" customWidth="1"/>
    <col min="2302" max="2302" width="13.25" style="2" bestFit="1" customWidth="1"/>
    <col min="2303" max="2306" width="11.125" style="2" bestFit="1" customWidth="1"/>
    <col min="2307" max="2307" width="13.25" style="2" bestFit="1" customWidth="1"/>
    <col min="2308" max="2308" width="11.125" style="2" bestFit="1" customWidth="1"/>
    <col min="2309" max="2309" width="9" style="2"/>
    <col min="2310" max="2310" width="11.125" style="2" bestFit="1" customWidth="1"/>
    <col min="2311" max="2311" width="9" style="2"/>
    <col min="2312" max="2328" width="11.125" style="2" bestFit="1" customWidth="1"/>
    <col min="2329" max="2329" width="9" style="2"/>
    <col min="2330" max="2330" width="11.125" style="2" bestFit="1" customWidth="1"/>
    <col min="2331" max="2331" width="9.625" style="2" bestFit="1" customWidth="1"/>
    <col min="2332" max="2556" width="9" style="2"/>
    <col min="2557" max="2557" width="2.375" style="2" customWidth="1"/>
    <col min="2558" max="2558" width="13.25" style="2" bestFit="1" customWidth="1"/>
    <col min="2559" max="2562" width="11.125" style="2" bestFit="1" customWidth="1"/>
    <col min="2563" max="2563" width="13.25" style="2" bestFit="1" customWidth="1"/>
    <col min="2564" max="2564" width="11.125" style="2" bestFit="1" customWidth="1"/>
    <col min="2565" max="2565" width="9" style="2"/>
    <col min="2566" max="2566" width="11.125" style="2" bestFit="1" customWidth="1"/>
    <col min="2567" max="2567" width="9" style="2"/>
    <col min="2568" max="2584" width="11.125" style="2" bestFit="1" customWidth="1"/>
    <col min="2585" max="2585" width="9" style="2"/>
    <col min="2586" max="2586" width="11.125" style="2" bestFit="1" customWidth="1"/>
    <col min="2587" max="2587" width="9.625" style="2" bestFit="1" customWidth="1"/>
    <col min="2588" max="2812" width="9" style="2"/>
    <col min="2813" max="2813" width="2.375" style="2" customWidth="1"/>
    <col min="2814" max="2814" width="13.25" style="2" bestFit="1" customWidth="1"/>
    <col min="2815" max="2818" width="11.125" style="2" bestFit="1" customWidth="1"/>
    <col min="2819" max="2819" width="13.25" style="2" bestFit="1" customWidth="1"/>
    <col min="2820" max="2820" width="11.125" style="2" bestFit="1" customWidth="1"/>
    <col min="2821" max="2821" width="9" style="2"/>
    <col min="2822" max="2822" width="11.125" style="2" bestFit="1" customWidth="1"/>
    <col min="2823" max="2823" width="9" style="2"/>
    <col min="2824" max="2840" width="11.125" style="2" bestFit="1" customWidth="1"/>
    <col min="2841" max="2841" width="9" style="2"/>
    <col min="2842" max="2842" width="11.125" style="2" bestFit="1" customWidth="1"/>
    <col min="2843" max="2843" width="9.625" style="2" bestFit="1" customWidth="1"/>
    <col min="2844" max="3068" width="9" style="2"/>
    <col min="3069" max="3069" width="2.375" style="2" customWidth="1"/>
    <col min="3070" max="3070" width="13.25" style="2" bestFit="1" customWidth="1"/>
    <col min="3071" max="3074" width="11.125" style="2" bestFit="1" customWidth="1"/>
    <col min="3075" max="3075" width="13.25" style="2" bestFit="1" customWidth="1"/>
    <col min="3076" max="3076" width="11.125" style="2" bestFit="1" customWidth="1"/>
    <col min="3077" max="3077" width="9" style="2"/>
    <col min="3078" max="3078" width="11.125" style="2" bestFit="1" customWidth="1"/>
    <col min="3079" max="3079" width="9" style="2"/>
    <col min="3080" max="3096" width="11.125" style="2" bestFit="1" customWidth="1"/>
    <col min="3097" max="3097" width="9" style="2"/>
    <col min="3098" max="3098" width="11.125" style="2" bestFit="1" customWidth="1"/>
    <col min="3099" max="3099" width="9.625" style="2" bestFit="1" customWidth="1"/>
    <col min="3100" max="3324" width="9" style="2"/>
    <col min="3325" max="3325" width="2.375" style="2" customWidth="1"/>
    <col min="3326" max="3326" width="13.25" style="2" bestFit="1" customWidth="1"/>
    <col min="3327" max="3330" width="11.125" style="2" bestFit="1" customWidth="1"/>
    <col min="3331" max="3331" width="13.25" style="2" bestFit="1" customWidth="1"/>
    <col min="3332" max="3332" width="11.125" style="2" bestFit="1" customWidth="1"/>
    <col min="3333" max="3333" width="9" style="2"/>
    <col min="3334" max="3334" width="11.125" style="2" bestFit="1" customWidth="1"/>
    <col min="3335" max="3335" width="9" style="2"/>
    <col min="3336" max="3352" width="11.125" style="2" bestFit="1" customWidth="1"/>
    <col min="3353" max="3353" width="9" style="2"/>
    <col min="3354" max="3354" width="11.125" style="2" bestFit="1" customWidth="1"/>
    <col min="3355" max="3355" width="9.625" style="2" bestFit="1" customWidth="1"/>
    <col min="3356" max="3580" width="9" style="2"/>
    <col min="3581" max="3581" width="2.375" style="2" customWidth="1"/>
    <col min="3582" max="3582" width="13.25" style="2" bestFit="1" customWidth="1"/>
    <col min="3583" max="3586" width="11.125" style="2" bestFit="1" customWidth="1"/>
    <col min="3587" max="3587" width="13.25" style="2" bestFit="1" customWidth="1"/>
    <col min="3588" max="3588" width="11.125" style="2" bestFit="1" customWidth="1"/>
    <col min="3589" max="3589" width="9" style="2"/>
    <col min="3590" max="3590" width="11.125" style="2" bestFit="1" customWidth="1"/>
    <col min="3591" max="3591" width="9" style="2"/>
    <col min="3592" max="3608" width="11.125" style="2" bestFit="1" customWidth="1"/>
    <col min="3609" max="3609" width="9" style="2"/>
    <col min="3610" max="3610" width="11.125" style="2" bestFit="1" customWidth="1"/>
    <col min="3611" max="3611" width="9.625" style="2" bestFit="1" customWidth="1"/>
    <col min="3612" max="3836" width="9" style="2"/>
    <col min="3837" max="3837" width="2.375" style="2" customWidth="1"/>
    <col min="3838" max="3838" width="13.25" style="2" bestFit="1" customWidth="1"/>
    <col min="3839" max="3842" width="11.125" style="2" bestFit="1" customWidth="1"/>
    <col min="3843" max="3843" width="13.25" style="2" bestFit="1" customWidth="1"/>
    <col min="3844" max="3844" width="11.125" style="2" bestFit="1" customWidth="1"/>
    <col min="3845" max="3845" width="9" style="2"/>
    <col min="3846" max="3846" width="11.125" style="2" bestFit="1" customWidth="1"/>
    <col min="3847" max="3847" width="9" style="2"/>
    <col min="3848" max="3864" width="11.125" style="2" bestFit="1" customWidth="1"/>
    <col min="3865" max="3865" width="9" style="2"/>
    <col min="3866" max="3866" width="11.125" style="2" bestFit="1" customWidth="1"/>
    <col min="3867" max="3867" width="9.625" style="2" bestFit="1" customWidth="1"/>
    <col min="3868" max="4092" width="9" style="2"/>
    <col min="4093" max="4093" width="2.375" style="2" customWidth="1"/>
    <col min="4094" max="4094" width="13.25" style="2" bestFit="1" customWidth="1"/>
    <col min="4095" max="4098" width="11.125" style="2" bestFit="1" customWidth="1"/>
    <col min="4099" max="4099" width="13.25" style="2" bestFit="1" customWidth="1"/>
    <col min="4100" max="4100" width="11.125" style="2" bestFit="1" customWidth="1"/>
    <col min="4101" max="4101" width="9" style="2"/>
    <col min="4102" max="4102" width="11.125" style="2" bestFit="1" customWidth="1"/>
    <col min="4103" max="4103" width="9" style="2"/>
    <col min="4104" max="4120" width="11.125" style="2" bestFit="1" customWidth="1"/>
    <col min="4121" max="4121" width="9" style="2"/>
    <col min="4122" max="4122" width="11.125" style="2" bestFit="1" customWidth="1"/>
    <col min="4123" max="4123" width="9.625" style="2" bestFit="1" customWidth="1"/>
    <col min="4124" max="4348" width="9" style="2"/>
    <col min="4349" max="4349" width="2.375" style="2" customWidth="1"/>
    <col min="4350" max="4350" width="13.25" style="2" bestFit="1" customWidth="1"/>
    <col min="4351" max="4354" width="11.125" style="2" bestFit="1" customWidth="1"/>
    <col min="4355" max="4355" width="13.25" style="2" bestFit="1" customWidth="1"/>
    <col min="4356" max="4356" width="11.125" style="2" bestFit="1" customWidth="1"/>
    <col min="4357" max="4357" width="9" style="2"/>
    <col min="4358" max="4358" width="11.125" style="2" bestFit="1" customWidth="1"/>
    <col min="4359" max="4359" width="9" style="2"/>
    <col min="4360" max="4376" width="11.125" style="2" bestFit="1" customWidth="1"/>
    <col min="4377" max="4377" width="9" style="2"/>
    <col min="4378" max="4378" width="11.125" style="2" bestFit="1" customWidth="1"/>
    <col min="4379" max="4379" width="9.625" style="2" bestFit="1" customWidth="1"/>
    <col min="4380" max="4604" width="9" style="2"/>
    <col min="4605" max="4605" width="2.375" style="2" customWidth="1"/>
    <col min="4606" max="4606" width="13.25" style="2" bestFit="1" customWidth="1"/>
    <col min="4607" max="4610" width="11.125" style="2" bestFit="1" customWidth="1"/>
    <col min="4611" max="4611" width="13.25" style="2" bestFit="1" customWidth="1"/>
    <col min="4612" max="4612" width="11.125" style="2" bestFit="1" customWidth="1"/>
    <col min="4613" max="4613" width="9" style="2"/>
    <col min="4614" max="4614" width="11.125" style="2" bestFit="1" customWidth="1"/>
    <col min="4615" max="4615" width="9" style="2"/>
    <col min="4616" max="4632" width="11.125" style="2" bestFit="1" customWidth="1"/>
    <col min="4633" max="4633" width="9" style="2"/>
    <col min="4634" max="4634" width="11.125" style="2" bestFit="1" customWidth="1"/>
    <col min="4635" max="4635" width="9.625" style="2" bestFit="1" customWidth="1"/>
    <col min="4636" max="4860" width="9" style="2"/>
    <col min="4861" max="4861" width="2.375" style="2" customWidth="1"/>
    <col min="4862" max="4862" width="13.25" style="2" bestFit="1" customWidth="1"/>
    <col min="4863" max="4866" width="11.125" style="2" bestFit="1" customWidth="1"/>
    <col min="4867" max="4867" width="13.25" style="2" bestFit="1" customWidth="1"/>
    <col min="4868" max="4868" width="11.125" style="2" bestFit="1" customWidth="1"/>
    <col min="4869" max="4869" width="9" style="2"/>
    <col min="4870" max="4870" width="11.125" style="2" bestFit="1" customWidth="1"/>
    <col min="4871" max="4871" width="9" style="2"/>
    <col min="4872" max="4888" width="11.125" style="2" bestFit="1" customWidth="1"/>
    <col min="4889" max="4889" width="9" style="2"/>
    <col min="4890" max="4890" width="11.125" style="2" bestFit="1" customWidth="1"/>
    <col min="4891" max="4891" width="9.625" style="2" bestFit="1" customWidth="1"/>
    <col min="4892" max="5116" width="9" style="2"/>
    <col min="5117" max="5117" width="2.375" style="2" customWidth="1"/>
    <col min="5118" max="5118" width="13.25" style="2" bestFit="1" customWidth="1"/>
    <col min="5119" max="5122" width="11.125" style="2" bestFit="1" customWidth="1"/>
    <col min="5123" max="5123" width="13.25" style="2" bestFit="1" customWidth="1"/>
    <col min="5124" max="5124" width="11.125" style="2" bestFit="1" customWidth="1"/>
    <col min="5125" max="5125" width="9" style="2"/>
    <col min="5126" max="5126" width="11.125" style="2" bestFit="1" customWidth="1"/>
    <col min="5127" max="5127" width="9" style="2"/>
    <col min="5128" max="5144" width="11.125" style="2" bestFit="1" customWidth="1"/>
    <col min="5145" max="5145" width="9" style="2"/>
    <col min="5146" max="5146" width="11.125" style="2" bestFit="1" customWidth="1"/>
    <col min="5147" max="5147" width="9.625" style="2" bestFit="1" customWidth="1"/>
    <col min="5148" max="5372" width="9" style="2"/>
    <col min="5373" max="5373" width="2.375" style="2" customWidth="1"/>
    <col min="5374" max="5374" width="13.25" style="2" bestFit="1" customWidth="1"/>
    <col min="5375" max="5378" width="11.125" style="2" bestFit="1" customWidth="1"/>
    <col min="5379" max="5379" width="13.25" style="2" bestFit="1" customWidth="1"/>
    <col min="5380" max="5380" width="11.125" style="2" bestFit="1" customWidth="1"/>
    <col min="5381" max="5381" width="9" style="2"/>
    <col min="5382" max="5382" width="11.125" style="2" bestFit="1" customWidth="1"/>
    <col min="5383" max="5383" width="9" style="2"/>
    <col min="5384" max="5400" width="11.125" style="2" bestFit="1" customWidth="1"/>
    <col min="5401" max="5401" width="9" style="2"/>
    <col min="5402" max="5402" width="11.125" style="2" bestFit="1" customWidth="1"/>
    <col min="5403" max="5403" width="9.625" style="2" bestFit="1" customWidth="1"/>
    <col min="5404" max="5628" width="9" style="2"/>
    <col min="5629" max="5629" width="2.375" style="2" customWidth="1"/>
    <col min="5630" max="5630" width="13.25" style="2" bestFit="1" customWidth="1"/>
    <col min="5631" max="5634" width="11.125" style="2" bestFit="1" customWidth="1"/>
    <col min="5635" max="5635" width="13.25" style="2" bestFit="1" customWidth="1"/>
    <col min="5636" max="5636" width="11.125" style="2" bestFit="1" customWidth="1"/>
    <col min="5637" max="5637" width="9" style="2"/>
    <col min="5638" max="5638" width="11.125" style="2" bestFit="1" customWidth="1"/>
    <col min="5639" max="5639" width="9" style="2"/>
    <col min="5640" max="5656" width="11.125" style="2" bestFit="1" customWidth="1"/>
    <col min="5657" max="5657" width="9" style="2"/>
    <col min="5658" max="5658" width="11.125" style="2" bestFit="1" customWidth="1"/>
    <col min="5659" max="5659" width="9.625" style="2" bestFit="1" customWidth="1"/>
    <col min="5660" max="5884" width="9" style="2"/>
    <col min="5885" max="5885" width="2.375" style="2" customWidth="1"/>
    <col min="5886" max="5886" width="13.25" style="2" bestFit="1" customWidth="1"/>
    <col min="5887" max="5890" width="11.125" style="2" bestFit="1" customWidth="1"/>
    <col min="5891" max="5891" width="13.25" style="2" bestFit="1" customWidth="1"/>
    <col min="5892" max="5892" width="11.125" style="2" bestFit="1" customWidth="1"/>
    <col min="5893" max="5893" width="9" style="2"/>
    <col min="5894" max="5894" width="11.125" style="2" bestFit="1" customWidth="1"/>
    <col min="5895" max="5895" width="9" style="2"/>
    <col min="5896" max="5912" width="11.125" style="2" bestFit="1" customWidth="1"/>
    <col min="5913" max="5913" width="9" style="2"/>
    <col min="5914" max="5914" width="11.125" style="2" bestFit="1" customWidth="1"/>
    <col min="5915" max="5915" width="9.625" style="2" bestFit="1" customWidth="1"/>
    <col min="5916" max="6140" width="9" style="2"/>
    <col min="6141" max="6141" width="2.375" style="2" customWidth="1"/>
    <col min="6142" max="6142" width="13.25" style="2" bestFit="1" customWidth="1"/>
    <col min="6143" max="6146" width="11.125" style="2" bestFit="1" customWidth="1"/>
    <col min="6147" max="6147" width="13.25" style="2" bestFit="1" customWidth="1"/>
    <col min="6148" max="6148" width="11.125" style="2" bestFit="1" customWidth="1"/>
    <col min="6149" max="6149" width="9" style="2"/>
    <col min="6150" max="6150" width="11.125" style="2" bestFit="1" customWidth="1"/>
    <col min="6151" max="6151" width="9" style="2"/>
    <col min="6152" max="6168" width="11.125" style="2" bestFit="1" customWidth="1"/>
    <col min="6169" max="6169" width="9" style="2"/>
    <col min="6170" max="6170" width="11.125" style="2" bestFit="1" customWidth="1"/>
    <col min="6171" max="6171" width="9.625" style="2" bestFit="1" customWidth="1"/>
    <col min="6172" max="6396" width="9" style="2"/>
    <col min="6397" max="6397" width="2.375" style="2" customWidth="1"/>
    <col min="6398" max="6398" width="13.25" style="2" bestFit="1" customWidth="1"/>
    <col min="6399" max="6402" width="11.125" style="2" bestFit="1" customWidth="1"/>
    <col min="6403" max="6403" width="13.25" style="2" bestFit="1" customWidth="1"/>
    <col min="6404" max="6404" width="11.125" style="2" bestFit="1" customWidth="1"/>
    <col min="6405" max="6405" width="9" style="2"/>
    <col min="6406" max="6406" width="11.125" style="2" bestFit="1" customWidth="1"/>
    <col min="6407" max="6407" width="9" style="2"/>
    <col min="6408" max="6424" width="11.125" style="2" bestFit="1" customWidth="1"/>
    <col min="6425" max="6425" width="9" style="2"/>
    <col min="6426" max="6426" width="11.125" style="2" bestFit="1" customWidth="1"/>
    <col min="6427" max="6427" width="9.625" style="2" bestFit="1" customWidth="1"/>
    <col min="6428" max="6652" width="9" style="2"/>
    <col min="6653" max="6653" width="2.375" style="2" customWidth="1"/>
    <col min="6654" max="6654" width="13.25" style="2" bestFit="1" customWidth="1"/>
    <col min="6655" max="6658" width="11.125" style="2" bestFit="1" customWidth="1"/>
    <col min="6659" max="6659" width="13.25" style="2" bestFit="1" customWidth="1"/>
    <col min="6660" max="6660" width="11.125" style="2" bestFit="1" customWidth="1"/>
    <col min="6661" max="6661" width="9" style="2"/>
    <col min="6662" max="6662" width="11.125" style="2" bestFit="1" customWidth="1"/>
    <col min="6663" max="6663" width="9" style="2"/>
    <col min="6664" max="6680" width="11.125" style="2" bestFit="1" customWidth="1"/>
    <col min="6681" max="6681" width="9" style="2"/>
    <col min="6682" max="6682" width="11.125" style="2" bestFit="1" customWidth="1"/>
    <col min="6683" max="6683" width="9.625" style="2" bestFit="1" customWidth="1"/>
    <col min="6684" max="6908" width="9" style="2"/>
    <col min="6909" max="6909" width="2.375" style="2" customWidth="1"/>
    <col min="6910" max="6910" width="13.25" style="2" bestFit="1" customWidth="1"/>
    <col min="6911" max="6914" width="11.125" style="2" bestFit="1" customWidth="1"/>
    <col min="6915" max="6915" width="13.25" style="2" bestFit="1" customWidth="1"/>
    <col min="6916" max="6916" width="11.125" style="2" bestFit="1" customWidth="1"/>
    <col min="6917" max="6917" width="9" style="2"/>
    <col min="6918" max="6918" width="11.125" style="2" bestFit="1" customWidth="1"/>
    <col min="6919" max="6919" width="9" style="2"/>
    <col min="6920" max="6936" width="11.125" style="2" bestFit="1" customWidth="1"/>
    <col min="6937" max="6937" width="9" style="2"/>
    <col min="6938" max="6938" width="11.125" style="2" bestFit="1" customWidth="1"/>
    <col min="6939" max="6939" width="9.625" style="2" bestFit="1" customWidth="1"/>
    <col min="6940" max="7164" width="9" style="2"/>
    <col min="7165" max="7165" width="2.375" style="2" customWidth="1"/>
    <col min="7166" max="7166" width="13.25" style="2" bestFit="1" customWidth="1"/>
    <col min="7167" max="7170" width="11.125" style="2" bestFit="1" customWidth="1"/>
    <col min="7171" max="7171" width="13.25" style="2" bestFit="1" customWidth="1"/>
    <col min="7172" max="7172" width="11.125" style="2" bestFit="1" customWidth="1"/>
    <col min="7173" max="7173" width="9" style="2"/>
    <col min="7174" max="7174" width="11.125" style="2" bestFit="1" customWidth="1"/>
    <col min="7175" max="7175" width="9" style="2"/>
    <col min="7176" max="7192" width="11.125" style="2" bestFit="1" customWidth="1"/>
    <col min="7193" max="7193" width="9" style="2"/>
    <col min="7194" max="7194" width="11.125" style="2" bestFit="1" customWidth="1"/>
    <col min="7195" max="7195" width="9.625" style="2" bestFit="1" customWidth="1"/>
    <col min="7196" max="7420" width="9" style="2"/>
    <col min="7421" max="7421" width="2.375" style="2" customWidth="1"/>
    <col min="7422" max="7422" width="13.25" style="2" bestFit="1" customWidth="1"/>
    <col min="7423" max="7426" width="11.125" style="2" bestFit="1" customWidth="1"/>
    <col min="7427" max="7427" width="13.25" style="2" bestFit="1" customWidth="1"/>
    <col min="7428" max="7428" width="11.125" style="2" bestFit="1" customWidth="1"/>
    <col min="7429" max="7429" width="9" style="2"/>
    <col min="7430" max="7430" width="11.125" style="2" bestFit="1" customWidth="1"/>
    <col min="7431" max="7431" width="9" style="2"/>
    <col min="7432" max="7448" width="11.125" style="2" bestFit="1" customWidth="1"/>
    <col min="7449" max="7449" width="9" style="2"/>
    <col min="7450" max="7450" width="11.125" style="2" bestFit="1" customWidth="1"/>
    <col min="7451" max="7451" width="9.625" style="2" bestFit="1" customWidth="1"/>
    <col min="7452" max="7676" width="9" style="2"/>
    <col min="7677" max="7677" width="2.375" style="2" customWidth="1"/>
    <col min="7678" max="7678" width="13.25" style="2" bestFit="1" customWidth="1"/>
    <col min="7679" max="7682" width="11.125" style="2" bestFit="1" customWidth="1"/>
    <col min="7683" max="7683" width="13.25" style="2" bestFit="1" customWidth="1"/>
    <col min="7684" max="7684" width="11.125" style="2" bestFit="1" customWidth="1"/>
    <col min="7685" max="7685" width="9" style="2"/>
    <col min="7686" max="7686" width="11.125" style="2" bestFit="1" customWidth="1"/>
    <col min="7687" max="7687" width="9" style="2"/>
    <col min="7688" max="7704" width="11.125" style="2" bestFit="1" customWidth="1"/>
    <col min="7705" max="7705" width="9" style="2"/>
    <col min="7706" max="7706" width="11.125" style="2" bestFit="1" customWidth="1"/>
    <col min="7707" max="7707" width="9.625" style="2" bestFit="1" customWidth="1"/>
    <col min="7708" max="7932" width="9" style="2"/>
    <col min="7933" max="7933" width="2.375" style="2" customWidth="1"/>
    <col min="7934" max="7934" width="13.25" style="2" bestFit="1" customWidth="1"/>
    <col min="7935" max="7938" width="11.125" style="2" bestFit="1" customWidth="1"/>
    <col min="7939" max="7939" width="13.25" style="2" bestFit="1" customWidth="1"/>
    <col min="7940" max="7940" width="11.125" style="2" bestFit="1" customWidth="1"/>
    <col min="7941" max="7941" width="9" style="2"/>
    <col min="7942" max="7942" width="11.125" style="2" bestFit="1" customWidth="1"/>
    <col min="7943" max="7943" width="9" style="2"/>
    <col min="7944" max="7960" width="11.125" style="2" bestFit="1" customWidth="1"/>
    <col min="7961" max="7961" width="9" style="2"/>
    <col min="7962" max="7962" width="11.125" style="2" bestFit="1" customWidth="1"/>
    <col min="7963" max="7963" width="9.625" style="2" bestFit="1" customWidth="1"/>
    <col min="7964" max="8188" width="9" style="2"/>
    <col min="8189" max="8189" width="2.375" style="2" customWidth="1"/>
    <col min="8190" max="8190" width="13.25" style="2" bestFit="1" customWidth="1"/>
    <col min="8191" max="8194" width="11.125" style="2" bestFit="1" customWidth="1"/>
    <col min="8195" max="8195" width="13.25" style="2" bestFit="1" customWidth="1"/>
    <col min="8196" max="8196" width="11.125" style="2" bestFit="1" customWidth="1"/>
    <col min="8197" max="8197" width="9" style="2"/>
    <col min="8198" max="8198" width="11.125" style="2" bestFit="1" customWidth="1"/>
    <col min="8199" max="8199" width="9" style="2"/>
    <col min="8200" max="8216" width="11.125" style="2" bestFit="1" customWidth="1"/>
    <col min="8217" max="8217" width="9" style="2"/>
    <col min="8218" max="8218" width="11.125" style="2" bestFit="1" customWidth="1"/>
    <col min="8219" max="8219" width="9.625" style="2" bestFit="1" customWidth="1"/>
    <col min="8220" max="8444" width="9" style="2"/>
    <col min="8445" max="8445" width="2.375" style="2" customWidth="1"/>
    <col min="8446" max="8446" width="13.25" style="2" bestFit="1" customWidth="1"/>
    <col min="8447" max="8450" width="11.125" style="2" bestFit="1" customWidth="1"/>
    <col min="8451" max="8451" width="13.25" style="2" bestFit="1" customWidth="1"/>
    <col min="8452" max="8452" width="11.125" style="2" bestFit="1" customWidth="1"/>
    <col min="8453" max="8453" width="9" style="2"/>
    <col min="8454" max="8454" width="11.125" style="2" bestFit="1" customWidth="1"/>
    <col min="8455" max="8455" width="9" style="2"/>
    <col min="8456" max="8472" width="11.125" style="2" bestFit="1" customWidth="1"/>
    <col min="8473" max="8473" width="9" style="2"/>
    <col min="8474" max="8474" width="11.125" style="2" bestFit="1" customWidth="1"/>
    <col min="8475" max="8475" width="9.625" style="2" bestFit="1" customWidth="1"/>
    <col min="8476" max="8700" width="9" style="2"/>
    <col min="8701" max="8701" width="2.375" style="2" customWidth="1"/>
    <col min="8702" max="8702" width="13.25" style="2" bestFit="1" customWidth="1"/>
    <col min="8703" max="8706" width="11.125" style="2" bestFit="1" customWidth="1"/>
    <col min="8707" max="8707" width="13.25" style="2" bestFit="1" customWidth="1"/>
    <col min="8708" max="8708" width="11.125" style="2" bestFit="1" customWidth="1"/>
    <col min="8709" max="8709" width="9" style="2"/>
    <col min="8710" max="8710" width="11.125" style="2" bestFit="1" customWidth="1"/>
    <col min="8711" max="8711" width="9" style="2"/>
    <col min="8712" max="8728" width="11.125" style="2" bestFit="1" customWidth="1"/>
    <col min="8729" max="8729" width="9" style="2"/>
    <col min="8730" max="8730" width="11.125" style="2" bestFit="1" customWidth="1"/>
    <col min="8731" max="8731" width="9.625" style="2" bestFit="1" customWidth="1"/>
    <col min="8732" max="8956" width="9" style="2"/>
    <col min="8957" max="8957" width="2.375" style="2" customWidth="1"/>
    <col min="8958" max="8958" width="13.25" style="2" bestFit="1" customWidth="1"/>
    <col min="8959" max="8962" width="11.125" style="2" bestFit="1" customWidth="1"/>
    <col min="8963" max="8963" width="13.25" style="2" bestFit="1" customWidth="1"/>
    <col min="8964" max="8964" width="11.125" style="2" bestFit="1" customWidth="1"/>
    <col min="8965" max="8965" width="9" style="2"/>
    <col min="8966" max="8966" width="11.125" style="2" bestFit="1" customWidth="1"/>
    <col min="8967" max="8967" width="9" style="2"/>
    <col min="8968" max="8984" width="11.125" style="2" bestFit="1" customWidth="1"/>
    <col min="8985" max="8985" width="9" style="2"/>
    <col min="8986" max="8986" width="11.125" style="2" bestFit="1" customWidth="1"/>
    <col min="8987" max="8987" width="9.625" style="2" bestFit="1" customWidth="1"/>
    <col min="8988" max="9212" width="9" style="2"/>
    <col min="9213" max="9213" width="2.375" style="2" customWidth="1"/>
    <col min="9214" max="9214" width="13.25" style="2" bestFit="1" customWidth="1"/>
    <col min="9215" max="9218" width="11.125" style="2" bestFit="1" customWidth="1"/>
    <col min="9219" max="9219" width="13.25" style="2" bestFit="1" customWidth="1"/>
    <col min="9220" max="9220" width="11.125" style="2" bestFit="1" customWidth="1"/>
    <col min="9221" max="9221" width="9" style="2"/>
    <col min="9222" max="9222" width="11.125" style="2" bestFit="1" customWidth="1"/>
    <col min="9223" max="9223" width="9" style="2"/>
    <col min="9224" max="9240" width="11.125" style="2" bestFit="1" customWidth="1"/>
    <col min="9241" max="9241" width="9" style="2"/>
    <col min="9242" max="9242" width="11.125" style="2" bestFit="1" customWidth="1"/>
    <col min="9243" max="9243" width="9.625" style="2" bestFit="1" customWidth="1"/>
    <col min="9244" max="9468" width="9" style="2"/>
    <col min="9469" max="9469" width="2.375" style="2" customWidth="1"/>
    <col min="9470" max="9470" width="13.25" style="2" bestFit="1" customWidth="1"/>
    <col min="9471" max="9474" width="11.125" style="2" bestFit="1" customWidth="1"/>
    <col min="9475" max="9475" width="13.25" style="2" bestFit="1" customWidth="1"/>
    <col min="9476" max="9476" width="11.125" style="2" bestFit="1" customWidth="1"/>
    <col min="9477" max="9477" width="9" style="2"/>
    <col min="9478" max="9478" width="11.125" style="2" bestFit="1" customWidth="1"/>
    <col min="9479" max="9479" width="9" style="2"/>
    <col min="9480" max="9496" width="11.125" style="2" bestFit="1" customWidth="1"/>
    <col min="9497" max="9497" width="9" style="2"/>
    <col min="9498" max="9498" width="11.125" style="2" bestFit="1" customWidth="1"/>
    <col min="9499" max="9499" width="9.625" style="2" bestFit="1" customWidth="1"/>
    <col min="9500" max="9724" width="9" style="2"/>
    <col min="9725" max="9725" width="2.375" style="2" customWidth="1"/>
    <col min="9726" max="9726" width="13.25" style="2" bestFit="1" customWidth="1"/>
    <col min="9727" max="9730" width="11.125" style="2" bestFit="1" customWidth="1"/>
    <col min="9731" max="9731" width="13.25" style="2" bestFit="1" customWidth="1"/>
    <col min="9732" max="9732" width="11.125" style="2" bestFit="1" customWidth="1"/>
    <col min="9733" max="9733" width="9" style="2"/>
    <col min="9734" max="9734" width="11.125" style="2" bestFit="1" customWidth="1"/>
    <col min="9735" max="9735" width="9" style="2"/>
    <col min="9736" max="9752" width="11.125" style="2" bestFit="1" customWidth="1"/>
    <col min="9753" max="9753" width="9" style="2"/>
    <col min="9754" max="9754" width="11.125" style="2" bestFit="1" customWidth="1"/>
    <col min="9755" max="9755" width="9.625" style="2" bestFit="1" customWidth="1"/>
    <col min="9756" max="9980" width="9" style="2"/>
    <col min="9981" max="9981" width="2.375" style="2" customWidth="1"/>
    <col min="9982" max="9982" width="13.25" style="2" bestFit="1" customWidth="1"/>
    <col min="9983" max="9986" width="11.125" style="2" bestFit="1" customWidth="1"/>
    <col min="9987" max="9987" width="13.25" style="2" bestFit="1" customWidth="1"/>
    <col min="9988" max="9988" width="11.125" style="2" bestFit="1" customWidth="1"/>
    <col min="9989" max="9989" width="9" style="2"/>
    <col min="9990" max="9990" width="11.125" style="2" bestFit="1" customWidth="1"/>
    <col min="9991" max="9991" width="9" style="2"/>
    <col min="9992" max="10008" width="11.125" style="2" bestFit="1" customWidth="1"/>
    <col min="10009" max="10009" width="9" style="2"/>
    <col min="10010" max="10010" width="11.125" style="2" bestFit="1" customWidth="1"/>
    <col min="10011" max="10011" width="9.625" style="2" bestFit="1" customWidth="1"/>
    <col min="10012" max="10236" width="9" style="2"/>
    <col min="10237" max="10237" width="2.375" style="2" customWidth="1"/>
    <col min="10238" max="10238" width="13.25" style="2" bestFit="1" customWidth="1"/>
    <col min="10239" max="10242" width="11.125" style="2" bestFit="1" customWidth="1"/>
    <col min="10243" max="10243" width="13.25" style="2" bestFit="1" customWidth="1"/>
    <col min="10244" max="10244" width="11.125" style="2" bestFit="1" customWidth="1"/>
    <col min="10245" max="10245" width="9" style="2"/>
    <col min="10246" max="10246" width="11.125" style="2" bestFit="1" customWidth="1"/>
    <col min="10247" max="10247" width="9" style="2"/>
    <col min="10248" max="10264" width="11.125" style="2" bestFit="1" customWidth="1"/>
    <col min="10265" max="10265" width="9" style="2"/>
    <col min="10266" max="10266" width="11.125" style="2" bestFit="1" customWidth="1"/>
    <col min="10267" max="10267" width="9.625" style="2" bestFit="1" customWidth="1"/>
    <col min="10268" max="10492" width="9" style="2"/>
    <col min="10493" max="10493" width="2.375" style="2" customWidth="1"/>
    <col min="10494" max="10494" width="13.25" style="2" bestFit="1" customWidth="1"/>
    <col min="10495" max="10498" width="11.125" style="2" bestFit="1" customWidth="1"/>
    <col min="10499" max="10499" width="13.25" style="2" bestFit="1" customWidth="1"/>
    <col min="10500" max="10500" width="11.125" style="2" bestFit="1" customWidth="1"/>
    <col min="10501" max="10501" width="9" style="2"/>
    <col min="10502" max="10502" width="11.125" style="2" bestFit="1" customWidth="1"/>
    <col min="10503" max="10503" width="9" style="2"/>
    <col min="10504" max="10520" width="11.125" style="2" bestFit="1" customWidth="1"/>
    <col min="10521" max="10521" width="9" style="2"/>
    <col min="10522" max="10522" width="11.125" style="2" bestFit="1" customWidth="1"/>
    <col min="10523" max="10523" width="9.625" style="2" bestFit="1" customWidth="1"/>
    <col min="10524" max="10748" width="9" style="2"/>
    <col min="10749" max="10749" width="2.375" style="2" customWidth="1"/>
    <col min="10750" max="10750" width="13.25" style="2" bestFit="1" customWidth="1"/>
    <col min="10751" max="10754" width="11.125" style="2" bestFit="1" customWidth="1"/>
    <col min="10755" max="10755" width="13.25" style="2" bestFit="1" customWidth="1"/>
    <col min="10756" max="10756" width="11.125" style="2" bestFit="1" customWidth="1"/>
    <col min="10757" max="10757" width="9" style="2"/>
    <col min="10758" max="10758" width="11.125" style="2" bestFit="1" customWidth="1"/>
    <col min="10759" max="10759" width="9" style="2"/>
    <col min="10760" max="10776" width="11.125" style="2" bestFit="1" customWidth="1"/>
    <col min="10777" max="10777" width="9" style="2"/>
    <col min="10778" max="10778" width="11.125" style="2" bestFit="1" customWidth="1"/>
    <col min="10779" max="10779" width="9.625" style="2" bestFit="1" customWidth="1"/>
    <col min="10780" max="11004" width="9" style="2"/>
    <col min="11005" max="11005" width="2.375" style="2" customWidth="1"/>
    <col min="11006" max="11006" width="13.25" style="2" bestFit="1" customWidth="1"/>
    <col min="11007" max="11010" width="11.125" style="2" bestFit="1" customWidth="1"/>
    <col min="11011" max="11011" width="13.25" style="2" bestFit="1" customWidth="1"/>
    <col min="11012" max="11012" width="11.125" style="2" bestFit="1" customWidth="1"/>
    <col min="11013" max="11013" width="9" style="2"/>
    <col min="11014" max="11014" width="11.125" style="2" bestFit="1" customWidth="1"/>
    <col min="11015" max="11015" width="9" style="2"/>
    <col min="11016" max="11032" width="11.125" style="2" bestFit="1" customWidth="1"/>
    <col min="11033" max="11033" width="9" style="2"/>
    <col min="11034" max="11034" width="11.125" style="2" bestFit="1" customWidth="1"/>
    <col min="11035" max="11035" width="9.625" style="2" bestFit="1" customWidth="1"/>
    <col min="11036" max="11260" width="9" style="2"/>
    <col min="11261" max="11261" width="2.375" style="2" customWidth="1"/>
    <col min="11262" max="11262" width="13.25" style="2" bestFit="1" customWidth="1"/>
    <col min="11263" max="11266" width="11.125" style="2" bestFit="1" customWidth="1"/>
    <col min="11267" max="11267" width="13.25" style="2" bestFit="1" customWidth="1"/>
    <col min="11268" max="11268" width="11.125" style="2" bestFit="1" customWidth="1"/>
    <col min="11269" max="11269" width="9" style="2"/>
    <col min="11270" max="11270" width="11.125" style="2" bestFit="1" customWidth="1"/>
    <col min="11271" max="11271" width="9" style="2"/>
    <col min="11272" max="11288" width="11.125" style="2" bestFit="1" customWidth="1"/>
    <col min="11289" max="11289" width="9" style="2"/>
    <col min="11290" max="11290" width="11.125" style="2" bestFit="1" customWidth="1"/>
    <col min="11291" max="11291" width="9.625" style="2" bestFit="1" customWidth="1"/>
    <col min="11292" max="11516" width="9" style="2"/>
    <col min="11517" max="11517" width="2.375" style="2" customWidth="1"/>
    <col min="11518" max="11518" width="13.25" style="2" bestFit="1" customWidth="1"/>
    <col min="11519" max="11522" width="11.125" style="2" bestFit="1" customWidth="1"/>
    <col min="11523" max="11523" width="13.25" style="2" bestFit="1" customWidth="1"/>
    <col min="11524" max="11524" width="11.125" style="2" bestFit="1" customWidth="1"/>
    <col min="11525" max="11525" width="9" style="2"/>
    <col min="11526" max="11526" width="11.125" style="2" bestFit="1" customWidth="1"/>
    <col min="11527" max="11527" width="9" style="2"/>
    <col min="11528" max="11544" width="11.125" style="2" bestFit="1" customWidth="1"/>
    <col min="11545" max="11545" width="9" style="2"/>
    <col min="11546" max="11546" width="11.125" style="2" bestFit="1" customWidth="1"/>
    <col min="11547" max="11547" width="9.625" style="2" bestFit="1" customWidth="1"/>
    <col min="11548" max="11772" width="9" style="2"/>
    <col min="11773" max="11773" width="2.375" style="2" customWidth="1"/>
    <col min="11774" max="11774" width="13.25" style="2" bestFit="1" customWidth="1"/>
    <col min="11775" max="11778" width="11.125" style="2" bestFit="1" customWidth="1"/>
    <col min="11779" max="11779" width="13.25" style="2" bestFit="1" customWidth="1"/>
    <col min="11780" max="11780" width="11.125" style="2" bestFit="1" customWidth="1"/>
    <col min="11781" max="11781" width="9" style="2"/>
    <col min="11782" max="11782" width="11.125" style="2" bestFit="1" customWidth="1"/>
    <col min="11783" max="11783" width="9" style="2"/>
    <col min="11784" max="11800" width="11.125" style="2" bestFit="1" customWidth="1"/>
    <col min="11801" max="11801" width="9" style="2"/>
    <col min="11802" max="11802" width="11.125" style="2" bestFit="1" customWidth="1"/>
    <col min="11803" max="11803" width="9.625" style="2" bestFit="1" customWidth="1"/>
    <col min="11804" max="12028" width="9" style="2"/>
    <col min="12029" max="12029" width="2.375" style="2" customWidth="1"/>
    <col min="12030" max="12030" width="13.25" style="2" bestFit="1" customWidth="1"/>
    <col min="12031" max="12034" width="11.125" style="2" bestFit="1" customWidth="1"/>
    <col min="12035" max="12035" width="13.25" style="2" bestFit="1" customWidth="1"/>
    <col min="12036" max="12036" width="11.125" style="2" bestFit="1" customWidth="1"/>
    <col min="12037" max="12037" width="9" style="2"/>
    <col min="12038" max="12038" width="11.125" style="2" bestFit="1" customWidth="1"/>
    <col min="12039" max="12039" width="9" style="2"/>
    <col min="12040" max="12056" width="11.125" style="2" bestFit="1" customWidth="1"/>
    <col min="12057" max="12057" width="9" style="2"/>
    <col min="12058" max="12058" width="11.125" style="2" bestFit="1" customWidth="1"/>
    <col min="12059" max="12059" width="9.625" style="2" bestFit="1" customWidth="1"/>
    <col min="12060" max="12284" width="9" style="2"/>
    <col min="12285" max="12285" width="2.375" style="2" customWidth="1"/>
    <col min="12286" max="12286" width="13.25" style="2" bestFit="1" customWidth="1"/>
    <col min="12287" max="12290" width="11.125" style="2" bestFit="1" customWidth="1"/>
    <col min="12291" max="12291" width="13.25" style="2" bestFit="1" customWidth="1"/>
    <col min="12292" max="12292" width="11.125" style="2" bestFit="1" customWidth="1"/>
    <col min="12293" max="12293" width="9" style="2"/>
    <col min="12294" max="12294" width="11.125" style="2" bestFit="1" customWidth="1"/>
    <col min="12295" max="12295" width="9" style="2"/>
    <col min="12296" max="12312" width="11.125" style="2" bestFit="1" customWidth="1"/>
    <col min="12313" max="12313" width="9" style="2"/>
    <col min="12314" max="12314" width="11.125" style="2" bestFit="1" customWidth="1"/>
    <col min="12315" max="12315" width="9.625" style="2" bestFit="1" customWidth="1"/>
    <col min="12316" max="12540" width="9" style="2"/>
    <col min="12541" max="12541" width="2.375" style="2" customWidth="1"/>
    <col min="12542" max="12542" width="13.25" style="2" bestFit="1" customWidth="1"/>
    <col min="12543" max="12546" width="11.125" style="2" bestFit="1" customWidth="1"/>
    <col min="12547" max="12547" width="13.25" style="2" bestFit="1" customWidth="1"/>
    <col min="12548" max="12548" width="11.125" style="2" bestFit="1" customWidth="1"/>
    <col min="12549" max="12549" width="9" style="2"/>
    <col min="12550" max="12550" width="11.125" style="2" bestFit="1" customWidth="1"/>
    <col min="12551" max="12551" width="9" style="2"/>
    <col min="12552" max="12568" width="11.125" style="2" bestFit="1" customWidth="1"/>
    <col min="12569" max="12569" width="9" style="2"/>
    <col min="12570" max="12570" width="11.125" style="2" bestFit="1" customWidth="1"/>
    <col min="12571" max="12571" width="9.625" style="2" bestFit="1" customWidth="1"/>
    <col min="12572" max="12796" width="9" style="2"/>
    <col min="12797" max="12797" width="2.375" style="2" customWidth="1"/>
    <col min="12798" max="12798" width="13.25" style="2" bestFit="1" customWidth="1"/>
    <col min="12799" max="12802" width="11.125" style="2" bestFit="1" customWidth="1"/>
    <col min="12803" max="12803" width="13.25" style="2" bestFit="1" customWidth="1"/>
    <col min="12804" max="12804" width="11.125" style="2" bestFit="1" customWidth="1"/>
    <col min="12805" max="12805" width="9" style="2"/>
    <col min="12806" max="12806" width="11.125" style="2" bestFit="1" customWidth="1"/>
    <col min="12807" max="12807" width="9" style="2"/>
    <col min="12808" max="12824" width="11.125" style="2" bestFit="1" customWidth="1"/>
    <col min="12825" max="12825" width="9" style="2"/>
    <col min="12826" max="12826" width="11.125" style="2" bestFit="1" customWidth="1"/>
    <col min="12827" max="12827" width="9.625" style="2" bestFit="1" customWidth="1"/>
    <col min="12828" max="13052" width="9" style="2"/>
    <col min="13053" max="13053" width="2.375" style="2" customWidth="1"/>
    <col min="13054" max="13054" width="13.25" style="2" bestFit="1" customWidth="1"/>
    <col min="13055" max="13058" width="11.125" style="2" bestFit="1" customWidth="1"/>
    <col min="13059" max="13059" width="13.25" style="2" bestFit="1" customWidth="1"/>
    <col min="13060" max="13060" width="11.125" style="2" bestFit="1" customWidth="1"/>
    <col min="13061" max="13061" width="9" style="2"/>
    <col min="13062" max="13062" width="11.125" style="2" bestFit="1" customWidth="1"/>
    <col min="13063" max="13063" width="9" style="2"/>
    <col min="13064" max="13080" width="11.125" style="2" bestFit="1" customWidth="1"/>
    <col min="13081" max="13081" width="9" style="2"/>
    <col min="13082" max="13082" width="11.125" style="2" bestFit="1" customWidth="1"/>
    <col min="13083" max="13083" width="9.625" style="2" bestFit="1" customWidth="1"/>
    <col min="13084" max="13308" width="9" style="2"/>
    <col min="13309" max="13309" width="2.375" style="2" customWidth="1"/>
    <col min="13310" max="13310" width="13.25" style="2" bestFit="1" customWidth="1"/>
    <col min="13311" max="13314" width="11.125" style="2" bestFit="1" customWidth="1"/>
    <col min="13315" max="13315" width="13.25" style="2" bestFit="1" customWidth="1"/>
    <col min="13316" max="13316" width="11.125" style="2" bestFit="1" customWidth="1"/>
    <col min="13317" max="13317" width="9" style="2"/>
    <col min="13318" max="13318" width="11.125" style="2" bestFit="1" customWidth="1"/>
    <col min="13319" max="13319" width="9" style="2"/>
    <col min="13320" max="13336" width="11.125" style="2" bestFit="1" customWidth="1"/>
    <col min="13337" max="13337" width="9" style="2"/>
    <col min="13338" max="13338" width="11.125" style="2" bestFit="1" customWidth="1"/>
    <col min="13339" max="13339" width="9.625" style="2" bestFit="1" customWidth="1"/>
    <col min="13340" max="13564" width="9" style="2"/>
    <col min="13565" max="13565" width="2.375" style="2" customWidth="1"/>
    <col min="13566" max="13566" width="13.25" style="2" bestFit="1" customWidth="1"/>
    <col min="13567" max="13570" width="11.125" style="2" bestFit="1" customWidth="1"/>
    <col min="13571" max="13571" width="13.25" style="2" bestFit="1" customWidth="1"/>
    <col min="13572" max="13572" width="11.125" style="2" bestFit="1" customWidth="1"/>
    <col min="13573" max="13573" width="9" style="2"/>
    <col min="13574" max="13574" width="11.125" style="2" bestFit="1" customWidth="1"/>
    <col min="13575" max="13575" width="9" style="2"/>
    <col min="13576" max="13592" width="11.125" style="2" bestFit="1" customWidth="1"/>
    <col min="13593" max="13593" width="9" style="2"/>
    <col min="13594" max="13594" width="11.125" style="2" bestFit="1" customWidth="1"/>
    <col min="13595" max="13595" width="9.625" style="2" bestFit="1" customWidth="1"/>
    <col min="13596" max="13820" width="9" style="2"/>
    <col min="13821" max="13821" width="2.375" style="2" customWidth="1"/>
    <col min="13822" max="13822" width="13.25" style="2" bestFit="1" customWidth="1"/>
    <col min="13823" max="13826" width="11.125" style="2" bestFit="1" customWidth="1"/>
    <col min="13827" max="13827" width="13.25" style="2" bestFit="1" customWidth="1"/>
    <col min="13828" max="13828" width="11.125" style="2" bestFit="1" customWidth="1"/>
    <col min="13829" max="13829" width="9" style="2"/>
    <col min="13830" max="13830" width="11.125" style="2" bestFit="1" customWidth="1"/>
    <col min="13831" max="13831" width="9" style="2"/>
    <col min="13832" max="13848" width="11.125" style="2" bestFit="1" customWidth="1"/>
    <col min="13849" max="13849" width="9" style="2"/>
    <col min="13850" max="13850" width="11.125" style="2" bestFit="1" customWidth="1"/>
    <col min="13851" max="13851" width="9.625" style="2" bestFit="1" customWidth="1"/>
    <col min="13852" max="14076" width="9" style="2"/>
    <col min="14077" max="14077" width="2.375" style="2" customWidth="1"/>
    <col min="14078" max="14078" width="13.25" style="2" bestFit="1" customWidth="1"/>
    <col min="14079" max="14082" width="11.125" style="2" bestFit="1" customWidth="1"/>
    <col min="14083" max="14083" width="13.25" style="2" bestFit="1" customWidth="1"/>
    <col min="14084" max="14084" width="11.125" style="2" bestFit="1" customWidth="1"/>
    <col min="14085" max="14085" width="9" style="2"/>
    <col min="14086" max="14086" width="11.125" style="2" bestFit="1" customWidth="1"/>
    <col min="14087" max="14087" width="9" style="2"/>
    <col min="14088" max="14104" width="11.125" style="2" bestFit="1" customWidth="1"/>
    <col min="14105" max="14105" width="9" style="2"/>
    <col min="14106" max="14106" width="11.125" style="2" bestFit="1" customWidth="1"/>
    <col min="14107" max="14107" width="9.625" style="2" bestFit="1" customWidth="1"/>
    <col min="14108" max="14332" width="9" style="2"/>
    <col min="14333" max="14333" width="2.375" style="2" customWidth="1"/>
    <col min="14334" max="14334" width="13.25" style="2" bestFit="1" customWidth="1"/>
    <col min="14335" max="14338" width="11.125" style="2" bestFit="1" customWidth="1"/>
    <col min="14339" max="14339" width="13.25" style="2" bestFit="1" customWidth="1"/>
    <col min="14340" max="14340" width="11.125" style="2" bestFit="1" customWidth="1"/>
    <col min="14341" max="14341" width="9" style="2"/>
    <col min="14342" max="14342" width="11.125" style="2" bestFit="1" customWidth="1"/>
    <col min="14343" max="14343" width="9" style="2"/>
    <col min="14344" max="14360" width="11.125" style="2" bestFit="1" customWidth="1"/>
    <col min="14361" max="14361" width="9" style="2"/>
    <col min="14362" max="14362" width="11.125" style="2" bestFit="1" customWidth="1"/>
    <col min="14363" max="14363" width="9.625" style="2" bestFit="1" customWidth="1"/>
    <col min="14364" max="14588" width="9" style="2"/>
    <col min="14589" max="14589" width="2.375" style="2" customWidth="1"/>
    <col min="14590" max="14590" width="13.25" style="2" bestFit="1" customWidth="1"/>
    <col min="14591" max="14594" width="11.125" style="2" bestFit="1" customWidth="1"/>
    <col min="14595" max="14595" width="13.25" style="2" bestFit="1" customWidth="1"/>
    <col min="14596" max="14596" width="11.125" style="2" bestFit="1" customWidth="1"/>
    <col min="14597" max="14597" width="9" style="2"/>
    <col min="14598" max="14598" width="11.125" style="2" bestFit="1" customWidth="1"/>
    <col min="14599" max="14599" width="9" style="2"/>
    <col min="14600" max="14616" width="11.125" style="2" bestFit="1" customWidth="1"/>
    <col min="14617" max="14617" width="9" style="2"/>
    <col min="14618" max="14618" width="11.125" style="2" bestFit="1" customWidth="1"/>
    <col min="14619" max="14619" width="9.625" style="2" bestFit="1" customWidth="1"/>
    <col min="14620" max="14844" width="9" style="2"/>
    <col min="14845" max="14845" width="2.375" style="2" customWidth="1"/>
    <col min="14846" max="14846" width="13.25" style="2" bestFit="1" customWidth="1"/>
    <col min="14847" max="14850" width="11.125" style="2" bestFit="1" customWidth="1"/>
    <col min="14851" max="14851" width="13.25" style="2" bestFit="1" customWidth="1"/>
    <col min="14852" max="14852" width="11.125" style="2" bestFit="1" customWidth="1"/>
    <col min="14853" max="14853" width="9" style="2"/>
    <col min="14854" max="14854" width="11.125" style="2" bestFit="1" customWidth="1"/>
    <col min="14855" max="14855" width="9" style="2"/>
    <col min="14856" max="14872" width="11.125" style="2" bestFit="1" customWidth="1"/>
    <col min="14873" max="14873" width="9" style="2"/>
    <col min="14874" max="14874" width="11.125" style="2" bestFit="1" customWidth="1"/>
    <col min="14875" max="14875" width="9.625" style="2" bestFit="1" customWidth="1"/>
    <col min="14876" max="15100" width="9" style="2"/>
    <col min="15101" max="15101" width="2.375" style="2" customWidth="1"/>
    <col min="15102" max="15102" width="13.25" style="2" bestFit="1" customWidth="1"/>
    <col min="15103" max="15106" width="11.125" style="2" bestFit="1" customWidth="1"/>
    <col min="15107" max="15107" width="13.25" style="2" bestFit="1" customWidth="1"/>
    <col min="15108" max="15108" width="11.125" style="2" bestFit="1" customWidth="1"/>
    <col min="15109" max="15109" width="9" style="2"/>
    <col min="15110" max="15110" width="11.125" style="2" bestFit="1" customWidth="1"/>
    <col min="15111" max="15111" width="9" style="2"/>
    <col min="15112" max="15128" width="11.125" style="2" bestFit="1" customWidth="1"/>
    <col min="15129" max="15129" width="9" style="2"/>
    <col min="15130" max="15130" width="11.125" style="2" bestFit="1" customWidth="1"/>
    <col min="15131" max="15131" width="9.625" style="2" bestFit="1" customWidth="1"/>
    <col min="15132" max="15356" width="9" style="2"/>
    <col min="15357" max="15357" width="2.375" style="2" customWidth="1"/>
    <col min="15358" max="15358" width="13.25" style="2" bestFit="1" customWidth="1"/>
    <col min="15359" max="15362" width="11.125" style="2" bestFit="1" customWidth="1"/>
    <col min="15363" max="15363" width="13.25" style="2" bestFit="1" customWidth="1"/>
    <col min="15364" max="15364" width="11.125" style="2" bestFit="1" customWidth="1"/>
    <col min="15365" max="15365" width="9" style="2"/>
    <col min="15366" max="15366" width="11.125" style="2" bestFit="1" customWidth="1"/>
    <col min="15367" max="15367" width="9" style="2"/>
    <col min="15368" max="15384" width="11.125" style="2" bestFit="1" customWidth="1"/>
    <col min="15385" max="15385" width="9" style="2"/>
    <col min="15386" max="15386" width="11.125" style="2" bestFit="1" customWidth="1"/>
    <col min="15387" max="15387" width="9.625" style="2" bestFit="1" customWidth="1"/>
    <col min="15388" max="15612" width="9" style="2"/>
    <col min="15613" max="15613" width="2.375" style="2" customWidth="1"/>
    <col min="15614" max="15614" width="13.25" style="2" bestFit="1" customWidth="1"/>
    <col min="15615" max="15618" width="11.125" style="2" bestFit="1" customWidth="1"/>
    <col min="15619" max="15619" width="13.25" style="2" bestFit="1" customWidth="1"/>
    <col min="15620" max="15620" width="11.125" style="2" bestFit="1" customWidth="1"/>
    <col min="15621" max="15621" width="9" style="2"/>
    <col min="15622" max="15622" width="11.125" style="2" bestFit="1" customWidth="1"/>
    <col min="15623" max="15623" width="9" style="2"/>
    <col min="15624" max="15640" width="11.125" style="2" bestFit="1" customWidth="1"/>
    <col min="15641" max="15641" width="9" style="2"/>
    <col min="15642" max="15642" width="11.125" style="2" bestFit="1" customWidth="1"/>
    <col min="15643" max="15643" width="9.625" style="2" bestFit="1" customWidth="1"/>
    <col min="15644" max="15868" width="9" style="2"/>
    <col min="15869" max="15869" width="2.375" style="2" customWidth="1"/>
    <col min="15870" max="15870" width="13.25" style="2" bestFit="1" customWidth="1"/>
    <col min="15871" max="15874" width="11.125" style="2" bestFit="1" customWidth="1"/>
    <col min="15875" max="15875" width="13.25" style="2" bestFit="1" customWidth="1"/>
    <col min="15876" max="15876" width="11.125" style="2" bestFit="1" customWidth="1"/>
    <col min="15877" max="15877" width="9" style="2"/>
    <col min="15878" max="15878" width="11.125" style="2" bestFit="1" customWidth="1"/>
    <col min="15879" max="15879" width="9" style="2"/>
    <col min="15880" max="15896" width="11.125" style="2" bestFit="1" customWidth="1"/>
    <col min="15897" max="15897" width="9" style="2"/>
    <col min="15898" max="15898" width="11.125" style="2" bestFit="1" customWidth="1"/>
    <col min="15899" max="15899" width="9.625" style="2" bestFit="1" customWidth="1"/>
    <col min="15900" max="16124" width="9" style="2"/>
    <col min="16125" max="16125" width="2.375" style="2" customWidth="1"/>
    <col min="16126" max="16126" width="13.25" style="2" bestFit="1" customWidth="1"/>
    <col min="16127" max="16130" width="11.125" style="2" bestFit="1" customWidth="1"/>
    <col min="16131" max="16131" width="13.25" style="2" bestFit="1" customWidth="1"/>
    <col min="16132" max="16132" width="11.125" style="2" bestFit="1" customWidth="1"/>
    <col min="16133" max="16133" width="9" style="2"/>
    <col min="16134" max="16134" width="11.125" style="2" bestFit="1" customWidth="1"/>
    <col min="16135" max="16135" width="9" style="2"/>
    <col min="16136" max="16152" width="11.125" style="2" bestFit="1" customWidth="1"/>
    <col min="16153" max="16153" width="9" style="2"/>
    <col min="16154" max="16154" width="11.125" style="2" bestFit="1" customWidth="1"/>
    <col min="16155" max="16155" width="9.625" style="2" bestFit="1" customWidth="1"/>
    <col min="16156" max="16384" width="9" style="2"/>
  </cols>
  <sheetData>
    <row r="1" spans="1:28" ht="21.75" customHeight="1">
      <c r="A1" s="1" t="s">
        <v>0</v>
      </c>
    </row>
    <row r="2" spans="1:28" ht="19.5" thickBot="1">
      <c r="A2" s="1" t="s">
        <v>2</v>
      </c>
    </row>
    <row r="3" spans="1:28">
      <c r="B3" s="12"/>
      <c r="C3" s="18" t="s">
        <v>3</v>
      </c>
      <c r="D3" s="19" t="s">
        <v>4</v>
      </c>
      <c r="E3" s="19" t="s">
        <v>7</v>
      </c>
      <c r="F3" s="19" t="s">
        <v>8</v>
      </c>
      <c r="G3" s="19" t="s">
        <v>9</v>
      </c>
      <c r="H3" s="19" t="s">
        <v>10</v>
      </c>
      <c r="I3" s="19" t="s">
        <v>11</v>
      </c>
      <c r="J3" s="19" t="s">
        <v>12</v>
      </c>
      <c r="K3" s="19" t="s">
        <v>13</v>
      </c>
      <c r="L3" s="19" t="s">
        <v>14</v>
      </c>
      <c r="M3" s="19" t="s">
        <v>15</v>
      </c>
      <c r="N3" s="19" t="s">
        <v>16</v>
      </c>
      <c r="O3" s="19" t="s">
        <v>17</v>
      </c>
      <c r="P3" s="19" t="s">
        <v>19</v>
      </c>
      <c r="Q3" s="19" t="s">
        <v>20</v>
      </c>
      <c r="R3" s="19" t="s">
        <v>21</v>
      </c>
      <c r="S3" s="19" t="s">
        <v>22</v>
      </c>
      <c r="T3" s="19" t="s">
        <v>23</v>
      </c>
      <c r="U3" s="4" t="s">
        <v>24</v>
      </c>
      <c r="V3" s="71" t="s">
        <v>67</v>
      </c>
      <c r="W3" s="51" t="s">
        <v>18</v>
      </c>
      <c r="X3" s="61" t="s">
        <v>5</v>
      </c>
      <c r="Y3" s="71" t="s">
        <v>67</v>
      </c>
      <c r="Z3" s="4" t="s">
        <v>6</v>
      </c>
      <c r="AA3" s="71" t="s">
        <v>67</v>
      </c>
      <c r="AB3" s="72" t="s">
        <v>47</v>
      </c>
    </row>
    <row r="4" spans="1:28" ht="19.5" thickBot="1">
      <c r="B4" s="5" t="s">
        <v>25</v>
      </c>
      <c r="C4" s="20" t="s">
        <v>26</v>
      </c>
      <c r="D4" s="21" t="s">
        <v>27</v>
      </c>
      <c r="E4" s="21" t="s">
        <v>29</v>
      </c>
      <c r="F4" s="21" t="s">
        <v>30</v>
      </c>
      <c r="G4" s="21" t="s">
        <v>31</v>
      </c>
      <c r="H4" s="21" t="s">
        <v>32</v>
      </c>
      <c r="I4" s="21" t="s">
        <v>33</v>
      </c>
      <c r="J4" s="21" t="s">
        <v>34</v>
      </c>
      <c r="K4" s="21" t="s">
        <v>35</v>
      </c>
      <c r="L4" s="21" t="s">
        <v>36</v>
      </c>
      <c r="M4" s="21" t="s">
        <v>37</v>
      </c>
      <c r="N4" s="21" t="s">
        <v>38</v>
      </c>
      <c r="O4" s="21" t="s">
        <v>39</v>
      </c>
      <c r="P4" s="21" t="s">
        <v>41</v>
      </c>
      <c r="Q4" s="21" t="s">
        <v>42</v>
      </c>
      <c r="R4" s="21" t="s">
        <v>43</v>
      </c>
      <c r="S4" s="21" t="s">
        <v>44</v>
      </c>
      <c r="T4" s="21" t="s">
        <v>45</v>
      </c>
      <c r="U4" s="3" t="s">
        <v>46</v>
      </c>
      <c r="V4" s="73" t="s">
        <v>68</v>
      </c>
      <c r="W4" s="52" t="s">
        <v>40</v>
      </c>
      <c r="X4" s="62" t="s">
        <v>72</v>
      </c>
      <c r="Y4" s="73" t="s">
        <v>69</v>
      </c>
      <c r="Z4" s="3" t="s">
        <v>28</v>
      </c>
      <c r="AA4" s="73" t="s">
        <v>70</v>
      </c>
      <c r="AB4" s="50" t="s">
        <v>71</v>
      </c>
    </row>
    <row r="5" spans="1:28">
      <c r="A5" s="1" t="s">
        <v>1</v>
      </c>
      <c r="B5" s="30" t="s">
        <v>48</v>
      </c>
      <c r="C5" s="31">
        <v>59000</v>
      </c>
      <c r="D5" s="32">
        <v>71000</v>
      </c>
      <c r="E5" s="32">
        <v>83000</v>
      </c>
      <c r="F5" s="32">
        <v>83000</v>
      </c>
      <c r="G5" s="32">
        <v>71000</v>
      </c>
      <c r="H5" s="32">
        <v>83000</v>
      </c>
      <c r="I5" s="32">
        <v>59000</v>
      </c>
      <c r="J5" s="32">
        <v>71000</v>
      </c>
      <c r="K5" s="32">
        <v>59000</v>
      </c>
      <c r="L5" s="32">
        <v>83000</v>
      </c>
      <c r="M5" s="32">
        <v>59000</v>
      </c>
      <c r="N5" s="32">
        <v>71000</v>
      </c>
      <c r="O5" s="32">
        <v>59000</v>
      </c>
      <c r="P5" s="32">
        <v>55132</v>
      </c>
      <c r="Q5" s="32">
        <v>58517</v>
      </c>
      <c r="R5" s="32">
        <v>53000</v>
      </c>
      <c r="S5" s="32">
        <v>27845</v>
      </c>
      <c r="T5" s="32">
        <v>21500</v>
      </c>
      <c r="U5" s="33">
        <v>0</v>
      </c>
      <c r="V5" s="34">
        <f>SUM(C5:U5)</f>
        <v>1126994</v>
      </c>
      <c r="W5" s="53">
        <v>380000</v>
      </c>
      <c r="X5" s="63">
        <v>103000</v>
      </c>
      <c r="Y5" s="34">
        <f>SUM(W5:X5)</f>
        <v>483000</v>
      </c>
      <c r="Z5" s="33">
        <v>405000</v>
      </c>
      <c r="AA5" s="34">
        <f>SUM(Z5)</f>
        <v>405000</v>
      </c>
      <c r="AB5" s="34">
        <f>SUM(AA5,Y5,V5)</f>
        <v>2014994</v>
      </c>
    </row>
    <row r="6" spans="1:28">
      <c r="A6" s="1" t="s">
        <v>1</v>
      </c>
      <c r="B6" s="35" t="s">
        <v>49</v>
      </c>
      <c r="C6" s="36">
        <v>0</v>
      </c>
      <c r="D6" s="37">
        <v>0</v>
      </c>
      <c r="E6" s="37">
        <v>30000</v>
      </c>
      <c r="F6" s="37">
        <v>15000</v>
      </c>
      <c r="G6" s="37">
        <v>15000</v>
      </c>
      <c r="H6" s="37">
        <v>15000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8">
        <v>0</v>
      </c>
      <c r="V6" s="39">
        <f t="shared" ref="V6:V23" si="0">SUM(C6:U6)</f>
        <v>75000</v>
      </c>
      <c r="W6" s="54">
        <v>0</v>
      </c>
      <c r="X6" s="64">
        <v>0</v>
      </c>
      <c r="Y6" s="39">
        <f t="shared" ref="Y6:Y23" si="1">SUM(W6:X6)</f>
        <v>0</v>
      </c>
      <c r="Z6" s="38">
        <v>0</v>
      </c>
      <c r="AA6" s="39">
        <f t="shared" ref="AA6:AA23" si="2">SUM(Z6)</f>
        <v>0</v>
      </c>
      <c r="AB6" s="39">
        <f t="shared" ref="AB6:AB20" si="3">SUM(AA6,Y6,V6)</f>
        <v>75000</v>
      </c>
    </row>
    <row r="7" spans="1:28">
      <c r="A7" s="1" t="s">
        <v>1</v>
      </c>
      <c r="B7" s="35" t="s">
        <v>50</v>
      </c>
      <c r="C7" s="36">
        <v>0</v>
      </c>
      <c r="D7" s="37">
        <v>0</v>
      </c>
      <c r="E7" s="37">
        <v>3000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8">
        <v>0</v>
      </c>
      <c r="V7" s="39">
        <f t="shared" si="0"/>
        <v>3000</v>
      </c>
      <c r="W7" s="54">
        <v>0</v>
      </c>
      <c r="X7" s="64">
        <v>33000</v>
      </c>
      <c r="Y7" s="39">
        <f t="shared" si="1"/>
        <v>33000</v>
      </c>
      <c r="Z7" s="38">
        <v>0</v>
      </c>
      <c r="AA7" s="39">
        <f t="shared" si="2"/>
        <v>0</v>
      </c>
      <c r="AB7" s="39">
        <f t="shared" si="3"/>
        <v>36000</v>
      </c>
    </row>
    <row r="8" spans="1:28">
      <c r="A8" s="1" t="s">
        <v>1</v>
      </c>
      <c r="B8" s="45" t="s">
        <v>51</v>
      </c>
      <c r="C8" s="46">
        <v>15000</v>
      </c>
      <c r="D8" s="47">
        <v>15000</v>
      </c>
      <c r="E8" s="47">
        <v>15000</v>
      </c>
      <c r="F8" s="47">
        <v>15000</v>
      </c>
      <c r="G8" s="47">
        <v>15000</v>
      </c>
      <c r="H8" s="47">
        <v>15000</v>
      </c>
      <c r="I8" s="47">
        <v>15000</v>
      </c>
      <c r="J8" s="47">
        <v>15000</v>
      </c>
      <c r="K8" s="47">
        <v>15000</v>
      </c>
      <c r="L8" s="47">
        <v>15000</v>
      </c>
      <c r="M8" s="47">
        <v>15000</v>
      </c>
      <c r="N8" s="47">
        <v>15000</v>
      </c>
      <c r="O8" s="47">
        <v>15000</v>
      </c>
      <c r="P8" s="47">
        <v>15000</v>
      </c>
      <c r="Q8" s="47">
        <v>15000</v>
      </c>
      <c r="R8" s="47">
        <v>15000</v>
      </c>
      <c r="S8" s="47">
        <v>15000</v>
      </c>
      <c r="T8" s="47">
        <v>15000</v>
      </c>
      <c r="U8" s="48">
        <v>0</v>
      </c>
      <c r="V8" s="49">
        <f t="shared" si="0"/>
        <v>270000</v>
      </c>
      <c r="W8" s="55">
        <v>15000</v>
      </c>
      <c r="X8" s="65">
        <v>15000</v>
      </c>
      <c r="Y8" s="49">
        <f t="shared" si="1"/>
        <v>30000</v>
      </c>
      <c r="Z8" s="48">
        <v>15000</v>
      </c>
      <c r="AA8" s="49">
        <f t="shared" si="2"/>
        <v>15000</v>
      </c>
      <c r="AB8" s="49">
        <f t="shared" si="3"/>
        <v>315000</v>
      </c>
    </row>
    <row r="9" spans="1:28">
      <c r="A9" s="1" t="s">
        <v>1</v>
      </c>
      <c r="B9" s="6" t="s">
        <v>52</v>
      </c>
      <c r="C9" s="22">
        <v>74000</v>
      </c>
      <c r="D9" s="23">
        <v>86000</v>
      </c>
      <c r="E9" s="23">
        <v>131000</v>
      </c>
      <c r="F9" s="23">
        <v>113000</v>
      </c>
      <c r="G9" s="23">
        <v>101000</v>
      </c>
      <c r="H9" s="23">
        <v>113000</v>
      </c>
      <c r="I9" s="23">
        <v>74000</v>
      </c>
      <c r="J9" s="23">
        <v>86000</v>
      </c>
      <c r="K9" s="23">
        <v>74000</v>
      </c>
      <c r="L9" s="23">
        <v>98000</v>
      </c>
      <c r="M9" s="23">
        <v>74000</v>
      </c>
      <c r="N9" s="23">
        <v>86000</v>
      </c>
      <c r="O9" s="23">
        <v>74000</v>
      </c>
      <c r="P9" s="23">
        <v>70132</v>
      </c>
      <c r="Q9" s="23">
        <v>73517</v>
      </c>
      <c r="R9" s="23">
        <v>68000</v>
      </c>
      <c r="S9" s="23">
        <v>42845</v>
      </c>
      <c r="T9" s="23">
        <v>36500</v>
      </c>
      <c r="U9" s="7">
        <v>0</v>
      </c>
      <c r="V9" s="8">
        <f t="shared" si="0"/>
        <v>1474994</v>
      </c>
      <c r="W9" s="56">
        <v>395000</v>
      </c>
      <c r="X9" s="66">
        <v>151000</v>
      </c>
      <c r="Y9" s="8">
        <f t="shared" si="1"/>
        <v>546000</v>
      </c>
      <c r="Z9" s="7">
        <v>420000</v>
      </c>
      <c r="AA9" s="8">
        <f t="shared" si="2"/>
        <v>420000</v>
      </c>
      <c r="AB9" s="8">
        <f t="shared" si="3"/>
        <v>2440994</v>
      </c>
    </row>
    <row r="10" spans="1:28">
      <c r="A10" s="1" t="s">
        <v>1</v>
      </c>
      <c r="B10" s="13" t="s">
        <v>53</v>
      </c>
      <c r="C10" s="24">
        <v>74000</v>
      </c>
      <c r="D10" s="25">
        <v>86000</v>
      </c>
      <c r="E10" s="25">
        <v>131000</v>
      </c>
      <c r="F10" s="25">
        <v>113000</v>
      </c>
      <c r="G10" s="25">
        <v>101000</v>
      </c>
      <c r="H10" s="25">
        <v>113000</v>
      </c>
      <c r="I10" s="25">
        <v>74000</v>
      </c>
      <c r="J10" s="25">
        <v>86000</v>
      </c>
      <c r="K10" s="25">
        <v>74000</v>
      </c>
      <c r="L10" s="25">
        <v>98000</v>
      </c>
      <c r="M10" s="25">
        <v>74000</v>
      </c>
      <c r="N10" s="25">
        <v>86000</v>
      </c>
      <c r="O10" s="25">
        <v>74000</v>
      </c>
      <c r="P10" s="25">
        <v>70132</v>
      </c>
      <c r="Q10" s="25">
        <v>73517</v>
      </c>
      <c r="R10" s="25">
        <v>68000</v>
      </c>
      <c r="S10" s="25">
        <v>42845</v>
      </c>
      <c r="T10" s="25">
        <v>36500</v>
      </c>
      <c r="U10" s="14">
        <v>0</v>
      </c>
      <c r="V10" s="15">
        <f t="shared" si="0"/>
        <v>1474994</v>
      </c>
      <c r="W10" s="57">
        <v>395000</v>
      </c>
      <c r="X10" s="67">
        <v>151000</v>
      </c>
      <c r="Y10" s="15">
        <f t="shared" si="1"/>
        <v>546000</v>
      </c>
      <c r="Z10" s="14">
        <v>420000</v>
      </c>
      <c r="AA10" s="15">
        <f t="shared" si="2"/>
        <v>420000</v>
      </c>
      <c r="AB10" s="15">
        <f t="shared" si="3"/>
        <v>2440994</v>
      </c>
    </row>
    <row r="11" spans="1:28">
      <c r="A11" s="1" t="s">
        <v>1</v>
      </c>
      <c r="B11" s="40" t="s">
        <v>54</v>
      </c>
      <c r="C11" s="41">
        <v>3774</v>
      </c>
      <c r="D11" s="42">
        <v>4386</v>
      </c>
      <c r="E11" s="42">
        <v>6681</v>
      </c>
      <c r="F11" s="42">
        <v>5763</v>
      </c>
      <c r="G11" s="42">
        <v>5151</v>
      </c>
      <c r="H11" s="42">
        <v>5763</v>
      </c>
      <c r="I11" s="42">
        <v>3774</v>
      </c>
      <c r="J11" s="42">
        <v>4386</v>
      </c>
      <c r="K11" s="42">
        <v>3774</v>
      </c>
      <c r="L11" s="42">
        <v>4998</v>
      </c>
      <c r="M11" s="42">
        <v>3774</v>
      </c>
      <c r="N11" s="42">
        <v>4386</v>
      </c>
      <c r="O11" s="42">
        <v>3774</v>
      </c>
      <c r="P11" s="42">
        <v>3570</v>
      </c>
      <c r="Q11" s="42">
        <v>3723</v>
      </c>
      <c r="R11" s="42">
        <v>3468</v>
      </c>
      <c r="S11" s="42">
        <v>2142</v>
      </c>
      <c r="T11" s="42">
        <v>1836</v>
      </c>
      <c r="U11" s="43">
        <v>0</v>
      </c>
      <c r="V11" s="44">
        <f t="shared" si="0"/>
        <v>75123</v>
      </c>
      <c r="W11" s="58">
        <v>20145</v>
      </c>
      <c r="X11" s="68">
        <v>7701</v>
      </c>
      <c r="Y11" s="44">
        <f t="shared" si="1"/>
        <v>27846</v>
      </c>
      <c r="Z11" s="43">
        <v>21420</v>
      </c>
      <c r="AA11" s="44">
        <f t="shared" si="2"/>
        <v>21420</v>
      </c>
      <c r="AB11" s="44">
        <f t="shared" si="3"/>
        <v>124389</v>
      </c>
    </row>
    <row r="12" spans="1:28">
      <c r="A12" s="1" t="s">
        <v>1</v>
      </c>
      <c r="B12" s="35" t="s">
        <v>55</v>
      </c>
      <c r="C12" s="36">
        <v>666</v>
      </c>
      <c r="D12" s="37">
        <v>774</v>
      </c>
      <c r="E12" s="37">
        <v>1179</v>
      </c>
      <c r="F12" s="37">
        <v>1017</v>
      </c>
      <c r="G12" s="37">
        <v>909</v>
      </c>
      <c r="H12" s="37">
        <v>1017</v>
      </c>
      <c r="I12" s="37">
        <v>666</v>
      </c>
      <c r="J12" s="37">
        <v>774</v>
      </c>
      <c r="K12" s="37">
        <v>666</v>
      </c>
      <c r="L12" s="37">
        <v>882</v>
      </c>
      <c r="M12" s="37">
        <v>666</v>
      </c>
      <c r="N12" s="37">
        <v>774</v>
      </c>
      <c r="O12" s="37">
        <v>666</v>
      </c>
      <c r="P12" s="37">
        <v>630</v>
      </c>
      <c r="Q12" s="37">
        <v>657</v>
      </c>
      <c r="R12" s="37">
        <v>612</v>
      </c>
      <c r="S12" s="37">
        <v>378</v>
      </c>
      <c r="T12" s="37">
        <v>324</v>
      </c>
      <c r="U12" s="38">
        <v>0</v>
      </c>
      <c r="V12" s="39">
        <f t="shared" si="0"/>
        <v>13257</v>
      </c>
      <c r="W12" s="54">
        <v>3555</v>
      </c>
      <c r="X12" s="64">
        <v>1359</v>
      </c>
      <c r="Y12" s="39">
        <f t="shared" si="1"/>
        <v>4914</v>
      </c>
      <c r="Z12" s="38">
        <v>3780</v>
      </c>
      <c r="AA12" s="39">
        <f t="shared" si="2"/>
        <v>3780</v>
      </c>
      <c r="AB12" s="39">
        <f t="shared" si="3"/>
        <v>21951</v>
      </c>
    </row>
    <row r="13" spans="1:28">
      <c r="A13" s="1" t="s">
        <v>1</v>
      </c>
      <c r="B13" s="35" t="s">
        <v>56</v>
      </c>
      <c r="C13" s="36">
        <v>6771</v>
      </c>
      <c r="D13" s="37">
        <v>7869</v>
      </c>
      <c r="E13" s="37">
        <v>11986</v>
      </c>
      <c r="F13" s="37">
        <v>10339</v>
      </c>
      <c r="G13" s="37">
        <v>9241</v>
      </c>
      <c r="H13" s="37">
        <v>10339</v>
      </c>
      <c r="I13" s="37">
        <v>6771</v>
      </c>
      <c r="J13" s="37">
        <v>7869</v>
      </c>
      <c r="K13" s="37">
        <v>6771</v>
      </c>
      <c r="L13" s="37">
        <v>8967</v>
      </c>
      <c r="M13" s="37">
        <v>6771</v>
      </c>
      <c r="N13" s="37">
        <v>7869</v>
      </c>
      <c r="O13" s="37">
        <v>6771</v>
      </c>
      <c r="P13" s="37">
        <v>6405</v>
      </c>
      <c r="Q13" s="37">
        <v>6679</v>
      </c>
      <c r="R13" s="37">
        <v>6222</v>
      </c>
      <c r="S13" s="37">
        <v>3843</v>
      </c>
      <c r="T13" s="37">
        <v>3294</v>
      </c>
      <c r="U13" s="38">
        <v>0</v>
      </c>
      <c r="V13" s="39">
        <f t="shared" si="0"/>
        <v>134777</v>
      </c>
      <c r="W13" s="54">
        <v>36142</v>
      </c>
      <c r="X13" s="64">
        <v>13816</v>
      </c>
      <c r="Y13" s="39">
        <f t="shared" si="1"/>
        <v>49958</v>
      </c>
      <c r="Z13" s="38">
        <v>38430</v>
      </c>
      <c r="AA13" s="39">
        <f t="shared" si="2"/>
        <v>38430</v>
      </c>
      <c r="AB13" s="39">
        <f t="shared" si="3"/>
        <v>223165</v>
      </c>
    </row>
    <row r="14" spans="1:28">
      <c r="A14" s="1" t="s">
        <v>1</v>
      </c>
      <c r="B14" s="6" t="s">
        <v>57</v>
      </c>
      <c r="C14" s="22">
        <v>444</v>
      </c>
      <c r="D14" s="23">
        <v>516</v>
      </c>
      <c r="E14" s="23">
        <v>786</v>
      </c>
      <c r="F14" s="23">
        <v>678</v>
      </c>
      <c r="G14" s="23">
        <v>606</v>
      </c>
      <c r="H14" s="23">
        <v>678</v>
      </c>
      <c r="I14" s="23">
        <v>444</v>
      </c>
      <c r="J14" s="23">
        <v>516</v>
      </c>
      <c r="K14" s="23">
        <v>444</v>
      </c>
      <c r="L14" s="23">
        <v>588</v>
      </c>
      <c r="M14" s="23">
        <v>444</v>
      </c>
      <c r="N14" s="23">
        <v>516</v>
      </c>
      <c r="O14" s="23">
        <v>444</v>
      </c>
      <c r="P14" s="23">
        <v>421</v>
      </c>
      <c r="Q14" s="23">
        <v>441</v>
      </c>
      <c r="R14" s="23">
        <v>408</v>
      </c>
      <c r="S14" s="23">
        <v>257</v>
      </c>
      <c r="T14" s="23">
        <v>219</v>
      </c>
      <c r="U14" s="7">
        <v>0</v>
      </c>
      <c r="V14" s="8">
        <f t="shared" si="0"/>
        <v>8850</v>
      </c>
      <c r="W14" s="56">
        <v>2370</v>
      </c>
      <c r="X14" s="66">
        <v>906</v>
      </c>
      <c r="Y14" s="8">
        <f t="shared" si="1"/>
        <v>3276</v>
      </c>
      <c r="Z14" s="7">
        <v>2520</v>
      </c>
      <c r="AA14" s="8">
        <f t="shared" si="2"/>
        <v>2520</v>
      </c>
      <c r="AB14" s="8">
        <f t="shared" si="3"/>
        <v>14646</v>
      </c>
    </row>
    <row r="15" spans="1:28">
      <c r="A15" s="1" t="s">
        <v>1</v>
      </c>
      <c r="B15" s="13" t="s">
        <v>58</v>
      </c>
      <c r="C15" s="24">
        <v>62345</v>
      </c>
      <c r="D15" s="25">
        <v>72455</v>
      </c>
      <c r="E15" s="25">
        <v>110368</v>
      </c>
      <c r="F15" s="25">
        <v>95203</v>
      </c>
      <c r="G15" s="25">
        <v>85093</v>
      </c>
      <c r="H15" s="25">
        <v>95203</v>
      </c>
      <c r="I15" s="25">
        <v>62345</v>
      </c>
      <c r="J15" s="25">
        <v>72455</v>
      </c>
      <c r="K15" s="25">
        <v>62345</v>
      </c>
      <c r="L15" s="25">
        <v>82565</v>
      </c>
      <c r="M15" s="25">
        <v>62345</v>
      </c>
      <c r="N15" s="25">
        <v>72455</v>
      </c>
      <c r="O15" s="25">
        <v>62345</v>
      </c>
      <c r="P15" s="25">
        <v>59106</v>
      </c>
      <c r="Q15" s="25">
        <v>62017</v>
      </c>
      <c r="R15" s="25">
        <v>57290</v>
      </c>
      <c r="S15" s="25">
        <v>36225</v>
      </c>
      <c r="T15" s="25">
        <v>30827</v>
      </c>
      <c r="U15" s="14">
        <v>0</v>
      </c>
      <c r="V15" s="15">
        <f t="shared" si="0"/>
        <v>1242987</v>
      </c>
      <c r="W15" s="57">
        <v>332788</v>
      </c>
      <c r="X15" s="67">
        <v>127218</v>
      </c>
      <c r="Y15" s="15">
        <f t="shared" si="1"/>
        <v>460006</v>
      </c>
      <c r="Z15" s="14">
        <v>353850</v>
      </c>
      <c r="AA15" s="15">
        <f t="shared" si="2"/>
        <v>353850</v>
      </c>
      <c r="AB15" s="15">
        <f t="shared" si="3"/>
        <v>2056843</v>
      </c>
    </row>
    <row r="16" spans="1:28">
      <c r="A16" s="1" t="s">
        <v>1</v>
      </c>
      <c r="B16" s="6" t="s">
        <v>59</v>
      </c>
      <c r="C16" s="22">
        <v>1273</v>
      </c>
      <c r="D16" s="23">
        <v>4438</v>
      </c>
      <c r="E16" s="23">
        <v>6761</v>
      </c>
      <c r="F16" s="23">
        <v>7776</v>
      </c>
      <c r="G16" s="23">
        <v>3475</v>
      </c>
      <c r="H16" s="23">
        <v>9720</v>
      </c>
      <c r="I16" s="23">
        <v>3819</v>
      </c>
      <c r="J16" s="23">
        <v>2959</v>
      </c>
      <c r="K16" s="23">
        <v>3819</v>
      </c>
      <c r="L16" s="23">
        <v>6743</v>
      </c>
      <c r="M16" s="23">
        <v>3819</v>
      </c>
      <c r="N16" s="23">
        <v>4438</v>
      </c>
      <c r="O16" s="23">
        <v>3819</v>
      </c>
      <c r="P16" s="23">
        <v>1206</v>
      </c>
      <c r="Q16" s="23">
        <v>2532</v>
      </c>
      <c r="R16" s="23">
        <v>2339</v>
      </c>
      <c r="S16" s="23">
        <v>1479</v>
      </c>
      <c r="T16" s="23">
        <v>1258</v>
      </c>
      <c r="U16" s="7">
        <v>0</v>
      </c>
      <c r="V16" s="8">
        <f t="shared" si="0"/>
        <v>71673</v>
      </c>
      <c r="W16" s="56">
        <v>20386</v>
      </c>
      <c r="X16" s="66">
        <v>7793</v>
      </c>
      <c r="Y16" s="8">
        <f t="shared" si="1"/>
        <v>28179</v>
      </c>
      <c r="Z16" s="7">
        <v>28902</v>
      </c>
      <c r="AA16" s="8">
        <f t="shared" si="2"/>
        <v>28902</v>
      </c>
      <c r="AB16" s="8">
        <f t="shared" si="3"/>
        <v>128754</v>
      </c>
    </row>
    <row r="17" spans="1:28">
      <c r="A17" s="1" t="s">
        <v>1</v>
      </c>
      <c r="B17" s="13" t="s">
        <v>60</v>
      </c>
      <c r="C17" s="24">
        <v>11655</v>
      </c>
      <c r="D17" s="25">
        <v>13545</v>
      </c>
      <c r="E17" s="25">
        <v>20632</v>
      </c>
      <c r="F17" s="25">
        <v>17797</v>
      </c>
      <c r="G17" s="25">
        <v>15907</v>
      </c>
      <c r="H17" s="25">
        <v>17797</v>
      </c>
      <c r="I17" s="25">
        <v>11655</v>
      </c>
      <c r="J17" s="25">
        <v>13545</v>
      </c>
      <c r="K17" s="25">
        <v>11655</v>
      </c>
      <c r="L17" s="25">
        <v>15435</v>
      </c>
      <c r="M17" s="25">
        <v>11655</v>
      </c>
      <c r="N17" s="25">
        <v>13545</v>
      </c>
      <c r="O17" s="25">
        <v>11655</v>
      </c>
      <c r="P17" s="25">
        <v>11026</v>
      </c>
      <c r="Q17" s="25">
        <v>11500</v>
      </c>
      <c r="R17" s="25">
        <v>10710</v>
      </c>
      <c r="S17" s="25">
        <v>6620</v>
      </c>
      <c r="T17" s="25">
        <v>5673</v>
      </c>
      <c r="U17" s="14">
        <v>0</v>
      </c>
      <c r="V17" s="15">
        <f t="shared" si="0"/>
        <v>232007</v>
      </c>
      <c r="W17" s="57">
        <v>62212</v>
      </c>
      <c r="X17" s="67">
        <v>23782</v>
      </c>
      <c r="Y17" s="15">
        <f t="shared" si="1"/>
        <v>85994</v>
      </c>
      <c r="Z17" s="14">
        <v>66150</v>
      </c>
      <c r="AA17" s="15">
        <f t="shared" si="2"/>
        <v>66150</v>
      </c>
      <c r="AB17" s="15">
        <f t="shared" si="3"/>
        <v>384151</v>
      </c>
    </row>
    <row r="18" spans="1:28">
      <c r="A18" s="1" t="s">
        <v>1</v>
      </c>
      <c r="B18" s="13" t="s">
        <v>61</v>
      </c>
      <c r="C18" s="24">
        <v>12928</v>
      </c>
      <c r="D18" s="25">
        <v>17983</v>
      </c>
      <c r="E18" s="25">
        <v>27393</v>
      </c>
      <c r="F18" s="25">
        <v>25573</v>
      </c>
      <c r="G18" s="25">
        <v>19382</v>
      </c>
      <c r="H18" s="25">
        <v>27517</v>
      </c>
      <c r="I18" s="25">
        <v>15474</v>
      </c>
      <c r="J18" s="25">
        <v>16504</v>
      </c>
      <c r="K18" s="25">
        <v>15474</v>
      </c>
      <c r="L18" s="25">
        <v>22178</v>
      </c>
      <c r="M18" s="25">
        <v>15474</v>
      </c>
      <c r="N18" s="25">
        <v>17983</v>
      </c>
      <c r="O18" s="25">
        <v>15474</v>
      </c>
      <c r="P18" s="25">
        <v>12232</v>
      </c>
      <c r="Q18" s="25">
        <v>14032</v>
      </c>
      <c r="R18" s="25">
        <v>13049</v>
      </c>
      <c r="S18" s="25">
        <v>8099</v>
      </c>
      <c r="T18" s="25">
        <v>6931</v>
      </c>
      <c r="U18" s="14">
        <v>0</v>
      </c>
      <c r="V18" s="15">
        <f t="shared" si="0"/>
        <v>303680</v>
      </c>
      <c r="W18" s="57">
        <v>82598</v>
      </c>
      <c r="X18" s="67">
        <v>31575</v>
      </c>
      <c r="Y18" s="15">
        <f t="shared" si="1"/>
        <v>114173</v>
      </c>
      <c r="Z18" s="14">
        <v>95052</v>
      </c>
      <c r="AA18" s="15">
        <f t="shared" si="2"/>
        <v>95052</v>
      </c>
      <c r="AB18" s="15">
        <f t="shared" si="3"/>
        <v>512905</v>
      </c>
    </row>
    <row r="19" spans="1:28">
      <c r="A19" s="1" t="s">
        <v>1</v>
      </c>
      <c r="B19" s="13" t="s">
        <v>62</v>
      </c>
      <c r="C19" s="24">
        <v>61072</v>
      </c>
      <c r="D19" s="25">
        <v>68017</v>
      </c>
      <c r="E19" s="25">
        <v>103607</v>
      </c>
      <c r="F19" s="25">
        <v>87427</v>
      </c>
      <c r="G19" s="25">
        <v>81618</v>
      </c>
      <c r="H19" s="25">
        <v>85483</v>
      </c>
      <c r="I19" s="25">
        <v>58526</v>
      </c>
      <c r="J19" s="25">
        <v>69496</v>
      </c>
      <c r="K19" s="25">
        <v>58526</v>
      </c>
      <c r="L19" s="25">
        <v>75822</v>
      </c>
      <c r="M19" s="25">
        <v>58526</v>
      </c>
      <c r="N19" s="25">
        <v>68017</v>
      </c>
      <c r="O19" s="25">
        <v>58526</v>
      </c>
      <c r="P19" s="25">
        <v>57900</v>
      </c>
      <c r="Q19" s="25">
        <v>59485</v>
      </c>
      <c r="R19" s="25">
        <v>54951</v>
      </c>
      <c r="S19" s="25">
        <v>34746</v>
      </c>
      <c r="T19" s="25">
        <v>29569</v>
      </c>
      <c r="U19" s="14">
        <v>0</v>
      </c>
      <c r="V19" s="15">
        <f t="shared" si="0"/>
        <v>1171314</v>
      </c>
      <c r="W19" s="57">
        <v>312402</v>
      </c>
      <c r="X19" s="67">
        <v>119425</v>
      </c>
      <c r="Y19" s="15">
        <f t="shared" si="1"/>
        <v>431827</v>
      </c>
      <c r="Z19" s="14">
        <v>324948</v>
      </c>
      <c r="AA19" s="15">
        <f t="shared" si="2"/>
        <v>324948</v>
      </c>
      <c r="AB19" s="15">
        <f t="shared" si="3"/>
        <v>1928089</v>
      </c>
    </row>
    <row r="20" spans="1:28">
      <c r="A20" s="1" t="s">
        <v>1</v>
      </c>
      <c r="B20" s="13" t="s">
        <v>63</v>
      </c>
      <c r="C20" s="24">
        <v>61072</v>
      </c>
      <c r="D20" s="25">
        <v>68017</v>
      </c>
      <c r="E20" s="25">
        <v>103607</v>
      </c>
      <c r="F20" s="25">
        <v>87427</v>
      </c>
      <c r="G20" s="25">
        <v>81618</v>
      </c>
      <c r="H20" s="25">
        <v>85483</v>
      </c>
      <c r="I20" s="25">
        <v>58526</v>
      </c>
      <c r="J20" s="25">
        <v>69496</v>
      </c>
      <c r="K20" s="25">
        <v>58526</v>
      </c>
      <c r="L20" s="25">
        <v>75822</v>
      </c>
      <c r="M20" s="25">
        <v>58526</v>
      </c>
      <c r="N20" s="25">
        <v>68017</v>
      </c>
      <c r="O20" s="25">
        <v>58526</v>
      </c>
      <c r="P20" s="25">
        <v>57900</v>
      </c>
      <c r="Q20" s="25">
        <v>59485</v>
      </c>
      <c r="R20" s="25">
        <v>54951</v>
      </c>
      <c r="S20" s="25">
        <v>34746</v>
      </c>
      <c r="T20" s="25">
        <v>29569</v>
      </c>
      <c r="U20" s="14">
        <v>0</v>
      </c>
      <c r="V20" s="15">
        <f t="shared" si="0"/>
        <v>1171314</v>
      </c>
      <c r="W20" s="57">
        <v>312402</v>
      </c>
      <c r="X20" s="67">
        <v>119425</v>
      </c>
      <c r="Y20" s="15">
        <f t="shared" si="1"/>
        <v>431827</v>
      </c>
      <c r="Z20" s="14">
        <v>324948</v>
      </c>
      <c r="AA20" s="15">
        <f t="shared" si="2"/>
        <v>324948</v>
      </c>
      <c r="AB20" s="15">
        <f t="shared" si="3"/>
        <v>1928089</v>
      </c>
    </row>
    <row r="21" spans="1:28">
      <c r="A21" s="1" t="s">
        <v>1</v>
      </c>
      <c r="B21" s="13" t="s">
        <v>64</v>
      </c>
      <c r="C21" s="24">
        <v>1</v>
      </c>
      <c r="D21" s="25">
        <v>0</v>
      </c>
      <c r="E21" s="25">
        <v>1</v>
      </c>
      <c r="F21" s="25">
        <v>0</v>
      </c>
      <c r="G21" s="25">
        <v>1</v>
      </c>
      <c r="H21" s="25">
        <v>0</v>
      </c>
      <c r="I21" s="25">
        <v>0</v>
      </c>
      <c r="J21" s="25">
        <v>1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3</v>
      </c>
      <c r="Q21" s="25">
        <v>0</v>
      </c>
      <c r="R21" s="25">
        <v>0</v>
      </c>
      <c r="S21" s="25">
        <v>1</v>
      </c>
      <c r="T21" s="25">
        <v>0</v>
      </c>
      <c r="U21" s="14">
        <v>0</v>
      </c>
      <c r="V21" s="15">
        <f t="shared" si="0"/>
        <v>8</v>
      </c>
      <c r="W21" s="57">
        <v>0</v>
      </c>
      <c r="X21" s="67">
        <v>1</v>
      </c>
      <c r="Y21" s="15">
        <f t="shared" si="1"/>
        <v>1</v>
      </c>
      <c r="Z21" s="14">
        <v>0</v>
      </c>
      <c r="AA21" s="15">
        <f t="shared" si="2"/>
        <v>0</v>
      </c>
      <c r="AB21" s="15"/>
    </row>
    <row r="22" spans="1:28">
      <c r="A22" s="1" t="s">
        <v>1</v>
      </c>
      <c r="B22" s="13" t="s">
        <v>65</v>
      </c>
      <c r="C22" s="26">
        <v>2.0419999999999998</v>
      </c>
      <c r="D22" s="27">
        <v>6.1260000000000003</v>
      </c>
      <c r="E22" s="27">
        <v>6.1260000000000003</v>
      </c>
      <c r="F22" s="27">
        <v>8.1679999999999993</v>
      </c>
      <c r="G22" s="27">
        <v>4.0839999999999996</v>
      </c>
      <c r="H22" s="27">
        <v>10.210000000000001</v>
      </c>
      <c r="I22" s="27">
        <v>6.1260000000000003</v>
      </c>
      <c r="J22" s="27">
        <v>4.0839999999999996</v>
      </c>
      <c r="K22" s="27">
        <v>6.1260000000000003</v>
      </c>
      <c r="L22" s="27">
        <v>8.1679999999999993</v>
      </c>
      <c r="M22" s="27">
        <v>6.1260000000000003</v>
      </c>
      <c r="N22" s="27">
        <v>6.1260000000000003</v>
      </c>
      <c r="O22" s="27">
        <v>6.1260000000000003</v>
      </c>
      <c r="P22" s="27">
        <v>2.0419999999999998</v>
      </c>
      <c r="Q22" s="27">
        <v>4.0839999999999996</v>
      </c>
      <c r="R22" s="27">
        <v>4.0839999999999996</v>
      </c>
      <c r="S22" s="27">
        <v>4.0839999999999996</v>
      </c>
      <c r="T22" s="27">
        <v>4.0839999999999996</v>
      </c>
      <c r="U22" s="16">
        <v>4.0839999999999996</v>
      </c>
      <c r="V22" s="17">
        <f t="shared" si="0"/>
        <v>102.10000000000002</v>
      </c>
      <c r="W22" s="59">
        <v>6.1260000000000003</v>
      </c>
      <c r="X22" s="69">
        <v>6.1260000000000003</v>
      </c>
      <c r="Y22" s="17">
        <f t="shared" si="1"/>
        <v>12.252000000000001</v>
      </c>
      <c r="Z22" s="16">
        <v>8.1679999999999993</v>
      </c>
      <c r="AA22" s="17">
        <f t="shared" si="2"/>
        <v>8.1679999999999993</v>
      </c>
      <c r="AB22" s="17"/>
    </row>
    <row r="23" spans="1:28" ht="19.5" thickBot="1">
      <c r="A23" s="1" t="s">
        <v>1</v>
      </c>
      <c r="B23" s="9" t="s">
        <v>66</v>
      </c>
      <c r="C23" s="28">
        <v>241676</v>
      </c>
      <c r="D23" s="29">
        <v>278772</v>
      </c>
      <c r="E23" s="29">
        <v>324463</v>
      </c>
      <c r="F23" s="29">
        <v>332934</v>
      </c>
      <c r="G23" s="29">
        <v>266945</v>
      </c>
      <c r="H23" s="29">
        <v>335580</v>
      </c>
      <c r="I23" s="29">
        <v>280681</v>
      </c>
      <c r="J23" s="29">
        <v>273906</v>
      </c>
      <c r="K23" s="29">
        <v>285178</v>
      </c>
      <c r="L23" s="29">
        <v>322905</v>
      </c>
      <c r="M23" s="29">
        <v>276365</v>
      </c>
      <c r="N23" s="29">
        <v>263687</v>
      </c>
      <c r="O23" s="29">
        <v>299999</v>
      </c>
      <c r="P23" s="29">
        <v>289793</v>
      </c>
      <c r="Q23" s="29">
        <v>244038</v>
      </c>
      <c r="R23" s="29">
        <v>238290</v>
      </c>
      <c r="S23" s="29">
        <v>271283</v>
      </c>
      <c r="T23" s="29">
        <v>223449</v>
      </c>
      <c r="U23" s="10">
        <v>236552</v>
      </c>
      <c r="V23" s="11">
        <f t="shared" si="0"/>
        <v>5286496</v>
      </c>
      <c r="W23" s="60">
        <v>295810</v>
      </c>
      <c r="X23" s="70">
        <v>324296</v>
      </c>
      <c r="Y23" s="11">
        <f t="shared" si="1"/>
        <v>620106</v>
      </c>
      <c r="Z23" s="10">
        <v>305208</v>
      </c>
      <c r="AA23" s="11">
        <f t="shared" si="2"/>
        <v>305208</v>
      </c>
      <c r="AB23" s="11"/>
    </row>
  </sheetData>
  <phoneticPr fontId="3"/>
  <pageMargins left="0.11811023622047245" right="0.11811023622047245" top="0.55118110236220474" bottom="0.55118110236220474" header="0.31496062992125984" footer="0.31496062992125984"/>
  <pageSetup paperSize="12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5年夏賞与 (2)</vt:lpstr>
      <vt:lpstr>'5年夏賞与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2023-06-14T04:43:23Z</cp:lastPrinted>
  <dcterms:created xsi:type="dcterms:W3CDTF">2023-06-14T04:14:13Z</dcterms:created>
  <dcterms:modified xsi:type="dcterms:W3CDTF">2023-06-15T06:20:45Z</dcterms:modified>
</cp:coreProperties>
</file>