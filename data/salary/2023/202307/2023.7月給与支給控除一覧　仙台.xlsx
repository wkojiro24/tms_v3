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7\"/>
    </mc:Choice>
  </mc:AlternateContent>
  <xr:revisionPtr revIDLastSave="0" documentId="13_ncr:1_{81B0D31C-D3AB-42F4-A87A-E7278A2BF143}" xr6:coauthVersionLast="47" xr6:coauthVersionMax="47" xr10:uidLastSave="{00000000-0000-0000-0000-000000000000}"/>
  <bookViews>
    <workbookView xWindow="-120" yWindow="-120" windowWidth="20730" windowHeight="11160" xr2:uid="{1F330562-6840-43DE-B538-78A65C1FFB40}"/>
  </bookViews>
  <sheets>
    <sheet name="2023年 7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3" l="1"/>
  <c r="O13" i="3"/>
  <c r="O17" i="3"/>
  <c r="O21" i="3"/>
  <c r="O25" i="3"/>
  <c r="O29" i="3"/>
  <c r="O33" i="3"/>
  <c r="O37" i="3"/>
  <c r="N7" i="3"/>
  <c r="O7" i="3" s="1"/>
  <c r="N8" i="3"/>
  <c r="O8" i="3" s="1"/>
  <c r="N9" i="3"/>
  <c r="N10" i="3"/>
  <c r="O10" i="3" s="1"/>
  <c r="N11" i="3"/>
  <c r="O11" i="3" s="1"/>
  <c r="N12" i="3"/>
  <c r="O12" i="3" s="1"/>
  <c r="N13" i="3"/>
  <c r="N14" i="3"/>
  <c r="O14" i="3" s="1"/>
  <c r="N15" i="3"/>
  <c r="O15" i="3" s="1"/>
  <c r="N16" i="3"/>
  <c r="O16" i="3" s="1"/>
  <c r="N17" i="3"/>
  <c r="N18" i="3"/>
  <c r="O18" i="3" s="1"/>
  <c r="N19" i="3"/>
  <c r="O19" i="3" s="1"/>
  <c r="N20" i="3"/>
  <c r="O20" i="3" s="1"/>
  <c r="N21" i="3"/>
  <c r="N22" i="3"/>
  <c r="O22" i="3" s="1"/>
  <c r="N23" i="3"/>
  <c r="O23" i="3" s="1"/>
  <c r="N24" i="3"/>
  <c r="O24" i="3" s="1"/>
  <c r="N25" i="3"/>
  <c r="N26" i="3"/>
  <c r="O26" i="3" s="1"/>
  <c r="N27" i="3"/>
  <c r="O27" i="3" s="1"/>
  <c r="N28" i="3"/>
  <c r="O28" i="3" s="1"/>
  <c r="N29" i="3"/>
  <c r="N30" i="3"/>
  <c r="O30" i="3" s="1"/>
  <c r="N31" i="3"/>
  <c r="O31" i="3" s="1"/>
  <c r="N32" i="3"/>
  <c r="O32" i="3" s="1"/>
  <c r="N33" i="3"/>
  <c r="N34" i="3"/>
  <c r="O34" i="3" s="1"/>
  <c r="N35" i="3"/>
  <c r="O35" i="3" s="1"/>
  <c r="N36" i="3"/>
  <c r="O36" i="3" s="1"/>
  <c r="N37" i="3"/>
  <c r="N38" i="3"/>
  <c r="O38" i="3" s="1"/>
  <c r="N39" i="3"/>
  <c r="O39" i="3" s="1"/>
  <c r="N40" i="3"/>
  <c r="O40" i="3" s="1"/>
  <c r="N6" i="3"/>
  <c r="O6" i="3" s="1"/>
  <c r="N5" i="3"/>
  <c r="O5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6" i="3"/>
  <c r="F5" i="3"/>
</calcChain>
</file>

<file path=xl/sharedStrings.xml><?xml version="1.0" encoding="utf-8"?>
<sst xmlns="http://schemas.openxmlformats.org/spreadsheetml/2006/main" count="114" uniqueCount="64">
  <si>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</si>
  <si>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</si>
  <si>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</si>
  <si>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</si>
  <si>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</si>
  <si>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</si>
  <si>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</si>
  <si>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</si>
  <si>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</si>
  <si>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</si>
  <si>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</si>
  <si>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</si>
  <si>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</si>
  <si>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</si>
  <si>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</si>
  <si>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</si>
  <si>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</si>
  <si>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</si>
  <si>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ゆうこ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</si>
  <si>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</si>
  <si>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</si>
  <si>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</si>
  <si>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</si>
  <si>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</si>
  <si>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</si>
  <si>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</si>
  <si>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</si>
  <si>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</si>
  <si>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</si>
  <si>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</si>
  <si>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</si>
  <si>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</si>
  <si>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</si>
  <si>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</si>
  <si>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</si>
  <si>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</si>
  <si>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</si>
  <si>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</si>
  <si>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</si>
  <si>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</si>
  <si>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</si>
  <si>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</si>
  <si>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</si>
  <si>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</si>
  <si>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</si>
  <si>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</si>
  <si>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</si>
  <si>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</si>
  <si>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</si>
  <si>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</si>
  <si>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</si>
  <si>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</si>
  <si>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</si>
  <si>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</si>
  <si>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</si>
  <si>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</si>
  <si>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</si>
  <si>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</si>
  <si>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</si>
  <si>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小田島健司</t>
    <phoneticPr fontId="4"/>
  </si>
  <si>
    <t>2023年 7月度給与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</si>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</sst>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176" fontId="2" fillId="0" borderId="18" xfId="1" applyNumberFormat="1" applyFont="1" applyBorder="1"/>
    <xf numFmtId="176" fontId="2" fillId="0" borderId="19" xfId="1" applyNumberFormat="1" applyFont="1" applyBorder="1"/>
    <xf numFmtId="2" fontId="2" fillId="0" borderId="21" xfId="1" applyNumberFormat="1" applyFont="1" applyBorder="1"/>
    <xf numFmtId="3" fontId="2" fillId="0" borderId="22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3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2" fontId="2" fillId="0" borderId="25" xfId="1" applyNumberFormat="1" applyFont="1" applyBorder="1"/>
    <xf numFmtId="2" fontId="2" fillId="0" borderId="26" xfId="1" applyNumberFormat="1" applyFont="1" applyBorder="1"/>
    <xf numFmtId="176" fontId="2" fillId="0" borderId="26" xfId="1" applyNumberFormat="1" applyFont="1" applyBorder="1"/>
    <xf numFmtId="176" fontId="2" fillId="0" borderId="27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16" xfId="1" applyNumberFormat="1" applyFont="1" applyBorder="1"/>
    <xf numFmtId="49" fontId="2" fillId="0" borderId="15" xfId="1" applyNumberFormat="1" applyFont="1" applyBorder="1"/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176" fontId="2" fillId="0" borderId="34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24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0" fontId="2" fillId="0" borderId="2" xfId="1" applyFont="1" applyBorder="1"/>
  </cellXfs>
  <cellStyles count="2">
    <cellStyle name="標準" xfId="0" builtinId="0"/>
    <cellStyle name="標準 2" xfId="1" xr:uid="{953BF1EB-DEAD-45B2-975D-0A06AF258A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A618-8AC0-48CE-8DD5-50B00174C9A1}">
  <sheetPr>
    <pageSetUpPr fitToPage="1"/>
  </sheetPr>
  <dimension ref="A1:O4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15" width="11.62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60</v>
      </c>
    </row>
    <row r="3" spans="1:15">
      <c r="B3" s="4"/>
      <c r="C3" s="32" t="s">
        <v>5</v>
      </c>
      <c r="D3" s="32" t="s">
        <v>9</v>
      </c>
      <c r="E3" s="57" t="s">
        <v>7</v>
      </c>
      <c r="F3" s="70" t="s">
        <v>61</v>
      </c>
      <c r="G3" s="44" t="s">
        <v>2</v>
      </c>
      <c r="H3" s="32" t="s">
        <v>3</v>
      </c>
      <c r="I3" s="32" t="s">
        <v>4</v>
      </c>
      <c r="J3" s="32" t="s">
        <v>6</v>
      </c>
      <c r="K3" s="32" t="s">
        <v>8</v>
      </c>
      <c r="L3" s="32" t="s">
        <v>10</v>
      </c>
      <c r="M3" s="5" t="s">
        <v>11</v>
      </c>
      <c r="N3" s="70" t="s">
        <v>61</v>
      </c>
      <c r="O3" s="72"/>
    </row>
    <row r="4" spans="1:15" ht="19.5" thickBot="1">
      <c r="B4" s="6" t="s">
        <v>12</v>
      </c>
      <c r="C4" s="33" t="s">
        <v>16</v>
      </c>
      <c r="D4" s="33" t="s">
        <v>20</v>
      </c>
      <c r="E4" s="58" t="s">
        <v>18</v>
      </c>
      <c r="F4" s="71" t="s">
        <v>62</v>
      </c>
      <c r="G4" s="45" t="s">
        <v>13</v>
      </c>
      <c r="H4" s="33" t="s">
        <v>14</v>
      </c>
      <c r="I4" s="33" t="s">
        <v>15</v>
      </c>
      <c r="J4" s="33" t="s">
        <v>17</v>
      </c>
      <c r="K4" s="33" t="s">
        <v>19</v>
      </c>
      <c r="L4" s="33" t="s">
        <v>21</v>
      </c>
      <c r="M4" s="3" t="s">
        <v>59</v>
      </c>
      <c r="N4" s="71" t="s">
        <v>63</v>
      </c>
      <c r="O4" s="6" t="s">
        <v>22</v>
      </c>
    </row>
    <row r="5" spans="1:15">
      <c r="A5" s="1" t="s">
        <v>1</v>
      </c>
      <c r="B5" s="25" t="s">
        <v>23</v>
      </c>
      <c r="C5" s="34">
        <v>20</v>
      </c>
      <c r="D5" s="34">
        <v>19</v>
      </c>
      <c r="E5" s="59">
        <v>21</v>
      </c>
      <c r="F5" s="27">
        <f>SUM(C5:E5)</f>
        <v>60</v>
      </c>
      <c r="G5" s="46">
        <v>19</v>
      </c>
      <c r="H5" s="34">
        <v>19</v>
      </c>
      <c r="I5" s="34">
        <v>19</v>
      </c>
      <c r="J5" s="34">
        <v>19</v>
      </c>
      <c r="K5" s="34">
        <v>19</v>
      </c>
      <c r="L5" s="34">
        <v>21</v>
      </c>
      <c r="M5" s="26">
        <v>21</v>
      </c>
      <c r="N5" s="27">
        <f>SUM(G5:M5)</f>
        <v>137</v>
      </c>
      <c r="O5" s="27">
        <f>SUM(N5,F5)</f>
        <v>197</v>
      </c>
    </row>
    <row r="6" spans="1:15">
      <c r="A6" s="1" t="s">
        <v>1</v>
      </c>
      <c r="B6" s="22" t="s">
        <v>24</v>
      </c>
      <c r="C6" s="35">
        <v>0</v>
      </c>
      <c r="D6" s="35">
        <v>0</v>
      </c>
      <c r="E6" s="60">
        <v>2</v>
      </c>
      <c r="F6" s="29">
        <f>SUM(C6:E6)</f>
        <v>2</v>
      </c>
      <c r="G6" s="47">
        <v>3</v>
      </c>
      <c r="H6" s="35">
        <v>3</v>
      </c>
      <c r="I6" s="35">
        <v>3</v>
      </c>
      <c r="J6" s="35">
        <v>4</v>
      </c>
      <c r="K6" s="35">
        <v>2</v>
      </c>
      <c r="L6" s="35">
        <v>2</v>
      </c>
      <c r="M6" s="28">
        <v>3</v>
      </c>
      <c r="N6" s="29">
        <f>SUM(G6:M6)</f>
        <v>20</v>
      </c>
      <c r="O6" s="29">
        <f t="shared" ref="O6:O40" si="0">SUM(N6,F6)</f>
        <v>22</v>
      </c>
    </row>
    <row r="7" spans="1:15">
      <c r="A7" s="1" t="s">
        <v>1</v>
      </c>
      <c r="B7" s="22" t="s">
        <v>25</v>
      </c>
      <c r="C7" s="35">
        <v>0</v>
      </c>
      <c r="D7" s="35">
        <v>0</v>
      </c>
      <c r="E7" s="60">
        <v>1</v>
      </c>
      <c r="F7" s="29">
        <f t="shared" ref="F7:F40" si="1">SUM(C7:E7)</f>
        <v>1</v>
      </c>
      <c r="G7" s="47">
        <v>1</v>
      </c>
      <c r="H7" s="35">
        <v>2</v>
      </c>
      <c r="I7" s="35">
        <v>3</v>
      </c>
      <c r="J7" s="35">
        <v>1</v>
      </c>
      <c r="K7" s="35">
        <v>1</v>
      </c>
      <c r="L7" s="35">
        <v>2</v>
      </c>
      <c r="M7" s="28">
        <v>1</v>
      </c>
      <c r="N7" s="29">
        <f t="shared" ref="N7:N40" si="2">SUM(G7:M7)</f>
        <v>11</v>
      </c>
      <c r="O7" s="29">
        <f t="shared" si="0"/>
        <v>12</v>
      </c>
    </row>
    <row r="8" spans="1:15">
      <c r="A8" s="1" t="s">
        <v>1</v>
      </c>
      <c r="B8" s="22" t="s">
        <v>26</v>
      </c>
      <c r="C8" s="35">
        <v>1</v>
      </c>
      <c r="D8" s="35">
        <v>0</v>
      </c>
      <c r="E8" s="60">
        <v>1.5</v>
      </c>
      <c r="F8" s="29">
        <f t="shared" si="1"/>
        <v>2.5</v>
      </c>
      <c r="G8" s="47">
        <v>2</v>
      </c>
      <c r="H8" s="35">
        <v>2</v>
      </c>
      <c r="I8" s="35">
        <v>2</v>
      </c>
      <c r="J8" s="35">
        <v>2</v>
      </c>
      <c r="K8" s="35">
        <v>2</v>
      </c>
      <c r="L8" s="35">
        <v>0</v>
      </c>
      <c r="M8" s="28">
        <v>0</v>
      </c>
      <c r="N8" s="29">
        <f t="shared" si="2"/>
        <v>10</v>
      </c>
      <c r="O8" s="29">
        <f t="shared" si="0"/>
        <v>12.5</v>
      </c>
    </row>
    <row r="9" spans="1:15">
      <c r="A9" s="1" t="s">
        <v>1</v>
      </c>
      <c r="B9" s="22" t="s">
        <v>27</v>
      </c>
      <c r="C9" s="36">
        <v>0</v>
      </c>
      <c r="D9" s="36">
        <v>0</v>
      </c>
      <c r="E9" s="61">
        <v>8.3333333333333329E-2</v>
      </c>
      <c r="F9" s="31">
        <f t="shared" si="1"/>
        <v>8.3333333333333329E-2</v>
      </c>
      <c r="G9" s="48">
        <v>1.875</v>
      </c>
      <c r="H9" s="36">
        <v>0.54166666666666663</v>
      </c>
      <c r="I9" s="36">
        <v>1.125</v>
      </c>
      <c r="J9" s="36">
        <v>1.8333333333333335</v>
      </c>
      <c r="K9" s="36">
        <v>1.875</v>
      </c>
      <c r="L9" s="36">
        <v>1.6666666666666665</v>
      </c>
      <c r="M9" s="30">
        <v>2.2083333333333335</v>
      </c>
      <c r="N9" s="31">
        <f t="shared" si="2"/>
        <v>11.125</v>
      </c>
      <c r="O9" s="31">
        <f t="shared" si="0"/>
        <v>11.208333333333334</v>
      </c>
    </row>
    <row r="10" spans="1:15">
      <c r="A10" s="1" t="s">
        <v>1</v>
      </c>
      <c r="B10" s="22" t="s">
        <v>28</v>
      </c>
      <c r="C10" s="36">
        <v>0</v>
      </c>
      <c r="D10" s="36">
        <v>0</v>
      </c>
      <c r="E10" s="61">
        <v>0.58333333333333337</v>
      </c>
      <c r="F10" s="31">
        <f t="shared" si="1"/>
        <v>0.58333333333333337</v>
      </c>
      <c r="G10" s="48">
        <v>1.2916666666666667</v>
      </c>
      <c r="H10" s="36">
        <v>1.0416666666666667</v>
      </c>
      <c r="I10" s="36">
        <v>1.0833333333333333</v>
      </c>
      <c r="J10" s="36">
        <v>1.375</v>
      </c>
      <c r="K10" s="36">
        <v>0.58333333333333337</v>
      </c>
      <c r="L10" s="36">
        <v>0.75</v>
      </c>
      <c r="M10" s="30">
        <v>1.4166666666666667</v>
      </c>
      <c r="N10" s="31">
        <f t="shared" si="2"/>
        <v>7.541666666666667</v>
      </c>
      <c r="O10" s="31">
        <f t="shared" si="0"/>
        <v>8.125</v>
      </c>
    </row>
    <row r="11" spans="1:15">
      <c r="A11" s="1" t="s">
        <v>1</v>
      </c>
      <c r="B11" s="22" t="s">
        <v>29</v>
      </c>
      <c r="C11" s="36">
        <v>0</v>
      </c>
      <c r="D11" s="36">
        <v>0</v>
      </c>
      <c r="E11" s="61">
        <v>0.16666666666666666</v>
      </c>
      <c r="F11" s="31">
        <f t="shared" si="1"/>
        <v>0.16666666666666666</v>
      </c>
      <c r="G11" s="48">
        <v>0.33333333333333331</v>
      </c>
      <c r="H11" s="36">
        <v>0.58333333333333337</v>
      </c>
      <c r="I11" s="36">
        <v>1.0416666666666667</v>
      </c>
      <c r="J11" s="36">
        <v>0.375</v>
      </c>
      <c r="K11" s="36">
        <v>0.33333333333333331</v>
      </c>
      <c r="L11" s="36">
        <v>0.54166666666666663</v>
      </c>
      <c r="M11" s="30">
        <v>0.20833333333333334</v>
      </c>
      <c r="N11" s="31">
        <f t="shared" si="2"/>
        <v>3.416666666666667</v>
      </c>
      <c r="O11" s="31">
        <f t="shared" si="0"/>
        <v>3.5833333333333335</v>
      </c>
    </row>
    <row r="12" spans="1:15">
      <c r="A12" s="1" t="s">
        <v>1</v>
      </c>
      <c r="B12" s="22" t="s">
        <v>30</v>
      </c>
      <c r="C12" s="36">
        <v>0</v>
      </c>
      <c r="D12" s="36">
        <v>0</v>
      </c>
      <c r="E12" s="61">
        <v>0.29166666666666669</v>
      </c>
      <c r="F12" s="31">
        <f t="shared" si="1"/>
        <v>0.29166666666666669</v>
      </c>
      <c r="G12" s="48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0">
        <v>0</v>
      </c>
      <c r="N12" s="31">
        <f t="shared" si="2"/>
        <v>0</v>
      </c>
      <c r="O12" s="31">
        <f t="shared" si="0"/>
        <v>0.29166666666666669</v>
      </c>
    </row>
    <row r="13" spans="1:15">
      <c r="A13" s="1" t="s">
        <v>1</v>
      </c>
      <c r="B13" s="7" t="s">
        <v>31</v>
      </c>
      <c r="C13" s="37">
        <v>8.3333333333333329E-2</v>
      </c>
      <c r="D13" s="37">
        <v>0</v>
      </c>
      <c r="E13" s="62">
        <v>0</v>
      </c>
      <c r="F13" s="9">
        <f t="shared" si="1"/>
        <v>8.3333333333333329E-2</v>
      </c>
      <c r="G13" s="49">
        <v>0.95833333333333337</v>
      </c>
      <c r="H13" s="37">
        <v>1.5833333333333335</v>
      </c>
      <c r="I13" s="37">
        <v>1.7916666666666665</v>
      </c>
      <c r="J13" s="37">
        <v>1.0833333333333333</v>
      </c>
      <c r="K13" s="37">
        <v>1.0416666666666667</v>
      </c>
      <c r="L13" s="37">
        <v>0.95833333333333337</v>
      </c>
      <c r="M13" s="8">
        <v>1.0416666666666667</v>
      </c>
      <c r="N13" s="9">
        <f t="shared" si="2"/>
        <v>8.4583333333333339</v>
      </c>
      <c r="O13" s="9">
        <f t="shared" si="0"/>
        <v>8.5416666666666679</v>
      </c>
    </row>
    <row r="14" spans="1:15">
      <c r="A14" s="1" t="s">
        <v>1</v>
      </c>
      <c r="B14" s="14" t="s">
        <v>32</v>
      </c>
      <c r="C14" s="38">
        <v>38</v>
      </c>
      <c r="D14" s="38">
        <v>25.5</v>
      </c>
      <c r="E14" s="63">
        <v>23</v>
      </c>
      <c r="F14" s="16">
        <f t="shared" si="1"/>
        <v>86.5</v>
      </c>
      <c r="G14" s="50">
        <v>37</v>
      </c>
      <c r="H14" s="38">
        <v>33</v>
      </c>
      <c r="I14" s="38">
        <v>33</v>
      </c>
      <c r="J14" s="38">
        <v>33</v>
      </c>
      <c r="K14" s="38">
        <v>16</v>
      </c>
      <c r="L14" s="38">
        <v>14</v>
      </c>
      <c r="M14" s="15">
        <v>12</v>
      </c>
      <c r="N14" s="16">
        <f t="shared" si="2"/>
        <v>178</v>
      </c>
      <c r="O14" s="16">
        <f t="shared" si="0"/>
        <v>264.5</v>
      </c>
    </row>
    <row r="15" spans="1:15">
      <c r="A15" s="1" t="s">
        <v>1</v>
      </c>
      <c r="B15" s="19" t="s">
        <v>33</v>
      </c>
      <c r="C15" s="39">
        <v>355000</v>
      </c>
      <c r="D15" s="39">
        <v>355000</v>
      </c>
      <c r="E15" s="64">
        <v>170000</v>
      </c>
      <c r="F15" s="21">
        <f t="shared" si="1"/>
        <v>880000</v>
      </c>
      <c r="G15" s="51">
        <v>177000</v>
      </c>
      <c r="H15" s="39">
        <v>177000</v>
      </c>
      <c r="I15" s="39">
        <v>177000</v>
      </c>
      <c r="J15" s="39">
        <v>192000</v>
      </c>
      <c r="K15" s="39">
        <v>177000</v>
      </c>
      <c r="L15" s="39">
        <v>170000</v>
      </c>
      <c r="M15" s="20">
        <v>170000</v>
      </c>
      <c r="N15" s="21">
        <f t="shared" si="2"/>
        <v>1240000</v>
      </c>
      <c r="O15" s="21">
        <f t="shared" si="0"/>
        <v>2120000</v>
      </c>
    </row>
    <row r="16" spans="1:15">
      <c r="A16" s="1" t="s">
        <v>1</v>
      </c>
      <c r="B16" s="22" t="s">
        <v>34</v>
      </c>
      <c r="C16" s="40">
        <v>0</v>
      </c>
      <c r="D16" s="40">
        <v>0</v>
      </c>
      <c r="E16" s="65">
        <v>0</v>
      </c>
      <c r="F16" s="24">
        <f t="shared" si="1"/>
        <v>0</v>
      </c>
      <c r="G16" s="52">
        <v>5000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23">
        <v>0</v>
      </c>
      <c r="N16" s="24">
        <f t="shared" si="2"/>
        <v>5000</v>
      </c>
      <c r="O16" s="24">
        <f t="shared" si="0"/>
        <v>5000</v>
      </c>
    </row>
    <row r="17" spans="1:15">
      <c r="A17" s="1" t="s">
        <v>1</v>
      </c>
      <c r="B17" s="22" t="s">
        <v>35</v>
      </c>
      <c r="C17" s="40">
        <v>0</v>
      </c>
      <c r="D17" s="40">
        <v>0</v>
      </c>
      <c r="E17" s="65">
        <v>6000</v>
      </c>
      <c r="F17" s="24">
        <f t="shared" si="1"/>
        <v>6000</v>
      </c>
      <c r="G17" s="52">
        <v>0</v>
      </c>
      <c r="H17" s="40">
        <v>10000</v>
      </c>
      <c r="I17" s="40">
        <v>0</v>
      </c>
      <c r="J17" s="40">
        <v>0</v>
      </c>
      <c r="K17" s="40">
        <v>0</v>
      </c>
      <c r="L17" s="40">
        <v>0</v>
      </c>
      <c r="M17" s="23">
        <v>0</v>
      </c>
      <c r="N17" s="24">
        <f t="shared" si="2"/>
        <v>10000</v>
      </c>
      <c r="O17" s="24">
        <f t="shared" si="0"/>
        <v>16000</v>
      </c>
    </row>
    <row r="18" spans="1:15">
      <c r="A18" s="1" t="s">
        <v>1</v>
      </c>
      <c r="B18" s="22" t="s">
        <v>36</v>
      </c>
      <c r="C18" s="40">
        <v>0</v>
      </c>
      <c r="D18" s="40">
        <v>0</v>
      </c>
      <c r="E18" s="65">
        <v>0</v>
      </c>
      <c r="F18" s="24">
        <f t="shared" si="1"/>
        <v>0</v>
      </c>
      <c r="G18" s="52">
        <v>8928</v>
      </c>
      <c r="H18" s="40">
        <v>0</v>
      </c>
      <c r="I18" s="40">
        <v>0</v>
      </c>
      <c r="J18" s="40">
        <v>7845</v>
      </c>
      <c r="K18" s="40">
        <v>5756</v>
      </c>
      <c r="L18" s="40">
        <v>0</v>
      </c>
      <c r="M18" s="23">
        <v>0</v>
      </c>
      <c r="N18" s="24">
        <f t="shared" si="2"/>
        <v>22529</v>
      </c>
      <c r="O18" s="24">
        <f t="shared" si="0"/>
        <v>22529</v>
      </c>
    </row>
    <row r="19" spans="1:15">
      <c r="A19" s="1" t="s">
        <v>1</v>
      </c>
      <c r="B19" s="22" t="s">
        <v>37</v>
      </c>
      <c r="C19" s="40">
        <v>0</v>
      </c>
      <c r="D19" s="40">
        <v>0</v>
      </c>
      <c r="E19" s="65">
        <v>0</v>
      </c>
      <c r="F19" s="24">
        <f t="shared" si="1"/>
        <v>0</v>
      </c>
      <c r="G19" s="52">
        <v>2000</v>
      </c>
      <c r="H19" s="40">
        <v>2000</v>
      </c>
      <c r="I19" s="40">
        <v>2000</v>
      </c>
      <c r="J19" s="40">
        <v>2000</v>
      </c>
      <c r="K19" s="40">
        <v>1000</v>
      </c>
      <c r="L19" s="40">
        <v>1000</v>
      </c>
      <c r="M19" s="23">
        <v>1000</v>
      </c>
      <c r="N19" s="24">
        <f t="shared" si="2"/>
        <v>11000</v>
      </c>
      <c r="O19" s="24">
        <f t="shared" si="0"/>
        <v>11000</v>
      </c>
    </row>
    <row r="20" spans="1:15">
      <c r="A20" s="1" t="s">
        <v>1</v>
      </c>
      <c r="B20" s="22" t="s">
        <v>38</v>
      </c>
      <c r="C20" s="40">
        <v>0</v>
      </c>
      <c r="D20" s="40">
        <v>0</v>
      </c>
      <c r="E20" s="65">
        <v>0</v>
      </c>
      <c r="F20" s="24">
        <f t="shared" si="1"/>
        <v>0</v>
      </c>
      <c r="G20" s="52">
        <v>0</v>
      </c>
      <c r="H20" s="40">
        <v>12600</v>
      </c>
      <c r="I20" s="40">
        <v>0</v>
      </c>
      <c r="J20" s="40">
        <v>0</v>
      </c>
      <c r="K20" s="40">
        <v>0</v>
      </c>
      <c r="L20" s="40">
        <v>0</v>
      </c>
      <c r="M20" s="23">
        <v>0</v>
      </c>
      <c r="N20" s="24">
        <f t="shared" si="2"/>
        <v>12600</v>
      </c>
      <c r="O20" s="24">
        <f t="shared" si="0"/>
        <v>12600</v>
      </c>
    </row>
    <row r="21" spans="1:15">
      <c r="A21" s="1" t="s">
        <v>1</v>
      </c>
      <c r="B21" s="22" t="s">
        <v>27</v>
      </c>
      <c r="C21" s="40">
        <v>0</v>
      </c>
      <c r="D21" s="40">
        <v>0</v>
      </c>
      <c r="E21" s="65">
        <v>3012</v>
      </c>
      <c r="F21" s="24">
        <f t="shared" si="1"/>
        <v>3012</v>
      </c>
      <c r="G21" s="52">
        <v>62010</v>
      </c>
      <c r="H21" s="40">
        <v>19617</v>
      </c>
      <c r="I21" s="40">
        <v>36180</v>
      </c>
      <c r="J21" s="40">
        <v>63932</v>
      </c>
      <c r="K21" s="40">
        <v>59985</v>
      </c>
      <c r="L21" s="40">
        <v>51200</v>
      </c>
      <c r="M21" s="23">
        <v>67840</v>
      </c>
      <c r="N21" s="24">
        <f t="shared" si="2"/>
        <v>360764</v>
      </c>
      <c r="O21" s="24">
        <f t="shared" si="0"/>
        <v>363776</v>
      </c>
    </row>
    <row r="22" spans="1:15">
      <c r="A22" s="1" t="s">
        <v>1</v>
      </c>
      <c r="B22" s="22" t="s">
        <v>39</v>
      </c>
      <c r="C22" s="40">
        <v>0</v>
      </c>
      <c r="D22" s="40">
        <v>0</v>
      </c>
      <c r="E22" s="65">
        <v>22778</v>
      </c>
      <c r="F22" s="24">
        <f t="shared" si="1"/>
        <v>22778</v>
      </c>
      <c r="G22" s="52">
        <v>46128</v>
      </c>
      <c r="H22" s="40">
        <v>40725</v>
      </c>
      <c r="I22" s="40">
        <v>37622</v>
      </c>
      <c r="J22" s="40">
        <v>51777</v>
      </c>
      <c r="K22" s="40">
        <v>20146</v>
      </c>
      <c r="L22" s="40">
        <v>24876</v>
      </c>
      <c r="M22" s="23">
        <v>46988</v>
      </c>
      <c r="N22" s="24">
        <f t="shared" si="2"/>
        <v>268262</v>
      </c>
      <c r="O22" s="24">
        <f t="shared" si="0"/>
        <v>291040</v>
      </c>
    </row>
    <row r="23" spans="1:15">
      <c r="A23" s="1" t="s">
        <v>1</v>
      </c>
      <c r="B23" s="22" t="s">
        <v>40</v>
      </c>
      <c r="C23" s="40">
        <v>0</v>
      </c>
      <c r="D23" s="40">
        <v>0</v>
      </c>
      <c r="E23" s="65">
        <v>6508</v>
      </c>
      <c r="F23" s="24">
        <f t="shared" si="1"/>
        <v>6508</v>
      </c>
      <c r="G23" s="52">
        <v>11904</v>
      </c>
      <c r="H23" s="40">
        <v>22806</v>
      </c>
      <c r="I23" s="40">
        <v>36175</v>
      </c>
      <c r="J23" s="40">
        <v>14121</v>
      </c>
      <c r="K23" s="40">
        <v>11512</v>
      </c>
      <c r="L23" s="40">
        <v>17966</v>
      </c>
      <c r="M23" s="23">
        <v>6910</v>
      </c>
      <c r="N23" s="24">
        <f t="shared" si="2"/>
        <v>121394</v>
      </c>
      <c r="O23" s="24">
        <f t="shared" si="0"/>
        <v>127902</v>
      </c>
    </row>
    <row r="24" spans="1:15">
      <c r="A24" s="1" t="s">
        <v>1</v>
      </c>
      <c r="B24" s="22" t="s">
        <v>30</v>
      </c>
      <c r="C24" s="40">
        <v>0</v>
      </c>
      <c r="D24" s="40">
        <v>0</v>
      </c>
      <c r="E24" s="65">
        <v>8435</v>
      </c>
      <c r="F24" s="24">
        <f t="shared" si="1"/>
        <v>8435</v>
      </c>
      <c r="G24" s="52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23">
        <v>0</v>
      </c>
      <c r="N24" s="24">
        <f t="shared" si="2"/>
        <v>0</v>
      </c>
      <c r="O24" s="24">
        <f t="shared" si="0"/>
        <v>8435</v>
      </c>
    </row>
    <row r="25" spans="1:15">
      <c r="A25" s="1" t="s">
        <v>1</v>
      </c>
      <c r="B25" s="7" t="s">
        <v>31</v>
      </c>
      <c r="C25" s="41">
        <v>1064</v>
      </c>
      <c r="D25" s="41">
        <v>0</v>
      </c>
      <c r="E25" s="66">
        <v>0</v>
      </c>
      <c r="F25" s="11">
        <f t="shared" si="1"/>
        <v>1064</v>
      </c>
      <c r="G25" s="53">
        <v>6348</v>
      </c>
      <c r="H25" s="41">
        <v>11476</v>
      </c>
      <c r="I25" s="41">
        <v>11524</v>
      </c>
      <c r="J25" s="41">
        <v>7566</v>
      </c>
      <c r="K25" s="41">
        <v>6675</v>
      </c>
      <c r="L25" s="41">
        <v>5888</v>
      </c>
      <c r="M25" s="10">
        <v>6400</v>
      </c>
      <c r="N25" s="11">
        <f t="shared" si="2"/>
        <v>55877</v>
      </c>
      <c r="O25" s="11">
        <f t="shared" si="0"/>
        <v>56941</v>
      </c>
    </row>
    <row r="26" spans="1:15">
      <c r="A26" s="1" t="s">
        <v>1</v>
      </c>
      <c r="B26" s="14" t="s">
        <v>41</v>
      </c>
      <c r="C26" s="43">
        <v>356064</v>
      </c>
      <c r="D26" s="43">
        <v>355000</v>
      </c>
      <c r="E26" s="67">
        <v>216733</v>
      </c>
      <c r="F26" s="18">
        <f t="shared" si="1"/>
        <v>927797</v>
      </c>
      <c r="G26" s="54">
        <v>319318</v>
      </c>
      <c r="H26" s="43">
        <v>296224</v>
      </c>
      <c r="I26" s="43">
        <v>300501</v>
      </c>
      <c r="J26" s="43">
        <v>339241</v>
      </c>
      <c r="K26" s="43">
        <v>282074</v>
      </c>
      <c r="L26" s="43">
        <v>270930</v>
      </c>
      <c r="M26" s="17">
        <v>299138</v>
      </c>
      <c r="N26" s="18">
        <f t="shared" si="2"/>
        <v>2107426</v>
      </c>
      <c r="O26" s="18">
        <f t="shared" si="0"/>
        <v>3035223</v>
      </c>
    </row>
    <row r="27" spans="1:15">
      <c r="A27" s="1" t="s">
        <v>1</v>
      </c>
      <c r="B27" s="19" t="s">
        <v>42</v>
      </c>
      <c r="C27" s="39">
        <v>6699</v>
      </c>
      <c r="D27" s="39">
        <v>10994</v>
      </c>
      <c r="E27" s="64">
        <v>589</v>
      </c>
      <c r="F27" s="21">
        <f t="shared" si="1"/>
        <v>18282</v>
      </c>
      <c r="G27" s="51">
        <v>8466</v>
      </c>
      <c r="H27" s="39">
        <v>2356</v>
      </c>
      <c r="I27" s="39">
        <v>2454</v>
      </c>
      <c r="J27" s="39">
        <v>11190</v>
      </c>
      <c r="K27" s="39">
        <v>4859</v>
      </c>
      <c r="L27" s="39">
        <v>7362</v>
      </c>
      <c r="M27" s="20">
        <v>1227</v>
      </c>
      <c r="N27" s="21">
        <f t="shared" si="2"/>
        <v>37914</v>
      </c>
      <c r="O27" s="21">
        <f t="shared" si="0"/>
        <v>56196</v>
      </c>
    </row>
    <row r="28" spans="1:15">
      <c r="A28" s="1" t="s">
        <v>1</v>
      </c>
      <c r="B28" s="7" t="s">
        <v>43</v>
      </c>
      <c r="C28" s="41">
        <v>6699</v>
      </c>
      <c r="D28" s="41">
        <v>10994</v>
      </c>
      <c r="E28" s="66">
        <v>589</v>
      </c>
      <c r="F28" s="11">
        <f t="shared" si="1"/>
        <v>18282</v>
      </c>
      <c r="G28" s="53">
        <v>8466</v>
      </c>
      <c r="H28" s="41">
        <v>2356</v>
      </c>
      <c r="I28" s="41">
        <v>2454</v>
      </c>
      <c r="J28" s="41">
        <v>11190</v>
      </c>
      <c r="K28" s="41">
        <v>4859</v>
      </c>
      <c r="L28" s="41">
        <v>7362</v>
      </c>
      <c r="M28" s="10">
        <v>1227</v>
      </c>
      <c r="N28" s="11">
        <f t="shared" si="2"/>
        <v>37914</v>
      </c>
      <c r="O28" s="11">
        <f t="shared" si="0"/>
        <v>56196</v>
      </c>
    </row>
    <row r="29" spans="1:15">
      <c r="A29" s="1" t="s">
        <v>1</v>
      </c>
      <c r="B29" s="14" t="s">
        <v>44</v>
      </c>
      <c r="C29" s="43">
        <v>362763</v>
      </c>
      <c r="D29" s="43">
        <v>365994</v>
      </c>
      <c r="E29" s="67">
        <v>217322</v>
      </c>
      <c r="F29" s="18">
        <f t="shared" si="1"/>
        <v>946079</v>
      </c>
      <c r="G29" s="54">
        <v>327784</v>
      </c>
      <c r="H29" s="43">
        <v>298580</v>
      </c>
      <c r="I29" s="43">
        <v>302955</v>
      </c>
      <c r="J29" s="43">
        <v>350431</v>
      </c>
      <c r="K29" s="43">
        <v>286933</v>
      </c>
      <c r="L29" s="43">
        <v>278292</v>
      </c>
      <c r="M29" s="17">
        <v>300365</v>
      </c>
      <c r="N29" s="18">
        <f t="shared" si="2"/>
        <v>2145340</v>
      </c>
      <c r="O29" s="18">
        <f t="shared" si="0"/>
        <v>3091419</v>
      </c>
    </row>
    <row r="30" spans="1:15">
      <c r="A30" s="1" t="s">
        <v>1</v>
      </c>
      <c r="B30" s="19" t="s">
        <v>45</v>
      </c>
      <c r="C30" s="39">
        <v>17340</v>
      </c>
      <c r="D30" s="39">
        <v>18360</v>
      </c>
      <c r="E30" s="64">
        <v>11220</v>
      </c>
      <c r="F30" s="21">
        <f t="shared" si="1"/>
        <v>46920</v>
      </c>
      <c r="G30" s="51">
        <v>17340</v>
      </c>
      <c r="H30" s="39">
        <v>16320</v>
      </c>
      <c r="I30" s="39">
        <v>16320</v>
      </c>
      <c r="J30" s="39">
        <v>17340</v>
      </c>
      <c r="K30" s="39">
        <v>15300</v>
      </c>
      <c r="L30" s="39">
        <v>15300</v>
      </c>
      <c r="M30" s="20">
        <v>15300</v>
      </c>
      <c r="N30" s="21">
        <f t="shared" si="2"/>
        <v>113220</v>
      </c>
      <c r="O30" s="21">
        <f t="shared" si="0"/>
        <v>160140</v>
      </c>
    </row>
    <row r="31" spans="1:15">
      <c r="A31" s="1" t="s">
        <v>1</v>
      </c>
      <c r="B31" s="22" t="s">
        <v>46</v>
      </c>
      <c r="C31" s="40">
        <v>3060</v>
      </c>
      <c r="D31" s="40">
        <v>3240</v>
      </c>
      <c r="E31" s="65">
        <v>0</v>
      </c>
      <c r="F31" s="24">
        <f t="shared" si="1"/>
        <v>6300</v>
      </c>
      <c r="G31" s="52">
        <v>3060</v>
      </c>
      <c r="H31" s="40">
        <v>2880</v>
      </c>
      <c r="I31" s="40">
        <v>2880</v>
      </c>
      <c r="J31" s="40">
        <v>3060</v>
      </c>
      <c r="K31" s="40">
        <v>2700</v>
      </c>
      <c r="L31" s="40">
        <v>2700</v>
      </c>
      <c r="M31" s="23">
        <v>2700</v>
      </c>
      <c r="N31" s="24">
        <f t="shared" si="2"/>
        <v>19980</v>
      </c>
      <c r="O31" s="24">
        <f t="shared" si="0"/>
        <v>26280</v>
      </c>
    </row>
    <row r="32" spans="1:15">
      <c r="A32" s="1" t="s">
        <v>1</v>
      </c>
      <c r="B32" s="22" t="s">
        <v>47</v>
      </c>
      <c r="C32" s="40">
        <v>31110</v>
      </c>
      <c r="D32" s="40">
        <v>32940</v>
      </c>
      <c r="E32" s="65">
        <v>20130</v>
      </c>
      <c r="F32" s="24">
        <f t="shared" si="1"/>
        <v>84180</v>
      </c>
      <c r="G32" s="52">
        <v>31110</v>
      </c>
      <c r="H32" s="40">
        <v>29280</v>
      </c>
      <c r="I32" s="40">
        <v>29280</v>
      </c>
      <c r="J32" s="40">
        <v>31110</v>
      </c>
      <c r="K32" s="40">
        <v>27450</v>
      </c>
      <c r="L32" s="40">
        <v>27450</v>
      </c>
      <c r="M32" s="23">
        <v>27450</v>
      </c>
      <c r="N32" s="24">
        <f t="shared" si="2"/>
        <v>203130</v>
      </c>
      <c r="O32" s="24">
        <f t="shared" si="0"/>
        <v>287310</v>
      </c>
    </row>
    <row r="33" spans="1:15">
      <c r="A33" s="1" t="s">
        <v>1</v>
      </c>
      <c r="B33" s="7" t="s">
        <v>48</v>
      </c>
      <c r="C33" s="41">
        <v>2177</v>
      </c>
      <c r="D33" s="41">
        <v>2196</v>
      </c>
      <c r="E33" s="66">
        <v>1304</v>
      </c>
      <c r="F33" s="11">
        <f t="shared" si="1"/>
        <v>5677</v>
      </c>
      <c r="G33" s="53">
        <v>1967</v>
      </c>
      <c r="H33" s="41">
        <v>1791</v>
      </c>
      <c r="I33" s="41">
        <v>1818</v>
      </c>
      <c r="J33" s="41">
        <v>2103</v>
      </c>
      <c r="K33" s="41">
        <v>1722</v>
      </c>
      <c r="L33" s="41">
        <v>1670</v>
      </c>
      <c r="M33" s="10">
        <v>1802</v>
      </c>
      <c r="N33" s="11">
        <f t="shared" si="2"/>
        <v>12873</v>
      </c>
      <c r="O33" s="11">
        <f t="shared" si="0"/>
        <v>18550</v>
      </c>
    </row>
    <row r="34" spans="1:15">
      <c r="A34" s="1" t="s">
        <v>1</v>
      </c>
      <c r="B34" s="14" t="s">
        <v>49</v>
      </c>
      <c r="C34" s="43">
        <v>53687</v>
      </c>
      <c r="D34" s="43">
        <v>56736</v>
      </c>
      <c r="E34" s="67">
        <v>32654</v>
      </c>
      <c r="F34" s="18">
        <f t="shared" si="1"/>
        <v>143077</v>
      </c>
      <c r="G34" s="54">
        <v>53477</v>
      </c>
      <c r="H34" s="43">
        <v>50271</v>
      </c>
      <c r="I34" s="43">
        <v>50298</v>
      </c>
      <c r="J34" s="43">
        <v>53613</v>
      </c>
      <c r="K34" s="43">
        <v>47172</v>
      </c>
      <c r="L34" s="43">
        <v>47120</v>
      </c>
      <c r="M34" s="17">
        <v>47252</v>
      </c>
      <c r="N34" s="18">
        <f t="shared" si="2"/>
        <v>349203</v>
      </c>
      <c r="O34" s="18">
        <f t="shared" si="0"/>
        <v>492280</v>
      </c>
    </row>
    <row r="35" spans="1:15">
      <c r="A35" s="1" t="s">
        <v>1</v>
      </c>
      <c r="B35" s="19" t="s">
        <v>50</v>
      </c>
      <c r="C35" s="39">
        <v>8570</v>
      </c>
      <c r="D35" s="39">
        <v>8280</v>
      </c>
      <c r="E35" s="64">
        <v>4200</v>
      </c>
      <c r="F35" s="21">
        <f t="shared" si="1"/>
        <v>21050</v>
      </c>
      <c r="G35" s="51">
        <v>3880</v>
      </c>
      <c r="H35" s="39">
        <v>3170</v>
      </c>
      <c r="I35" s="39">
        <v>6560</v>
      </c>
      <c r="J35" s="39">
        <v>7820</v>
      </c>
      <c r="K35" s="39">
        <v>2780</v>
      </c>
      <c r="L35" s="39">
        <v>5620</v>
      </c>
      <c r="M35" s="20">
        <v>5000</v>
      </c>
      <c r="N35" s="21">
        <f t="shared" si="2"/>
        <v>34830</v>
      </c>
      <c r="O35" s="21">
        <f t="shared" si="0"/>
        <v>55880</v>
      </c>
    </row>
    <row r="36" spans="1:15">
      <c r="A36" s="1" t="s">
        <v>1</v>
      </c>
      <c r="B36" s="7" t="s">
        <v>51</v>
      </c>
      <c r="C36" s="41">
        <v>18900</v>
      </c>
      <c r="D36" s="41">
        <v>18400</v>
      </c>
      <c r="E36" s="66">
        <v>8200</v>
      </c>
      <c r="F36" s="11">
        <f t="shared" si="1"/>
        <v>45500</v>
      </c>
      <c r="G36" s="53">
        <v>10200</v>
      </c>
      <c r="H36" s="41">
        <v>7100</v>
      </c>
      <c r="I36" s="41">
        <v>12900</v>
      </c>
      <c r="J36" s="41">
        <v>15300</v>
      </c>
      <c r="K36" s="41">
        <v>5800</v>
      </c>
      <c r="L36" s="41">
        <v>11800</v>
      </c>
      <c r="M36" s="10">
        <v>11000</v>
      </c>
      <c r="N36" s="11">
        <f t="shared" si="2"/>
        <v>74100</v>
      </c>
      <c r="O36" s="11">
        <f t="shared" si="0"/>
        <v>119600</v>
      </c>
    </row>
    <row r="37" spans="1:15">
      <c r="A37" s="1" t="s">
        <v>1</v>
      </c>
      <c r="B37" s="14" t="s">
        <v>52</v>
      </c>
      <c r="C37" s="43">
        <v>81157</v>
      </c>
      <c r="D37" s="43">
        <v>83416</v>
      </c>
      <c r="E37" s="67">
        <v>45054</v>
      </c>
      <c r="F37" s="18">
        <f t="shared" si="1"/>
        <v>209627</v>
      </c>
      <c r="G37" s="54">
        <v>67557</v>
      </c>
      <c r="H37" s="43">
        <v>60541</v>
      </c>
      <c r="I37" s="43">
        <v>69758</v>
      </c>
      <c r="J37" s="43">
        <v>76733</v>
      </c>
      <c r="K37" s="43">
        <v>55752</v>
      </c>
      <c r="L37" s="43">
        <v>64540</v>
      </c>
      <c r="M37" s="17">
        <v>63252</v>
      </c>
      <c r="N37" s="18">
        <f t="shared" si="2"/>
        <v>458133</v>
      </c>
      <c r="O37" s="18">
        <f t="shared" si="0"/>
        <v>667760</v>
      </c>
    </row>
    <row r="38" spans="1:15">
      <c r="A38" s="1" t="s">
        <v>1</v>
      </c>
      <c r="B38" s="14" t="s">
        <v>53</v>
      </c>
      <c r="C38" s="43">
        <v>302377</v>
      </c>
      <c r="D38" s="43">
        <v>298264</v>
      </c>
      <c r="E38" s="67">
        <v>184079</v>
      </c>
      <c r="F38" s="18">
        <f t="shared" si="1"/>
        <v>784720</v>
      </c>
      <c r="G38" s="54">
        <v>265841</v>
      </c>
      <c r="H38" s="43">
        <v>245953</v>
      </c>
      <c r="I38" s="43">
        <v>250203</v>
      </c>
      <c r="J38" s="43">
        <v>285628</v>
      </c>
      <c r="K38" s="43">
        <v>234902</v>
      </c>
      <c r="L38" s="43">
        <v>223810</v>
      </c>
      <c r="M38" s="17">
        <v>251886</v>
      </c>
      <c r="N38" s="18">
        <f t="shared" si="2"/>
        <v>1758223</v>
      </c>
      <c r="O38" s="18">
        <f t="shared" si="0"/>
        <v>2542943</v>
      </c>
    </row>
    <row r="39" spans="1:15">
      <c r="A39" s="1" t="s">
        <v>1</v>
      </c>
      <c r="B39" s="14" t="s">
        <v>54</v>
      </c>
      <c r="C39" s="43">
        <v>281606</v>
      </c>
      <c r="D39" s="43">
        <v>282578</v>
      </c>
      <c r="E39" s="67">
        <v>172268</v>
      </c>
      <c r="F39" s="18">
        <f t="shared" si="1"/>
        <v>736452</v>
      </c>
      <c r="G39" s="54">
        <v>260227</v>
      </c>
      <c r="H39" s="43">
        <v>238039</v>
      </c>
      <c r="I39" s="43">
        <v>233197</v>
      </c>
      <c r="J39" s="43">
        <v>273698</v>
      </c>
      <c r="K39" s="43">
        <v>231181</v>
      </c>
      <c r="L39" s="43">
        <v>213752</v>
      </c>
      <c r="M39" s="17">
        <v>237113</v>
      </c>
      <c r="N39" s="18">
        <f t="shared" si="2"/>
        <v>1687207</v>
      </c>
      <c r="O39" s="18">
        <f t="shared" si="0"/>
        <v>2423659</v>
      </c>
    </row>
    <row r="40" spans="1:15">
      <c r="A40" s="1" t="s">
        <v>1</v>
      </c>
      <c r="B40" s="14" t="s">
        <v>55</v>
      </c>
      <c r="C40" s="43">
        <v>281606</v>
      </c>
      <c r="D40" s="43">
        <v>282578</v>
      </c>
      <c r="E40" s="67">
        <v>172268</v>
      </c>
      <c r="F40" s="18">
        <f t="shared" si="1"/>
        <v>736452</v>
      </c>
      <c r="G40" s="54">
        <v>260227</v>
      </c>
      <c r="H40" s="43">
        <v>238039</v>
      </c>
      <c r="I40" s="43">
        <v>233197</v>
      </c>
      <c r="J40" s="43">
        <v>273698</v>
      </c>
      <c r="K40" s="43">
        <v>231181</v>
      </c>
      <c r="L40" s="43">
        <v>213752</v>
      </c>
      <c r="M40" s="17">
        <v>237113</v>
      </c>
      <c r="N40" s="18">
        <f t="shared" si="2"/>
        <v>1687207</v>
      </c>
      <c r="O40" s="18">
        <f t="shared" si="0"/>
        <v>2423659</v>
      </c>
    </row>
    <row r="41" spans="1:15">
      <c r="A41" s="1" t="s">
        <v>1</v>
      </c>
      <c r="B41" s="14" t="s">
        <v>56</v>
      </c>
      <c r="C41" s="42">
        <v>0</v>
      </c>
      <c r="D41" s="43">
        <v>0</v>
      </c>
      <c r="E41" s="67">
        <v>0</v>
      </c>
      <c r="F41" s="18"/>
      <c r="G41" s="54">
        <v>2</v>
      </c>
      <c r="H41" s="43">
        <v>2</v>
      </c>
      <c r="I41" s="43">
        <v>0</v>
      </c>
      <c r="J41" s="43">
        <v>0</v>
      </c>
      <c r="K41" s="43">
        <v>2</v>
      </c>
      <c r="L41" s="43">
        <v>0</v>
      </c>
      <c r="M41" s="67">
        <v>1</v>
      </c>
      <c r="N41" s="18"/>
      <c r="O41" s="18"/>
    </row>
    <row r="42" spans="1:15" ht="19.5" thickBot="1">
      <c r="A42" s="1" t="s">
        <v>1</v>
      </c>
      <c r="B42" s="12" t="s">
        <v>57</v>
      </c>
      <c r="C42" s="56" t="s">
        <v>58</v>
      </c>
      <c r="D42" s="55" t="s">
        <v>58</v>
      </c>
      <c r="E42" s="68" t="s">
        <v>58</v>
      </c>
      <c r="F42" s="13"/>
      <c r="G42" s="69" t="s">
        <v>58</v>
      </c>
      <c r="H42" s="55" t="s">
        <v>58</v>
      </c>
      <c r="I42" s="55" t="s">
        <v>58</v>
      </c>
      <c r="J42" s="55" t="s">
        <v>58</v>
      </c>
      <c r="K42" s="55" t="s">
        <v>58</v>
      </c>
      <c r="L42" s="55" t="s">
        <v>58</v>
      </c>
      <c r="M42" s="68" t="s">
        <v>58</v>
      </c>
      <c r="N42" s="13"/>
      <c r="O42" s="13"/>
    </row>
  </sheetData>
  <phoneticPr fontId="4"/>
  <pageMargins left="0.31496062992125984" right="0.11811023622047245" top="0.15748031496062992" bottom="0.15748031496062992" header="0.31496062992125984" footer="0.31496062992125984"/>
  <pageSetup paperSize="12" scale="9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 7月度給与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2023-08-08T04:51:53Z</cp:lastPrinted>
  <dcterms:created xsi:type="dcterms:W3CDTF">2023-08-08T04:39:38Z</dcterms:created>
  <dcterms:modified xsi:type="dcterms:W3CDTF">2023-08-08T09:22:50Z</dcterms:modified>
</cp:coreProperties>
</file>