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7\"/>
    </mc:Choice>
  </mc:AlternateContent>
  <xr:revisionPtr revIDLastSave="0" documentId="13_ncr:1_{3AF0E7EB-D9DE-4854-A3DD-E088D93DF416}" xr6:coauthVersionLast="47" xr6:coauthVersionMax="47" xr10:uidLastSave="{00000000-0000-0000-0000-000000000000}"/>
  <bookViews>
    <workbookView xWindow="-120" yWindow="-120" windowWidth="20730" windowHeight="11160" xr2:uid="{0CA5CB95-C7AB-47D7-9068-458D96CDAE73}"/>
  </bookViews>
  <sheets>
    <sheet name="2023年 7月度給与 (2)" sheetId="3" r:id="rId1"/>
  </sheets>
  <definedNames>
    <definedName name="_xlnm.Print_Area" localSheetId="0">'2023年 7月度給与 (2)'!$A$1:$K$44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3" l="1"/>
  <c r="K13" i="3"/>
  <c r="K17" i="3"/>
  <c r="K21" i="3"/>
  <c r="K25" i="3"/>
  <c r="K29" i="3"/>
  <c r="K33" i="3"/>
  <c r="K37" i="3"/>
  <c r="K41" i="3"/>
  <c r="J7" i="3"/>
  <c r="K7" i="3" s="1"/>
  <c r="J8" i="3"/>
  <c r="K8" i="3" s="1"/>
  <c r="J9" i="3"/>
  <c r="J10" i="3"/>
  <c r="K10" i="3" s="1"/>
  <c r="J11" i="3"/>
  <c r="K11" i="3" s="1"/>
  <c r="J12" i="3"/>
  <c r="K12" i="3" s="1"/>
  <c r="J13" i="3"/>
  <c r="J14" i="3"/>
  <c r="K14" i="3" s="1"/>
  <c r="J15" i="3"/>
  <c r="K15" i="3" s="1"/>
  <c r="J16" i="3"/>
  <c r="K16" i="3" s="1"/>
  <c r="J17" i="3"/>
  <c r="J18" i="3"/>
  <c r="K18" i="3" s="1"/>
  <c r="J19" i="3"/>
  <c r="K19" i="3" s="1"/>
  <c r="J20" i="3"/>
  <c r="K20" i="3" s="1"/>
  <c r="J21" i="3"/>
  <c r="J22" i="3"/>
  <c r="K22" i="3" s="1"/>
  <c r="J23" i="3"/>
  <c r="K23" i="3" s="1"/>
  <c r="J24" i="3"/>
  <c r="K24" i="3" s="1"/>
  <c r="J25" i="3"/>
  <c r="J26" i="3"/>
  <c r="K26" i="3" s="1"/>
  <c r="J27" i="3"/>
  <c r="K27" i="3" s="1"/>
  <c r="J28" i="3"/>
  <c r="K28" i="3" s="1"/>
  <c r="J29" i="3"/>
  <c r="J30" i="3"/>
  <c r="K30" i="3" s="1"/>
  <c r="J31" i="3"/>
  <c r="K31" i="3" s="1"/>
  <c r="J32" i="3"/>
  <c r="K32" i="3" s="1"/>
  <c r="J33" i="3"/>
  <c r="J34" i="3"/>
  <c r="K34" i="3" s="1"/>
  <c r="J35" i="3"/>
  <c r="K35" i="3" s="1"/>
  <c r="J36" i="3"/>
  <c r="K36" i="3" s="1"/>
  <c r="J37" i="3"/>
  <c r="J38" i="3"/>
  <c r="K38" i="3" s="1"/>
  <c r="J39" i="3"/>
  <c r="K39" i="3" s="1"/>
  <c r="J40" i="3"/>
  <c r="K40" i="3" s="1"/>
  <c r="J41" i="3"/>
  <c r="J42" i="3"/>
  <c r="K42" i="3" s="1"/>
  <c r="J6" i="3"/>
  <c r="K6" i="3" s="1"/>
  <c r="J5" i="3"/>
  <c r="K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6" i="3"/>
  <c r="E5" i="3"/>
</calcChain>
</file>

<file path=xl/sharedStrings.xml><?xml version="1.0" encoding="utf-8"?>
<sst xmlns="http://schemas.openxmlformats.org/spreadsheetml/2006/main" count="107" uniqueCount="59">
  <si>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</si>
  <si>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</si>
  <si>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</si>
  <si>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</si>
  <si>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</si>
  <si>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</si>
  <si>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</si>
  <si>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</si>
  <si>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</si>
  <si>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</si>
  <si>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</si>
  <si>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</si>
  <si>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</si>
  <si>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</si>
  <si>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</si>
  <si>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</si>
  <si>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</si>
  <si>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</si>
  <si>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</si>
  <si>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特別休暇日数</t>
    <phoneticPr fontId="4"/>
  </si>
  <si>
    <t>就労時間</t>
    <phoneticPr fontId="4"/>
  </si>
  <si>
    <t>平日残業</t>
    <phoneticPr fontId="4"/>
  </si>
  <si>
    <t>法定休日時間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</si>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</sst>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0" fontId="2" fillId="0" borderId="3" xfId="1" applyFont="1" applyBorder="1" applyAlignment="1">
      <alignment horizontal="right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D62521ED-0CDC-4048-8D42-59751B471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1FEB-977B-4C67-A343-FAAACAC9AB16}">
  <sheetPr>
    <pageSetUpPr fitToPage="1"/>
  </sheetPr>
  <dimension ref="A1:K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11" width="11.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54</v>
      </c>
    </row>
    <row r="3" spans="1:11">
      <c r="B3" s="4"/>
      <c r="C3" s="33" t="s">
        <v>5</v>
      </c>
      <c r="D3" s="56" t="s">
        <v>7</v>
      </c>
      <c r="E3" s="58" t="s">
        <v>55</v>
      </c>
      <c r="F3" s="32" t="s">
        <v>2</v>
      </c>
      <c r="G3" s="33" t="s">
        <v>3</v>
      </c>
      <c r="H3" s="33" t="s">
        <v>4</v>
      </c>
      <c r="I3" s="60" t="s">
        <v>6</v>
      </c>
      <c r="J3" s="58" t="s">
        <v>55</v>
      </c>
      <c r="K3" s="72" t="s">
        <v>15</v>
      </c>
    </row>
    <row r="4" spans="1:11" ht="19.5" thickBot="1">
      <c r="B4" s="5" t="s">
        <v>8</v>
      </c>
      <c r="C4" s="35" t="s">
        <v>12</v>
      </c>
      <c r="D4" s="3" t="s">
        <v>14</v>
      </c>
      <c r="E4" s="59" t="s">
        <v>56</v>
      </c>
      <c r="F4" s="34" t="s">
        <v>9</v>
      </c>
      <c r="G4" s="35" t="s">
        <v>10</v>
      </c>
      <c r="H4" s="35" t="s">
        <v>11</v>
      </c>
      <c r="I4" s="61" t="s">
        <v>13</v>
      </c>
      <c r="J4" s="59" t="s">
        <v>57</v>
      </c>
      <c r="K4" s="57" t="s">
        <v>58</v>
      </c>
    </row>
    <row r="5" spans="1:11">
      <c r="A5" s="1" t="s">
        <v>1</v>
      </c>
      <c r="B5" s="19" t="s">
        <v>16</v>
      </c>
      <c r="C5" s="37">
        <v>21</v>
      </c>
      <c r="D5" s="20">
        <v>14</v>
      </c>
      <c r="E5" s="21">
        <f>SUM(C5:D5)</f>
        <v>35</v>
      </c>
      <c r="F5" s="36">
        <v>21</v>
      </c>
      <c r="G5" s="37">
        <v>20</v>
      </c>
      <c r="H5" s="37">
        <v>20</v>
      </c>
      <c r="I5" s="62">
        <v>21</v>
      </c>
      <c r="J5" s="21">
        <f>SUM(F5:I5)</f>
        <v>82</v>
      </c>
      <c r="K5" s="21">
        <f>SUM(J5,E5)</f>
        <v>117</v>
      </c>
    </row>
    <row r="6" spans="1:11">
      <c r="A6" s="1" t="s">
        <v>1</v>
      </c>
      <c r="B6" s="22" t="s">
        <v>17</v>
      </c>
      <c r="C6" s="39">
        <v>0</v>
      </c>
      <c r="D6" s="23">
        <v>0</v>
      </c>
      <c r="E6" s="24">
        <f>SUM(C6:D6)</f>
        <v>0</v>
      </c>
      <c r="F6" s="38">
        <v>1</v>
      </c>
      <c r="G6" s="39">
        <v>1</v>
      </c>
      <c r="H6" s="39">
        <v>1</v>
      </c>
      <c r="I6" s="63">
        <v>0</v>
      </c>
      <c r="J6" s="24">
        <f>SUM(F6:I6)</f>
        <v>3</v>
      </c>
      <c r="K6" s="24">
        <f t="shared" ref="K6:K42" si="0">SUM(J6,E6)</f>
        <v>3</v>
      </c>
    </row>
    <row r="7" spans="1:11">
      <c r="A7" s="1" t="s">
        <v>1</v>
      </c>
      <c r="B7" s="22" t="s">
        <v>18</v>
      </c>
      <c r="C7" s="39">
        <v>0</v>
      </c>
      <c r="D7" s="23">
        <v>5</v>
      </c>
      <c r="E7" s="24">
        <f t="shared" ref="E7:E42" si="1">SUM(C7:D7)</f>
        <v>5</v>
      </c>
      <c r="F7" s="38">
        <v>0</v>
      </c>
      <c r="G7" s="39">
        <v>0</v>
      </c>
      <c r="H7" s="39">
        <v>1</v>
      </c>
      <c r="I7" s="63">
        <v>0</v>
      </c>
      <c r="J7" s="24">
        <f t="shared" ref="J7:J42" si="2">SUM(F7:I7)</f>
        <v>1</v>
      </c>
      <c r="K7" s="24">
        <f t="shared" si="0"/>
        <v>6</v>
      </c>
    </row>
    <row r="8" spans="1:11">
      <c r="A8" s="1" t="s">
        <v>1</v>
      </c>
      <c r="B8" s="22" t="s">
        <v>19</v>
      </c>
      <c r="C8" s="39">
        <v>0</v>
      </c>
      <c r="D8" s="23">
        <v>0</v>
      </c>
      <c r="E8" s="24">
        <f t="shared" si="1"/>
        <v>0</v>
      </c>
      <c r="F8" s="38">
        <v>0</v>
      </c>
      <c r="G8" s="39">
        <v>1</v>
      </c>
      <c r="H8" s="39">
        <v>0</v>
      </c>
      <c r="I8" s="63">
        <v>0</v>
      </c>
      <c r="J8" s="24">
        <f t="shared" si="2"/>
        <v>1</v>
      </c>
      <c r="K8" s="24">
        <f t="shared" si="0"/>
        <v>1</v>
      </c>
    </row>
    <row r="9" spans="1:11">
      <c r="A9" s="1" t="s">
        <v>1</v>
      </c>
      <c r="B9" s="22" t="s">
        <v>20</v>
      </c>
      <c r="C9" s="41">
        <v>0</v>
      </c>
      <c r="D9" s="25">
        <v>2.5</v>
      </c>
      <c r="E9" s="26">
        <f t="shared" si="1"/>
        <v>2.5</v>
      </c>
      <c r="F9" s="40">
        <v>0</v>
      </c>
      <c r="G9" s="41">
        <v>0</v>
      </c>
      <c r="H9" s="41">
        <v>0</v>
      </c>
      <c r="I9" s="64">
        <v>0</v>
      </c>
      <c r="J9" s="26">
        <f t="shared" si="2"/>
        <v>0</v>
      </c>
      <c r="K9" s="26">
        <f t="shared" si="0"/>
        <v>2.5</v>
      </c>
    </row>
    <row r="10" spans="1:11">
      <c r="A10" s="1" t="s">
        <v>1</v>
      </c>
      <c r="B10" s="22" t="s">
        <v>21</v>
      </c>
      <c r="C10" s="41">
        <v>0</v>
      </c>
      <c r="D10" s="25">
        <v>0</v>
      </c>
      <c r="E10" s="26">
        <f t="shared" si="1"/>
        <v>0</v>
      </c>
      <c r="F10" s="40">
        <v>1.9166666666666665</v>
      </c>
      <c r="G10" s="41">
        <v>2.625</v>
      </c>
      <c r="H10" s="41">
        <v>2.4166666666666665</v>
      </c>
      <c r="I10" s="64">
        <v>1.75</v>
      </c>
      <c r="J10" s="26">
        <f t="shared" si="2"/>
        <v>8.7083333333333321</v>
      </c>
      <c r="K10" s="26">
        <f t="shared" si="0"/>
        <v>8.7083333333333321</v>
      </c>
    </row>
    <row r="11" spans="1:11">
      <c r="A11" s="1" t="s">
        <v>1</v>
      </c>
      <c r="B11" s="22" t="s">
        <v>22</v>
      </c>
      <c r="C11" s="41">
        <v>0</v>
      </c>
      <c r="D11" s="25">
        <v>0</v>
      </c>
      <c r="E11" s="26">
        <f t="shared" si="1"/>
        <v>0</v>
      </c>
      <c r="F11" s="40">
        <v>8.3333333333333329E-2</v>
      </c>
      <c r="G11" s="41">
        <v>8.3333333333333329E-2</v>
      </c>
      <c r="H11" s="41">
        <v>8.3333333333333329E-2</v>
      </c>
      <c r="I11" s="64">
        <v>0</v>
      </c>
      <c r="J11" s="26">
        <f t="shared" si="2"/>
        <v>0.25</v>
      </c>
      <c r="K11" s="26">
        <f t="shared" si="0"/>
        <v>0.25</v>
      </c>
    </row>
    <row r="12" spans="1:11">
      <c r="A12" s="1" t="s">
        <v>1</v>
      </c>
      <c r="B12" s="22" t="s">
        <v>23</v>
      </c>
      <c r="C12" s="41">
        <v>0</v>
      </c>
      <c r="D12" s="25">
        <v>0</v>
      </c>
      <c r="E12" s="26">
        <f t="shared" si="1"/>
        <v>0</v>
      </c>
      <c r="F12" s="40">
        <v>0</v>
      </c>
      <c r="G12" s="41">
        <v>0.125</v>
      </c>
      <c r="H12" s="41">
        <v>0</v>
      </c>
      <c r="I12" s="64">
        <v>0</v>
      </c>
      <c r="J12" s="26">
        <f t="shared" si="2"/>
        <v>0.125</v>
      </c>
      <c r="K12" s="26">
        <f t="shared" si="0"/>
        <v>0.125</v>
      </c>
    </row>
    <row r="13" spans="1:11">
      <c r="A13" s="1" t="s">
        <v>1</v>
      </c>
      <c r="B13" s="22" t="s">
        <v>24</v>
      </c>
      <c r="C13" s="41">
        <v>0</v>
      </c>
      <c r="D13" s="25">
        <v>0.83333333333333337</v>
      </c>
      <c r="E13" s="26">
        <f t="shared" si="1"/>
        <v>0.83333333333333337</v>
      </c>
      <c r="F13" s="40">
        <v>0</v>
      </c>
      <c r="G13" s="41">
        <v>0</v>
      </c>
      <c r="H13" s="41">
        <v>0</v>
      </c>
      <c r="I13" s="64">
        <v>0</v>
      </c>
      <c r="J13" s="26">
        <f t="shared" si="2"/>
        <v>0</v>
      </c>
      <c r="K13" s="26">
        <f t="shared" si="0"/>
        <v>0.83333333333333337</v>
      </c>
    </row>
    <row r="14" spans="1:11">
      <c r="A14" s="1" t="s">
        <v>1</v>
      </c>
      <c r="B14" s="6" t="s">
        <v>25</v>
      </c>
      <c r="C14" s="43">
        <v>8.3333333333333329E-2</v>
      </c>
      <c r="D14" s="7">
        <v>0</v>
      </c>
      <c r="E14" s="8">
        <f t="shared" si="1"/>
        <v>8.3333333333333329E-2</v>
      </c>
      <c r="F14" s="42">
        <v>0.16666666666666666</v>
      </c>
      <c r="G14" s="43">
        <v>4.1666666666666664E-2</v>
      </c>
      <c r="H14" s="43">
        <v>4.1666666666666664E-2</v>
      </c>
      <c r="I14" s="65">
        <v>0.125</v>
      </c>
      <c r="J14" s="8">
        <f t="shared" si="2"/>
        <v>0.375</v>
      </c>
      <c r="K14" s="8">
        <f t="shared" si="0"/>
        <v>0.45833333333333331</v>
      </c>
    </row>
    <row r="15" spans="1:11">
      <c r="A15" s="1" t="s">
        <v>1</v>
      </c>
      <c r="B15" s="14" t="s">
        <v>26</v>
      </c>
      <c r="C15" s="45">
        <v>34</v>
      </c>
      <c r="D15" s="15">
        <v>15</v>
      </c>
      <c r="E15" s="16">
        <f t="shared" si="1"/>
        <v>49</v>
      </c>
      <c r="F15" s="44">
        <v>36</v>
      </c>
      <c r="G15" s="45">
        <v>39</v>
      </c>
      <c r="H15" s="45">
        <v>27</v>
      </c>
      <c r="I15" s="66">
        <v>17</v>
      </c>
      <c r="J15" s="16">
        <f t="shared" si="2"/>
        <v>119</v>
      </c>
      <c r="K15" s="16">
        <f t="shared" si="0"/>
        <v>168</v>
      </c>
    </row>
    <row r="16" spans="1:11">
      <c r="A16" s="1" t="s">
        <v>1</v>
      </c>
      <c r="B16" s="27" t="s">
        <v>27</v>
      </c>
      <c r="C16" s="47">
        <v>355000</v>
      </c>
      <c r="D16" s="28">
        <v>0</v>
      </c>
      <c r="E16" s="29">
        <f t="shared" si="1"/>
        <v>355000</v>
      </c>
      <c r="F16" s="46">
        <v>182000</v>
      </c>
      <c r="G16" s="47">
        <v>192000</v>
      </c>
      <c r="H16" s="47">
        <v>177000</v>
      </c>
      <c r="I16" s="67">
        <v>182000</v>
      </c>
      <c r="J16" s="29">
        <f t="shared" si="2"/>
        <v>733000</v>
      </c>
      <c r="K16" s="29">
        <f t="shared" si="0"/>
        <v>1088000</v>
      </c>
    </row>
    <row r="17" spans="1:11">
      <c r="A17" s="1" t="s">
        <v>1</v>
      </c>
      <c r="B17" s="22" t="s">
        <v>28</v>
      </c>
      <c r="C17" s="49">
        <v>0</v>
      </c>
      <c r="D17" s="30">
        <v>0</v>
      </c>
      <c r="E17" s="31">
        <f t="shared" si="1"/>
        <v>0</v>
      </c>
      <c r="F17" s="48">
        <v>5000</v>
      </c>
      <c r="G17" s="49">
        <v>0</v>
      </c>
      <c r="H17" s="49">
        <v>5000</v>
      </c>
      <c r="I17" s="68">
        <v>0</v>
      </c>
      <c r="J17" s="31">
        <f t="shared" si="2"/>
        <v>10000</v>
      </c>
      <c r="K17" s="31">
        <f t="shared" si="0"/>
        <v>10000</v>
      </c>
    </row>
    <row r="18" spans="1:11">
      <c r="A18" s="1" t="s">
        <v>1</v>
      </c>
      <c r="B18" s="22" t="s">
        <v>29</v>
      </c>
      <c r="C18" s="49">
        <v>0</v>
      </c>
      <c r="D18" s="30">
        <v>0</v>
      </c>
      <c r="E18" s="31">
        <f t="shared" si="1"/>
        <v>0</v>
      </c>
      <c r="F18" s="48">
        <v>3000</v>
      </c>
      <c r="G18" s="49">
        <v>3000</v>
      </c>
      <c r="H18" s="49">
        <v>6000</v>
      </c>
      <c r="I18" s="68">
        <v>0</v>
      </c>
      <c r="J18" s="31">
        <f t="shared" si="2"/>
        <v>12000</v>
      </c>
      <c r="K18" s="31">
        <f t="shared" si="0"/>
        <v>12000</v>
      </c>
    </row>
    <row r="19" spans="1:11">
      <c r="A19" s="1" t="s">
        <v>1</v>
      </c>
      <c r="B19" s="22" t="s">
        <v>30</v>
      </c>
      <c r="C19" s="49">
        <v>50000</v>
      </c>
      <c r="D19" s="30">
        <v>0</v>
      </c>
      <c r="E19" s="31">
        <f t="shared" si="1"/>
        <v>50000</v>
      </c>
      <c r="F19" s="48">
        <v>50000</v>
      </c>
      <c r="G19" s="49">
        <v>50000</v>
      </c>
      <c r="H19" s="49">
        <v>50000</v>
      </c>
      <c r="I19" s="68">
        <v>50000</v>
      </c>
      <c r="J19" s="31">
        <f t="shared" si="2"/>
        <v>200000</v>
      </c>
      <c r="K19" s="31">
        <f t="shared" si="0"/>
        <v>250000</v>
      </c>
    </row>
    <row r="20" spans="1:11">
      <c r="A20" s="1" t="s">
        <v>1</v>
      </c>
      <c r="B20" s="22" t="s">
        <v>31</v>
      </c>
      <c r="C20" s="49">
        <v>0</v>
      </c>
      <c r="D20" s="30">
        <v>64800</v>
      </c>
      <c r="E20" s="31">
        <f t="shared" si="1"/>
        <v>64800</v>
      </c>
      <c r="F20" s="48">
        <v>0</v>
      </c>
      <c r="G20" s="49">
        <v>0</v>
      </c>
      <c r="H20" s="49">
        <v>0</v>
      </c>
      <c r="I20" s="68">
        <v>0</v>
      </c>
      <c r="J20" s="31">
        <f t="shared" si="2"/>
        <v>0</v>
      </c>
      <c r="K20" s="31">
        <f t="shared" si="0"/>
        <v>64800</v>
      </c>
    </row>
    <row r="21" spans="1:11">
      <c r="A21" s="1" t="s">
        <v>1</v>
      </c>
      <c r="B21" s="22" t="s">
        <v>32</v>
      </c>
      <c r="C21" s="49">
        <v>0</v>
      </c>
      <c r="D21" s="30">
        <v>0</v>
      </c>
      <c r="E21" s="31">
        <f t="shared" si="1"/>
        <v>0</v>
      </c>
      <c r="F21" s="48">
        <v>2000</v>
      </c>
      <c r="G21" s="49">
        <v>2000</v>
      </c>
      <c r="H21" s="49">
        <v>0</v>
      </c>
      <c r="I21" s="68">
        <v>2000</v>
      </c>
      <c r="J21" s="31">
        <f t="shared" si="2"/>
        <v>6000</v>
      </c>
      <c r="K21" s="31">
        <f t="shared" si="0"/>
        <v>6000</v>
      </c>
    </row>
    <row r="22" spans="1:11">
      <c r="A22" s="1" t="s">
        <v>1</v>
      </c>
      <c r="B22" s="22" t="s">
        <v>33</v>
      </c>
      <c r="C22" s="49">
        <v>0</v>
      </c>
      <c r="D22" s="30">
        <v>21600</v>
      </c>
      <c r="E22" s="31">
        <f t="shared" si="1"/>
        <v>21600</v>
      </c>
      <c r="F22" s="48">
        <v>0</v>
      </c>
      <c r="G22" s="49">
        <v>0</v>
      </c>
      <c r="H22" s="49">
        <v>0</v>
      </c>
      <c r="I22" s="68">
        <v>0</v>
      </c>
      <c r="J22" s="31">
        <f t="shared" si="2"/>
        <v>0</v>
      </c>
      <c r="K22" s="31">
        <f t="shared" si="0"/>
        <v>21600</v>
      </c>
    </row>
    <row r="23" spans="1:11">
      <c r="A23" s="1" t="s">
        <v>1</v>
      </c>
      <c r="B23" s="22" t="s">
        <v>34</v>
      </c>
      <c r="C23" s="49">
        <v>0</v>
      </c>
      <c r="D23" s="30">
        <v>0</v>
      </c>
      <c r="E23" s="31">
        <f t="shared" si="1"/>
        <v>0</v>
      </c>
      <c r="F23" s="48">
        <v>0</v>
      </c>
      <c r="G23" s="49">
        <v>13000</v>
      </c>
      <c r="H23" s="49">
        <v>15000</v>
      </c>
      <c r="I23" s="68">
        <v>13000</v>
      </c>
      <c r="J23" s="31">
        <f t="shared" si="2"/>
        <v>41000</v>
      </c>
      <c r="K23" s="31">
        <f t="shared" si="0"/>
        <v>41000</v>
      </c>
    </row>
    <row r="24" spans="1:11">
      <c r="A24" s="1" t="s">
        <v>1</v>
      </c>
      <c r="B24" s="22" t="s">
        <v>21</v>
      </c>
      <c r="C24" s="49">
        <v>0</v>
      </c>
      <c r="D24" s="30">
        <v>0</v>
      </c>
      <c r="E24" s="31">
        <f t="shared" si="1"/>
        <v>0</v>
      </c>
      <c r="F24" s="48">
        <v>83306</v>
      </c>
      <c r="G24" s="49">
        <v>122598</v>
      </c>
      <c r="H24" s="49">
        <v>109852</v>
      </c>
      <c r="I24" s="68">
        <v>77658</v>
      </c>
      <c r="J24" s="31">
        <f t="shared" si="2"/>
        <v>393414</v>
      </c>
      <c r="K24" s="31">
        <f t="shared" si="0"/>
        <v>393414</v>
      </c>
    </row>
    <row r="25" spans="1:11">
      <c r="A25" s="1" t="s">
        <v>1</v>
      </c>
      <c r="B25" s="22" t="s">
        <v>35</v>
      </c>
      <c r="C25" s="49">
        <v>0</v>
      </c>
      <c r="D25" s="30">
        <v>0</v>
      </c>
      <c r="E25" s="31">
        <f t="shared" si="1"/>
        <v>0</v>
      </c>
      <c r="F25" s="48">
        <v>3912</v>
      </c>
      <c r="G25" s="49">
        <v>4204</v>
      </c>
      <c r="H25" s="49">
        <v>4090</v>
      </c>
      <c r="I25" s="68">
        <v>0</v>
      </c>
      <c r="J25" s="31">
        <f t="shared" si="2"/>
        <v>12206</v>
      </c>
      <c r="K25" s="31">
        <f t="shared" si="0"/>
        <v>12206</v>
      </c>
    </row>
    <row r="26" spans="1:11">
      <c r="A26" s="1" t="s">
        <v>1</v>
      </c>
      <c r="B26" s="22" t="s">
        <v>23</v>
      </c>
      <c r="C26" s="49">
        <v>0</v>
      </c>
      <c r="D26" s="30">
        <v>0</v>
      </c>
      <c r="E26" s="31">
        <f t="shared" si="1"/>
        <v>0</v>
      </c>
      <c r="F26" s="48">
        <v>0</v>
      </c>
      <c r="G26" s="49">
        <v>1167</v>
      </c>
      <c r="H26" s="49">
        <v>0</v>
      </c>
      <c r="I26" s="68">
        <v>0</v>
      </c>
      <c r="J26" s="31">
        <f t="shared" si="2"/>
        <v>1167</v>
      </c>
      <c r="K26" s="31">
        <f t="shared" si="0"/>
        <v>1167</v>
      </c>
    </row>
    <row r="27" spans="1:11">
      <c r="A27" s="1" t="s">
        <v>1</v>
      </c>
      <c r="B27" s="6" t="s">
        <v>25</v>
      </c>
      <c r="C27" s="51">
        <v>1212</v>
      </c>
      <c r="D27" s="9">
        <v>0</v>
      </c>
      <c r="E27" s="10">
        <f t="shared" si="1"/>
        <v>1212</v>
      </c>
      <c r="F27" s="50">
        <v>1448</v>
      </c>
      <c r="G27" s="51">
        <v>389</v>
      </c>
      <c r="H27" s="51">
        <v>379</v>
      </c>
      <c r="I27" s="69">
        <v>1110</v>
      </c>
      <c r="J27" s="10">
        <f t="shared" si="2"/>
        <v>3326</v>
      </c>
      <c r="K27" s="10">
        <f t="shared" si="0"/>
        <v>4538</v>
      </c>
    </row>
    <row r="28" spans="1:11">
      <c r="A28" s="1" t="s">
        <v>1</v>
      </c>
      <c r="B28" s="14" t="s">
        <v>36</v>
      </c>
      <c r="C28" s="53">
        <v>406212</v>
      </c>
      <c r="D28" s="17">
        <v>86400</v>
      </c>
      <c r="E28" s="18">
        <f t="shared" si="1"/>
        <v>492612</v>
      </c>
      <c r="F28" s="52">
        <v>330666</v>
      </c>
      <c r="G28" s="53">
        <v>388358</v>
      </c>
      <c r="H28" s="53">
        <v>367321</v>
      </c>
      <c r="I28" s="70">
        <v>325768</v>
      </c>
      <c r="J28" s="18">
        <f t="shared" si="2"/>
        <v>1412113</v>
      </c>
      <c r="K28" s="18">
        <f t="shared" si="0"/>
        <v>1904725</v>
      </c>
    </row>
    <row r="29" spans="1:11">
      <c r="A29" s="1" t="s">
        <v>1</v>
      </c>
      <c r="B29" s="27" t="s">
        <v>37</v>
      </c>
      <c r="C29" s="47">
        <v>10393</v>
      </c>
      <c r="D29" s="28">
        <v>0</v>
      </c>
      <c r="E29" s="29">
        <f t="shared" si="1"/>
        <v>10393</v>
      </c>
      <c r="F29" s="46">
        <v>6540</v>
      </c>
      <c r="G29" s="47">
        <v>1567</v>
      </c>
      <c r="H29" s="47">
        <v>3641</v>
      </c>
      <c r="I29" s="67">
        <v>0</v>
      </c>
      <c r="J29" s="29">
        <f t="shared" si="2"/>
        <v>11748</v>
      </c>
      <c r="K29" s="29">
        <f t="shared" si="0"/>
        <v>22141</v>
      </c>
    </row>
    <row r="30" spans="1:11">
      <c r="A30" s="1" t="s">
        <v>1</v>
      </c>
      <c r="B30" s="6" t="s">
        <v>38</v>
      </c>
      <c r="C30" s="51">
        <v>10393</v>
      </c>
      <c r="D30" s="9">
        <v>0</v>
      </c>
      <c r="E30" s="10">
        <f t="shared" si="1"/>
        <v>10393</v>
      </c>
      <c r="F30" s="50">
        <v>6540</v>
      </c>
      <c r="G30" s="51">
        <v>1567</v>
      </c>
      <c r="H30" s="51">
        <v>3641</v>
      </c>
      <c r="I30" s="69">
        <v>0</v>
      </c>
      <c r="J30" s="10">
        <f t="shared" si="2"/>
        <v>11748</v>
      </c>
      <c r="K30" s="10">
        <f t="shared" si="0"/>
        <v>22141</v>
      </c>
    </row>
    <row r="31" spans="1:11">
      <c r="A31" s="1" t="s">
        <v>1</v>
      </c>
      <c r="B31" s="14" t="s">
        <v>39</v>
      </c>
      <c r="C31" s="53">
        <v>416605</v>
      </c>
      <c r="D31" s="17">
        <v>86400</v>
      </c>
      <c r="E31" s="18">
        <f t="shared" si="1"/>
        <v>503005</v>
      </c>
      <c r="F31" s="52">
        <v>337206</v>
      </c>
      <c r="G31" s="53">
        <v>389925</v>
      </c>
      <c r="H31" s="53">
        <v>370962</v>
      </c>
      <c r="I31" s="70">
        <v>325768</v>
      </c>
      <c r="J31" s="18">
        <f t="shared" si="2"/>
        <v>1423861</v>
      </c>
      <c r="K31" s="18">
        <f t="shared" si="0"/>
        <v>1926866</v>
      </c>
    </row>
    <row r="32" spans="1:11">
      <c r="A32" s="1" t="s">
        <v>1</v>
      </c>
      <c r="B32" s="27" t="s">
        <v>40</v>
      </c>
      <c r="C32" s="47">
        <v>20910</v>
      </c>
      <c r="D32" s="28">
        <v>0</v>
      </c>
      <c r="E32" s="29">
        <f t="shared" si="1"/>
        <v>20910</v>
      </c>
      <c r="F32" s="46">
        <v>17340</v>
      </c>
      <c r="G32" s="47">
        <v>22440</v>
      </c>
      <c r="H32" s="47">
        <v>18360</v>
      </c>
      <c r="I32" s="67">
        <v>18360</v>
      </c>
      <c r="J32" s="29">
        <f t="shared" si="2"/>
        <v>76500</v>
      </c>
      <c r="K32" s="29">
        <f t="shared" si="0"/>
        <v>97410</v>
      </c>
    </row>
    <row r="33" spans="1:11">
      <c r="A33" s="1" t="s">
        <v>1</v>
      </c>
      <c r="B33" s="22" t="s">
        <v>41</v>
      </c>
      <c r="C33" s="49">
        <v>3690</v>
      </c>
      <c r="D33" s="30">
        <v>0</v>
      </c>
      <c r="E33" s="31">
        <f t="shared" si="1"/>
        <v>3690</v>
      </c>
      <c r="F33" s="48">
        <v>3060</v>
      </c>
      <c r="G33" s="49">
        <v>3960</v>
      </c>
      <c r="H33" s="49">
        <v>3240</v>
      </c>
      <c r="I33" s="68">
        <v>3240</v>
      </c>
      <c r="J33" s="31">
        <f t="shared" si="2"/>
        <v>13500</v>
      </c>
      <c r="K33" s="31">
        <f t="shared" si="0"/>
        <v>17190</v>
      </c>
    </row>
    <row r="34" spans="1:11">
      <c r="A34" s="1" t="s">
        <v>1</v>
      </c>
      <c r="B34" s="22" t="s">
        <v>42</v>
      </c>
      <c r="C34" s="49">
        <v>37515</v>
      </c>
      <c r="D34" s="30">
        <v>0</v>
      </c>
      <c r="E34" s="31">
        <f t="shared" si="1"/>
        <v>37515</v>
      </c>
      <c r="F34" s="48">
        <v>31110</v>
      </c>
      <c r="G34" s="49">
        <v>40260</v>
      </c>
      <c r="H34" s="49">
        <v>32940</v>
      </c>
      <c r="I34" s="68">
        <v>32940</v>
      </c>
      <c r="J34" s="31">
        <f t="shared" si="2"/>
        <v>137250</v>
      </c>
      <c r="K34" s="31">
        <f t="shared" si="0"/>
        <v>174765</v>
      </c>
    </row>
    <row r="35" spans="1:11">
      <c r="A35" s="1" t="s">
        <v>1</v>
      </c>
      <c r="B35" s="6" t="s">
        <v>43</v>
      </c>
      <c r="C35" s="51">
        <v>2500</v>
      </c>
      <c r="D35" s="9">
        <v>518</v>
      </c>
      <c r="E35" s="10">
        <f t="shared" si="1"/>
        <v>3018</v>
      </c>
      <c r="F35" s="50">
        <v>2023</v>
      </c>
      <c r="G35" s="51">
        <v>2340</v>
      </c>
      <c r="H35" s="51">
        <v>2226</v>
      </c>
      <c r="I35" s="69">
        <v>1955</v>
      </c>
      <c r="J35" s="10">
        <f t="shared" si="2"/>
        <v>8544</v>
      </c>
      <c r="K35" s="10">
        <f t="shared" si="0"/>
        <v>11562</v>
      </c>
    </row>
    <row r="36" spans="1:11">
      <c r="A36" s="1" t="s">
        <v>1</v>
      </c>
      <c r="B36" s="14" t="s">
        <v>44</v>
      </c>
      <c r="C36" s="53">
        <v>64615</v>
      </c>
      <c r="D36" s="17">
        <v>518</v>
      </c>
      <c r="E36" s="18">
        <f t="shared" si="1"/>
        <v>65133</v>
      </c>
      <c r="F36" s="52">
        <v>53533</v>
      </c>
      <c r="G36" s="53">
        <v>69000</v>
      </c>
      <c r="H36" s="53">
        <v>56766</v>
      </c>
      <c r="I36" s="70">
        <v>56495</v>
      </c>
      <c r="J36" s="18">
        <f t="shared" si="2"/>
        <v>235794</v>
      </c>
      <c r="K36" s="18">
        <f t="shared" si="0"/>
        <v>300927</v>
      </c>
    </row>
    <row r="37" spans="1:11">
      <c r="A37" s="1" t="s">
        <v>1</v>
      </c>
      <c r="B37" s="27" t="s">
        <v>45</v>
      </c>
      <c r="C37" s="47">
        <v>8540</v>
      </c>
      <c r="D37" s="28">
        <v>0</v>
      </c>
      <c r="E37" s="29">
        <f t="shared" si="1"/>
        <v>8540</v>
      </c>
      <c r="F37" s="46">
        <v>5900</v>
      </c>
      <c r="G37" s="47">
        <v>9960</v>
      </c>
      <c r="H37" s="47">
        <v>7150</v>
      </c>
      <c r="I37" s="67">
        <v>5620</v>
      </c>
      <c r="J37" s="29">
        <f t="shared" si="2"/>
        <v>28630</v>
      </c>
      <c r="K37" s="29">
        <f t="shared" si="0"/>
        <v>37170</v>
      </c>
    </row>
    <row r="38" spans="1:11">
      <c r="A38" s="1" t="s">
        <v>1</v>
      </c>
      <c r="B38" s="6" t="s">
        <v>46</v>
      </c>
      <c r="C38" s="51">
        <v>19700</v>
      </c>
      <c r="D38" s="9">
        <v>0</v>
      </c>
      <c r="E38" s="10">
        <f t="shared" si="1"/>
        <v>19700</v>
      </c>
      <c r="F38" s="50">
        <v>12600</v>
      </c>
      <c r="G38" s="51">
        <v>19400</v>
      </c>
      <c r="H38" s="51">
        <v>17000</v>
      </c>
      <c r="I38" s="69">
        <v>4400</v>
      </c>
      <c r="J38" s="10">
        <f t="shared" si="2"/>
        <v>53400</v>
      </c>
      <c r="K38" s="10">
        <f t="shared" si="0"/>
        <v>73100</v>
      </c>
    </row>
    <row r="39" spans="1:11">
      <c r="A39" s="1" t="s">
        <v>1</v>
      </c>
      <c r="B39" s="14" t="s">
        <v>47</v>
      </c>
      <c r="C39" s="53">
        <v>92855</v>
      </c>
      <c r="D39" s="17">
        <v>518</v>
      </c>
      <c r="E39" s="18">
        <f t="shared" si="1"/>
        <v>93373</v>
      </c>
      <c r="F39" s="52">
        <v>72033</v>
      </c>
      <c r="G39" s="53">
        <v>98360</v>
      </c>
      <c r="H39" s="53">
        <v>80916</v>
      </c>
      <c r="I39" s="70">
        <v>66515</v>
      </c>
      <c r="J39" s="18">
        <f t="shared" si="2"/>
        <v>317824</v>
      </c>
      <c r="K39" s="18">
        <f t="shared" si="0"/>
        <v>411197</v>
      </c>
    </row>
    <row r="40" spans="1:11">
      <c r="A40" s="1" t="s">
        <v>1</v>
      </c>
      <c r="B40" s="14" t="s">
        <v>48</v>
      </c>
      <c r="C40" s="53">
        <v>341597</v>
      </c>
      <c r="D40" s="17">
        <v>85882</v>
      </c>
      <c r="E40" s="18">
        <f t="shared" si="1"/>
        <v>427479</v>
      </c>
      <c r="F40" s="52">
        <v>277133</v>
      </c>
      <c r="G40" s="53">
        <v>319358</v>
      </c>
      <c r="H40" s="53">
        <v>310555</v>
      </c>
      <c r="I40" s="70">
        <v>269273</v>
      </c>
      <c r="J40" s="18">
        <f t="shared" si="2"/>
        <v>1176319</v>
      </c>
      <c r="K40" s="18">
        <f t="shared" si="0"/>
        <v>1603798</v>
      </c>
    </row>
    <row r="41" spans="1:11">
      <c r="A41" s="1" t="s">
        <v>1</v>
      </c>
      <c r="B41" s="14" t="s">
        <v>49</v>
      </c>
      <c r="C41" s="53">
        <v>323750</v>
      </c>
      <c r="D41" s="17">
        <v>85882</v>
      </c>
      <c r="E41" s="18">
        <f t="shared" si="1"/>
        <v>409632</v>
      </c>
      <c r="F41" s="52">
        <v>265173</v>
      </c>
      <c r="G41" s="53">
        <v>291565</v>
      </c>
      <c r="H41" s="53">
        <v>290046</v>
      </c>
      <c r="I41" s="70">
        <v>259253</v>
      </c>
      <c r="J41" s="18">
        <f t="shared" si="2"/>
        <v>1106037</v>
      </c>
      <c r="K41" s="18">
        <f t="shared" si="0"/>
        <v>1515669</v>
      </c>
    </row>
    <row r="42" spans="1:11">
      <c r="A42" s="1" t="s">
        <v>1</v>
      </c>
      <c r="B42" s="14" t="s">
        <v>50</v>
      </c>
      <c r="C42" s="53">
        <v>323750</v>
      </c>
      <c r="D42" s="17">
        <v>85882</v>
      </c>
      <c r="E42" s="18">
        <f t="shared" si="1"/>
        <v>409632</v>
      </c>
      <c r="F42" s="52">
        <v>265173</v>
      </c>
      <c r="G42" s="53">
        <v>291565</v>
      </c>
      <c r="H42" s="53">
        <v>290046</v>
      </c>
      <c r="I42" s="70">
        <v>259253</v>
      </c>
      <c r="J42" s="18">
        <f t="shared" si="2"/>
        <v>1106037</v>
      </c>
      <c r="K42" s="18">
        <f t="shared" si="0"/>
        <v>1515669</v>
      </c>
    </row>
    <row r="43" spans="1:11">
      <c r="A43" s="1" t="s">
        <v>1</v>
      </c>
      <c r="B43" s="14" t="s">
        <v>51</v>
      </c>
      <c r="C43" s="53">
        <v>1</v>
      </c>
      <c r="D43" s="17">
        <v>0</v>
      </c>
      <c r="E43" s="18"/>
      <c r="F43" s="52">
        <v>1</v>
      </c>
      <c r="G43" s="53">
        <v>0</v>
      </c>
      <c r="H43" s="53">
        <v>1</v>
      </c>
      <c r="I43" s="70">
        <v>1</v>
      </c>
      <c r="J43" s="18"/>
      <c r="K43" s="18"/>
    </row>
    <row r="44" spans="1:11" ht="19.5" thickBot="1">
      <c r="A44" s="1" t="s">
        <v>1</v>
      </c>
      <c r="B44" s="11" t="s">
        <v>52</v>
      </c>
      <c r="C44" s="55" t="s">
        <v>53</v>
      </c>
      <c r="D44" s="12" t="s">
        <v>53</v>
      </c>
      <c r="E44" s="13"/>
      <c r="F44" s="54" t="s">
        <v>53</v>
      </c>
      <c r="G44" s="55" t="s">
        <v>53</v>
      </c>
      <c r="H44" s="55" t="s">
        <v>53</v>
      </c>
      <c r="I44" s="71" t="s">
        <v>53</v>
      </c>
      <c r="J44" s="13"/>
      <c r="K44" s="13"/>
    </row>
  </sheetData>
  <phoneticPr fontId="4"/>
  <pageMargins left="0.31496062992125984" right="0.11811023622047245" top="0.35433070866141736" bottom="0.15748031496062992" header="0.31496062992125984" footer="0.31496062992125984"/>
  <pageSetup paperSize="12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7月度給与 (2)</vt:lpstr>
      <vt:lpstr>'2023年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2023-08-05T06:27:57Z</cp:lastPrinted>
  <dcterms:created xsi:type="dcterms:W3CDTF">2023-08-05T04:50:36Z</dcterms:created>
  <dcterms:modified xsi:type="dcterms:W3CDTF">2023-08-08T09:23:11Z</dcterms:modified>
</cp:coreProperties>
</file>