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7\"/>
    </mc:Choice>
  </mc:AlternateContent>
  <xr:revisionPtr revIDLastSave="0" documentId="13_ncr:1_{940F6A0B-EEB4-401F-82B3-34D3CF706339}" xr6:coauthVersionLast="47" xr6:coauthVersionMax="47" xr10:uidLastSave="{00000000-0000-0000-0000-000000000000}"/>
  <bookViews>
    <workbookView xWindow="-120" yWindow="-120" windowWidth="20730" windowHeight="11160" xr2:uid="{723B44EE-83F1-426F-A804-0BBDD316CA79}"/>
  </bookViews>
  <sheets>
    <sheet name="2023年7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3" l="1"/>
  <c r="L14" i="3"/>
  <c r="L18" i="3"/>
  <c r="L22" i="3"/>
  <c r="L26" i="3"/>
  <c r="L30" i="3"/>
  <c r="K7" i="3"/>
  <c r="L7" i="3" s="1"/>
  <c r="K8" i="3"/>
  <c r="L8" i="3" s="1"/>
  <c r="K9" i="3"/>
  <c r="L9" i="3" s="1"/>
  <c r="K10" i="3"/>
  <c r="K11" i="3"/>
  <c r="L11" i="3" s="1"/>
  <c r="K12" i="3"/>
  <c r="L12" i="3" s="1"/>
  <c r="K13" i="3"/>
  <c r="K14" i="3"/>
  <c r="K15" i="3"/>
  <c r="L15" i="3" s="1"/>
  <c r="K16" i="3"/>
  <c r="L16" i="3" s="1"/>
  <c r="K17" i="3"/>
  <c r="K18" i="3"/>
  <c r="K19" i="3"/>
  <c r="L19" i="3" s="1"/>
  <c r="K20" i="3"/>
  <c r="L20" i="3" s="1"/>
  <c r="K21" i="3"/>
  <c r="K22" i="3"/>
  <c r="K23" i="3"/>
  <c r="L23" i="3" s="1"/>
  <c r="K24" i="3"/>
  <c r="L24" i="3" s="1"/>
  <c r="K25" i="3"/>
  <c r="K26" i="3"/>
  <c r="K27" i="3"/>
  <c r="L27" i="3" s="1"/>
  <c r="K28" i="3"/>
  <c r="L28" i="3" s="1"/>
  <c r="K29" i="3"/>
  <c r="K30" i="3"/>
  <c r="K31" i="3"/>
  <c r="L31" i="3" s="1"/>
  <c r="K6" i="3"/>
  <c r="L6" i="3" s="1"/>
  <c r="K5" i="3"/>
  <c r="G7" i="3"/>
  <c r="G8" i="3"/>
  <c r="G9" i="3"/>
  <c r="G10" i="3"/>
  <c r="G11" i="3"/>
  <c r="G12" i="3"/>
  <c r="G13" i="3"/>
  <c r="L13" i="3" s="1"/>
  <c r="G14" i="3"/>
  <c r="G15" i="3"/>
  <c r="G16" i="3"/>
  <c r="G17" i="3"/>
  <c r="L17" i="3" s="1"/>
  <c r="G18" i="3"/>
  <c r="G19" i="3"/>
  <c r="G20" i="3"/>
  <c r="G21" i="3"/>
  <c r="L21" i="3" s="1"/>
  <c r="G22" i="3"/>
  <c r="G23" i="3"/>
  <c r="G24" i="3"/>
  <c r="G25" i="3"/>
  <c r="L25" i="3" s="1"/>
  <c r="G26" i="3"/>
  <c r="G27" i="3"/>
  <c r="G28" i="3"/>
  <c r="G29" i="3"/>
  <c r="L29" i="3" s="1"/>
  <c r="G30" i="3"/>
  <c r="G31" i="3"/>
  <c r="G6" i="3"/>
  <c r="G5" i="3"/>
  <c r="L5" i="3" s="1"/>
</calcChain>
</file>

<file path=xl/sharedStrings.xml><?xml version="1.0" encoding="utf-8"?>
<sst xmlns="http://schemas.openxmlformats.org/spreadsheetml/2006/main" count="88" uniqueCount="54">
  <si>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</si>
  <si>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</si>
  <si>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</si>
  <si>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</si>
  <si>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</si>
  <si>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</si>
  <si>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</si>
  <si>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</si>
  <si>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</si>
  <si>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</si>
  <si>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</si>
  <si>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</si>
  <si>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</si>
  <si>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</si>
  <si>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</si>
  <si>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</si>
  <si>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</si>
  <si>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</si>
  <si>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</si>
  <si>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</si>
  <si>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</si>
  <si>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</si>
  <si>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</si>
  <si>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</si>
  <si>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</si>
  <si>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</si>
  <si>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</si>
  <si>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</si>
  <si>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</si>
  <si>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</si>
  <si>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</si>
  <si>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</si>
  <si>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</si>
  <si>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</si>
  <si>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</si>
  <si>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</si>
  <si>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</si>
  <si>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</si>
  <si>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</si>
  <si>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</si>
  <si>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</si>
  <si>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</si>
  <si>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</si>
  <si>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</si>
  <si>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</si>
  <si>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</si>
  <si>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</si>
  <si>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</si>
  <si>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</si>
  <si>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 7月度給与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</si>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</sst>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 style="thin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176" fontId="2" fillId="0" borderId="12" xfId="1" applyNumberFormat="1" applyFont="1" applyBorder="1"/>
    <xf numFmtId="176" fontId="2" fillId="0" borderId="11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8" xfId="1" applyNumberFormat="1" applyFont="1" applyBorder="1"/>
    <xf numFmtId="49" fontId="2" fillId="0" borderId="32" xfId="1" applyNumberFormat="1" applyFont="1" applyBorder="1"/>
    <xf numFmtId="49" fontId="2" fillId="0" borderId="39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176" fontId="2" fillId="0" borderId="43" xfId="1" applyNumberFormat="1" applyFont="1" applyBorder="1"/>
    <xf numFmtId="2" fontId="2" fillId="0" borderId="44" xfId="1" applyNumberFormat="1" applyFont="1" applyBorder="1"/>
    <xf numFmtId="3" fontId="2" fillId="0" borderId="45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6" xfId="1" applyNumberFormat="1" applyFont="1" applyBorder="1"/>
    <xf numFmtId="49" fontId="2" fillId="0" borderId="40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49" fontId="2" fillId="0" borderId="47" xfId="1" applyNumberFormat="1" applyFont="1" applyBorder="1" applyAlignment="1">
      <alignment horizontal="center"/>
    </xf>
    <xf numFmtId="0" fontId="2" fillId="0" borderId="2" xfId="1" applyFont="1" applyBorder="1"/>
    <xf numFmtId="0" fontId="2" fillId="0" borderId="3" xfId="1" applyFont="1" applyBorder="1" applyAlignment="1">
      <alignment horizontal="right"/>
    </xf>
  </cellXfs>
  <cellStyles count="2">
    <cellStyle name="標準" xfId="0" builtinId="0"/>
    <cellStyle name="標準 2" xfId="1" xr:uid="{8C48E9EB-A111-4576-AC61-A1A34B33DA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3269-6D48-42D6-9DE1-415DE89E7FD0}">
  <dimension ref="A1:L3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12" width="11.87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49</v>
      </c>
    </row>
    <row r="3" spans="1:12">
      <c r="B3" s="4"/>
      <c r="C3" s="35" t="s">
        <v>2</v>
      </c>
      <c r="D3" s="36" t="s">
        <v>3</v>
      </c>
      <c r="E3" s="36" t="s">
        <v>4</v>
      </c>
      <c r="F3" s="61" t="s">
        <v>5</v>
      </c>
      <c r="G3" s="87" t="s">
        <v>50</v>
      </c>
      <c r="H3" s="74" t="s">
        <v>6</v>
      </c>
      <c r="I3" s="36" t="s">
        <v>7</v>
      </c>
      <c r="J3" s="89" t="s">
        <v>8</v>
      </c>
      <c r="K3" s="87" t="s">
        <v>50</v>
      </c>
      <c r="L3" s="90" t="s">
        <v>17</v>
      </c>
    </row>
    <row r="4" spans="1:12" ht="19.5" thickBot="1">
      <c r="B4" s="5" t="s">
        <v>9</v>
      </c>
      <c r="C4" s="37" t="s">
        <v>10</v>
      </c>
      <c r="D4" s="38" t="s">
        <v>11</v>
      </c>
      <c r="E4" s="38" t="s">
        <v>12</v>
      </c>
      <c r="F4" s="62" t="s">
        <v>13</v>
      </c>
      <c r="G4" s="88" t="s">
        <v>51</v>
      </c>
      <c r="H4" s="75" t="s">
        <v>14</v>
      </c>
      <c r="I4" s="38" t="s">
        <v>15</v>
      </c>
      <c r="J4" s="3" t="s">
        <v>16</v>
      </c>
      <c r="K4" s="88" t="s">
        <v>52</v>
      </c>
      <c r="L4" s="91" t="s">
        <v>53</v>
      </c>
    </row>
    <row r="5" spans="1:12">
      <c r="A5" s="1" t="s">
        <v>1</v>
      </c>
      <c r="B5" s="28" t="s">
        <v>18</v>
      </c>
      <c r="C5" s="39">
        <v>0</v>
      </c>
      <c r="D5" s="40">
        <v>0</v>
      </c>
      <c r="E5" s="40">
        <v>0</v>
      </c>
      <c r="F5" s="63">
        <v>0</v>
      </c>
      <c r="G5" s="30">
        <f>SUM(C5:F5)</f>
        <v>0</v>
      </c>
      <c r="H5" s="76">
        <v>20</v>
      </c>
      <c r="I5" s="40">
        <v>20</v>
      </c>
      <c r="J5" s="29">
        <v>18</v>
      </c>
      <c r="K5" s="30">
        <f>SUM(H5:J5)</f>
        <v>58</v>
      </c>
      <c r="L5" s="30">
        <f>SUM(K5,G5)</f>
        <v>58</v>
      </c>
    </row>
    <row r="6" spans="1:12">
      <c r="A6" s="1" t="s">
        <v>1</v>
      </c>
      <c r="B6" s="25" t="s">
        <v>19</v>
      </c>
      <c r="C6" s="41">
        <v>0</v>
      </c>
      <c r="D6" s="42">
        <v>0</v>
      </c>
      <c r="E6" s="42">
        <v>0</v>
      </c>
      <c r="F6" s="64">
        <v>0</v>
      </c>
      <c r="G6" s="32">
        <f>SUM(C6:F6)</f>
        <v>0</v>
      </c>
      <c r="H6" s="77">
        <v>0</v>
      </c>
      <c r="I6" s="42">
        <v>0</v>
      </c>
      <c r="J6" s="31">
        <v>1</v>
      </c>
      <c r="K6" s="32">
        <f>SUM(H6:J6)</f>
        <v>1</v>
      </c>
      <c r="L6" s="32">
        <f t="shared" ref="L6:L31" si="0">SUM(K6,G6)</f>
        <v>1</v>
      </c>
    </row>
    <row r="7" spans="1:12">
      <c r="A7" s="1" t="s">
        <v>1</v>
      </c>
      <c r="B7" s="25" t="s">
        <v>20</v>
      </c>
      <c r="C7" s="43">
        <v>0</v>
      </c>
      <c r="D7" s="44">
        <v>0</v>
      </c>
      <c r="E7" s="44">
        <v>0</v>
      </c>
      <c r="F7" s="65">
        <v>0</v>
      </c>
      <c r="G7" s="34">
        <f t="shared" ref="G7:G31" si="1">SUM(C7:F7)</f>
        <v>0</v>
      </c>
      <c r="H7" s="78">
        <v>0</v>
      </c>
      <c r="I7" s="44">
        <v>0</v>
      </c>
      <c r="J7" s="33">
        <v>3.75</v>
      </c>
      <c r="K7" s="34">
        <f t="shared" ref="K7:K31" si="2">SUM(H7:J7)</f>
        <v>3.75</v>
      </c>
      <c r="L7" s="34">
        <f t="shared" si="0"/>
        <v>3.75</v>
      </c>
    </row>
    <row r="8" spans="1:12">
      <c r="A8" s="1" t="s">
        <v>1</v>
      </c>
      <c r="B8" s="6" t="s">
        <v>21</v>
      </c>
      <c r="C8" s="45">
        <v>0</v>
      </c>
      <c r="D8" s="46">
        <v>0</v>
      </c>
      <c r="E8" s="46">
        <v>0</v>
      </c>
      <c r="F8" s="66">
        <v>0</v>
      </c>
      <c r="G8" s="8">
        <f t="shared" si="1"/>
        <v>0</v>
      </c>
      <c r="H8" s="79">
        <v>0</v>
      </c>
      <c r="I8" s="46">
        <v>0</v>
      </c>
      <c r="J8" s="7">
        <v>0.20833333333333334</v>
      </c>
      <c r="K8" s="8">
        <f t="shared" si="2"/>
        <v>0.20833333333333334</v>
      </c>
      <c r="L8" s="8">
        <f t="shared" si="0"/>
        <v>0.20833333333333334</v>
      </c>
    </row>
    <row r="9" spans="1:12">
      <c r="A9" s="1" t="s">
        <v>1</v>
      </c>
      <c r="B9" s="14" t="s">
        <v>22</v>
      </c>
      <c r="C9" s="47">
        <v>0</v>
      </c>
      <c r="D9" s="48">
        <v>0</v>
      </c>
      <c r="E9" s="48">
        <v>0</v>
      </c>
      <c r="F9" s="67">
        <v>0</v>
      </c>
      <c r="G9" s="16">
        <f t="shared" si="1"/>
        <v>0</v>
      </c>
      <c r="H9" s="80">
        <v>30</v>
      </c>
      <c r="I9" s="48">
        <v>39</v>
      </c>
      <c r="J9" s="15">
        <v>36</v>
      </c>
      <c r="K9" s="16">
        <f t="shared" si="2"/>
        <v>105</v>
      </c>
      <c r="L9" s="16">
        <f t="shared" si="0"/>
        <v>105</v>
      </c>
    </row>
    <row r="10" spans="1:12">
      <c r="A10" s="1" t="s">
        <v>1</v>
      </c>
      <c r="B10" s="22" t="s">
        <v>23</v>
      </c>
      <c r="C10" s="49">
        <v>0</v>
      </c>
      <c r="D10" s="50">
        <v>0</v>
      </c>
      <c r="E10" s="50">
        <v>0</v>
      </c>
      <c r="F10" s="68">
        <v>0</v>
      </c>
      <c r="G10" s="24">
        <f t="shared" si="1"/>
        <v>0</v>
      </c>
      <c r="H10" s="81">
        <v>365000</v>
      </c>
      <c r="I10" s="50">
        <v>365000</v>
      </c>
      <c r="J10" s="23">
        <v>0</v>
      </c>
      <c r="K10" s="24">
        <f t="shared" si="2"/>
        <v>730000</v>
      </c>
      <c r="L10" s="24">
        <f t="shared" si="0"/>
        <v>730000</v>
      </c>
    </row>
    <row r="11" spans="1:12">
      <c r="A11" s="1" t="s">
        <v>1</v>
      </c>
      <c r="B11" s="25" t="s">
        <v>24</v>
      </c>
      <c r="C11" s="51">
        <v>0</v>
      </c>
      <c r="D11" s="52">
        <v>0</v>
      </c>
      <c r="E11" s="52">
        <v>0</v>
      </c>
      <c r="F11" s="69">
        <v>0</v>
      </c>
      <c r="G11" s="27">
        <f t="shared" si="1"/>
        <v>0</v>
      </c>
      <c r="H11" s="82">
        <v>50000</v>
      </c>
      <c r="I11" s="52">
        <v>50000</v>
      </c>
      <c r="J11" s="26">
        <v>0</v>
      </c>
      <c r="K11" s="27">
        <f t="shared" si="2"/>
        <v>100000</v>
      </c>
      <c r="L11" s="27">
        <f t="shared" si="0"/>
        <v>100000</v>
      </c>
    </row>
    <row r="12" spans="1:12">
      <c r="A12" s="1" t="s">
        <v>1</v>
      </c>
      <c r="B12" s="25" t="s">
        <v>25</v>
      </c>
      <c r="C12" s="51">
        <v>0</v>
      </c>
      <c r="D12" s="52">
        <v>0</v>
      </c>
      <c r="E12" s="52">
        <v>0</v>
      </c>
      <c r="F12" s="69">
        <v>0</v>
      </c>
      <c r="G12" s="27">
        <f t="shared" si="1"/>
        <v>0</v>
      </c>
      <c r="H12" s="82">
        <v>0</v>
      </c>
      <c r="I12" s="52">
        <v>0</v>
      </c>
      <c r="J12" s="26">
        <v>107550</v>
      </c>
      <c r="K12" s="27">
        <f t="shared" si="2"/>
        <v>107550</v>
      </c>
      <c r="L12" s="27">
        <f t="shared" si="0"/>
        <v>107550</v>
      </c>
    </row>
    <row r="13" spans="1:12">
      <c r="A13" s="1" t="s">
        <v>1</v>
      </c>
      <c r="B13" s="25" t="s">
        <v>26</v>
      </c>
      <c r="C13" s="51">
        <v>1000000</v>
      </c>
      <c r="D13" s="52">
        <v>200000</v>
      </c>
      <c r="E13" s="52">
        <v>100000</v>
      </c>
      <c r="F13" s="69">
        <v>200000</v>
      </c>
      <c r="G13" s="27">
        <f t="shared" si="1"/>
        <v>1500000</v>
      </c>
      <c r="H13" s="82">
        <v>0</v>
      </c>
      <c r="I13" s="52">
        <v>0</v>
      </c>
      <c r="J13" s="26">
        <v>0</v>
      </c>
      <c r="K13" s="27">
        <f t="shared" si="2"/>
        <v>0</v>
      </c>
      <c r="L13" s="27">
        <f t="shared" si="0"/>
        <v>1500000</v>
      </c>
    </row>
    <row r="14" spans="1:12">
      <c r="A14" s="1" t="s">
        <v>1</v>
      </c>
      <c r="B14" s="6" t="s">
        <v>27</v>
      </c>
      <c r="C14" s="53">
        <v>0</v>
      </c>
      <c r="D14" s="54">
        <v>0</v>
      </c>
      <c r="E14" s="54">
        <v>0</v>
      </c>
      <c r="F14" s="70">
        <v>0</v>
      </c>
      <c r="G14" s="10">
        <f t="shared" si="1"/>
        <v>0</v>
      </c>
      <c r="H14" s="83">
        <v>0</v>
      </c>
      <c r="I14" s="54">
        <v>0</v>
      </c>
      <c r="J14" s="9">
        <v>5975</v>
      </c>
      <c r="K14" s="10">
        <f t="shared" si="2"/>
        <v>5975</v>
      </c>
      <c r="L14" s="10">
        <f t="shared" si="0"/>
        <v>5975</v>
      </c>
    </row>
    <row r="15" spans="1:12">
      <c r="A15" s="1" t="s">
        <v>1</v>
      </c>
      <c r="B15" s="14" t="s">
        <v>28</v>
      </c>
      <c r="C15" s="55">
        <v>1000000</v>
      </c>
      <c r="D15" s="56">
        <v>200000</v>
      </c>
      <c r="E15" s="56">
        <v>100000</v>
      </c>
      <c r="F15" s="71">
        <v>200000</v>
      </c>
      <c r="G15" s="18">
        <f t="shared" si="1"/>
        <v>1500000</v>
      </c>
      <c r="H15" s="84">
        <v>415000</v>
      </c>
      <c r="I15" s="56">
        <v>415000</v>
      </c>
      <c r="J15" s="17">
        <v>113525</v>
      </c>
      <c r="K15" s="18">
        <f t="shared" si="2"/>
        <v>943525</v>
      </c>
      <c r="L15" s="18">
        <f t="shared" si="0"/>
        <v>2443525</v>
      </c>
    </row>
    <row r="16" spans="1:12">
      <c r="A16" s="1" t="s">
        <v>1</v>
      </c>
      <c r="B16" s="22" t="s">
        <v>29</v>
      </c>
      <c r="C16" s="49">
        <v>0</v>
      </c>
      <c r="D16" s="50">
        <v>0</v>
      </c>
      <c r="E16" s="50">
        <v>0</v>
      </c>
      <c r="F16" s="68">
        <v>0</v>
      </c>
      <c r="G16" s="24">
        <f t="shared" si="1"/>
        <v>0</v>
      </c>
      <c r="H16" s="81">
        <v>1982</v>
      </c>
      <c r="I16" s="50">
        <v>9680</v>
      </c>
      <c r="J16" s="23">
        <v>0</v>
      </c>
      <c r="K16" s="24">
        <f t="shared" si="2"/>
        <v>11662</v>
      </c>
      <c r="L16" s="24">
        <f t="shared" si="0"/>
        <v>11662</v>
      </c>
    </row>
    <row r="17" spans="1:12">
      <c r="A17" s="1" t="s">
        <v>1</v>
      </c>
      <c r="B17" s="6" t="s">
        <v>30</v>
      </c>
      <c r="C17" s="53">
        <v>0</v>
      </c>
      <c r="D17" s="54">
        <v>0</v>
      </c>
      <c r="E17" s="54">
        <v>0</v>
      </c>
      <c r="F17" s="70">
        <v>0</v>
      </c>
      <c r="G17" s="10">
        <f t="shared" si="1"/>
        <v>0</v>
      </c>
      <c r="H17" s="83">
        <v>1982</v>
      </c>
      <c r="I17" s="54">
        <v>9680</v>
      </c>
      <c r="J17" s="9">
        <v>0</v>
      </c>
      <c r="K17" s="10">
        <f t="shared" si="2"/>
        <v>11662</v>
      </c>
      <c r="L17" s="10">
        <f t="shared" si="0"/>
        <v>11662</v>
      </c>
    </row>
    <row r="18" spans="1:12">
      <c r="A18" s="1" t="s">
        <v>1</v>
      </c>
      <c r="B18" s="14" t="s">
        <v>31</v>
      </c>
      <c r="C18" s="55">
        <v>1000000</v>
      </c>
      <c r="D18" s="56">
        <v>200000</v>
      </c>
      <c r="E18" s="56">
        <v>100000</v>
      </c>
      <c r="F18" s="71">
        <v>200000</v>
      </c>
      <c r="G18" s="18">
        <f t="shared" si="1"/>
        <v>1500000</v>
      </c>
      <c r="H18" s="84">
        <v>416982</v>
      </c>
      <c r="I18" s="56">
        <v>424680</v>
      </c>
      <c r="J18" s="17">
        <v>113525</v>
      </c>
      <c r="K18" s="18">
        <f t="shared" si="2"/>
        <v>955187</v>
      </c>
      <c r="L18" s="18">
        <f t="shared" si="0"/>
        <v>2455187</v>
      </c>
    </row>
    <row r="19" spans="1:12">
      <c r="A19" s="1" t="s">
        <v>1</v>
      </c>
      <c r="B19" s="22" t="s">
        <v>32</v>
      </c>
      <c r="C19" s="49">
        <v>49980</v>
      </c>
      <c r="D19" s="50">
        <v>0</v>
      </c>
      <c r="E19" s="50">
        <v>0</v>
      </c>
      <c r="F19" s="68">
        <v>0</v>
      </c>
      <c r="G19" s="24">
        <f t="shared" si="1"/>
        <v>49980</v>
      </c>
      <c r="H19" s="81">
        <v>22440</v>
      </c>
      <c r="I19" s="50">
        <v>20910</v>
      </c>
      <c r="J19" s="23">
        <v>0</v>
      </c>
      <c r="K19" s="24">
        <f t="shared" si="2"/>
        <v>43350</v>
      </c>
      <c r="L19" s="24">
        <f t="shared" si="0"/>
        <v>93330</v>
      </c>
    </row>
    <row r="20" spans="1:12">
      <c r="A20" s="1" t="s">
        <v>1</v>
      </c>
      <c r="B20" s="25" t="s">
        <v>33</v>
      </c>
      <c r="C20" s="51">
        <v>8820</v>
      </c>
      <c r="D20" s="52">
        <v>0</v>
      </c>
      <c r="E20" s="52">
        <v>0</v>
      </c>
      <c r="F20" s="69">
        <v>0</v>
      </c>
      <c r="G20" s="27">
        <f t="shared" si="1"/>
        <v>8820</v>
      </c>
      <c r="H20" s="82">
        <v>3960</v>
      </c>
      <c r="I20" s="52">
        <v>3690</v>
      </c>
      <c r="J20" s="26">
        <v>0</v>
      </c>
      <c r="K20" s="27">
        <f t="shared" si="2"/>
        <v>7650</v>
      </c>
      <c r="L20" s="27">
        <f t="shared" si="0"/>
        <v>16470</v>
      </c>
    </row>
    <row r="21" spans="1:12">
      <c r="A21" s="1" t="s">
        <v>1</v>
      </c>
      <c r="B21" s="25" t="s">
        <v>34</v>
      </c>
      <c r="C21" s="51">
        <v>59475</v>
      </c>
      <c r="D21" s="52">
        <v>0</v>
      </c>
      <c r="E21" s="52">
        <v>0</v>
      </c>
      <c r="F21" s="69">
        <v>0</v>
      </c>
      <c r="G21" s="27">
        <f t="shared" si="1"/>
        <v>59475</v>
      </c>
      <c r="H21" s="82">
        <v>40260</v>
      </c>
      <c r="I21" s="52">
        <v>37515</v>
      </c>
      <c r="J21" s="26">
        <v>0</v>
      </c>
      <c r="K21" s="27">
        <f t="shared" si="2"/>
        <v>77775</v>
      </c>
      <c r="L21" s="27">
        <f t="shared" si="0"/>
        <v>137250</v>
      </c>
    </row>
    <row r="22" spans="1:12">
      <c r="A22" s="1" t="s">
        <v>1</v>
      </c>
      <c r="B22" s="6" t="s">
        <v>35</v>
      </c>
      <c r="C22" s="53">
        <v>0</v>
      </c>
      <c r="D22" s="54">
        <v>0</v>
      </c>
      <c r="E22" s="54">
        <v>0</v>
      </c>
      <c r="F22" s="70">
        <v>0</v>
      </c>
      <c r="G22" s="10">
        <f t="shared" si="1"/>
        <v>0</v>
      </c>
      <c r="H22" s="83">
        <v>2502</v>
      </c>
      <c r="I22" s="54">
        <v>2548</v>
      </c>
      <c r="J22" s="9">
        <v>681</v>
      </c>
      <c r="K22" s="10">
        <f t="shared" si="2"/>
        <v>5731</v>
      </c>
      <c r="L22" s="10">
        <f t="shared" si="0"/>
        <v>5731</v>
      </c>
    </row>
    <row r="23" spans="1:12">
      <c r="A23" s="1" t="s">
        <v>1</v>
      </c>
      <c r="B23" s="14" t="s">
        <v>36</v>
      </c>
      <c r="C23" s="55">
        <v>118275</v>
      </c>
      <c r="D23" s="56">
        <v>0</v>
      </c>
      <c r="E23" s="56">
        <v>0</v>
      </c>
      <c r="F23" s="71">
        <v>0</v>
      </c>
      <c r="G23" s="18">
        <f t="shared" si="1"/>
        <v>118275</v>
      </c>
      <c r="H23" s="84">
        <v>69162</v>
      </c>
      <c r="I23" s="56">
        <v>64663</v>
      </c>
      <c r="J23" s="17">
        <v>681</v>
      </c>
      <c r="K23" s="18">
        <f t="shared" si="2"/>
        <v>134506</v>
      </c>
      <c r="L23" s="18">
        <f t="shared" si="0"/>
        <v>252781</v>
      </c>
    </row>
    <row r="24" spans="1:12">
      <c r="A24" s="1" t="s">
        <v>1</v>
      </c>
      <c r="B24" s="22" t="s">
        <v>37</v>
      </c>
      <c r="C24" s="49">
        <v>97950</v>
      </c>
      <c r="D24" s="50">
        <v>20900</v>
      </c>
      <c r="E24" s="50">
        <v>720</v>
      </c>
      <c r="F24" s="68">
        <v>20900</v>
      </c>
      <c r="G24" s="24">
        <f t="shared" si="1"/>
        <v>140470</v>
      </c>
      <c r="H24" s="81">
        <v>12120</v>
      </c>
      <c r="I24" s="50">
        <v>12490</v>
      </c>
      <c r="J24" s="23">
        <v>1380</v>
      </c>
      <c r="K24" s="24">
        <f t="shared" si="2"/>
        <v>25990</v>
      </c>
      <c r="L24" s="24">
        <f t="shared" si="0"/>
        <v>166460</v>
      </c>
    </row>
    <row r="25" spans="1:12">
      <c r="A25" s="1" t="s">
        <v>1</v>
      </c>
      <c r="B25" s="25" t="s">
        <v>38</v>
      </c>
      <c r="C25" s="51">
        <v>84700</v>
      </c>
      <c r="D25" s="52">
        <v>0</v>
      </c>
      <c r="E25" s="52">
        <v>900</v>
      </c>
      <c r="F25" s="69">
        <v>0</v>
      </c>
      <c r="G25" s="27">
        <f t="shared" si="1"/>
        <v>85600</v>
      </c>
      <c r="H25" s="82">
        <v>23300</v>
      </c>
      <c r="I25" s="52">
        <v>23600</v>
      </c>
      <c r="J25" s="26">
        <v>2300</v>
      </c>
      <c r="K25" s="27">
        <f t="shared" si="2"/>
        <v>49200</v>
      </c>
      <c r="L25" s="27">
        <f t="shared" si="0"/>
        <v>134800</v>
      </c>
    </row>
    <row r="26" spans="1:12">
      <c r="A26" s="1" t="s">
        <v>1</v>
      </c>
      <c r="B26" s="6" t="s">
        <v>39</v>
      </c>
      <c r="C26" s="53">
        <v>32000</v>
      </c>
      <c r="D26" s="54">
        <v>0</v>
      </c>
      <c r="E26" s="54">
        <v>0</v>
      </c>
      <c r="F26" s="70">
        <v>0</v>
      </c>
      <c r="G26" s="10">
        <f t="shared" si="1"/>
        <v>32000</v>
      </c>
      <c r="H26" s="83">
        <v>0</v>
      </c>
      <c r="I26" s="54">
        <v>0</v>
      </c>
      <c r="J26" s="9">
        <v>0</v>
      </c>
      <c r="K26" s="10">
        <f t="shared" si="2"/>
        <v>0</v>
      </c>
      <c r="L26" s="10">
        <f t="shared" si="0"/>
        <v>32000</v>
      </c>
    </row>
    <row r="27" spans="1:12">
      <c r="A27" s="1" t="s">
        <v>1</v>
      </c>
      <c r="B27" s="14" t="s">
        <v>40</v>
      </c>
      <c r="C27" s="55">
        <v>332925</v>
      </c>
      <c r="D27" s="56">
        <v>20900</v>
      </c>
      <c r="E27" s="56">
        <v>1620</v>
      </c>
      <c r="F27" s="71">
        <v>20900</v>
      </c>
      <c r="G27" s="18">
        <f t="shared" si="1"/>
        <v>376345</v>
      </c>
      <c r="H27" s="84">
        <v>104582</v>
      </c>
      <c r="I27" s="56">
        <v>100753</v>
      </c>
      <c r="J27" s="17">
        <v>4361</v>
      </c>
      <c r="K27" s="18">
        <f t="shared" si="2"/>
        <v>209696</v>
      </c>
      <c r="L27" s="18">
        <f t="shared" si="0"/>
        <v>586041</v>
      </c>
    </row>
    <row r="28" spans="1:12">
      <c r="A28" s="1" t="s">
        <v>1</v>
      </c>
      <c r="B28" s="6" t="s">
        <v>41</v>
      </c>
      <c r="C28" s="53">
        <v>881725</v>
      </c>
      <c r="D28" s="54">
        <v>200000</v>
      </c>
      <c r="E28" s="54">
        <v>100000</v>
      </c>
      <c r="F28" s="70">
        <v>200000</v>
      </c>
      <c r="G28" s="10">
        <f t="shared" si="1"/>
        <v>1381725</v>
      </c>
      <c r="H28" s="83">
        <v>345838</v>
      </c>
      <c r="I28" s="54">
        <v>350337</v>
      </c>
      <c r="J28" s="9">
        <v>112844</v>
      </c>
      <c r="K28" s="10">
        <f t="shared" si="2"/>
        <v>809019</v>
      </c>
      <c r="L28" s="10">
        <f t="shared" si="0"/>
        <v>2190744</v>
      </c>
    </row>
    <row r="29" spans="1:12">
      <c r="A29" s="1" t="s">
        <v>1</v>
      </c>
      <c r="B29" s="14" t="s">
        <v>42</v>
      </c>
      <c r="C29" s="55">
        <v>667075</v>
      </c>
      <c r="D29" s="56">
        <v>179100</v>
      </c>
      <c r="E29" s="56">
        <v>98380</v>
      </c>
      <c r="F29" s="71">
        <v>179100</v>
      </c>
      <c r="G29" s="18">
        <f t="shared" si="1"/>
        <v>1123655</v>
      </c>
      <c r="H29" s="84">
        <v>312400</v>
      </c>
      <c r="I29" s="56">
        <v>323927</v>
      </c>
      <c r="J29" s="17">
        <v>109164</v>
      </c>
      <c r="K29" s="18">
        <f t="shared" si="2"/>
        <v>745491</v>
      </c>
      <c r="L29" s="18">
        <f t="shared" si="0"/>
        <v>1869146</v>
      </c>
    </row>
    <row r="30" spans="1:12">
      <c r="A30" s="1" t="s">
        <v>1</v>
      </c>
      <c r="B30" s="14" t="s">
        <v>43</v>
      </c>
      <c r="C30" s="55">
        <v>0</v>
      </c>
      <c r="D30" s="56">
        <v>0</v>
      </c>
      <c r="E30" s="56">
        <v>98380</v>
      </c>
      <c r="F30" s="71">
        <v>0</v>
      </c>
      <c r="G30" s="18">
        <f t="shared" si="1"/>
        <v>98380</v>
      </c>
      <c r="H30" s="84">
        <v>0</v>
      </c>
      <c r="I30" s="56">
        <v>0</v>
      </c>
      <c r="J30" s="17">
        <v>0</v>
      </c>
      <c r="K30" s="18">
        <f t="shared" si="2"/>
        <v>0</v>
      </c>
      <c r="L30" s="18">
        <f t="shared" si="0"/>
        <v>98380</v>
      </c>
    </row>
    <row r="31" spans="1:12">
      <c r="A31" s="1" t="s">
        <v>1</v>
      </c>
      <c r="B31" s="14" t="s">
        <v>44</v>
      </c>
      <c r="C31" s="55">
        <v>667075</v>
      </c>
      <c r="D31" s="56">
        <v>179100</v>
      </c>
      <c r="E31" s="56">
        <v>0</v>
      </c>
      <c r="F31" s="71">
        <v>179100</v>
      </c>
      <c r="G31" s="18">
        <f t="shared" si="1"/>
        <v>1025275</v>
      </c>
      <c r="H31" s="84">
        <v>312400</v>
      </c>
      <c r="I31" s="56">
        <v>323927</v>
      </c>
      <c r="J31" s="17">
        <v>109164</v>
      </c>
      <c r="K31" s="18">
        <f t="shared" si="2"/>
        <v>745491</v>
      </c>
      <c r="L31" s="18">
        <f t="shared" si="0"/>
        <v>1770766</v>
      </c>
    </row>
    <row r="32" spans="1:12">
      <c r="A32" s="1" t="s">
        <v>1</v>
      </c>
      <c r="B32" s="19" t="s">
        <v>45</v>
      </c>
      <c r="C32" s="57">
        <v>1</v>
      </c>
      <c r="D32" s="58">
        <v>0</v>
      </c>
      <c r="E32" s="58">
        <v>0</v>
      </c>
      <c r="F32" s="72">
        <v>0</v>
      </c>
      <c r="G32" s="21"/>
      <c r="H32" s="85">
        <v>0</v>
      </c>
      <c r="I32" s="58">
        <v>0</v>
      </c>
      <c r="J32" s="20">
        <v>0</v>
      </c>
      <c r="K32" s="21"/>
      <c r="L32" s="21"/>
    </row>
    <row r="33" spans="1:12" ht="19.5" thickBot="1">
      <c r="A33" s="1" t="s">
        <v>1</v>
      </c>
      <c r="B33" s="11" t="s">
        <v>46</v>
      </c>
      <c r="C33" s="59" t="s">
        <v>47</v>
      </c>
      <c r="D33" s="60" t="s">
        <v>48</v>
      </c>
      <c r="E33" s="60" t="s">
        <v>47</v>
      </c>
      <c r="F33" s="73" t="s">
        <v>48</v>
      </c>
      <c r="G33" s="13"/>
      <c r="H33" s="86" t="s">
        <v>47</v>
      </c>
      <c r="I33" s="60" t="s">
        <v>47</v>
      </c>
      <c r="J33" s="12" t="s">
        <v>47</v>
      </c>
      <c r="K33" s="13"/>
      <c r="L33" s="13"/>
    </row>
  </sheetData>
  <phoneticPr fontId="4"/>
  <pageMargins left="0.31496062992125984" right="0.31496062992125984" top="0.74803149606299213" bottom="0.55118110236220474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2023年7月度給与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2023-08-05T05:59:50Z</cp:lastPrinted>
  <dcterms:created xsi:type="dcterms:W3CDTF">2023-08-05T04:53:54Z</dcterms:created>
  <dcterms:modified xsi:type="dcterms:W3CDTF">2023-08-10T02:52:48Z</dcterms:modified>
</cp:coreProperties>
</file>