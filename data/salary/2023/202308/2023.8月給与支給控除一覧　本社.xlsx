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8\"/>
    </mc:Choice>
  </mc:AlternateContent>
  <xr:revisionPtr revIDLastSave="0" documentId="13_ncr:1_{0CF1DCA7-C51D-4B95-8B72-55871A6333F9}" xr6:coauthVersionLast="47" xr6:coauthVersionMax="47" xr10:uidLastSave="{00000000-0000-0000-0000-000000000000}"/>
  <bookViews>
    <workbookView xWindow="-120" yWindow="-120" windowWidth="20730" windowHeight="11160" xr2:uid="{63550042-1BF2-4F49-80D1-C7F83FE1B85B}"/>
  </bookViews>
  <sheets>
    <sheet name="2023年 8月度給与 (2)" sheetId="3" r:id="rId1"/>
  </sheets>
  <definedNames>
    <definedName name="_xlnm.Print_Area" localSheetId="0">'2023年 8月度給与 (2)'!$A$1:$L$33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" i="3" l="1"/>
  <c r="L13" i="3"/>
  <c r="L17" i="3"/>
  <c r="L21" i="3"/>
  <c r="L25" i="3"/>
  <c r="L29" i="3"/>
  <c r="K6" i="3"/>
  <c r="L6" i="3" s="1"/>
  <c r="K7" i="3"/>
  <c r="L7" i="3" s="1"/>
  <c r="K8" i="3"/>
  <c r="L8" i="3" s="1"/>
  <c r="K9" i="3"/>
  <c r="K10" i="3"/>
  <c r="L10" i="3" s="1"/>
  <c r="K11" i="3"/>
  <c r="L11" i="3" s="1"/>
  <c r="K12" i="3"/>
  <c r="L12" i="3" s="1"/>
  <c r="K13" i="3"/>
  <c r="K14" i="3"/>
  <c r="L14" i="3" s="1"/>
  <c r="K15" i="3"/>
  <c r="L15" i="3" s="1"/>
  <c r="K16" i="3"/>
  <c r="L16" i="3" s="1"/>
  <c r="K17" i="3"/>
  <c r="K18" i="3"/>
  <c r="L18" i="3" s="1"/>
  <c r="K19" i="3"/>
  <c r="L19" i="3" s="1"/>
  <c r="K20" i="3"/>
  <c r="L20" i="3" s="1"/>
  <c r="K21" i="3"/>
  <c r="K22" i="3"/>
  <c r="L22" i="3" s="1"/>
  <c r="K23" i="3"/>
  <c r="L23" i="3" s="1"/>
  <c r="K24" i="3"/>
  <c r="L24" i="3" s="1"/>
  <c r="K25" i="3"/>
  <c r="K26" i="3"/>
  <c r="L26" i="3" s="1"/>
  <c r="K27" i="3"/>
  <c r="L27" i="3" s="1"/>
  <c r="K28" i="3"/>
  <c r="L28" i="3" s="1"/>
  <c r="K29" i="3"/>
  <c r="K30" i="3"/>
  <c r="L30" i="3" s="1"/>
  <c r="K31" i="3"/>
  <c r="L31" i="3" s="1"/>
  <c r="K32" i="3"/>
  <c r="K5" i="3"/>
  <c r="L5" i="3" s="1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5" i="3"/>
</calcChain>
</file>

<file path=xl/sharedStrings.xml><?xml version="1.0" encoding="utf-8"?>
<sst xmlns="http://schemas.openxmlformats.org/spreadsheetml/2006/main" count="88" uniqueCount="54">
  <si>
    <t>支給控除一覧表</t>
    <phoneticPr fontId="4"/>
  </si>
  <si>
    <t/>
  </si>
  <si>
    <t>1010</t>
    <phoneticPr fontId="4"/>
  </si>
  <si>
    <t>1019</t>
    <phoneticPr fontId="4"/>
  </si>
  <si>
    <t>1024</t>
    <phoneticPr fontId="4"/>
  </si>
  <si>
    <t>1111</t>
    <phoneticPr fontId="4"/>
  </si>
  <si>
    <t>1020</t>
    <phoneticPr fontId="4"/>
  </si>
  <si>
    <t>1041</t>
    <phoneticPr fontId="4"/>
  </si>
  <si>
    <t>1036</t>
    <phoneticPr fontId="4"/>
  </si>
  <si>
    <t>項目名</t>
    <phoneticPr fontId="4"/>
  </si>
  <si>
    <t>若林　裕子</t>
    <phoneticPr fontId="4"/>
  </si>
  <si>
    <t>若林　英司</t>
    <phoneticPr fontId="4"/>
  </si>
  <si>
    <t>深沢　道夫</t>
    <phoneticPr fontId="4"/>
  </si>
  <si>
    <t>渋谷　晶子</t>
    <phoneticPr fontId="4"/>
  </si>
  <si>
    <t>合計</t>
    <phoneticPr fontId="4"/>
  </si>
  <si>
    <t>平日出勤日数</t>
    <phoneticPr fontId="4"/>
  </si>
  <si>
    <t>有休日数</t>
    <phoneticPr fontId="4"/>
  </si>
  <si>
    <t>就労時間</t>
    <phoneticPr fontId="4"/>
  </si>
  <si>
    <t>有給休暇時間</t>
    <phoneticPr fontId="4"/>
  </si>
  <si>
    <t>有休残日数</t>
    <phoneticPr fontId="4"/>
  </si>
  <si>
    <t>基本給</t>
    <phoneticPr fontId="4"/>
  </si>
  <si>
    <t>大都市加算</t>
    <phoneticPr fontId="4"/>
  </si>
  <si>
    <t>基本給2</t>
    <phoneticPr fontId="4"/>
  </si>
  <si>
    <t>役員報酬</t>
    <phoneticPr fontId="4"/>
  </si>
  <si>
    <t>有給休暇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</si>
  <si>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</si>
  <si>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</si>
  <si>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</si>
  <si>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</si>
  <si>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</si>
  <si>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</si>
  <si>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</si>
  <si>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</si>
  <si>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</si>
  <si>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</si>
  <si>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</si>
  <si>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</si>
  <si>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</si>
  <si>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</si>
  <si>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</si>
  <si>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</si>
  <si>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</si>
  <si>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</si>
  <si>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</si>
  <si>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</si>
  <si>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乙欄</t>
    <phoneticPr fontId="4"/>
  </si>
  <si>
    <t>2023年 8月度給与</t>
    <phoneticPr fontId="4"/>
  </si>
  <si>
    <t>小計</t>
    <rPh sb="0" eb="2">
      <t>ショウケイ</t>
    </rPh>
    <phoneticPr fontId="3"/>
  </si>
  <si>
    <t>４名</t>
    <rPh sb="1" eb="2">
      <t>メイ</t>
    </rPh>
    <phoneticPr fontId="3"/>
  </si>
  <si>
    <t>3名</t>
    <rPh sb="1" eb="2">
      <t>メイ</t>
    </rPh>
    <phoneticPr fontId="3"/>
  </si>
  <si>
    <t>７名</t>
    <rPh sb="1" eb="2">
      <t>メイ</t>
    </rPh>
    <phoneticPr fontId="4"/>
  </si>
  <si>
    <t>若林権太郎</t>
    <phoneticPr fontId="4"/>
  </si>
  <si>
    <t>若林孝次郎</t>
    <phoneticPr fontId="4"/>
  </si>
  <si>
    <t>浅田恵美子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</si>
</sst>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2" fontId="2" fillId="0" borderId="13" xfId="1" applyNumberFormat="1" applyFont="1" applyBorder="1"/>
    <xf numFmtId="2" fontId="2" fillId="0" borderId="12" xfId="1" applyNumberFormat="1" applyFont="1" applyBorder="1"/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  <xf numFmtId="49" fontId="2" fillId="0" borderId="35" xfId="1" applyNumberFormat="1" applyFont="1" applyBorder="1" applyAlignment="1">
      <alignment horizontal="center"/>
    </xf>
    <xf numFmtId="49" fontId="2" fillId="0" borderId="36" xfId="1" applyNumberFormat="1" applyFont="1" applyBorder="1" applyAlignment="1">
      <alignment horizontal="center"/>
    </xf>
    <xf numFmtId="2" fontId="2" fillId="0" borderId="37" xfId="1" applyNumberFormat="1" applyFont="1" applyBorder="1"/>
    <xf numFmtId="2" fontId="2" fillId="0" borderId="38" xfId="1" applyNumberFormat="1" applyFont="1" applyBorder="1"/>
    <xf numFmtId="176" fontId="2" fillId="0" borderId="38" xfId="1" applyNumberFormat="1" applyFont="1" applyBorder="1"/>
    <xf numFmtId="176" fontId="2" fillId="0" borderId="39" xfId="1" applyNumberFormat="1" applyFont="1" applyBorder="1"/>
    <xf numFmtId="2" fontId="2" fillId="0" borderId="40" xfId="1" applyNumberFormat="1" applyFont="1" applyBorder="1"/>
    <xf numFmtId="3" fontId="2" fillId="0" borderId="41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49" fontId="2" fillId="0" borderId="36" xfId="1" applyNumberFormat="1" applyFont="1" applyBorder="1"/>
    <xf numFmtId="49" fontId="2" fillId="0" borderId="5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right"/>
    </xf>
    <xf numFmtId="0" fontId="2" fillId="0" borderId="5" xfId="1" applyFont="1" applyBorder="1"/>
  </cellXfs>
  <cellStyles count="2">
    <cellStyle name="標準" xfId="0" builtinId="0"/>
    <cellStyle name="標準 2" xfId="1" xr:uid="{0C474DA7-40E6-4242-ABFB-636BF8F483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8167D-C671-41FA-8625-2E00E6C28147}">
  <sheetPr>
    <pageSetUpPr fitToPage="1"/>
  </sheetPr>
  <dimension ref="A1:L33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2" width="12.375" style="2" customWidth="1"/>
    <col min="13" max="257" width="9" style="2"/>
    <col min="258" max="258" width="2.375" style="2" customWidth="1"/>
    <col min="259" max="261" width="13.25" style="2" bestFit="1" customWidth="1"/>
    <col min="262" max="264" width="11.125" style="2" bestFit="1" customWidth="1"/>
    <col min="265" max="265" width="13.25" style="2" bestFit="1" customWidth="1"/>
    <col min="266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7" width="13.25" style="2" bestFit="1" customWidth="1"/>
    <col min="518" max="520" width="11.125" style="2" bestFit="1" customWidth="1"/>
    <col min="521" max="521" width="13.25" style="2" bestFit="1" customWidth="1"/>
    <col min="522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3" width="13.25" style="2" bestFit="1" customWidth="1"/>
    <col min="774" max="776" width="11.125" style="2" bestFit="1" customWidth="1"/>
    <col min="777" max="777" width="13.25" style="2" bestFit="1" customWidth="1"/>
    <col min="778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9" width="13.25" style="2" bestFit="1" customWidth="1"/>
    <col min="1030" max="1032" width="11.125" style="2" bestFit="1" customWidth="1"/>
    <col min="1033" max="1033" width="13.25" style="2" bestFit="1" customWidth="1"/>
    <col min="1034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5" width="13.25" style="2" bestFit="1" customWidth="1"/>
    <col min="1286" max="1288" width="11.125" style="2" bestFit="1" customWidth="1"/>
    <col min="1289" max="1289" width="13.25" style="2" bestFit="1" customWidth="1"/>
    <col min="1290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41" width="13.25" style="2" bestFit="1" customWidth="1"/>
    <col min="1542" max="1544" width="11.125" style="2" bestFit="1" customWidth="1"/>
    <col min="1545" max="1545" width="13.25" style="2" bestFit="1" customWidth="1"/>
    <col min="1546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7" width="13.25" style="2" bestFit="1" customWidth="1"/>
    <col min="1798" max="1800" width="11.125" style="2" bestFit="1" customWidth="1"/>
    <col min="1801" max="1801" width="13.25" style="2" bestFit="1" customWidth="1"/>
    <col min="1802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3" width="13.25" style="2" bestFit="1" customWidth="1"/>
    <col min="2054" max="2056" width="11.125" style="2" bestFit="1" customWidth="1"/>
    <col min="2057" max="2057" width="13.25" style="2" bestFit="1" customWidth="1"/>
    <col min="2058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9" width="13.25" style="2" bestFit="1" customWidth="1"/>
    <col min="2310" max="2312" width="11.125" style="2" bestFit="1" customWidth="1"/>
    <col min="2313" max="2313" width="13.25" style="2" bestFit="1" customWidth="1"/>
    <col min="2314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5" width="13.25" style="2" bestFit="1" customWidth="1"/>
    <col min="2566" max="2568" width="11.125" style="2" bestFit="1" customWidth="1"/>
    <col min="2569" max="2569" width="13.25" style="2" bestFit="1" customWidth="1"/>
    <col min="2570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21" width="13.25" style="2" bestFit="1" customWidth="1"/>
    <col min="2822" max="2824" width="11.125" style="2" bestFit="1" customWidth="1"/>
    <col min="2825" max="2825" width="13.25" style="2" bestFit="1" customWidth="1"/>
    <col min="2826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7" width="13.25" style="2" bestFit="1" customWidth="1"/>
    <col min="3078" max="3080" width="11.125" style="2" bestFit="1" customWidth="1"/>
    <col min="3081" max="3081" width="13.25" style="2" bestFit="1" customWidth="1"/>
    <col min="3082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3" width="13.25" style="2" bestFit="1" customWidth="1"/>
    <col min="3334" max="3336" width="11.125" style="2" bestFit="1" customWidth="1"/>
    <col min="3337" max="3337" width="13.25" style="2" bestFit="1" customWidth="1"/>
    <col min="3338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9" width="13.25" style="2" bestFit="1" customWidth="1"/>
    <col min="3590" max="3592" width="11.125" style="2" bestFit="1" customWidth="1"/>
    <col min="3593" max="3593" width="13.25" style="2" bestFit="1" customWidth="1"/>
    <col min="3594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5" width="13.25" style="2" bestFit="1" customWidth="1"/>
    <col min="3846" max="3848" width="11.125" style="2" bestFit="1" customWidth="1"/>
    <col min="3849" max="3849" width="13.25" style="2" bestFit="1" customWidth="1"/>
    <col min="3850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101" width="13.25" style="2" bestFit="1" customWidth="1"/>
    <col min="4102" max="4104" width="11.125" style="2" bestFit="1" customWidth="1"/>
    <col min="4105" max="4105" width="13.25" style="2" bestFit="1" customWidth="1"/>
    <col min="4106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7" width="13.25" style="2" bestFit="1" customWidth="1"/>
    <col min="4358" max="4360" width="11.125" style="2" bestFit="1" customWidth="1"/>
    <col min="4361" max="4361" width="13.25" style="2" bestFit="1" customWidth="1"/>
    <col min="4362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3" width="13.25" style="2" bestFit="1" customWidth="1"/>
    <col min="4614" max="4616" width="11.125" style="2" bestFit="1" customWidth="1"/>
    <col min="4617" max="4617" width="13.25" style="2" bestFit="1" customWidth="1"/>
    <col min="4618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9" width="13.25" style="2" bestFit="1" customWidth="1"/>
    <col min="4870" max="4872" width="11.125" style="2" bestFit="1" customWidth="1"/>
    <col min="4873" max="4873" width="13.25" style="2" bestFit="1" customWidth="1"/>
    <col min="4874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5" width="13.25" style="2" bestFit="1" customWidth="1"/>
    <col min="5126" max="5128" width="11.125" style="2" bestFit="1" customWidth="1"/>
    <col min="5129" max="5129" width="13.25" style="2" bestFit="1" customWidth="1"/>
    <col min="5130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81" width="13.25" style="2" bestFit="1" customWidth="1"/>
    <col min="5382" max="5384" width="11.125" style="2" bestFit="1" customWidth="1"/>
    <col min="5385" max="5385" width="13.25" style="2" bestFit="1" customWidth="1"/>
    <col min="5386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7" width="13.25" style="2" bestFit="1" customWidth="1"/>
    <col min="5638" max="5640" width="11.125" style="2" bestFit="1" customWidth="1"/>
    <col min="5641" max="5641" width="13.25" style="2" bestFit="1" customWidth="1"/>
    <col min="5642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3" width="13.25" style="2" bestFit="1" customWidth="1"/>
    <col min="5894" max="5896" width="11.125" style="2" bestFit="1" customWidth="1"/>
    <col min="5897" max="5897" width="13.25" style="2" bestFit="1" customWidth="1"/>
    <col min="5898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9" width="13.25" style="2" bestFit="1" customWidth="1"/>
    <col min="6150" max="6152" width="11.125" style="2" bestFit="1" customWidth="1"/>
    <col min="6153" max="6153" width="13.25" style="2" bestFit="1" customWidth="1"/>
    <col min="6154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5" width="13.25" style="2" bestFit="1" customWidth="1"/>
    <col min="6406" max="6408" width="11.125" style="2" bestFit="1" customWidth="1"/>
    <col min="6409" max="6409" width="13.25" style="2" bestFit="1" customWidth="1"/>
    <col min="6410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61" width="13.25" style="2" bestFit="1" customWidth="1"/>
    <col min="6662" max="6664" width="11.125" style="2" bestFit="1" customWidth="1"/>
    <col min="6665" max="6665" width="13.25" style="2" bestFit="1" customWidth="1"/>
    <col min="6666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7" width="13.25" style="2" bestFit="1" customWidth="1"/>
    <col min="6918" max="6920" width="11.125" style="2" bestFit="1" customWidth="1"/>
    <col min="6921" max="6921" width="13.25" style="2" bestFit="1" customWidth="1"/>
    <col min="6922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3" width="13.25" style="2" bestFit="1" customWidth="1"/>
    <col min="7174" max="7176" width="11.125" style="2" bestFit="1" customWidth="1"/>
    <col min="7177" max="7177" width="13.25" style="2" bestFit="1" customWidth="1"/>
    <col min="7178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9" width="13.25" style="2" bestFit="1" customWidth="1"/>
    <col min="7430" max="7432" width="11.125" style="2" bestFit="1" customWidth="1"/>
    <col min="7433" max="7433" width="13.25" style="2" bestFit="1" customWidth="1"/>
    <col min="7434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5" width="13.25" style="2" bestFit="1" customWidth="1"/>
    <col min="7686" max="7688" width="11.125" style="2" bestFit="1" customWidth="1"/>
    <col min="7689" max="7689" width="13.25" style="2" bestFit="1" customWidth="1"/>
    <col min="7690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41" width="13.25" style="2" bestFit="1" customWidth="1"/>
    <col min="7942" max="7944" width="11.125" style="2" bestFit="1" customWidth="1"/>
    <col min="7945" max="7945" width="13.25" style="2" bestFit="1" customWidth="1"/>
    <col min="7946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7" width="13.25" style="2" bestFit="1" customWidth="1"/>
    <col min="8198" max="8200" width="11.125" style="2" bestFit="1" customWidth="1"/>
    <col min="8201" max="8201" width="13.25" style="2" bestFit="1" customWidth="1"/>
    <col min="8202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3" width="13.25" style="2" bestFit="1" customWidth="1"/>
    <col min="8454" max="8456" width="11.125" style="2" bestFit="1" customWidth="1"/>
    <col min="8457" max="8457" width="13.25" style="2" bestFit="1" customWidth="1"/>
    <col min="8458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9" width="13.25" style="2" bestFit="1" customWidth="1"/>
    <col min="8710" max="8712" width="11.125" style="2" bestFit="1" customWidth="1"/>
    <col min="8713" max="8713" width="13.25" style="2" bestFit="1" customWidth="1"/>
    <col min="8714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5" width="13.25" style="2" bestFit="1" customWidth="1"/>
    <col min="8966" max="8968" width="11.125" style="2" bestFit="1" customWidth="1"/>
    <col min="8969" max="8969" width="13.25" style="2" bestFit="1" customWidth="1"/>
    <col min="8970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21" width="13.25" style="2" bestFit="1" customWidth="1"/>
    <col min="9222" max="9224" width="11.125" style="2" bestFit="1" customWidth="1"/>
    <col min="9225" max="9225" width="13.25" style="2" bestFit="1" customWidth="1"/>
    <col min="9226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7" width="13.25" style="2" bestFit="1" customWidth="1"/>
    <col min="9478" max="9480" width="11.125" style="2" bestFit="1" customWidth="1"/>
    <col min="9481" max="9481" width="13.25" style="2" bestFit="1" customWidth="1"/>
    <col min="9482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3" width="13.25" style="2" bestFit="1" customWidth="1"/>
    <col min="9734" max="9736" width="11.125" style="2" bestFit="1" customWidth="1"/>
    <col min="9737" max="9737" width="13.25" style="2" bestFit="1" customWidth="1"/>
    <col min="9738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9" width="13.25" style="2" bestFit="1" customWidth="1"/>
    <col min="9990" max="9992" width="11.125" style="2" bestFit="1" customWidth="1"/>
    <col min="9993" max="9993" width="13.25" style="2" bestFit="1" customWidth="1"/>
    <col min="9994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5" width="13.25" style="2" bestFit="1" customWidth="1"/>
    <col min="10246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501" width="13.25" style="2" bestFit="1" customWidth="1"/>
    <col min="10502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7" width="13.25" style="2" bestFit="1" customWidth="1"/>
    <col min="10758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3" width="13.25" style="2" bestFit="1" customWidth="1"/>
    <col min="11014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9" width="13.25" style="2" bestFit="1" customWidth="1"/>
    <col min="11270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5" width="13.25" style="2" bestFit="1" customWidth="1"/>
    <col min="11526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81" width="13.25" style="2" bestFit="1" customWidth="1"/>
    <col min="11782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7" width="13.25" style="2" bestFit="1" customWidth="1"/>
    <col min="12038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3" width="13.25" style="2" bestFit="1" customWidth="1"/>
    <col min="12294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9" width="13.25" style="2" bestFit="1" customWidth="1"/>
    <col min="12550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5" width="13.25" style="2" bestFit="1" customWidth="1"/>
    <col min="12806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61" width="13.25" style="2" bestFit="1" customWidth="1"/>
    <col min="13062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7" width="13.25" style="2" bestFit="1" customWidth="1"/>
    <col min="13318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3" width="13.25" style="2" bestFit="1" customWidth="1"/>
    <col min="13574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9" width="13.25" style="2" bestFit="1" customWidth="1"/>
    <col min="13830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5" width="13.25" style="2" bestFit="1" customWidth="1"/>
    <col min="14086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41" width="13.25" style="2" bestFit="1" customWidth="1"/>
    <col min="14342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7" width="13.25" style="2" bestFit="1" customWidth="1"/>
    <col min="14598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3" width="13.25" style="2" bestFit="1" customWidth="1"/>
    <col min="14854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9" width="13.25" style="2" bestFit="1" customWidth="1"/>
    <col min="15110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5" width="13.25" style="2" bestFit="1" customWidth="1"/>
    <col min="15366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21" width="13.25" style="2" bestFit="1" customWidth="1"/>
    <col min="15622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7" width="13.25" style="2" bestFit="1" customWidth="1"/>
    <col min="15878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3" width="13.25" style="2" bestFit="1" customWidth="1"/>
    <col min="16134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 ht="19.5" thickBot="1">
      <c r="A2" s="1" t="s">
        <v>46</v>
      </c>
    </row>
    <row r="3" spans="1:12">
      <c r="B3" s="14"/>
      <c r="C3" s="33" t="s">
        <v>2</v>
      </c>
      <c r="D3" s="34" t="s">
        <v>3</v>
      </c>
      <c r="E3" s="34" t="s">
        <v>4</v>
      </c>
      <c r="F3" s="57" t="s">
        <v>5</v>
      </c>
      <c r="G3" s="81" t="s">
        <v>47</v>
      </c>
      <c r="H3" s="69" t="s">
        <v>6</v>
      </c>
      <c r="I3" s="34" t="s">
        <v>7</v>
      </c>
      <c r="J3" s="4" t="s">
        <v>8</v>
      </c>
      <c r="K3" s="81" t="s">
        <v>47</v>
      </c>
      <c r="L3" s="83" t="s">
        <v>14</v>
      </c>
    </row>
    <row r="4" spans="1:12" ht="19.5" thickBot="1">
      <c r="B4" s="5" t="s">
        <v>9</v>
      </c>
      <c r="C4" s="35" t="s">
        <v>51</v>
      </c>
      <c r="D4" s="36" t="s">
        <v>52</v>
      </c>
      <c r="E4" s="36" t="s">
        <v>10</v>
      </c>
      <c r="F4" s="58" t="s">
        <v>11</v>
      </c>
      <c r="G4" s="82" t="s">
        <v>48</v>
      </c>
      <c r="H4" s="70" t="s">
        <v>12</v>
      </c>
      <c r="I4" s="36" t="s">
        <v>53</v>
      </c>
      <c r="J4" s="3" t="s">
        <v>13</v>
      </c>
      <c r="K4" s="82" t="s">
        <v>49</v>
      </c>
      <c r="L4" s="5" t="s">
        <v>50</v>
      </c>
    </row>
    <row r="5" spans="1:12">
      <c r="A5" s="1" t="s">
        <v>1</v>
      </c>
      <c r="B5" s="26" t="s">
        <v>15</v>
      </c>
      <c r="C5" s="37">
        <v>0</v>
      </c>
      <c r="D5" s="38">
        <v>0</v>
      </c>
      <c r="E5" s="38">
        <v>0</v>
      </c>
      <c r="F5" s="59">
        <v>0</v>
      </c>
      <c r="G5" s="28">
        <f>SUM(C5:F5)</f>
        <v>0</v>
      </c>
      <c r="H5" s="71">
        <v>22</v>
      </c>
      <c r="I5" s="38">
        <v>19</v>
      </c>
      <c r="J5" s="27">
        <v>17</v>
      </c>
      <c r="K5" s="28">
        <f>SUM(H5:J5)</f>
        <v>58</v>
      </c>
      <c r="L5" s="28">
        <f>SUM(K5,G5)</f>
        <v>58</v>
      </c>
    </row>
    <row r="6" spans="1:12">
      <c r="A6" s="1" t="s">
        <v>1</v>
      </c>
      <c r="B6" s="23" t="s">
        <v>16</v>
      </c>
      <c r="C6" s="39">
        <v>0</v>
      </c>
      <c r="D6" s="40">
        <v>0</v>
      </c>
      <c r="E6" s="40">
        <v>0</v>
      </c>
      <c r="F6" s="60">
        <v>0</v>
      </c>
      <c r="G6" s="30">
        <f t="shared" ref="G6:G31" si="0">SUM(C6:F6)</f>
        <v>0</v>
      </c>
      <c r="H6" s="72">
        <v>0</v>
      </c>
      <c r="I6" s="40">
        <v>3</v>
      </c>
      <c r="J6" s="29">
        <v>2</v>
      </c>
      <c r="K6" s="30">
        <f t="shared" ref="K6:K32" si="1">SUM(H6:J6)</f>
        <v>5</v>
      </c>
      <c r="L6" s="30">
        <f t="shared" ref="L6:L31" si="2">SUM(K6,G6)</f>
        <v>5</v>
      </c>
    </row>
    <row r="7" spans="1:12">
      <c r="A7" s="1" t="s">
        <v>1</v>
      </c>
      <c r="B7" s="23" t="s">
        <v>17</v>
      </c>
      <c r="C7" s="41">
        <v>0</v>
      </c>
      <c r="D7" s="42">
        <v>0</v>
      </c>
      <c r="E7" s="42">
        <v>0</v>
      </c>
      <c r="F7" s="61">
        <v>0</v>
      </c>
      <c r="G7" s="32">
        <f t="shared" si="0"/>
        <v>0</v>
      </c>
      <c r="H7" s="73">
        <v>0</v>
      </c>
      <c r="I7" s="42">
        <v>0</v>
      </c>
      <c r="J7" s="31">
        <v>3.5833333333333335</v>
      </c>
      <c r="K7" s="32">
        <f t="shared" si="1"/>
        <v>3.5833333333333335</v>
      </c>
      <c r="L7" s="32">
        <f t="shared" si="2"/>
        <v>3.5833333333333335</v>
      </c>
    </row>
    <row r="8" spans="1:12">
      <c r="A8" s="1" t="s">
        <v>1</v>
      </c>
      <c r="B8" s="6" t="s">
        <v>18</v>
      </c>
      <c r="C8" s="43">
        <v>0</v>
      </c>
      <c r="D8" s="44">
        <v>0</v>
      </c>
      <c r="E8" s="44">
        <v>0</v>
      </c>
      <c r="F8" s="62">
        <v>0</v>
      </c>
      <c r="G8" s="8">
        <f t="shared" si="0"/>
        <v>0</v>
      </c>
      <c r="H8" s="74">
        <v>0</v>
      </c>
      <c r="I8" s="44">
        <v>0</v>
      </c>
      <c r="J8" s="7">
        <v>0.41666666666666669</v>
      </c>
      <c r="K8" s="8">
        <f t="shared" si="1"/>
        <v>0.41666666666666669</v>
      </c>
      <c r="L8" s="8">
        <f t="shared" si="2"/>
        <v>0.41666666666666669</v>
      </c>
    </row>
    <row r="9" spans="1:12">
      <c r="A9" s="1" t="s">
        <v>1</v>
      </c>
      <c r="B9" s="15" t="s">
        <v>19</v>
      </c>
      <c r="C9" s="45">
        <v>0</v>
      </c>
      <c r="D9" s="46">
        <v>0</v>
      </c>
      <c r="E9" s="46">
        <v>0</v>
      </c>
      <c r="F9" s="63">
        <v>0</v>
      </c>
      <c r="G9" s="17">
        <f t="shared" si="0"/>
        <v>0</v>
      </c>
      <c r="H9" s="75">
        <v>30</v>
      </c>
      <c r="I9" s="46">
        <v>36</v>
      </c>
      <c r="J9" s="16">
        <v>34</v>
      </c>
      <c r="K9" s="17">
        <f t="shared" si="1"/>
        <v>100</v>
      </c>
      <c r="L9" s="17">
        <f t="shared" si="2"/>
        <v>100</v>
      </c>
    </row>
    <row r="10" spans="1:12">
      <c r="A10" s="1" t="s">
        <v>1</v>
      </c>
      <c r="B10" s="20" t="s">
        <v>20</v>
      </c>
      <c r="C10" s="47">
        <v>0</v>
      </c>
      <c r="D10" s="48">
        <v>0</v>
      </c>
      <c r="E10" s="48">
        <v>0</v>
      </c>
      <c r="F10" s="64">
        <v>0</v>
      </c>
      <c r="G10" s="22">
        <f t="shared" si="0"/>
        <v>0</v>
      </c>
      <c r="H10" s="76">
        <v>365000</v>
      </c>
      <c r="I10" s="48">
        <v>365000</v>
      </c>
      <c r="J10" s="21">
        <v>0</v>
      </c>
      <c r="K10" s="22">
        <f t="shared" si="1"/>
        <v>730000</v>
      </c>
      <c r="L10" s="22">
        <f t="shared" si="2"/>
        <v>730000</v>
      </c>
    </row>
    <row r="11" spans="1:12">
      <c r="A11" s="1" t="s">
        <v>1</v>
      </c>
      <c r="B11" s="23" t="s">
        <v>21</v>
      </c>
      <c r="C11" s="49">
        <v>0</v>
      </c>
      <c r="D11" s="50">
        <v>0</v>
      </c>
      <c r="E11" s="50">
        <v>0</v>
      </c>
      <c r="F11" s="65">
        <v>0</v>
      </c>
      <c r="G11" s="25">
        <f t="shared" si="0"/>
        <v>0</v>
      </c>
      <c r="H11" s="77">
        <v>50000</v>
      </c>
      <c r="I11" s="50">
        <v>50000</v>
      </c>
      <c r="J11" s="24">
        <v>0</v>
      </c>
      <c r="K11" s="25">
        <f t="shared" si="1"/>
        <v>100000</v>
      </c>
      <c r="L11" s="25">
        <f t="shared" si="2"/>
        <v>100000</v>
      </c>
    </row>
    <row r="12" spans="1:12">
      <c r="A12" s="1" t="s">
        <v>1</v>
      </c>
      <c r="B12" s="23" t="s">
        <v>22</v>
      </c>
      <c r="C12" s="49">
        <v>0</v>
      </c>
      <c r="D12" s="50">
        <v>0</v>
      </c>
      <c r="E12" s="50">
        <v>0</v>
      </c>
      <c r="F12" s="65">
        <v>0</v>
      </c>
      <c r="G12" s="25">
        <f t="shared" si="0"/>
        <v>0</v>
      </c>
      <c r="H12" s="77">
        <v>0</v>
      </c>
      <c r="I12" s="50">
        <v>0</v>
      </c>
      <c r="J12" s="24">
        <v>102770</v>
      </c>
      <c r="K12" s="25">
        <f t="shared" si="1"/>
        <v>102770</v>
      </c>
      <c r="L12" s="25">
        <f t="shared" si="2"/>
        <v>102770</v>
      </c>
    </row>
    <row r="13" spans="1:12">
      <c r="A13" s="1" t="s">
        <v>1</v>
      </c>
      <c r="B13" s="6" t="s">
        <v>23</v>
      </c>
      <c r="C13" s="51">
        <v>1000000</v>
      </c>
      <c r="D13" s="52">
        <v>200000</v>
      </c>
      <c r="E13" s="52">
        <v>100000</v>
      </c>
      <c r="F13" s="66">
        <v>200000</v>
      </c>
      <c r="G13" s="10">
        <f t="shared" si="0"/>
        <v>1500000</v>
      </c>
      <c r="H13" s="78">
        <v>0</v>
      </c>
      <c r="I13" s="52">
        <v>0</v>
      </c>
      <c r="J13" s="9">
        <v>0</v>
      </c>
      <c r="K13" s="10">
        <f t="shared" si="1"/>
        <v>0</v>
      </c>
      <c r="L13" s="10">
        <f t="shared" si="2"/>
        <v>1500000</v>
      </c>
    </row>
    <row r="14" spans="1:12">
      <c r="A14" s="1" t="s">
        <v>1</v>
      </c>
      <c r="B14" s="15" t="s">
        <v>24</v>
      </c>
      <c r="C14" s="53">
        <v>0</v>
      </c>
      <c r="D14" s="54">
        <v>0</v>
      </c>
      <c r="E14" s="54">
        <v>0</v>
      </c>
      <c r="F14" s="67">
        <v>0</v>
      </c>
      <c r="G14" s="19">
        <f t="shared" si="0"/>
        <v>0</v>
      </c>
      <c r="H14" s="79">
        <v>0</v>
      </c>
      <c r="I14" s="54">
        <v>0</v>
      </c>
      <c r="J14" s="18">
        <v>11950</v>
      </c>
      <c r="K14" s="19">
        <f t="shared" si="1"/>
        <v>11950</v>
      </c>
      <c r="L14" s="19">
        <f t="shared" si="2"/>
        <v>11950</v>
      </c>
    </row>
    <row r="15" spans="1:12">
      <c r="A15" s="1" t="s">
        <v>1</v>
      </c>
      <c r="B15" s="15" t="s">
        <v>25</v>
      </c>
      <c r="C15" s="53">
        <v>1000000</v>
      </c>
      <c r="D15" s="54">
        <v>200000</v>
      </c>
      <c r="E15" s="54">
        <v>100000</v>
      </c>
      <c r="F15" s="67">
        <v>200000</v>
      </c>
      <c r="G15" s="19">
        <f t="shared" si="0"/>
        <v>1500000</v>
      </c>
      <c r="H15" s="79">
        <v>415000</v>
      </c>
      <c r="I15" s="54">
        <v>415000</v>
      </c>
      <c r="J15" s="18">
        <v>114720</v>
      </c>
      <c r="K15" s="19">
        <f t="shared" si="1"/>
        <v>944720</v>
      </c>
      <c r="L15" s="19">
        <f t="shared" si="2"/>
        <v>2444720</v>
      </c>
    </row>
    <row r="16" spans="1:12">
      <c r="A16" s="1" t="s">
        <v>1</v>
      </c>
      <c r="B16" s="20" t="s">
        <v>26</v>
      </c>
      <c r="C16" s="47">
        <v>0</v>
      </c>
      <c r="D16" s="48">
        <v>0</v>
      </c>
      <c r="E16" s="48">
        <v>0</v>
      </c>
      <c r="F16" s="64">
        <v>0</v>
      </c>
      <c r="G16" s="22">
        <f t="shared" si="0"/>
        <v>0</v>
      </c>
      <c r="H16" s="76">
        <v>1858</v>
      </c>
      <c r="I16" s="48">
        <v>7920</v>
      </c>
      <c r="J16" s="21">
        <v>0</v>
      </c>
      <c r="K16" s="22">
        <f t="shared" si="1"/>
        <v>9778</v>
      </c>
      <c r="L16" s="22">
        <f t="shared" si="2"/>
        <v>9778</v>
      </c>
    </row>
    <row r="17" spans="1:12">
      <c r="A17" s="1" t="s">
        <v>1</v>
      </c>
      <c r="B17" s="6" t="s">
        <v>27</v>
      </c>
      <c r="C17" s="51">
        <v>0</v>
      </c>
      <c r="D17" s="52">
        <v>0</v>
      </c>
      <c r="E17" s="52">
        <v>0</v>
      </c>
      <c r="F17" s="66">
        <v>0</v>
      </c>
      <c r="G17" s="10">
        <f t="shared" si="0"/>
        <v>0</v>
      </c>
      <c r="H17" s="78">
        <v>1858</v>
      </c>
      <c r="I17" s="52">
        <v>7920</v>
      </c>
      <c r="J17" s="9">
        <v>0</v>
      </c>
      <c r="K17" s="10">
        <f t="shared" si="1"/>
        <v>9778</v>
      </c>
      <c r="L17" s="10">
        <f t="shared" si="2"/>
        <v>9778</v>
      </c>
    </row>
    <row r="18" spans="1:12">
      <c r="A18" s="1" t="s">
        <v>1</v>
      </c>
      <c r="B18" s="15" t="s">
        <v>28</v>
      </c>
      <c r="C18" s="53">
        <v>1000000</v>
      </c>
      <c r="D18" s="54">
        <v>200000</v>
      </c>
      <c r="E18" s="54">
        <v>100000</v>
      </c>
      <c r="F18" s="67">
        <v>200000</v>
      </c>
      <c r="G18" s="19">
        <f t="shared" si="0"/>
        <v>1500000</v>
      </c>
      <c r="H18" s="79">
        <v>416858</v>
      </c>
      <c r="I18" s="54">
        <v>422920</v>
      </c>
      <c r="J18" s="18">
        <v>114720</v>
      </c>
      <c r="K18" s="19">
        <f t="shared" si="1"/>
        <v>954498</v>
      </c>
      <c r="L18" s="19">
        <f t="shared" si="2"/>
        <v>2454498</v>
      </c>
    </row>
    <row r="19" spans="1:12">
      <c r="A19" s="1" t="s">
        <v>1</v>
      </c>
      <c r="B19" s="20" t="s">
        <v>29</v>
      </c>
      <c r="C19" s="47">
        <v>49980</v>
      </c>
      <c r="D19" s="48">
        <v>0</v>
      </c>
      <c r="E19" s="48">
        <v>0</v>
      </c>
      <c r="F19" s="64">
        <v>0</v>
      </c>
      <c r="G19" s="22">
        <f t="shared" si="0"/>
        <v>49980</v>
      </c>
      <c r="H19" s="76">
        <v>22440</v>
      </c>
      <c r="I19" s="48">
        <v>20910</v>
      </c>
      <c r="J19" s="21">
        <v>0</v>
      </c>
      <c r="K19" s="22">
        <f t="shared" si="1"/>
        <v>43350</v>
      </c>
      <c r="L19" s="22">
        <f t="shared" si="2"/>
        <v>93330</v>
      </c>
    </row>
    <row r="20" spans="1:12">
      <c r="A20" s="1" t="s">
        <v>1</v>
      </c>
      <c r="B20" s="23" t="s">
        <v>30</v>
      </c>
      <c r="C20" s="49">
        <v>8820</v>
      </c>
      <c r="D20" s="50">
        <v>0</v>
      </c>
      <c r="E20" s="50">
        <v>0</v>
      </c>
      <c r="F20" s="65">
        <v>0</v>
      </c>
      <c r="G20" s="25">
        <f t="shared" si="0"/>
        <v>8820</v>
      </c>
      <c r="H20" s="77">
        <v>3960</v>
      </c>
      <c r="I20" s="50">
        <v>3690</v>
      </c>
      <c r="J20" s="24">
        <v>0</v>
      </c>
      <c r="K20" s="25">
        <f t="shared" si="1"/>
        <v>7650</v>
      </c>
      <c r="L20" s="25">
        <f t="shared" si="2"/>
        <v>16470</v>
      </c>
    </row>
    <row r="21" spans="1:12">
      <c r="A21" s="1" t="s">
        <v>1</v>
      </c>
      <c r="B21" s="23" t="s">
        <v>31</v>
      </c>
      <c r="C21" s="49">
        <v>59475</v>
      </c>
      <c r="D21" s="50">
        <v>0</v>
      </c>
      <c r="E21" s="50">
        <v>0</v>
      </c>
      <c r="F21" s="65">
        <v>0</v>
      </c>
      <c r="G21" s="25">
        <f t="shared" si="0"/>
        <v>59475</v>
      </c>
      <c r="H21" s="77">
        <v>40260</v>
      </c>
      <c r="I21" s="50">
        <v>37515</v>
      </c>
      <c r="J21" s="24">
        <v>0</v>
      </c>
      <c r="K21" s="25">
        <f t="shared" si="1"/>
        <v>77775</v>
      </c>
      <c r="L21" s="25">
        <f t="shared" si="2"/>
        <v>137250</v>
      </c>
    </row>
    <row r="22" spans="1:12">
      <c r="A22" s="1" t="s">
        <v>1</v>
      </c>
      <c r="B22" s="6" t="s">
        <v>32</v>
      </c>
      <c r="C22" s="51">
        <v>0</v>
      </c>
      <c r="D22" s="52">
        <v>0</v>
      </c>
      <c r="E22" s="52">
        <v>0</v>
      </c>
      <c r="F22" s="66">
        <v>0</v>
      </c>
      <c r="G22" s="10">
        <f t="shared" si="0"/>
        <v>0</v>
      </c>
      <c r="H22" s="78">
        <v>2501</v>
      </c>
      <c r="I22" s="52">
        <v>2538</v>
      </c>
      <c r="J22" s="9">
        <v>688</v>
      </c>
      <c r="K22" s="10">
        <f t="shared" si="1"/>
        <v>5727</v>
      </c>
      <c r="L22" s="10">
        <f t="shared" si="2"/>
        <v>5727</v>
      </c>
    </row>
    <row r="23" spans="1:12">
      <c r="A23" s="1" t="s">
        <v>1</v>
      </c>
      <c r="B23" s="15" t="s">
        <v>33</v>
      </c>
      <c r="C23" s="53">
        <v>118275</v>
      </c>
      <c r="D23" s="54">
        <v>0</v>
      </c>
      <c r="E23" s="54">
        <v>0</v>
      </c>
      <c r="F23" s="67">
        <v>0</v>
      </c>
      <c r="G23" s="19">
        <f t="shared" si="0"/>
        <v>118275</v>
      </c>
      <c r="H23" s="79">
        <v>69161</v>
      </c>
      <c r="I23" s="54">
        <v>64653</v>
      </c>
      <c r="J23" s="18">
        <v>688</v>
      </c>
      <c r="K23" s="19">
        <f t="shared" si="1"/>
        <v>134502</v>
      </c>
      <c r="L23" s="19">
        <f t="shared" si="2"/>
        <v>252777</v>
      </c>
    </row>
    <row r="24" spans="1:12">
      <c r="A24" s="1" t="s">
        <v>1</v>
      </c>
      <c r="B24" s="20" t="s">
        <v>34</v>
      </c>
      <c r="C24" s="47">
        <v>97950</v>
      </c>
      <c r="D24" s="48">
        <v>20900</v>
      </c>
      <c r="E24" s="48">
        <v>720</v>
      </c>
      <c r="F24" s="64">
        <v>20900</v>
      </c>
      <c r="G24" s="22">
        <f t="shared" si="0"/>
        <v>140470</v>
      </c>
      <c r="H24" s="76">
        <v>12120</v>
      </c>
      <c r="I24" s="48">
        <v>12490</v>
      </c>
      <c r="J24" s="21">
        <v>1440</v>
      </c>
      <c r="K24" s="22">
        <f t="shared" si="1"/>
        <v>26050</v>
      </c>
      <c r="L24" s="22">
        <f t="shared" si="2"/>
        <v>166520</v>
      </c>
    </row>
    <row r="25" spans="1:12">
      <c r="A25" s="1" t="s">
        <v>1</v>
      </c>
      <c r="B25" s="23" t="s">
        <v>35</v>
      </c>
      <c r="C25" s="49">
        <v>84700</v>
      </c>
      <c r="D25" s="50">
        <v>0</v>
      </c>
      <c r="E25" s="50">
        <v>900</v>
      </c>
      <c r="F25" s="65">
        <v>0</v>
      </c>
      <c r="G25" s="25">
        <f t="shared" si="0"/>
        <v>85600</v>
      </c>
      <c r="H25" s="77">
        <v>23300</v>
      </c>
      <c r="I25" s="50">
        <v>23600</v>
      </c>
      <c r="J25" s="24">
        <v>2300</v>
      </c>
      <c r="K25" s="25">
        <f t="shared" si="1"/>
        <v>49200</v>
      </c>
      <c r="L25" s="25">
        <f t="shared" si="2"/>
        <v>134800</v>
      </c>
    </row>
    <row r="26" spans="1:12">
      <c r="A26" s="1" t="s">
        <v>1</v>
      </c>
      <c r="B26" s="6" t="s">
        <v>36</v>
      </c>
      <c r="C26" s="51">
        <v>32000</v>
      </c>
      <c r="D26" s="52">
        <v>0</v>
      </c>
      <c r="E26" s="52">
        <v>0</v>
      </c>
      <c r="F26" s="66">
        <v>0</v>
      </c>
      <c r="G26" s="10">
        <f t="shared" si="0"/>
        <v>32000</v>
      </c>
      <c r="H26" s="78">
        <v>0</v>
      </c>
      <c r="I26" s="52">
        <v>0</v>
      </c>
      <c r="J26" s="9">
        <v>0</v>
      </c>
      <c r="K26" s="10">
        <f t="shared" si="1"/>
        <v>0</v>
      </c>
      <c r="L26" s="10">
        <f t="shared" si="2"/>
        <v>32000</v>
      </c>
    </row>
    <row r="27" spans="1:12">
      <c r="A27" s="1" t="s">
        <v>1</v>
      </c>
      <c r="B27" s="15" t="s">
        <v>37</v>
      </c>
      <c r="C27" s="53">
        <v>332925</v>
      </c>
      <c r="D27" s="54">
        <v>20900</v>
      </c>
      <c r="E27" s="54">
        <v>1620</v>
      </c>
      <c r="F27" s="67">
        <v>20900</v>
      </c>
      <c r="G27" s="19">
        <f t="shared" si="0"/>
        <v>376345</v>
      </c>
      <c r="H27" s="79">
        <v>104581</v>
      </c>
      <c r="I27" s="54">
        <v>100743</v>
      </c>
      <c r="J27" s="18">
        <v>4428</v>
      </c>
      <c r="K27" s="19">
        <f t="shared" si="1"/>
        <v>209752</v>
      </c>
      <c r="L27" s="19">
        <f t="shared" si="2"/>
        <v>586097</v>
      </c>
    </row>
    <row r="28" spans="1:12">
      <c r="A28" s="1" t="s">
        <v>1</v>
      </c>
      <c r="B28" s="15" t="s">
        <v>38</v>
      </c>
      <c r="C28" s="53">
        <v>881725</v>
      </c>
      <c r="D28" s="54">
        <v>200000</v>
      </c>
      <c r="E28" s="54">
        <v>100000</v>
      </c>
      <c r="F28" s="67">
        <v>200000</v>
      </c>
      <c r="G28" s="19">
        <f t="shared" si="0"/>
        <v>1381725</v>
      </c>
      <c r="H28" s="79">
        <v>345839</v>
      </c>
      <c r="I28" s="54">
        <v>350347</v>
      </c>
      <c r="J28" s="18">
        <v>114032</v>
      </c>
      <c r="K28" s="19">
        <f t="shared" si="1"/>
        <v>810218</v>
      </c>
      <c r="L28" s="19">
        <f t="shared" si="2"/>
        <v>2191943</v>
      </c>
    </row>
    <row r="29" spans="1:12">
      <c r="A29" s="1" t="s">
        <v>1</v>
      </c>
      <c r="B29" s="15" t="s">
        <v>39</v>
      </c>
      <c r="C29" s="53">
        <v>667075</v>
      </c>
      <c r="D29" s="54">
        <v>179100</v>
      </c>
      <c r="E29" s="54">
        <v>98380</v>
      </c>
      <c r="F29" s="67">
        <v>179100</v>
      </c>
      <c r="G29" s="19">
        <f t="shared" si="0"/>
        <v>1123655</v>
      </c>
      <c r="H29" s="79">
        <v>312277</v>
      </c>
      <c r="I29" s="54">
        <v>322177</v>
      </c>
      <c r="J29" s="18">
        <v>110292</v>
      </c>
      <c r="K29" s="19">
        <f t="shared" si="1"/>
        <v>744746</v>
      </c>
      <c r="L29" s="19">
        <f t="shared" si="2"/>
        <v>1868401</v>
      </c>
    </row>
    <row r="30" spans="1:12">
      <c r="A30" s="1" t="s">
        <v>1</v>
      </c>
      <c r="B30" s="15" t="s">
        <v>40</v>
      </c>
      <c r="C30" s="53">
        <v>0</v>
      </c>
      <c r="D30" s="54">
        <v>0</v>
      </c>
      <c r="E30" s="54">
        <v>98380</v>
      </c>
      <c r="F30" s="67">
        <v>0</v>
      </c>
      <c r="G30" s="19">
        <f t="shared" si="0"/>
        <v>98380</v>
      </c>
      <c r="H30" s="79">
        <v>0</v>
      </c>
      <c r="I30" s="54">
        <v>0</v>
      </c>
      <c r="J30" s="18">
        <v>0</v>
      </c>
      <c r="K30" s="19">
        <f t="shared" si="1"/>
        <v>0</v>
      </c>
      <c r="L30" s="19">
        <f t="shared" si="2"/>
        <v>98380</v>
      </c>
    </row>
    <row r="31" spans="1:12">
      <c r="A31" s="1" t="s">
        <v>1</v>
      </c>
      <c r="B31" s="15" t="s">
        <v>41</v>
      </c>
      <c r="C31" s="53">
        <v>667075</v>
      </c>
      <c r="D31" s="54">
        <v>179100</v>
      </c>
      <c r="E31" s="54">
        <v>0</v>
      </c>
      <c r="F31" s="67">
        <v>179100</v>
      </c>
      <c r="G31" s="19">
        <f t="shared" si="0"/>
        <v>1025275</v>
      </c>
      <c r="H31" s="79">
        <v>312277</v>
      </c>
      <c r="I31" s="54">
        <v>322177</v>
      </c>
      <c r="J31" s="18">
        <v>110292</v>
      </c>
      <c r="K31" s="19">
        <f t="shared" si="1"/>
        <v>744746</v>
      </c>
      <c r="L31" s="19">
        <f t="shared" si="2"/>
        <v>1770021</v>
      </c>
    </row>
    <row r="32" spans="1:12">
      <c r="A32" s="1" t="s">
        <v>1</v>
      </c>
      <c r="B32" s="15" t="s">
        <v>42</v>
      </c>
      <c r="C32" s="53">
        <v>1</v>
      </c>
      <c r="D32" s="54">
        <v>0</v>
      </c>
      <c r="E32" s="54">
        <v>0</v>
      </c>
      <c r="F32" s="67">
        <v>0</v>
      </c>
      <c r="G32" s="19"/>
      <c r="H32" s="79">
        <v>0</v>
      </c>
      <c r="I32" s="54">
        <v>0</v>
      </c>
      <c r="J32" s="18">
        <v>0</v>
      </c>
      <c r="K32" s="19">
        <f t="shared" si="1"/>
        <v>0</v>
      </c>
      <c r="L32" s="19"/>
    </row>
    <row r="33" spans="1:12" ht="19.5" thickBot="1">
      <c r="A33" s="1" t="s">
        <v>1</v>
      </c>
      <c r="B33" s="11" t="s">
        <v>43</v>
      </c>
      <c r="C33" s="55" t="s">
        <v>44</v>
      </c>
      <c r="D33" s="56" t="s">
        <v>45</v>
      </c>
      <c r="E33" s="56" t="s">
        <v>44</v>
      </c>
      <c r="F33" s="68" t="s">
        <v>45</v>
      </c>
      <c r="G33" s="13"/>
      <c r="H33" s="80" t="s">
        <v>44</v>
      </c>
      <c r="I33" s="56" t="s">
        <v>44</v>
      </c>
      <c r="J33" s="12" t="s">
        <v>44</v>
      </c>
      <c r="K33" s="13"/>
      <c r="L33" s="13"/>
    </row>
  </sheetData>
  <phoneticPr fontId="4"/>
  <pageMargins left="0.31496062992125984" right="0.31496062992125984" top="0.35433070866141736" bottom="0.35433070866141736" header="0.31496062992125984" footer="0.31496062992125984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 8月度給与 (2)</vt:lpstr>
      <vt:lpstr>'2023年 8月度給与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2023-09-09T07:12:31Z</cp:lastPrinted>
  <dcterms:created xsi:type="dcterms:W3CDTF">2023-09-09T07:02:07Z</dcterms:created>
  <dcterms:modified xsi:type="dcterms:W3CDTF">2023-09-09T07:25:37Z</dcterms:modified>
</cp:coreProperties>
</file>