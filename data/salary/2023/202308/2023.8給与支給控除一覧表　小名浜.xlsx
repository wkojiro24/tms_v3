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3\202308\"/>
    </mc:Choice>
  </mc:AlternateContent>
  <xr:revisionPtr revIDLastSave="0" documentId="13_ncr:1_{9E06CC86-BEE3-485A-8966-96B01BE097D9}" xr6:coauthVersionLast="47" xr6:coauthVersionMax="47" xr10:uidLastSave="{00000000-0000-0000-0000-000000000000}"/>
  <bookViews>
    <workbookView xWindow="-120" yWindow="-120" windowWidth="20730" windowHeight="11040" xr2:uid="{90C4A9A1-FFF6-491A-AB27-0D8AC243679D}"/>
  </bookViews>
  <sheets>
    <sheet name="2023年 8月度給与 (3)" sheetId="4" r:id="rId1"/>
    <sheet name="2023年 8月度給与 (2)" sheetId="3" r:id="rId2"/>
  </sheets>
  <definedNames>
    <definedName name="_xlnm.Print_Area" localSheetId="0">'2023年 8月度給与 (3)'!$A$1:$N$52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4" l="1"/>
  <c r="E54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" i="3"/>
</calcChain>
</file>

<file path=xl/sharedStrings.xml><?xml version="1.0" encoding="utf-8"?>
<sst xmlns="http://schemas.openxmlformats.org/spreadsheetml/2006/main" count="289" uniqueCount="113">
  <si>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</si>
  <si>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</si>
  <si>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</si>
  <si>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</si>
  <si>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</si>
  <si>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</si>
  <si>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</si>
  <si>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</si>
  <si>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</si>
  <si>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</si>
  <si>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</si>
  <si>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</si>
  <si>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</si>
  <si>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</si>
  <si>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</si>
  <si>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</si>
  <si>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</si>
  <si>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</si>
  <si>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</si>
  <si>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</si>
  <si>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</si>
  <si>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</si>
  <si>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</si>
  <si>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</si>
  <si>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</si>
  <si>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</si>
  <si>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</si>
  <si>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</si>
  <si>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</si>
  <si>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</si>
  <si>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</si>
  <si>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</si>
  <si>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</si>
  <si>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</si>
  <si>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</si>
  <si>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</si>
  <si>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</si>
  <si>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</si>
  <si>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</si>
  <si>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</si>
  <si>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</si>
  <si>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</si>
  <si>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</si>
  <si>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</si>
  <si>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</si>
  <si>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</si>
  <si>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</si>
  <si>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</si>
  <si>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</si>
  <si>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</si>
  <si>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</si>
  <si>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</si>
  <si>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</si>
  <si>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</si>
  <si>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</si>
  <si>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</si>
  <si>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</si>
  <si>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</si>
  <si>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</si>
  <si>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</si>
  <si>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</si>
  <si>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</si>
  <si>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</si>
  <si>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</si>
  <si>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</si>
  <si>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</si>
  <si>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</si>
  <si>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</si>
  <si>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</si>
  <si>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</si>
  <si>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</si>
  <si>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</si>
  <si>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</si>
  <si>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</si>
  <si>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</si>
  <si>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</si>
  <si>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</si>
  <si>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</si>
  <si>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</si>
  <si>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</si>
  <si>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</si>
  <si>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</si>
  <si>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</si>
  <si>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</si>
  <si>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</si>
  <si>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</si>
  <si>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</si>
  <si>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</si>
  <si>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</si>
  <si>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</si>
  <si>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</si>
  <si>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</si>
  <si>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</si>
  <si>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</si>
  <si>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</si>
  <si>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</si>
  <si>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</si>
  <si>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</si>
  <si>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</si>
  <si>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</si>
  <si>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</si>
  <si>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</si>
  <si>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</si>
  <si>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</si>
  <si>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</si>
  <si>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</si>
  <si>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小計</t>
    <rPh sb="0" eb="2">
      <t>ショウケイ</t>
    </rPh>
    <phoneticPr fontId="3"/>
  </si>
  <si>
    <t>１９名</t>
    <rPh sb="2" eb="3">
      <t>メイ</t>
    </rPh>
    <phoneticPr fontId="3"/>
  </si>
  <si>
    <t>小計</t>
    <rPh sb="0" eb="2">
      <t>ショウケイ</t>
    </rPh>
    <phoneticPr fontId="4"/>
  </si>
  <si>
    <t>８名</t>
    <rPh sb="1" eb="2">
      <t>メイ</t>
    </rPh>
    <phoneticPr fontId="4"/>
  </si>
  <si>
    <t>１名</t>
    <rPh sb="1" eb="2">
      <t>メイ</t>
    </rPh>
    <phoneticPr fontId="4"/>
  </si>
  <si>
    <t>2023年 8月度給与</t>
    <phoneticPr fontId="4"/>
  </si>
  <si>
    <t>2023年8月度給与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</si>
</sst>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6" xfId="1" applyNumberFormat="1" applyFont="1" applyBorder="1"/>
    <xf numFmtId="3" fontId="2" fillId="0" borderId="0" xfId="1" applyNumberFormat="1" applyFont="1"/>
    <xf numFmtId="3" fontId="2" fillId="0" borderId="6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5" xfId="1" applyNumberFormat="1" applyFont="1" applyBorder="1"/>
    <xf numFmtId="0" fontId="2" fillId="0" borderId="2" xfId="1" applyFont="1" applyBorder="1"/>
    <xf numFmtId="0" fontId="2" fillId="0" borderId="7" xfId="1" applyFont="1" applyBorder="1" applyAlignment="1">
      <alignment horizontal="center"/>
    </xf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176" fontId="2" fillId="0" borderId="13" xfId="1" applyNumberFormat="1" applyFont="1" applyBorder="1"/>
    <xf numFmtId="176" fontId="2" fillId="0" borderId="12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4" xfId="1" applyNumberFormat="1" applyFont="1" applyBorder="1"/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176" fontId="2" fillId="0" borderId="34" xfId="1" applyNumberFormat="1" applyFont="1" applyBorder="1"/>
    <xf numFmtId="2" fontId="2" fillId="0" borderId="35" xfId="1" applyNumberFormat="1" applyFont="1" applyBorder="1"/>
    <xf numFmtId="3" fontId="2" fillId="0" borderId="36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176" fontId="2" fillId="0" borderId="41" xfId="1" applyNumberFormat="1" applyFont="1" applyBorder="1"/>
    <xf numFmtId="2" fontId="2" fillId="0" borderId="42" xfId="1" applyNumberFormat="1" applyFont="1" applyBorder="1"/>
    <xf numFmtId="3" fontId="2" fillId="0" borderId="43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49" fontId="2" fillId="0" borderId="38" xfId="1" applyNumberFormat="1" applyFont="1" applyBorder="1"/>
    <xf numFmtId="49" fontId="2" fillId="0" borderId="7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</cellXfs>
  <cellStyles count="2">
    <cellStyle name="標準" xfId="0" builtinId="0"/>
    <cellStyle name="標準 2" xfId="1" xr:uid="{981BAFE3-E284-41A9-8378-BEFE7D1ADC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EBE9-9521-4F50-AF4A-D0ED5695149B}">
  <sheetPr>
    <pageSetUpPr fitToPage="1"/>
  </sheetPr>
  <dimension ref="A1:N54"/>
  <sheetViews>
    <sheetView tabSelected="1" workbookViewId="0">
      <pane xSplit="2" ySplit="4" topLeftCell="C20" activePane="bottomRight" state="frozen"/>
      <selection pane="topRight" activeCell="C1" sqref="C1"/>
      <selection pane="bottomLeft" activeCell="A9" sqref="A9"/>
      <selection pane="bottomRight" activeCell="E54" sqref="E54"/>
    </sheetView>
  </sheetViews>
  <sheetFormatPr defaultRowHeight="18.75"/>
  <cols>
    <col min="1" max="1" width="2.375" style="2" customWidth="1"/>
    <col min="2" max="2" width="13.25" style="2" bestFit="1" customWidth="1"/>
    <col min="3" max="14" width="11.125" style="2" customWidth="1"/>
    <col min="15" max="237" width="9" style="2"/>
    <col min="238" max="238" width="2.375" style="2" customWidth="1"/>
    <col min="239" max="239" width="13.25" style="2" bestFit="1" customWidth="1"/>
    <col min="240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5" width="11.125" style="2" bestFit="1" customWidth="1"/>
    <col min="246" max="246" width="9" style="2"/>
    <col min="247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3" width="9" style="2"/>
    <col min="494" max="494" width="2.375" style="2" customWidth="1"/>
    <col min="495" max="495" width="13.25" style="2" bestFit="1" customWidth="1"/>
    <col min="496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1" width="11.125" style="2" bestFit="1" customWidth="1"/>
    <col min="502" max="502" width="9" style="2"/>
    <col min="503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49" width="9" style="2"/>
    <col min="750" max="750" width="2.375" style="2" customWidth="1"/>
    <col min="751" max="751" width="13.25" style="2" bestFit="1" customWidth="1"/>
    <col min="752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7" width="11.125" style="2" bestFit="1" customWidth="1"/>
    <col min="758" max="758" width="9" style="2"/>
    <col min="759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5" width="9" style="2"/>
    <col min="1006" max="1006" width="2.375" style="2" customWidth="1"/>
    <col min="1007" max="1007" width="13.25" style="2" bestFit="1" customWidth="1"/>
    <col min="1008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3" width="11.125" style="2" bestFit="1" customWidth="1"/>
    <col min="1014" max="1014" width="9" style="2"/>
    <col min="1015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1" width="9" style="2"/>
    <col min="1262" max="1262" width="2.375" style="2" customWidth="1"/>
    <col min="1263" max="1263" width="13.25" style="2" bestFit="1" customWidth="1"/>
    <col min="1264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69" width="11.125" style="2" bestFit="1" customWidth="1"/>
    <col min="1270" max="1270" width="9" style="2"/>
    <col min="1271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7" width="9" style="2"/>
    <col min="1518" max="1518" width="2.375" style="2" customWidth="1"/>
    <col min="1519" max="1519" width="13.25" style="2" bestFit="1" customWidth="1"/>
    <col min="1520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5" width="11.125" style="2" bestFit="1" customWidth="1"/>
    <col min="1526" max="1526" width="9" style="2"/>
    <col min="1527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3" width="9" style="2"/>
    <col min="1774" max="1774" width="2.375" style="2" customWidth="1"/>
    <col min="1775" max="1775" width="13.25" style="2" bestFit="1" customWidth="1"/>
    <col min="1776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1" width="11.125" style="2" bestFit="1" customWidth="1"/>
    <col min="1782" max="1782" width="9" style="2"/>
    <col min="1783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29" width="9" style="2"/>
    <col min="2030" max="2030" width="2.375" style="2" customWidth="1"/>
    <col min="2031" max="2031" width="13.25" style="2" bestFit="1" customWidth="1"/>
    <col min="2032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7" width="11.125" style="2" bestFit="1" customWidth="1"/>
    <col min="2038" max="2038" width="9" style="2"/>
    <col min="2039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5" width="9" style="2"/>
    <col min="2286" max="2286" width="2.375" style="2" customWidth="1"/>
    <col min="2287" max="2287" width="13.25" style="2" bestFit="1" customWidth="1"/>
    <col min="2288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3" width="11.125" style="2" bestFit="1" customWidth="1"/>
    <col min="2294" max="2294" width="9" style="2"/>
    <col min="2295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1" width="9" style="2"/>
    <col min="2542" max="2542" width="2.375" style="2" customWidth="1"/>
    <col min="2543" max="2543" width="13.25" style="2" bestFit="1" customWidth="1"/>
    <col min="2544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49" width="11.125" style="2" bestFit="1" customWidth="1"/>
    <col min="2550" max="2550" width="9" style="2"/>
    <col min="2551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7" width="9" style="2"/>
    <col min="2798" max="2798" width="2.375" style="2" customWidth="1"/>
    <col min="2799" max="2799" width="13.25" style="2" bestFit="1" customWidth="1"/>
    <col min="2800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5" width="11.125" style="2" bestFit="1" customWidth="1"/>
    <col min="2806" max="2806" width="9" style="2"/>
    <col min="2807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3" width="9" style="2"/>
    <col min="3054" max="3054" width="2.375" style="2" customWidth="1"/>
    <col min="3055" max="3055" width="13.25" style="2" bestFit="1" customWidth="1"/>
    <col min="3056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1" width="11.125" style="2" bestFit="1" customWidth="1"/>
    <col min="3062" max="3062" width="9" style="2"/>
    <col min="3063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09" width="9" style="2"/>
    <col min="3310" max="3310" width="2.375" style="2" customWidth="1"/>
    <col min="3311" max="3311" width="13.25" style="2" bestFit="1" customWidth="1"/>
    <col min="3312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7" width="11.125" style="2" bestFit="1" customWidth="1"/>
    <col min="3318" max="3318" width="9" style="2"/>
    <col min="3319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5" width="9" style="2"/>
    <col min="3566" max="3566" width="2.375" style="2" customWidth="1"/>
    <col min="3567" max="3567" width="13.25" style="2" bestFit="1" customWidth="1"/>
    <col min="3568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3" width="11.125" style="2" bestFit="1" customWidth="1"/>
    <col min="3574" max="3574" width="9" style="2"/>
    <col min="3575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1" width="9" style="2"/>
    <col min="3822" max="3822" width="2.375" style="2" customWidth="1"/>
    <col min="3823" max="3823" width="13.25" style="2" bestFit="1" customWidth="1"/>
    <col min="3824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29" width="11.125" style="2" bestFit="1" customWidth="1"/>
    <col min="3830" max="3830" width="9" style="2"/>
    <col min="3831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7" width="9" style="2"/>
    <col min="4078" max="4078" width="2.375" style="2" customWidth="1"/>
    <col min="4079" max="4079" width="13.25" style="2" bestFit="1" customWidth="1"/>
    <col min="4080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5" width="11.125" style="2" bestFit="1" customWidth="1"/>
    <col min="4086" max="4086" width="9" style="2"/>
    <col min="4087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3" width="9" style="2"/>
    <col min="4334" max="4334" width="2.375" style="2" customWidth="1"/>
    <col min="4335" max="4335" width="13.25" style="2" bestFit="1" customWidth="1"/>
    <col min="4336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1" width="11.125" style="2" bestFit="1" customWidth="1"/>
    <col min="4342" max="4342" width="9" style="2"/>
    <col min="4343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89" width="9" style="2"/>
    <col min="4590" max="4590" width="2.375" style="2" customWidth="1"/>
    <col min="4591" max="4591" width="13.25" style="2" bestFit="1" customWidth="1"/>
    <col min="4592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7" width="11.125" style="2" bestFit="1" customWidth="1"/>
    <col min="4598" max="4598" width="9" style="2"/>
    <col min="4599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5" width="9" style="2"/>
    <col min="4846" max="4846" width="2.375" style="2" customWidth="1"/>
    <col min="4847" max="4847" width="13.25" style="2" bestFit="1" customWidth="1"/>
    <col min="4848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3" width="11.125" style="2" bestFit="1" customWidth="1"/>
    <col min="4854" max="4854" width="9" style="2"/>
    <col min="4855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1" width="9" style="2"/>
    <col min="5102" max="5102" width="2.375" style="2" customWidth="1"/>
    <col min="5103" max="5103" width="13.25" style="2" bestFit="1" customWidth="1"/>
    <col min="5104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09" width="11.125" style="2" bestFit="1" customWidth="1"/>
    <col min="5110" max="5110" width="9" style="2"/>
    <col min="5111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7" width="9" style="2"/>
    <col min="5358" max="5358" width="2.375" style="2" customWidth="1"/>
    <col min="5359" max="5359" width="13.25" style="2" bestFit="1" customWidth="1"/>
    <col min="5360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5" width="11.125" style="2" bestFit="1" customWidth="1"/>
    <col min="5366" max="5366" width="9" style="2"/>
    <col min="5367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3" width="9" style="2"/>
    <col min="5614" max="5614" width="2.375" style="2" customWidth="1"/>
    <col min="5615" max="5615" width="13.25" style="2" bestFit="1" customWidth="1"/>
    <col min="5616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1" width="11.125" style="2" bestFit="1" customWidth="1"/>
    <col min="5622" max="5622" width="9" style="2"/>
    <col min="5623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69" width="9" style="2"/>
    <col min="5870" max="5870" width="2.375" style="2" customWidth="1"/>
    <col min="5871" max="5871" width="13.25" style="2" bestFit="1" customWidth="1"/>
    <col min="5872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7" width="11.125" style="2" bestFit="1" customWidth="1"/>
    <col min="5878" max="5878" width="9" style="2"/>
    <col min="5879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5" width="9" style="2"/>
    <col min="6126" max="6126" width="2.375" style="2" customWidth="1"/>
    <col min="6127" max="6127" width="13.25" style="2" bestFit="1" customWidth="1"/>
    <col min="6128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3" width="11.125" style="2" bestFit="1" customWidth="1"/>
    <col min="6134" max="6134" width="9" style="2"/>
    <col min="6135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1" width="9" style="2"/>
    <col min="6382" max="6382" width="2.375" style="2" customWidth="1"/>
    <col min="6383" max="6383" width="13.25" style="2" bestFit="1" customWidth="1"/>
    <col min="6384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89" width="11.125" style="2" bestFit="1" customWidth="1"/>
    <col min="6390" max="6390" width="9" style="2"/>
    <col min="6391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7" width="9" style="2"/>
    <col min="6638" max="6638" width="2.375" style="2" customWidth="1"/>
    <col min="6639" max="6639" width="13.25" style="2" bestFit="1" customWidth="1"/>
    <col min="6640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5" width="11.125" style="2" bestFit="1" customWidth="1"/>
    <col min="6646" max="6646" width="9" style="2"/>
    <col min="6647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3" width="9" style="2"/>
    <col min="6894" max="6894" width="2.375" style="2" customWidth="1"/>
    <col min="6895" max="6895" width="13.25" style="2" bestFit="1" customWidth="1"/>
    <col min="6896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1" width="11.125" style="2" bestFit="1" customWidth="1"/>
    <col min="6902" max="6902" width="9" style="2"/>
    <col min="6903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49" width="9" style="2"/>
    <col min="7150" max="7150" width="2.375" style="2" customWidth="1"/>
    <col min="7151" max="7151" width="13.25" style="2" bestFit="1" customWidth="1"/>
    <col min="7152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7" width="11.125" style="2" bestFit="1" customWidth="1"/>
    <col min="7158" max="7158" width="9" style="2"/>
    <col min="7159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5" width="9" style="2"/>
    <col min="7406" max="7406" width="2.375" style="2" customWidth="1"/>
    <col min="7407" max="7407" width="13.25" style="2" bestFit="1" customWidth="1"/>
    <col min="7408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3" width="11.125" style="2" bestFit="1" customWidth="1"/>
    <col min="7414" max="7414" width="9" style="2"/>
    <col min="7415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1" width="9" style="2"/>
    <col min="7662" max="7662" width="2.375" style="2" customWidth="1"/>
    <col min="7663" max="7663" width="13.25" style="2" bestFit="1" customWidth="1"/>
    <col min="7664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69" width="11.125" style="2" bestFit="1" customWidth="1"/>
    <col min="7670" max="7670" width="9" style="2"/>
    <col min="7671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7" width="9" style="2"/>
    <col min="7918" max="7918" width="2.375" style="2" customWidth="1"/>
    <col min="7919" max="7919" width="13.25" style="2" bestFit="1" customWidth="1"/>
    <col min="7920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5" width="11.125" style="2" bestFit="1" customWidth="1"/>
    <col min="7926" max="7926" width="9" style="2"/>
    <col min="7927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3" width="9" style="2"/>
    <col min="8174" max="8174" width="2.375" style="2" customWidth="1"/>
    <col min="8175" max="8175" width="13.25" style="2" bestFit="1" customWidth="1"/>
    <col min="8176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1" width="11.125" style="2" bestFit="1" customWidth="1"/>
    <col min="8182" max="8182" width="9" style="2"/>
    <col min="8183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29" width="9" style="2"/>
    <col min="8430" max="8430" width="2.375" style="2" customWidth="1"/>
    <col min="8431" max="8431" width="13.25" style="2" bestFit="1" customWidth="1"/>
    <col min="8432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7" width="11.125" style="2" bestFit="1" customWidth="1"/>
    <col min="8438" max="8438" width="9" style="2"/>
    <col min="8439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5" width="9" style="2"/>
    <col min="8686" max="8686" width="2.375" style="2" customWidth="1"/>
    <col min="8687" max="8687" width="13.25" style="2" bestFit="1" customWidth="1"/>
    <col min="8688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3" width="11.125" style="2" bestFit="1" customWidth="1"/>
    <col min="8694" max="8694" width="9" style="2"/>
    <col min="8695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1" width="9" style="2"/>
    <col min="8942" max="8942" width="2.375" style="2" customWidth="1"/>
    <col min="8943" max="8943" width="13.25" style="2" bestFit="1" customWidth="1"/>
    <col min="8944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49" width="11.125" style="2" bestFit="1" customWidth="1"/>
    <col min="8950" max="8950" width="9" style="2"/>
    <col min="8951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7" width="9" style="2"/>
    <col min="9198" max="9198" width="2.375" style="2" customWidth="1"/>
    <col min="9199" max="9199" width="13.25" style="2" bestFit="1" customWidth="1"/>
    <col min="9200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5" width="11.125" style="2" bestFit="1" customWidth="1"/>
    <col min="9206" max="9206" width="9" style="2"/>
    <col min="9207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3" width="9" style="2"/>
    <col min="9454" max="9454" width="2.375" style="2" customWidth="1"/>
    <col min="9455" max="9455" width="13.25" style="2" bestFit="1" customWidth="1"/>
    <col min="9456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1" width="11.125" style="2" bestFit="1" customWidth="1"/>
    <col min="9462" max="9462" width="9" style="2"/>
    <col min="9463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09" width="9" style="2"/>
    <col min="9710" max="9710" width="2.375" style="2" customWidth="1"/>
    <col min="9711" max="9711" width="13.25" style="2" bestFit="1" customWidth="1"/>
    <col min="9712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7" width="11.125" style="2" bestFit="1" customWidth="1"/>
    <col min="9718" max="9718" width="9" style="2"/>
    <col min="9719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5" width="9" style="2"/>
    <col min="9966" max="9966" width="2.375" style="2" customWidth="1"/>
    <col min="9967" max="9967" width="13.25" style="2" bestFit="1" customWidth="1"/>
    <col min="9968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3" width="11.125" style="2" bestFit="1" customWidth="1"/>
    <col min="9974" max="9974" width="9" style="2"/>
    <col min="9975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1" width="9" style="2"/>
    <col min="10222" max="10222" width="2.375" style="2" customWidth="1"/>
    <col min="10223" max="10223" width="13.25" style="2" bestFit="1" customWidth="1"/>
    <col min="10224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29" width="11.125" style="2" bestFit="1" customWidth="1"/>
    <col min="10230" max="10230" width="9" style="2"/>
    <col min="10231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7" width="9" style="2"/>
    <col min="10478" max="10478" width="2.375" style="2" customWidth="1"/>
    <col min="10479" max="10479" width="13.25" style="2" bestFit="1" customWidth="1"/>
    <col min="10480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5" width="11.125" style="2" bestFit="1" customWidth="1"/>
    <col min="10486" max="10486" width="9" style="2"/>
    <col min="10487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3" width="9" style="2"/>
    <col min="10734" max="10734" width="2.375" style="2" customWidth="1"/>
    <col min="10735" max="10735" width="13.25" style="2" bestFit="1" customWidth="1"/>
    <col min="10736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1" width="11.125" style="2" bestFit="1" customWidth="1"/>
    <col min="10742" max="10742" width="9" style="2"/>
    <col min="10743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89" width="9" style="2"/>
    <col min="10990" max="10990" width="2.375" style="2" customWidth="1"/>
    <col min="10991" max="10991" width="13.25" style="2" bestFit="1" customWidth="1"/>
    <col min="10992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7" width="11.125" style="2" bestFit="1" customWidth="1"/>
    <col min="10998" max="10998" width="9" style="2"/>
    <col min="10999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5" width="9" style="2"/>
    <col min="11246" max="11246" width="2.375" style="2" customWidth="1"/>
    <col min="11247" max="11247" width="13.25" style="2" bestFit="1" customWidth="1"/>
    <col min="11248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3" width="11.125" style="2" bestFit="1" customWidth="1"/>
    <col min="11254" max="11254" width="9" style="2"/>
    <col min="11255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1" width="9" style="2"/>
    <col min="11502" max="11502" width="2.375" style="2" customWidth="1"/>
    <col min="11503" max="11503" width="13.25" style="2" bestFit="1" customWidth="1"/>
    <col min="11504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09" width="11.125" style="2" bestFit="1" customWidth="1"/>
    <col min="11510" max="11510" width="9" style="2"/>
    <col min="11511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7" width="9" style="2"/>
    <col min="11758" max="11758" width="2.375" style="2" customWidth="1"/>
    <col min="11759" max="11759" width="13.25" style="2" bestFit="1" customWidth="1"/>
    <col min="11760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5" width="11.125" style="2" bestFit="1" customWidth="1"/>
    <col min="11766" max="11766" width="9" style="2"/>
    <col min="11767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3" width="9" style="2"/>
    <col min="12014" max="12014" width="2.375" style="2" customWidth="1"/>
    <col min="12015" max="12015" width="13.25" style="2" bestFit="1" customWidth="1"/>
    <col min="12016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1" width="11.125" style="2" bestFit="1" customWidth="1"/>
    <col min="12022" max="12022" width="9" style="2"/>
    <col min="12023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69" width="9" style="2"/>
    <col min="12270" max="12270" width="2.375" style="2" customWidth="1"/>
    <col min="12271" max="12271" width="13.25" style="2" bestFit="1" customWidth="1"/>
    <col min="12272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7" width="11.125" style="2" bestFit="1" customWidth="1"/>
    <col min="12278" max="12278" width="9" style="2"/>
    <col min="12279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5" width="9" style="2"/>
    <col min="12526" max="12526" width="2.375" style="2" customWidth="1"/>
    <col min="12527" max="12527" width="13.25" style="2" bestFit="1" customWidth="1"/>
    <col min="12528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3" width="11.125" style="2" bestFit="1" customWidth="1"/>
    <col min="12534" max="12534" width="9" style="2"/>
    <col min="12535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1" width="9" style="2"/>
    <col min="12782" max="12782" width="2.375" style="2" customWidth="1"/>
    <col min="12783" max="12783" width="13.25" style="2" bestFit="1" customWidth="1"/>
    <col min="12784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89" width="11.125" style="2" bestFit="1" customWidth="1"/>
    <col min="12790" max="12790" width="9" style="2"/>
    <col min="12791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7" width="9" style="2"/>
    <col min="13038" max="13038" width="2.375" style="2" customWidth="1"/>
    <col min="13039" max="13039" width="13.25" style="2" bestFit="1" customWidth="1"/>
    <col min="13040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5" width="11.125" style="2" bestFit="1" customWidth="1"/>
    <col min="13046" max="13046" width="9" style="2"/>
    <col min="13047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3" width="9" style="2"/>
    <col min="13294" max="13294" width="2.375" style="2" customWidth="1"/>
    <col min="13295" max="13295" width="13.25" style="2" bestFit="1" customWidth="1"/>
    <col min="13296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1" width="11.125" style="2" bestFit="1" customWidth="1"/>
    <col min="13302" max="13302" width="9" style="2"/>
    <col min="13303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49" width="9" style="2"/>
    <col min="13550" max="13550" width="2.375" style="2" customWidth="1"/>
    <col min="13551" max="13551" width="13.25" style="2" bestFit="1" customWidth="1"/>
    <col min="13552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7" width="11.125" style="2" bestFit="1" customWidth="1"/>
    <col min="13558" max="13558" width="9" style="2"/>
    <col min="13559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5" width="9" style="2"/>
    <col min="13806" max="13806" width="2.375" style="2" customWidth="1"/>
    <col min="13807" max="13807" width="13.25" style="2" bestFit="1" customWidth="1"/>
    <col min="13808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3" width="11.125" style="2" bestFit="1" customWidth="1"/>
    <col min="13814" max="13814" width="9" style="2"/>
    <col min="13815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1" width="9" style="2"/>
    <col min="14062" max="14062" width="2.375" style="2" customWidth="1"/>
    <col min="14063" max="14063" width="13.25" style="2" bestFit="1" customWidth="1"/>
    <col min="14064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69" width="11.125" style="2" bestFit="1" customWidth="1"/>
    <col min="14070" max="14070" width="9" style="2"/>
    <col min="14071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7" width="9" style="2"/>
    <col min="14318" max="14318" width="2.375" style="2" customWidth="1"/>
    <col min="14319" max="14319" width="13.25" style="2" bestFit="1" customWidth="1"/>
    <col min="14320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5" width="11.125" style="2" bestFit="1" customWidth="1"/>
    <col min="14326" max="14326" width="9" style="2"/>
    <col min="14327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3" width="9" style="2"/>
    <col min="14574" max="14574" width="2.375" style="2" customWidth="1"/>
    <col min="14575" max="14575" width="13.25" style="2" bestFit="1" customWidth="1"/>
    <col min="14576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1" width="11.125" style="2" bestFit="1" customWidth="1"/>
    <col min="14582" max="14582" width="9" style="2"/>
    <col min="14583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29" width="9" style="2"/>
    <col min="14830" max="14830" width="2.375" style="2" customWidth="1"/>
    <col min="14831" max="14831" width="13.25" style="2" bestFit="1" customWidth="1"/>
    <col min="14832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7" width="11.125" style="2" bestFit="1" customWidth="1"/>
    <col min="14838" max="14838" width="9" style="2"/>
    <col min="14839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5" width="9" style="2"/>
    <col min="15086" max="15086" width="2.375" style="2" customWidth="1"/>
    <col min="15087" max="15087" width="13.25" style="2" bestFit="1" customWidth="1"/>
    <col min="15088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3" width="11.125" style="2" bestFit="1" customWidth="1"/>
    <col min="15094" max="15094" width="9" style="2"/>
    <col min="15095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1" width="9" style="2"/>
    <col min="15342" max="15342" width="2.375" style="2" customWidth="1"/>
    <col min="15343" max="15343" width="13.25" style="2" bestFit="1" customWidth="1"/>
    <col min="15344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49" width="11.125" style="2" bestFit="1" customWidth="1"/>
    <col min="15350" max="15350" width="9" style="2"/>
    <col min="15351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7" width="9" style="2"/>
    <col min="15598" max="15598" width="2.375" style="2" customWidth="1"/>
    <col min="15599" max="15599" width="13.25" style="2" bestFit="1" customWidth="1"/>
    <col min="15600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5" width="11.125" style="2" bestFit="1" customWidth="1"/>
    <col min="15606" max="15606" width="9" style="2"/>
    <col min="15607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3" width="9" style="2"/>
    <col min="15854" max="15854" width="2.375" style="2" customWidth="1"/>
    <col min="15855" max="15855" width="13.25" style="2" bestFit="1" customWidth="1"/>
    <col min="15856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1" width="11.125" style="2" bestFit="1" customWidth="1"/>
    <col min="15862" max="15862" width="9" style="2"/>
    <col min="15863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09" width="9" style="2"/>
    <col min="16110" max="16110" width="2.375" style="2" customWidth="1"/>
    <col min="16111" max="16111" width="13.25" style="2" bestFit="1" customWidth="1"/>
    <col min="16112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7" width="11.125" style="2" bestFit="1" customWidth="1"/>
    <col min="16118" max="16118" width="9" style="2"/>
    <col min="16119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111</v>
      </c>
    </row>
    <row r="3" spans="1:14">
      <c r="B3" s="16"/>
      <c r="C3" s="71" t="s">
        <v>17</v>
      </c>
      <c r="D3" s="36" t="s">
        <v>4</v>
      </c>
      <c r="E3" s="36" t="s">
        <v>26</v>
      </c>
      <c r="F3" s="36" t="s">
        <v>27</v>
      </c>
      <c r="G3" s="36" t="s">
        <v>24</v>
      </c>
      <c r="H3" s="36" t="s">
        <v>25</v>
      </c>
      <c r="I3" s="36" t="s">
        <v>28</v>
      </c>
      <c r="J3" s="4" t="s">
        <v>29</v>
      </c>
      <c r="K3" s="83" t="s">
        <v>108</v>
      </c>
      <c r="L3" s="4" t="s">
        <v>5</v>
      </c>
      <c r="M3" s="85" t="s">
        <v>108</v>
      </c>
      <c r="N3" s="5"/>
    </row>
    <row r="4" spans="1:14" ht="19.5" thickBot="1">
      <c r="A4" s="15"/>
      <c r="B4" s="6" t="s">
        <v>30</v>
      </c>
      <c r="C4" s="72" t="s">
        <v>46</v>
      </c>
      <c r="D4" s="38" t="s">
        <v>33</v>
      </c>
      <c r="E4" s="38" t="s">
        <v>55</v>
      </c>
      <c r="F4" s="38" t="s">
        <v>56</v>
      </c>
      <c r="G4" s="38" t="s">
        <v>53</v>
      </c>
      <c r="H4" s="38" t="s">
        <v>54</v>
      </c>
      <c r="I4" s="38" t="s">
        <v>57</v>
      </c>
      <c r="J4" s="3" t="s">
        <v>58</v>
      </c>
      <c r="K4" s="84" t="s">
        <v>109</v>
      </c>
      <c r="L4" s="3" t="s">
        <v>34</v>
      </c>
      <c r="M4" s="84" t="s">
        <v>110</v>
      </c>
      <c r="N4" s="6" t="s">
        <v>59</v>
      </c>
    </row>
    <row r="5" spans="1:14">
      <c r="A5" s="1" t="s">
        <v>1</v>
      </c>
      <c r="B5" s="22" t="s">
        <v>60</v>
      </c>
      <c r="C5" s="73">
        <v>22</v>
      </c>
      <c r="D5" s="40">
        <v>20</v>
      </c>
      <c r="E5" s="40">
        <v>14</v>
      </c>
      <c r="F5" s="40">
        <v>17</v>
      </c>
      <c r="G5" s="40">
        <v>10</v>
      </c>
      <c r="H5" s="40">
        <v>11</v>
      </c>
      <c r="I5" s="40">
        <v>8</v>
      </c>
      <c r="J5" s="23">
        <v>19</v>
      </c>
      <c r="K5" s="24">
        <f>SUM(C5:J5)</f>
        <v>121</v>
      </c>
      <c r="L5" s="23">
        <v>23</v>
      </c>
      <c r="M5" s="24">
        <f>SUM(L5)</f>
        <v>23</v>
      </c>
      <c r="N5" s="24">
        <v>519</v>
      </c>
    </row>
    <row r="6" spans="1:14">
      <c r="A6" s="1" t="s">
        <v>1</v>
      </c>
      <c r="B6" s="25" t="s">
        <v>61</v>
      </c>
      <c r="C6" s="74">
        <v>0</v>
      </c>
      <c r="D6" s="42">
        <v>2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26">
        <v>0</v>
      </c>
      <c r="K6" s="27">
        <f t="shared" ref="K6:K50" si="0">SUM(C6:J6)</f>
        <v>2</v>
      </c>
      <c r="L6" s="26">
        <v>0</v>
      </c>
      <c r="M6" s="27">
        <f t="shared" ref="M6:M50" si="1">SUM(L6)</f>
        <v>0</v>
      </c>
      <c r="N6" s="27">
        <v>34</v>
      </c>
    </row>
    <row r="7" spans="1:14">
      <c r="A7" s="1" t="s">
        <v>1</v>
      </c>
      <c r="B7" s="25" t="s">
        <v>62</v>
      </c>
      <c r="C7" s="74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26">
        <v>0</v>
      </c>
      <c r="K7" s="27">
        <f t="shared" si="0"/>
        <v>0</v>
      </c>
      <c r="L7" s="26">
        <v>0</v>
      </c>
      <c r="M7" s="27">
        <f t="shared" si="1"/>
        <v>0</v>
      </c>
      <c r="N7" s="27">
        <v>21</v>
      </c>
    </row>
    <row r="8" spans="1:14">
      <c r="A8" s="1" t="s">
        <v>1</v>
      </c>
      <c r="B8" s="25" t="s">
        <v>63</v>
      </c>
      <c r="C8" s="74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26">
        <v>0</v>
      </c>
      <c r="K8" s="27">
        <f t="shared" si="0"/>
        <v>0</v>
      </c>
      <c r="L8" s="26">
        <v>0</v>
      </c>
      <c r="M8" s="27">
        <f t="shared" si="1"/>
        <v>0</v>
      </c>
      <c r="N8" s="27">
        <v>12</v>
      </c>
    </row>
    <row r="9" spans="1:14">
      <c r="A9" s="1" t="s">
        <v>1</v>
      </c>
      <c r="B9" s="25" t="s">
        <v>64</v>
      </c>
      <c r="C9" s="74">
        <v>2</v>
      </c>
      <c r="D9" s="42">
        <v>4</v>
      </c>
      <c r="E9" s="42">
        <v>0</v>
      </c>
      <c r="F9" s="42">
        <v>1</v>
      </c>
      <c r="G9" s="42">
        <v>1</v>
      </c>
      <c r="H9" s="42">
        <v>1</v>
      </c>
      <c r="I9" s="42">
        <v>1</v>
      </c>
      <c r="J9" s="26">
        <v>2</v>
      </c>
      <c r="K9" s="27">
        <f t="shared" si="0"/>
        <v>12</v>
      </c>
      <c r="L9" s="26">
        <v>1</v>
      </c>
      <c r="M9" s="27">
        <f t="shared" si="1"/>
        <v>1</v>
      </c>
      <c r="N9" s="27">
        <v>77</v>
      </c>
    </row>
    <row r="10" spans="1:14">
      <c r="A10" s="1" t="s">
        <v>1</v>
      </c>
      <c r="B10" s="25" t="s">
        <v>65</v>
      </c>
      <c r="C10" s="74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26">
        <v>0</v>
      </c>
      <c r="K10" s="27">
        <f t="shared" si="0"/>
        <v>0</v>
      </c>
      <c r="L10" s="26">
        <v>0</v>
      </c>
      <c r="M10" s="27">
        <f t="shared" si="1"/>
        <v>0</v>
      </c>
      <c r="N10" s="27">
        <v>5</v>
      </c>
    </row>
    <row r="11" spans="1:14">
      <c r="A11" s="1" t="s">
        <v>1</v>
      </c>
      <c r="B11" s="25" t="s">
        <v>66</v>
      </c>
      <c r="C11" s="75">
        <v>0</v>
      </c>
      <c r="D11" s="44">
        <v>0</v>
      </c>
      <c r="E11" s="44">
        <v>3.6666666666666665</v>
      </c>
      <c r="F11" s="44">
        <v>4.208333333333333</v>
      </c>
      <c r="G11" s="44">
        <v>2.9583333333333335</v>
      </c>
      <c r="H11" s="44">
        <v>2.8333333333333335</v>
      </c>
      <c r="I11" s="44">
        <v>2.5</v>
      </c>
      <c r="J11" s="28">
        <v>4.291666666666667</v>
      </c>
      <c r="K11" s="29">
        <f t="shared" si="0"/>
        <v>20.458333333333336</v>
      </c>
      <c r="L11" s="28">
        <v>0</v>
      </c>
      <c r="M11" s="29">
        <f t="shared" si="1"/>
        <v>0</v>
      </c>
      <c r="N11" s="29">
        <v>20.458333333333332</v>
      </c>
    </row>
    <row r="12" spans="1:14">
      <c r="A12" s="1" t="s">
        <v>1</v>
      </c>
      <c r="B12" s="25" t="s">
        <v>67</v>
      </c>
      <c r="C12" s="75">
        <v>0</v>
      </c>
      <c r="D12" s="44">
        <v>1.625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28">
        <v>0</v>
      </c>
      <c r="K12" s="29">
        <f t="shared" si="0"/>
        <v>1.625</v>
      </c>
      <c r="L12" s="28">
        <v>0</v>
      </c>
      <c r="M12" s="29">
        <f t="shared" si="1"/>
        <v>0</v>
      </c>
      <c r="N12" s="29">
        <v>34.583333333333336</v>
      </c>
    </row>
    <row r="13" spans="1:14">
      <c r="A13" s="1" t="s">
        <v>1</v>
      </c>
      <c r="B13" s="25" t="s">
        <v>68</v>
      </c>
      <c r="C13" s="75">
        <v>0</v>
      </c>
      <c r="D13" s="44">
        <v>0.70833333333333337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28">
        <v>0</v>
      </c>
      <c r="K13" s="29">
        <f t="shared" si="0"/>
        <v>0.70833333333333337</v>
      </c>
      <c r="L13" s="28">
        <v>0</v>
      </c>
      <c r="M13" s="29">
        <f t="shared" si="1"/>
        <v>0</v>
      </c>
      <c r="N13" s="29">
        <v>7.875</v>
      </c>
    </row>
    <row r="14" spans="1:14">
      <c r="A14" s="1" t="s">
        <v>1</v>
      </c>
      <c r="B14" s="25" t="s">
        <v>69</v>
      </c>
      <c r="C14" s="75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28">
        <v>0</v>
      </c>
      <c r="K14" s="29">
        <f t="shared" si="0"/>
        <v>0</v>
      </c>
      <c r="L14" s="28">
        <v>0</v>
      </c>
      <c r="M14" s="29">
        <f t="shared" si="1"/>
        <v>0</v>
      </c>
      <c r="N14" s="29">
        <v>6.25</v>
      </c>
    </row>
    <row r="15" spans="1:14">
      <c r="A15" s="1" t="s">
        <v>1</v>
      </c>
      <c r="B15" s="25" t="s">
        <v>70</v>
      </c>
      <c r="C15" s="75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28">
        <v>0</v>
      </c>
      <c r="K15" s="29">
        <f t="shared" si="0"/>
        <v>0</v>
      </c>
      <c r="L15" s="28">
        <v>0</v>
      </c>
      <c r="M15" s="29">
        <f t="shared" si="1"/>
        <v>0</v>
      </c>
      <c r="N15" s="29">
        <v>3.6666666666666665</v>
      </c>
    </row>
    <row r="16" spans="1:14">
      <c r="A16" s="1" t="s">
        <v>1</v>
      </c>
      <c r="B16" s="25" t="s">
        <v>71</v>
      </c>
      <c r="C16" s="75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28">
        <v>0</v>
      </c>
      <c r="K16" s="29">
        <f t="shared" si="0"/>
        <v>0</v>
      </c>
      <c r="L16" s="28">
        <v>0</v>
      </c>
      <c r="M16" s="29">
        <f t="shared" si="1"/>
        <v>0</v>
      </c>
      <c r="N16" s="29">
        <v>1.2083333333333333</v>
      </c>
    </row>
    <row r="17" spans="1:14">
      <c r="A17" s="1" t="s">
        <v>1</v>
      </c>
      <c r="B17" s="25" t="s">
        <v>72</v>
      </c>
      <c r="C17" s="75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28">
        <v>0</v>
      </c>
      <c r="K17" s="29">
        <f t="shared" si="0"/>
        <v>0</v>
      </c>
      <c r="L17" s="28">
        <v>0</v>
      </c>
      <c r="M17" s="29">
        <f t="shared" si="1"/>
        <v>0</v>
      </c>
      <c r="N17" s="29">
        <v>2</v>
      </c>
    </row>
    <row r="18" spans="1:14">
      <c r="A18" s="1" t="s">
        <v>1</v>
      </c>
      <c r="B18" s="25" t="s">
        <v>73</v>
      </c>
      <c r="C18" s="75">
        <v>0</v>
      </c>
      <c r="D18" s="44">
        <v>0</v>
      </c>
      <c r="E18" s="44">
        <v>0</v>
      </c>
      <c r="F18" s="44">
        <v>0.29166666666666669</v>
      </c>
      <c r="G18" s="44">
        <v>0.29166666666666669</v>
      </c>
      <c r="H18" s="44">
        <v>0.29166666666666669</v>
      </c>
      <c r="I18" s="44">
        <v>0.29166666666666669</v>
      </c>
      <c r="J18" s="28">
        <v>0.33333333333333331</v>
      </c>
      <c r="K18" s="29">
        <f t="shared" si="0"/>
        <v>1.5</v>
      </c>
      <c r="L18" s="28">
        <v>0</v>
      </c>
      <c r="M18" s="29">
        <f t="shared" si="1"/>
        <v>0</v>
      </c>
      <c r="N18" s="29">
        <v>1.5</v>
      </c>
    </row>
    <row r="19" spans="1:14">
      <c r="A19" s="1" t="s">
        <v>1</v>
      </c>
      <c r="B19" s="7" t="s">
        <v>74</v>
      </c>
      <c r="C19" s="76">
        <v>0.20833333333333334</v>
      </c>
      <c r="D19" s="46">
        <v>0</v>
      </c>
      <c r="E19" s="46">
        <v>0</v>
      </c>
      <c r="F19" s="46">
        <v>0</v>
      </c>
      <c r="G19" s="46">
        <v>2.0833333333333335</v>
      </c>
      <c r="H19" s="46">
        <v>1.875</v>
      </c>
      <c r="I19" s="46">
        <v>0.83333333333333337</v>
      </c>
      <c r="J19" s="8">
        <v>1.0833333333333333</v>
      </c>
      <c r="K19" s="9">
        <f t="shared" si="0"/>
        <v>6.083333333333333</v>
      </c>
      <c r="L19" s="8">
        <v>0</v>
      </c>
      <c r="M19" s="9">
        <f t="shared" si="1"/>
        <v>0</v>
      </c>
      <c r="N19" s="9">
        <v>18.208333333333332</v>
      </c>
    </row>
    <row r="20" spans="1:14">
      <c r="A20" s="1" t="s">
        <v>1</v>
      </c>
      <c r="B20" s="17" t="s">
        <v>75</v>
      </c>
      <c r="C20" s="77">
        <v>18</v>
      </c>
      <c r="D20" s="48">
        <v>35</v>
      </c>
      <c r="E20" s="48">
        <v>22</v>
      </c>
      <c r="F20" s="48">
        <v>20</v>
      </c>
      <c r="G20" s="48">
        <v>3</v>
      </c>
      <c r="H20" s="48">
        <v>2</v>
      </c>
      <c r="I20" s="48">
        <v>4</v>
      </c>
      <c r="J20" s="18">
        <v>17</v>
      </c>
      <c r="K20" s="19">
        <f t="shared" si="0"/>
        <v>121</v>
      </c>
      <c r="L20" s="18">
        <v>35</v>
      </c>
      <c r="M20" s="19">
        <f t="shared" si="1"/>
        <v>35</v>
      </c>
      <c r="N20" s="19"/>
    </row>
    <row r="21" spans="1:14">
      <c r="A21" s="1" t="s">
        <v>1</v>
      </c>
      <c r="B21" s="30" t="s">
        <v>76</v>
      </c>
      <c r="C21" s="78">
        <v>355000</v>
      </c>
      <c r="D21" s="50">
        <v>270000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31">
        <v>0</v>
      </c>
      <c r="K21" s="32">
        <f t="shared" si="0"/>
        <v>625000</v>
      </c>
      <c r="L21" s="31">
        <v>365000</v>
      </c>
      <c r="M21" s="32">
        <f t="shared" si="1"/>
        <v>365000</v>
      </c>
      <c r="N21" s="32">
        <v>4396000</v>
      </c>
    </row>
    <row r="22" spans="1:14">
      <c r="A22" s="1" t="s">
        <v>1</v>
      </c>
      <c r="B22" s="25" t="s">
        <v>77</v>
      </c>
      <c r="C22" s="79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33">
        <v>0</v>
      </c>
      <c r="K22" s="34">
        <f t="shared" si="0"/>
        <v>0</v>
      </c>
      <c r="L22" s="33">
        <v>0</v>
      </c>
      <c r="M22" s="34">
        <f t="shared" si="1"/>
        <v>0</v>
      </c>
      <c r="N22" s="34">
        <v>50000</v>
      </c>
    </row>
    <row r="23" spans="1:14">
      <c r="A23" s="1" t="s">
        <v>1</v>
      </c>
      <c r="B23" s="25" t="s">
        <v>78</v>
      </c>
      <c r="C23" s="79">
        <v>0</v>
      </c>
      <c r="D23" s="52">
        <v>3000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33">
        <v>0</v>
      </c>
      <c r="K23" s="34">
        <f t="shared" si="0"/>
        <v>3000</v>
      </c>
      <c r="L23" s="33">
        <v>0</v>
      </c>
      <c r="M23" s="34">
        <f t="shared" si="1"/>
        <v>0</v>
      </c>
      <c r="N23" s="34">
        <v>6000</v>
      </c>
    </row>
    <row r="24" spans="1:14">
      <c r="A24" s="1" t="s">
        <v>1</v>
      </c>
      <c r="B24" s="25" t="s">
        <v>79</v>
      </c>
      <c r="C24" s="79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33">
        <v>0</v>
      </c>
      <c r="K24" s="34">
        <f t="shared" si="0"/>
        <v>0</v>
      </c>
      <c r="L24" s="33">
        <v>0</v>
      </c>
      <c r="M24" s="34">
        <f t="shared" si="1"/>
        <v>0</v>
      </c>
      <c r="N24" s="34">
        <v>300316</v>
      </c>
    </row>
    <row r="25" spans="1:14">
      <c r="A25" s="1" t="s">
        <v>1</v>
      </c>
      <c r="B25" s="25" t="s">
        <v>80</v>
      </c>
      <c r="C25" s="79">
        <v>0</v>
      </c>
      <c r="D25" s="52">
        <v>0</v>
      </c>
      <c r="E25" s="52">
        <v>82720</v>
      </c>
      <c r="F25" s="52">
        <v>96960</v>
      </c>
      <c r="G25" s="52">
        <v>61060</v>
      </c>
      <c r="H25" s="52">
        <v>58480</v>
      </c>
      <c r="I25" s="52">
        <v>52800</v>
      </c>
      <c r="J25" s="33">
        <v>88580</v>
      </c>
      <c r="K25" s="34">
        <f t="shared" si="0"/>
        <v>440600</v>
      </c>
      <c r="L25" s="33">
        <v>0</v>
      </c>
      <c r="M25" s="34">
        <f t="shared" si="1"/>
        <v>0</v>
      </c>
      <c r="N25" s="34">
        <v>440600</v>
      </c>
    </row>
    <row r="26" spans="1:14">
      <c r="A26" s="1" t="s">
        <v>1</v>
      </c>
      <c r="B26" s="25" t="s">
        <v>81</v>
      </c>
      <c r="C26" s="79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33">
        <v>0</v>
      </c>
      <c r="K26" s="34">
        <f t="shared" si="0"/>
        <v>0</v>
      </c>
      <c r="L26" s="33">
        <v>0</v>
      </c>
      <c r="M26" s="34">
        <f t="shared" si="1"/>
        <v>0</v>
      </c>
      <c r="N26" s="34">
        <v>28000</v>
      </c>
    </row>
    <row r="27" spans="1:14">
      <c r="A27" s="1" t="s">
        <v>1</v>
      </c>
      <c r="B27" s="25" t="s">
        <v>82</v>
      </c>
      <c r="C27" s="79">
        <v>0</v>
      </c>
      <c r="D27" s="52">
        <v>0</v>
      </c>
      <c r="E27" s="52">
        <v>0</v>
      </c>
      <c r="F27" s="52">
        <v>6720</v>
      </c>
      <c r="G27" s="52">
        <v>6020</v>
      </c>
      <c r="H27" s="52">
        <v>6020</v>
      </c>
      <c r="I27" s="52">
        <v>6160</v>
      </c>
      <c r="J27" s="33">
        <v>6880</v>
      </c>
      <c r="K27" s="34">
        <f t="shared" si="0"/>
        <v>31800</v>
      </c>
      <c r="L27" s="33">
        <v>0</v>
      </c>
      <c r="M27" s="34">
        <f t="shared" si="1"/>
        <v>0</v>
      </c>
      <c r="N27" s="34">
        <v>31800</v>
      </c>
    </row>
    <row r="28" spans="1:14">
      <c r="A28" s="1" t="s">
        <v>1</v>
      </c>
      <c r="B28" s="25" t="s">
        <v>67</v>
      </c>
      <c r="C28" s="79">
        <v>0</v>
      </c>
      <c r="D28" s="52">
        <v>79716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33">
        <v>0</v>
      </c>
      <c r="K28" s="34">
        <f t="shared" si="0"/>
        <v>79716</v>
      </c>
      <c r="L28" s="33">
        <v>0</v>
      </c>
      <c r="M28" s="34">
        <f t="shared" si="1"/>
        <v>0</v>
      </c>
      <c r="N28" s="34">
        <v>1170512</v>
      </c>
    </row>
    <row r="29" spans="1:14">
      <c r="A29" s="1" t="s">
        <v>1</v>
      </c>
      <c r="B29" s="25" t="s">
        <v>83</v>
      </c>
      <c r="C29" s="79">
        <v>0</v>
      </c>
      <c r="D29" s="52">
        <v>37519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33">
        <v>0</v>
      </c>
      <c r="K29" s="34">
        <f t="shared" si="0"/>
        <v>37519</v>
      </c>
      <c r="L29" s="33">
        <v>0</v>
      </c>
      <c r="M29" s="34">
        <f t="shared" si="1"/>
        <v>0</v>
      </c>
      <c r="N29" s="34">
        <v>289987</v>
      </c>
    </row>
    <row r="30" spans="1:14">
      <c r="A30" s="1" t="s">
        <v>1</v>
      </c>
      <c r="B30" s="25" t="s">
        <v>84</v>
      </c>
      <c r="C30" s="79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33">
        <v>0</v>
      </c>
      <c r="K30" s="34">
        <f t="shared" si="0"/>
        <v>0</v>
      </c>
      <c r="L30" s="33">
        <v>0</v>
      </c>
      <c r="M30" s="34">
        <f t="shared" si="1"/>
        <v>0</v>
      </c>
      <c r="N30" s="34">
        <v>218858</v>
      </c>
    </row>
    <row r="31" spans="1:14">
      <c r="A31" s="1" t="s">
        <v>1</v>
      </c>
      <c r="B31" s="25" t="s">
        <v>85</v>
      </c>
      <c r="C31" s="79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33">
        <v>0</v>
      </c>
      <c r="K31" s="34">
        <f t="shared" si="0"/>
        <v>0</v>
      </c>
      <c r="L31" s="33">
        <v>0</v>
      </c>
      <c r="M31" s="34">
        <f t="shared" si="1"/>
        <v>0</v>
      </c>
      <c r="N31" s="34">
        <v>34872</v>
      </c>
    </row>
    <row r="32" spans="1:14">
      <c r="A32" s="1" t="s">
        <v>1</v>
      </c>
      <c r="B32" s="25" t="s">
        <v>86</v>
      </c>
      <c r="C32" s="79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33">
        <v>0</v>
      </c>
      <c r="K32" s="34">
        <f t="shared" si="0"/>
        <v>0</v>
      </c>
      <c r="L32" s="33">
        <v>0</v>
      </c>
      <c r="M32" s="34">
        <f t="shared" si="1"/>
        <v>0</v>
      </c>
      <c r="N32" s="34">
        <v>10324</v>
      </c>
    </row>
    <row r="33" spans="1:14">
      <c r="A33" s="1" t="s">
        <v>1</v>
      </c>
      <c r="B33" s="25" t="s">
        <v>72</v>
      </c>
      <c r="C33" s="79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33">
        <v>0</v>
      </c>
      <c r="K33" s="34">
        <f t="shared" si="0"/>
        <v>0</v>
      </c>
      <c r="L33" s="33">
        <v>0</v>
      </c>
      <c r="M33" s="34">
        <f t="shared" si="1"/>
        <v>0</v>
      </c>
      <c r="N33" s="34">
        <v>13670</v>
      </c>
    </row>
    <row r="34" spans="1:14">
      <c r="A34" s="1" t="s">
        <v>1</v>
      </c>
      <c r="B34" s="7" t="s">
        <v>74</v>
      </c>
      <c r="C34" s="80">
        <v>2660</v>
      </c>
      <c r="D34" s="54">
        <v>0</v>
      </c>
      <c r="E34" s="54">
        <v>0</v>
      </c>
      <c r="F34" s="54">
        <v>0</v>
      </c>
      <c r="G34" s="54">
        <v>10750</v>
      </c>
      <c r="H34" s="54">
        <v>9675</v>
      </c>
      <c r="I34" s="54">
        <v>4400</v>
      </c>
      <c r="J34" s="10">
        <v>5590</v>
      </c>
      <c r="K34" s="11">
        <f t="shared" si="0"/>
        <v>33075</v>
      </c>
      <c r="L34" s="10">
        <v>0</v>
      </c>
      <c r="M34" s="11">
        <f t="shared" si="1"/>
        <v>0</v>
      </c>
      <c r="N34" s="11">
        <v>113087</v>
      </c>
    </row>
    <row r="35" spans="1:14">
      <c r="A35" s="1" t="s">
        <v>1</v>
      </c>
      <c r="B35" s="17" t="s">
        <v>87</v>
      </c>
      <c r="C35" s="81">
        <v>357660</v>
      </c>
      <c r="D35" s="56">
        <v>390235</v>
      </c>
      <c r="E35" s="56">
        <v>82720</v>
      </c>
      <c r="F35" s="56">
        <v>103680</v>
      </c>
      <c r="G35" s="56">
        <v>77830</v>
      </c>
      <c r="H35" s="56">
        <v>74175</v>
      </c>
      <c r="I35" s="56">
        <v>63360</v>
      </c>
      <c r="J35" s="20">
        <v>101050</v>
      </c>
      <c r="K35" s="21">
        <f t="shared" si="0"/>
        <v>1250710</v>
      </c>
      <c r="L35" s="20">
        <v>365000</v>
      </c>
      <c r="M35" s="21">
        <f t="shared" si="1"/>
        <v>365000</v>
      </c>
      <c r="N35" s="21">
        <v>7104026</v>
      </c>
    </row>
    <row r="36" spans="1:14">
      <c r="A36" s="1" t="s">
        <v>1</v>
      </c>
      <c r="B36" s="30" t="s">
        <v>88</v>
      </c>
      <c r="C36" s="78">
        <v>3546</v>
      </c>
      <c r="D36" s="50">
        <v>4856</v>
      </c>
      <c r="E36" s="50">
        <v>2878</v>
      </c>
      <c r="F36" s="50">
        <v>2184</v>
      </c>
      <c r="G36" s="50">
        <v>3084</v>
      </c>
      <c r="H36" s="50">
        <v>4111</v>
      </c>
      <c r="I36" s="50">
        <v>2672</v>
      </c>
      <c r="J36" s="31">
        <v>6835</v>
      </c>
      <c r="K36" s="32">
        <f t="shared" si="0"/>
        <v>30166</v>
      </c>
      <c r="L36" s="31">
        <v>7348</v>
      </c>
      <c r="M36" s="32">
        <f t="shared" si="1"/>
        <v>7348</v>
      </c>
      <c r="N36" s="32">
        <v>145122</v>
      </c>
    </row>
    <row r="37" spans="1:14">
      <c r="A37" s="1" t="s">
        <v>1</v>
      </c>
      <c r="B37" s="7" t="s">
        <v>89</v>
      </c>
      <c r="C37" s="80">
        <v>3546</v>
      </c>
      <c r="D37" s="54">
        <v>4856</v>
      </c>
      <c r="E37" s="54">
        <v>2878</v>
      </c>
      <c r="F37" s="54">
        <v>2184</v>
      </c>
      <c r="G37" s="54">
        <v>3084</v>
      </c>
      <c r="H37" s="54">
        <v>4111</v>
      </c>
      <c r="I37" s="54">
        <v>2672</v>
      </c>
      <c r="J37" s="10">
        <v>6835</v>
      </c>
      <c r="K37" s="11">
        <f t="shared" si="0"/>
        <v>30166</v>
      </c>
      <c r="L37" s="10">
        <v>7348</v>
      </c>
      <c r="M37" s="11">
        <f t="shared" si="1"/>
        <v>7348</v>
      </c>
      <c r="N37" s="11">
        <v>145122</v>
      </c>
    </row>
    <row r="38" spans="1:14">
      <c r="A38" s="1" t="s">
        <v>1</v>
      </c>
      <c r="B38" s="17" t="s">
        <v>90</v>
      </c>
      <c r="C38" s="81">
        <v>361206</v>
      </c>
      <c r="D38" s="56">
        <v>395091</v>
      </c>
      <c r="E38" s="56">
        <v>85598</v>
      </c>
      <c r="F38" s="56">
        <v>105864</v>
      </c>
      <c r="G38" s="56">
        <v>80914</v>
      </c>
      <c r="H38" s="56">
        <v>78286</v>
      </c>
      <c r="I38" s="56">
        <v>66032</v>
      </c>
      <c r="J38" s="20">
        <v>107885</v>
      </c>
      <c r="K38" s="21">
        <f t="shared" si="0"/>
        <v>1280876</v>
      </c>
      <c r="L38" s="20">
        <v>372348</v>
      </c>
      <c r="M38" s="21">
        <f t="shared" si="1"/>
        <v>372348</v>
      </c>
      <c r="N38" s="21">
        <v>7249148</v>
      </c>
    </row>
    <row r="39" spans="1:14">
      <c r="A39" s="1" t="s">
        <v>1</v>
      </c>
      <c r="B39" s="30" t="s">
        <v>91</v>
      </c>
      <c r="C39" s="78">
        <v>19380</v>
      </c>
      <c r="D39" s="50">
        <v>20910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31">
        <v>0</v>
      </c>
      <c r="K39" s="32">
        <f t="shared" si="0"/>
        <v>40290</v>
      </c>
      <c r="L39" s="31">
        <v>19380</v>
      </c>
      <c r="M39" s="32">
        <f t="shared" si="1"/>
        <v>19380</v>
      </c>
      <c r="N39" s="32">
        <v>369750</v>
      </c>
    </row>
    <row r="40" spans="1:14">
      <c r="A40" s="1" t="s">
        <v>1</v>
      </c>
      <c r="B40" s="25" t="s">
        <v>92</v>
      </c>
      <c r="C40" s="79">
        <v>3420</v>
      </c>
      <c r="D40" s="52">
        <v>3690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33">
        <v>0</v>
      </c>
      <c r="K40" s="34">
        <f t="shared" si="0"/>
        <v>7110</v>
      </c>
      <c r="L40" s="33">
        <v>3420</v>
      </c>
      <c r="M40" s="34">
        <f t="shared" si="1"/>
        <v>3420</v>
      </c>
      <c r="N40" s="34">
        <v>65250</v>
      </c>
    </row>
    <row r="41" spans="1:14">
      <c r="A41" s="1" t="s">
        <v>1</v>
      </c>
      <c r="B41" s="25" t="s">
        <v>93</v>
      </c>
      <c r="C41" s="79">
        <v>34770</v>
      </c>
      <c r="D41" s="52">
        <v>37515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33">
        <v>0</v>
      </c>
      <c r="K41" s="34">
        <f t="shared" si="0"/>
        <v>72285</v>
      </c>
      <c r="L41" s="33">
        <v>34770</v>
      </c>
      <c r="M41" s="34">
        <f t="shared" si="1"/>
        <v>34770</v>
      </c>
      <c r="N41" s="34">
        <v>663375</v>
      </c>
    </row>
    <row r="42" spans="1:14">
      <c r="A42" s="1" t="s">
        <v>1</v>
      </c>
      <c r="B42" s="7" t="s">
        <v>94</v>
      </c>
      <c r="C42" s="80">
        <v>2167</v>
      </c>
      <c r="D42" s="54">
        <v>2371</v>
      </c>
      <c r="E42" s="54">
        <v>514</v>
      </c>
      <c r="F42" s="54">
        <v>635</v>
      </c>
      <c r="G42" s="54">
        <v>0</v>
      </c>
      <c r="H42" s="54">
        <v>0</v>
      </c>
      <c r="I42" s="54">
        <v>0</v>
      </c>
      <c r="J42" s="10">
        <v>647</v>
      </c>
      <c r="K42" s="11">
        <f t="shared" si="0"/>
        <v>6334</v>
      </c>
      <c r="L42" s="10">
        <v>2234</v>
      </c>
      <c r="M42" s="11">
        <f t="shared" si="1"/>
        <v>2234</v>
      </c>
      <c r="N42" s="11">
        <v>42144</v>
      </c>
    </row>
    <row r="43" spans="1:14">
      <c r="A43" s="1" t="s">
        <v>1</v>
      </c>
      <c r="B43" s="17" t="s">
        <v>95</v>
      </c>
      <c r="C43" s="81">
        <v>59737</v>
      </c>
      <c r="D43" s="56">
        <v>64486</v>
      </c>
      <c r="E43" s="56">
        <v>514</v>
      </c>
      <c r="F43" s="56">
        <v>635</v>
      </c>
      <c r="G43" s="56">
        <v>0</v>
      </c>
      <c r="H43" s="56">
        <v>0</v>
      </c>
      <c r="I43" s="56">
        <v>0</v>
      </c>
      <c r="J43" s="20">
        <v>647</v>
      </c>
      <c r="K43" s="21">
        <f t="shared" si="0"/>
        <v>126019</v>
      </c>
      <c r="L43" s="20">
        <v>59804</v>
      </c>
      <c r="M43" s="21">
        <f t="shared" si="1"/>
        <v>59804</v>
      </c>
      <c r="N43" s="21">
        <v>1140519</v>
      </c>
    </row>
    <row r="44" spans="1:14">
      <c r="A44" s="1" t="s">
        <v>1</v>
      </c>
      <c r="B44" s="30" t="s">
        <v>96</v>
      </c>
      <c r="C44" s="78">
        <v>8260</v>
      </c>
      <c r="D44" s="50">
        <v>7770</v>
      </c>
      <c r="E44" s="50">
        <v>0</v>
      </c>
      <c r="F44" s="50">
        <v>880</v>
      </c>
      <c r="G44" s="50">
        <v>0</v>
      </c>
      <c r="H44" s="50">
        <v>0</v>
      </c>
      <c r="I44" s="50">
        <v>0</v>
      </c>
      <c r="J44" s="31">
        <v>0</v>
      </c>
      <c r="K44" s="32">
        <f t="shared" si="0"/>
        <v>16910</v>
      </c>
      <c r="L44" s="31">
        <v>8800</v>
      </c>
      <c r="M44" s="32">
        <f t="shared" si="1"/>
        <v>8800</v>
      </c>
      <c r="N44" s="32">
        <v>131110</v>
      </c>
    </row>
    <row r="45" spans="1:14">
      <c r="A45" s="1" t="s">
        <v>1</v>
      </c>
      <c r="B45" s="25" t="s">
        <v>97</v>
      </c>
      <c r="C45" s="79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33">
        <v>0</v>
      </c>
      <c r="K45" s="34">
        <f t="shared" si="0"/>
        <v>0</v>
      </c>
      <c r="L45" s="33">
        <v>0</v>
      </c>
      <c r="M45" s="34">
        <f t="shared" si="1"/>
        <v>0</v>
      </c>
      <c r="N45" s="34">
        <v>18200</v>
      </c>
    </row>
    <row r="46" spans="1:14">
      <c r="A46" s="1" t="s">
        <v>1</v>
      </c>
      <c r="B46" s="7" t="s">
        <v>98</v>
      </c>
      <c r="C46" s="80">
        <v>16800</v>
      </c>
      <c r="D46" s="54">
        <v>16400</v>
      </c>
      <c r="E46" s="54">
        <v>600</v>
      </c>
      <c r="F46" s="54">
        <v>500</v>
      </c>
      <c r="G46" s="54">
        <v>0</v>
      </c>
      <c r="H46" s="54">
        <v>0</v>
      </c>
      <c r="I46" s="54">
        <v>0</v>
      </c>
      <c r="J46" s="10">
        <v>2300</v>
      </c>
      <c r="K46" s="11">
        <f t="shared" si="0"/>
        <v>36600</v>
      </c>
      <c r="L46" s="10">
        <v>17300</v>
      </c>
      <c r="M46" s="11">
        <f t="shared" si="1"/>
        <v>17300</v>
      </c>
      <c r="N46" s="11">
        <v>249500</v>
      </c>
    </row>
    <row r="47" spans="1:14">
      <c r="A47" s="1" t="s">
        <v>1</v>
      </c>
      <c r="B47" s="17" t="s">
        <v>99</v>
      </c>
      <c r="C47" s="81">
        <v>84797</v>
      </c>
      <c r="D47" s="56">
        <v>88656</v>
      </c>
      <c r="E47" s="56">
        <v>1114</v>
      </c>
      <c r="F47" s="56">
        <v>2015</v>
      </c>
      <c r="G47" s="56">
        <v>0</v>
      </c>
      <c r="H47" s="56">
        <v>0</v>
      </c>
      <c r="I47" s="56">
        <v>0</v>
      </c>
      <c r="J47" s="20">
        <v>2947</v>
      </c>
      <c r="K47" s="21">
        <f t="shared" si="0"/>
        <v>179529</v>
      </c>
      <c r="L47" s="20">
        <v>85904</v>
      </c>
      <c r="M47" s="21">
        <f t="shared" si="1"/>
        <v>85904</v>
      </c>
      <c r="N47" s="21">
        <v>1539329</v>
      </c>
    </row>
    <row r="48" spans="1:14">
      <c r="A48" s="1" t="s">
        <v>1</v>
      </c>
      <c r="B48" s="17" t="s">
        <v>100</v>
      </c>
      <c r="C48" s="81">
        <v>297923</v>
      </c>
      <c r="D48" s="56">
        <v>325749</v>
      </c>
      <c r="E48" s="56">
        <v>82206</v>
      </c>
      <c r="F48" s="56">
        <v>103045</v>
      </c>
      <c r="G48" s="56">
        <v>77830</v>
      </c>
      <c r="H48" s="56">
        <v>74175</v>
      </c>
      <c r="I48" s="56">
        <v>63360</v>
      </c>
      <c r="J48" s="20">
        <v>100403</v>
      </c>
      <c r="K48" s="21">
        <f t="shared" si="0"/>
        <v>1124691</v>
      </c>
      <c r="L48" s="20">
        <v>305196</v>
      </c>
      <c r="M48" s="21">
        <f t="shared" si="1"/>
        <v>305196</v>
      </c>
      <c r="N48" s="21">
        <v>5963507</v>
      </c>
    </row>
    <row r="49" spans="1:14">
      <c r="A49" s="1" t="s">
        <v>1</v>
      </c>
      <c r="B49" s="17" t="s">
        <v>101</v>
      </c>
      <c r="C49" s="81">
        <v>276409</v>
      </c>
      <c r="D49" s="56">
        <v>306435</v>
      </c>
      <c r="E49" s="56">
        <v>84484</v>
      </c>
      <c r="F49" s="56">
        <v>103849</v>
      </c>
      <c r="G49" s="56">
        <v>80914</v>
      </c>
      <c r="H49" s="56">
        <v>78286</v>
      </c>
      <c r="I49" s="56">
        <v>66032</v>
      </c>
      <c r="J49" s="20">
        <v>104938</v>
      </c>
      <c r="K49" s="21">
        <f t="shared" si="0"/>
        <v>1101347</v>
      </c>
      <c r="L49" s="20">
        <v>286444</v>
      </c>
      <c r="M49" s="21">
        <f t="shared" si="1"/>
        <v>286444</v>
      </c>
      <c r="N49" s="21">
        <v>5709819</v>
      </c>
    </row>
    <row r="50" spans="1:14">
      <c r="A50" s="1" t="s">
        <v>1</v>
      </c>
      <c r="B50" s="17" t="s">
        <v>102</v>
      </c>
      <c r="C50" s="81">
        <v>276409</v>
      </c>
      <c r="D50" s="56">
        <v>306435</v>
      </c>
      <c r="E50" s="56">
        <v>84484</v>
      </c>
      <c r="F50" s="56">
        <v>103849</v>
      </c>
      <c r="G50" s="56">
        <v>80914</v>
      </c>
      <c r="H50" s="56">
        <v>78286</v>
      </c>
      <c r="I50" s="56">
        <v>66032</v>
      </c>
      <c r="J50" s="20">
        <v>104938</v>
      </c>
      <c r="K50" s="21">
        <f t="shared" si="0"/>
        <v>1101347</v>
      </c>
      <c r="L50" s="20">
        <v>286444</v>
      </c>
      <c r="M50" s="21">
        <f t="shared" si="1"/>
        <v>286444</v>
      </c>
      <c r="N50" s="21">
        <v>5709819</v>
      </c>
    </row>
    <row r="51" spans="1:14">
      <c r="A51" s="1" t="s">
        <v>1</v>
      </c>
      <c r="B51" s="17" t="s">
        <v>103</v>
      </c>
      <c r="C51" s="81">
        <v>0</v>
      </c>
      <c r="D51" s="56">
        <v>1</v>
      </c>
      <c r="E51" s="56">
        <v>0</v>
      </c>
      <c r="F51" s="56">
        <v>0</v>
      </c>
      <c r="G51" s="56">
        <v>1</v>
      </c>
      <c r="H51" s="56">
        <v>1</v>
      </c>
      <c r="I51" s="56">
        <v>1</v>
      </c>
      <c r="J51" s="20">
        <v>1</v>
      </c>
      <c r="K51" s="21"/>
      <c r="L51" s="20">
        <v>0</v>
      </c>
      <c r="M51" s="21"/>
      <c r="N51" s="21"/>
    </row>
    <row r="52" spans="1:14" ht="19.5" thickBot="1">
      <c r="A52" s="1" t="s">
        <v>1</v>
      </c>
      <c r="B52" s="12" t="s">
        <v>104</v>
      </c>
      <c r="C52" s="82" t="s">
        <v>105</v>
      </c>
      <c r="D52" s="58" t="s">
        <v>105</v>
      </c>
      <c r="E52" s="58" t="s">
        <v>105</v>
      </c>
      <c r="F52" s="58" t="s">
        <v>105</v>
      </c>
      <c r="G52" s="58" t="s">
        <v>105</v>
      </c>
      <c r="H52" s="58" t="s">
        <v>105</v>
      </c>
      <c r="I52" s="58" t="s">
        <v>105</v>
      </c>
      <c r="J52" s="13" t="s">
        <v>105</v>
      </c>
      <c r="K52" s="14"/>
      <c r="L52" s="13" t="s">
        <v>105</v>
      </c>
      <c r="M52" s="14"/>
      <c r="N52" s="14"/>
    </row>
    <row r="54" spans="1:14">
      <c r="E54" s="2">
        <f>E25/88</f>
        <v>940</v>
      </c>
      <c r="F54" s="2">
        <f>F25/101</f>
        <v>960</v>
      </c>
    </row>
  </sheetData>
  <phoneticPr fontId="3"/>
  <pageMargins left="0.31496062992125984" right="0.31496062992125984" top="0.35433070866141736" bottom="0.35433070866141736" header="0.31496062992125984" footer="0.31496062992125984"/>
  <pageSetup paperSize="12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AA92-3BCB-4407-8E01-E5B0D5C096F2}">
  <sheetPr>
    <pageSetUpPr fitToPage="1"/>
  </sheetPr>
  <dimension ref="A1:V52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G15" sqref="G15"/>
    </sheetView>
  </sheetViews>
  <sheetFormatPr defaultRowHeight="18.75"/>
  <cols>
    <col min="1" max="1" width="2.375" style="2" customWidth="1"/>
    <col min="2" max="2" width="13.25" style="2" bestFit="1" customWidth="1"/>
    <col min="3" max="22" width="11.125" style="2" customWidth="1"/>
    <col min="23" max="244" width="9" style="2"/>
    <col min="245" max="245" width="2.375" style="2" customWidth="1"/>
    <col min="246" max="246" width="13.25" style="2" bestFit="1" customWidth="1"/>
    <col min="247" max="248" width="11.125" style="2" bestFit="1" customWidth="1"/>
    <col min="249" max="249" width="13.25" style="2" bestFit="1" customWidth="1"/>
    <col min="250" max="250" width="11.125" style="2" bestFit="1" customWidth="1"/>
    <col min="251" max="251" width="9" style="2"/>
    <col min="252" max="252" width="11.125" style="2" bestFit="1" customWidth="1"/>
    <col min="253" max="253" width="9" style="2"/>
    <col min="254" max="266" width="11.125" style="2" bestFit="1" customWidth="1"/>
    <col min="267" max="267" width="9" style="2"/>
    <col min="268" max="274" width="11.125" style="2" bestFit="1" customWidth="1"/>
    <col min="275" max="275" width="9.625" style="2" bestFit="1" customWidth="1"/>
    <col min="276" max="500" width="9" style="2"/>
    <col min="501" max="501" width="2.375" style="2" customWidth="1"/>
    <col min="502" max="502" width="13.25" style="2" bestFit="1" customWidth="1"/>
    <col min="503" max="504" width="11.125" style="2" bestFit="1" customWidth="1"/>
    <col min="505" max="505" width="13.25" style="2" bestFit="1" customWidth="1"/>
    <col min="506" max="506" width="11.125" style="2" bestFit="1" customWidth="1"/>
    <col min="507" max="507" width="9" style="2"/>
    <col min="508" max="508" width="11.125" style="2" bestFit="1" customWidth="1"/>
    <col min="509" max="509" width="9" style="2"/>
    <col min="510" max="522" width="11.125" style="2" bestFit="1" customWidth="1"/>
    <col min="523" max="523" width="9" style="2"/>
    <col min="524" max="530" width="11.125" style="2" bestFit="1" customWidth="1"/>
    <col min="531" max="531" width="9.625" style="2" bestFit="1" customWidth="1"/>
    <col min="532" max="756" width="9" style="2"/>
    <col min="757" max="757" width="2.375" style="2" customWidth="1"/>
    <col min="758" max="758" width="13.25" style="2" bestFit="1" customWidth="1"/>
    <col min="759" max="760" width="11.125" style="2" bestFit="1" customWidth="1"/>
    <col min="761" max="761" width="13.25" style="2" bestFit="1" customWidth="1"/>
    <col min="762" max="762" width="11.125" style="2" bestFit="1" customWidth="1"/>
    <col min="763" max="763" width="9" style="2"/>
    <col min="764" max="764" width="11.125" style="2" bestFit="1" customWidth="1"/>
    <col min="765" max="765" width="9" style="2"/>
    <col min="766" max="778" width="11.125" style="2" bestFit="1" customWidth="1"/>
    <col min="779" max="779" width="9" style="2"/>
    <col min="780" max="786" width="11.125" style="2" bestFit="1" customWidth="1"/>
    <col min="787" max="787" width="9.625" style="2" bestFit="1" customWidth="1"/>
    <col min="788" max="1012" width="9" style="2"/>
    <col min="1013" max="1013" width="2.375" style="2" customWidth="1"/>
    <col min="1014" max="1014" width="13.25" style="2" bestFit="1" customWidth="1"/>
    <col min="1015" max="1016" width="11.125" style="2" bestFit="1" customWidth="1"/>
    <col min="1017" max="1017" width="13.25" style="2" bestFit="1" customWidth="1"/>
    <col min="1018" max="1018" width="11.125" style="2" bestFit="1" customWidth="1"/>
    <col min="1019" max="1019" width="9" style="2"/>
    <col min="1020" max="1020" width="11.125" style="2" bestFit="1" customWidth="1"/>
    <col min="1021" max="1021" width="9" style="2"/>
    <col min="1022" max="1034" width="11.125" style="2" bestFit="1" customWidth="1"/>
    <col min="1035" max="1035" width="9" style="2"/>
    <col min="1036" max="1042" width="11.125" style="2" bestFit="1" customWidth="1"/>
    <col min="1043" max="1043" width="9.625" style="2" bestFit="1" customWidth="1"/>
    <col min="1044" max="1268" width="9" style="2"/>
    <col min="1269" max="1269" width="2.375" style="2" customWidth="1"/>
    <col min="1270" max="1270" width="13.25" style="2" bestFit="1" customWidth="1"/>
    <col min="1271" max="1272" width="11.125" style="2" bestFit="1" customWidth="1"/>
    <col min="1273" max="1273" width="13.25" style="2" bestFit="1" customWidth="1"/>
    <col min="1274" max="1274" width="11.125" style="2" bestFit="1" customWidth="1"/>
    <col min="1275" max="1275" width="9" style="2"/>
    <col min="1276" max="1276" width="11.125" style="2" bestFit="1" customWidth="1"/>
    <col min="1277" max="1277" width="9" style="2"/>
    <col min="1278" max="1290" width="11.125" style="2" bestFit="1" customWidth="1"/>
    <col min="1291" max="1291" width="9" style="2"/>
    <col min="1292" max="1298" width="11.125" style="2" bestFit="1" customWidth="1"/>
    <col min="1299" max="1299" width="9.625" style="2" bestFit="1" customWidth="1"/>
    <col min="1300" max="1524" width="9" style="2"/>
    <col min="1525" max="1525" width="2.375" style="2" customWidth="1"/>
    <col min="1526" max="1526" width="13.25" style="2" bestFit="1" customWidth="1"/>
    <col min="1527" max="1528" width="11.125" style="2" bestFit="1" customWidth="1"/>
    <col min="1529" max="1529" width="13.25" style="2" bestFit="1" customWidth="1"/>
    <col min="1530" max="1530" width="11.125" style="2" bestFit="1" customWidth="1"/>
    <col min="1531" max="1531" width="9" style="2"/>
    <col min="1532" max="1532" width="11.125" style="2" bestFit="1" customWidth="1"/>
    <col min="1533" max="1533" width="9" style="2"/>
    <col min="1534" max="1546" width="11.125" style="2" bestFit="1" customWidth="1"/>
    <col min="1547" max="1547" width="9" style="2"/>
    <col min="1548" max="1554" width="11.125" style="2" bestFit="1" customWidth="1"/>
    <col min="1555" max="1555" width="9.625" style="2" bestFit="1" customWidth="1"/>
    <col min="1556" max="1780" width="9" style="2"/>
    <col min="1781" max="1781" width="2.375" style="2" customWidth="1"/>
    <col min="1782" max="1782" width="13.25" style="2" bestFit="1" customWidth="1"/>
    <col min="1783" max="1784" width="11.125" style="2" bestFit="1" customWidth="1"/>
    <col min="1785" max="1785" width="13.25" style="2" bestFit="1" customWidth="1"/>
    <col min="1786" max="1786" width="11.125" style="2" bestFit="1" customWidth="1"/>
    <col min="1787" max="1787" width="9" style="2"/>
    <col min="1788" max="1788" width="11.125" style="2" bestFit="1" customWidth="1"/>
    <col min="1789" max="1789" width="9" style="2"/>
    <col min="1790" max="1802" width="11.125" style="2" bestFit="1" customWidth="1"/>
    <col min="1803" max="1803" width="9" style="2"/>
    <col min="1804" max="1810" width="11.125" style="2" bestFit="1" customWidth="1"/>
    <col min="1811" max="1811" width="9.625" style="2" bestFit="1" customWidth="1"/>
    <col min="1812" max="2036" width="9" style="2"/>
    <col min="2037" max="2037" width="2.375" style="2" customWidth="1"/>
    <col min="2038" max="2038" width="13.25" style="2" bestFit="1" customWidth="1"/>
    <col min="2039" max="2040" width="11.125" style="2" bestFit="1" customWidth="1"/>
    <col min="2041" max="2041" width="13.25" style="2" bestFit="1" customWidth="1"/>
    <col min="2042" max="2042" width="11.125" style="2" bestFit="1" customWidth="1"/>
    <col min="2043" max="2043" width="9" style="2"/>
    <col min="2044" max="2044" width="11.125" style="2" bestFit="1" customWidth="1"/>
    <col min="2045" max="2045" width="9" style="2"/>
    <col min="2046" max="2058" width="11.125" style="2" bestFit="1" customWidth="1"/>
    <col min="2059" max="2059" width="9" style="2"/>
    <col min="2060" max="2066" width="11.125" style="2" bestFit="1" customWidth="1"/>
    <col min="2067" max="2067" width="9.625" style="2" bestFit="1" customWidth="1"/>
    <col min="2068" max="2292" width="9" style="2"/>
    <col min="2293" max="2293" width="2.375" style="2" customWidth="1"/>
    <col min="2294" max="2294" width="13.25" style="2" bestFit="1" customWidth="1"/>
    <col min="2295" max="2296" width="11.125" style="2" bestFit="1" customWidth="1"/>
    <col min="2297" max="2297" width="13.25" style="2" bestFit="1" customWidth="1"/>
    <col min="2298" max="2298" width="11.125" style="2" bestFit="1" customWidth="1"/>
    <col min="2299" max="2299" width="9" style="2"/>
    <col min="2300" max="2300" width="11.125" style="2" bestFit="1" customWidth="1"/>
    <col min="2301" max="2301" width="9" style="2"/>
    <col min="2302" max="2314" width="11.125" style="2" bestFit="1" customWidth="1"/>
    <col min="2315" max="2315" width="9" style="2"/>
    <col min="2316" max="2322" width="11.125" style="2" bestFit="1" customWidth="1"/>
    <col min="2323" max="2323" width="9.625" style="2" bestFit="1" customWidth="1"/>
    <col min="2324" max="2548" width="9" style="2"/>
    <col min="2549" max="2549" width="2.375" style="2" customWidth="1"/>
    <col min="2550" max="2550" width="13.25" style="2" bestFit="1" customWidth="1"/>
    <col min="2551" max="2552" width="11.125" style="2" bestFit="1" customWidth="1"/>
    <col min="2553" max="2553" width="13.25" style="2" bestFit="1" customWidth="1"/>
    <col min="2554" max="2554" width="11.125" style="2" bestFit="1" customWidth="1"/>
    <col min="2555" max="2555" width="9" style="2"/>
    <col min="2556" max="2556" width="11.125" style="2" bestFit="1" customWidth="1"/>
    <col min="2557" max="2557" width="9" style="2"/>
    <col min="2558" max="2570" width="11.125" style="2" bestFit="1" customWidth="1"/>
    <col min="2571" max="2571" width="9" style="2"/>
    <col min="2572" max="2578" width="11.125" style="2" bestFit="1" customWidth="1"/>
    <col min="2579" max="2579" width="9.625" style="2" bestFit="1" customWidth="1"/>
    <col min="2580" max="2804" width="9" style="2"/>
    <col min="2805" max="2805" width="2.375" style="2" customWidth="1"/>
    <col min="2806" max="2806" width="13.25" style="2" bestFit="1" customWidth="1"/>
    <col min="2807" max="2808" width="11.125" style="2" bestFit="1" customWidth="1"/>
    <col min="2809" max="2809" width="13.25" style="2" bestFit="1" customWidth="1"/>
    <col min="2810" max="2810" width="11.125" style="2" bestFit="1" customWidth="1"/>
    <col min="2811" max="2811" width="9" style="2"/>
    <col min="2812" max="2812" width="11.125" style="2" bestFit="1" customWidth="1"/>
    <col min="2813" max="2813" width="9" style="2"/>
    <col min="2814" max="2826" width="11.125" style="2" bestFit="1" customWidth="1"/>
    <col min="2827" max="2827" width="9" style="2"/>
    <col min="2828" max="2834" width="11.125" style="2" bestFit="1" customWidth="1"/>
    <col min="2835" max="2835" width="9.625" style="2" bestFit="1" customWidth="1"/>
    <col min="2836" max="3060" width="9" style="2"/>
    <col min="3061" max="3061" width="2.375" style="2" customWidth="1"/>
    <col min="3062" max="3062" width="13.25" style="2" bestFit="1" customWidth="1"/>
    <col min="3063" max="3064" width="11.125" style="2" bestFit="1" customWidth="1"/>
    <col min="3065" max="3065" width="13.25" style="2" bestFit="1" customWidth="1"/>
    <col min="3066" max="3066" width="11.125" style="2" bestFit="1" customWidth="1"/>
    <col min="3067" max="3067" width="9" style="2"/>
    <col min="3068" max="3068" width="11.125" style="2" bestFit="1" customWidth="1"/>
    <col min="3069" max="3069" width="9" style="2"/>
    <col min="3070" max="3082" width="11.125" style="2" bestFit="1" customWidth="1"/>
    <col min="3083" max="3083" width="9" style="2"/>
    <col min="3084" max="3090" width="11.125" style="2" bestFit="1" customWidth="1"/>
    <col min="3091" max="3091" width="9.625" style="2" bestFit="1" customWidth="1"/>
    <col min="3092" max="3316" width="9" style="2"/>
    <col min="3317" max="3317" width="2.375" style="2" customWidth="1"/>
    <col min="3318" max="3318" width="13.25" style="2" bestFit="1" customWidth="1"/>
    <col min="3319" max="3320" width="11.125" style="2" bestFit="1" customWidth="1"/>
    <col min="3321" max="3321" width="13.25" style="2" bestFit="1" customWidth="1"/>
    <col min="3322" max="3322" width="11.125" style="2" bestFit="1" customWidth="1"/>
    <col min="3323" max="3323" width="9" style="2"/>
    <col min="3324" max="3324" width="11.125" style="2" bestFit="1" customWidth="1"/>
    <col min="3325" max="3325" width="9" style="2"/>
    <col min="3326" max="3338" width="11.125" style="2" bestFit="1" customWidth="1"/>
    <col min="3339" max="3339" width="9" style="2"/>
    <col min="3340" max="3346" width="11.125" style="2" bestFit="1" customWidth="1"/>
    <col min="3347" max="3347" width="9.625" style="2" bestFit="1" customWidth="1"/>
    <col min="3348" max="3572" width="9" style="2"/>
    <col min="3573" max="3573" width="2.375" style="2" customWidth="1"/>
    <col min="3574" max="3574" width="13.25" style="2" bestFit="1" customWidth="1"/>
    <col min="3575" max="3576" width="11.125" style="2" bestFit="1" customWidth="1"/>
    <col min="3577" max="3577" width="13.25" style="2" bestFit="1" customWidth="1"/>
    <col min="3578" max="3578" width="11.125" style="2" bestFit="1" customWidth="1"/>
    <col min="3579" max="3579" width="9" style="2"/>
    <col min="3580" max="3580" width="11.125" style="2" bestFit="1" customWidth="1"/>
    <col min="3581" max="3581" width="9" style="2"/>
    <col min="3582" max="3594" width="11.125" style="2" bestFit="1" customWidth="1"/>
    <col min="3595" max="3595" width="9" style="2"/>
    <col min="3596" max="3602" width="11.125" style="2" bestFit="1" customWidth="1"/>
    <col min="3603" max="3603" width="9.625" style="2" bestFit="1" customWidth="1"/>
    <col min="3604" max="3828" width="9" style="2"/>
    <col min="3829" max="3829" width="2.375" style="2" customWidth="1"/>
    <col min="3830" max="3830" width="13.25" style="2" bestFit="1" customWidth="1"/>
    <col min="3831" max="3832" width="11.125" style="2" bestFit="1" customWidth="1"/>
    <col min="3833" max="3833" width="13.25" style="2" bestFit="1" customWidth="1"/>
    <col min="3834" max="3834" width="11.125" style="2" bestFit="1" customWidth="1"/>
    <col min="3835" max="3835" width="9" style="2"/>
    <col min="3836" max="3836" width="11.125" style="2" bestFit="1" customWidth="1"/>
    <col min="3837" max="3837" width="9" style="2"/>
    <col min="3838" max="3850" width="11.125" style="2" bestFit="1" customWidth="1"/>
    <col min="3851" max="3851" width="9" style="2"/>
    <col min="3852" max="3858" width="11.125" style="2" bestFit="1" customWidth="1"/>
    <col min="3859" max="3859" width="9.625" style="2" bestFit="1" customWidth="1"/>
    <col min="3860" max="4084" width="9" style="2"/>
    <col min="4085" max="4085" width="2.375" style="2" customWidth="1"/>
    <col min="4086" max="4086" width="13.25" style="2" bestFit="1" customWidth="1"/>
    <col min="4087" max="4088" width="11.125" style="2" bestFit="1" customWidth="1"/>
    <col min="4089" max="4089" width="13.25" style="2" bestFit="1" customWidth="1"/>
    <col min="4090" max="4090" width="11.125" style="2" bestFit="1" customWidth="1"/>
    <col min="4091" max="4091" width="9" style="2"/>
    <col min="4092" max="4092" width="11.125" style="2" bestFit="1" customWidth="1"/>
    <col min="4093" max="4093" width="9" style="2"/>
    <col min="4094" max="4106" width="11.125" style="2" bestFit="1" customWidth="1"/>
    <col min="4107" max="4107" width="9" style="2"/>
    <col min="4108" max="4114" width="11.125" style="2" bestFit="1" customWidth="1"/>
    <col min="4115" max="4115" width="9.625" style="2" bestFit="1" customWidth="1"/>
    <col min="4116" max="4340" width="9" style="2"/>
    <col min="4341" max="4341" width="2.375" style="2" customWidth="1"/>
    <col min="4342" max="4342" width="13.25" style="2" bestFit="1" customWidth="1"/>
    <col min="4343" max="4344" width="11.125" style="2" bestFit="1" customWidth="1"/>
    <col min="4345" max="4345" width="13.25" style="2" bestFit="1" customWidth="1"/>
    <col min="4346" max="4346" width="11.125" style="2" bestFit="1" customWidth="1"/>
    <col min="4347" max="4347" width="9" style="2"/>
    <col min="4348" max="4348" width="11.125" style="2" bestFit="1" customWidth="1"/>
    <col min="4349" max="4349" width="9" style="2"/>
    <col min="4350" max="4362" width="11.125" style="2" bestFit="1" customWidth="1"/>
    <col min="4363" max="4363" width="9" style="2"/>
    <col min="4364" max="4370" width="11.125" style="2" bestFit="1" customWidth="1"/>
    <col min="4371" max="4371" width="9.625" style="2" bestFit="1" customWidth="1"/>
    <col min="4372" max="4596" width="9" style="2"/>
    <col min="4597" max="4597" width="2.375" style="2" customWidth="1"/>
    <col min="4598" max="4598" width="13.25" style="2" bestFit="1" customWidth="1"/>
    <col min="4599" max="4600" width="11.125" style="2" bestFit="1" customWidth="1"/>
    <col min="4601" max="4601" width="13.25" style="2" bestFit="1" customWidth="1"/>
    <col min="4602" max="4602" width="11.125" style="2" bestFit="1" customWidth="1"/>
    <col min="4603" max="4603" width="9" style="2"/>
    <col min="4604" max="4604" width="11.125" style="2" bestFit="1" customWidth="1"/>
    <col min="4605" max="4605" width="9" style="2"/>
    <col min="4606" max="4618" width="11.125" style="2" bestFit="1" customWidth="1"/>
    <col min="4619" max="4619" width="9" style="2"/>
    <col min="4620" max="4626" width="11.125" style="2" bestFit="1" customWidth="1"/>
    <col min="4627" max="4627" width="9.625" style="2" bestFit="1" customWidth="1"/>
    <col min="4628" max="4852" width="9" style="2"/>
    <col min="4853" max="4853" width="2.375" style="2" customWidth="1"/>
    <col min="4854" max="4854" width="13.25" style="2" bestFit="1" customWidth="1"/>
    <col min="4855" max="4856" width="11.125" style="2" bestFit="1" customWidth="1"/>
    <col min="4857" max="4857" width="13.25" style="2" bestFit="1" customWidth="1"/>
    <col min="4858" max="4858" width="11.125" style="2" bestFit="1" customWidth="1"/>
    <col min="4859" max="4859" width="9" style="2"/>
    <col min="4860" max="4860" width="11.125" style="2" bestFit="1" customWidth="1"/>
    <col min="4861" max="4861" width="9" style="2"/>
    <col min="4862" max="4874" width="11.125" style="2" bestFit="1" customWidth="1"/>
    <col min="4875" max="4875" width="9" style="2"/>
    <col min="4876" max="4882" width="11.125" style="2" bestFit="1" customWidth="1"/>
    <col min="4883" max="4883" width="9.625" style="2" bestFit="1" customWidth="1"/>
    <col min="4884" max="5108" width="9" style="2"/>
    <col min="5109" max="5109" width="2.375" style="2" customWidth="1"/>
    <col min="5110" max="5110" width="13.25" style="2" bestFit="1" customWidth="1"/>
    <col min="5111" max="5112" width="11.125" style="2" bestFit="1" customWidth="1"/>
    <col min="5113" max="5113" width="13.25" style="2" bestFit="1" customWidth="1"/>
    <col min="5114" max="5114" width="11.125" style="2" bestFit="1" customWidth="1"/>
    <col min="5115" max="5115" width="9" style="2"/>
    <col min="5116" max="5116" width="11.125" style="2" bestFit="1" customWidth="1"/>
    <col min="5117" max="5117" width="9" style="2"/>
    <col min="5118" max="5130" width="11.125" style="2" bestFit="1" customWidth="1"/>
    <col min="5131" max="5131" width="9" style="2"/>
    <col min="5132" max="5138" width="11.125" style="2" bestFit="1" customWidth="1"/>
    <col min="5139" max="5139" width="9.625" style="2" bestFit="1" customWidth="1"/>
    <col min="5140" max="5364" width="9" style="2"/>
    <col min="5365" max="5365" width="2.375" style="2" customWidth="1"/>
    <col min="5366" max="5366" width="13.25" style="2" bestFit="1" customWidth="1"/>
    <col min="5367" max="5368" width="11.125" style="2" bestFit="1" customWidth="1"/>
    <col min="5369" max="5369" width="13.25" style="2" bestFit="1" customWidth="1"/>
    <col min="5370" max="5370" width="11.125" style="2" bestFit="1" customWidth="1"/>
    <col min="5371" max="5371" width="9" style="2"/>
    <col min="5372" max="5372" width="11.125" style="2" bestFit="1" customWidth="1"/>
    <col min="5373" max="5373" width="9" style="2"/>
    <col min="5374" max="5386" width="11.125" style="2" bestFit="1" customWidth="1"/>
    <col min="5387" max="5387" width="9" style="2"/>
    <col min="5388" max="5394" width="11.125" style="2" bestFit="1" customWidth="1"/>
    <col min="5395" max="5395" width="9.625" style="2" bestFit="1" customWidth="1"/>
    <col min="5396" max="5620" width="9" style="2"/>
    <col min="5621" max="5621" width="2.375" style="2" customWidth="1"/>
    <col min="5622" max="5622" width="13.25" style="2" bestFit="1" customWidth="1"/>
    <col min="5623" max="5624" width="11.125" style="2" bestFit="1" customWidth="1"/>
    <col min="5625" max="5625" width="13.25" style="2" bestFit="1" customWidth="1"/>
    <col min="5626" max="5626" width="11.125" style="2" bestFit="1" customWidth="1"/>
    <col min="5627" max="5627" width="9" style="2"/>
    <col min="5628" max="5628" width="11.125" style="2" bestFit="1" customWidth="1"/>
    <col min="5629" max="5629" width="9" style="2"/>
    <col min="5630" max="5642" width="11.125" style="2" bestFit="1" customWidth="1"/>
    <col min="5643" max="5643" width="9" style="2"/>
    <col min="5644" max="5650" width="11.125" style="2" bestFit="1" customWidth="1"/>
    <col min="5651" max="5651" width="9.625" style="2" bestFit="1" customWidth="1"/>
    <col min="5652" max="5876" width="9" style="2"/>
    <col min="5877" max="5877" width="2.375" style="2" customWidth="1"/>
    <col min="5878" max="5878" width="13.25" style="2" bestFit="1" customWidth="1"/>
    <col min="5879" max="5880" width="11.125" style="2" bestFit="1" customWidth="1"/>
    <col min="5881" max="5881" width="13.25" style="2" bestFit="1" customWidth="1"/>
    <col min="5882" max="5882" width="11.125" style="2" bestFit="1" customWidth="1"/>
    <col min="5883" max="5883" width="9" style="2"/>
    <col min="5884" max="5884" width="11.125" style="2" bestFit="1" customWidth="1"/>
    <col min="5885" max="5885" width="9" style="2"/>
    <col min="5886" max="5898" width="11.125" style="2" bestFit="1" customWidth="1"/>
    <col min="5899" max="5899" width="9" style="2"/>
    <col min="5900" max="5906" width="11.125" style="2" bestFit="1" customWidth="1"/>
    <col min="5907" max="5907" width="9.625" style="2" bestFit="1" customWidth="1"/>
    <col min="5908" max="6132" width="9" style="2"/>
    <col min="6133" max="6133" width="2.375" style="2" customWidth="1"/>
    <col min="6134" max="6134" width="13.25" style="2" bestFit="1" customWidth="1"/>
    <col min="6135" max="6136" width="11.125" style="2" bestFit="1" customWidth="1"/>
    <col min="6137" max="6137" width="13.25" style="2" bestFit="1" customWidth="1"/>
    <col min="6138" max="6138" width="11.125" style="2" bestFit="1" customWidth="1"/>
    <col min="6139" max="6139" width="9" style="2"/>
    <col min="6140" max="6140" width="11.125" style="2" bestFit="1" customWidth="1"/>
    <col min="6141" max="6141" width="9" style="2"/>
    <col min="6142" max="6154" width="11.125" style="2" bestFit="1" customWidth="1"/>
    <col min="6155" max="6155" width="9" style="2"/>
    <col min="6156" max="6162" width="11.125" style="2" bestFit="1" customWidth="1"/>
    <col min="6163" max="6163" width="9.625" style="2" bestFit="1" customWidth="1"/>
    <col min="6164" max="6388" width="9" style="2"/>
    <col min="6389" max="6389" width="2.375" style="2" customWidth="1"/>
    <col min="6390" max="6390" width="13.25" style="2" bestFit="1" customWidth="1"/>
    <col min="6391" max="6392" width="11.125" style="2" bestFit="1" customWidth="1"/>
    <col min="6393" max="6393" width="13.25" style="2" bestFit="1" customWidth="1"/>
    <col min="6394" max="6394" width="11.125" style="2" bestFit="1" customWidth="1"/>
    <col min="6395" max="6395" width="9" style="2"/>
    <col min="6396" max="6396" width="11.125" style="2" bestFit="1" customWidth="1"/>
    <col min="6397" max="6397" width="9" style="2"/>
    <col min="6398" max="6410" width="11.125" style="2" bestFit="1" customWidth="1"/>
    <col min="6411" max="6411" width="9" style="2"/>
    <col min="6412" max="6418" width="11.125" style="2" bestFit="1" customWidth="1"/>
    <col min="6419" max="6419" width="9.625" style="2" bestFit="1" customWidth="1"/>
    <col min="6420" max="6644" width="9" style="2"/>
    <col min="6645" max="6645" width="2.375" style="2" customWidth="1"/>
    <col min="6646" max="6646" width="13.25" style="2" bestFit="1" customWidth="1"/>
    <col min="6647" max="6648" width="11.125" style="2" bestFit="1" customWidth="1"/>
    <col min="6649" max="6649" width="13.25" style="2" bestFit="1" customWidth="1"/>
    <col min="6650" max="6650" width="11.125" style="2" bestFit="1" customWidth="1"/>
    <col min="6651" max="6651" width="9" style="2"/>
    <col min="6652" max="6652" width="11.125" style="2" bestFit="1" customWidth="1"/>
    <col min="6653" max="6653" width="9" style="2"/>
    <col min="6654" max="6666" width="11.125" style="2" bestFit="1" customWidth="1"/>
    <col min="6667" max="6667" width="9" style="2"/>
    <col min="6668" max="6674" width="11.125" style="2" bestFit="1" customWidth="1"/>
    <col min="6675" max="6675" width="9.625" style="2" bestFit="1" customWidth="1"/>
    <col min="6676" max="6900" width="9" style="2"/>
    <col min="6901" max="6901" width="2.375" style="2" customWidth="1"/>
    <col min="6902" max="6902" width="13.25" style="2" bestFit="1" customWidth="1"/>
    <col min="6903" max="6904" width="11.125" style="2" bestFit="1" customWidth="1"/>
    <col min="6905" max="6905" width="13.25" style="2" bestFit="1" customWidth="1"/>
    <col min="6906" max="6906" width="11.125" style="2" bestFit="1" customWidth="1"/>
    <col min="6907" max="6907" width="9" style="2"/>
    <col min="6908" max="6908" width="11.125" style="2" bestFit="1" customWidth="1"/>
    <col min="6909" max="6909" width="9" style="2"/>
    <col min="6910" max="6922" width="11.125" style="2" bestFit="1" customWidth="1"/>
    <col min="6923" max="6923" width="9" style="2"/>
    <col min="6924" max="6930" width="11.125" style="2" bestFit="1" customWidth="1"/>
    <col min="6931" max="6931" width="9.625" style="2" bestFit="1" customWidth="1"/>
    <col min="6932" max="7156" width="9" style="2"/>
    <col min="7157" max="7157" width="2.375" style="2" customWidth="1"/>
    <col min="7158" max="7158" width="13.25" style="2" bestFit="1" customWidth="1"/>
    <col min="7159" max="7160" width="11.125" style="2" bestFit="1" customWidth="1"/>
    <col min="7161" max="7161" width="13.25" style="2" bestFit="1" customWidth="1"/>
    <col min="7162" max="7162" width="11.125" style="2" bestFit="1" customWidth="1"/>
    <col min="7163" max="7163" width="9" style="2"/>
    <col min="7164" max="7164" width="11.125" style="2" bestFit="1" customWidth="1"/>
    <col min="7165" max="7165" width="9" style="2"/>
    <col min="7166" max="7178" width="11.125" style="2" bestFit="1" customWidth="1"/>
    <col min="7179" max="7179" width="9" style="2"/>
    <col min="7180" max="7186" width="11.125" style="2" bestFit="1" customWidth="1"/>
    <col min="7187" max="7187" width="9.625" style="2" bestFit="1" customWidth="1"/>
    <col min="7188" max="7412" width="9" style="2"/>
    <col min="7413" max="7413" width="2.375" style="2" customWidth="1"/>
    <col min="7414" max="7414" width="13.25" style="2" bestFit="1" customWidth="1"/>
    <col min="7415" max="7416" width="11.125" style="2" bestFit="1" customWidth="1"/>
    <col min="7417" max="7417" width="13.25" style="2" bestFit="1" customWidth="1"/>
    <col min="7418" max="7418" width="11.125" style="2" bestFit="1" customWidth="1"/>
    <col min="7419" max="7419" width="9" style="2"/>
    <col min="7420" max="7420" width="11.125" style="2" bestFit="1" customWidth="1"/>
    <col min="7421" max="7421" width="9" style="2"/>
    <col min="7422" max="7434" width="11.125" style="2" bestFit="1" customWidth="1"/>
    <col min="7435" max="7435" width="9" style="2"/>
    <col min="7436" max="7442" width="11.125" style="2" bestFit="1" customWidth="1"/>
    <col min="7443" max="7443" width="9.625" style="2" bestFit="1" customWidth="1"/>
    <col min="7444" max="7668" width="9" style="2"/>
    <col min="7669" max="7669" width="2.375" style="2" customWidth="1"/>
    <col min="7670" max="7670" width="13.25" style="2" bestFit="1" customWidth="1"/>
    <col min="7671" max="7672" width="11.125" style="2" bestFit="1" customWidth="1"/>
    <col min="7673" max="7673" width="13.25" style="2" bestFit="1" customWidth="1"/>
    <col min="7674" max="7674" width="11.125" style="2" bestFit="1" customWidth="1"/>
    <col min="7675" max="7675" width="9" style="2"/>
    <col min="7676" max="7676" width="11.125" style="2" bestFit="1" customWidth="1"/>
    <col min="7677" max="7677" width="9" style="2"/>
    <col min="7678" max="7690" width="11.125" style="2" bestFit="1" customWidth="1"/>
    <col min="7691" max="7691" width="9" style="2"/>
    <col min="7692" max="7698" width="11.125" style="2" bestFit="1" customWidth="1"/>
    <col min="7699" max="7699" width="9.625" style="2" bestFit="1" customWidth="1"/>
    <col min="7700" max="7924" width="9" style="2"/>
    <col min="7925" max="7925" width="2.375" style="2" customWidth="1"/>
    <col min="7926" max="7926" width="13.25" style="2" bestFit="1" customWidth="1"/>
    <col min="7927" max="7928" width="11.125" style="2" bestFit="1" customWidth="1"/>
    <col min="7929" max="7929" width="13.25" style="2" bestFit="1" customWidth="1"/>
    <col min="7930" max="7930" width="11.125" style="2" bestFit="1" customWidth="1"/>
    <col min="7931" max="7931" width="9" style="2"/>
    <col min="7932" max="7932" width="11.125" style="2" bestFit="1" customWidth="1"/>
    <col min="7933" max="7933" width="9" style="2"/>
    <col min="7934" max="7946" width="11.125" style="2" bestFit="1" customWidth="1"/>
    <col min="7947" max="7947" width="9" style="2"/>
    <col min="7948" max="7954" width="11.125" style="2" bestFit="1" customWidth="1"/>
    <col min="7955" max="7955" width="9.625" style="2" bestFit="1" customWidth="1"/>
    <col min="7956" max="8180" width="9" style="2"/>
    <col min="8181" max="8181" width="2.375" style="2" customWidth="1"/>
    <col min="8182" max="8182" width="13.25" style="2" bestFit="1" customWidth="1"/>
    <col min="8183" max="8184" width="11.125" style="2" bestFit="1" customWidth="1"/>
    <col min="8185" max="8185" width="13.25" style="2" bestFit="1" customWidth="1"/>
    <col min="8186" max="8186" width="11.125" style="2" bestFit="1" customWidth="1"/>
    <col min="8187" max="8187" width="9" style="2"/>
    <col min="8188" max="8188" width="11.125" style="2" bestFit="1" customWidth="1"/>
    <col min="8189" max="8189" width="9" style="2"/>
    <col min="8190" max="8202" width="11.125" style="2" bestFit="1" customWidth="1"/>
    <col min="8203" max="8203" width="9" style="2"/>
    <col min="8204" max="8210" width="11.125" style="2" bestFit="1" customWidth="1"/>
    <col min="8211" max="8211" width="9.625" style="2" bestFit="1" customWidth="1"/>
    <col min="8212" max="8436" width="9" style="2"/>
    <col min="8437" max="8437" width="2.375" style="2" customWidth="1"/>
    <col min="8438" max="8438" width="13.25" style="2" bestFit="1" customWidth="1"/>
    <col min="8439" max="8440" width="11.125" style="2" bestFit="1" customWidth="1"/>
    <col min="8441" max="8441" width="13.25" style="2" bestFit="1" customWidth="1"/>
    <col min="8442" max="8442" width="11.125" style="2" bestFit="1" customWidth="1"/>
    <col min="8443" max="8443" width="9" style="2"/>
    <col min="8444" max="8444" width="11.125" style="2" bestFit="1" customWidth="1"/>
    <col min="8445" max="8445" width="9" style="2"/>
    <col min="8446" max="8458" width="11.125" style="2" bestFit="1" customWidth="1"/>
    <col min="8459" max="8459" width="9" style="2"/>
    <col min="8460" max="8466" width="11.125" style="2" bestFit="1" customWidth="1"/>
    <col min="8467" max="8467" width="9.625" style="2" bestFit="1" customWidth="1"/>
    <col min="8468" max="8692" width="9" style="2"/>
    <col min="8693" max="8693" width="2.375" style="2" customWidth="1"/>
    <col min="8694" max="8694" width="13.25" style="2" bestFit="1" customWidth="1"/>
    <col min="8695" max="8696" width="11.125" style="2" bestFit="1" customWidth="1"/>
    <col min="8697" max="8697" width="13.25" style="2" bestFit="1" customWidth="1"/>
    <col min="8698" max="8698" width="11.125" style="2" bestFit="1" customWidth="1"/>
    <col min="8699" max="8699" width="9" style="2"/>
    <col min="8700" max="8700" width="11.125" style="2" bestFit="1" customWidth="1"/>
    <col min="8701" max="8701" width="9" style="2"/>
    <col min="8702" max="8714" width="11.125" style="2" bestFit="1" customWidth="1"/>
    <col min="8715" max="8715" width="9" style="2"/>
    <col min="8716" max="8722" width="11.125" style="2" bestFit="1" customWidth="1"/>
    <col min="8723" max="8723" width="9.625" style="2" bestFit="1" customWidth="1"/>
    <col min="8724" max="8948" width="9" style="2"/>
    <col min="8949" max="8949" width="2.375" style="2" customWidth="1"/>
    <col min="8950" max="8950" width="13.25" style="2" bestFit="1" customWidth="1"/>
    <col min="8951" max="8952" width="11.125" style="2" bestFit="1" customWidth="1"/>
    <col min="8953" max="8953" width="13.25" style="2" bestFit="1" customWidth="1"/>
    <col min="8954" max="8954" width="11.125" style="2" bestFit="1" customWidth="1"/>
    <col min="8955" max="8955" width="9" style="2"/>
    <col min="8956" max="8956" width="11.125" style="2" bestFit="1" customWidth="1"/>
    <col min="8957" max="8957" width="9" style="2"/>
    <col min="8958" max="8970" width="11.125" style="2" bestFit="1" customWidth="1"/>
    <col min="8971" max="8971" width="9" style="2"/>
    <col min="8972" max="8978" width="11.125" style="2" bestFit="1" customWidth="1"/>
    <col min="8979" max="8979" width="9.625" style="2" bestFit="1" customWidth="1"/>
    <col min="8980" max="9204" width="9" style="2"/>
    <col min="9205" max="9205" width="2.375" style="2" customWidth="1"/>
    <col min="9206" max="9206" width="13.25" style="2" bestFit="1" customWidth="1"/>
    <col min="9207" max="9208" width="11.125" style="2" bestFit="1" customWidth="1"/>
    <col min="9209" max="9209" width="13.25" style="2" bestFit="1" customWidth="1"/>
    <col min="9210" max="9210" width="11.125" style="2" bestFit="1" customWidth="1"/>
    <col min="9211" max="9211" width="9" style="2"/>
    <col min="9212" max="9212" width="11.125" style="2" bestFit="1" customWidth="1"/>
    <col min="9213" max="9213" width="9" style="2"/>
    <col min="9214" max="9226" width="11.125" style="2" bestFit="1" customWidth="1"/>
    <col min="9227" max="9227" width="9" style="2"/>
    <col min="9228" max="9234" width="11.125" style="2" bestFit="1" customWidth="1"/>
    <col min="9235" max="9235" width="9.625" style="2" bestFit="1" customWidth="1"/>
    <col min="9236" max="9460" width="9" style="2"/>
    <col min="9461" max="9461" width="2.375" style="2" customWidth="1"/>
    <col min="9462" max="9462" width="13.25" style="2" bestFit="1" customWidth="1"/>
    <col min="9463" max="9464" width="11.125" style="2" bestFit="1" customWidth="1"/>
    <col min="9465" max="9465" width="13.25" style="2" bestFit="1" customWidth="1"/>
    <col min="9466" max="9466" width="11.125" style="2" bestFit="1" customWidth="1"/>
    <col min="9467" max="9467" width="9" style="2"/>
    <col min="9468" max="9468" width="11.125" style="2" bestFit="1" customWidth="1"/>
    <col min="9469" max="9469" width="9" style="2"/>
    <col min="9470" max="9482" width="11.125" style="2" bestFit="1" customWidth="1"/>
    <col min="9483" max="9483" width="9" style="2"/>
    <col min="9484" max="9490" width="11.125" style="2" bestFit="1" customWidth="1"/>
    <col min="9491" max="9491" width="9.625" style="2" bestFit="1" customWidth="1"/>
    <col min="9492" max="9716" width="9" style="2"/>
    <col min="9717" max="9717" width="2.375" style="2" customWidth="1"/>
    <col min="9718" max="9718" width="13.25" style="2" bestFit="1" customWidth="1"/>
    <col min="9719" max="9720" width="11.125" style="2" bestFit="1" customWidth="1"/>
    <col min="9721" max="9721" width="13.25" style="2" bestFit="1" customWidth="1"/>
    <col min="9722" max="9722" width="11.125" style="2" bestFit="1" customWidth="1"/>
    <col min="9723" max="9723" width="9" style="2"/>
    <col min="9724" max="9724" width="11.125" style="2" bestFit="1" customWidth="1"/>
    <col min="9725" max="9725" width="9" style="2"/>
    <col min="9726" max="9738" width="11.125" style="2" bestFit="1" customWidth="1"/>
    <col min="9739" max="9739" width="9" style="2"/>
    <col min="9740" max="9746" width="11.125" style="2" bestFit="1" customWidth="1"/>
    <col min="9747" max="9747" width="9.625" style="2" bestFit="1" customWidth="1"/>
    <col min="9748" max="9972" width="9" style="2"/>
    <col min="9973" max="9973" width="2.375" style="2" customWidth="1"/>
    <col min="9974" max="9974" width="13.25" style="2" bestFit="1" customWidth="1"/>
    <col min="9975" max="9976" width="11.125" style="2" bestFit="1" customWidth="1"/>
    <col min="9977" max="9977" width="13.25" style="2" bestFit="1" customWidth="1"/>
    <col min="9978" max="9978" width="11.125" style="2" bestFit="1" customWidth="1"/>
    <col min="9979" max="9979" width="9" style="2"/>
    <col min="9980" max="9980" width="11.125" style="2" bestFit="1" customWidth="1"/>
    <col min="9981" max="9981" width="9" style="2"/>
    <col min="9982" max="9994" width="11.125" style="2" bestFit="1" customWidth="1"/>
    <col min="9995" max="9995" width="9" style="2"/>
    <col min="9996" max="10002" width="11.125" style="2" bestFit="1" customWidth="1"/>
    <col min="10003" max="10003" width="9.625" style="2" bestFit="1" customWidth="1"/>
    <col min="10004" max="10228" width="9" style="2"/>
    <col min="10229" max="10229" width="2.375" style="2" customWidth="1"/>
    <col min="10230" max="10230" width="13.25" style="2" bestFit="1" customWidth="1"/>
    <col min="10231" max="10232" width="11.125" style="2" bestFit="1" customWidth="1"/>
    <col min="10233" max="10233" width="13.25" style="2" bestFit="1" customWidth="1"/>
    <col min="10234" max="10234" width="11.125" style="2" bestFit="1" customWidth="1"/>
    <col min="10235" max="10235" width="9" style="2"/>
    <col min="10236" max="10236" width="11.125" style="2" bestFit="1" customWidth="1"/>
    <col min="10237" max="10237" width="9" style="2"/>
    <col min="10238" max="10250" width="11.125" style="2" bestFit="1" customWidth="1"/>
    <col min="10251" max="10251" width="9" style="2"/>
    <col min="10252" max="10258" width="11.125" style="2" bestFit="1" customWidth="1"/>
    <col min="10259" max="10259" width="9.625" style="2" bestFit="1" customWidth="1"/>
    <col min="10260" max="10484" width="9" style="2"/>
    <col min="10485" max="10485" width="2.375" style="2" customWidth="1"/>
    <col min="10486" max="10486" width="13.25" style="2" bestFit="1" customWidth="1"/>
    <col min="10487" max="10488" width="11.125" style="2" bestFit="1" customWidth="1"/>
    <col min="10489" max="10489" width="13.25" style="2" bestFit="1" customWidth="1"/>
    <col min="10490" max="10490" width="11.125" style="2" bestFit="1" customWidth="1"/>
    <col min="10491" max="10491" width="9" style="2"/>
    <col min="10492" max="10492" width="11.125" style="2" bestFit="1" customWidth="1"/>
    <col min="10493" max="10493" width="9" style="2"/>
    <col min="10494" max="10506" width="11.125" style="2" bestFit="1" customWidth="1"/>
    <col min="10507" max="10507" width="9" style="2"/>
    <col min="10508" max="10514" width="11.125" style="2" bestFit="1" customWidth="1"/>
    <col min="10515" max="10515" width="9.625" style="2" bestFit="1" customWidth="1"/>
    <col min="10516" max="10740" width="9" style="2"/>
    <col min="10741" max="10741" width="2.375" style="2" customWidth="1"/>
    <col min="10742" max="10742" width="13.25" style="2" bestFit="1" customWidth="1"/>
    <col min="10743" max="10744" width="11.125" style="2" bestFit="1" customWidth="1"/>
    <col min="10745" max="10745" width="13.25" style="2" bestFit="1" customWidth="1"/>
    <col min="10746" max="10746" width="11.125" style="2" bestFit="1" customWidth="1"/>
    <col min="10747" max="10747" width="9" style="2"/>
    <col min="10748" max="10748" width="11.125" style="2" bestFit="1" customWidth="1"/>
    <col min="10749" max="10749" width="9" style="2"/>
    <col min="10750" max="10762" width="11.125" style="2" bestFit="1" customWidth="1"/>
    <col min="10763" max="10763" width="9" style="2"/>
    <col min="10764" max="10770" width="11.125" style="2" bestFit="1" customWidth="1"/>
    <col min="10771" max="10771" width="9.625" style="2" bestFit="1" customWidth="1"/>
    <col min="10772" max="10996" width="9" style="2"/>
    <col min="10997" max="10997" width="2.375" style="2" customWidth="1"/>
    <col min="10998" max="10998" width="13.25" style="2" bestFit="1" customWidth="1"/>
    <col min="10999" max="11000" width="11.125" style="2" bestFit="1" customWidth="1"/>
    <col min="11001" max="11001" width="13.25" style="2" bestFit="1" customWidth="1"/>
    <col min="11002" max="11002" width="11.125" style="2" bestFit="1" customWidth="1"/>
    <col min="11003" max="11003" width="9" style="2"/>
    <col min="11004" max="11004" width="11.125" style="2" bestFit="1" customWidth="1"/>
    <col min="11005" max="11005" width="9" style="2"/>
    <col min="11006" max="11018" width="11.125" style="2" bestFit="1" customWidth="1"/>
    <col min="11019" max="11019" width="9" style="2"/>
    <col min="11020" max="11026" width="11.125" style="2" bestFit="1" customWidth="1"/>
    <col min="11027" max="11027" width="9.625" style="2" bestFit="1" customWidth="1"/>
    <col min="11028" max="11252" width="9" style="2"/>
    <col min="11253" max="11253" width="2.375" style="2" customWidth="1"/>
    <col min="11254" max="11254" width="13.25" style="2" bestFit="1" customWidth="1"/>
    <col min="11255" max="11256" width="11.125" style="2" bestFit="1" customWidth="1"/>
    <col min="11257" max="11257" width="13.25" style="2" bestFit="1" customWidth="1"/>
    <col min="11258" max="11258" width="11.125" style="2" bestFit="1" customWidth="1"/>
    <col min="11259" max="11259" width="9" style="2"/>
    <col min="11260" max="11260" width="11.125" style="2" bestFit="1" customWidth="1"/>
    <col min="11261" max="11261" width="9" style="2"/>
    <col min="11262" max="11274" width="11.125" style="2" bestFit="1" customWidth="1"/>
    <col min="11275" max="11275" width="9" style="2"/>
    <col min="11276" max="11282" width="11.125" style="2" bestFit="1" customWidth="1"/>
    <col min="11283" max="11283" width="9.625" style="2" bestFit="1" customWidth="1"/>
    <col min="11284" max="11508" width="9" style="2"/>
    <col min="11509" max="11509" width="2.375" style="2" customWidth="1"/>
    <col min="11510" max="11510" width="13.25" style="2" bestFit="1" customWidth="1"/>
    <col min="11511" max="11512" width="11.125" style="2" bestFit="1" customWidth="1"/>
    <col min="11513" max="11513" width="13.25" style="2" bestFit="1" customWidth="1"/>
    <col min="11514" max="11514" width="11.125" style="2" bestFit="1" customWidth="1"/>
    <col min="11515" max="11515" width="9" style="2"/>
    <col min="11516" max="11516" width="11.125" style="2" bestFit="1" customWidth="1"/>
    <col min="11517" max="11517" width="9" style="2"/>
    <col min="11518" max="11530" width="11.125" style="2" bestFit="1" customWidth="1"/>
    <col min="11531" max="11531" width="9" style="2"/>
    <col min="11532" max="11538" width="11.125" style="2" bestFit="1" customWidth="1"/>
    <col min="11539" max="11539" width="9.625" style="2" bestFit="1" customWidth="1"/>
    <col min="11540" max="11764" width="9" style="2"/>
    <col min="11765" max="11765" width="2.375" style="2" customWidth="1"/>
    <col min="11766" max="11766" width="13.25" style="2" bestFit="1" customWidth="1"/>
    <col min="11767" max="11768" width="11.125" style="2" bestFit="1" customWidth="1"/>
    <col min="11769" max="11769" width="13.25" style="2" bestFit="1" customWidth="1"/>
    <col min="11770" max="11770" width="11.125" style="2" bestFit="1" customWidth="1"/>
    <col min="11771" max="11771" width="9" style="2"/>
    <col min="11772" max="11772" width="11.125" style="2" bestFit="1" customWidth="1"/>
    <col min="11773" max="11773" width="9" style="2"/>
    <col min="11774" max="11786" width="11.125" style="2" bestFit="1" customWidth="1"/>
    <col min="11787" max="11787" width="9" style="2"/>
    <col min="11788" max="11794" width="11.125" style="2" bestFit="1" customWidth="1"/>
    <col min="11795" max="11795" width="9.625" style="2" bestFit="1" customWidth="1"/>
    <col min="11796" max="12020" width="9" style="2"/>
    <col min="12021" max="12021" width="2.375" style="2" customWidth="1"/>
    <col min="12022" max="12022" width="13.25" style="2" bestFit="1" customWidth="1"/>
    <col min="12023" max="12024" width="11.125" style="2" bestFit="1" customWidth="1"/>
    <col min="12025" max="12025" width="13.25" style="2" bestFit="1" customWidth="1"/>
    <col min="12026" max="12026" width="11.125" style="2" bestFit="1" customWidth="1"/>
    <col min="12027" max="12027" width="9" style="2"/>
    <col min="12028" max="12028" width="11.125" style="2" bestFit="1" customWidth="1"/>
    <col min="12029" max="12029" width="9" style="2"/>
    <col min="12030" max="12042" width="11.125" style="2" bestFit="1" customWidth="1"/>
    <col min="12043" max="12043" width="9" style="2"/>
    <col min="12044" max="12050" width="11.125" style="2" bestFit="1" customWidth="1"/>
    <col min="12051" max="12051" width="9.625" style="2" bestFit="1" customWidth="1"/>
    <col min="12052" max="12276" width="9" style="2"/>
    <col min="12277" max="12277" width="2.375" style="2" customWidth="1"/>
    <col min="12278" max="12278" width="13.25" style="2" bestFit="1" customWidth="1"/>
    <col min="12279" max="12280" width="11.125" style="2" bestFit="1" customWidth="1"/>
    <col min="12281" max="12281" width="13.25" style="2" bestFit="1" customWidth="1"/>
    <col min="12282" max="12282" width="11.125" style="2" bestFit="1" customWidth="1"/>
    <col min="12283" max="12283" width="9" style="2"/>
    <col min="12284" max="12284" width="11.125" style="2" bestFit="1" customWidth="1"/>
    <col min="12285" max="12285" width="9" style="2"/>
    <col min="12286" max="12298" width="11.125" style="2" bestFit="1" customWidth="1"/>
    <col min="12299" max="12299" width="9" style="2"/>
    <col min="12300" max="12306" width="11.125" style="2" bestFit="1" customWidth="1"/>
    <col min="12307" max="12307" width="9.625" style="2" bestFit="1" customWidth="1"/>
    <col min="12308" max="12532" width="9" style="2"/>
    <col min="12533" max="12533" width="2.375" style="2" customWidth="1"/>
    <col min="12534" max="12534" width="13.25" style="2" bestFit="1" customWidth="1"/>
    <col min="12535" max="12536" width="11.125" style="2" bestFit="1" customWidth="1"/>
    <col min="12537" max="12537" width="13.25" style="2" bestFit="1" customWidth="1"/>
    <col min="12538" max="12538" width="11.125" style="2" bestFit="1" customWidth="1"/>
    <col min="12539" max="12539" width="9" style="2"/>
    <col min="12540" max="12540" width="11.125" style="2" bestFit="1" customWidth="1"/>
    <col min="12541" max="12541" width="9" style="2"/>
    <col min="12542" max="12554" width="11.125" style="2" bestFit="1" customWidth="1"/>
    <col min="12555" max="12555" width="9" style="2"/>
    <col min="12556" max="12562" width="11.125" style="2" bestFit="1" customWidth="1"/>
    <col min="12563" max="12563" width="9.625" style="2" bestFit="1" customWidth="1"/>
    <col min="12564" max="12788" width="9" style="2"/>
    <col min="12789" max="12789" width="2.375" style="2" customWidth="1"/>
    <col min="12790" max="12790" width="13.25" style="2" bestFit="1" customWidth="1"/>
    <col min="12791" max="12792" width="11.125" style="2" bestFit="1" customWidth="1"/>
    <col min="12793" max="12793" width="13.25" style="2" bestFit="1" customWidth="1"/>
    <col min="12794" max="12794" width="11.125" style="2" bestFit="1" customWidth="1"/>
    <col min="12795" max="12795" width="9" style="2"/>
    <col min="12796" max="12796" width="11.125" style="2" bestFit="1" customWidth="1"/>
    <col min="12797" max="12797" width="9" style="2"/>
    <col min="12798" max="12810" width="11.125" style="2" bestFit="1" customWidth="1"/>
    <col min="12811" max="12811" width="9" style="2"/>
    <col min="12812" max="12818" width="11.125" style="2" bestFit="1" customWidth="1"/>
    <col min="12819" max="12819" width="9.625" style="2" bestFit="1" customWidth="1"/>
    <col min="12820" max="13044" width="9" style="2"/>
    <col min="13045" max="13045" width="2.375" style="2" customWidth="1"/>
    <col min="13046" max="13046" width="13.25" style="2" bestFit="1" customWidth="1"/>
    <col min="13047" max="13048" width="11.125" style="2" bestFit="1" customWidth="1"/>
    <col min="13049" max="13049" width="13.25" style="2" bestFit="1" customWidth="1"/>
    <col min="13050" max="13050" width="11.125" style="2" bestFit="1" customWidth="1"/>
    <col min="13051" max="13051" width="9" style="2"/>
    <col min="13052" max="13052" width="11.125" style="2" bestFit="1" customWidth="1"/>
    <col min="13053" max="13053" width="9" style="2"/>
    <col min="13054" max="13066" width="11.125" style="2" bestFit="1" customWidth="1"/>
    <col min="13067" max="13067" width="9" style="2"/>
    <col min="13068" max="13074" width="11.125" style="2" bestFit="1" customWidth="1"/>
    <col min="13075" max="13075" width="9.625" style="2" bestFit="1" customWidth="1"/>
    <col min="13076" max="13300" width="9" style="2"/>
    <col min="13301" max="13301" width="2.375" style="2" customWidth="1"/>
    <col min="13302" max="13302" width="13.25" style="2" bestFit="1" customWidth="1"/>
    <col min="13303" max="13304" width="11.125" style="2" bestFit="1" customWidth="1"/>
    <col min="13305" max="13305" width="13.25" style="2" bestFit="1" customWidth="1"/>
    <col min="13306" max="13306" width="11.125" style="2" bestFit="1" customWidth="1"/>
    <col min="13307" max="13307" width="9" style="2"/>
    <col min="13308" max="13308" width="11.125" style="2" bestFit="1" customWidth="1"/>
    <col min="13309" max="13309" width="9" style="2"/>
    <col min="13310" max="13322" width="11.125" style="2" bestFit="1" customWidth="1"/>
    <col min="13323" max="13323" width="9" style="2"/>
    <col min="13324" max="13330" width="11.125" style="2" bestFit="1" customWidth="1"/>
    <col min="13331" max="13331" width="9.625" style="2" bestFit="1" customWidth="1"/>
    <col min="13332" max="13556" width="9" style="2"/>
    <col min="13557" max="13557" width="2.375" style="2" customWidth="1"/>
    <col min="13558" max="13558" width="13.25" style="2" bestFit="1" customWidth="1"/>
    <col min="13559" max="13560" width="11.125" style="2" bestFit="1" customWidth="1"/>
    <col min="13561" max="13561" width="13.25" style="2" bestFit="1" customWidth="1"/>
    <col min="13562" max="13562" width="11.125" style="2" bestFit="1" customWidth="1"/>
    <col min="13563" max="13563" width="9" style="2"/>
    <col min="13564" max="13564" width="11.125" style="2" bestFit="1" customWidth="1"/>
    <col min="13565" max="13565" width="9" style="2"/>
    <col min="13566" max="13578" width="11.125" style="2" bestFit="1" customWidth="1"/>
    <col min="13579" max="13579" width="9" style="2"/>
    <col min="13580" max="13586" width="11.125" style="2" bestFit="1" customWidth="1"/>
    <col min="13587" max="13587" width="9.625" style="2" bestFit="1" customWidth="1"/>
    <col min="13588" max="13812" width="9" style="2"/>
    <col min="13813" max="13813" width="2.375" style="2" customWidth="1"/>
    <col min="13814" max="13814" width="13.25" style="2" bestFit="1" customWidth="1"/>
    <col min="13815" max="13816" width="11.125" style="2" bestFit="1" customWidth="1"/>
    <col min="13817" max="13817" width="13.25" style="2" bestFit="1" customWidth="1"/>
    <col min="13818" max="13818" width="11.125" style="2" bestFit="1" customWidth="1"/>
    <col min="13819" max="13819" width="9" style="2"/>
    <col min="13820" max="13820" width="11.125" style="2" bestFit="1" customWidth="1"/>
    <col min="13821" max="13821" width="9" style="2"/>
    <col min="13822" max="13834" width="11.125" style="2" bestFit="1" customWidth="1"/>
    <col min="13835" max="13835" width="9" style="2"/>
    <col min="13836" max="13842" width="11.125" style="2" bestFit="1" customWidth="1"/>
    <col min="13843" max="13843" width="9.625" style="2" bestFit="1" customWidth="1"/>
    <col min="13844" max="14068" width="9" style="2"/>
    <col min="14069" max="14069" width="2.375" style="2" customWidth="1"/>
    <col min="14070" max="14070" width="13.25" style="2" bestFit="1" customWidth="1"/>
    <col min="14071" max="14072" width="11.125" style="2" bestFit="1" customWidth="1"/>
    <col min="14073" max="14073" width="13.25" style="2" bestFit="1" customWidth="1"/>
    <col min="14074" max="14074" width="11.125" style="2" bestFit="1" customWidth="1"/>
    <col min="14075" max="14075" width="9" style="2"/>
    <col min="14076" max="14076" width="11.125" style="2" bestFit="1" customWidth="1"/>
    <col min="14077" max="14077" width="9" style="2"/>
    <col min="14078" max="14090" width="11.125" style="2" bestFit="1" customWidth="1"/>
    <col min="14091" max="14091" width="9" style="2"/>
    <col min="14092" max="14098" width="11.125" style="2" bestFit="1" customWidth="1"/>
    <col min="14099" max="14099" width="9.625" style="2" bestFit="1" customWidth="1"/>
    <col min="14100" max="14324" width="9" style="2"/>
    <col min="14325" max="14325" width="2.375" style="2" customWidth="1"/>
    <col min="14326" max="14326" width="13.25" style="2" bestFit="1" customWidth="1"/>
    <col min="14327" max="14328" width="11.125" style="2" bestFit="1" customWidth="1"/>
    <col min="14329" max="14329" width="13.25" style="2" bestFit="1" customWidth="1"/>
    <col min="14330" max="14330" width="11.125" style="2" bestFit="1" customWidth="1"/>
    <col min="14331" max="14331" width="9" style="2"/>
    <col min="14332" max="14332" width="11.125" style="2" bestFit="1" customWidth="1"/>
    <col min="14333" max="14333" width="9" style="2"/>
    <col min="14334" max="14346" width="11.125" style="2" bestFit="1" customWidth="1"/>
    <col min="14347" max="14347" width="9" style="2"/>
    <col min="14348" max="14354" width="11.125" style="2" bestFit="1" customWidth="1"/>
    <col min="14355" max="14355" width="9.625" style="2" bestFit="1" customWidth="1"/>
    <col min="14356" max="14580" width="9" style="2"/>
    <col min="14581" max="14581" width="2.375" style="2" customWidth="1"/>
    <col min="14582" max="14582" width="13.25" style="2" bestFit="1" customWidth="1"/>
    <col min="14583" max="14584" width="11.125" style="2" bestFit="1" customWidth="1"/>
    <col min="14585" max="14585" width="13.25" style="2" bestFit="1" customWidth="1"/>
    <col min="14586" max="14586" width="11.125" style="2" bestFit="1" customWidth="1"/>
    <col min="14587" max="14587" width="9" style="2"/>
    <col min="14588" max="14588" width="11.125" style="2" bestFit="1" customWidth="1"/>
    <col min="14589" max="14589" width="9" style="2"/>
    <col min="14590" max="14602" width="11.125" style="2" bestFit="1" customWidth="1"/>
    <col min="14603" max="14603" width="9" style="2"/>
    <col min="14604" max="14610" width="11.125" style="2" bestFit="1" customWidth="1"/>
    <col min="14611" max="14611" width="9.625" style="2" bestFit="1" customWidth="1"/>
    <col min="14612" max="14836" width="9" style="2"/>
    <col min="14837" max="14837" width="2.375" style="2" customWidth="1"/>
    <col min="14838" max="14838" width="13.25" style="2" bestFit="1" customWidth="1"/>
    <col min="14839" max="14840" width="11.125" style="2" bestFit="1" customWidth="1"/>
    <col min="14841" max="14841" width="13.25" style="2" bestFit="1" customWidth="1"/>
    <col min="14842" max="14842" width="11.125" style="2" bestFit="1" customWidth="1"/>
    <col min="14843" max="14843" width="9" style="2"/>
    <col min="14844" max="14844" width="11.125" style="2" bestFit="1" customWidth="1"/>
    <col min="14845" max="14845" width="9" style="2"/>
    <col min="14846" max="14858" width="11.125" style="2" bestFit="1" customWidth="1"/>
    <col min="14859" max="14859" width="9" style="2"/>
    <col min="14860" max="14866" width="11.125" style="2" bestFit="1" customWidth="1"/>
    <col min="14867" max="14867" width="9.625" style="2" bestFit="1" customWidth="1"/>
    <col min="14868" max="15092" width="9" style="2"/>
    <col min="15093" max="15093" width="2.375" style="2" customWidth="1"/>
    <col min="15094" max="15094" width="13.25" style="2" bestFit="1" customWidth="1"/>
    <col min="15095" max="15096" width="11.125" style="2" bestFit="1" customWidth="1"/>
    <col min="15097" max="15097" width="13.25" style="2" bestFit="1" customWidth="1"/>
    <col min="15098" max="15098" width="11.125" style="2" bestFit="1" customWidth="1"/>
    <col min="15099" max="15099" width="9" style="2"/>
    <col min="15100" max="15100" width="11.125" style="2" bestFit="1" customWidth="1"/>
    <col min="15101" max="15101" width="9" style="2"/>
    <col min="15102" max="15114" width="11.125" style="2" bestFit="1" customWidth="1"/>
    <col min="15115" max="15115" width="9" style="2"/>
    <col min="15116" max="15122" width="11.125" style="2" bestFit="1" customWidth="1"/>
    <col min="15123" max="15123" width="9.625" style="2" bestFit="1" customWidth="1"/>
    <col min="15124" max="15348" width="9" style="2"/>
    <col min="15349" max="15349" width="2.375" style="2" customWidth="1"/>
    <col min="15350" max="15350" width="13.25" style="2" bestFit="1" customWidth="1"/>
    <col min="15351" max="15352" width="11.125" style="2" bestFit="1" customWidth="1"/>
    <col min="15353" max="15353" width="13.25" style="2" bestFit="1" customWidth="1"/>
    <col min="15354" max="15354" width="11.125" style="2" bestFit="1" customWidth="1"/>
    <col min="15355" max="15355" width="9" style="2"/>
    <col min="15356" max="15356" width="11.125" style="2" bestFit="1" customWidth="1"/>
    <col min="15357" max="15357" width="9" style="2"/>
    <col min="15358" max="15370" width="11.125" style="2" bestFit="1" customWidth="1"/>
    <col min="15371" max="15371" width="9" style="2"/>
    <col min="15372" max="15378" width="11.125" style="2" bestFit="1" customWidth="1"/>
    <col min="15379" max="15379" width="9.625" style="2" bestFit="1" customWidth="1"/>
    <col min="15380" max="15604" width="9" style="2"/>
    <col min="15605" max="15605" width="2.375" style="2" customWidth="1"/>
    <col min="15606" max="15606" width="13.25" style="2" bestFit="1" customWidth="1"/>
    <col min="15607" max="15608" width="11.125" style="2" bestFit="1" customWidth="1"/>
    <col min="15609" max="15609" width="13.25" style="2" bestFit="1" customWidth="1"/>
    <col min="15610" max="15610" width="11.125" style="2" bestFit="1" customWidth="1"/>
    <col min="15611" max="15611" width="9" style="2"/>
    <col min="15612" max="15612" width="11.125" style="2" bestFit="1" customWidth="1"/>
    <col min="15613" max="15613" width="9" style="2"/>
    <col min="15614" max="15626" width="11.125" style="2" bestFit="1" customWidth="1"/>
    <col min="15627" max="15627" width="9" style="2"/>
    <col min="15628" max="15634" width="11.125" style="2" bestFit="1" customWidth="1"/>
    <col min="15635" max="15635" width="9.625" style="2" bestFit="1" customWidth="1"/>
    <col min="15636" max="15860" width="9" style="2"/>
    <col min="15861" max="15861" width="2.375" style="2" customWidth="1"/>
    <col min="15862" max="15862" width="13.25" style="2" bestFit="1" customWidth="1"/>
    <col min="15863" max="15864" width="11.125" style="2" bestFit="1" customWidth="1"/>
    <col min="15865" max="15865" width="13.25" style="2" bestFit="1" customWidth="1"/>
    <col min="15866" max="15866" width="11.125" style="2" bestFit="1" customWidth="1"/>
    <col min="15867" max="15867" width="9" style="2"/>
    <col min="15868" max="15868" width="11.125" style="2" bestFit="1" customWidth="1"/>
    <col min="15869" max="15869" width="9" style="2"/>
    <col min="15870" max="15882" width="11.125" style="2" bestFit="1" customWidth="1"/>
    <col min="15883" max="15883" width="9" style="2"/>
    <col min="15884" max="15890" width="11.125" style="2" bestFit="1" customWidth="1"/>
    <col min="15891" max="15891" width="9.625" style="2" bestFit="1" customWidth="1"/>
    <col min="15892" max="16116" width="9" style="2"/>
    <col min="16117" max="16117" width="2.375" style="2" customWidth="1"/>
    <col min="16118" max="16118" width="13.25" style="2" bestFit="1" customWidth="1"/>
    <col min="16119" max="16120" width="11.125" style="2" bestFit="1" customWidth="1"/>
    <col min="16121" max="16121" width="13.25" style="2" bestFit="1" customWidth="1"/>
    <col min="16122" max="16122" width="11.125" style="2" bestFit="1" customWidth="1"/>
    <col min="16123" max="16123" width="9" style="2"/>
    <col min="16124" max="16124" width="11.125" style="2" bestFit="1" customWidth="1"/>
    <col min="16125" max="16125" width="9" style="2"/>
    <col min="16126" max="16138" width="11.125" style="2" bestFit="1" customWidth="1"/>
    <col min="16139" max="16139" width="9" style="2"/>
    <col min="16140" max="16146" width="11.125" style="2" bestFit="1" customWidth="1"/>
    <col min="16147" max="16147" width="9.625" style="2" bestFit="1" customWidth="1"/>
    <col min="16148" max="16384" width="9" style="2"/>
  </cols>
  <sheetData>
    <row r="1" spans="1:22">
      <c r="A1" s="1" t="s">
        <v>0</v>
      </c>
    </row>
    <row r="2" spans="1:22" ht="19.5" thickBot="1">
      <c r="A2" s="1" t="s">
        <v>112</v>
      </c>
    </row>
    <row r="3" spans="1:22">
      <c r="B3" s="16"/>
      <c r="C3" s="35" t="s">
        <v>2</v>
      </c>
      <c r="D3" s="36" t="s">
        <v>3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  <c r="J3" s="36" t="s">
        <v>11</v>
      </c>
      <c r="K3" s="36" t="s">
        <v>12</v>
      </c>
      <c r="L3" s="36" t="s">
        <v>13</v>
      </c>
      <c r="M3" s="36" t="s">
        <v>14</v>
      </c>
      <c r="N3" s="36" t="s">
        <v>15</v>
      </c>
      <c r="O3" s="36" t="s">
        <v>16</v>
      </c>
      <c r="P3" s="36" t="s">
        <v>18</v>
      </c>
      <c r="Q3" s="36" t="s">
        <v>19</v>
      </c>
      <c r="R3" s="36" t="s">
        <v>20</v>
      </c>
      <c r="S3" s="36" t="s">
        <v>21</v>
      </c>
      <c r="T3" s="36" t="s">
        <v>22</v>
      </c>
      <c r="U3" s="59" t="s">
        <v>23</v>
      </c>
      <c r="V3" s="83" t="s">
        <v>106</v>
      </c>
    </row>
    <row r="4" spans="1:22" ht="19.5" thickBot="1">
      <c r="A4" s="15"/>
      <c r="B4" s="6" t="s">
        <v>30</v>
      </c>
      <c r="C4" s="37" t="s">
        <v>31</v>
      </c>
      <c r="D4" s="38" t="s">
        <v>32</v>
      </c>
      <c r="E4" s="38" t="s">
        <v>35</v>
      </c>
      <c r="F4" s="38" t="s">
        <v>36</v>
      </c>
      <c r="G4" s="38" t="s">
        <v>37</v>
      </c>
      <c r="H4" s="38" t="s">
        <v>38</v>
      </c>
      <c r="I4" s="38" t="s">
        <v>39</v>
      </c>
      <c r="J4" s="38" t="s">
        <v>40</v>
      </c>
      <c r="K4" s="38" t="s">
        <v>41</v>
      </c>
      <c r="L4" s="38" t="s">
        <v>42</v>
      </c>
      <c r="M4" s="38" t="s">
        <v>43</v>
      </c>
      <c r="N4" s="38" t="s">
        <v>44</v>
      </c>
      <c r="O4" s="38" t="s">
        <v>45</v>
      </c>
      <c r="P4" s="38" t="s">
        <v>47</v>
      </c>
      <c r="Q4" s="38" t="s">
        <v>48</v>
      </c>
      <c r="R4" s="38" t="s">
        <v>49</v>
      </c>
      <c r="S4" s="38" t="s">
        <v>50</v>
      </c>
      <c r="T4" s="38" t="s">
        <v>51</v>
      </c>
      <c r="U4" s="60" t="s">
        <v>52</v>
      </c>
      <c r="V4" s="84" t="s">
        <v>107</v>
      </c>
    </row>
    <row r="5" spans="1:22">
      <c r="A5" s="1" t="s">
        <v>1</v>
      </c>
      <c r="B5" s="22" t="s">
        <v>60</v>
      </c>
      <c r="C5" s="39">
        <v>19</v>
      </c>
      <c r="D5" s="40">
        <v>21</v>
      </c>
      <c r="E5" s="40">
        <v>20</v>
      </c>
      <c r="F5" s="40">
        <v>18</v>
      </c>
      <c r="G5" s="40">
        <v>20</v>
      </c>
      <c r="H5" s="40">
        <v>19</v>
      </c>
      <c r="I5" s="40">
        <v>16</v>
      </c>
      <c r="J5" s="40">
        <v>22</v>
      </c>
      <c r="K5" s="40">
        <v>20</v>
      </c>
      <c r="L5" s="40">
        <v>21</v>
      </c>
      <c r="M5" s="40">
        <v>20</v>
      </c>
      <c r="N5" s="40">
        <v>18</v>
      </c>
      <c r="O5" s="40">
        <v>18</v>
      </c>
      <c r="P5" s="40">
        <v>19</v>
      </c>
      <c r="Q5" s="40">
        <v>20</v>
      </c>
      <c r="R5" s="40">
        <v>20</v>
      </c>
      <c r="S5" s="40">
        <v>21</v>
      </c>
      <c r="T5" s="40">
        <v>21</v>
      </c>
      <c r="U5" s="61">
        <v>22</v>
      </c>
      <c r="V5" s="24">
        <f>SUM(C5:U5)</f>
        <v>375</v>
      </c>
    </row>
    <row r="6" spans="1:22">
      <c r="A6" s="1" t="s">
        <v>1</v>
      </c>
      <c r="B6" s="25" t="s">
        <v>61</v>
      </c>
      <c r="C6" s="41">
        <v>3</v>
      </c>
      <c r="D6" s="42">
        <v>2</v>
      </c>
      <c r="E6" s="42">
        <v>1</v>
      </c>
      <c r="F6" s="42">
        <v>3</v>
      </c>
      <c r="G6" s="42">
        <v>1</v>
      </c>
      <c r="H6" s="42">
        <v>0</v>
      </c>
      <c r="I6" s="42">
        <v>2</v>
      </c>
      <c r="J6" s="42">
        <v>0</v>
      </c>
      <c r="K6" s="42">
        <v>2</v>
      </c>
      <c r="L6" s="42">
        <v>2</v>
      </c>
      <c r="M6" s="42">
        <v>1</v>
      </c>
      <c r="N6" s="42">
        <v>2</v>
      </c>
      <c r="O6" s="42">
        <v>2</v>
      </c>
      <c r="P6" s="42">
        <v>2</v>
      </c>
      <c r="Q6" s="42">
        <v>4</v>
      </c>
      <c r="R6" s="42">
        <v>2</v>
      </c>
      <c r="S6" s="42">
        <v>0</v>
      </c>
      <c r="T6" s="42">
        <v>1</v>
      </c>
      <c r="U6" s="62">
        <v>2</v>
      </c>
      <c r="V6" s="27">
        <f t="shared" ref="V6:V50" si="0">SUM(C6:U6)</f>
        <v>32</v>
      </c>
    </row>
    <row r="7" spans="1:22">
      <c r="A7" s="1" t="s">
        <v>1</v>
      </c>
      <c r="B7" s="25" t="s">
        <v>62</v>
      </c>
      <c r="C7" s="41">
        <v>2</v>
      </c>
      <c r="D7" s="42">
        <v>2</v>
      </c>
      <c r="E7" s="42">
        <v>0</v>
      </c>
      <c r="F7" s="42">
        <v>0</v>
      </c>
      <c r="G7" s="42">
        <v>0</v>
      </c>
      <c r="H7" s="42">
        <v>1</v>
      </c>
      <c r="I7" s="42">
        <v>1</v>
      </c>
      <c r="J7" s="42">
        <v>1</v>
      </c>
      <c r="K7" s="42">
        <v>1</v>
      </c>
      <c r="L7" s="42">
        <v>1</v>
      </c>
      <c r="M7" s="42">
        <v>2</v>
      </c>
      <c r="N7" s="42">
        <v>2</v>
      </c>
      <c r="O7" s="42">
        <v>1</v>
      </c>
      <c r="P7" s="42">
        <v>1</v>
      </c>
      <c r="Q7" s="42">
        <v>0</v>
      </c>
      <c r="R7" s="42">
        <v>1</v>
      </c>
      <c r="S7" s="42">
        <v>2</v>
      </c>
      <c r="T7" s="42">
        <v>2</v>
      </c>
      <c r="U7" s="62">
        <v>1</v>
      </c>
      <c r="V7" s="27">
        <f t="shared" si="0"/>
        <v>21</v>
      </c>
    </row>
    <row r="8" spans="1:22">
      <c r="A8" s="1" t="s">
        <v>1</v>
      </c>
      <c r="B8" s="25" t="s">
        <v>63</v>
      </c>
      <c r="C8" s="41">
        <v>0</v>
      </c>
      <c r="D8" s="42">
        <v>0</v>
      </c>
      <c r="E8" s="42">
        <v>0</v>
      </c>
      <c r="F8" s="42">
        <v>3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4</v>
      </c>
      <c r="R8" s="42">
        <v>2</v>
      </c>
      <c r="S8" s="42">
        <v>2</v>
      </c>
      <c r="T8" s="42">
        <v>0</v>
      </c>
      <c r="U8" s="62">
        <v>1</v>
      </c>
      <c r="V8" s="27">
        <f t="shared" si="0"/>
        <v>12</v>
      </c>
    </row>
    <row r="9" spans="1:22">
      <c r="A9" s="1" t="s">
        <v>1</v>
      </c>
      <c r="B9" s="25" t="s">
        <v>64</v>
      </c>
      <c r="C9" s="41">
        <v>5</v>
      </c>
      <c r="D9" s="42">
        <v>3</v>
      </c>
      <c r="E9" s="42">
        <v>2</v>
      </c>
      <c r="F9" s="42">
        <v>3</v>
      </c>
      <c r="G9" s="42">
        <v>4</v>
      </c>
      <c r="H9" s="42">
        <v>4</v>
      </c>
      <c r="I9" s="42">
        <v>8</v>
      </c>
      <c r="J9" s="42">
        <v>2</v>
      </c>
      <c r="K9" s="42">
        <v>4</v>
      </c>
      <c r="L9" s="42">
        <v>1</v>
      </c>
      <c r="M9" s="42">
        <v>4</v>
      </c>
      <c r="N9" s="42">
        <v>6</v>
      </c>
      <c r="O9" s="42">
        <v>6</v>
      </c>
      <c r="P9" s="42">
        <v>5</v>
      </c>
      <c r="Q9" s="42">
        <v>0</v>
      </c>
      <c r="R9" s="42">
        <v>2</v>
      </c>
      <c r="S9" s="42">
        <v>1</v>
      </c>
      <c r="T9" s="42">
        <v>3</v>
      </c>
      <c r="U9" s="62">
        <v>1</v>
      </c>
      <c r="V9" s="27">
        <f t="shared" si="0"/>
        <v>64</v>
      </c>
    </row>
    <row r="10" spans="1:22">
      <c r="A10" s="1" t="s">
        <v>1</v>
      </c>
      <c r="B10" s="25" t="s">
        <v>65</v>
      </c>
      <c r="C10" s="41">
        <v>0</v>
      </c>
      <c r="D10" s="42">
        <v>0</v>
      </c>
      <c r="E10" s="42">
        <v>2</v>
      </c>
      <c r="F10" s="42">
        <v>0</v>
      </c>
      <c r="G10" s="42">
        <v>0</v>
      </c>
      <c r="H10" s="42">
        <v>1</v>
      </c>
      <c r="I10" s="42">
        <v>0</v>
      </c>
      <c r="J10" s="42">
        <v>0</v>
      </c>
      <c r="K10" s="42">
        <v>0</v>
      </c>
      <c r="L10" s="42">
        <v>2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62">
        <v>0</v>
      </c>
      <c r="V10" s="27">
        <f t="shared" si="0"/>
        <v>5</v>
      </c>
    </row>
    <row r="11" spans="1:22">
      <c r="A11" s="1" t="s">
        <v>1</v>
      </c>
      <c r="B11" s="25" t="s">
        <v>66</v>
      </c>
      <c r="C11" s="43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63">
        <v>0</v>
      </c>
      <c r="V11" s="29">
        <f t="shared" si="0"/>
        <v>0</v>
      </c>
    </row>
    <row r="12" spans="1:22">
      <c r="A12" s="1" t="s">
        <v>1</v>
      </c>
      <c r="B12" s="25" t="s">
        <v>67</v>
      </c>
      <c r="C12" s="43">
        <v>0.66666666666666663</v>
      </c>
      <c r="D12" s="44">
        <v>1.4166666666666667</v>
      </c>
      <c r="E12" s="44">
        <v>0.58333333333333337</v>
      </c>
      <c r="F12" s="44">
        <v>3.1666666666666665</v>
      </c>
      <c r="G12" s="44">
        <v>2.0416666666666665</v>
      </c>
      <c r="H12" s="44">
        <v>2.875</v>
      </c>
      <c r="I12" s="44">
        <v>1.4166666666666667</v>
      </c>
      <c r="J12" s="44">
        <v>2</v>
      </c>
      <c r="K12" s="44">
        <v>1.4583333333333333</v>
      </c>
      <c r="L12" s="44">
        <v>1.6666666666666665</v>
      </c>
      <c r="M12" s="44">
        <v>1.625</v>
      </c>
      <c r="N12" s="44">
        <v>2.1666666666666665</v>
      </c>
      <c r="O12" s="44">
        <v>1.2083333333333333</v>
      </c>
      <c r="P12" s="44">
        <v>2.5416666666666665</v>
      </c>
      <c r="Q12" s="44">
        <v>0.75</v>
      </c>
      <c r="R12" s="44">
        <v>1.25</v>
      </c>
      <c r="S12" s="44">
        <v>3.2916666666666665</v>
      </c>
      <c r="T12" s="44">
        <v>2.0833333333333335</v>
      </c>
      <c r="U12" s="63">
        <v>0.75</v>
      </c>
      <c r="V12" s="29">
        <f t="shared" si="0"/>
        <v>32.958333333333336</v>
      </c>
    </row>
    <row r="13" spans="1:22">
      <c r="A13" s="1" t="s">
        <v>1</v>
      </c>
      <c r="B13" s="25" t="s">
        <v>68</v>
      </c>
      <c r="C13" s="43">
        <v>0.625</v>
      </c>
      <c r="D13" s="44">
        <v>0.625</v>
      </c>
      <c r="E13" s="44">
        <v>0.33333333333333331</v>
      </c>
      <c r="F13" s="44">
        <v>0</v>
      </c>
      <c r="G13" s="44">
        <v>0.16666666666666666</v>
      </c>
      <c r="H13" s="44">
        <v>0</v>
      </c>
      <c r="I13" s="44">
        <v>0.70833333333333337</v>
      </c>
      <c r="J13" s="44">
        <v>0</v>
      </c>
      <c r="K13" s="44">
        <v>0.625</v>
      </c>
      <c r="L13" s="44">
        <v>0.45833333333333331</v>
      </c>
      <c r="M13" s="44">
        <v>0.375</v>
      </c>
      <c r="N13" s="44">
        <v>0.95833333333333337</v>
      </c>
      <c r="O13" s="44">
        <v>0.70833333333333337</v>
      </c>
      <c r="P13" s="44">
        <v>0.79166666666666663</v>
      </c>
      <c r="Q13" s="44">
        <v>0</v>
      </c>
      <c r="R13" s="44">
        <v>0.45833333333333331</v>
      </c>
      <c r="S13" s="44">
        <v>0</v>
      </c>
      <c r="T13" s="44">
        <v>0.125</v>
      </c>
      <c r="U13" s="63">
        <v>0.20833333333333334</v>
      </c>
      <c r="V13" s="29">
        <f t="shared" si="0"/>
        <v>7.1666666666666661</v>
      </c>
    </row>
    <row r="14" spans="1:22">
      <c r="A14" s="1" t="s">
        <v>1</v>
      </c>
      <c r="B14" s="25" t="s">
        <v>69</v>
      </c>
      <c r="C14" s="43">
        <v>0.58333333333333337</v>
      </c>
      <c r="D14" s="44">
        <v>0.58333333333333337</v>
      </c>
      <c r="E14" s="44">
        <v>0</v>
      </c>
      <c r="F14" s="44">
        <v>0</v>
      </c>
      <c r="G14" s="44">
        <v>0</v>
      </c>
      <c r="H14" s="44">
        <v>0.33333333333333331</v>
      </c>
      <c r="I14" s="44">
        <v>0.45833333333333331</v>
      </c>
      <c r="J14" s="44">
        <v>0.45833333333333331</v>
      </c>
      <c r="K14" s="44">
        <v>0.29166666666666669</v>
      </c>
      <c r="L14" s="44">
        <v>0.5</v>
      </c>
      <c r="M14" s="44">
        <v>0.79166666666666663</v>
      </c>
      <c r="N14" s="44">
        <v>0.66666666666666663</v>
      </c>
      <c r="O14" s="44">
        <v>0.29166666666666669</v>
      </c>
      <c r="P14" s="44">
        <v>0.25</v>
      </c>
      <c r="Q14" s="44">
        <v>0</v>
      </c>
      <c r="R14" s="44">
        <v>0</v>
      </c>
      <c r="S14" s="44">
        <v>0</v>
      </c>
      <c r="T14" s="44">
        <v>0.625</v>
      </c>
      <c r="U14" s="63">
        <v>0.41666666666666669</v>
      </c>
      <c r="V14" s="29">
        <f t="shared" si="0"/>
        <v>6.25</v>
      </c>
    </row>
    <row r="15" spans="1:22">
      <c r="A15" s="1" t="s">
        <v>1</v>
      </c>
      <c r="B15" s="25" t="s">
        <v>70</v>
      </c>
      <c r="C15" s="43">
        <v>0</v>
      </c>
      <c r="D15" s="44">
        <v>0</v>
      </c>
      <c r="E15" s="44">
        <v>0</v>
      </c>
      <c r="F15" s="44">
        <v>1.3333333333333333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1.6666666666666665</v>
      </c>
      <c r="R15" s="44">
        <v>0.45833333333333331</v>
      </c>
      <c r="S15" s="44">
        <v>0</v>
      </c>
      <c r="T15" s="44">
        <v>0</v>
      </c>
      <c r="U15" s="63">
        <v>0.20833333333333334</v>
      </c>
      <c r="V15" s="29">
        <f t="shared" si="0"/>
        <v>3.666666666666667</v>
      </c>
    </row>
    <row r="16" spans="1:22">
      <c r="A16" s="1" t="s">
        <v>1</v>
      </c>
      <c r="B16" s="25" t="s">
        <v>71</v>
      </c>
      <c r="C16" s="43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0.41666666666666669</v>
      </c>
      <c r="S16" s="44">
        <v>0.79166666666666663</v>
      </c>
      <c r="T16" s="44">
        <v>0</v>
      </c>
      <c r="U16" s="63">
        <v>0</v>
      </c>
      <c r="V16" s="29">
        <f t="shared" si="0"/>
        <v>1.2083333333333333</v>
      </c>
    </row>
    <row r="17" spans="1:22">
      <c r="A17" s="1" t="s">
        <v>1</v>
      </c>
      <c r="B17" s="25" t="s">
        <v>72</v>
      </c>
      <c r="C17" s="43">
        <v>0</v>
      </c>
      <c r="D17" s="44">
        <v>0</v>
      </c>
      <c r="E17" s="44">
        <v>0</v>
      </c>
      <c r="F17" s="44">
        <v>0.66666666666666663</v>
      </c>
      <c r="G17" s="44">
        <v>0</v>
      </c>
      <c r="H17" s="44">
        <v>0.375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4.1666666666666664E-2</v>
      </c>
      <c r="Q17" s="44">
        <v>0</v>
      </c>
      <c r="R17" s="44">
        <v>0</v>
      </c>
      <c r="S17" s="44">
        <v>0.91666666666666663</v>
      </c>
      <c r="T17" s="44">
        <v>0</v>
      </c>
      <c r="U17" s="63">
        <v>0</v>
      </c>
      <c r="V17" s="29">
        <f t="shared" si="0"/>
        <v>2</v>
      </c>
    </row>
    <row r="18" spans="1:22">
      <c r="A18" s="1" t="s">
        <v>1</v>
      </c>
      <c r="B18" s="25" t="s">
        <v>73</v>
      </c>
      <c r="C18" s="43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63">
        <v>0</v>
      </c>
      <c r="V18" s="29">
        <f t="shared" si="0"/>
        <v>0</v>
      </c>
    </row>
    <row r="19" spans="1:22">
      <c r="A19" s="1" t="s">
        <v>1</v>
      </c>
      <c r="B19" s="7" t="s">
        <v>74</v>
      </c>
      <c r="C19" s="45">
        <v>8.3333333333333329E-2</v>
      </c>
      <c r="D19" s="46">
        <v>0.125</v>
      </c>
      <c r="E19" s="46">
        <v>0</v>
      </c>
      <c r="F19" s="46">
        <v>1.4583333333333333</v>
      </c>
      <c r="G19" s="46">
        <v>0.58333333333333337</v>
      </c>
      <c r="H19" s="46">
        <v>0.91666666666666663</v>
      </c>
      <c r="I19" s="46">
        <v>0.375</v>
      </c>
      <c r="J19" s="46">
        <v>1.25</v>
      </c>
      <c r="K19" s="46">
        <v>8.3333333333333329E-2</v>
      </c>
      <c r="L19" s="46">
        <v>0.66666666666666663</v>
      </c>
      <c r="M19" s="46">
        <v>0.29166666666666669</v>
      </c>
      <c r="N19" s="46">
        <v>1.25</v>
      </c>
      <c r="O19" s="46">
        <v>0.20833333333333334</v>
      </c>
      <c r="P19" s="46">
        <v>1</v>
      </c>
      <c r="Q19" s="46">
        <v>1.4166666666666667</v>
      </c>
      <c r="R19" s="46">
        <v>0.20833333333333334</v>
      </c>
      <c r="S19" s="46">
        <v>1.6666666666666665</v>
      </c>
      <c r="T19" s="46">
        <v>0.29166666666666669</v>
      </c>
      <c r="U19" s="64">
        <v>0.25</v>
      </c>
      <c r="V19" s="9">
        <f t="shared" si="0"/>
        <v>12.124999999999998</v>
      </c>
    </row>
    <row r="20" spans="1:22">
      <c r="A20" s="1" t="s">
        <v>1</v>
      </c>
      <c r="B20" s="17" t="s">
        <v>75</v>
      </c>
      <c r="C20" s="47">
        <v>13</v>
      </c>
      <c r="D20" s="48">
        <v>11</v>
      </c>
      <c r="E20" s="48">
        <v>33</v>
      </c>
      <c r="F20" s="48">
        <v>29</v>
      </c>
      <c r="G20" s="48">
        <v>30</v>
      </c>
      <c r="H20" s="48">
        <v>26</v>
      </c>
      <c r="I20" s="48">
        <v>22</v>
      </c>
      <c r="J20" s="48">
        <v>22</v>
      </c>
      <c r="K20" s="48">
        <v>28</v>
      </c>
      <c r="L20" s="48">
        <v>34</v>
      </c>
      <c r="M20" s="48">
        <v>9</v>
      </c>
      <c r="N20" s="48">
        <v>7</v>
      </c>
      <c r="O20" s="48">
        <v>26</v>
      </c>
      <c r="P20" s="48">
        <v>8</v>
      </c>
      <c r="Q20" s="48">
        <v>25</v>
      </c>
      <c r="R20" s="48">
        <v>12</v>
      </c>
      <c r="S20" s="48">
        <v>8</v>
      </c>
      <c r="T20" s="48">
        <v>10</v>
      </c>
      <c r="U20" s="65">
        <v>13</v>
      </c>
      <c r="V20" s="19">
        <f t="shared" si="0"/>
        <v>366</v>
      </c>
    </row>
    <row r="21" spans="1:22">
      <c r="A21" s="1" t="s">
        <v>1</v>
      </c>
      <c r="B21" s="30" t="s">
        <v>76</v>
      </c>
      <c r="C21" s="49">
        <v>177000</v>
      </c>
      <c r="D21" s="50">
        <v>187000</v>
      </c>
      <c r="E21" s="50">
        <v>187000</v>
      </c>
      <c r="F21" s="50">
        <v>192000</v>
      </c>
      <c r="G21" s="50">
        <v>187000</v>
      </c>
      <c r="H21" s="50">
        <v>192000</v>
      </c>
      <c r="I21" s="50">
        <v>177000</v>
      </c>
      <c r="J21" s="50">
        <v>177000</v>
      </c>
      <c r="K21" s="50">
        <v>177000</v>
      </c>
      <c r="L21" s="50">
        <v>187000</v>
      </c>
      <c r="M21" s="50">
        <v>177000</v>
      </c>
      <c r="N21" s="50">
        <v>177000</v>
      </c>
      <c r="O21" s="50">
        <v>187000</v>
      </c>
      <c r="P21" s="50">
        <v>170000</v>
      </c>
      <c r="Q21" s="50">
        <v>175000</v>
      </c>
      <c r="R21" s="50">
        <v>170000</v>
      </c>
      <c r="S21" s="50">
        <v>170000</v>
      </c>
      <c r="T21" s="50">
        <v>170000</v>
      </c>
      <c r="U21" s="66">
        <v>170000</v>
      </c>
      <c r="V21" s="32">
        <f t="shared" si="0"/>
        <v>3406000</v>
      </c>
    </row>
    <row r="22" spans="1:22">
      <c r="A22" s="1" t="s">
        <v>1</v>
      </c>
      <c r="B22" s="25" t="s">
        <v>77</v>
      </c>
      <c r="C22" s="51">
        <v>0</v>
      </c>
      <c r="D22" s="52">
        <v>0</v>
      </c>
      <c r="E22" s="52">
        <v>20000</v>
      </c>
      <c r="F22" s="52">
        <v>20000</v>
      </c>
      <c r="G22" s="52">
        <v>5000</v>
      </c>
      <c r="H22" s="52">
        <v>5000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  <c r="Q22" s="52">
        <v>0</v>
      </c>
      <c r="R22" s="52">
        <v>0</v>
      </c>
      <c r="S22" s="52">
        <v>0</v>
      </c>
      <c r="T22" s="52">
        <v>0</v>
      </c>
      <c r="U22" s="67">
        <v>0</v>
      </c>
      <c r="V22" s="34">
        <f t="shared" si="0"/>
        <v>50000</v>
      </c>
    </row>
    <row r="23" spans="1:22">
      <c r="A23" s="1" t="s">
        <v>1</v>
      </c>
      <c r="B23" s="25" t="s">
        <v>78</v>
      </c>
      <c r="C23" s="51">
        <v>0</v>
      </c>
      <c r="D23" s="52">
        <v>0</v>
      </c>
      <c r="E23" s="52">
        <v>3000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67">
        <v>0</v>
      </c>
      <c r="V23" s="34">
        <f t="shared" si="0"/>
        <v>3000</v>
      </c>
    </row>
    <row r="24" spans="1:22">
      <c r="A24" s="1" t="s">
        <v>1</v>
      </c>
      <c r="B24" s="25" t="s">
        <v>79</v>
      </c>
      <c r="C24" s="51">
        <v>0</v>
      </c>
      <c r="D24" s="52">
        <v>7640</v>
      </c>
      <c r="E24" s="52">
        <v>110263</v>
      </c>
      <c r="F24" s="52">
        <v>24135</v>
      </c>
      <c r="G24" s="52">
        <v>0</v>
      </c>
      <c r="H24" s="52">
        <v>22526</v>
      </c>
      <c r="I24" s="52">
        <v>5788</v>
      </c>
      <c r="J24" s="52">
        <v>0</v>
      </c>
      <c r="K24" s="52">
        <v>7235</v>
      </c>
      <c r="L24" s="52">
        <v>55917</v>
      </c>
      <c r="M24" s="52">
        <v>0</v>
      </c>
      <c r="N24" s="52">
        <v>0</v>
      </c>
      <c r="O24" s="52">
        <v>48729</v>
      </c>
      <c r="P24" s="52">
        <v>18083</v>
      </c>
      <c r="Q24" s="52">
        <v>0</v>
      </c>
      <c r="R24" s="52">
        <v>0</v>
      </c>
      <c r="S24" s="52">
        <v>0</v>
      </c>
      <c r="T24" s="52">
        <v>0</v>
      </c>
      <c r="U24" s="67">
        <v>0</v>
      </c>
      <c r="V24" s="34">
        <f t="shared" si="0"/>
        <v>300316</v>
      </c>
    </row>
    <row r="25" spans="1:22">
      <c r="A25" s="1" t="s">
        <v>1</v>
      </c>
      <c r="B25" s="25" t="s">
        <v>80</v>
      </c>
      <c r="C25" s="51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67">
        <v>0</v>
      </c>
      <c r="V25" s="34">
        <f t="shared" si="0"/>
        <v>0</v>
      </c>
    </row>
    <row r="26" spans="1:22">
      <c r="A26" s="1" t="s">
        <v>1</v>
      </c>
      <c r="B26" s="25" t="s">
        <v>81</v>
      </c>
      <c r="C26" s="51">
        <v>2000</v>
      </c>
      <c r="D26" s="52">
        <v>2000</v>
      </c>
      <c r="E26" s="52">
        <v>2000</v>
      </c>
      <c r="F26" s="52">
        <v>2000</v>
      </c>
      <c r="G26" s="52">
        <v>0</v>
      </c>
      <c r="H26" s="52">
        <v>2000</v>
      </c>
      <c r="I26" s="52">
        <v>2000</v>
      </c>
      <c r="J26" s="52">
        <v>2000</v>
      </c>
      <c r="K26" s="52">
        <v>2000</v>
      </c>
      <c r="L26" s="52">
        <v>2000</v>
      </c>
      <c r="M26" s="52">
        <v>2000</v>
      </c>
      <c r="N26" s="52">
        <v>2000</v>
      </c>
      <c r="O26" s="52">
        <v>2000</v>
      </c>
      <c r="P26" s="52">
        <v>2000</v>
      </c>
      <c r="Q26" s="52">
        <v>2000</v>
      </c>
      <c r="R26" s="52">
        <v>0</v>
      </c>
      <c r="S26" s="52">
        <v>0</v>
      </c>
      <c r="T26" s="52">
        <v>0</v>
      </c>
      <c r="U26" s="67">
        <v>0</v>
      </c>
      <c r="V26" s="34">
        <f t="shared" si="0"/>
        <v>28000</v>
      </c>
    </row>
    <row r="27" spans="1:22">
      <c r="A27" s="1" t="s">
        <v>1</v>
      </c>
      <c r="B27" s="25" t="s">
        <v>82</v>
      </c>
      <c r="C27" s="51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67">
        <v>0</v>
      </c>
      <c r="V27" s="34">
        <f t="shared" si="0"/>
        <v>0</v>
      </c>
    </row>
    <row r="28" spans="1:22">
      <c r="A28" s="1" t="s">
        <v>1</v>
      </c>
      <c r="B28" s="25" t="s">
        <v>67</v>
      </c>
      <c r="C28" s="51">
        <v>21440</v>
      </c>
      <c r="D28" s="52">
        <v>48110</v>
      </c>
      <c r="E28" s="52">
        <v>22204</v>
      </c>
      <c r="F28" s="52">
        <v>121676</v>
      </c>
      <c r="G28" s="52">
        <v>70462</v>
      </c>
      <c r="H28" s="52">
        <v>102810</v>
      </c>
      <c r="I28" s="52">
        <v>45560</v>
      </c>
      <c r="J28" s="52">
        <v>64320</v>
      </c>
      <c r="K28" s="52">
        <v>46900</v>
      </c>
      <c r="L28" s="52">
        <v>56600</v>
      </c>
      <c r="M28" s="52">
        <v>52260</v>
      </c>
      <c r="N28" s="52">
        <v>69680</v>
      </c>
      <c r="O28" s="52">
        <v>41035</v>
      </c>
      <c r="P28" s="52">
        <v>78568</v>
      </c>
      <c r="Q28" s="52">
        <v>23850</v>
      </c>
      <c r="R28" s="52">
        <v>38190</v>
      </c>
      <c r="S28" s="52">
        <v>100567</v>
      </c>
      <c r="T28" s="52">
        <v>63650</v>
      </c>
      <c r="U28" s="67">
        <v>22914</v>
      </c>
      <c r="V28" s="34">
        <f t="shared" si="0"/>
        <v>1090796</v>
      </c>
    </row>
    <row r="29" spans="1:22">
      <c r="A29" s="1" t="s">
        <v>1</v>
      </c>
      <c r="B29" s="25" t="s">
        <v>83</v>
      </c>
      <c r="C29" s="51">
        <v>21705</v>
      </c>
      <c r="D29" s="52">
        <v>22920</v>
      </c>
      <c r="E29" s="52">
        <v>13704</v>
      </c>
      <c r="F29" s="52">
        <v>0</v>
      </c>
      <c r="G29" s="52">
        <v>6212</v>
      </c>
      <c r="H29" s="52">
        <v>0</v>
      </c>
      <c r="I29" s="52">
        <v>24599</v>
      </c>
      <c r="J29" s="52">
        <v>0</v>
      </c>
      <c r="K29" s="52">
        <v>21705</v>
      </c>
      <c r="L29" s="52">
        <v>16808</v>
      </c>
      <c r="M29" s="52">
        <v>13023</v>
      </c>
      <c r="N29" s="52">
        <v>33281</v>
      </c>
      <c r="O29" s="52">
        <v>25976</v>
      </c>
      <c r="P29" s="52">
        <v>26429</v>
      </c>
      <c r="Q29" s="52">
        <v>0</v>
      </c>
      <c r="R29" s="52">
        <v>15114</v>
      </c>
      <c r="S29" s="52">
        <v>0</v>
      </c>
      <c r="T29" s="52">
        <v>4122</v>
      </c>
      <c r="U29" s="67">
        <v>6870</v>
      </c>
      <c r="V29" s="34">
        <f t="shared" si="0"/>
        <v>252468</v>
      </c>
    </row>
    <row r="30" spans="1:22">
      <c r="A30" s="1" t="s">
        <v>1</v>
      </c>
      <c r="B30" s="25" t="s">
        <v>84</v>
      </c>
      <c r="C30" s="51">
        <v>20258</v>
      </c>
      <c r="D30" s="52">
        <v>21392</v>
      </c>
      <c r="E30" s="52">
        <v>0</v>
      </c>
      <c r="F30" s="52">
        <v>0</v>
      </c>
      <c r="G30" s="52">
        <v>0</v>
      </c>
      <c r="H30" s="52">
        <v>12872</v>
      </c>
      <c r="I30" s="52">
        <v>15917</v>
      </c>
      <c r="J30" s="52">
        <v>15917</v>
      </c>
      <c r="K30" s="52">
        <v>10129</v>
      </c>
      <c r="L30" s="52">
        <v>18336</v>
      </c>
      <c r="M30" s="52">
        <v>27493</v>
      </c>
      <c r="N30" s="52">
        <v>23152</v>
      </c>
      <c r="O30" s="52">
        <v>10696</v>
      </c>
      <c r="P30" s="52">
        <v>8346</v>
      </c>
      <c r="Q30" s="52">
        <v>0</v>
      </c>
      <c r="R30" s="52">
        <v>0</v>
      </c>
      <c r="S30" s="52">
        <v>0</v>
      </c>
      <c r="T30" s="52">
        <v>20610</v>
      </c>
      <c r="U30" s="67">
        <v>13740</v>
      </c>
      <c r="V30" s="34">
        <f t="shared" si="0"/>
        <v>218858</v>
      </c>
    </row>
    <row r="31" spans="1:22">
      <c r="A31" s="1" t="s">
        <v>1</v>
      </c>
      <c r="B31" s="25" t="s">
        <v>85</v>
      </c>
      <c r="C31" s="51">
        <v>0</v>
      </c>
      <c r="D31" s="52">
        <v>0</v>
      </c>
      <c r="E31" s="52">
        <v>0</v>
      </c>
      <c r="F31" s="52">
        <v>14336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14840</v>
      </c>
      <c r="R31" s="52">
        <v>3916</v>
      </c>
      <c r="S31" s="52">
        <v>0</v>
      </c>
      <c r="T31" s="52">
        <v>0</v>
      </c>
      <c r="U31" s="67">
        <v>1780</v>
      </c>
      <c r="V31" s="34">
        <f t="shared" si="0"/>
        <v>34872</v>
      </c>
    </row>
    <row r="32" spans="1:22">
      <c r="A32" s="1" t="s">
        <v>1</v>
      </c>
      <c r="B32" s="25" t="s">
        <v>86</v>
      </c>
      <c r="C32" s="51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3560</v>
      </c>
      <c r="S32" s="52">
        <v>6764</v>
      </c>
      <c r="T32" s="52">
        <v>0</v>
      </c>
      <c r="U32" s="67">
        <v>0</v>
      </c>
      <c r="V32" s="34">
        <f t="shared" si="0"/>
        <v>10324</v>
      </c>
    </row>
    <row r="33" spans="1:22">
      <c r="A33" s="1" t="s">
        <v>1</v>
      </c>
      <c r="B33" s="25" t="s">
        <v>72</v>
      </c>
      <c r="C33" s="51">
        <v>0</v>
      </c>
      <c r="D33" s="52">
        <v>0</v>
      </c>
      <c r="E33" s="52">
        <v>0</v>
      </c>
      <c r="F33" s="52">
        <v>5120</v>
      </c>
      <c r="G33" s="52">
        <v>0</v>
      </c>
      <c r="H33" s="52">
        <v>2682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258</v>
      </c>
      <c r="Q33" s="52">
        <v>0</v>
      </c>
      <c r="R33" s="52">
        <v>0</v>
      </c>
      <c r="S33" s="52">
        <v>5610</v>
      </c>
      <c r="T33" s="52">
        <v>0</v>
      </c>
      <c r="U33" s="67">
        <v>0</v>
      </c>
      <c r="V33" s="34">
        <f t="shared" si="0"/>
        <v>13670</v>
      </c>
    </row>
    <row r="34" spans="1:22">
      <c r="A34" s="1" t="s">
        <v>1</v>
      </c>
      <c r="B34" s="7" t="s">
        <v>74</v>
      </c>
      <c r="C34" s="53">
        <v>536</v>
      </c>
      <c r="D34" s="54">
        <v>849</v>
      </c>
      <c r="E34" s="54">
        <v>0</v>
      </c>
      <c r="F34" s="54">
        <v>11200</v>
      </c>
      <c r="G34" s="54">
        <v>4032</v>
      </c>
      <c r="H34" s="54">
        <v>6556</v>
      </c>
      <c r="I34" s="54">
        <v>2412</v>
      </c>
      <c r="J34" s="54">
        <v>8040</v>
      </c>
      <c r="K34" s="54">
        <v>536</v>
      </c>
      <c r="L34" s="54">
        <v>4528</v>
      </c>
      <c r="M34" s="54">
        <v>1876</v>
      </c>
      <c r="N34" s="54">
        <v>8040</v>
      </c>
      <c r="O34" s="54">
        <v>1415</v>
      </c>
      <c r="P34" s="54">
        <v>6192</v>
      </c>
      <c r="Q34" s="54">
        <v>9010</v>
      </c>
      <c r="R34" s="54">
        <v>1275</v>
      </c>
      <c r="S34" s="54">
        <v>10200</v>
      </c>
      <c r="T34" s="54">
        <v>1785</v>
      </c>
      <c r="U34" s="68">
        <v>1530</v>
      </c>
      <c r="V34" s="11">
        <f t="shared" si="0"/>
        <v>80012</v>
      </c>
    </row>
    <row r="35" spans="1:22">
      <c r="A35" s="1" t="s">
        <v>1</v>
      </c>
      <c r="B35" s="17" t="s">
        <v>87</v>
      </c>
      <c r="C35" s="55">
        <v>242939</v>
      </c>
      <c r="D35" s="56">
        <v>289911</v>
      </c>
      <c r="E35" s="56">
        <v>358171</v>
      </c>
      <c r="F35" s="56">
        <v>390467</v>
      </c>
      <c r="G35" s="56">
        <v>272706</v>
      </c>
      <c r="H35" s="56">
        <v>346446</v>
      </c>
      <c r="I35" s="56">
        <v>273276</v>
      </c>
      <c r="J35" s="56">
        <v>267277</v>
      </c>
      <c r="K35" s="56">
        <v>265505</v>
      </c>
      <c r="L35" s="56">
        <v>341189</v>
      </c>
      <c r="M35" s="56">
        <v>273652</v>
      </c>
      <c r="N35" s="56">
        <v>313153</v>
      </c>
      <c r="O35" s="56">
        <v>316851</v>
      </c>
      <c r="P35" s="56">
        <v>309876</v>
      </c>
      <c r="Q35" s="56">
        <v>224700</v>
      </c>
      <c r="R35" s="56">
        <v>232055</v>
      </c>
      <c r="S35" s="56">
        <v>293141</v>
      </c>
      <c r="T35" s="56">
        <v>260167</v>
      </c>
      <c r="U35" s="69">
        <v>216834</v>
      </c>
      <c r="V35" s="21">
        <f t="shared" si="0"/>
        <v>5488316</v>
      </c>
    </row>
    <row r="36" spans="1:22">
      <c r="A36" s="1" t="s">
        <v>1</v>
      </c>
      <c r="B36" s="30" t="s">
        <v>88</v>
      </c>
      <c r="C36" s="49">
        <v>12333</v>
      </c>
      <c r="D36" s="50">
        <v>3212</v>
      </c>
      <c r="E36" s="50">
        <v>4856</v>
      </c>
      <c r="F36" s="50">
        <v>2698</v>
      </c>
      <c r="G36" s="50">
        <v>12410</v>
      </c>
      <c r="H36" s="50">
        <v>2056</v>
      </c>
      <c r="I36" s="50">
        <v>1953</v>
      </c>
      <c r="J36" s="50">
        <v>1182</v>
      </c>
      <c r="K36" s="50">
        <v>2955</v>
      </c>
      <c r="L36" s="50">
        <v>4933</v>
      </c>
      <c r="M36" s="50">
        <v>5910</v>
      </c>
      <c r="N36" s="50">
        <v>3957</v>
      </c>
      <c r="O36" s="50">
        <v>6475</v>
      </c>
      <c r="P36" s="50">
        <v>5653</v>
      </c>
      <c r="Q36" s="50">
        <v>10483</v>
      </c>
      <c r="R36" s="50">
        <v>7092</v>
      </c>
      <c r="S36" s="50">
        <v>8864</v>
      </c>
      <c r="T36" s="50">
        <v>8016</v>
      </c>
      <c r="U36" s="66">
        <v>2570</v>
      </c>
      <c r="V36" s="32">
        <f t="shared" si="0"/>
        <v>107608</v>
      </c>
    </row>
    <row r="37" spans="1:22">
      <c r="A37" s="1" t="s">
        <v>1</v>
      </c>
      <c r="B37" s="7" t="s">
        <v>89</v>
      </c>
      <c r="C37" s="53">
        <v>12333</v>
      </c>
      <c r="D37" s="54">
        <v>3212</v>
      </c>
      <c r="E37" s="54">
        <v>4856</v>
      </c>
      <c r="F37" s="54">
        <v>2698</v>
      </c>
      <c r="G37" s="54">
        <v>12410</v>
      </c>
      <c r="H37" s="54">
        <v>2056</v>
      </c>
      <c r="I37" s="54">
        <v>1953</v>
      </c>
      <c r="J37" s="54">
        <v>1182</v>
      </c>
      <c r="K37" s="54">
        <v>2955</v>
      </c>
      <c r="L37" s="54">
        <v>4933</v>
      </c>
      <c r="M37" s="54">
        <v>5910</v>
      </c>
      <c r="N37" s="54">
        <v>3957</v>
      </c>
      <c r="O37" s="54">
        <v>6475</v>
      </c>
      <c r="P37" s="54">
        <v>5653</v>
      </c>
      <c r="Q37" s="54">
        <v>10483</v>
      </c>
      <c r="R37" s="54">
        <v>7092</v>
      </c>
      <c r="S37" s="54">
        <v>8864</v>
      </c>
      <c r="T37" s="54">
        <v>8016</v>
      </c>
      <c r="U37" s="68">
        <v>2570</v>
      </c>
      <c r="V37" s="11">
        <f t="shared" si="0"/>
        <v>107608</v>
      </c>
    </row>
    <row r="38" spans="1:22">
      <c r="A38" s="1" t="s">
        <v>1</v>
      </c>
      <c r="B38" s="17" t="s">
        <v>90</v>
      </c>
      <c r="C38" s="55">
        <v>255272</v>
      </c>
      <c r="D38" s="56">
        <v>293123</v>
      </c>
      <c r="E38" s="56">
        <v>363027</v>
      </c>
      <c r="F38" s="56">
        <v>393165</v>
      </c>
      <c r="G38" s="56">
        <v>285116</v>
      </c>
      <c r="H38" s="56">
        <v>348502</v>
      </c>
      <c r="I38" s="56">
        <v>275229</v>
      </c>
      <c r="J38" s="56">
        <v>268459</v>
      </c>
      <c r="K38" s="56">
        <v>268460</v>
      </c>
      <c r="L38" s="56">
        <v>346122</v>
      </c>
      <c r="M38" s="56">
        <v>279562</v>
      </c>
      <c r="N38" s="56">
        <v>317110</v>
      </c>
      <c r="O38" s="56">
        <v>323326</v>
      </c>
      <c r="P38" s="56">
        <v>315529</v>
      </c>
      <c r="Q38" s="56">
        <v>235183</v>
      </c>
      <c r="R38" s="56">
        <v>239147</v>
      </c>
      <c r="S38" s="56">
        <v>302005</v>
      </c>
      <c r="T38" s="56">
        <v>268183</v>
      </c>
      <c r="U38" s="69">
        <v>219404</v>
      </c>
      <c r="V38" s="21">
        <f t="shared" si="0"/>
        <v>5595924</v>
      </c>
    </row>
    <row r="39" spans="1:22">
      <c r="A39" s="1" t="s">
        <v>1</v>
      </c>
      <c r="B39" s="30" t="s">
        <v>91</v>
      </c>
      <c r="C39" s="49">
        <v>16320</v>
      </c>
      <c r="D39" s="50">
        <v>19380</v>
      </c>
      <c r="E39" s="50">
        <v>19380</v>
      </c>
      <c r="F39" s="50">
        <v>18360</v>
      </c>
      <c r="G39" s="50">
        <v>16320</v>
      </c>
      <c r="H39" s="50">
        <v>19380</v>
      </c>
      <c r="I39" s="50">
        <v>17340</v>
      </c>
      <c r="J39" s="50">
        <v>16320</v>
      </c>
      <c r="K39" s="50">
        <v>16320</v>
      </c>
      <c r="L39" s="50">
        <v>18360</v>
      </c>
      <c r="M39" s="50">
        <v>15300</v>
      </c>
      <c r="N39" s="50">
        <v>17340</v>
      </c>
      <c r="O39" s="50">
        <v>15300</v>
      </c>
      <c r="P39" s="50">
        <v>17340</v>
      </c>
      <c r="Q39" s="50">
        <v>14280</v>
      </c>
      <c r="R39" s="50">
        <v>13260</v>
      </c>
      <c r="S39" s="50">
        <v>13260</v>
      </c>
      <c r="T39" s="50">
        <v>13260</v>
      </c>
      <c r="U39" s="66">
        <v>13260</v>
      </c>
      <c r="V39" s="32">
        <f t="shared" si="0"/>
        <v>310080</v>
      </c>
    </row>
    <row r="40" spans="1:22">
      <c r="A40" s="1" t="s">
        <v>1</v>
      </c>
      <c r="B40" s="25" t="s">
        <v>92</v>
      </c>
      <c r="C40" s="51">
        <v>2880</v>
      </c>
      <c r="D40" s="52">
        <v>3420</v>
      </c>
      <c r="E40" s="52">
        <v>3420</v>
      </c>
      <c r="F40" s="52">
        <v>3240</v>
      </c>
      <c r="G40" s="52">
        <v>2880</v>
      </c>
      <c r="H40" s="52">
        <v>3420</v>
      </c>
      <c r="I40" s="52">
        <v>3060</v>
      </c>
      <c r="J40" s="52">
        <v>2880</v>
      </c>
      <c r="K40" s="52">
        <v>2880</v>
      </c>
      <c r="L40" s="52">
        <v>3240</v>
      </c>
      <c r="M40" s="52">
        <v>2700</v>
      </c>
      <c r="N40" s="52">
        <v>3060</v>
      </c>
      <c r="O40" s="52">
        <v>2700</v>
      </c>
      <c r="P40" s="52">
        <v>3060</v>
      </c>
      <c r="Q40" s="52">
        <v>2520</v>
      </c>
      <c r="R40" s="52">
        <v>2340</v>
      </c>
      <c r="S40" s="52">
        <v>2340</v>
      </c>
      <c r="T40" s="52">
        <v>2340</v>
      </c>
      <c r="U40" s="67">
        <v>2340</v>
      </c>
      <c r="V40" s="34">
        <f t="shared" si="0"/>
        <v>54720</v>
      </c>
    </row>
    <row r="41" spans="1:22">
      <c r="A41" s="1" t="s">
        <v>1</v>
      </c>
      <c r="B41" s="25" t="s">
        <v>93</v>
      </c>
      <c r="C41" s="51">
        <v>29280</v>
      </c>
      <c r="D41" s="52">
        <v>34770</v>
      </c>
      <c r="E41" s="52">
        <v>34770</v>
      </c>
      <c r="F41" s="52">
        <v>32940</v>
      </c>
      <c r="G41" s="52">
        <v>29280</v>
      </c>
      <c r="H41" s="52">
        <v>34770</v>
      </c>
      <c r="I41" s="52">
        <v>31110</v>
      </c>
      <c r="J41" s="52">
        <v>29280</v>
      </c>
      <c r="K41" s="52">
        <v>29280</v>
      </c>
      <c r="L41" s="52">
        <v>32940</v>
      </c>
      <c r="M41" s="52">
        <v>27450</v>
      </c>
      <c r="N41" s="52">
        <v>31110</v>
      </c>
      <c r="O41" s="52">
        <v>27450</v>
      </c>
      <c r="P41" s="52">
        <v>31110</v>
      </c>
      <c r="Q41" s="52">
        <v>25620</v>
      </c>
      <c r="R41" s="52">
        <v>23790</v>
      </c>
      <c r="S41" s="52">
        <v>23790</v>
      </c>
      <c r="T41" s="52">
        <v>23790</v>
      </c>
      <c r="U41" s="67">
        <v>23790</v>
      </c>
      <c r="V41" s="34">
        <f t="shared" si="0"/>
        <v>556320</v>
      </c>
    </row>
    <row r="42" spans="1:22">
      <c r="A42" s="1" t="s">
        <v>1</v>
      </c>
      <c r="B42" s="7" t="s">
        <v>94</v>
      </c>
      <c r="C42" s="53">
        <v>1532</v>
      </c>
      <c r="D42" s="54">
        <v>1759</v>
      </c>
      <c r="E42" s="54">
        <v>2178</v>
      </c>
      <c r="F42" s="54">
        <v>2359</v>
      </c>
      <c r="G42" s="54">
        <v>1711</v>
      </c>
      <c r="H42" s="54">
        <v>2091</v>
      </c>
      <c r="I42" s="54">
        <v>1651</v>
      </c>
      <c r="J42" s="54">
        <v>1611</v>
      </c>
      <c r="K42" s="54">
        <v>1611</v>
      </c>
      <c r="L42" s="54">
        <v>2077</v>
      </c>
      <c r="M42" s="54">
        <v>1677</v>
      </c>
      <c r="N42" s="54">
        <v>1903</v>
      </c>
      <c r="O42" s="54">
        <v>1940</v>
      </c>
      <c r="P42" s="54">
        <v>1893</v>
      </c>
      <c r="Q42" s="54">
        <v>1411</v>
      </c>
      <c r="R42" s="54">
        <v>1435</v>
      </c>
      <c r="S42" s="54">
        <v>1812</v>
      </c>
      <c r="T42" s="54">
        <v>1609</v>
      </c>
      <c r="U42" s="68">
        <v>1316</v>
      </c>
      <c r="V42" s="11">
        <f t="shared" si="0"/>
        <v>33576</v>
      </c>
    </row>
    <row r="43" spans="1:22">
      <c r="A43" s="1" t="s">
        <v>1</v>
      </c>
      <c r="B43" s="17" t="s">
        <v>95</v>
      </c>
      <c r="C43" s="55">
        <v>50012</v>
      </c>
      <c r="D43" s="56">
        <v>59329</v>
      </c>
      <c r="E43" s="56">
        <v>59748</v>
      </c>
      <c r="F43" s="56">
        <v>56899</v>
      </c>
      <c r="G43" s="56">
        <v>50191</v>
      </c>
      <c r="H43" s="56">
        <v>59661</v>
      </c>
      <c r="I43" s="56">
        <v>53161</v>
      </c>
      <c r="J43" s="56">
        <v>50091</v>
      </c>
      <c r="K43" s="56">
        <v>50091</v>
      </c>
      <c r="L43" s="56">
        <v>56617</v>
      </c>
      <c r="M43" s="56">
        <v>47127</v>
      </c>
      <c r="N43" s="56">
        <v>53413</v>
      </c>
      <c r="O43" s="56">
        <v>47390</v>
      </c>
      <c r="P43" s="56">
        <v>53403</v>
      </c>
      <c r="Q43" s="56">
        <v>43831</v>
      </c>
      <c r="R43" s="56">
        <v>40825</v>
      </c>
      <c r="S43" s="56">
        <v>41202</v>
      </c>
      <c r="T43" s="56">
        <v>40999</v>
      </c>
      <c r="U43" s="69">
        <v>40706</v>
      </c>
      <c r="V43" s="21">
        <f t="shared" si="0"/>
        <v>954696</v>
      </c>
    </row>
    <row r="44" spans="1:22">
      <c r="A44" s="1" t="s">
        <v>1</v>
      </c>
      <c r="B44" s="30" t="s">
        <v>96</v>
      </c>
      <c r="C44" s="49">
        <v>2900</v>
      </c>
      <c r="D44" s="50">
        <v>5860</v>
      </c>
      <c r="E44" s="50">
        <v>6670</v>
      </c>
      <c r="F44" s="50">
        <v>11120</v>
      </c>
      <c r="G44" s="50">
        <v>3950</v>
      </c>
      <c r="H44" s="50">
        <v>7870</v>
      </c>
      <c r="I44" s="50">
        <v>5480</v>
      </c>
      <c r="J44" s="50">
        <v>3760</v>
      </c>
      <c r="K44" s="50">
        <v>5320</v>
      </c>
      <c r="L44" s="50">
        <v>7790</v>
      </c>
      <c r="M44" s="50">
        <v>5710</v>
      </c>
      <c r="N44" s="50">
        <v>6900</v>
      </c>
      <c r="O44" s="50">
        <v>7250</v>
      </c>
      <c r="P44" s="50">
        <v>1930</v>
      </c>
      <c r="Q44" s="50">
        <v>4080</v>
      </c>
      <c r="R44" s="50">
        <v>4450</v>
      </c>
      <c r="S44" s="50">
        <v>5000</v>
      </c>
      <c r="T44" s="50">
        <v>5450</v>
      </c>
      <c r="U44" s="66">
        <v>3910</v>
      </c>
      <c r="V44" s="32">
        <f t="shared" si="0"/>
        <v>105400</v>
      </c>
    </row>
    <row r="45" spans="1:22">
      <c r="A45" s="1" t="s">
        <v>1</v>
      </c>
      <c r="B45" s="25" t="s">
        <v>97</v>
      </c>
      <c r="C45" s="51">
        <v>1300</v>
      </c>
      <c r="D45" s="52">
        <v>1300</v>
      </c>
      <c r="E45" s="52">
        <v>1300</v>
      </c>
      <c r="F45" s="52">
        <v>0</v>
      </c>
      <c r="G45" s="52">
        <v>1300</v>
      </c>
      <c r="H45" s="52">
        <v>1300</v>
      </c>
      <c r="I45" s="52">
        <v>1300</v>
      </c>
      <c r="J45" s="52">
        <v>1300</v>
      </c>
      <c r="K45" s="52">
        <v>1300</v>
      </c>
      <c r="L45" s="52">
        <v>1300</v>
      </c>
      <c r="M45" s="52">
        <v>0</v>
      </c>
      <c r="N45" s="52">
        <v>0</v>
      </c>
      <c r="O45" s="52">
        <v>1300</v>
      </c>
      <c r="P45" s="52">
        <v>1300</v>
      </c>
      <c r="Q45" s="52">
        <v>1300</v>
      </c>
      <c r="R45" s="52">
        <v>0</v>
      </c>
      <c r="S45" s="52">
        <v>1300</v>
      </c>
      <c r="T45" s="52">
        <v>1300</v>
      </c>
      <c r="U45" s="67">
        <v>0</v>
      </c>
      <c r="V45" s="34">
        <f t="shared" si="0"/>
        <v>18200</v>
      </c>
    </row>
    <row r="46" spans="1:22">
      <c r="A46" s="1" t="s">
        <v>1</v>
      </c>
      <c r="B46" s="7" t="s">
        <v>98</v>
      </c>
      <c r="C46" s="53">
        <v>8800</v>
      </c>
      <c r="D46" s="54">
        <v>1500</v>
      </c>
      <c r="E46" s="54">
        <v>14600</v>
      </c>
      <c r="F46" s="54">
        <v>17100</v>
      </c>
      <c r="G46" s="54">
        <v>9500</v>
      </c>
      <c r="H46" s="54">
        <v>17900</v>
      </c>
      <c r="I46" s="54">
        <v>15100</v>
      </c>
      <c r="J46" s="54">
        <v>10100</v>
      </c>
      <c r="K46" s="54">
        <v>13400</v>
      </c>
      <c r="L46" s="54">
        <v>16100</v>
      </c>
      <c r="M46" s="54">
        <v>10500</v>
      </c>
      <c r="N46" s="54">
        <v>11300</v>
      </c>
      <c r="O46" s="54">
        <v>13200</v>
      </c>
      <c r="P46" s="54">
        <v>5600</v>
      </c>
      <c r="Q46" s="54">
        <v>0</v>
      </c>
      <c r="R46" s="54">
        <v>8500</v>
      </c>
      <c r="S46" s="54">
        <v>3100</v>
      </c>
      <c r="T46" s="54">
        <v>2000</v>
      </c>
      <c r="U46" s="68">
        <v>17300</v>
      </c>
      <c r="V46" s="11">
        <f t="shared" si="0"/>
        <v>195600</v>
      </c>
    </row>
    <row r="47" spans="1:22">
      <c r="A47" s="1" t="s">
        <v>1</v>
      </c>
      <c r="B47" s="17" t="s">
        <v>99</v>
      </c>
      <c r="C47" s="55">
        <v>63012</v>
      </c>
      <c r="D47" s="56">
        <v>67989</v>
      </c>
      <c r="E47" s="56">
        <v>82318</v>
      </c>
      <c r="F47" s="56">
        <v>85119</v>
      </c>
      <c r="G47" s="56">
        <v>64941</v>
      </c>
      <c r="H47" s="56">
        <v>86731</v>
      </c>
      <c r="I47" s="56">
        <v>75041</v>
      </c>
      <c r="J47" s="56">
        <v>65251</v>
      </c>
      <c r="K47" s="56">
        <v>70111</v>
      </c>
      <c r="L47" s="56">
        <v>81807</v>
      </c>
      <c r="M47" s="56">
        <v>63337</v>
      </c>
      <c r="N47" s="56">
        <v>71613</v>
      </c>
      <c r="O47" s="56">
        <v>69140</v>
      </c>
      <c r="P47" s="56">
        <v>62233</v>
      </c>
      <c r="Q47" s="56">
        <v>49211</v>
      </c>
      <c r="R47" s="56">
        <v>53775</v>
      </c>
      <c r="S47" s="56">
        <v>50602</v>
      </c>
      <c r="T47" s="56">
        <v>49749</v>
      </c>
      <c r="U47" s="69">
        <v>61916</v>
      </c>
      <c r="V47" s="21">
        <f t="shared" si="0"/>
        <v>1273896</v>
      </c>
    </row>
    <row r="48" spans="1:22">
      <c r="A48" s="1" t="s">
        <v>1</v>
      </c>
      <c r="B48" s="17" t="s">
        <v>100</v>
      </c>
      <c r="C48" s="55">
        <v>192927</v>
      </c>
      <c r="D48" s="56">
        <v>230582</v>
      </c>
      <c r="E48" s="56">
        <v>298423</v>
      </c>
      <c r="F48" s="56">
        <v>333568</v>
      </c>
      <c r="G48" s="56">
        <v>222515</v>
      </c>
      <c r="H48" s="56">
        <v>286785</v>
      </c>
      <c r="I48" s="56">
        <v>220115</v>
      </c>
      <c r="J48" s="56">
        <v>217186</v>
      </c>
      <c r="K48" s="56">
        <v>215414</v>
      </c>
      <c r="L48" s="56">
        <v>284572</v>
      </c>
      <c r="M48" s="56">
        <v>226525</v>
      </c>
      <c r="N48" s="56">
        <v>259740</v>
      </c>
      <c r="O48" s="56">
        <v>269461</v>
      </c>
      <c r="P48" s="56">
        <v>256473</v>
      </c>
      <c r="Q48" s="56">
        <v>180869</v>
      </c>
      <c r="R48" s="56">
        <v>191230</v>
      </c>
      <c r="S48" s="56">
        <v>251939</v>
      </c>
      <c r="T48" s="56">
        <v>219168</v>
      </c>
      <c r="U48" s="69">
        <v>176128</v>
      </c>
      <c r="V48" s="21">
        <f t="shared" si="0"/>
        <v>4533620</v>
      </c>
    </row>
    <row r="49" spans="1:22">
      <c r="A49" s="1" t="s">
        <v>1</v>
      </c>
      <c r="B49" s="17" t="s">
        <v>101</v>
      </c>
      <c r="C49" s="55">
        <v>192260</v>
      </c>
      <c r="D49" s="56">
        <v>225134</v>
      </c>
      <c r="E49" s="56">
        <v>280709</v>
      </c>
      <c r="F49" s="56">
        <v>308046</v>
      </c>
      <c r="G49" s="56">
        <v>220175</v>
      </c>
      <c r="H49" s="56">
        <v>261771</v>
      </c>
      <c r="I49" s="56">
        <v>200188</v>
      </c>
      <c r="J49" s="56">
        <v>203208</v>
      </c>
      <c r="K49" s="56">
        <v>198349</v>
      </c>
      <c r="L49" s="56">
        <v>264315</v>
      </c>
      <c r="M49" s="56">
        <v>216225</v>
      </c>
      <c r="N49" s="56">
        <v>245497</v>
      </c>
      <c r="O49" s="56">
        <v>254186</v>
      </c>
      <c r="P49" s="56">
        <v>253296</v>
      </c>
      <c r="Q49" s="56">
        <v>185972</v>
      </c>
      <c r="R49" s="56">
        <v>185372</v>
      </c>
      <c r="S49" s="56">
        <v>251403</v>
      </c>
      <c r="T49" s="56">
        <v>218434</v>
      </c>
      <c r="U49" s="69">
        <v>157488</v>
      </c>
      <c r="V49" s="21">
        <f t="shared" si="0"/>
        <v>4322028</v>
      </c>
    </row>
    <row r="50" spans="1:22">
      <c r="A50" s="1" t="s">
        <v>1</v>
      </c>
      <c r="B50" s="17" t="s">
        <v>102</v>
      </c>
      <c r="C50" s="55">
        <v>192260</v>
      </c>
      <c r="D50" s="56">
        <v>225134</v>
      </c>
      <c r="E50" s="56">
        <v>280709</v>
      </c>
      <c r="F50" s="56">
        <v>308046</v>
      </c>
      <c r="G50" s="56">
        <v>220175</v>
      </c>
      <c r="H50" s="56">
        <v>261771</v>
      </c>
      <c r="I50" s="56">
        <v>200188</v>
      </c>
      <c r="J50" s="56">
        <v>203208</v>
      </c>
      <c r="K50" s="56">
        <v>198349</v>
      </c>
      <c r="L50" s="56">
        <v>264315</v>
      </c>
      <c r="M50" s="56">
        <v>216225</v>
      </c>
      <c r="N50" s="56">
        <v>245497</v>
      </c>
      <c r="O50" s="56">
        <v>254186</v>
      </c>
      <c r="P50" s="56">
        <v>253296</v>
      </c>
      <c r="Q50" s="56">
        <v>185972</v>
      </c>
      <c r="R50" s="56">
        <v>185372</v>
      </c>
      <c r="S50" s="56">
        <v>251403</v>
      </c>
      <c r="T50" s="56">
        <v>218434</v>
      </c>
      <c r="U50" s="69">
        <v>157488</v>
      </c>
      <c r="V50" s="21">
        <f t="shared" si="0"/>
        <v>4322028</v>
      </c>
    </row>
    <row r="51" spans="1:22">
      <c r="A51" s="1" t="s">
        <v>1</v>
      </c>
      <c r="B51" s="17" t="s">
        <v>103</v>
      </c>
      <c r="C51" s="55">
        <v>1</v>
      </c>
      <c r="D51" s="56">
        <v>0</v>
      </c>
      <c r="E51" s="56">
        <v>1</v>
      </c>
      <c r="F51" s="56">
        <v>0</v>
      </c>
      <c r="G51" s="56">
        <v>1</v>
      </c>
      <c r="H51" s="56">
        <v>0</v>
      </c>
      <c r="I51" s="56">
        <v>0</v>
      </c>
      <c r="J51" s="56">
        <v>1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56">
        <v>3</v>
      </c>
      <c r="Q51" s="56">
        <v>0</v>
      </c>
      <c r="R51" s="56">
        <v>0</v>
      </c>
      <c r="S51" s="56">
        <v>1</v>
      </c>
      <c r="T51" s="56">
        <v>0</v>
      </c>
      <c r="U51" s="69">
        <v>0</v>
      </c>
      <c r="V51" s="21"/>
    </row>
    <row r="52" spans="1:22" ht="19.5" thickBot="1">
      <c r="A52" s="1" t="s">
        <v>1</v>
      </c>
      <c r="B52" s="12" t="s">
        <v>104</v>
      </c>
      <c r="C52" s="57" t="s">
        <v>105</v>
      </c>
      <c r="D52" s="58" t="s">
        <v>105</v>
      </c>
      <c r="E52" s="58" t="s">
        <v>105</v>
      </c>
      <c r="F52" s="58" t="s">
        <v>105</v>
      </c>
      <c r="G52" s="58" t="s">
        <v>105</v>
      </c>
      <c r="H52" s="58" t="s">
        <v>105</v>
      </c>
      <c r="I52" s="58" t="s">
        <v>105</v>
      </c>
      <c r="J52" s="58" t="s">
        <v>105</v>
      </c>
      <c r="K52" s="58" t="s">
        <v>105</v>
      </c>
      <c r="L52" s="58" t="s">
        <v>105</v>
      </c>
      <c r="M52" s="58" t="s">
        <v>105</v>
      </c>
      <c r="N52" s="58" t="s">
        <v>105</v>
      </c>
      <c r="O52" s="58" t="s">
        <v>105</v>
      </c>
      <c r="P52" s="58" t="s">
        <v>105</v>
      </c>
      <c r="Q52" s="58" t="s">
        <v>105</v>
      </c>
      <c r="R52" s="58" t="s">
        <v>105</v>
      </c>
      <c r="S52" s="58" t="s">
        <v>105</v>
      </c>
      <c r="T52" s="58" t="s">
        <v>105</v>
      </c>
      <c r="U52" s="70" t="s">
        <v>105</v>
      </c>
      <c r="V52" s="14"/>
    </row>
  </sheetData>
  <phoneticPr fontId="4"/>
  <pageMargins left="0.11811023622047245" right="0.31496062992125984" top="0.15748031496062992" bottom="0.15748031496062992" header="0.11811023622047245" footer="0.11811023622047245"/>
  <pageSetup paperSize="12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2023年 8月度給与 (3)</vt:lpstr>
      <vt:lpstr>2023年 8月度給与 (2)</vt:lpstr>
      <vt:lpstr>'2023年 8月度給与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道夫 深沢</cp:lastModifiedBy>
  <cp:lastPrinted>2023-09-16T01:01:22Z</cp:lastPrinted>
  <dcterms:created xsi:type="dcterms:W3CDTF">2023-09-08T02:11:18Z</dcterms:created>
  <dcterms:modified xsi:type="dcterms:W3CDTF">2024-09-26T07:09:06Z</dcterms:modified>
</cp:coreProperties>
</file>