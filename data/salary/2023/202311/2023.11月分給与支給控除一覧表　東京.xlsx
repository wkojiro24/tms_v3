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11\"/>
    </mc:Choice>
  </mc:AlternateContent>
  <xr:revisionPtr revIDLastSave="0" documentId="13_ncr:1_{66261E56-20E6-4495-8BBB-61A082A39520}" xr6:coauthVersionLast="47" xr6:coauthVersionMax="47" xr10:uidLastSave="{00000000-0000-0000-0000-000000000000}"/>
  <bookViews>
    <workbookView xWindow="-120" yWindow="-120" windowWidth="20730" windowHeight="11160" xr2:uid="{5CFD2275-FB5E-4270-835E-10879A4B435A}"/>
  </bookViews>
  <sheets>
    <sheet name="2023年11月度給与 (2)" sheetId="4" r:id="rId1"/>
  </sheets>
  <definedNames>
    <definedName name="_xlnm.Print_Area" localSheetId="0">'2023年11月度給与 (2)'!$A$1:$M$44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9" i="4" l="1"/>
  <c r="M13" i="4"/>
  <c r="M17" i="4"/>
  <c r="M21" i="4"/>
  <c r="M25" i="4"/>
  <c r="M29" i="4"/>
  <c r="M33" i="4"/>
  <c r="M37" i="4"/>
  <c r="M41" i="4"/>
  <c r="L7" i="4"/>
  <c r="M7" i="4" s="1"/>
  <c r="L8" i="4"/>
  <c r="M8" i="4" s="1"/>
  <c r="L9" i="4"/>
  <c r="L10" i="4"/>
  <c r="M10" i="4" s="1"/>
  <c r="L11" i="4"/>
  <c r="M11" i="4" s="1"/>
  <c r="L12" i="4"/>
  <c r="M12" i="4" s="1"/>
  <c r="L13" i="4"/>
  <c r="L14" i="4"/>
  <c r="M14" i="4" s="1"/>
  <c r="L15" i="4"/>
  <c r="M15" i="4" s="1"/>
  <c r="L16" i="4"/>
  <c r="M16" i="4" s="1"/>
  <c r="L17" i="4"/>
  <c r="L18" i="4"/>
  <c r="M18" i="4" s="1"/>
  <c r="L19" i="4"/>
  <c r="M19" i="4" s="1"/>
  <c r="L20" i="4"/>
  <c r="M20" i="4" s="1"/>
  <c r="L21" i="4"/>
  <c r="L22" i="4"/>
  <c r="M22" i="4" s="1"/>
  <c r="L23" i="4"/>
  <c r="M23" i="4" s="1"/>
  <c r="L24" i="4"/>
  <c r="M24" i="4" s="1"/>
  <c r="L25" i="4"/>
  <c r="L26" i="4"/>
  <c r="M26" i="4" s="1"/>
  <c r="L27" i="4"/>
  <c r="M27" i="4" s="1"/>
  <c r="L28" i="4"/>
  <c r="M28" i="4" s="1"/>
  <c r="L29" i="4"/>
  <c r="L30" i="4"/>
  <c r="M30" i="4" s="1"/>
  <c r="L31" i="4"/>
  <c r="M31" i="4" s="1"/>
  <c r="L32" i="4"/>
  <c r="M32" i="4" s="1"/>
  <c r="L33" i="4"/>
  <c r="L34" i="4"/>
  <c r="M34" i="4" s="1"/>
  <c r="L35" i="4"/>
  <c r="M35" i="4" s="1"/>
  <c r="L36" i="4"/>
  <c r="M36" i="4" s="1"/>
  <c r="L37" i="4"/>
  <c r="L38" i="4"/>
  <c r="M38" i="4" s="1"/>
  <c r="L39" i="4"/>
  <c r="M39" i="4" s="1"/>
  <c r="L40" i="4"/>
  <c r="M40" i="4" s="1"/>
  <c r="L41" i="4"/>
  <c r="L42" i="4"/>
  <c r="M42" i="4" s="1"/>
  <c r="L6" i="4"/>
  <c r="M6" i="4" s="1"/>
  <c r="L5" i="4"/>
  <c r="M5" i="4" s="1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6" i="4"/>
  <c r="E5" i="4"/>
</calcChain>
</file>

<file path=xl/sharedStrings.xml><?xml version="1.0" encoding="utf-8"?>
<sst xmlns="http://schemas.openxmlformats.org/spreadsheetml/2006/main" count="113" uniqueCount="64">
  <si>
    <t>支給控除一覧表</t>
    <phoneticPr fontId="4"/>
  </si>
  <si>
    <t/>
  </si>
  <si>
    <t>1011</t>
    <phoneticPr fontId="4"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</si>
  <si>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</si>
  <si>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</si>
  <si>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</si>
  <si>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</si>
  <si>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</si>
  <si>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</si>
  <si>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1033</t>
    <phoneticPr fontId="4"/>
  </si>
  <si>
    <t>項目名</t>
    <phoneticPr fontId="4"/>
  </si>
  <si>
    <t>宮腰　真也</t>
    <phoneticPr fontId="4"/>
  </si>
  <si>
    <t>金子　勝彦</t>
    <phoneticPr fontId="4"/>
  </si>
  <si>
    <t>上原　勉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</si>
  <si>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</si>
  <si>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</si>
  <si>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</si>
  <si>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</si>
  <si>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新治　泰子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</si>
  <si>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</si>
  <si>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</si>
  <si>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</si>
  <si>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</si>
  <si>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</si>
  <si>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</si>
  <si>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</si>
  <si>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</si>
  <si>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</si>
  <si>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</si>
  <si>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</si>
  <si>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</si>
  <si>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</si>
  <si>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</si>
  <si>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</si>
  <si>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</si>
  <si>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</si>
  <si>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無事故加算</t>
    <phoneticPr fontId="4"/>
  </si>
  <si>
    <t>有給休暇</t>
    <phoneticPr fontId="4"/>
  </si>
  <si>
    <t>調整加算</t>
    <phoneticPr fontId="4"/>
  </si>
  <si>
    <t>法定休日残業</t>
    <phoneticPr fontId="4"/>
  </si>
  <si>
    <t>法定外休日残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</si>
  <si>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</si>
  <si>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</si>
  <si>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</si>
  <si>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</si>
  <si>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</si>
  <si>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</si>
  <si>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</si>
  <si>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</si>
  <si>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</si>
  <si>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</si>
  <si>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</si>
  <si>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</si>
  <si>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</si>
  <si>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</si>
  <si>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</si>
  <si>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</si>
  <si>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</si>
  <si>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</si>
  <si>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2023年11月度給与</t>
    <phoneticPr fontId="4"/>
  </si>
  <si>
    <t>小計</t>
    <rPh sb="0" eb="2">
      <t>ショウケイ</t>
    </rPh>
    <phoneticPr fontId="3"/>
  </si>
  <si>
    <t>2名</t>
    <rPh sb="1" eb="2">
      <t>メイ</t>
    </rPh>
    <phoneticPr fontId="3"/>
  </si>
  <si>
    <t>6名</t>
    <rPh sb="1" eb="2">
      <t>メイ</t>
    </rPh>
    <phoneticPr fontId="3"/>
  </si>
  <si>
    <t>8名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</si>
</sst>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¥&quot;* #,##0_ ;_ &quot;¥&quot;* \-#,##0_ ;_ &quot;¥&quot;* &quot;-&quot;_ ;_ @_ "/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2" fontId="2" fillId="0" borderId="0" xfId="1" applyNumberFormat="1" applyFont="1"/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7" xfId="1" applyNumberFormat="1" applyFont="1" applyBorder="1" applyAlignment="1">
      <alignment horizontal="left"/>
    </xf>
    <xf numFmtId="2" fontId="2" fillId="0" borderId="8" xfId="1" applyNumberFormat="1" applyFont="1" applyBorder="1"/>
    <xf numFmtId="2" fontId="2" fillId="0" borderId="7" xfId="1" applyNumberFormat="1" applyFont="1" applyBorder="1"/>
    <xf numFmtId="49" fontId="2" fillId="0" borderId="6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6" xfId="1" applyNumberFormat="1" applyFont="1" applyBorder="1"/>
    <xf numFmtId="3" fontId="2" fillId="0" borderId="8" xfId="1" applyNumberFormat="1" applyFont="1" applyBorder="1"/>
    <xf numFmtId="3" fontId="2" fillId="0" borderId="7" xfId="1" applyNumberFormat="1" applyFont="1" applyBorder="1"/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2" fontId="2" fillId="0" borderId="16" xfId="1" applyNumberFormat="1" applyFont="1" applyBorder="1"/>
    <xf numFmtId="2" fontId="2" fillId="0" borderId="17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/>
    <xf numFmtId="176" fontId="2" fillId="0" borderId="16" xfId="1" applyNumberFormat="1" applyFont="1" applyBorder="1"/>
    <xf numFmtId="176" fontId="2" fillId="0" borderId="17" xfId="1" applyNumberFormat="1" applyFont="1" applyBorder="1"/>
    <xf numFmtId="176" fontId="2" fillId="0" borderId="8" xfId="1" applyNumberFormat="1" applyFont="1" applyBorder="1"/>
    <xf numFmtId="176" fontId="2" fillId="0" borderId="7" xfId="1" applyNumberFormat="1" applyFont="1" applyBorder="1"/>
    <xf numFmtId="49" fontId="2" fillId="0" borderId="20" xfId="1" applyNumberFormat="1" applyFont="1" applyBorder="1" applyAlignment="1">
      <alignment horizontal="left"/>
    </xf>
    <xf numFmtId="2" fontId="2" fillId="0" borderId="21" xfId="1" applyNumberFormat="1" applyFont="1" applyBorder="1"/>
    <xf numFmtId="2" fontId="2" fillId="0" borderId="22" xfId="1" applyNumberFormat="1" applyFont="1" applyBorder="1"/>
    <xf numFmtId="2" fontId="2" fillId="0" borderId="23" xfId="1" applyNumberFormat="1" applyFont="1" applyBorder="1"/>
    <xf numFmtId="2" fontId="2" fillId="0" borderId="20" xfId="1" applyNumberFormat="1" applyFont="1" applyBorder="1"/>
    <xf numFmtId="49" fontId="2" fillId="0" borderId="24" xfId="1" applyNumberFormat="1" applyFont="1" applyBorder="1" applyAlignment="1">
      <alignment horizontal="left"/>
    </xf>
    <xf numFmtId="2" fontId="2" fillId="0" borderId="25" xfId="1" applyNumberFormat="1" applyFont="1" applyBorder="1"/>
    <xf numFmtId="2" fontId="2" fillId="0" borderId="26" xfId="1" applyNumberFormat="1" applyFont="1" applyBorder="1"/>
    <xf numFmtId="2" fontId="2" fillId="0" borderId="27" xfId="1" applyNumberFormat="1" applyFont="1" applyBorder="1"/>
    <xf numFmtId="2" fontId="2" fillId="0" borderId="24" xfId="1" applyNumberFormat="1" applyFont="1" applyBorder="1"/>
    <xf numFmtId="176" fontId="2" fillId="0" borderId="25" xfId="1" applyNumberFormat="1" applyFont="1" applyBorder="1"/>
    <xf numFmtId="176" fontId="2" fillId="0" borderId="26" xfId="1" applyNumberFormat="1" applyFont="1" applyBorder="1"/>
    <xf numFmtId="176" fontId="2" fillId="0" borderId="27" xfId="1" applyNumberFormat="1" applyFont="1" applyBorder="1"/>
    <xf numFmtId="176" fontId="2" fillId="0" borderId="24" xfId="1" applyNumberFormat="1" applyFont="1" applyBorder="1"/>
    <xf numFmtId="49" fontId="2" fillId="0" borderId="28" xfId="1" applyNumberFormat="1" applyFont="1" applyBorder="1" applyAlignment="1">
      <alignment horizontal="left"/>
    </xf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28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4" xfId="1" applyNumberFormat="1" applyFont="1" applyBorder="1"/>
    <xf numFmtId="0" fontId="2" fillId="0" borderId="3" xfId="1" applyFont="1" applyBorder="1" applyAlignment="1">
      <alignment horizontal="right"/>
    </xf>
    <xf numFmtId="49" fontId="2" fillId="0" borderId="5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right"/>
    </xf>
    <xf numFmtId="49" fontId="2" fillId="0" borderId="32" xfId="1" applyNumberFormat="1" applyFont="1" applyBorder="1" applyAlignment="1">
      <alignment horizontal="center"/>
    </xf>
    <xf numFmtId="49" fontId="2" fillId="0" borderId="33" xfId="1" applyNumberFormat="1" applyFont="1" applyBorder="1" applyAlignment="1">
      <alignment horizontal="center"/>
    </xf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176" fontId="2" fillId="0" borderId="36" xfId="1" applyNumberFormat="1" applyFont="1" applyBorder="1"/>
    <xf numFmtId="2" fontId="2" fillId="0" borderId="36" xfId="1" applyNumberFormat="1" applyFont="1" applyBorder="1"/>
    <xf numFmtId="3" fontId="2" fillId="0" borderId="37" xfId="1" applyNumberFormat="1" applyFont="1" applyBorder="1"/>
    <xf numFmtId="3" fontId="2" fillId="0" borderId="35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36" xfId="1" applyNumberFormat="1" applyFont="1" applyBorder="1"/>
    <xf numFmtId="49" fontId="2" fillId="0" borderId="33" xfId="1" applyNumberFormat="1" applyFont="1" applyBorder="1"/>
    <xf numFmtId="0" fontId="2" fillId="0" borderId="5" xfId="1" applyFont="1" applyBorder="1"/>
  </cellXfs>
  <cellStyles count="2">
    <cellStyle name="標準" xfId="0" builtinId="0"/>
    <cellStyle name="標準 2" xfId="1" xr:uid="{655B9901-EE4A-4062-9072-FC3ACA7380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8AEAE-D867-490E-9B4E-A46CEB9B6CDA}">
  <sheetPr>
    <pageSetUpPr fitToPage="1"/>
  </sheetPr>
  <dimension ref="A1:M44"/>
  <sheetViews>
    <sheetView tabSelected="1" workbookViewId="0">
      <pane xSplit="2" ySplit="4" topLeftCell="C8" activePane="bottomRight" state="frozen"/>
      <selection pane="topRight" activeCell="C1" sqref="C1"/>
      <selection pane="bottomLeft" activeCell="A9" sqref="A9"/>
      <selection pane="bottomRight" activeCell="K17" sqref="K17"/>
    </sheetView>
  </sheetViews>
  <sheetFormatPr defaultRowHeight="18.75"/>
  <cols>
    <col min="1" max="1" width="2.375" style="2" customWidth="1"/>
    <col min="2" max="2" width="13.25" style="2" bestFit="1" customWidth="1"/>
    <col min="3" max="6" width="11.125" style="2" customWidth="1"/>
    <col min="7" max="7" width="11.125" style="2" bestFit="1" customWidth="1"/>
    <col min="8" max="8" width="9" style="2" bestFit="1" customWidth="1"/>
    <col min="9" max="11" width="11.125" style="2" bestFit="1" customWidth="1"/>
    <col min="12" max="12" width="11.125" style="2" customWidth="1"/>
    <col min="13" max="13" width="9.625" style="2" bestFit="1" customWidth="1"/>
    <col min="14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3" width="9" style="2"/>
    <col min="264" max="267" width="11.125" style="2" bestFit="1" customWidth="1"/>
    <col min="268" max="268" width="9.625" style="2" bestFit="1" customWidth="1"/>
    <col min="269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9" width="9" style="2"/>
    <col min="520" max="523" width="11.125" style="2" bestFit="1" customWidth="1"/>
    <col min="524" max="524" width="9.625" style="2" bestFit="1" customWidth="1"/>
    <col min="525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5" width="9" style="2"/>
    <col min="776" max="779" width="11.125" style="2" bestFit="1" customWidth="1"/>
    <col min="780" max="780" width="9.625" style="2" bestFit="1" customWidth="1"/>
    <col min="781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1" width="9" style="2"/>
    <col min="1032" max="1035" width="11.125" style="2" bestFit="1" customWidth="1"/>
    <col min="1036" max="1036" width="9.625" style="2" bestFit="1" customWidth="1"/>
    <col min="1037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7" width="9" style="2"/>
    <col min="1288" max="1291" width="11.125" style="2" bestFit="1" customWidth="1"/>
    <col min="1292" max="1292" width="9.625" style="2" bestFit="1" customWidth="1"/>
    <col min="1293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3" width="9" style="2"/>
    <col min="1544" max="1547" width="11.125" style="2" bestFit="1" customWidth="1"/>
    <col min="1548" max="1548" width="9.625" style="2" bestFit="1" customWidth="1"/>
    <col min="1549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9" width="9" style="2"/>
    <col min="1800" max="1803" width="11.125" style="2" bestFit="1" customWidth="1"/>
    <col min="1804" max="1804" width="9.625" style="2" bestFit="1" customWidth="1"/>
    <col min="1805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5" width="9" style="2"/>
    <col min="2056" max="2059" width="11.125" style="2" bestFit="1" customWidth="1"/>
    <col min="2060" max="2060" width="9.625" style="2" bestFit="1" customWidth="1"/>
    <col min="2061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1" width="9" style="2"/>
    <col min="2312" max="2315" width="11.125" style="2" bestFit="1" customWidth="1"/>
    <col min="2316" max="2316" width="9.625" style="2" bestFit="1" customWidth="1"/>
    <col min="2317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7" width="9" style="2"/>
    <col min="2568" max="2571" width="11.125" style="2" bestFit="1" customWidth="1"/>
    <col min="2572" max="2572" width="9.625" style="2" bestFit="1" customWidth="1"/>
    <col min="2573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3" width="9" style="2"/>
    <col min="2824" max="2827" width="11.125" style="2" bestFit="1" customWidth="1"/>
    <col min="2828" max="2828" width="9.625" style="2" bestFit="1" customWidth="1"/>
    <col min="2829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9" width="9" style="2"/>
    <col min="3080" max="3083" width="11.125" style="2" bestFit="1" customWidth="1"/>
    <col min="3084" max="3084" width="9.625" style="2" bestFit="1" customWidth="1"/>
    <col min="3085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5" width="9" style="2"/>
    <col min="3336" max="3339" width="11.125" style="2" bestFit="1" customWidth="1"/>
    <col min="3340" max="3340" width="9.625" style="2" bestFit="1" customWidth="1"/>
    <col min="3341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1" width="9" style="2"/>
    <col min="3592" max="3595" width="11.125" style="2" bestFit="1" customWidth="1"/>
    <col min="3596" max="3596" width="9.625" style="2" bestFit="1" customWidth="1"/>
    <col min="3597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7" width="9" style="2"/>
    <col min="3848" max="3851" width="11.125" style="2" bestFit="1" customWidth="1"/>
    <col min="3852" max="3852" width="9.625" style="2" bestFit="1" customWidth="1"/>
    <col min="3853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3" width="9" style="2"/>
    <col min="4104" max="4107" width="11.125" style="2" bestFit="1" customWidth="1"/>
    <col min="4108" max="4108" width="9.625" style="2" bestFit="1" customWidth="1"/>
    <col min="4109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9" width="9" style="2"/>
    <col min="4360" max="4363" width="11.125" style="2" bestFit="1" customWidth="1"/>
    <col min="4364" max="4364" width="9.625" style="2" bestFit="1" customWidth="1"/>
    <col min="4365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5" width="9" style="2"/>
    <col min="4616" max="4619" width="11.125" style="2" bestFit="1" customWidth="1"/>
    <col min="4620" max="4620" width="9.625" style="2" bestFit="1" customWidth="1"/>
    <col min="4621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1" width="9" style="2"/>
    <col min="4872" max="4875" width="11.125" style="2" bestFit="1" customWidth="1"/>
    <col min="4876" max="4876" width="9.625" style="2" bestFit="1" customWidth="1"/>
    <col min="4877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7" width="9" style="2"/>
    <col min="5128" max="5131" width="11.125" style="2" bestFit="1" customWidth="1"/>
    <col min="5132" max="5132" width="9.625" style="2" bestFit="1" customWidth="1"/>
    <col min="5133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3" width="9" style="2"/>
    <col min="5384" max="5387" width="11.125" style="2" bestFit="1" customWidth="1"/>
    <col min="5388" max="5388" width="9.625" style="2" bestFit="1" customWidth="1"/>
    <col min="5389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9" width="9" style="2"/>
    <col min="5640" max="5643" width="11.125" style="2" bestFit="1" customWidth="1"/>
    <col min="5644" max="5644" width="9.625" style="2" bestFit="1" customWidth="1"/>
    <col min="5645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5" width="9" style="2"/>
    <col min="5896" max="5899" width="11.125" style="2" bestFit="1" customWidth="1"/>
    <col min="5900" max="5900" width="9.625" style="2" bestFit="1" customWidth="1"/>
    <col min="5901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1" width="9" style="2"/>
    <col min="6152" max="6155" width="11.125" style="2" bestFit="1" customWidth="1"/>
    <col min="6156" max="6156" width="9.625" style="2" bestFit="1" customWidth="1"/>
    <col min="6157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7" width="9" style="2"/>
    <col min="6408" max="6411" width="11.125" style="2" bestFit="1" customWidth="1"/>
    <col min="6412" max="6412" width="9.625" style="2" bestFit="1" customWidth="1"/>
    <col min="6413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3" width="9" style="2"/>
    <col min="6664" max="6667" width="11.125" style="2" bestFit="1" customWidth="1"/>
    <col min="6668" max="6668" width="9.625" style="2" bestFit="1" customWidth="1"/>
    <col min="6669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9" width="9" style="2"/>
    <col min="6920" max="6923" width="11.125" style="2" bestFit="1" customWidth="1"/>
    <col min="6924" max="6924" width="9.625" style="2" bestFit="1" customWidth="1"/>
    <col min="6925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5" width="9" style="2"/>
    <col min="7176" max="7179" width="11.125" style="2" bestFit="1" customWidth="1"/>
    <col min="7180" max="7180" width="9.625" style="2" bestFit="1" customWidth="1"/>
    <col min="7181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1" width="9" style="2"/>
    <col min="7432" max="7435" width="11.125" style="2" bestFit="1" customWidth="1"/>
    <col min="7436" max="7436" width="9.625" style="2" bestFit="1" customWidth="1"/>
    <col min="7437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7" width="9" style="2"/>
    <col min="7688" max="7691" width="11.125" style="2" bestFit="1" customWidth="1"/>
    <col min="7692" max="7692" width="9.625" style="2" bestFit="1" customWidth="1"/>
    <col min="7693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3" width="9" style="2"/>
    <col min="7944" max="7947" width="11.125" style="2" bestFit="1" customWidth="1"/>
    <col min="7948" max="7948" width="9.625" style="2" bestFit="1" customWidth="1"/>
    <col min="7949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9" width="9" style="2"/>
    <col min="8200" max="8203" width="11.125" style="2" bestFit="1" customWidth="1"/>
    <col min="8204" max="8204" width="9.625" style="2" bestFit="1" customWidth="1"/>
    <col min="8205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5" width="9" style="2"/>
    <col min="8456" max="8459" width="11.125" style="2" bestFit="1" customWidth="1"/>
    <col min="8460" max="8460" width="9.625" style="2" bestFit="1" customWidth="1"/>
    <col min="8461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1" width="9" style="2"/>
    <col min="8712" max="8715" width="11.125" style="2" bestFit="1" customWidth="1"/>
    <col min="8716" max="8716" width="9.625" style="2" bestFit="1" customWidth="1"/>
    <col min="8717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7" width="9" style="2"/>
    <col min="8968" max="8971" width="11.125" style="2" bestFit="1" customWidth="1"/>
    <col min="8972" max="8972" width="9.625" style="2" bestFit="1" customWidth="1"/>
    <col min="8973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3" width="9" style="2"/>
    <col min="9224" max="9227" width="11.125" style="2" bestFit="1" customWidth="1"/>
    <col min="9228" max="9228" width="9.625" style="2" bestFit="1" customWidth="1"/>
    <col min="9229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9" width="9" style="2"/>
    <col min="9480" max="9483" width="11.125" style="2" bestFit="1" customWidth="1"/>
    <col min="9484" max="9484" width="9.625" style="2" bestFit="1" customWidth="1"/>
    <col min="9485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5" width="9" style="2"/>
    <col min="9736" max="9739" width="11.125" style="2" bestFit="1" customWidth="1"/>
    <col min="9740" max="9740" width="9.625" style="2" bestFit="1" customWidth="1"/>
    <col min="9741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1" width="9" style="2"/>
    <col min="9992" max="9995" width="11.125" style="2" bestFit="1" customWidth="1"/>
    <col min="9996" max="9996" width="9.625" style="2" bestFit="1" customWidth="1"/>
    <col min="9997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7" width="9" style="2"/>
    <col min="10248" max="10251" width="11.125" style="2" bestFit="1" customWidth="1"/>
    <col min="10252" max="10252" width="9.625" style="2" bestFit="1" customWidth="1"/>
    <col min="10253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3" width="9" style="2"/>
    <col min="10504" max="10507" width="11.125" style="2" bestFit="1" customWidth="1"/>
    <col min="10508" max="10508" width="9.625" style="2" bestFit="1" customWidth="1"/>
    <col min="10509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9" width="9" style="2"/>
    <col min="10760" max="10763" width="11.125" style="2" bestFit="1" customWidth="1"/>
    <col min="10764" max="10764" width="9.625" style="2" bestFit="1" customWidth="1"/>
    <col min="10765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5" width="9" style="2"/>
    <col min="11016" max="11019" width="11.125" style="2" bestFit="1" customWidth="1"/>
    <col min="11020" max="11020" width="9.625" style="2" bestFit="1" customWidth="1"/>
    <col min="11021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1" width="9" style="2"/>
    <col min="11272" max="11275" width="11.125" style="2" bestFit="1" customWidth="1"/>
    <col min="11276" max="11276" width="9.625" style="2" bestFit="1" customWidth="1"/>
    <col min="11277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7" width="9" style="2"/>
    <col min="11528" max="11531" width="11.125" style="2" bestFit="1" customWidth="1"/>
    <col min="11532" max="11532" width="9.625" style="2" bestFit="1" customWidth="1"/>
    <col min="11533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3" width="9" style="2"/>
    <col min="11784" max="11787" width="11.125" style="2" bestFit="1" customWidth="1"/>
    <col min="11788" max="11788" width="9.625" style="2" bestFit="1" customWidth="1"/>
    <col min="11789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9" width="9" style="2"/>
    <col min="12040" max="12043" width="11.125" style="2" bestFit="1" customWidth="1"/>
    <col min="12044" max="12044" width="9.625" style="2" bestFit="1" customWidth="1"/>
    <col min="12045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5" width="9" style="2"/>
    <col min="12296" max="12299" width="11.125" style="2" bestFit="1" customWidth="1"/>
    <col min="12300" max="12300" width="9.625" style="2" bestFit="1" customWidth="1"/>
    <col min="12301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1" width="9" style="2"/>
    <col min="12552" max="12555" width="11.125" style="2" bestFit="1" customWidth="1"/>
    <col min="12556" max="12556" width="9.625" style="2" bestFit="1" customWidth="1"/>
    <col min="12557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7" width="9" style="2"/>
    <col min="12808" max="12811" width="11.125" style="2" bestFit="1" customWidth="1"/>
    <col min="12812" max="12812" width="9.625" style="2" bestFit="1" customWidth="1"/>
    <col min="12813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3" width="9" style="2"/>
    <col min="13064" max="13067" width="11.125" style="2" bestFit="1" customWidth="1"/>
    <col min="13068" max="13068" width="9.625" style="2" bestFit="1" customWidth="1"/>
    <col min="13069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9" width="9" style="2"/>
    <col min="13320" max="13323" width="11.125" style="2" bestFit="1" customWidth="1"/>
    <col min="13324" max="13324" width="9.625" style="2" bestFit="1" customWidth="1"/>
    <col min="13325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5" width="9" style="2"/>
    <col min="13576" max="13579" width="11.125" style="2" bestFit="1" customWidth="1"/>
    <col min="13580" max="13580" width="9.625" style="2" bestFit="1" customWidth="1"/>
    <col min="13581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1" width="9" style="2"/>
    <col min="13832" max="13835" width="11.125" style="2" bestFit="1" customWidth="1"/>
    <col min="13836" max="13836" width="9.625" style="2" bestFit="1" customWidth="1"/>
    <col min="13837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7" width="9" style="2"/>
    <col min="14088" max="14091" width="11.125" style="2" bestFit="1" customWidth="1"/>
    <col min="14092" max="14092" width="9.625" style="2" bestFit="1" customWidth="1"/>
    <col min="14093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3" width="9" style="2"/>
    <col min="14344" max="14347" width="11.125" style="2" bestFit="1" customWidth="1"/>
    <col min="14348" max="14348" width="9.625" style="2" bestFit="1" customWidth="1"/>
    <col min="14349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9" width="9" style="2"/>
    <col min="14600" max="14603" width="11.125" style="2" bestFit="1" customWidth="1"/>
    <col min="14604" max="14604" width="9.625" style="2" bestFit="1" customWidth="1"/>
    <col min="14605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5" width="9" style="2"/>
    <col min="14856" max="14859" width="11.125" style="2" bestFit="1" customWidth="1"/>
    <col min="14860" max="14860" width="9.625" style="2" bestFit="1" customWidth="1"/>
    <col min="14861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1" width="9" style="2"/>
    <col min="15112" max="15115" width="11.125" style="2" bestFit="1" customWidth="1"/>
    <col min="15116" max="15116" width="9.625" style="2" bestFit="1" customWidth="1"/>
    <col min="15117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7" width="9" style="2"/>
    <col min="15368" max="15371" width="11.125" style="2" bestFit="1" customWidth="1"/>
    <col min="15372" max="15372" width="9.625" style="2" bestFit="1" customWidth="1"/>
    <col min="15373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3" width="9" style="2"/>
    <col min="15624" max="15627" width="11.125" style="2" bestFit="1" customWidth="1"/>
    <col min="15628" max="15628" width="9.625" style="2" bestFit="1" customWidth="1"/>
    <col min="15629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9" width="9" style="2"/>
    <col min="15880" max="15883" width="11.125" style="2" bestFit="1" customWidth="1"/>
    <col min="15884" max="15884" width="9.625" style="2" bestFit="1" customWidth="1"/>
    <col min="15885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5" width="9" style="2"/>
    <col min="16136" max="16139" width="11.125" style="2" bestFit="1" customWidth="1"/>
    <col min="16140" max="16140" width="9.625" style="2" bestFit="1" customWidth="1"/>
    <col min="16141" max="16384" width="9" style="2"/>
  </cols>
  <sheetData>
    <row r="1" spans="1:13">
      <c r="A1" s="1" t="s">
        <v>0</v>
      </c>
    </row>
    <row r="2" spans="1:13" ht="19.5" thickBot="1">
      <c r="A2" s="1" t="s">
        <v>59</v>
      </c>
    </row>
    <row r="3" spans="1:13">
      <c r="B3" s="13"/>
      <c r="C3" s="23" t="s">
        <v>4</v>
      </c>
      <c r="D3" s="5" t="s">
        <v>9</v>
      </c>
      <c r="E3" s="64" t="s">
        <v>60</v>
      </c>
      <c r="F3" s="22" t="s">
        <v>2</v>
      </c>
      <c r="G3" s="23" t="s">
        <v>3</v>
      </c>
      <c r="H3" s="23" t="s">
        <v>5</v>
      </c>
      <c r="I3" s="23" t="s">
        <v>6</v>
      </c>
      <c r="J3" s="23" t="s">
        <v>7</v>
      </c>
      <c r="K3" s="66" t="s">
        <v>8</v>
      </c>
      <c r="L3" s="64" t="s">
        <v>60</v>
      </c>
      <c r="M3" s="79" t="s">
        <v>19</v>
      </c>
    </row>
    <row r="4" spans="1:13" ht="19.5" thickBot="1">
      <c r="A4" s="4"/>
      <c r="B4" s="6" t="s">
        <v>10</v>
      </c>
      <c r="C4" s="25" t="s">
        <v>13</v>
      </c>
      <c r="D4" s="3" t="s">
        <v>18</v>
      </c>
      <c r="E4" s="65" t="s">
        <v>61</v>
      </c>
      <c r="F4" s="24" t="s">
        <v>11</v>
      </c>
      <c r="G4" s="25" t="s">
        <v>12</v>
      </c>
      <c r="H4" s="25" t="s">
        <v>14</v>
      </c>
      <c r="I4" s="25" t="s">
        <v>15</v>
      </c>
      <c r="J4" s="25" t="s">
        <v>16</v>
      </c>
      <c r="K4" s="67" t="s">
        <v>17</v>
      </c>
      <c r="L4" s="65" t="s">
        <v>62</v>
      </c>
      <c r="M4" s="63" t="s">
        <v>63</v>
      </c>
    </row>
    <row r="5" spans="1:13">
      <c r="A5" s="1" t="s">
        <v>1</v>
      </c>
      <c r="B5" s="40" t="s">
        <v>20</v>
      </c>
      <c r="C5" s="42">
        <v>20</v>
      </c>
      <c r="D5" s="43">
        <v>12</v>
      </c>
      <c r="E5" s="44">
        <f>SUM(C5:D5)</f>
        <v>32</v>
      </c>
      <c r="F5" s="41">
        <v>19</v>
      </c>
      <c r="G5" s="42">
        <v>20</v>
      </c>
      <c r="H5" s="42">
        <v>18</v>
      </c>
      <c r="I5" s="42">
        <v>20</v>
      </c>
      <c r="J5" s="42">
        <v>20</v>
      </c>
      <c r="K5" s="68">
        <v>18</v>
      </c>
      <c r="L5" s="44">
        <f>SUM(F5:K5)</f>
        <v>115</v>
      </c>
      <c r="M5" s="44">
        <f>SUM(L5,E5)</f>
        <v>147</v>
      </c>
    </row>
    <row r="6" spans="1:13">
      <c r="A6" s="1" t="s">
        <v>1</v>
      </c>
      <c r="B6" s="45" t="s">
        <v>21</v>
      </c>
      <c r="C6" s="47">
        <v>0</v>
      </c>
      <c r="D6" s="48">
        <v>0</v>
      </c>
      <c r="E6" s="49">
        <f>SUM(C6:D6)</f>
        <v>0</v>
      </c>
      <c r="F6" s="46">
        <v>0</v>
      </c>
      <c r="G6" s="47">
        <v>1</v>
      </c>
      <c r="H6" s="47">
        <v>2</v>
      </c>
      <c r="I6" s="47">
        <v>1</v>
      </c>
      <c r="J6" s="47">
        <v>3</v>
      </c>
      <c r="K6" s="69">
        <v>4</v>
      </c>
      <c r="L6" s="49">
        <f>SUM(F6:K6)</f>
        <v>11</v>
      </c>
      <c r="M6" s="49">
        <f t="shared" ref="M6:M42" si="0">SUM(L6,E6)</f>
        <v>11</v>
      </c>
    </row>
    <row r="7" spans="1:13">
      <c r="A7" s="1" t="s">
        <v>1</v>
      </c>
      <c r="B7" s="45" t="s">
        <v>22</v>
      </c>
      <c r="C7" s="47">
        <v>0</v>
      </c>
      <c r="D7" s="48">
        <v>0</v>
      </c>
      <c r="E7" s="49">
        <f t="shared" ref="E7:E42" si="1">SUM(C7:D7)</f>
        <v>0</v>
      </c>
      <c r="F7" s="46">
        <v>0</v>
      </c>
      <c r="G7" s="47">
        <v>0</v>
      </c>
      <c r="H7" s="47">
        <v>1</v>
      </c>
      <c r="I7" s="47">
        <v>0</v>
      </c>
      <c r="J7" s="47">
        <v>1</v>
      </c>
      <c r="K7" s="69">
        <v>1</v>
      </c>
      <c r="L7" s="49">
        <f t="shared" ref="L7:L42" si="2">SUM(F7:K7)</f>
        <v>3</v>
      </c>
      <c r="M7" s="49">
        <f t="shared" si="0"/>
        <v>3</v>
      </c>
    </row>
    <row r="8" spans="1:13">
      <c r="A8" s="1" t="s">
        <v>1</v>
      </c>
      <c r="B8" s="45" t="s">
        <v>23</v>
      </c>
      <c r="C8" s="47">
        <v>0</v>
      </c>
      <c r="D8" s="48">
        <v>1</v>
      </c>
      <c r="E8" s="49">
        <f t="shared" si="1"/>
        <v>1</v>
      </c>
      <c r="F8" s="46">
        <v>1</v>
      </c>
      <c r="G8" s="47">
        <v>0</v>
      </c>
      <c r="H8" s="47">
        <v>2</v>
      </c>
      <c r="I8" s="47">
        <v>0</v>
      </c>
      <c r="J8" s="47">
        <v>0</v>
      </c>
      <c r="K8" s="69">
        <v>2</v>
      </c>
      <c r="L8" s="49">
        <f t="shared" si="2"/>
        <v>5</v>
      </c>
      <c r="M8" s="49">
        <f t="shared" si="0"/>
        <v>6</v>
      </c>
    </row>
    <row r="9" spans="1:13">
      <c r="A9" s="1" t="s">
        <v>1</v>
      </c>
      <c r="B9" s="45" t="s">
        <v>24</v>
      </c>
      <c r="C9" s="51">
        <v>0</v>
      </c>
      <c r="D9" s="52">
        <v>2.9583333333333335</v>
      </c>
      <c r="E9" s="53">
        <f t="shared" si="1"/>
        <v>2.9583333333333335</v>
      </c>
      <c r="F9" s="50">
        <v>0</v>
      </c>
      <c r="G9" s="51">
        <v>0</v>
      </c>
      <c r="H9" s="51">
        <v>0</v>
      </c>
      <c r="I9" s="51">
        <v>0</v>
      </c>
      <c r="J9" s="51">
        <v>0</v>
      </c>
      <c r="K9" s="70">
        <v>0</v>
      </c>
      <c r="L9" s="53">
        <f t="shared" si="2"/>
        <v>0</v>
      </c>
      <c r="M9" s="53">
        <f t="shared" si="0"/>
        <v>2.9583333333333335</v>
      </c>
    </row>
    <row r="10" spans="1:13">
      <c r="A10" s="1" t="s">
        <v>1</v>
      </c>
      <c r="B10" s="45" t="s">
        <v>25</v>
      </c>
      <c r="C10" s="51">
        <v>0</v>
      </c>
      <c r="D10" s="52">
        <v>0</v>
      </c>
      <c r="E10" s="53">
        <f t="shared" si="1"/>
        <v>0</v>
      </c>
      <c r="F10" s="50">
        <v>2</v>
      </c>
      <c r="G10" s="51">
        <v>2.0833333333333335</v>
      </c>
      <c r="H10" s="51">
        <v>1.5</v>
      </c>
      <c r="I10" s="51">
        <v>1.7083333333333335</v>
      </c>
      <c r="J10" s="51">
        <v>1.375</v>
      </c>
      <c r="K10" s="70">
        <v>1.625</v>
      </c>
      <c r="L10" s="53">
        <f t="shared" si="2"/>
        <v>10.291666666666668</v>
      </c>
      <c r="M10" s="53">
        <f t="shared" si="0"/>
        <v>10.291666666666668</v>
      </c>
    </row>
    <row r="11" spans="1:13">
      <c r="A11" s="1" t="s">
        <v>1</v>
      </c>
      <c r="B11" s="45" t="s">
        <v>26</v>
      </c>
      <c r="C11" s="51">
        <v>0</v>
      </c>
      <c r="D11" s="52">
        <v>0</v>
      </c>
      <c r="E11" s="53">
        <f t="shared" si="1"/>
        <v>0</v>
      </c>
      <c r="F11" s="50">
        <v>0</v>
      </c>
      <c r="G11" s="51">
        <v>0.16666666666666666</v>
      </c>
      <c r="H11" s="51">
        <v>0.625</v>
      </c>
      <c r="I11" s="51">
        <v>0.41666666666666669</v>
      </c>
      <c r="J11" s="51">
        <v>0.91666666666666663</v>
      </c>
      <c r="K11" s="70">
        <v>1.125</v>
      </c>
      <c r="L11" s="53">
        <f t="shared" si="2"/>
        <v>3.25</v>
      </c>
      <c r="M11" s="53">
        <f t="shared" si="0"/>
        <v>3.25</v>
      </c>
    </row>
    <row r="12" spans="1:13">
      <c r="A12" s="1" t="s">
        <v>1</v>
      </c>
      <c r="B12" s="45" t="s">
        <v>27</v>
      </c>
      <c r="C12" s="51">
        <v>0</v>
      </c>
      <c r="D12" s="52">
        <v>0</v>
      </c>
      <c r="E12" s="53">
        <f t="shared" si="1"/>
        <v>0</v>
      </c>
      <c r="F12" s="50">
        <v>0</v>
      </c>
      <c r="G12" s="51">
        <v>0</v>
      </c>
      <c r="H12" s="51">
        <v>0.20833333333333334</v>
      </c>
      <c r="I12" s="51">
        <v>0</v>
      </c>
      <c r="J12" s="51">
        <v>0.25</v>
      </c>
      <c r="K12" s="70">
        <v>0.25</v>
      </c>
      <c r="L12" s="53">
        <f t="shared" si="2"/>
        <v>0.70833333333333337</v>
      </c>
      <c r="M12" s="53">
        <f t="shared" si="0"/>
        <v>0.70833333333333337</v>
      </c>
    </row>
    <row r="13" spans="1:13">
      <c r="A13" s="1" t="s">
        <v>1</v>
      </c>
      <c r="B13" s="45" t="s">
        <v>28</v>
      </c>
      <c r="C13" s="51">
        <v>0</v>
      </c>
      <c r="D13" s="52">
        <v>0.29166666666666669</v>
      </c>
      <c r="E13" s="53">
        <f t="shared" si="1"/>
        <v>0.29166666666666669</v>
      </c>
      <c r="F13" s="50">
        <v>0</v>
      </c>
      <c r="G13" s="51">
        <v>0</v>
      </c>
      <c r="H13" s="51">
        <v>0</v>
      </c>
      <c r="I13" s="51">
        <v>0</v>
      </c>
      <c r="J13" s="51">
        <v>0</v>
      </c>
      <c r="K13" s="70">
        <v>0</v>
      </c>
      <c r="L13" s="53">
        <f t="shared" si="2"/>
        <v>0</v>
      </c>
      <c r="M13" s="53">
        <f t="shared" si="0"/>
        <v>0.29166666666666669</v>
      </c>
    </row>
    <row r="14" spans="1:13">
      <c r="A14" s="1" t="s">
        <v>1</v>
      </c>
      <c r="B14" s="14" t="s">
        <v>29</v>
      </c>
      <c r="C14" s="37">
        <v>0</v>
      </c>
      <c r="D14" s="38">
        <v>0</v>
      </c>
      <c r="E14" s="39">
        <f t="shared" si="1"/>
        <v>0</v>
      </c>
      <c r="F14" s="36">
        <v>0.41666666666666669</v>
      </c>
      <c r="G14" s="37">
        <v>0.58333333333333337</v>
      </c>
      <c r="H14" s="37">
        <v>0.16666666666666666</v>
      </c>
      <c r="I14" s="37">
        <v>0.79166666666666663</v>
      </c>
      <c r="J14" s="37">
        <v>0.25</v>
      </c>
      <c r="K14" s="71">
        <v>0.45833333333333331</v>
      </c>
      <c r="L14" s="39">
        <f t="shared" si="2"/>
        <v>2.666666666666667</v>
      </c>
      <c r="M14" s="39">
        <f t="shared" si="0"/>
        <v>2.666666666666667</v>
      </c>
    </row>
    <row r="15" spans="1:13">
      <c r="A15" s="1" t="s">
        <v>1</v>
      </c>
      <c r="B15" s="14" t="s">
        <v>30</v>
      </c>
      <c r="C15" s="27">
        <v>34</v>
      </c>
      <c r="D15" s="15">
        <v>6</v>
      </c>
      <c r="E15" s="16">
        <f t="shared" si="1"/>
        <v>40</v>
      </c>
      <c r="F15" s="26">
        <v>26</v>
      </c>
      <c r="G15" s="27">
        <v>30</v>
      </c>
      <c r="H15" s="27">
        <v>30</v>
      </c>
      <c r="I15" s="27">
        <v>19</v>
      </c>
      <c r="J15" s="27">
        <v>27</v>
      </c>
      <c r="K15" s="72">
        <v>29</v>
      </c>
      <c r="L15" s="16">
        <f t="shared" si="2"/>
        <v>161</v>
      </c>
      <c r="M15" s="16">
        <f t="shared" si="0"/>
        <v>201</v>
      </c>
    </row>
    <row r="16" spans="1:13">
      <c r="A16" s="1" t="s">
        <v>1</v>
      </c>
      <c r="B16" s="54" t="s">
        <v>31</v>
      </c>
      <c r="C16" s="56">
        <v>355000</v>
      </c>
      <c r="D16" s="57">
        <v>0</v>
      </c>
      <c r="E16" s="58">
        <f t="shared" si="1"/>
        <v>355000</v>
      </c>
      <c r="F16" s="55">
        <v>177000</v>
      </c>
      <c r="G16" s="56">
        <v>192000</v>
      </c>
      <c r="H16" s="56">
        <v>177000</v>
      </c>
      <c r="I16" s="56">
        <v>177000</v>
      </c>
      <c r="J16" s="56">
        <v>177000</v>
      </c>
      <c r="K16" s="73">
        <v>170000</v>
      </c>
      <c r="L16" s="58">
        <f t="shared" si="2"/>
        <v>1070000</v>
      </c>
      <c r="M16" s="58">
        <f t="shared" si="0"/>
        <v>1425000</v>
      </c>
    </row>
    <row r="17" spans="1:13">
      <c r="A17" s="1" t="s">
        <v>1</v>
      </c>
      <c r="B17" s="45" t="s">
        <v>32</v>
      </c>
      <c r="C17" s="60">
        <v>0</v>
      </c>
      <c r="D17" s="61">
        <v>0</v>
      </c>
      <c r="E17" s="62">
        <f t="shared" si="1"/>
        <v>0</v>
      </c>
      <c r="F17" s="59">
        <v>0</v>
      </c>
      <c r="G17" s="60">
        <v>5000</v>
      </c>
      <c r="H17" s="60">
        <v>0</v>
      </c>
      <c r="I17" s="60">
        <v>0</v>
      </c>
      <c r="J17" s="60">
        <v>0</v>
      </c>
      <c r="K17" s="74">
        <v>0</v>
      </c>
      <c r="L17" s="62">
        <f t="shared" si="2"/>
        <v>5000</v>
      </c>
      <c r="M17" s="62">
        <f t="shared" si="0"/>
        <v>5000</v>
      </c>
    </row>
    <row r="18" spans="1:13">
      <c r="A18" s="1" t="s">
        <v>1</v>
      </c>
      <c r="B18" s="45" t="s">
        <v>33</v>
      </c>
      <c r="C18" s="60">
        <v>0</v>
      </c>
      <c r="D18" s="61">
        <v>0</v>
      </c>
      <c r="E18" s="62">
        <f t="shared" si="1"/>
        <v>0</v>
      </c>
      <c r="F18" s="59">
        <v>6000</v>
      </c>
      <c r="G18" s="60">
        <v>0</v>
      </c>
      <c r="H18" s="60">
        <v>15000</v>
      </c>
      <c r="I18" s="60">
        <v>0</v>
      </c>
      <c r="J18" s="60">
        <v>0</v>
      </c>
      <c r="K18" s="74">
        <v>0</v>
      </c>
      <c r="L18" s="62">
        <f t="shared" si="2"/>
        <v>21000</v>
      </c>
      <c r="M18" s="62">
        <f t="shared" si="0"/>
        <v>21000</v>
      </c>
    </row>
    <row r="19" spans="1:13">
      <c r="A19" s="1" t="s">
        <v>1</v>
      </c>
      <c r="B19" s="45" t="s">
        <v>34</v>
      </c>
      <c r="C19" s="60">
        <v>50000</v>
      </c>
      <c r="D19" s="61">
        <v>0</v>
      </c>
      <c r="E19" s="62">
        <f t="shared" si="1"/>
        <v>50000</v>
      </c>
      <c r="F19" s="59">
        <v>50000</v>
      </c>
      <c r="G19" s="60">
        <v>50000</v>
      </c>
      <c r="H19" s="60">
        <v>50000</v>
      </c>
      <c r="I19" s="60">
        <v>50000</v>
      </c>
      <c r="J19" s="60">
        <v>50000</v>
      </c>
      <c r="K19" s="74">
        <v>50000</v>
      </c>
      <c r="L19" s="62">
        <f t="shared" si="2"/>
        <v>300000</v>
      </c>
      <c r="M19" s="62">
        <f t="shared" si="0"/>
        <v>350000</v>
      </c>
    </row>
    <row r="20" spans="1:13">
      <c r="A20" s="1" t="s">
        <v>1</v>
      </c>
      <c r="B20" s="45" t="s">
        <v>35</v>
      </c>
      <c r="C20" s="60">
        <v>0</v>
      </c>
      <c r="D20" s="61">
        <v>85200</v>
      </c>
      <c r="E20" s="62">
        <f t="shared" si="1"/>
        <v>85200</v>
      </c>
      <c r="F20" s="59">
        <v>0</v>
      </c>
      <c r="G20" s="60">
        <v>0</v>
      </c>
      <c r="H20" s="60">
        <v>0</v>
      </c>
      <c r="I20" s="60">
        <v>0</v>
      </c>
      <c r="J20" s="60">
        <v>0</v>
      </c>
      <c r="K20" s="74">
        <v>0</v>
      </c>
      <c r="L20" s="62">
        <f t="shared" si="2"/>
        <v>0</v>
      </c>
      <c r="M20" s="62">
        <f t="shared" si="0"/>
        <v>85200</v>
      </c>
    </row>
    <row r="21" spans="1:13">
      <c r="A21" s="1" t="s">
        <v>1</v>
      </c>
      <c r="B21" s="45" t="s">
        <v>36</v>
      </c>
      <c r="C21" s="60">
        <v>0</v>
      </c>
      <c r="D21" s="61">
        <v>0</v>
      </c>
      <c r="E21" s="62">
        <f t="shared" si="1"/>
        <v>0</v>
      </c>
      <c r="F21" s="59">
        <v>2000</v>
      </c>
      <c r="G21" s="60">
        <v>3500</v>
      </c>
      <c r="H21" s="60">
        <v>0</v>
      </c>
      <c r="I21" s="60">
        <v>3500</v>
      </c>
      <c r="J21" s="60">
        <v>3500</v>
      </c>
      <c r="K21" s="74">
        <v>2000</v>
      </c>
      <c r="L21" s="62">
        <f t="shared" si="2"/>
        <v>14500</v>
      </c>
      <c r="M21" s="62">
        <f t="shared" si="0"/>
        <v>14500</v>
      </c>
    </row>
    <row r="22" spans="1:13">
      <c r="A22" s="1" t="s">
        <v>1</v>
      </c>
      <c r="B22" s="45" t="s">
        <v>37</v>
      </c>
      <c r="C22" s="60">
        <v>0</v>
      </c>
      <c r="D22" s="61">
        <v>8400</v>
      </c>
      <c r="E22" s="62">
        <f t="shared" si="1"/>
        <v>8400</v>
      </c>
      <c r="F22" s="59">
        <v>0</v>
      </c>
      <c r="G22" s="60">
        <v>0</v>
      </c>
      <c r="H22" s="60">
        <v>0</v>
      </c>
      <c r="I22" s="60">
        <v>0</v>
      </c>
      <c r="J22" s="60">
        <v>0</v>
      </c>
      <c r="K22" s="74">
        <v>0</v>
      </c>
      <c r="L22" s="62">
        <f t="shared" si="2"/>
        <v>0</v>
      </c>
      <c r="M22" s="62">
        <f t="shared" si="0"/>
        <v>8400</v>
      </c>
    </row>
    <row r="23" spans="1:13">
      <c r="A23" s="1" t="s">
        <v>1</v>
      </c>
      <c r="B23" s="45" t="s">
        <v>38</v>
      </c>
      <c r="C23" s="60">
        <v>0</v>
      </c>
      <c r="D23" s="61">
        <v>0</v>
      </c>
      <c r="E23" s="62">
        <f t="shared" si="1"/>
        <v>0</v>
      </c>
      <c r="F23" s="59">
        <v>13500</v>
      </c>
      <c r="G23" s="60">
        <v>10500</v>
      </c>
      <c r="H23" s="60">
        <v>13500</v>
      </c>
      <c r="I23" s="60">
        <v>13000</v>
      </c>
      <c r="J23" s="60">
        <v>13000</v>
      </c>
      <c r="K23" s="74">
        <v>15000</v>
      </c>
      <c r="L23" s="62">
        <f t="shared" si="2"/>
        <v>78500</v>
      </c>
      <c r="M23" s="62">
        <f t="shared" si="0"/>
        <v>78500</v>
      </c>
    </row>
    <row r="24" spans="1:13">
      <c r="A24" s="1" t="s">
        <v>1</v>
      </c>
      <c r="B24" s="45" t="s">
        <v>25</v>
      </c>
      <c r="C24" s="60">
        <v>0</v>
      </c>
      <c r="D24" s="61">
        <v>0</v>
      </c>
      <c r="E24" s="62">
        <f t="shared" si="1"/>
        <v>0</v>
      </c>
      <c r="F24" s="59">
        <v>89280</v>
      </c>
      <c r="G24" s="60">
        <v>97700</v>
      </c>
      <c r="H24" s="60">
        <v>68868</v>
      </c>
      <c r="I24" s="60">
        <v>74743</v>
      </c>
      <c r="J24" s="60">
        <v>60159</v>
      </c>
      <c r="K24" s="74">
        <v>69186</v>
      </c>
      <c r="L24" s="62">
        <f t="shared" si="2"/>
        <v>459936</v>
      </c>
      <c r="M24" s="62">
        <f t="shared" si="0"/>
        <v>459936</v>
      </c>
    </row>
    <row r="25" spans="1:13">
      <c r="A25" s="1" t="s">
        <v>1</v>
      </c>
      <c r="B25" s="45" t="s">
        <v>39</v>
      </c>
      <c r="C25" s="60">
        <v>0</v>
      </c>
      <c r="D25" s="61">
        <v>0</v>
      </c>
      <c r="E25" s="62">
        <f t="shared" si="1"/>
        <v>0</v>
      </c>
      <c r="F25" s="59">
        <v>0</v>
      </c>
      <c r="G25" s="60">
        <v>8440</v>
      </c>
      <c r="H25" s="60">
        <v>30990</v>
      </c>
      <c r="I25" s="60">
        <v>19680</v>
      </c>
      <c r="J25" s="60">
        <v>43296</v>
      </c>
      <c r="K25" s="74">
        <v>51732</v>
      </c>
      <c r="L25" s="62">
        <f t="shared" si="2"/>
        <v>154138</v>
      </c>
      <c r="M25" s="62">
        <f t="shared" si="0"/>
        <v>154138</v>
      </c>
    </row>
    <row r="26" spans="1:13">
      <c r="A26" s="1" t="s">
        <v>1</v>
      </c>
      <c r="B26" s="45" t="s">
        <v>40</v>
      </c>
      <c r="C26" s="60">
        <v>0</v>
      </c>
      <c r="D26" s="61">
        <v>0</v>
      </c>
      <c r="E26" s="62">
        <f t="shared" si="1"/>
        <v>0</v>
      </c>
      <c r="F26" s="59">
        <v>0</v>
      </c>
      <c r="G26" s="60">
        <v>0</v>
      </c>
      <c r="H26" s="60">
        <v>10330</v>
      </c>
      <c r="I26" s="60">
        <v>0</v>
      </c>
      <c r="J26" s="60">
        <v>11808</v>
      </c>
      <c r="K26" s="74">
        <v>11496</v>
      </c>
      <c r="L26" s="62">
        <f t="shared" si="2"/>
        <v>33634</v>
      </c>
      <c r="M26" s="62">
        <f t="shared" si="0"/>
        <v>33634</v>
      </c>
    </row>
    <row r="27" spans="1:13">
      <c r="A27" s="1" t="s">
        <v>1</v>
      </c>
      <c r="B27" s="7" t="s">
        <v>29</v>
      </c>
      <c r="C27" s="29">
        <v>0</v>
      </c>
      <c r="D27" s="8">
        <v>0</v>
      </c>
      <c r="E27" s="9">
        <f t="shared" si="1"/>
        <v>0</v>
      </c>
      <c r="F27" s="28">
        <v>3720</v>
      </c>
      <c r="G27" s="29">
        <v>5474</v>
      </c>
      <c r="H27" s="29">
        <v>1532</v>
      </c>
      <c r="I27" s="29">
        <v>6935</v>
      </c>
      <c r="J27" s="29">
        <v>2190</v>
      </c>
      <c r="K27" s="75">
        <v>3905</v>
      </c>
      <c r="L27" s="9">
        <f t="shared" si="2"/>
        <v>23756</v>
      </c>
      <c r="M27" s="9">
        <f t="shared" si="0"/>
        <v>23756</v>
      </c>
    </row>
    <row r="28" spans="1:13">
      <c r="A28" s="1" t="s">
        <v>1</v>
      </c>
      <c r="B28" s="17" t="s">
        <v>41</v>
      </c>
      <c r="C28" s="31">
        <v>405000</v>
      </c>
      <c r="D28" s="18">
        <v>93600</v>
      </c>
      <c r="E28" s="19">
        <f t="shared" si="1"/>
        <v>498600</v>
      </c>
      <c r="F28" s="30">
        <v>341500</v>
      </c>
      <c r="G28" s="31">
        <v>372614</v>
      </c>
      <c r="H28" s="31">
        <v>367220</v>
      </c>
      <c r="I28" s="31">
        <v>344858</v>
      </c>
      <c r="J28" s="31">
        <v>360953</v>
      </c>
      <c r="K28" s="76">
        <v>373319</v>
      </c>
      <c r="L28" s="19">
        <f t="shared" si="2"/>
        <v>2160464</v>
      </c>
      <c r="M28" s="19">
        <f t="shared" si="0"/>
        <v>2659064</v>
      </c>
    </row>
    <row r="29" spans="1:13">
      <c r="A29" s="1" t="s">
        <v>1</v>
      </c>
      <c r="B29" s="54" t="s">
        <v>42</v>
      </c>
      <c r="C29" s="56">
        <v>13221</v>
      </c>
      <c r="D29" s="57">
        <v>4320</v>
      </c>
      <c r="E29" s="58">
        <f t="shared" si="1"/>
        <v>17541</v>
      </c>
      <c r="F29" s="55">
        <v>5483</v>
      </c>
      <c r="G29" s="56">
        <v>5509</v>
      </c>
      <c r="H29" s="56">
        <v>9103</v>
      </c>
      <c r="I29" s="56">
        <v>5121</v>
      </c>
      <c r="J29" s="56">
        <v>4407</v>
      </c>
      <c r="K29" s="73">
        <v>6296</v>
      </c>
      <c r="L29" s="58">
        <f t="shared" si="2"/>
        <v>35919</v>
      </c>
      <c r="M29" s="58">
        <f t="shared" si="0"/>
        <v>53460</v>
      </c>
    </row>
    <row r="30" spans="1:13">
      <c r="A30" s="1" t="s">
        <v>1</v>
      </c>
      <c r="B30" s="7" t="s">
        <v>43</v>
      </c>
      <c r="C30" s="29">
        <v>13221</v>
      </c>
      <c r="D30" s="8">
        <v>4320</v>
      </c>
      <c r="E30" s="9">
        <f t="shared" si="1"/>
        <v>17541</v>
      </c>
      <c r="F30" s="28">
        <v>5483</v>
      </c>
      <c r="G30" s="29">
        <v>5509</v>
      </c>
      <c r="H30" s="29">
        <v>9103</v>
      </c>
      <c r="I30" s="29">
        <v>5121</v>
      </c>
      <c r="J30" s="29">
        <v>4407</v>
      </c>
      <c r="K30" s="75">
        <v>6296</v>
      </c>
      <c r="L30" s="9">
        <f t="shared" si="2"/>
        <v>35919</v>
      </c>
      <c r="M30" s="9">
        <f t="shared" si="0"/>
        <v>53460</v>
      </c>
    </row>
    <row r="31" spans="1:13">
      <c r="A31" s="1" t="s">
        <v>1</v>
      </c>
      <c r="B31" s="17" t="s">
        <v>44</v>
      </c>
      <c r="C31" s="31">
        <v>418221</v>
      </c>
      <c r="D31" s="18">
        <v>97920</v>
      </c>
      <c r="E31" s="19">
        <f t="shared" si="1"/>
        <v>516141</v>
      </c>
      <c r="F31" s="30">
        <v>346983</v>
      </c>
      <c r="G31" s="31">
        <v>378123</v>
      </c>
      <c r="H31" s="31">
        <v>376323</v>
      </c>
      <c r="I31" s="31">
        <v>349979</v>
      </c>
      <c r="J31" s="31">
        <v>365360</v>
      </c>
      <c r="K31" s="76">
        <v>379615</v>
      </c>
      <c r="L31" s="19">
        <f t="shared" si="2"/>
        <v>2196383</v>
      </c>
      <c r="M31" s="19">
        <f t="shared" si="0"/>
        <v>2712524</v>
      </c>
    </row>
    <row r="32" spans="1:13">
      <c r="A32" s="1" t="s">
        <v>1</v>
      </c>
      <c r="B32" s="54" t="s">
        <v>45</v>
      </c>
      <c r="C32" s="56">
        <v>20910</v>
      </c>
      <c r="D32" s="57">
        <v>0</v>
      </c>
      <c r="E32" s="58">
        <f t="shared" si="1"/>
        <v>20910</v>
      </c>
      <c r="F32" s="55">
        <v>19380</v>
      </c>
      <c r="G32" s="56">
        <v>19380</v>
      </c>
      <c r="H32" s="56">
        <v>18360</v>
      </c>
      <c r="I32" s="56">
        <v>15300</v>
      </c>
      <c r="J32" s="56">
        <v>19380</v>
      </c>
      <c r="K32" s="73">
        <v>17340</v>
      </c>
      <c r="L32" s="58">
        <f t="shared" si="2"/>
        <v>109140</v>
      </c>
      <c r="M32" s="58">
        <f t="shared" si="0"/>
        <v>130050</v>
      </c>
    </row>
    <row r="33" spans="1:13">
      <c r="A33" s="1" t="s">
        <v>1</v>
      </c>
      <c r="B33" s="45" t="s">
        <v>46</v>
      </c>
      <c r="C33" s="60">
        <v>3690</v>
      </c>
      <c r="D33" s="61">
        <v>0</v>
      </c>
      <c r="E33" s="62">
        <f t="shared" si="1"/>
        <v>3690</v>
      </c>
      <c r="F33" s="59">
        <v>3420</v>
      </c>
      <c r="G33" s="60">
        <v>3420</v>
      </c>
      <c r="H33" s="60">
        <v>3240</v>
      </c>
      <c r="I33" s="60">
        <v>2700</v>
      </c>
      <c r="J33" s="60">
        <v>3420</v>
      </c>
      <c r="K33" s="74">
        <v>3060</v>
      </c>
      <c r="L33" s="62">
        <f t="shared" si="2"/>
        <v>19260</v>
      </c>
      <c r="M33" s="62">
        <f t="shared" si="0"/>
        <v>22950</v>
      </c>
    </row>
    <row r="34" spans="1:13">
      <c r="A34" s="1" t="s">
        <v>1</v>
      </c>
      <c r="B34" s="45" t="s">
        <v>47</v>
      </c>
      <c r="C34" s="60">
        <v>37515</v>
      </c>
      <c r="D34" s="61">
        <v>0</v>
      </c>
      <c r="E34" s="62">
        <f t="shared" si="1"/>
        <v>37515</v>
      </c>
      <c r="F34" s="59">
        <v>34770</v>
      </c>
      <c r="G34" s="60">
        <v>34770</v>
      </c>
      <c r="H34" s="60">
        <v>32940</v>
      </c>
      <c r="I34" s="60">
        <v>27450</v>
      </c>
      <c r="J34" s="60">
        <v>34770</v>
      </c>
      <c r="K34" s="74">
        <v>31110</v>
      </c>
      <c r="L34" s="62">
        <f t="shared" si="2"/>
        <v>195810</v>
      </c>
      <c r="M34" s="62">
        <f t="shared" si="0"/>
        <v>233325</v>
      </c>
    </row>
    <row r="35" spans="1:13">
      <c r="A35" s="1" t="s">
        <v>1</v>
      </c>
      <c r="B35" s="7" t="s">
        <v>48</v>
      </c>
      <c r="C35" s="29">
        <v>2509</v>
      </c>
      <c r="D35" s="8">
        <v>588</v>
      </c>
      <c r="E35" s="9">
        <f t="shared" si="1"/>
        <v>3097</v>
      </c>
      <c r="F35" s="28">
        <v>2082</v>
      </c>
      <c r="G35" s="29">
        <v>2269</v>
      </c>
      <c r="H35" s="29">
        <v>2258</v>
      </c>
      <c r="I35" s="29">
        <v>2100</v>
      </c>
      <c r="J35" s="29">
        <v>2192</v>
      </c>
      <c r="K35" s="75">
        <v>2278</v>
      </c>
      <c r="L35" s="9">
        <f t="shared" si="2"/>
        <v>13179</v>
      </c>
      <c r="M35" s="9">
        <f t="shared" si="0"/>
        <v>16276</v>
      </c>
    </row>
    <row r="36" spans="1:13">
      <c r="A36" s="1" t="s">
        <v>1</v>
      </c>
      <c r="B36" s="17" t="s">
        <v>49</v>
      </c>
      <c r="C36" s="31">
        <v>64624</v>
      </c>
      <c r="D36" s="18">
        <v>588</v>
      </c>
      <c r="E36" s="19">
        <f t="shared" si="1"/>
        <v>65212</v>
      </c>
      <c r="F36" s="30">
        <v>59652</v>
      </c>
      <c r="G36" s="31">
        <v>59839</v>
      </c>
      <c r="H36" s="31">
        <v>56798</v>
      </c>
      <c r="I36" s="31">
        <v>47550</v>
      </c>
      <c r="J36" s="31">
        <v>59762</v>
      </c>
      <c r="K36" s="76">
        <v>53788</v>
      </c>
      <c r="L36" s="19">
        <f t="shared" si="2"/>
        <v>337389</v>
      </c>
      <c r="M36" s="19">
        <f t="shared" si="0"/>
        <v>402601</v>
      </c>
    </row>
    <row r="37" spans="1:13">
      <c r="A37" s="1" t="s">
        <v>1</v>
      </c>
      <c r="B37" s="54" t="s">
        <v>50</v>
      </c>
      <c r="C37" s="56">
        <v>6750</v>
      </c>
      <c r="D37" s="57">
        <v>370</v>
      </c>
      <c r="E37" s="58">
        <f t="shared" si="1"/>
        <v>7120</v>
      </c>
      <c r="F37" s="55">
        <v>6070</v>
      </c>
      <c r="G37" s="56">
        <v>9420</v>
      </c>
      <c r="H37" s="56">
        <v>7150</v>
      </c>
      <c r="I37" s="56">
        <v>5010</v>
      </c>
      <c r="J37" s="56">
        <v>8480</v>
      </c>
      <c r="K37" s="73">
        <v>5900</v>
      </c>
      <c r="L37" s="58">
        <f t="shared" si="2"/>
        <v>42030</v>
      </c>
      <c r="M37" s="58">
        <f t="shared" si="0"/>
        <v>49150</v>
      </c>
    </row>
    <row r="38" spans="1:13">
      <c r="A38" s="1" t="s">
        <v>1</v>
      </c>
      <c r="B38" s="7" t="s">
        <v>51</v>
      </c>
      <c r="C38" s="29">
        <v>23700</v>
      </c>
      <c r="D38" s="8">
        <v>700</v>
      </c>
      <c r="E38" s="9">
        <f t="shared" si="1"/>
        <v>24400</v>
      </c>
      <c r="F38" s="28">
        <v>14200</v>
      </c>
      <c r="G38" s="29">
        <v>16800</v>
      </c>
      <c r="H38" s="29">
        <v>12300</v>
      </c>
      <c r="I38" s="29">
        <v>11300</v>
      </c>
      <c r="J38" s="29">
        <v>15200</v>
      </c>
      <c r="K38" s="75">
        <v>5500</v>
      </c>
      <c r="L38" s="9">
        <f t="shared" si="2"/>
        <v>75300</v>
      </c>
      <c r="M38" s="9">
        <f t="shared" si="0"/>
        <v>99700</v>
      </c>
    </row>
    <row r="39" spans="1:13">
      <c r="A39" s="1" t="s">
        <v>1</v>
      </c>
      <c r="B39" s="17" t="s">
        <v>52</v>
      </c>
      <c r="C39" s="31">
        <v>95074</v>
      </c>
      <c r="D39" s="18">
        <v>1658</v>
      </c>
      <c r="E39" s="19">
        <f t="shared" si="1"/>
        <v>96732</v>
      </c>
      <c r="F39" s="30">
        <v>79922</v>
      </c>
      <c r="G39" s="31">
        <v>86059</v>
      </c>
      <c r="H39" s="31">
        <v>76248</v>
      </c>
      <c r="I39" s="31">
        <v>63860</v>
      </c>
      <c r="J39" s="31">
        <v>83442</v>
      </c>
      <c r="K39" s="76">
        <v>65188</v>
      </c>
      <c r="L39" s="19">
        <f t="shared" si="2"/>
        <v>454719</v>
      </c>
      <c r="M39" s="19">
        <f t="shared" si="0"/>
        <v>551451</v>
      </c>
    </row>
    <row r="40" spans="1:13">
      <c r="A40" s="1" t="s">
        <v>1</v>
      </c>
      <c r="B40" s="17" t="s">
        <v>53</v>
      </c>
      <c r="C40" s="31">
        <v>340376</v>
      </c>
      <c r="D40" s="18">
        <v>93012</v>
      </c>
      <c r="E40" s="19">
        <f t="shared" si="1"/>
        <v>433388</v>
      </c>
      <c r="F40" s="30">
        <v>281848</v>
      </c>
      <c r="G40" s="31">
        <v>312775</v>
      </c>
      <c r="H40" s="31">
        <v>310422</v>
      </c>
      <c r="I40" s="31">
        <v>297308</v>
      </c>
      <c r="J40" s="31">
        <v>301191</v>
      </c>
      <c r="K40" s="76">
        <v>319531</v>
      </c>
      <c r="L40" s="19">
        <f t="shared" si="2"/>
        <v>1823075</v>
      </c>
      <c r="M40" s="19">
        <f t="shared" si="0"/>
        <v>2256463</v>
      </c>
    </row>
    <row r="41" spans="1:13">
      <c r="A41" s="1" t="s">
        <v>1</v>
      </c>
      <c r="B41" s="14" t="s">
        <v>54</v>
      </c>
      <c r="C41" s="33">
        <v>323147</v>
      </c>
      <c r="D41" s="20">
        <v>96262</v>
      </c>
      <c r="E41" s="21">
        <f t="shared" si="1"/>
        <v>419409</v>
      </c>
      <c r="F41" s="32">
        <v>267061</v>
      </c>
      <c r="G41" s="33">
        <v>292064</v>
      </c>
      <c r="H41" s="33">
        <v>300075</v>
      </c>
      <c r="I41" s="33">
        <v>286119</v>
      </c>
      <c r="J41" s="33">
        <v>281918</v>
      </c>
      <c r="K41" s="77">
        <v>314427</v>
      </c>
      <c r="L41" s="21">
        <f t="shared" si="2"/>
        <v>1741664</v>
      </c>
      <c r="M41" s="21">
        <f t="shared" si="0"/>
        <v>2161073</v>
      </c>
    </row>
    <row r="42" spans="1:13">
      <c r="A42" s="1" t="s">
        <v>1</v>
      </c>
      <c r="B42" s="17" t="s">
        <v>55</v>
      </c>
      <c r="C42" s="31">
        <v>323147</v>
      </c>
      <c r="D42" s="18">
        <v>96262</v>
      </c>
      <c r="E42" s="19">
        <f t="shared" si="1"/>
        <v>419409</v>
      </c>
      <c r="F42" s="30">
        <v>267061</v>
      </c>
      <c r="G42" s="31">
        <v>292064</v>
      </c>
      <c r="H42" s="31">
        <v>300075</v>
      </c>
      <c r="I42" s="31">
        <v>286119</v>
      </c>
      <c r="J42" s="31">
        <v>281918</v>
      </c>
      <c r="K42" s="76">
        <v>314427</v>
      </c>
      <c r="L42" s="19">
        <f t="shared" si="2"/>
        <v>1741664</v>
      </c>
      <c r="M42" s="19">
        <f t="shared" si="0"/>
        <v>2161073</v>
      </c>
    </row>
    <row r="43" spans="1:13">
      <c r="A43" s="1" t="s">
        <v>1</v>
      </c>
      <c r="B43" s="17" t="s">
        <v>56</v>
      </c>
      <c r="C43" s="31">
        <v>2</v>
      </c>
      <c r="D43" s="18">
        <v>0</v>
      </c>
      <c r="E43" s="19"/>
      <c r="F43" s="30">
        <v>1</v>
      </c>
      <c r="G43" s="31">
        <v>0</v>
      </c>
      <c r="H43" s="31">
        <v>1</v>
      </c>
      <c r="I43" s="31">
        <v>2</v>
      </c>
      <c r="J43" s="31">
        <v>0</v>
      </c>
      <c r="K43" s="76">
        <v>2</v>
      </c>
      <c r="L43" s="19"/>
      <c r="M43" s="19"/>
    </row>
    <row r="44" spans="1:13" ht="19.5" thickBot="1">
      <c r="A44" s="1" t="s">
        <v>1</v>
      </c>
      <c r="B44" s="10" t="s">
        <v>57</v>
      </c>
      <c r="C44" s="35" t="s">
        <v>58</v>
      </c>
      <c r="D44" s="11" t="s">
        <v>58</v>
      </c>
      <c r="E44" s="12"/>
      <c r="F44" s="34" t="s">
        <v>58</v>
      </c>
      <c r="G44" s="35" t="s">
        <v>58</v>
      </c>
      <c r="H44" s="35" t="s">
        <v>58</v>
      </c>
      <c r="I44" s="35" t="s">
        <v>58</v>
      </c>
      <c r="J44" s="35" t="s">
        <v>58</v>
      </c>
      <c r="K44" s="78" t="s">
        <v>58</v>
      </c>
      <c r="L44" s="12"/>
      <c r="M44" s="12"/>
    </row>
  </sheetData>
  <phoneticPr fontId="4"/>
  <pageMargins left="0.31496062992125984" right="0.31496062992125984" top="0.15748031496062992" bottom="0.35433070866141736" header="0.31496062992125984" footer="0.31496062992125984"/>
  <pageSetup paperSize="12" scale="8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2023年11月度給与 (2)</vt:lpstr>
      <vt:lpstr>'2023年11月度給与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2023-12-08T01:03:44Z</cp:lastPrinted>
  <dcterms:created xsi:type="dcterms:W3CDTF">2023-12-05T07:16:27Z</dcterms:created>
  <dcterms:modified xsi:type="dcterms:W3CDTF">2024-01-05T03:22:03Z</dcterms:modified>
</cp:coreProperties>
</file>