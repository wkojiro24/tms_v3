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1\"/>
    </mc:Choice>
  </mc:AlternateContent>
  <xr:revisionPtr revIDLastSave="0" documentId="13_ncr:1_{D5CCC8B3-DEC5-45C8-829D-C906D7D0011E}" xr6:coauthVersionLast="47" xr6:coauthVersionMax="47" xr10:uidLastSave="{00000000-0000-0000-0000-000000000000}"/>
  <bookViews>
    <workbookView xWindow="-120" yWindow="-120" windowWidth="20730" windowHeight="11160" xr2:uid="{60FBC0BA-4FD2-4EA3-8B66-9C58D7EE456D}"/>
  </bookViews>
  <sheets>
    <sheet name="2023年11月度給与 (2)" sheetId="3" r:id="rId1"/>
  </sheets>
  <definedNames>
    <definedName name="_xlnm.Print_Area" localSheetId="0">'2023年11月度給与 (2)'!$A$1:$N$49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9" i="3" l="1"/>
  <c r="N13" i="3"/>
  <c r="N17" i="3"/>
  <c r="N21" i="3"/>
  <c r="N25" i="3"/>
  <c r="N29" i="3"/>
  <c r="N33" i="3"/>
  <c r="N37" i="3"/>
  <c r="N41" i="3"/>
  <c r="N45" i="3"/>
  <c r="M7" i="3"/>
  <c r="N7" i="3" s="1"/>
  <c r="M8" i="3"/>
  <c r="N8" i="3" s="1"/>
  <c r="M9" i="3"/>
  <c r="M10" i="3"/>
  <c r="N10" i="3" s="1"/>
  <c r="M11" i="3"/>
  <c r="N11" i="3" s="1"/>
  <c r="M12" i="3"/>
  <c r="N12" i="3" s="1"/>
  <c r="M13" i="3"/>
  <c r="M14" i="3"/>
  <c r="N14" i="3" s="1"/>
  <c r="M15" i="3"/>
  <c r="N15" i="3" s="1"/>
  <c r="M16" i="3"/>
  <c r="N16" i="3" s="1"/>
  <c r="M17" i="3"/>
  <c r="M18" i="3"/>
  <c r="N18" i="3" s="1"/>
  <c r="M19" i="3"/>
  <c r="N19" i="3" s="1"/>
  <c r="M20" i="3"/>
  <c r="N20" i="3" s="1"/>
  <c r="M21" i="3"/>
  <c r="M22" i="3"/>
  <c r="N22" i="3" s="1"/>
  <c r="M23" i="3"/>
  <c r="N23" i="3" s="1"/>
  <c r="M24" i="3"/>
  <c r="N24" i="3" s="1"/>
  <c r="M25" i="3"/>
  <c r="M26" i="3"/>
  <c r="N26" i="3" s="1"/>
  <c r="M27" i="3"/>
  <c r="N27" i="3" s="1"/>
  <c r="M28" i="3"/>
  <c r="N28" i="3" s="1"/>
  <c r="M29" i="3"/>
  <c r="M30" i="3"/>
  <c r="N30" i="3" s="1"/>
  <c r="M31" i="3"/>
  <c r="N31" i="3" s="1"/>
  <c r="M32" i="3"/>
  <c r="N32" i="3" s="1"/>
  <c r="M33" i="3"/>
  <c r="M34" i="3"/>
  <c r="N34" i="3" s="1"/>
  <c r="M35" i="3"/>
  <c r="N35" i="3" s="1"/>
  <c r="M36" i="3"/>
  <c r="N36" i="3" s="1"/>
  <c r="M37" i="3"/>
  <c r="M38" i="3"/>
  <c r="N38" i="3" s="1"/>
  <c r="M39" i="3"/>
  <c r="N39" i="3" s="1"/>
  <c r="M40" i="3"/>
  <c r="N40" i="3" s="1"/>
  <c r="M41" i="3"/>
  <c r="M42" i="3"/>
  <c r="N42" i="3" s="1"/>
  <c r="M43" i="3"/>
  <c r="N43" i="3" s="1"/>
  <c r="M44" i="3"/>
  <c r="N44" i="3" s="1"/>
  <c r="M45" i="3"/>
  <c r="M46" i="3"/>
  <c r="N46" i="3" s="1"/>
  <c r="M47" i="3"/>
  <c r="N47" i="3" s="1"/>
  <c r="M6" i="3"/>
  <c r="N6" i="3" s="1"/>
  <c r="M5" i="3"/>
  <c r="N5" i="3" s="1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6" i="3"/>
  <c r="F5" i="3"/>
</calcChain>
</file>

<file path=xl/sharedStrings.xml><?xml version="1.0" encoding="utf-8"?>
<sst xmlns="http://schemas.openxmlformats.org/spreadsheetml/2006/main" count="126" uniqueCount="69">
  <si>
    <t>支給控除一覧表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</si>
  <si>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</si>
  <si>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</si>
  <si>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</si>
  <si>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</si>
  <si>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</si>
  <si>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1046</t>
    <phoneticPr fontId="4"/>
  </si>
  <si>
    <t>1072</t>
    <phoneticPr fontId="4"/>
  </si>
  <si>
    <t>1093</t>
    <phoneticPr fontId="4"/>
  </si>
  <si>
    <t>1099</t>
    <phoneticPr fontId="4"/>
  </si>
  <si>
    <t>1102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</si>
  <si>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</si>
  <si>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</si>
  <si>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</si>
  <si>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</si>
  <si>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</si>
  <si>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井上　隆良</t>
    <phoneticPr fontId="4"/>
  </si>
  <si>
    <t>佐藤　禎尚</t>
    <phoneticPr fontId="4"/>
  </si>
  <si>
    <t>土谷　栄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</si>
  <si>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</si>
  <si>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</si>
  <si>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</si>
  <si>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</si>
  <si>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</si>
  <si>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</si>
  <si>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</si>
  <si>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</si>
  <si>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</si>
  <si>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</si>
  <si>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</si>
  <si>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割増残業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</si>
  <si>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</si>
  <si>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</si>
  <si>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</si>
  <si>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</si>
  <si>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</si>
  <si>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</si>
  <si>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調整給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</si>
  <si>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</si>
  <si>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</si>
  <si>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</si>
  <si>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</si>
  <si>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</si>
  <si>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</si>
  <si>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</si>
  <si>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</si>
  <si>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</si>
  <si>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</si>
  <si>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</si>
  <si>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</si>
  <si>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</si>
  <si>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</si>
  <si>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</si>
  <si>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</si>
  <si>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</si>
  <si>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</si>
  <si>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</si>
  <si>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</si>
  <si>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</si>
  <si>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</si>
  <si>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</si>
  <si>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</si>
  <si>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2023年11月度給与</t>
    <phoneticPr fontId="4"/>
  </si>
  <si>
    <t>小田島健司</t>
    <phoneticPr fontId="4"/>
  </si>
  <si>
    <t>佐藤ゆうこ</t>
    <phoneticPr fontId="4"/>
  </si>
  <si>
    <t>小計</t>
    <rPh sb="0" eb="2">
      <t>ショウケイ</t>
    </rPh>
    <phoneticPr fontId="3"/>
  </si>
  <si>
    <t>3名</t>
    <rPh sb="1" eb="2">
      <t>メイ</t>
    </rPh>
    <phoneticPr fontId="3"/>
  </si>
  <si>
    <t>6名</t>
    <rPh sb="1" eb="2">
      <t>メイ</t>
    </rPh>
    <phoneticPr fontId="3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</si>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</sst>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49" fontId="2" fillId="0" borderId="17" xfId="1" applyNumberFormat="1" applyFont="1" applyBorder="1" applyAlignment="1">
      <alignment horizontal="center"/>
    </xf>
    <xf numFmtId="176" fontId="2" fillId="0" borderId="18" xfId="1" applyNumberFormat="1" applyFont="1" applyBorder="1"/>
    <xf numFmtId="176" fontId="2" fillId="0" borderId="19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24" xfId="1" applyNumberFormat="1" applyFont="1" applyBorder="1" applyAlignment="1">
      <alignment horizontal="left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25" xfId="1" applyNumberFormat="1" applyFont="1" applyBorder="1"/>
    <xf numFmtId="2" fontId="2" fillId="0" borderId="24" xfId="1" applyNumberFormat="1" applyFont="1" applyBorder="1"/>
    <xf numFmtId="49" fontId="2" fillId="0" borderId="26" xfId="1" applyNumberFormat="1" applyFont="1" applyBorder="1" applyAlignment="1">
      <alignment horizontal="left"/>
    </xf>
    <xf numFmtId="2" fontId="2" fillId="0" borderId="27" xfId="1" applyNumberFormat="1" applyFont="1" applyBorder="1"/>
    <xf numFmtId="2" fontId="2" fillId="0" borderId="26" xfId="1" applyNumberFormat="1" applyFont="1" applyBorder="1"/>
    <xf numFmtId="176" fontId="2" fillId="0" borderId="27" xfId="1" applyNumberFormat="1" applyFont="1" applyBorder="1"/>
    <xf numFmtId="176" fontId="2" fillId="0" borderId="26" xfId="1" applyNumberFormat="1" applyFont="1" applyBorder="1"/>
    <xf numFmtId="3" fontId="2" fillId="0" borderId="27" xfId="1" applyNumberFormat="1" applyFont="1" applyBorder="1"/>
    <xf numFmtId="3" fontId="2" fillId="0" borderId="26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left"/>
    </xf>
    <xf numFmtId="0" fontId="2" fillId="0" borderId="5" xfId="1" applyFont="1" applyBorder="1"/>
    <xf numFmtId="49" fontId="2" fillId="0" borderId="3" xfId="1" applyNumberFormat="1" applyFont="1" applyBorder="1" applyAlignment="1">
      <alignment horizontal="right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29" xfId="1" applyNumberFormat="1" applyFont="1" applyBorder="1"/>
  </cellXfs>
  <cellStyles count="2">
    <cellStyle name="標準" xfId="0" builtinId="0"/>
    <cellStyle name="標準 2" xfId="1" xr:uid="{6298B647-A557-400F-979A-98CFF22B5A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1D82E-5899-43FA-BD8A-9FBA2CE5F53C}">
  <sheetPr>
    <pageSetUpPr fitToPage="1"/>
  </sheetPr>
  <dimension ref="A1:N4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G39" sqref="G39"/>
    </sheetView>
  </sheetViews>
  <sheetFormatPr defaultRowHeight="18.75"/>
  <cols>
    <col min="1" max="1" width="2.375" style="2" customWidth="1"/>
    <col min="2" max="2" width="13.25" style="2" bestFit="1" customWidth="1"/>
    <col min="3" max="14" width="11" style="2" customWidth="1"/>
    <col min="15" max="257" width="9" style="2"/>
    <col min="258" max="258" width="2.375" style="2" customWidth="1"/>
    <col min="259" max="259" width="13.25" style="2" bestFit="1" customWidth="1"/>
    <col min="260" max="261" width="9" style="2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" style="2"/>
    <col min="268" max="268" width="13.25" style="2" bestFit="1" customWidth="1"/>
    <col min="269" max="269" width="9.625" style="2" bestFit="1" customWidth="1"/>
    <col min="270" max="513" width="9" style="2"/>
    <col min="514" max="514" width="2.375" style="2" customWidth="1"/>
    <col min="515" max="515" width="13.25" style="2" bestFit="1" customWidth="1"/>
    <col min="516" max="517" width="9" style="2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" style="2"/>
    <col min="524" max="524" width="13.25" style="2" bestFit="1" customWidth="1"/>
    <col min="525" max="525" width="9.625" style="2" bestFit="1" customWidth="1"/>
    <col min="526" max="769" width="9" style="2"/>
    <col min="770" max="770" width="2.375" style="2" customWidth="1"/>
    <col min="771" max="771" width="13.25" style="2" bestFit="1" customWidth="1"/>
    <col min="772" max="773" width="9" style="2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" style="2"/>
    <col min="780" max="780" width="13.25" style="2" bestFit="1" customWidth="1"/>
    <col min="781" max="781" width="9.625" style="2" bestFit="1" customWidth="1"/>
    <col min="782" max="1025" width="9" style="2"/>
    <col min="1026" max="1026" width="2.375" style="2" customWidth="1"/>
    <col min="1027" max="1027" width="13.25" style="2" bestFit="1" customWidth="1"/>
    <col min="1028" max="1029" width="9" style="2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" style="2"/>
    <col min="1036" max="1036" width="13.25" style="2" bestFit="1" customWidth="1"/>
    <col min="1037" max="1037" width="9.625" style="2" bestFit="1" customWidth="1"/>
    <col min="1038" max="1281" width="9" style="2"/>
    <col min="1282" max="1282" width="2.375" style="2" customWidth="1"/>
    <col min="1283" max="1283" width="13.25" style="2" bestFit="1" customWidth="1"/>
    <col min="1284" max="1285" width="9" style="2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" style="2"/>
    <col min="1292" max="1292" width="13.25" style="2" bestFit="1" customWidth="1"/>
    <col min="1293" max="1293" width="9.625" style="2" bestFit="1" customWidth="1"/>
    <col min="1294" max="1537" width="9" style="2"/>
    <col min="1538" max="1538" width="2.375" style="2" customWidth="1"/>
    <col min="1539" max="1539" width="13.25" style="2" bestFit="1" customWidth="1"/>
    <col min="1540" max="1541" width="9" style="2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" style="2"/>
    <col min="1548" max="1548" width="13.25" style="2" bestFit="1" customWidth="1"/>
    <col min="1549" max="1549" width="9.625" style="2" bestFit="1" customWidth="1"/>
    <col min="1550" max="1793" width="9" style="2"/>
    <col min="1794" max="1794" width="2.375" style="2" customWidth="1"/>
    <col min="1795" max="1795" width="13.25" style="2" bestFit="1" customWidth="1"/>
    <col min="1796" max="1797" width="9" style="2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" style="2"/>
    <col min="1804" max="1804" width="13.25" style="2" bestFit="1" customWidth="1"/>
    <col min="1805" max="1805" width="9.625" style="2" bestFit="1" customWidth="1"/>
    <col min="1806" max="2049" width="9" style="2"/>
    <col min="2050" max="2050" width="2.375" style="2" customWidth="1"/>
    <col min="2051" max="2051" width="13.25" style="2" bestFit="1" customWidth="1"/>
    <col min="2052" max="2053" width="9" style="2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" style="2"/>
    <col min="2060" max="2060" width="13.25" style="2" bestFit="1" customWidth="1"/>
    <col min="2061" max="2061" width="9.625" style="2" bestFit="1" customWidth="1"/>
    <col min="2062" max="2305" width="9" style="2"/>
    <col min="2306" max="2306" width="2.375" style="2" customWidth="1"/>
    <col min="2307" max="2307" width="13.25" style="2" bestFit="1" customWidth="1"/>
    <col min="2308" max="2309" width="9" style="2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" style="2"/>
    <col min="2316" max="2316" width="13.25" style="2" bestFit="1" customWidth="1"/>
    <col min="2317" max="2317" width="9.625" style="2" bestFit="1" customWidth="1"/>
    <col min="2318" max="2561" width="9" style="2"/>
    <col min="2562" max="2562" width="2.375" style="2" customWidth="1"/>
    <col min="2563" max="2563" width="13.25" style="2" bestFit="1" customWidth="1"/>
    <col min="2564" max="2565" width="9" style="2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" style="2"/>
    <col min="2572" max="2572" width="13.25" style="2" bestFit="1" customWidth="1"/>
    <col min="2573" max="2573" width="9.625" style="2" bestFit="1" customWidth="1"/>
    <col min="2574" max="2817" width="9" style="2"/>
    <col min="2818" max="2818" width="2.375" style="2" customWidth="1"/>
    <col min="2819" max="2819" width="13.25" style="2" bestFit="1" customWidth="1"/>
    <col min="2820" max="2821" width="9" style="2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" style="2"/>
    <col min="2828" max="2828" width="13.25" style="2" bestFit="1" customWidth="1"/>
    <col min="2829" max="2829" width="9.625" style="2" bestFit="1" customWidth="1"/>
    <col min="2830" max="3073" width="9" style="2"/>
    <col min="3074" max="3074" width="2.375" style="2" customWidth="1"/>
    <col min="3075" max="3075" width="13.25" style="2" bestFit="1" customWidth="1"/>
    <col min="3076" max="3077" width="9" style="2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" style="2"/>
    <col min="3084" max="3084" width="13.25" style="2" bestFit="1" customWidth="1"/>
    <col min="3085" max="3085" width="9.625" style="2" bestFit="1" customWidth="1"/>
    <col min="3086" max="3329" width="9" style="2"/>
    <col min="3330" max="3330" width="2.375" style="2" customWidth="1"/>
    <col min="3331" max="3331" width="13.25" style="2" bestFit="1" customWidth="1"/>
    <col min="3332" max="3333" width="9" style="2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" style="2"/>
    <col min="3340" max="3340" width="13.25" style="2" bestFit="1" customWidth="1"/>
    <col min="3341" max="3341" width="9.625" style="2" bestFit="1" customWidth="1"/>
    <col min="3342" max="3585" width="9" style="2"/>
    <col min="3586" max="3586" width="2.375" style="2" customWidth="1"/>
    <col min="3587" max="3587" width="13.25" style="2" bestFit="1" customWidth="1"/>
    <col min="3588" max="3589" width="9" style="2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" style="2"/>
    <col min="3596" max="3596" width="13.25" style="2" bestFit="1" customWidth="1"/>
    <col min="3597" max="3597" width="9.625" style="2" bestFit="1" customWidth="1"/>
    <col min="3598" max="3841" width="9" style="2"/>
    <col min="3842" max="3842" width="2.375" style="2" customWidth="1"/>
    <col min="3843" max="3843" width="13.25" style="2" bestFit="1" customWidth="1"/>
    <col min="3844" max="3845" width="9" style="2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" style="2"/>
    <col min="3852" max="3852" width="13.25" style="2" bestFit="1" customWidth="1"/>
    <col min="3853" max="3853" width="9.625" style="2" bestFit="1" customWidth="1"/>
    <col min="3854" max="4097" width="9" style="2"/>
    <col min="4098" max="4098" width="2.375" style="2" customWidth="1"/>
    <col min="4099" max="4099" width="13.25" style="2" bestFit="1" customWidth="1"/>
    <col min="4100" max="4101" width="9" style="2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" style="2"/>
    <col min="4108" max="4108" width="13.25" style="2" bestFit="1" customWidth="1"/>
    <col min="4109" max="4109" width="9.625" style="2" bestFit="1" customWidth="1"/>
    <col min="4110" max="4353" width="9" style="2"/>
    <col min="4354" max="4354" width="2.375" style="2" customWidth="1"/>
    <col min="4355" max="4355" width="13.25" style="2" bestFit="1" customWidth="1"/>
    <col min="4356" max="4357" width="9" style="2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" style="2"/>
    <col min="4364" max="4364" width="13.25" style="2" bestFit="1" customWidth="1"/>
    <col min="4365" max="4365" width="9.625" style="2" bestFit="1" customWidth="1"/>
    <col min="4366" max="4609" width="9" style="2"/>
    <col min="4610" max="4610" width="2.375" style="2" customWidth="1"/>
    <col min="4611" max="4611" width="13.25" style="2" bestFit="1" customWidth="1"/>
    <col min="4612" max="4613" width="9" style="2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" style="2"/>
    <col min="4620" max="4620" width="13.25" style="2" bestFit="1" customWidth="1"/>
    <col min="4621" max="4621" width="9.625" style="2" bestFit="1" customWidth="1"/>
    <col min="4622" max="4865" width="9" style="2"/>
    <col min="4866" max="4866" width="2.375" style="2" customWidth="1"/>
    <col min="4867" max="4867" width="13.25" style="2" bestFit="1" customWidth="1"/>
    <col min="4868" max="4869" width="9" style="2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" style="2"/>
    <col min="4876" max="4876" width="13.25" style="2" bestFit="1" customWidth="1"/>
    <col min="4877" max="4877" width="9.625" style="2" bestFit="1" customWidth="1"/>
    <col min="4878" max="5121" width="9" style="2"/>
    <col min="5122" max="5122" width="2.375" style="2" customWidth="1"/>
    <col min="5123" max="5123" width="13.25" style="2" bestFit="1" customWidth="1"/>
    <col min="5124" max="5125" width="9" style="2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" style="2"/>
    <col min="5132" max="5132" width="13.25" style="2" bestFit="1" customWidth="1"/>
    <col min="5133" max="5133" width="9.625" style="2" bestFit="1" customWidth="1"/>
    <col min="5134" max="5377" width="9" style="2"/>
    <col min="5378" max="5378" width="2.375" style="2" customWidth="1"/>
    <col min="5379" max="5379" width="13.25" style="2" bestFit="1" customWidth="1"/>
    <col min="5380" max="5381" width="9" style="2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" style="2"/>
    <col min="5388" max="5388" width="13.25" style="2" bestFit="1" customWidth="1"/>
    <col min="5389" max="5389" width="9.625" style="2" bestFit="1" customWidth="1"/>
    <col min="5390" max="5633" width="9" style="2"/>
    <col min="5634" max="5634" width="2.375" style="2" customWidth="1"/>
    <col min="5635" max="5635" width="13.25" style="2" bestFit="1" customWidth="1"/>
    <col min="5636" max="5637" width="9" style="2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" style="2"/>
    <col min="5644" max="5644" width="13.25" style="2" bestFit="1" customWidth="1"/>
    <col min="5645" max="5645" width="9.625" style="2" bestFit="1" customWidth="1"/>
    <col min="5646" max="5889" width="9" style="2"/>
    <col min="5890" max="5890" width="2.375" style="2" customWidth="1"/>
    <col min="5891" max="5891" width="13.25" style="2" bestFit="1" customWidth="1"/>
    <col min="5892" max="5893" width="9" style="2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" style="2"/>
    <col min="5900" max="5900" width="13.25" style="2" bestFit="1" customWidth="1"/>
    <col min="5901" max="5901" width="9.625" style="2" bestFit="1" customWidth="1"/>
    <col min="5902" max="6145" width="9" style="2"/>
    <col min="6146" max="6146" width="2.375" style="2" customWidth="1"/>
    <col min="6147" max="6147" width="13.25" style="2" bestFit="1" customWidth="1"/>
    <col min="6148" max="6149" width="9" style="2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" style="2"/>
    <col min="6156" max="6156" width="13.25" style="2" bestFit="1" customWidth="1"/>
    <col min="6157" max="6157" width="9.625" style="2" bestFit="1" customWidth="1"/>
    <col min="6158" max="6401" width="9" style="2"/>
    <col min="6402" max="6402" width="2.375" style="2" customWidth="1"/>
    <col min="6403" max="6403" width="13.25" style="2" bestFit="1" customWidth="1"/>
    <col min="6404" max="6405" width="9" style="2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" style="2"/>
    <col min="6412" max="6412" width="13.25" style="2" bestFit="1" customWidth="1"/>
    <col min="6413" max="6413" width="9.625" style="2" bestFit="1" customWidth="1"/>
    <col min="6414" max="6657" width="9" style="2"/>
    <col min="6658" max="6658" width="2.375" style="2" customWidth="1"/>
    <col min="6659" max="6659" width="13.25" style="2" bestFit="1" customWidth="1"/>
    <col min="6660" max="6661" width="9" style="2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" style="2"/>
    <col min="6668" max="6668" width="13.25" style="2" bestFit="1" customWidth="1"/>
    <col min="6669" max="6669" width="9.625" style="2" bestFit="1" customWidth="1"/>
    <col min="6670" max="6913" width="9" style="2"/>
    <col min="6914" max="6914" width="2.375" style="2" customWidth="1"/>
    <col min="6915" max="6915" width="13.25" style="2" bestFit="1" customWidth="1"/>
    <col min="6916" max="6917" width="9" style="2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" style="2"/>
    <col min="6924" max="6924" width="13.25" style="2" bestFit="1" customWidth="1"/>
    <col min="6925" max="6925" width="9.625" style="2" bestFit="1" customWidth="1"/>
    <col min="6926" max="7169" width="9" style="2"/>
    <col min="7170" max="7170" width="2.375" style="2" customWidth="1"/>
    <col min="7171" max="7171" width="13.25" style="2" bestFit="1" customWidth="1"/>
    <col min="7172" max="7173" width="9" style="2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" style="2"/>
    <col min="7180" max="7180" width="13.25" style="2" bestFit="1" customWidth="1"/>
    <col min="7181" max="7181" width="9.625" style="2" bestFit="1" customWidth="1"/>
    <col min="7182" max="7425" width="9" style="2"/>
    <col min="7426" max="7426" width="2.375" style="2" customWidth="1"/>
    <col min="7427" max="7427" width="13.25" style="2" bestFit="1" customWidth="1"/>
    <col min="7428" max="7429" width="9" style="2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" style="2"/>
    <col min="7436" max="7436" width="13.25" style="2" bestFit="1" customWidth="1"/>
    <col min="7437" max="7437" width="9.625" style="2" bestFit="1" customWidth="1"/>
    <col min="7438" max="7681" width="9" style="2"/>
    <col min="7682" max="7682" width="2.375" style="2" customWidth="1"/>
    <col min="7683" max="7683" width="13.25" style="2" bestFit="1" customWidth="1"/>
    <col min="7684" max="7685" width="9" style="2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" style="2"/>
    <col min="7692" max="7692" width="13.25" style="2" bestFit="1" customWidth="1"/>
    <col min="7693" max="7693" width="9.625" style="2" bestFit="1" customWidth="1"/>
    <col min="7694" max="7937" width="9" style="2"/>
    <col min="7938" max="7938" width="2.375" style="2" customWidth="1"/>
    <col min="7939" max="7939" width="13.25" style="2" bestFit="1" customWidth="1"/>
    <col min="7940" max="7941" width="9" style="2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" style="2"/>
    <col min="7948" max="7948" width="13.25" style="2" bestFit="1" customWidth="1"/>
    <col min="7949" max="7949" width="9.625" style="2" bestFit="1" customWidth="1"/>
    <col min="7950" max="8193" width="9" style="2"/>
    <col min="8194" max="8194" width="2.375" style="2" customWidth="1"/>
    <col min="8195" max="8195" width="13.25" style="2" bestFit="1" customWidth="1"/>
    <col min="8196" max="8197" width="9" style="2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" style="2"/>
    <col min="8204" max="8204" width="13.25" style="2" bestFit="1" customWidth="1"/>
    <col min="8205" max="8205" width="9.625" style="2" bestFit="1" customWidth="1"/>
    <col min="8206" max="8449" width="9" style="2"/>
    <col min="8450" max="8450" width="2.375" style="2" customWidth="1"/>
    <col min="8451" max="8451" width="13.25" style="2" bestFit="1" customWidth="1"/>
    <col min="8452" max="8453" width="9" style="2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" style="2"/>
    <col min="8460" max="8460" width="13.25" style="2" bestFit="1" customWidth="1"/>
    <col min="8461" max="8461" width="9.625" style="2" bestFit="1" customWidth="1"/>
    <col min="8462" max="8705" width="9" style="2"/>
    <col min="8706" max="8706" width="2.375" style="2" customWidth="1"/>
    <col min="8707" max="8707" width="13.25" style="2" bestFit="1" customWidth="1"/>
    <col min="8708" max="8709" width="9" style="2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" style="2"/>
    <col min="8716" max="8716" width="13.25" style="2" bestFit="1" customWidth="1"/>
    <col min="8717" max="8717" width="9.625" style="2" bestFit="1" customWidth="1"/>
    <col min="8718" max="8961" width="9" style="2"/>
    <col min="8962" max="8962" width="2.375" style="2" customWidth="1"/>
    <col min="8963" max="8963" width="13.25" style="2" bestFit="1" customWidth="1"/>
    <col min="8964" max="8965" width="9" style="2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" style="2"/>
    <col min="8972" max="8972" width="13.25" style="2" bestFit="1" customWidth="1"/>
    <col min="8973" max="8973" width="9.625" style="2" bestFit="1" customWidth="1"/>
    <col min="8974" max="9217" width="9" style="2"/>
    <col min="9218" max="9218" width="2.375" style="2" customWidth="1"/>
    <col min="9219" max="9219" width="13.25" style="2" bestFit="1" customWidth="1"/>
    <col min="9220" max="9221" width="9" style="2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" style="2"/>
    <col min="9228" max="9228" width="13.25" style="2" bestFit="1" customWidth="1"/>
    <col min="9229" max="9229" width="9.625" style="2" bestFit="1" customWidth="1"/>
    <col min="9230" max="9473" width="9" style="2"/>
    <col min="9474" max="9474" width="2.375" style="2" customWidth="1"/>
    <col min="9475" max="9475" width="13.25" style="2" bestFit="1" customWidth="1"/>
    <col min="9476" max="9477" width="9" style="2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" style="2"/>
    <col min="9484" max="9484" width="13.25" style="2" bestFit="1" customWidth="1"/>
    <col min="9485" max="9485" width="9.625" style="2" bestFit="1" customWidth="1"/>
    <col min="9486" max="9729" width="9" style="2"/>
    <col min="9730" max="9730" width="2.375" style="2" customWidth="1"/>
    <col min="9731" max="9731" width="13.25" style="2" bestFit="1" customWidth="1"/>
    <col min="9732" max="9733" width="9" style="2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" style="2"/>
    <col min="9740" max="9740" width="13.25" style="2" bestFit="1" customWidth="1"/>
    <col min="9741" max="9741" width="9.625" style="2" bestFit="1" customWidth="1"/>
    <col min="9742" max="9985" width="9" style="2"/>
    <col min="9986" max="9986" width="2.375" style="2" customWidth="1"/>
    <col min="9987" max="9987" width="13.25" style="2" bestFit="1" customWidth="1"/>
    <col min="9988" max="9989" width="9" style="2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" style="2"/>
    <col min="9996" max="9996" width="13.25" style="2" bestFit="1" customWidth="1"/>
    <col min="9997" max="9997" width="9.625" style="2" bestFit="1" customWidth="1"/>
    <col min="9998" max="10241" width="9" style="2"/>
    <col min="10242" max="10242" width="2.375" style="2" customWidth="1"/>
    <col min="10243" max="10243" width="13.25" style="2" bestFit="1" customWidth="1"/>
    <col min="10244" max="10245" width="9" style="2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" style="2"/>
    <col min="10252" max="10252" width="13.25" style="2" bestFit="1" customWidth="1"/>
    <col min="10253" max="10253" width="9.625" style="2" bestFit="1" customWidth="1"/>
    <col min="10254" max="10497" width="9" style="2"/>
    <col min="10498" max="10498" width="2.375" style="2" customWidth="1"/>
    <col min="10499" max="10499" width="13.25" style="2" bestFit="1" customWidth="1"/>
    <col min="10500" max="10501" width="9" style="2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" style="2"/>
    <col min="10508" max="10508" width="13.25" style="2" bestFit="1" customWidth="1"/>
    <col min="10509" max="10509" width="9.625" style="2" bestFit="1" customWidth="1"/>
    <col min="10510" max="10753" width="9" style="2"/>
    <col min="10754" max="10754" width="2.375" style="2" customWidth="1"/>
    <col min="10755" max="10755" width="13.25" style="2" bestFit="1" customWidth="1"/>
    <col min="10756" max="10757" width="9" style="2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" style="2"/>
    <col min="10764" max="10764" width="13.25" style="2" bestFit="1" customWidth="1"/>
    <col min="10765" max="10765" width="9.625" style="2" bestFit="1" customWidth="1"/>
    <col min="10766" max="11009" width="9" style="2"/>
    <col min="11010" max="11010" width="2.375" style="2" customWidth="1"/>
    <col min="11011" max="11011" width="13.25" style="2" bestFit="1" customWidth="1"/>
    <col min="11012" max="11013" width="9" style="2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" style="2"/>
    <col min="11020" max="11020" width="13.25" style="2" bestFit="1" customWidth="1"/>
    <col min="11021" max="11021" width="9.625" style="2" bestFit="1" customWidth="1"/>
    <col min="11022" max="11265" width="9" style="2"/>
    <col min="11266" max="11266" width="2.375" style="2" customWidth="1"/>
    <col min="11267" max="11267" width="13.25" style="2" bestFit="1" customWidth="1"/>
    <col min="11268" max="11269" width="9" style="2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" style="2"/>
    <col min="11276" max="11276" width="13.25" style="2" bestFit="1" customWidth="1"/>
    <col min="11277" max="11277" width="9.625" style="2" bestFit="1" customWidth="1"/>
    <col min="11278" max="11521" width="9" style="2"/>
    <col min="11522" max="11522" width="2.375" style="2" customWidth="1"/>
    <col min="11523" max="11523" width="13.25" style="2" bestFit="1" customWidth="1"/>
    <col min="11524" max="11525" width="9" style="2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" style="2"/>
    <col min="11532" max="11532" width="13.25" style="2" bestFit="1" customWidth="1"/>
    <col min="11533" max="11533" width="9.625" style="2" bestFit="1" customWidth="1"/>
    <col min="11534" max="11777" width="9" style="2"/>
    <col min="11778" max="11778" width="2.375" style="2" customWidth="1"/>
    <col min="11779" max="11779" width="13.25" style="2" bestFit="1" customWidth="1"/>
    <col min="11780" max="11781" width="9" style="2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" style="2"/>
    <col min="11788" max="11788" width="13.25" style="2" bestFit="1" customWidth="1"/>
    <col min="11789" max="11789" width="9.625" style="2" bestFit="1" customWidth="1"/>
    <col min="11790" max="12033" width="9" style="2"/>
    <col min="12034" max="12034" width="2.375" style="2" customWidth="1"/>
    <col min="12035" max="12035" width="13.25" style="2" bestFit="1" customWidth="1"/>
    <col min="12036" max="12037" width="9" style="2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" style="2"/>
    <col min="12044" max="12044" width="13.25" style="2" bestFit="1" customWidth="1"/>
    <col min="12045" max="12045" width="9.625" style="2" bestFit="1" customWidth="1"/>
    <col min="12046" max="12289" width="9" style="2"/>
    <col min="12290" max="12290" width="2.375" style="2" customWidth="1"/>
    <col min="12291" max="12291" width="13.25" style="2" bestFit="1" customWidth="1"/>
    <col min="12292" max="12293" width="9" style="2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" style="2"/>
    <col min="12300" max="12300" width="13.25" style="2" bestFit="1" customWidth="1"/>
    <col min="12301" max="12301" width="9.625" style="2" bestFit="1" customWidth="1"/>
    <col min="12302" max="12545" width="9" style="2"/>
    <col min="12546" max="12546" width="2.375" style="2" customWidth="1"/>
    <col min="12547" max="12547" width="13.25" style="2" bestFit="1" customWidth="1"/>
    <col min="12548" max="12549" width="9" style="2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" style="2"/>
    <col min="12556" max="12556" width="13.25" style="2" bestFit="1" customWidth="1"/>
    <col min="12557" max="12557" width="9.625" style="2" bestFit="1" customWidth="1"/>
    <col min="12558" max="12801" width="9" style="2"/>
    <col min="12802" max="12802" width="2.375" style="2" customWidth="1"/>
    <col min="12803" max="12803" width="13.25" style="2" bestFit="1" customWidth="1"/>
    <col min="12804" max="12805" width="9" style="2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" style="2"/>
    <col min="12812" max="12812" width="13.25" style="2" bestFit="1" customWidth="1"/>
    <col min="12813" max="12813" width="9.625" style="2" bestFit="1" customWidth="1"/>
    <col min="12814" max="13057" width="9" style="2"/>
    <col min="13058" max="13058" width="2.375" style="2" customWidth="1"/>
    <col min="13059" max="13059" width="13.25" style="2" bestFit="1" customWidth="1"/>
    <col min="13060" max="13061" width="9" style="2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" style="2"/>
    <col min="13068" max="13068" width="13.25" style="2" bestFit="1" customWidth="1"/>
    <col min="13069" max="13069" width="9.625" style="2" bestFit="1" customWidth="1"/>
    <col min="13070" max="13313" width="9" style="2"/>
    <col min="13314" max="13314" width="2.375" style="2" customWidth="1"/>
    <col min="13315" max="13315" width="13.25" style="2" bestFit="1" customWidth="1"/>
    <col min="13316" max="13317" width="9" style="2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" style="2"/>
    <col min="13324" max="13324" width="13.25" style="2" bestFit="1" customWidth="1"/>
    <col min="13325" max="13325" width="9.625" style="2" bestFit="1" customWidth="1"/>
    <col min="13326" max="13569" width="9" style="2"/>
    <col min="13570" max="13570" width="2.375" style="2" customWidth="1"/>
    <col min="13571" max="13571" width="13.25" style="2" bestFit="1" customWidth="1"/>
    <col min="13572" max="13573" width="9" style="2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" style="2"/>
    <col min="13580" max="13580" width="13.25" style="2" bestFit="1" customWidth="1"/>
    <col min="13581" max="13581" width="9.625" style="2" bestFit="1" customWidth="1"/>
    <col min="13582" max="13825" width="9" style="2"/>
    <col min="13826" max="13826" width="2.375" style="2" customWidth="1"/>
    <col min="13827" max="13827" width="13.25" style="2" bestFit="1" customWidth="1"/>
    <col min="13828" max="13829" width="9" style="2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" style="2"/>
    <col min="13836" max="13836" width="13.25" style="2" bestFit="1" customWidth="1"/>
    <col min="13837" max="13837" width="9.625" style="2" bestFit="1" customWidth="1"/>
    <col min="13838" max="14081" width="9" style="2"/>
    <col min="14082" max="14082" width="2.375" style="2" customWidth="1"/>
    <col min="14083" max="14083" width="13.25" style="2" bestFit="1" customWidth="1"/>
    <col min="14084" max="14085" width="9" style="2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" style="2"/>
    <col min="14092" max="14092" width="13.25" style="2" bestFit="1" customWidth="1"/>
    <col min="14093" max="14093" width="9.625" style="2" bestFit="1" customWidth="1"/>
    <col min="14094" max="14337" width="9" style="2"/>
    <col min="14338" max="14338" width="2.375" style="2" customWidth="1"/>
    <col min="14339" max="14339" width="13.25" style="2" bestFit="1" customWidth="1"/>
    <col min="14340" max="14341" width="9" style="2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" style="2"/>
    <col min="14348" max="14348" width="13.25" style="2" bestFit="1" customWidth="1"/>
    <col min="14349" max="14349" width="9.625" style="2" bestFit="1" customWidth="1"/>
    <col min="14350" max="14593" width="9" style="2"/>
    <col min="14594" max="14594" width="2.375" style="2" customWidth="1"/>
    <col min="14595" max="14595" width="13.25" style="2" bestFit="1" customWidth="1"/>
    <col min="14596" max="14597" width="9" style="2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" style="2"/>
    <col min="14604" max="14604" width="13.25" style="2" bestFit="1" customWidth="1"/>
    <col min="14605" max="14605" width="9.625" style="2" bestFit="1" customWidth="1"/>
    <col min="14606" max="14849" width="9" style="2"/>
    <col min="14850" max="14850" width="2.375" style="2" customWidth="1"/>
    <col min="14851" max="14851" width="13.25" style="2" bestFit="1" customWidth="1"/>
    <col min="14852" max="14853" width="9" style="2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" style="2"/>
    <col min="14860" max="14860" width="13.25" style="2" bestFit="1" customWidth="1"/>
    <col min="14861" max="14861" width="9.625" style="2" bestFit="1" customWidth="1"/>
    <col min="14862" max="15105" width="9" style="2"/>
    <col min="15106" max="15106" width="2.375" style="2" customWidth="1"/>
    <col min="15107" max="15107" width="13.25" style="2" bestFit="1" customWidth="1"/>
    <col min="15108" max="15109" width="9" style="2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" style="2"/>
    <col min="15116" max="15116" width="13.25" style="2" bestFit="1" customWidth="1"/>
    <col min="15117" max="15117" width="9.625" style="2" bestFit="1" customWidth="1"/>
    <col min="15118" max="15361" width="9" style="2"/>
    <col min="15362" max="15362" width="2.375" style="2" customWidth="1"/>
    <col min="15363" max="15363" width="13.25" style="2" bestFit="1" customWidth="1"/>
    <col min="15364" max="15365" width="9" style="2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" style="2"/>
    <col min="15372" max="15372" width="13.25" style="2" bestFit="1" customWidth="1"/>
    <col min="15373" max="15373" width="9.625" style="2" bestFit="1" customWidth="1"/>
    <col min="15374" max="15617" width="9" style="2"/>
    <col min="15618" max="15618" width="2.375" style="2" customWidth="1"/>
    <col min="15619" max="15619" width="13.25" style="2" bestFit="1" customWidth="1"/>
    <col min="15620" max="15621" width="9" style="2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" style="2"/>
    <col min="15628" max="15628" width="13.25" style="2" bestFit="1" customWidth="1"/>
    <col min="15629" max="15629" width="9.625" style="2" bestFit="1" customWidth="1"/>
    <col min="15630" max="15873" width="9" style="2"/>
    <col min="15874" max="15874" width="2.375" style="2" customWidth="1"/>
    <col min="15875" max="15875" width="13.25" style="2" bestFit="1" customWidth="1"/>
    <col min="15876" max="15877" width="9" style="2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" style="2"/>
    <col min="15884" max="15884" width="13.25" style="2" bestFit="1" customWidth="1"/>
    <col min="15885" max="15885" width="9.625" style="2" bestFit="1" customWidth="1"/>
    <col min="15886" max="16129" width="9" style="2"/>
    <col min="16130" max="16130" width="2.375" style="2" customWidth="1"/>
    <col min="16131" max="16131" width="13.25" style="2" bestFit="1" customWidth="1"/>
    <col min="16132" max="16133" width="9" style="2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" style="2"/>
    <col min="16140" max="16140" width="13.25" style="2" bestFit="1" customWidth="1"/>
    <col min="16141" max="16141" width="9.625" style="2" bestFit="1" customWidth="1"/>
    <col min="16142" max="16384" width="9" style="2"/>
  </cols>
  <sheetData>
    <row r="1" spans="1:14">
      <c r="A1" s="1" t="s">
        <v>0</v>
      </c>
    </row>
    <row r="2" spans="1:14" ht="19.5" thickBot="1">
      <c r="A2" s="1" t="s">
        <v>62</v>
      </c>
    </row>
    <row r="3" spans="1:14">
      <c r="B3" s="14"/>
      <c r="C3" s="30" t="s">
        <v>5</v>
      </c>
      <c r="D3" s="30" t="s">
        <v>8</v>
      </c>
      <c r="E3" s="61" t="s">
        <v>7</v>
      </c>
      <c r="F3" s="58" t="s">
        <v>65</v>
      </c>
      <c r="G3" s="29" t="s">
        <v>2</v>
      </c>
      <c r="H3" s="30" t="s">
        <v>3</v>
      </c>
      <c r="I3" s="30" t="s">
        <v>4</v>
      </c>
      <c r="J3" s="30" t="s">
        <v>6</v>
      </c>
      <c r="K3" s="30" t="s">
        <v>9</v>
      </c>
      <c r="L3" s="4" t="s">
        <v>10</v>
      </c>
      <c r="M3" s="58" t="s">
        <v>65</v>
      </c>
      <c r="N3" s="59" t="s">
        <v>19</v>
      </c>
    </row>
    <row r="4" spans="1:14" ht="19.5" thickBot="1">
      <c r="B4" s="5" t="s">
        <v>11</v>
      </c>
      <c r="C4" s="32" t="s">
        <v>15</v>
      </c>
      <c r="D4" s="32" t="s">
        <v>17</v>
      </c>
      <c r="E4" s="62" t="s">
        <v>64</v>
      </c>
      <c r="F4" s="60" t="s">
        <v>66</v>
      </c>
      <c r="G4" s="31" t="s">
        <v>12</v>
      </c>
      <c r="H4" s="32" t="s">
        <v>13</v>
      </c>
      <c r="I4" s="32" t="s">
        <v>14</v>
      </c>
      <c r="J4" s="32" t="s">
        <v>16</v>
      </c>
      <c r="K4" s="32" t="s">
        <v>18</v>
      </c>
      <c r="L4" s="3" t="s">
        <v>63</v>
      </c>
      <c r="M4" s="60" t="s">
        <v>67</v>
      </c>
      <c r="N4" s="57" t="s">
        <v>68</v>
      </c>
    </row>
    <row r="5" spans="1:14">
      <c r="A5" s="1" t="s">
        <v>1</v>
      </c>
      <c r="B5" s="45" t="s">
        <v>20</v>
      </c>
      <c r="C5" s="47">
        <v>20</v>
      </c>
      <c r="D5" s="47">
        <v>18</v>
      </c>
      <c r="E5" s="63">
        <v>18</v>
      </c>
      <c r="F5" s="49">
        <f>SUM(C5:E5)</f>
        <v>56</v>
      </c>
      <c r="G5" s="46">
        <v>20</v>
      </c>
      <c r="H5" s="47">
        <v>18</v>
      </c>
      <c r="I5" s="47">
        <v>17</v>
      </c>
      <c r="J5" s="47">
        <v>18</v>
      </c>
      <c r="K5" s="47">
        <v>18</v>
      </c>
      <c r="L5" s="48">
        <v>20</v>
      </c>
      <c r="M5" s="49">
        <f>SUM(G5:L5)</f>
        <v>111</v>
      </c>
      <c r="N5" s="49">
        <f>SUM(M5,F5)</f>
        <v>167</v>
      </c>
    </row>
    <row r="6" spans="1:14">
      <c r="A6" s="1" t="s">
        <v>1</v>
      </c>
      <c r="B6" s="50" t="s">
        <v>21</v>
      </c>
      <c r="C6" s="24">
        <v>0</v>
      </c>
      <c r="D6" s="24">
        <v>0</v>
      </c>
      <c r="E6" s="64">
        <v>3</v>
      </c>
      <c r="F6" s="52">
        <f>SUM(C6:E6)</f>
        <v>3</v>
      </c>
      <c r="G6" s="23">
        <v>0</v>
      </c>
      <c r="H6" s="24">
        <v>2</v>
      </c>
      <c r="I6" s="24">
        <v>2</v>
      </c>
      <c r="J6" s="24">
        <v>1</v>
      </c>
      <c r="K6" s="24">
        <v>2</v>
      </c>
      <c r="L6" s="51">
        <v>3</v>
      </c>
      <c r="M6" s="52">
        <f>SUM(G6:L6)</f>
        <v>10</v>
      </c>
      <c r="N6" s="52">
        <f t="shared" ref="N6:N47" si="0">SUM(M6,F6)</f>
        <v>13</v>
      </c>
    </row>
    <row r="7" spans="1:14">
      <c r="A7" s="1" t="s">
        <v>1</v>
      </c>
      <c r="B7" s="50" t="s">
        <v>22</v>
      </c>
      <c r="C7" s="24">
        <v>0</v>
      </c>
      <c r="D7" s="24">
        <v>0</v>
      </c>
      <c r="E7" s="64">
        <v>0</v>
      </c>
      <c r="F7" s="52">
        <f t="shared" ref="F7:F47" si="1">SUM(C7:E7)</f>
        <v>0</v>
      </c>
      <c r="G7" s="23">
        <v>4</v>
      </c>
      <c r="H7" s="24">
        <v>2</v>
      </c>
      <c r="I7" s="24">
        <v>5</v>
      </c>
      <c r="J7" s="24">
        <v>4</v>
      </c>
      <c r="K7" s="24">
        <v>3</v>
      </c>
      <c r="L7" s="51">
        <v>1</v>
      </c>
      <c r="M7" s="52">
        <f t="shared" ref="M7:M47" si="2">SUM(G7:L7)</f>
        <v>19</v>
      </c>
      <c r="N7" s="52">
        <f t="shared" si="0"/>
        <v>19</v>
      </c>
    </row>
    <row r="8" spans="1:14">
      <c r="A8" s="1" t="s">
        <v>1</v>
      </c>
      <c r="B8" s="50" t="s">
        <v>23</v>
      </c>
      <c r="C8" s="24">
        <v>0</v>
      </c>
      <c r="D8" s="24">
        <v>0</v>
      </c>
      <c r="E8" s="64">
        <v>0</v>
      </c>
      <c r="F8" s="52">
        <f t="shared" si="1"/>
        <v>0</v>
      </c>
      <c r="G8" s="23">
        <v>0</v>
      </c>
      <c r="H8" s="24">
        <v>0</v>
      </c>
      <c r="I8" s="24">
        <v>1</v>
      </c>
      <c r="J8" s="24">
        <v>0</v>
      </c>
      <c r="K8" s="24">
        <v>2</v>
      </c>
      <c r="L8" s="51">
        <v>0</v>
      </c>
      <c r="M8" s="52">
        <f t="shared" si="2"/>
        <v>3</v>
      </c>
      <c r="N8" s="52">
        <f t="shared" si="0"/>
        <v>3</v>
      </c>
    </row>
    <row r="9" spans="1:14">
      <c r="A9" s="1" t="s">
        <v>1</v>
      </c>
      <c r="B9" s="50" t="s">
        <v>24</v>
      </c>
      <c r="C9" s="24">
        <v>0.5</v>
      </c>
      <c r="D9" s="24">
        <v>1</v>
      </c>
      <c r="E9" s="64">
        <v>1</v>
      </c>
      <c r="F9" s="52">
        <f t="shared" si="1"/>
        <v>2.5</v>
      </c>
      <c r="G9" s="23">
        <v>0</v>
      </c>
      <c r="H9" s="24">
        <v>0</v>
      </c>
      <c r="I9" s="24">
        <v>2</v>
      </c>
      <c r="J9" s="24">
        <v>2</v>
      </c>
      <c r="K9" s="24">
        <v>0</v>
      </c>
      <c r="L9" s="51">
        <v>0</v>
      </c>
      <c r="M9" s="52">
        <f t="shared" si="2"/>
        <v>4</v>
      </c>
      <c r="N9" s="52">
        <f t="shared" si="0"/>
        <v>6.5</v>
      </c>
    </row>
    <row r="10" spans="1:14">
      <c r="A10" s="1" t="s">
        <v>1</v>
      </c>
      <c r="B10" s="50" t="s">
        <v>25</v>
      </c>
      <c r="C10" s="24">
        <v>0</v>
      </c>
      <c r="D10" s="24">
        <v>0</v>
      </c>
      <c r="E10" s="64">
        <v>1</v>
      </c>
      <c r="F10" s="52">
        <f t="shared" si="1"/>
        <v>1</v>
      </c>
      <c r="G10" s="23">
        <v>0</v>
      </c>
      <c r="H10" s="24">
        <v>2</v>
      </c>
      <c r="I10" s="24">
        <v>0</v>
      </c>
      <c r="J10" s="24">
        <v>0</v>
      </c>
      <c r="K10" s="24">
        <v>0</v>
      </c>
      <c r="L10" s="51">
        <v>0</v>
      </c>
      <c r="M10" s="52">
        <f t="shared" si="2"/>
        <v>2</v>
      </c>
      <c r="N10" s="52">
        <f t="shared" si="0"/>
        <v>3</v>
      </c>
    </row>
    <row r="11" spans="1:14">
      <c r="A11" s="1" t="s">
        <v>1</v>
      </c>
      <c r="B11" s="50" t="s">
        <v>26</v>
      </c>
      <c r="C11" s="26">
        <v>0</v>
      </c>
      <c r="D11" s="26">
        <v>0</v>
      </c>
      <c r="E11" s="65">
        <v>0</v>
      </c>
      <c r="F11" s="54">
        <f t="shared" si="1"/>
        <v>0</v>
      </c>
      <c r="G11" s="25">
        <v>1.5</v>
      </c>
      <c r="H11" s="26">
        <v>1.0416666666666667</v>
      </c>
      <c r="I11" s="26">
        <v>0.75</v>
      </c>
      <c r="J11" s="26">
        <v>0.375</v>
      </c>
      <c r="K11" s="26">
        <v>0.83333333333333337</v>
      </c>
      <c r="L11" s="53">
        <v>2.3333333333333335</v>
      </c>
      <c r="M11" s="54">
        <f t="shared" si="2"/>
        <v>6.8333333333333339</v>
      </c>
      <c r="N11" s="54">
        <f t="shared" si="0"/>
        <v>6.8333333333333339</v>
      </c>
    </row>
    <row r="12" spans="1:14">
      <c r="A12" s="1" t="s">
        <v>1</v>
      </c>
      <c r="B12" s="50" t="s">
        <v>27</v>
      </c>
      <c r="C12" s="26">
        <v>0</v>
      </c>
      <c r="D12" s="26">
        <v>0</v>
      </c>
      <c r="E12" s="65">
        <v>0.70833333333333337</v>
      </c>
      <c r="F12" s="54">
        <f t="shared" si="1"/>
        <v>0.70833333333333337</v>
      </c>
      <c r="G12" s="25">
        <v>0</v>
      </c>
      <c r="H12" s="26">
        <v>0.625</v>
      </c>
      <c r="I12" s="26">
        <v>0.375</v>
      </c>
      <c r="J12" s="26">
        <v>0.375</v>
      </c>
      <c r="K12" s="26">
        <v>0</v>
      </c>
      <c r="L12" s="53">
        <v>1.4166666666666667</v>
      </c>
      <c r="M12" s="54">
        <f t="shared" si="2"/>
        <v>2.791666666666667</v>
      </c>
      <c r="N12" s="54">
        <f t="shared" si="0"/>
        <v>3.5000000000000004</v>
      </c>
    </row>
    <row r="13" spans="1:14">
      <c r="A13" s="1" t="s">
        <v>1</v>
      </c>
      <c r="B13" s="50" t="s">
        <v>28</v>
      </c>
      <c r="C13" s="26">
        <v>0</v>
      </c>
      <c r="D13" s="26">
        <v>0</v>
      </c>
      <c r="E13" s="65">
        <v>0</v>
      </c>
      <c r="F13" s="54">
        <f t="shared" si="1"/>
        <v>0</v>
      </c>
      <c r="G13" s="25">
        <v>1.4166666666666667</v>
      </c>
      <c r="H13" s="26">
        <v>0.54166666666666663</v>
      </c>
      <c r="I13" s="26">
        <v>1.7916666666666665</v>
      </c>
      <c r="J13" s="26">
        <v>1.5</v>
      </c>
      <c r="K13" s="26">
        <v>0.875</v>
      </c>
      <c r="L13" s="53">
        <v>0.58333333333333337</v>
      </c>
      <c r="M13" s="54">
        <f t="shared" si="2"/>
        <v>6.708333333333333</v>
      </c>
      <c r="N13" s="54">
        <f t="shared" si="0"/>
        <v>6.708333333333333</v>
      </c>
    </row>
    <row r="14" spans="1:14">
      <c r="A14" s="1" t="s">
        <v>1</v>
      </c>
      <c r="B14" s="50" t="s">
        <v>29</v>
      </c>
      <c r="C14" s="26">
        <v>0</v>
      </c>
      <c r="D14" s="26">
        <v>0</v>
      </c>
      <c r="E14" s="65">
        <v>0</v>
      </c>
      <c r="F14" s="54">
        <f t="shared" si="1"/>
        <v>0</v>
      </c>
      <c r="G14" s="25">
        <v>0</v>
      </c>
      <c r="H14" s="26">
        <v>0</v>
      </c>
      <c r="I14" s="26">
        <v>0.33333333333333331</v>
      </c>
      <c r="J14" s="26">
        <v>0</v>
      </c>
      <c r="K14" s="26">
        <v>0.58333333333333337</v>
      </c>
      <c r="L14" s="53">
        <v>0</v>
      </c>
      <c r="M14" s="54">
        <f t="shared" si="2"/>
        <v>0.91666666666666674</v>
      </c>
      <c r="N14" s="54">
        <f t="shared" si="0"/>
        <v>0.91666666666666674</v>
      </c>
    </row>
    <row r="15" spans="1:14">
      <c r="A15" s="1" t="s">
        <v>1</v>
      </c>
      <c r="B15" s="50" t="s">
        <v>30</v>
      </c>
      <c r="C15" s="26">
        <v>0</v>
      </c>
      <c r="D15" s="26">
        <v>0</v>
      </c>
      <c r="E15" s="65">
        <v>0</v>
      </c>
      <c r="F15" s="54">
        <f t="shared" si="1"/>
        <v>0</v>
      </c>
      <c r="G15" s="25">
        <v>0</v>
      </c>
      <c r="H15" s="26">
        <v>0</v>
      </c>
      <c r="I15" s="26">
        <v>0</v>
      </c>
      <c r="J15" s="26">
        <v>0</v>
      </c>
      <c r="K15" s="26">
        <v>0</v>
      </c>
      <c r="L15" s="53">
        <v>8.3333333333333329E-2</v>
      </c>
      <c r="M15" s="54">
        <f t="shared" si="2"/>
        <v>8.3333333333333329E-2</v>
      </c>
      <c r="N15" s="54">
        <f t="shared" si="0"/>
        <v>8.3333333333333329E-2</v>
      </c>
    </row>
    <row r="16" spans="1:14">
      <c r="A16" s="1" t="s">
        <v>1</v>
      </c>
      <c r="B16" s="50" t="s">
        <v>31</v>
      </c>
      <c r="C16" s="26">
        <v>0</v>
      </c>
      <c r="D16" s="26">
        <v>0</v>
      </c>
      <c r="E16" s="65">
        <v>0.20833333333333334</v>
      </c>
      <c r="F16" s="54">
        <f t="shared" si="1"/>
        <v>0.20833333333333334</v>
      </c>
      <c r="G16" s="25">
        <v>0</v>
      </c>
      <c r="H16" s="26">
        <v>0</v>
      </c>
      <c r="I16" s="26">
        <v>0</v>
      </c>
      <c r="J16" s="26">
        <v>0</v>
      </c>
      <c r="K16" s="26">
        <v>0</v>
      </c>
      <c r="L16" s="53">
        <v>0</v>
      </c>
      <c r="M16" s="54">
        <f t="shared" si="2"/>
        <v>0</v>
      </c>
      <c r="N16" s="54">
        <f t="shared" si="0"/>
        <v>0.20833333333333334</v>
      </c>
    </row>
    <row r="17" spans="1:14">
      <c r="A17" s="1" t="s">
        <v>1</v>
      </c>
      <c r="B17" s="6" t="s">
        <v>32</v>
      </c>
      <c r="C17" s="34">
        <v>8.3333333333333329E-2</v>
      </c>
      <c r="D17" s="34">
        <v>0</v>
      </c>
      <c r="E17" s="66">
        <v>0</v>
      </c>
      <c r="F17" s="8">
        <f t="shared" si="1"/>
        <v>8.3333333333333329E-2</v>
      </c>
      <c r="G17" s="33">
        <v>1.2083333333333333</v>
      </c>
      <c r="H17" s="34">
        <v>1.2916666666666667</v>
      </c>
      <c r="I17" s="34">
        <v>2.0416666666666665</v>
      </c>
      <c r="J17" s="34">
        <v>2.4583333333333335</v>
      </c>
      <c r="K17" s="34">
        <v>0.66666666666666663</v>
      </c>
      <c r="L17" s="7">
        <v>1.4583333333333333</v>
      </c>
      <c r="M17" s="8">
        <f t="shared" si="2"/>
        <v>9.125</v>
      </c>
      <c r="N17" s="8">
        <f t="shared" si="0"/>
        <v>9.2083333333333339</v>
      </c>
    </row>
    <row r="18" spans="1:14">
      <c r="A18" s="1" t="s">
        <v>1</v>
      </c>
      <c r="B18" s="15" t="s">
        <v>33</v>
      </c>
      <c r="C18" s="36">
        <v>29.5</v>
      </c>
      <c r="D18" s="36">
        <v>20.5</v>
      </c>
      <c r="E18" s="67">
        <v>20</v>
      </c>
      <c r="F18" s="17">
        <f t="shared" si="1"/>
        <v>70</v>
      </c>
      <c r="G18" s="35">
        <v>25</v>
      </c>
      <c r="H18" s="36">
        <v>26</v>
      </c>
      <c r="I18" s="36">
        <v>26</v>
      </c>
      <c r="J18" s="36">
        <v>26</v>
      </c>
      <c r="K18" s="36">
        <v>8</v>
      </c>
      <c r="L18" s="16">
        <v>7</v>
      </c>
      <c r="M18" s="17">
        <f t="shared" si="2"/>
        <v>118</v>
      </c>
      <c r="N18" s="17">
        <f t="shared" si="0"/>
        <v>188</v>
      </c>
    </row>
    <row r="19" spans="1:14">
      <c r="A19" s="1" t="s">
        <v>1</v>
      </c>
      <c r="B19" s="20" t="s">
        <v>34</v>
      </c>
      <c r="C19" s="42">
        <v>365000</v>
      </c>
      <c r="D19" s="42">
        <v>365000</v>
      </c>
      <c r="E19" s="68">
        <v>170000</v>
      </c>
      <c r="F19" s="22">
        <f t="shared" si="1"/>
        <v>900000</v>
      </c>
      <c r="G19" s="41">
        <v>182000</v>
      </c>
      <c r="H19" s="42">
        <v>177000</v>
      </c>
      <c r="I19" s="42">
        <v>177000</v>
      </c>
      <c r="J19" s="42">
        <v>187000</v>
      </c>
      <c r="K19" s="42">
        <v>170000</v>
      </c>
      <c r="L19" s="21">
        <v>170000</v>
      </c>
      <c r="M19" s="22">
        <f t="shared" si="2"/>
        <v>1063000</v>
      </c>
      <c r="N19" s="22">
        <f t="shared" si="0"/>
        <v>1963000</v>
      </c>
    </row>
    <row r="20" spans="1:14">
      <c r="A20" s="1" t="s">
        <v>1</v>
      </c>
      <c r="B20" s="50" t="s">
        <v>35</v>
      </c>
      <c r="C20" s="28">
        <v>0</v>
      </c>
      <c r="D20" s="28">
        <v>0</v>
      </c>
      <c r="E20" s="69">
        <v>0</v>
      </c>
      <c r="F20" s="56">
        <f t="shared" si="1"/>
        <v>0</v>
      </c>
      <c r="G20" s="27">
        <v>5000</v>
      </c>
      <c r="H20" s="28">
        <v>0</v>
      </c>
      <c r="I20" s="28">
        <v>0</v>
      </c>
      <c r="J20" s="28">
        <v>0</v>
      </c>
      <c r="K20" s="28">
        <v>0</v>
      </c>
      <c r="L20" s="55">
        <v>0</v>
      </c>
      <c r="M20" s="56">
        <f t="shared" si="2"/>
        <v>5000</v>
      </c>
      <c r="N20" s="56">
        <f t="shared" si="0"/>
        <v>5000</v>
      </c>
    </row>
    <row r="21" spans="1:14">
      <c r="A21" s="1" t="s">
        <v>1</v>
      </c>
      <c r="B21" s="50" t="s">
        <v>36</v>
      </c>
      <c r="C21" s="28">
        <v>0</v>
      </c>
      <c r="D21" s="28">
        <v>0</v>
      </c>
      <c r="E21" s="69">
        <v>6000</v>
      </c>
      <c r="F21" s="56">
        <f t="shared" si="1"/>
        <v>6000</v>
      </c>
      <c r="G21" s="27">
        <v>6000</v>
      </c>
      <c r="H21" s="28">
        <v>10000</v>
      </c>
      <c r="I21" s="28">
        <v>0</v>
      </c>
      <c r="J21" s="28">
        <v>0</v>
      </c>
      <c r="K21" s="28">
        <v>0</v>
      </c>
      <c r="L21" s="55">
        <v>0</v>
      </c>
      <c r="M21" s="56">
        <f t="shared" si="2"/>
        <v>16000</v>
      </c>
      <c r="N21" s="56">
        <f t="shared" si="0"/>
        <v>22000</v>
      </c>
    </row>
    <row r="22" spans="1:14">
      <c r="A22" s="1" t="s">
        <v>1</v>
      </c>
      <c r="B22" s="50" t="s">
        <v>37</v>
      </c>
      <c r="C22" s="28">
        <v>0</v>
      </c>
      <c r="D22" s="28">
        <v>0</v>
      </c>
      <c r="E22" s="69">
        <v>0</v>
      </c>
      <c r="F22" s="56">
        <f t="shared" si="1"/>
        <v>0</v>
      </c>
      <c r="G22" s="27">
        <v>8928</v>
      </c>
      <c r="H22" s="28">
        <v>0</v>
      </c>
      <c r="I22" s="28">
        <v>0</v>
      </c>
      <c r="J22" s="28">
        <v>7845</v>
      </c>
      <c r="K22" s="28">
        <v>0</v>
      </c>
      <c r="L22" s="55">
        <v>0</v>
      </c>
      <c r="M22" s="56">
        <f t="shared" si="2"/>
        <v>16773</v>
      </c>
      <c r="N22" s="56">
        <f t="shared" si="0"/>
        <v>16773</v>
      </c>
    </row>
    <row r="23" spans="1:14">
      <c r="A23" s="1" t="s">
        <v>1</v>
      </c>
      <c r="B23" s="50" t="s">
        <v>38</v>
      </c>
      <c r="C23" s="28">
        <v>0</v>
      </c>
      <c r="D23" s="28">
        <v>0</v>
      </c>
      <c r="E23" s="69">
        <v>0</v>
      </c>
      <c r="F23" s="56">
        <f t="shared" si="1"/>
        <v>0</v>
      </c>
      <c r="G23" s="27">
        <v>3500</v>
      </c>
      <c r="H23" s="28">
        <v>3500</v>
      </c>
      <c r="I23" s="28">
        <v>3500</v>
      </c>
      <c r="J23" s="28">
        <v>3500</v>
      </c>
      <c r="K23" s="28">
        <v>2000</v>
      </c>
      <c r="L23" s="55">
        <v>2000</v>
      </c>
      <c r="M23" s="56">
        <f t="shared" si="2"/>
        <v>18000</v>
      </c>
      <c r="N23" s="56">
        <f t="shared" si="0"/>
        <v>18000</v>
      </c>
    </row>
    <row r="24" spans="1:14">
      <c r="A24" s="1" t="s">
        <v>1</v>
      </c>
      <c r="B24" s="50" t="s">
        <v>39</v>
      </c>
      <c r="C24" s="28">
        <v>0</v>
      </c>
      <c r="D24" s="28">
        <v>0</v>
      </c>
      <c r="E24" s="69">
        <v>0</v>
      </c>
      <c r="F24" s="56">
        <f t="shared" si="1"/>
        <v>0</v>
      </c>
      <c r="G24" s="27">
        <v>0</v>
      </c>
      <c r="H24" s="28">
        <v>12600</v>
      </c>
      <c r="I24" s="28">
        <v>0</v>
      </c>
      <c r="J24" s="28">
        <v>0</v>
      </c>
      <c r="K24" s="28">
        <v>0</v>
      </c>
      <c r="L24" s="55">
        <v>0</v>
      </c>
      <c r="M24" s="56">
        <f t="shared" si="2"/>
        <v>12600</v>
      </c>
      <c r="N24" s="56">
        <f t="shared" si="0"/>
        <v>12600</v>
      </c>
    </row>
    <row r="25" spans="1:14">
      <c r="A25" s="1" t="s">
        <v>1</v>
      </c>
      <c r="B25" s="50" t="s">
        <v>26</v>
      </c>
      <c r="C25" s="28">
        <v>0</v>
      </c>
      <c r="D25" s="28">
        <v>0</v>
      </c>
      <c r="E25" s="69">
        <v>0</v>
      </c>
      <c r="F25" s="56">
        <f t="shared" si="1"/>
        <v>0</v>
      </c>
      <c r="G25" s="27">
        <v>52956</v>
      </c>
      <c r="H25" s="28">
        <v>38000</v>
      </c>
      <c r="I25" s="28">
        <v>24318</v>
      </c>
      <c r="J25" s="28">
        <v>12834</v>
      </c>
      <c r="K25" s="28">
        <v>25760</v>
      </c>
      <c r="L25" s="55">
        <v>72128</v>
      </c>
      <c r="M25" s="56">
        <f t="shared" si="2"/>
        <v>225996</v>
      </c>
      <c r="N25" s="56">
        <f t="shared" si="0"/>
        <v>225996</v>
      </c>
    </row>
    <row r="26" spans="1:14">
      <c r="A26" s="1" t="s">
        <v>1</v>
      </c>
      <c r="B26" s="50" t="s">
        <v>40</v>
      </c>
      <c r="C26" s="28">
        <v>0</v>
      </c>
      <c r="D26" s="28">
        <v>0</v>
      </c>
      <c r="E26" s="69">
        <v>27659</v>
      </c>
      <c r="F26" s="56">
        <f t="shared" si="1"/>
        <v>27659</v>
      </c>
      <c r="G26" s="27">
        <v>0</v>
      </c>
      <c r="H26" s="28">
        <v>24630</v>
      </c>
      <c r="I26" s="28">
        <v>13131</v>
      </c>
      <c r="J26" s="28">
        <v>13860</v>
      </c>
      <c r="K26" s="28">
        <v>0</v>
      </c>
      <c r="L26" s="55">
        <v>47294</v>
      </c>
      <c r="M26" s="56">
        <f t="shared" si="2"/>
        <v>98915</v>
      </c>
      <c r="N26" s="56">
        <f t="shared" si="0"/>
        <v>126574</v>
      </c>
    </row>
    <row r="27" spans="1:14">
      <c r="A27" s="1" t="s">
        <v>1</v>
      </c>
      <c r="B27" s="50" t="s">
        <v>41</v>
      </c>
      <c r="C27" s="28">
        <v>0</v>
      </c>
      <c r="D27" s="28">
        <v>0</v>
      </c>
      <c r="E27" s="69">
        <v>0</v>
      </c>
      <c r="F27" s="56">
        <f t="shared" si="1"/>
        <v>0</v>
      </c>
      <c r="G27" s="27">
        <v>54026</v>
      </c>
      <c r="H27" s="28">
        <v>21346</v>
      </c>
      <c r="I27" s="28">
        <v>62737</v>
      </c>
      <c r="J27" s="28">
        <v>55440</v>
      </c>
      <c r="K27" s="28">
        <v>29211</v>
      </c>
      <c r="L27" s="55">
        <v>19474</v>
      </c>
      <c r="M27" s="56">
        <f t="shared" si="2"/>
        <v>242234</v>
      </c>
      <c r="N27" s="56">
        <f t="shared" si="0"/>
        <v>242234</v>
      </c>
    </row>
    <row r="28" spans="1:14">
      <c r="A28" s="1" t="s">
        <v>1</v>
      </c>
      <c r="B28" s="50" t="s">
        <v>42</v>
      </c>
      <c r="C28" s="28">
        <v>0</v>
      </c>
      <c r="D28" s="28">
        <v>0</v>
      </c>
      <c r="E28" s="69">
        <v>0</v>
      </c>
      <c r="F28" s="56">
        <f t="shared" si="1"/>
        <v>0</v>
      </c>
      <c r="G28" s="27">
        <v>0</v>
      </c>
      <c r="H28" s="28">
        <v>0</v>
      </c>
      <c r="I28" s="28">
        <v>3024</v>
      </c>
      <c r="J28" s="28">
        <v>0</v>
      </c>
      <c r="K28" s="28">
        <v>5054</v>
      </c>
      <c r="L28" s="55">
        <v>0</v>
      </c>
      <c r="M28" s="56">
        <f t="shared" si="2"/>
        <v>8078</v>
      </c>
      <c r="N28" s="56">
        <f t="shared" si="0"/>
        <v>8078</v>
      </c>
    </row>
    <row r="29" spans="1:14">
      <c r="A29" s="1" t="s">
        <v>1</v>
      </c>
      <c r="B29" s="50" t="s">
        <v>30</v>
      </c>
      <c r="C29" s="28">
        <v>0</v>
      </c>
      <c r="D29" s="28">
        <v>0</v>
      </c>
      <c r="E29" s="69">
        <v>0</v>
      </c>
      <c r="F29" s="56">
        <f t="shared" si="1"/>
        <v>0</v>
      </c>
      <c r="G29" s="27">
        <v>0</v>
      </c>
      <c r="H29" s="28">
        <v>0</v>
      </c>
      <c r="I29" s="28">
        <v>0</v>
      </c>
      <c r="J29" s="28">
        <v>0</v>
      </c>
      <c r="K29" s="28">
        <v>0</v>
      </c>
      <c r="L29" s="55">
        <v>516</v>
      </c>
      <c r="M29" s="56">
        <f t="shared" si="2"/>
        <v>516</v>
      </c>
      <c r="N29" s="56">
        <f t="shared" si="0"/>
        <v>516</v>
      </c>
    </row>
    <row r="30" spans="1:14">
      <c r="A30" s="1" t="s">
        <v>1</v>
      </c>
      <c r="B30" s="50" t="s">
        <v>31</v>
      </c>
      <c r="C30" s="28">
        <v>0</v>
      </c>
      <c r="D30" s="28">
        <v>0</v>
      </c>
      <c r="E30" s="69">
        <v>6025</v>
      </c>
      <c r="F30" s="56">
        <f t="shared" si="1"/>
        <v>6025</v>
      </c>
      <c r="G30" s="27">
        <v>0</v>
      </c>
      <c r="H30" s="28">
        <v>0</v>
      </c>
      <c r="I30" s="28">
        <v>0</v>
      </c>
      <c r="J30" s="28">
        <v>0</v>
      </c>
      <c r="K30" s="28">
        <v>0</v>
      </c>
      <c r="L30" s="55">
        <v>0</v>
      </c>
      <c r="M30" s="56">
        <f t="shared" si="2"/>
        <v>0</v>
      </c>
      <c r="N30" s="56">
        <f t="shared" si="0"/>
        <v>6025</v>
      </c>
    </row>
    <row r="31" spans="1:14">
      <c r="A31" s="1" t="s">
        <v>1</v>
      </c>
      <c r="B31" s="6" t="s">
        <v>32</v>
      </c>
      <c r="C31" s="38">
        <v>1094</v>
      </c>
      <c r="D31" s="38">
        <v>0</v>
      </c>
      <c r="E31" s="70">
        <v>0</v>
      </c>
      <c r="F31" s="10">
        <f t="shared" si="1"/>
        <v>1094</v>
      </c>
      <c r="G31" s="37">
        <v>8526</v>
      </c>
      <c r="H31" s="38">
        <v>9424</v>
      </c>
      <c r="I31" s="38">
        <v>13230</v>
      </c>
      <c r="J31" s="38">
        <v>16815</v>
      </c>
      <c r="K31" s="38">
        <v>4128</v>
      </c>
      <c r="L31" s="9">
        <v>9030</v>
      </c>
      <c r="M31" s="10">
        <f t="shared" si="2"/>
        <v>61153</v>
      </c>
      <c r="N31" s="10">
        <f t="shared" si="0"/>
        <v>62247</v>
      </c>
    </row>
    <row r="32" spans="1:14">
      <c r="A32" s="1" t="s">
        <v>1</v>
      </c>
      <c r="B32" s="15" t="s">
        <v>43</v>
      </c>
      <c r="C32" s="40">
        <v>366094</v>
      </c>
      <c r="D32" s="40">
        <v>365000</v>
      </c>
      <c r="E32" s="71">
        <v>209684</v>
      </c>
      <c r="F32" s="19">
        <f t="shared" si="1"/>
        <v>940778</v>
      </c>
      <c r="G32" s="39">
        <v>320936</v>
      </c>
      <c r="H32" s="40">
        <v>296500</v>
      </c>
      <c r="I32" s="40">
        <v>296940</v>
      </c>
      <c r="J32" s="40">
        <v>297294</v>
      </c>
      <c r="K32" s="40">
        <v>236153</v>
      </c>
      <c r="L32" s="18">
        <v>320442</v>
      </c>
      <c r="M32" s="19">
        <f t="shared" si="2"/>
        <v>1768265</v>
      </c>
      <c r="N32" s="19">
        <f t="shared" si="0"/>
        <v>2709043</v>
      </c>
    </row>
    <row r="33" spans="1:14">
      <c r="A33" s="1" t="s">
        <v>1</v>
      </c>
      <c r="B33" s="20" t="s">
        <v>44</v>
      </c>
      <c r="C33" s="42">
        <v>7108</v>
      </c>
      <c r="D33" s="42">
        <v>16622</v>
      </c>
      <c r="E33" s="68">
        <v>575</v>
      </c>
      <c r="F33" s="22">
        <f t="shared" si="1"/>
        <v>24305</v>
      </c>
      <c r="G33" s="41">
        <v>9842</v>
      </c>
      <c r="H33" s="42">
        <v>2406</v>
      </c>
      <c r="I33" s="42">
        <v>2625</v>
      </c>
      <c r="J33" s="42">
        <v>11947</v>
      </c>
      <c r="K33" s="42">
        <v>7546</v>
      </c>
      <c r="L33" s="21">
        <v>1313</v>
      </c>
      <c r="M33" s="22">
        <f t="shared" si="2"/>
        <v>35679</v>
      </c>
      <c r="N33" s="22">
        <f t="shared" si="0"/>
        <v>59984</v>
      </c>
    </row>
    <row r="34" spans="1:14">
      <c r="A34" s="1" t="s">
        <v>1</v>
      </c>
      <c r="B34" s="6" t="s">
        <v>45</v>
      </c>
      <c r="C34" s="38">
        <v>7108</v>
      </c>
      <c r="D34" s="38">
        <v>16622</v>
      </c>
      <c r="E34" s="70">
        <v>575</v>
      </c>
      <c r="F34" s="10">
        <f t="shared" si="1"/>
        <v>24305</v>
      </c>
      <c r="G34" s="37">
        <v>9842</v>
      </c>
      <c r="H34" s="38">
        <v>2406</v>
      </c>
      <c r="I34" s="38">
        <v>2625</v>
      </c>
      <c r="J34" s="38">
        <v>11947</v>
      </c>
      <c r="K34" s="38">
        <v>7546</v>
      </c>
      <c r="L34" s="9">
        <v>1313</v>
      </c>
      <c r="M34" s="10">
        <f t="shared" si="2"/>
        <v>35679</v>
      </c>
      <c r="N34" s="10">
        <f t="shared" si="0"/>
        <v>59984</v>
      </c>
    </row>
    <row r="35" spans="1:14">
      <c r="A35" s="1" t="s">
        <v>1</v>
      </c>
      <c r="B35" s="15" t="s">
        <v>46</v>
      </c>
      <c r="C35" s="40">
        <v>373202</v>
      </c>
      <c r="D35" s="40">
        <v>381622</v>
      </c>
      <c r="E35" s="71">
        <v>210259</v>
      </c>
      <c r="F35" s="19">
        <f t="shared" si="1"/>
        <v>965083</v>
      </c>
      <c r="G35" s="39">
        <v>330778</v>
      </c>
      <c r="H35" s="40">
        <v>298906</v>
      </c>
      <c r="I35" s="40">
        <v>299565</v>
      </c>
      <c r="J35" s="40">
        <v>309241</v>
      </c>
      <c r="K35" s="40">
        <v>243699</v>
      </c>
      <c r="L35" s="18">
        <v>321755</v>
      </c>
      <c r="M35" s="19">
        <f t="shared" si="2"/>
        <v>1803944</v>
      </c>
      <c r="N35" s="19">
        <f t="shared" si="0"/>
        <v>2769027</v>
      </c>
    </row>
    <row r="36" spans="1:14">
      <c r="A36" s="1" t="s">
        <v>1</v>
      </c>
      <c r="B36" s="20" t="s">
        <v>47</v>
      </c>
      <c r="C36" s="42">
        <v>18360</v>
      </c>
      <c r="D36" s="42">
        <v>19380</v>
      </c>
      <c r="E36" s="68">
        <v>11220</v>
      </c>
      <c r="F36" s="22">
        <f t="shared" si="1"/>
        <v>48960</v>
      </c>
      <c r="G36" s="41">
        <v>16320</v>
      </c>
      <c r="H36" s="42">
        <v>15300</v>
      </c>
      <c r="I36" s="42">
        <v>14280</v>
      </c>
      <c r="J36" s="42">
        <v>17340</v>
      </c>
      <c r="K36" s="42">
        <v>14280</v>
      </c>
      <c r="L36" s="21">
        <v>15300</v>
      </c>
      <c r="M36" s="22">
        <f t="shared" si="2"/>
        <v>92820</v>
      </c>
      <c r="N36" s="22">
        <f t="shared" si="0"/>
        <v>141780</v>
      </c>
    </row>
    <row r="37" spans="1:14">
      <c r="A37" s="1" t="s">
        <v>1</v>
      </c>
      <c r="B37" s="50" t="s">
        <v>48</v>
      </c>
      <c r="C37" s="28">
        <v>3240</v>
      </c>
      <c r="D37" s="28">
        <v>3420</v>
      </c>
      <c r="E37" s="69">
        <v>0</v>
      </c>
      <c r="F37" s="56">
        <f t="shared" si="1"/>
        <v>6660</v>
      </c>
      <c r="G37" s="27">
        <v>2880</v>
      </c>
      <c r="H37" s="28">
        <v>2700</v>
      </c>
      <c r="I37" s="28">
        <v>2520</v>
      </c>
      <c r="J37" s="28">
        <v>3060</v>
      </c>
      <c r="K37" s="28">
        <v>2520</v>
      </c>
      <c r="L37" s="55">
        <v>2700</v>
      </c>
      <c r="M37" s="56">
        <f t="shared" si="2"/>
        <v>16380</v>
      </c>
      <c r="N37" s="56">
        <f t="shared" si="0"/>
        <v>23040</v>
      </c>
    </row>
    <row r="38" spans="1:14">
      <c r="A38" s="1" t="s">
        <v>1</v>
      </c>
      <c r="B38" s="50" t="s">
        <v>49</v>
      </c>
      <c r="C38" s="28">
        <v>32940</v>
      </c>
      <c r="D38" s="28">
        <v>34770</v>
      </c>
      <c r="E38" s="69">
        <v>20130</v>
      </c>
      <c r="F38" s="56">
        <f t="shared" si="1"/>
        <v>87840</v>
      </c>
      <c r="G38" s="27">
        <v>29280</v>
      </c>
      <c r="H38" s="28">
        <v>27450</v>
      </c>
      <c r="I38" s="28">
        <v>25620</v>
      </c>
      <c r="J38" s="28">
        <v>31110</v>
      </c>
      <c r="K38" s="28">
        <v>25620</v>
      </c>
      <c r="L38" s="55">
        <v>27450</v>
      </c>
      <c r="M38" s="56">
        <f t="shared" si="2"/>
        <v>166530</v>
      </c>
      <c r="N38" s="56">
        <f t="shared" si="0"/>
        <v>254370</v>
      </c>
    </row>
    <row r="39" spans="1:14">
      <c r="A39" s="1" t="s">
        <v>1</v>
      </c>
      <c r="B39" s="6" t="s">
        <v>50</v>
      </c>
      <c r="C39" s="38">
        <v>2239</v>
      </c>
      <c r="D39" s="38">
        <v>2290</v>
      </c>
      <c r="E39" s="70">
        <v>1262</v>
      </c>
      <c r="F39" s="10">
        <f t="shared" si="1"/>
        <v>5791</v>
      </c>
      <c r="G39" s="37">
        <v>1985</v>
      </c>
      <c r="H39" s="38">
        <v>1793</v>
      </c>
      <c r="I39" s="38">
        <v>1797</v>
      </c>
      <c r="J39" s="38">
        <v>1855</v>
      </c>
      <c r="K39" s="38">
        <v>1462</v>
      </c>
      <c r="L39" s="9">
        <v>1931</v>
      </c>
      <c r="M39" s="10">
        <f t="shared" si="2"/>
        <v>10823</v>
      </c>
      <c r="N39" s="10">
        <f t="shared" si="0"/>
        <v>16614</v>
      </c>
    </row>
    <row r="40" spans="1:14">
      <c r="A40" s="1" t="s">
        <v>1</v>
      </c>
      <c r="B40" s="15" t="s">
        <v>51</v>
      </c>
      <c r="C40" s="40">
        <v>56779</v>
      </c>
      <c r="D40" s="40">
        <v>59860</v>
      </c>
      <c r="E40" s="71">
        <v>32612</v>
      </c>
      <c r="F40" s="19">
        <f t="shared" si="1"/>
        <v>149251</v>
      </c>
      <c r="G40" s="39">
        <v>50465</v>
      </c>
      <c r="H40" s="40">
        <v>47243</v>
      </c>
      <c r="I40" s="40">
        <v>44217</v>
      </c>
      <c r="J40" s="40">
        <v>53365</v>
      </c>
      <c r="K40" s="40">
        <v>43882</v>
      </c>
      <c r="L40" s="18">
        <v>47381</v>
      </c>
      <c r="M40" s="19">
        <f t="shared" si="2"/>
        <v>286553</v>
      </c>
      <c r="N40" s="19">
        <f t="shared" si="0"/>
        <v>435804</v>
      </c>
    </row>
    <row r="41" spans="1:14">
      <c r="A41" s="1" t="s">
        <v>1</v>
      </c>
      <c r="B41" s="20" t="s">
        <v>52</v>
      </c>
      <c r="C41" s="42">
        <v>9140</v>
      </c>
      <c r="D41" s="42">
        <v>8800</v>
      </c>
      <c r="E41" s="68">
        <v>3950</v>
      </c>
      <c r="F41" s="22">
        <f t="shared" si="1"/>
        <v>21890</v>
      </c>
      <c r="G41" s="41">
        <v>4050</v>
      </c>
      <c r="H41" s="42">
        <v>3290</v>
      </c>
      <c r="I41" s="42">
        <v>6650</v>
      </c>
      <c r="J41" s="42">
        <v>6330</v>
      </c>
      <c r="K41" s="42">
        <v>4490</v>
      </c>
      <c r="L41" s="21">
        <v>5760</v>
      </c>
      <c r="M41" s="22">
        <f t="shared" si="2"/>
        <v>30570</v>
      </c>
      <c r="N41" s="22">
        <f t="shared" si="0"/>
        <v>52460</v>
      </c>
    </row>
    <row r="42" spans="1:14">
      <c r="A42" s="1" t="s">
        <v>1</v>
      </c>
      <c r="B42" s="50" t="s">
        <v>53</v>
      </c>
      <c r="C42" s="28">
        <v>18900</v>
      </c>
      <c r="D42" s="28">
        <v>18400</v>
      </c>
      <c r="E42" s="69">
        <v>8200</v>
      </c>
      <c r="F42" s="56">
        <f t="shared" si="1"/>
        <v>45500</v>
      </c>
      <c r="G42" s="27">
        <v>10200</v>
      </c>
      <c r="H42" s="28">
        <v>7100</v>
      </c>
      <c r="I42" s="28">
        <v>12900</v>
      </c>
      <c r="J42" s="28">
        <v>15300</v>
      </c>
      <c r="K42" s="28">
        <v>11800</v>
      </c>
      <c r="L42" s="55">
        <v>11000</v>
      </c>
      <c r="M42" s="56">
        <f t="shared" si="2"/>
        <v>68300</v>
      </c>
      <c r="N42" s="56">
        <f t="shared" si="0"/>
        <v>113800</v>
      </c>
    </row>
    <row r="43" spans="1:14">
      <c r="A43" s="1" t="s">
        <v>1</v>
      </c>
      <c r="B43" s="6" t="s">
        <v>54</v>
      </c>
      <c r="C43" s="38">
        <v>0</v>
      </c>
      <c r="D43" s="38">
        <v>0</v>
      </c>
      <c r="E43" s="70">
        <v>0</v>
      </c>
      <c r="F43" s="10">
        <f t="shared" si="1"/>
        <v>0</v>
      </c>
      <c r="G43" s="37">
        <v>11213</v>
      </c>
      <c r="H43" s="38">
        <v>0</v>
      </c>
      <c r="I43" s="38">
        <v>0</v>
      </c>
      <c r="J43" s="38">
        <v>0</v>
      </c>
      <c r="K43" s="38">
        <v>0</v>
      </c>
      <c r="L43" s="9">
        <v>0</v>
      </c>
      <c r="M43" s="10">
        <f t="shared" si="2"/>
        <v>11213</v>
      </c>
      <c r="N43" s="10">
        <f t="shared" si="0"/>
        <v>11213</v>
      </c>
    </row>
    <row r="44" spans="1:14">
      <c r="A44" s="1" t="s">
        <v>1</v>
      </c>
      <c r="B44" s="15" t="s">
        <v>55</v>
      </c>
      <c r="C44" s="40">
        <v>84819</v>
      </c>
      <c r="D44" s="40">
        <v>87060</v>
      </c>
      <c r="E44" s="71">
        <v>44762</v>
      </c>
      <c r="F44" s="19">
        <f t="shared" si="1"/>
        <v>216641</v>
      </c>
      <c r="G44" s="39">
        <v>75928</v>
      </c>
      <c r="H44" s="40">
        <v>57633</v>
      </c>
      <c r="I44" s="40">
        <v>63767</v>
      </c>
      <c r="J44" s="40">
        <v>74995</v>
      </c>
      <c r="K44" s="40">
        <v>60172</v>
      </c>
      <c r="L44" s="18">
        <v>64141</v>
      </c>
      <c r="M44" s="19">
        <f t="shared" si="2"/>
        <v>396636</v>
      </c>
      <c r="N44" s="19">
        <f t="shared" si="0"/>
        <v>613277</v>
      </c>
    </row>
    <row r="45" spans="1:14">
      <c r="A45" s="1" t="s">
        <v>1</v>
      </c>
      <c r="B45" s="15" t="s">
        <v>56</v>
      </c>
      <c r="C45" s="40">
        <v>309315</v>
      </c>
      <c r="D45" s="40">
        <v>305140</v>
      </c>
      <c r="E45" s="71">
        <v>177072</v>
      </c>
      <c r="F45" s="19">
        <f t="shared" si="1"/>
        <v>791527</v>
      </c>
      <c r="G45" s="39">
        <v>270471</v>
      </c>
      <c r="H45" s="40">
        <v>249257</v>
      </c>
      <c r="I45" s="40">
        <v>252723</v>
      </c>
      <c r="J45" s="40">
        <v>243929</v>
      </c>
      <c r="K45" s="40">
        <v>192271</v>
      </c>
      <c r="L45" s="18">
        <v>273061</v>
      </c>
      <c r="M45" s="19">
        <f t="shared" si="2"/>
        <v>1481712</v>
      </c>
      <c r="N45" s="19">
        <f t="shared" si="0"/>
        <v>2273239</v>
      </c>
    </row>
    <row r="46" spans="1:14">
      <c r="A46" s="1" t="s">
        <v>1</v>
      </c>
      <c r="B46" s="15" t="s">
        <v>57</v>
      </c>
      <c r="C46" s="40">
        <v>288383</v>
      </c>
      <c r="D46" s="40">
        <v>294562</v>
      </c>
      <c r="E46" s="71">
        <v>165497</v>
      </c>
      <c r="F46" s="19">
        <f t="shared" si="1"/>
        <v>748442</v>
      </c>
      <c r="G46" s="39">
        <v>254850</v>
      </c>
      <c r="H46" s="40">
        <v>241273</v>
      </c>
      <c r="I46" s="40">
        <v>235798</v>
      </c>
      <c r="J46" s="40">
        <v>234246</v>
      </c>
      <c r="K46" s="40">
        <v>183527</v>
      </c>
      <c r="L46" s="18">
        <v>257614</v>
      </c>
      <c r="M46" s="19">
        <f t="shared" si="2"/>
        <v>1407308</v>
      </c>
      <c r="N46" s="19">
        <f t="shared" si="0"/>
        <v>2155750</v>
      </c>
    </row>
    <row r="47" spans="1:14">
      <c r="A47" s="1" t="s">
        <v>1</v>
      </c>
      <c r="B47" s="15" t="s">
        <v>58</v>
      </c>
      <c r="C47" s="40">
        <v>288383</v>
      </c>
      <c r="D47" s="40">
        <v>294562</v>
      </c>
      <c r="E47" s="71">
        <v>165497</v>
      </c>
      <c r="F47" s="19">
        <f t="shared" si="1"/>
        <v>748442</v>
      </c>
      <c r="G47" s="39">
        <v>254850</v>
      </c>
      <c r="H47" s="40">
        <v>241273</v>
      </c>
      <c r="I47" s="40">
        <v>235798</v>
      </c>
      <c r="J47" s="40">
        <v>234246</v>
      </c>
      <c r="K47" s="40">
        <v>183527</v>
      </c>
      <c r="L47" s="18">
        <v>257614</v>
      </c>
      <c r="M47" s="19">
        <f t="shared" si="2"/>
        <v>1407308</v>
      </c>
      <c r="N47" s="19">
        <f t="shared" si="0"/>
        <v>2155750</v>
      </c>
    </row>
    <row r="48" spans="1:14">
      <c r="A48" s="1" t="s">
        <v>1</v>
      </c>
      <c r="B48" s="15" t="s">
        <v>59</v>
      </c>
      <c r="C48" s="40">
        <v>0</v>
      </c>
      <c r="D48" s="40">
        <v>0</v>
      </c>
      <c r="E48" s="71">
        <v>0</v>
      </c>
      <c r="F48" s="19"/>
      <c r="G48" s="39">
        <v>2</v>
      </c>
      <c r="H48" s="40">
        <v>2</v>
      </c>
      <c r="I48" s="40">
        <v>0</v>
      </c>
      <c r="J48" s="40">
        <v>0</v>
      </c>
      <c r="K48" s="40">
        <v>0</v>
      </c>
      <c r="L48" s="18">
        <v>1</v>
      </c>
      <c r="M48" s="19"/>
      <c r="N48" s="19"/>
    </row>
    <row r="49" spans="1:14" ht="19.5" thickBot="1">
      <c r="A49" s="1" t="s">
        <v>1</v>
      </c>
      <c r="B49" s="11" t="s">
        <v>60</v>
      </c>
      <c r="C49" s="44" t="s">
        <v>61</v>
      </c>
      <c r="D49" s="44" t="s">
        <v>61</v>
      </c>
      <c r="E49" s="72" t="s">
        <v>61</v>
      </c>
      <c r="F49" s="13"/>
      <c r="G49" s="43" t="s">
        <v>61</v>
      </c>
      <c r="H49" s="44" t="s">
        <v>61</v>
      </c>
      <c r="I49" s="44" t="s">
        <v>61</v>
      </c>
      <c r="J49" s="44" t="s">
        <v>61</v>
      </c>
      <c r="K49" s="44" t="s">
        <v>61</v>
      </c>
      <c r="L49" s="12" t="s">
        <v>61</v>
      </c>
      <c r="M49" s="13"/>
      <c r="N49" s="13"/>
    </row>
  </sheetData>
  <phoneticPr fontId="4"/>
  <pageMargins left="0.31496062992125984" right="0.31496062992125984" top="0.15748031496062992" bottom="0.15748031496062992" header="0.11811023622047245" footer="0.11811023622047245"/>
  <pageSetup paperSize="12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2023年11月度給与 (2)</vt:lpstr>
      <vt:lpstr>'2023年11月度給与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2023-12-08T01:02:45Z</cp:lastPrinted>
  <dcterms:created xsi:type="dcterms:W3CDTF">2023-12-05T07:14:14Z</dcterms:created>
  <dcterms:modified xsi:type="dcterms:W3CDTF">2023-12-08T01:02:55Z</dcterms:modified>
</cp:coreProperties>
</file>