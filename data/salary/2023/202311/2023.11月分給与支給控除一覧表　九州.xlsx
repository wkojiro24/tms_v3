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11\"/>
    </mc:Choice>
  </mc:AlternateContent>
  <xr:revisionPtr revIDLastSave="0" documentId="13_ncr:1_{8A6FCA92-BE08-4A3D-BF8A-D95BDA198814}" xr6:coauthVersionLast="47" xr6:coauthVersionMax="47" xr10:uidLastSave="{00000000-0000-0000-0000-000000000000}"/>
  <bookViews>
    <workbookView xWindow="-120" yWindow="-120" windowWidth="20730" windowHeight="11160" xr2:uid="{31F18DD3-82E4-4F7A-B03B-F2E37F61ACAD}"/>
  </bookViews>
  <sheets>
    <sheet name="2023年11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" i="3" l="1"/>
  <c r="L7" i="3" s="1"/>
  <c r="K8" i="3"/>
  <c r="L8" i="3" s="1"/>
  <c r="K9" i="3"/>
  <c r="L9" i="3" s="1"/>
  <c r="K10" i="3"/>
  <c r="L10" i="3" s="1"/>
  <c r="K11" i="3"/>
  <c r="L11" i="3" s="1"/>
  <c r="K12" i="3"/>
  <c r="L12" i="3" s="1"/>
  <c r="K13" i="3"/>
  <c r="L13" i="3" s="1"/>
  <c r="K14" i="3"/>
  <c r="L14" i="3" s="1"/>
  <c r="K15" i="3"/>
  <c r="L15" i="3" s="1"/>
  <c r="K16" i="3"/>
  <c r="L16" i="3" s="1"/>
  <c r="K17" i="3"/>
  <c r="L17" i="3" s="1"/>
  <c r="K18" i="3"/>
  <c r="L18" i="3" s="1"/>
  <c r="K19" i="3"/>
  <c r="L19" i="3" s="1"/>
  <c r="K20" i="3"/>
  <c r="L20" i="3" s="1"/>
  <c r="K21" i="3"/>
  <c r="L21" i="3" s="1"/>
  <c r="K22" i="3"/>
  <c r="L22" i="3" s="1"/>
  <c r="K23" i="3"/>
  <c r="L23" i="3" s="1"/>
  <c r="K24" i="3"/>
  <c r="L24" i="3" s="1"/>
  <c r="K25" i="3"/>
  <c r="L25" i="3" s="1"/>
  <c r="K26" i="3"/>
  <c r="L26" i="3" s="1"/>
  <c r="K27" i="3"/>
  <c r="L27" i="3" s="1"/>
  <c r="K28" i="3"/>
  <c r="L28" i="3" s="1"/>
  <c r="K29" i="3"/>
  <c r="L29" i="3" s="1"/>
  <c r="K30" i="3"/>
  <c r="L30" i="3" s="1"/>
  <c r="K31" i="3"/>
  <c r="L31" i="3" s="1"/>
  <c r="K32" i="3"/>
  <c r="L32" i="3" s="1"/>
  <c r="K33" i="3"/>
  <c r="L33" i="3" s="1"/>
  <c r="K34" i="3"/>
  <c r="L34" i="3" s="1"/>
  <c r="K35" i="3"/>
  <c r="L35" i="3" s="1"/>
  <c r="K36" i="3"/>
  <c r="L36" i="3" s="1"/>
  <c r="K37" i="3"/>
  <c r="L37" i="3" s="1"/>
  <c r="K38" i="3"/>
  <c r="L38" i="3" s="1"/>
  <c r="K39" i="3"/>
  <c r="L39" i="3" s="1"/>
  <c r="K40" i="3"/>
  <c r="L40" i="3" s="1"/>
  <c r="K41" i="3"/>
  <c r="L41" i="3" s="1"/>
  <c r="K42" i="3"/>
  <c r="K6" i="3"/>
  <c r="L6" i="3" s="1"/>
  <c r="K5" i="3"/>
  <c r="L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6" i="3"/>
  <c r="E5" i="3"/>
</calcChain>
</file>

<file path=xl/sharedStrings.xml><?xml version="1.0" encoding="utf-8"?>
<sst xmlns="http://schemas.openxmlformats.org/spreadsheetml/2006/main" count="108" uniqueCount="61">
  <si>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</si>
  <si>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</si>
  <si>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</si>
  <si>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</si>
  <si>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</si>
  <si>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</si>
  <si>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1071</t>
    <phoneticPr fontId="4"/>
  </si>
  <si>
    <t>1097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</si>
  <si>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</si>
  <si>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</si>
  <si>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</si>
  <si>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</si>
  <si>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</si>
  <si>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</si>
  <si>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大賀　勇也</t>
    <phoneticPr fontId="4"/>
  </si>
  <si>
    <t>新田　竜二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</si>
  <si>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</si>
  <si>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</si>
  <si>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</si>
  <si>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</si>
  <si>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</si>
  <si>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</si>
  <si>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</si>
  <si>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</si>
  <si>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</si>
  <si>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</si>
  <si>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</si>
  <si>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</si>
  <si>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</si>
  <si>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</si>
  <si>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</si>
  <si>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</si>
  <si>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</si>
  <si>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</si>
  <si>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</si>
  <si>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</si>
  <si>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法定外休日残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</si>
  <si>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</si>
  <si>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</si>
  <si>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</si>
  <si>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</si>
  <si>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</si>
  <si>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</si>
  <si>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</si>
  <si>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</si>
  <si>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</si>
  <si>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</si>
  <si>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</si>
  <si>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</si>
  <si>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</si>
  <si>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</si>
  <si>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</si>
  <si>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</si>
  <si>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</si>
  <si>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</si>
  <si>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</si>
  <si>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2023年11月度給与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</si>
  <si>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</si>
  <si>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</si>
  <si>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5名</t>
    <rPh sb="1" eb="2">
      <t>メイ</t>
    </rPh>
    <phoneticPr fontId="3"/>
  </si>
  <si>
    <t>7名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</si>
</sst>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4" xfId="1" applyNumberFormat="1" applyFont="1" applyBorder="1"/>
    <xf numFmtId="3" fontId="2" fillId="0" borderId="0" xfId="1" applyNumberFormat="1" applyFont="1"/>
    <xf numFmtId="3" fontId="2" fillId="0" borderId="4" xfId="1" applyNumberFormat="1" applyFont="1" applyBorder="1"/>
    <xf numFmtId="49" fontId="2" fillId="0" borderId="3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3" xfId="1" applyNumberFormat="1" applyFont="1" applyBorder="1"/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2" fontId="2" fillId="0" borderId="7" xfId="1" applyNumberFormat="1" applyFont="1" applyBorder="1"/>
    <xf numFmtId="2" fontId="2" fillId="0" borderId="6" xfId="1" applyNumberFormat="1" applyFont="1" applyBorder="1"/>
    <xf numFmtId="3" fontId="2" fillId="0" borderId="7" xfId="1" applyNumberFormat="1" applyFont="1" applyBorder="1"/>
    <xf numFmtId="3" fontId="2" fillId="0" borderId="6" xfId="1" applyNumberFormat="1" applyFont="1" applyBorder="1"/>
    <xf numFmtId="41" fontId="2" fillId="0" borderId="6" xfId="1" applyNumberFormat="1" applyFont="1" applyBorder="1" applyAlignment="1">
      <alignment horizontal="left"/>
    </xf>
    <xf numFmtId="41" fontId="2" fillId="0" borderId="7" xfId="1" applyNumberFormat="1" applyFont="1" applyBorder="1"/>
    <xf numFmtId="41" fontId="2" fillId="0" borderId="6" xfId="1" applyNumberFormat="1" applyFont="1" applyBorder="1"/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176" fontId="2" fillId="0" borderId="12" xfId="1" applyNumberFormat="1" applyFont="1" applyBorder="1"/>
    <xf numFmtId="176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41" fontId="2" fillId="0" borderId="14" xfId="1" applyNumberFormat="1" applyFont="1" applyBorder="1"/>
    <xf numFmtId="41" fontId="2" fillId="0" borderId="15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16" xfId="1" applyNumberFormat="1" applyFont="1" applyBorder="1"/>
    <xf numFmtId="49" fontId="2" fillId="0" borderId="20" xfId="1" applyNumberFormat="1" applyFont="1" applyBorder="1" applyAlignment="1">
      <alignment horizontal="left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23" xfId="1" applyNumberFormat="1" applyFont="1" applyBorder="1"/>
    <xf numFmtId="176" fontId="2" fillId="0" borderId="20" xfId="1" applyNumberFormat="1" applyFont="1" applyBorder="1"/>
    <xf numFmtId="49" fontId="2" fillId="0" borderId="24" xfId="1" applyNumberFormat="1" applyFont="1" applyBorder="1" applyAlignment="1">
      <alignment horizontal="left"/>
    </xf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27" xfId="1" applyNumberFormat="1" applyFont="1" applyBorder="1"/>
    <xf numFmtId="3" fontId="2" fillId="0" borderId="24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0" xfId="1" applyNumberFormat="1" applyFont="1" applyBorder="1"/>
    <xf numFmtId="0" fontId="2" fillId="0" borderId="3" xfId="1" applyFont="1" applyBorder="1" applyAlignment="1">
      <alignment horizontal="right"/>
    </xf>
    <xf numFmtId="49" fontId="2" fillId="0" borderId="5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right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176" fontId="2" fillId="0" borderId="30" xfId="1" applyNumberFormat="1" applyFont="1" applyBorder="1"/>
    <xf numFmtId="2" fontId="2" fillId="0" borderId="31" xfId="1" applyNumberFormat="1" applyFont="1" applyBorder="1"/>
    <xf numFmtId="3" fontId="2" fillId="0" borderId="32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1" fontId="2" fillId="0" borderId="31" xfId="1" applyNumberFormat="1" applyFont="1" applyBorder="1"/>
    <xf numFmtId="49" fontId="2" fillId="0" borderId="33" xfId="1" applyNumberFormat="1" applyFont="1" applyBorder="1"/>
    <xf numFmtId="0" fontId="2" fillId="0" borderId="5" xfId="1" applyFont="1" applyBorder="1"/>
    <xf numFmtId="49" fontId="2" fillId="0" borderId="34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</cellXfs>
  <cellStyles count="2">
    <cellStyle name="標準" xfId="0" builtinId="0"/>
    <cellStyle name="標準 2" xfId="1" xr:uid="{B06A7DB7-F2B7-403B-85C5-87B7B90868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3CA8-E07A-433E-9F24-1EB25F9884C2}">
  <sheetPr>
    <pageSetUpPr fitToPage="1"/>
  </sheetPr>
  <dimension ref="A1:L43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2" width="11.375" style="2" customWidth="1"/>
    <col min="13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56</v>
      </c>
    </row>
    <row r="3" spans="1:12">
      <c r="B3" s="14"/>
      <c r="C3" s="24" t="s">
        <v>3</v>
      </c>
      <c r="D3" s="4" t="s">
        <v>8</v>
      </c>
      <c r="E3" s="63" t="s">
        <v>57</v>
      </c>
      <c r="F3" s="23" t="s">
        <v>2</v>
      </c>
      <c r="G3" s="24" t="s">
        <v>4</v>
      </c>
      <c r="H3" s="24" t="s">
        <v>5</v>
      </c>
      <c r="I3" s="24" t="s">
        <v>6</v>
      </c>
      <c r="J3" s="77" t="s">
        <v>7</v>
      </c>
      <c r="K3" s="63" t="s">
        <v>57</v>
      </c>
      <c r="L3" s="76" t="s">
        <v>17</v>
      </c>
    </row>
    <row r="4" spans="1:12" ht="19.5" thickBot="1">
      <c r="B4" s="5" t="s">
        <v>9</v>
      </c>
      <c r="C4" s="26" t="s">
        <v>11</v>
      </c>
      <c r="D4" s="3" t="s">
        <v>16</v>
      </c>
      <c r="E4" s="64" t="s">
        <v>58</v>
      </c>
      <c r="F4" s="25" t="s">
        <v>10</v>
      </c>
      <c r="G4" s="26" t="s">
        <v>12</v>
      </c>
      <c r="H4" s="26" t="s">
        <v>13</v>
      </c>
      <c r="I4" s="26" t="s">
        <v>14</v>
      </c>
      <c r="J4" s="78" t="s">
        <v>15</v>
      </c>
      <c r="K4" s="64" t="s">
        <v>59</v>
      </c>
      <c r="L4" s="62" t="s">
        <v>60</v>
      </c>
    </row>
    <row r="5" spans="1:12">
      <c r="A5" s="1" t="s">
        <v>1</v>
      </c>
      <c r="B5" s="39" t="s">
        <v>18</v>
      </c>
      <c r="C5" s="41">
        <v>20</v>
      </c>
      <c r="D5" s="42">
        <v>17</v>
      </c>
      <c r="E5" s="43">
        <f t="shared" ref="E5:E42" si="0">SUM(C5:D5)</f>
        <v>37</v>
      </c>
      <c r="F5" s="40">
        <v>20</v>
      </c>
      <c r="G5" s="41">
        <v>18</v>
      </c>
      <c r="H5" s="41">
        <v>20</v>
      </c>
      <c r="I5" s="41">
        <v>20</v>
      </c>
      <c r="J5" s="65">
        <v>19</v>
      </c>
      <c r="K5" s="43">
        <f>SUM(F5:J5)</f>
        <v>97</v>
      </c>
      <c r="L5" s="43">
        <f>SUM(K5,E5)</f>
        <v>134</v>
      </c>
    </row>
    <row r="6" spans="1:12">
      <c r="A6" s="1" t="s">
        <v>1</v>
      </c>
      <c r="B6" s="44" t="s">
        <v>19</v>
      </c>
      <c r="C6" s="46">
        <v>0</v>
      </c>
      <c r="D6" s="47">
        <v>0</v>
      </c>
      <c r="E6" s="48">
        <f t="shared" si="0"/>
        <v>0</v>
      </c>
      <c r="F6" s="45">
        <v>2</v>
      </c>
      <c r="G6" s="46">
        <v>4</v>
      </c>
      <c r="H6" s="46">
        <v>3</v>
      </c>
      <c r="I6" s="46">
        <v>3</v>
      </c>
      <c r="J6" s="66">
        <v>3</v>
      </c>
      <c r="K6" s="48">
        <f>SUM(F6:J6)</f>
        <v>15</v>
      </c>
      <c r="L6" s="48">
        <f t="shared" ref="L6:L41" si="1">SUM(K6,E6)</f>
        <v>15</v>
      </c>
    </row>
    <row r="7" spans="1:12">
      <c r="A7" s="1" t="s">
        <v>1</v>
      </c>
      <c r="B7" s="44" t="s">
        <v>20</v>
      </c>
      <c r="C7" s="46">
        <v>0</v>
      </c>
      <c r="D7" s="47">
        <v>0</v>
      </c>
      <c r="E7" s="48">
        <f t="shared" si="0"/>
        <v>0</v>
      </c>
      <c r="F7" s="45">
        <v>1</v>
      </c>
      <c r="G7" s="46">
        <v>1</v>
      </c>
      <c r="H7" s="46">
        <v>1</v>
      </c>
      <c r="I7" s="46">
        <v>0</v>
      </c>
      <c r="J7" s="66">
        <v>2</v>
      </c>
      <c r="K7" s="48">
        <f t="shared" ref="K7:K42" si="2">SUM(F7:J7)</f>
        <v>5</v>
      </c>
      <c r="L7" s="48">
        <f t="shared" si="1"/>
        <v>5</v>
      </c>
    </row>
    <row r="8" spans="1:12">
      <c r="A8" s="1" t="s">
        <v>1</v>
      </c>
      <c r="B8" s="44" t="s">
        <v>21</v>
      </c>
      <c r="C8" s="46">
        <v>0</v>
      </c>
      <c r="D8" s="47">
        <v>0</v>
      </c>
      <c r="E8" s="48">
        <f t="shared" si="0"/>
        <v>0</v>
      </c>
      <c r="F8" s="45">
        <v>0</v>
      </c>
      <c r="G8" s="46">
        <v>1</v>
      </c>
      <c r="H8" s="46">
        <v>0</v>
      </c>
      <c r="I8" s="46">
        <v>0</v>
      </c>
      <c r="J8" s="66">
        <v>1</v>
      </c>
      <c r="K8" s="48">
        <f t="shared" si="2"/>
        <v>2</v>
      </c>
      <c r="L8" s="48">
        <f t="shared" si="1"/>
        <v>2</v>
      </c>
    </row>
    <row r="9" spans="1:12">
      <c r="A9" s="1" t="s">
        <v>1</v>
      </c>
      <c r="B9" s="44" t="s">
        <v>22</v>
      </c>
      <c r="C9" s="46">
        <v>0</v>
      </c>
      <c r="D9" s="47">
        <v>0</v>
      </c>
      <c r="E9" s="48">
        <f t="shared" si="0"/>
        <v>0</v>
      </c>
      <c r="F9" s="45">
        <v>0</v>
      </c>
      <c r="G9" s="46">
        <v>1</v>
      </c>
      <c r="H9" s="46">
        <v>0</v>
      </c>
      <c r="I9" s="46">
        <v>0</v>
      </c>
      <c r="J9" s="66">
        <v>0</v>
      </c>
      <c r="K9" s="48">
        <f t="shared" si="2"/>
        <v>1</v>
      </c>
      <c r="L9" s="48">
        <f t="shared" si="1"/>
        <v>1</v>
      </c>
    </row>
    <row r="10" spans="1:12">
      <c r="A10" s="1" t="s">
        <v>1</v>
      </c>
      <c r="B10" s="44" t="s">
        <v>23</v>
      </c>
      <c r="C10" s="50">
        <v>0</v>
      </c>
      <c r="D10" s="51">
        <v>3.4166666666666665</v>
      </c>
      <c r="E10" s="52">
        <f t="shared" si="0"/>
        <v>3.4166666666666665</v>
      </c>
      <c r="F10" s="49">
        <v>0</v>
      </c>
      <c r="G10" s="50">
        <v>0</v>
      </c>
      <c r="H10" s="50">
        <v>0</v>
      </c>
      <c r="I10" s="50">
        <v>0</v>
      </c>
      <c r="J10" s="67">
        <v>0</v>
      </c>
      <c r="K10" s="52">
        <f t="shared" si="2"/>
        <v>0</v>
      </c>
      <c r="L10" s="52">
        <f t="shared" si="1"/>
        <v>3.4166666666666665</v>
      </c>
    </row>
    <row r="11" spans="1:12">
      <c r="A11" s="1" t="s">
        <v>1</v>
      </c>
      <c r="B11" s="44" t="s">
        <v>24</v>
      </c>
      <c r="C11" s="50">
        <v>0</v>
      </c>
      <c r="D11" s="51">
        <v>0</v>
      </c>
      <c r="E11" s="52">
        <f t="shared" si="0"/>
        <v>0</v>
      </c>
      <c r="F11" s="49">
        <v>0.875</v>
      </c>
      <c r="G11" s="50">
        <v>1.125</v>
      </c>
      <c r="H11" s="50">
        <v>1.125</v>
      </c>
      <c r="I11" s="50">
        <v>1.125</v>
      </c>
      <c r="J11" s="67">
        <v>1.1666666666666667</v>
      </c>
      <c r="K11" s="52">
        <f t="shared" si="2"/>
        <v>5.416666666666667</v>
      </c>
      <c r="L11" s="52">
        <f t="shared" si="1"/>
        <v>5.416666666666667</v>
      </c>
    </row>
    <row r="12" spans="1:12">
      <c r="A12" s="1" t="s">
        <v>1</v>
      </c>
      <c r="B12" s="44" t="s">
        <v>25</v>
      </c>
      <c r="C12" s="50">
        <v>0</v>
      </c>
      <c r="D12" s="51">
        <v>0</v>
      </c>
      <c r="E12" s="52">
        <f t="shared" si="0"/>
        <v>0</v>
      </c>
      <c r="F12" s="49">
        <v>0.29166666666666669</v>
      </c>
      <c r="G12" s="50">
        <v>1.5416666666666665</v>
      </c>
      <c r="H12" s="50">
        <v>1.0416666666666667</v>
      </c>
      <c r="I12" s="50">
        <v>1.125</v>
      </c>
      <c r="J12" s="67">
        <v>1.25</v>
      </c>
      <c r="K12" s="52">
        <f t="shared" si="2"/>
        <v>5.25</v>
      </c>
      <c r="L12" s="52">
        <f t="shared" si="1"/>
        <v>5.25</v>
      </c>
    </row>
    <row r="13" spans="1:12">
      <c r="A13" s="1" t="s">
        <v>1</v>
      </c>
      <c r="B13" s="44" t="s">
        <v>26</v>
      </c>
      <c r="C13" s="50">
        <v>0</v>
      </c>
      <c r="D13" s="51">
        <v>0</v>
      </c>
      <c r="E13" s="52">
        <f t="shared" si="0"/>
        <v>0</v>
      </c>
      <c r="F13" s="49">
        <v>0.54166666666666663</v>
      </c>
      <c r="G13" s="50">
        <v>0</v>
      </c>
      <c r="H13" s="50">
        <v>0.33333333333333331</v>
      </c>
      <c r="I13" s="50">
        <v>0</v>
      </c>
      <c r="J13" s="67">
        <v>0.33333333333333331</v>
      </c>
      <c r="K13" s="52">
        <f t="shared" si="2"/>
        <v>1.2083333333333333</v>
      </c>
      <c r="L13" s="52">
        <f t="shared" si="1"/>
        <v>1.2083333333333333</v>
      </c>
    </row>
    <row r="14" spans="1:12">
      <c r="A14" s="1" t="s">
        <v>1</v>
      </c>
      <c r="B14" s="44" t="s">
        <v>27</v>
      </c>
      <c r="C14" s="50">
        <v>0</v>
      </c>
      <c r="D14" s="51">
        <v>0</v>
      </c>
      <c r="E14" s="52">
        <f t="shared" si="0"/>
        <v>0</v>
      </c>
      <c r="F14" s="49">
        <v>0</v>
      </c>
      <c r="G14" s="50">
        <v>0.375</v>
      </c>
      <c r="H14" s="50">
        <v>0</v>
      </c>
      <c r="I14" s="50">
        <v>0</v>
      </c>
      <c r="J14" s="67">
        <v>0.29166666666666669</v>
      </c>
      <c r="K14" s="52">
        <f t="shared" si="2"/>
        <v>0.66666666666666674</v>
      </c>
      <c r="L14" s="52">
        <f t="shared" si="1"/>
        <v>0.66666666666666674</v>
      </c>
    </row>
    <row r="15" spans="1:12">
      <c r="A15" s="1" t="s">
        <v>1</v>
      </c>
      <c r="B15" s="6" t="s">
        <v>28</v>
      </c>
      <c r="C15" s="28">
        <v>0</v>
      </c>
      <c r="D15" s="7">
        <v>0</v>
      </c>
      <c r="E15" s="8">
        <f t="shared" si="0"/>
        <v>0</v>
      </c>
      <c r="F15" s="27">
        <v>0.16666666666666666</v>
      </c>
      <c r="G15" s="28">
        <v>0.16666666666666666</v>
      </c>
      <c r="H15" s="28">
        <v>0.20833333333333334</v>
      </c>
      <c r="I15" s="28">
        <v>0.20833333333333334</v>
      </c>
      <c r="J15" s="68">
        <v>0.16666666666666666</v>
      </c>
      <c r="K15" s="8">
        <f t="shared" si="2"/>
        <v>0.91666666666666663</v>
      </c>
      <c r="L15" s="8">
        <f t="shared" si="1"/>
        <v>0.91666666666666663</v>
      </c>
    </row>
    <row r="16" spans="1:12">
      <c r="A16" s="1" t="s">
        <v>1</v>
      </c>
      <c r="B16" s="15" t="s">
        <v>29</v>
      </c>
      <c r="C16" s="30">
        <v>35</v>
      </c>
      <c r="D16" s="16">
        <v>29</v>
      </c>
      <c r="E16" s="17">
        <f t="shared" si="0"/>
        <v>64</v>
      </c>
      <c r="F16" s="29">
        <v>9</v>
      </c>
      <c r="G16" s="30">
        <v>19</v>
      </c>
      <c r="H16" s="30">
        <v>22</v>
      </c>
      <c r="I16" s="30">
        <v>20</v>
      </c>
      <c r="J16" s="69">
        <v>14</v>
      </c>
      <c r="K16" s="17">
        <f t="shared" si="2"/>
        <v>84</v>
      </c>
      <c r="L16" s="17">
        <f t="shared" si="1"/>
        <v>148</v>
      </c>
    </row>
    <row r="17" spans="1:12">
      <c r="A17" s="1" t="s">
        <v>1</v>
      </c>
      <c r="B17" s="53" t="s">
        <v>30</v>
      </c>
      <c r="C17" s="55">
        <v>365000</v>
      </c>
      <c r="D17" s="56">
        <v>0</v>
      </c>
      <c r="E17" s="57">
        <f t="shared" si="0"/>
        <v>365000</v>
      </c>
      <c r="F17" s="54">
        <v>187000</v>
      </c>
      <c r="G17" s="55">
        <v>187000</v>
      </c>
      <c r="H17" s="55">
        <v>182000</v>
      </c>
      <c r="I17" s="55">
        <v>187000</v>
      </c>
      <c r="J17" s="70">
        <v>170000</v>
      </c>
      <c r="K17" s="57">
        <f t="shared" si="2"/>
        <v>913000</v>
      </c>
      <c r="L17" s="57">
        <f t="shared" si="1"/>
        <v>1278000</v>
      </c>
    </row>
    <row r="18" spans="1:12">
      <c r="A18" s="1" t="s">
        <v>1</v>
      </c>
      <c r="B18" s="44" t="s">
        <v>31</v>
      </c>
      <c r="C18" s="59">
        <v>0</v>
      </c>
      <c r="D18" s="60">
        <v>0</v>
      </c>
      <c r="E18" s="61">
        <f t="shared" si="0"/>
        <v>0</v>
      </c>
      <c r="F18" s="58">
        <v>6000</v>
      </c>
      <c r="G18" s="59">
        <v>0</v>
      </c>
      <c r="H18" s="59">
        <v>6000</v>
      </c>
      <c r="I18" s="59">
        <v>0</v>
      </c>
      <c r="J18" s="71">
        <v>0</v>
      </c>
      <c r="K18" s="61">
        <f t="shared" si="2"/>
        <v>12000</v>
      </c>
      <c r="L18" s="61">
        <f t="shared" si="1"/>
        <v>12000</v>
      </c>
    </row>
    <row r="19" spans="1:12">
      <c r="A19" s="1" t="s">
        <v>1</v>
      </c>
      <c r="B19" s="44" t="s">
        <v>32</v>
      </c>
      <c r="C19" s="59">
        <v>0</v>
      </c>
      <c r="D19" s="60">
        <v>0</v>
      </c>
      <c r="E19" s="61">
        <f t="shared" si="0"/>
        <v>0</v>
      </c>
      <c r="F19" s="58">
        <v>73254</v>
      </c>
      <c r="G19" s="59">
        <v>62439</v>
      </c>
      <c r="H19" s="59">
        <v>66253</v>
      </c>
      <c r="I19" s="59">
        <v>62457</v>
      </c>
      <c r="J19" s="71">
        <v>40736</v>
      </c>
      <c r="K19" s="61">
        <f t="shared" si="2"/>
        <v>305139</v>
      </c>
      <c r="L19" s="61">
        <f t="shared" si="1"/>
        <v>305139</v>
      </c>
    </row>
    <row r="20" spans="1:12">
      <c r="A20" s="1" t="s">
        <v>1</v>
      </c>
      <c r="B20" s="44" t="s">
        <v>33</v>
      </c>
      <c r="C20" s="59">
        <v>0</v>
      </c>
      <c r="D20" s="60">
        <v>83640</v>
      </c>
      <c r="E20" s="61">
        <f t="shared" si="0"/>
        <v>83640</v>
      </c>
      <c r="F20" s="58">
        <v>0</v>
      </c>
      <c r="G20" s="59">
        <v>0</v>
      </c>
      <c r="H20" s="59">
        <v>0</v>
      </c>
      <c r="I20" s="59">
        <v>0</v>
      </c>
      <c r="J20" s="71">
        <v>0</v>
      </c>
      <c r="K20" s="61">
        <f t="shared" si="2"/>
        <v>0</v>
      </c>
      <c r="L20" s="61">
        <f t="shared" si="1"/>
        <v>83640</v>
      </c>
    </row>
    <row r="21" spans="1:12">
      <c r="A21" s="1" t="s">
        <v>1</v>
      </c>
      <c r="B21" s="44" t="s">
        <v>34</v>
      </c>
      <c r="C21" s="59">
        <v>0</v>
      </c>
      <c r="D21" s="60">
        <v>0</v>
      </c>
      <c r="E21" s="61">
        <f t="shared" si="0"/>
        <v>0</v>
      </c>
      <c r="F21" s="58">
        <v>3500</v>
      </c>
      <c r="G21" s="59">
        <v>3500</v>
      </c>
      <c r="H21" s="59">
        <v>3500</v>
      </c>
      <c r="I21" s="59">
        <v>3500</v>
      </c>
      <c r="J21" s="71">
        <v>0</v>
      </c>
      <c r="K21" s="61">
        <f t="shared" si="2"/>
        <v>14000</v>
      </c>
      <c r="L21" s="61">
        <f t="shared" si="1"/>
        <v>14000</v>
      </c>
    </row>
    <row r="22" spans="1:12">
      <c r="A22" s="1" t="s">
        <v>1</v>
      </c>
      <c r="B22" s="44" t="s">
        <v>24</v>
      </c>
      <c r="C22" s="59">
        <v>0</v>
      </c>
      <c r="D22" s="60">
        <v>0</v>
      </c>
      <c r="E22" s="61">
        <f t="shared" si="0"/>
        <v>0</v>
      </c>
      <c r="F22" s="58">
        <v>30891</v>
      </c>
      <c r="G22" s="59">
        <v>38502</v>
      </c>
      <c r="H22" s="59">
        <v>38718</v>
      </c>
      <c r="I22" s="59">
        <v>38502</v>
      </c>
      <c r="J22" s="71">
        <v>35644</v>
      </c>
      <c r="K22" s="61">
        <f t="shared" si="2"/>
        <v>182257</v>
      </c>
      <c r="L22" s="61">
        <f t="shared" si="1"/>
        <v>182257</v>
      </c>
    </row>
    <row r="23" spans="1:12">
      <c r="A23" s="1" t="s">
        <v>1</v>
      </c>
      <c r="B23" s="44" t="s">
        <v>35</v>
      </c>
      <c r="C23" s="59">
        <v>0</v>
      </c>
      <c r="D23" s="60">
        <v>0</v>
      </c>
      <c r="E23" s="61">
        <f t="shared" si="0"/>
        <v>0</v>
      </c>
      <c r="F23" s="58">
        <v>11123</v>
      </c>
      <c r="G23" s="59">
        <v>56980</v>
      </c>
      <c r="H23" s="59">
        <v>38700</v>
      </c>
      <c r="I23" s="59">
        <v>41580</v>
      </c>
      <c r="J23" s="71">
        <v>41220</v>
      </c>
      <c r="K23" s="61">
        <f t="shared" si="2"/>
        <v>189603</v>
      </c>
      <c r="L23" s="61">
        <f t="shared" si="1"/>
        <v>189603</v>
      </c>
    </row>
    <row r="24" spans="1:12">
      <c r="A24" s="1" t="s">
        <v>1</v>
      </c>
      <c r="B24" s="44" t="s">
        <v>36</v>
      </c>
      <c r="C24" s="59">
        <v>0</v>
      </c>
      <c r="D24" s="60">
        <v>0</v>
      </c>
      <c r="E24" s="61">
        <f t="shared" si="0"/>
        <v>0</v>
      </c>
      <c r="F24" s="58">
        <v>20657</v>
      </c>
      <c r="G24" s="59">
        <v>0</v>
      </c>
      <c r="H24" s="59">
        <v>12384</v>
      </c>
      <c r="I24" s="59">
        <v>0</v>
      </c>
      <c r="J24" s="71">
        <v>10992</v>
      </c>
      <c r="K24" s="61">
        <f t="shared" si="2"/>
        <v>44033</v>
      </c>
      <c r="L24" s="61">
        <f t="shared" si="1"/>
        <v>44033</v>
      </c>
    </row>
    <row r="25" spans="1:12">
      <c r="A25" s="1" t="s">
        <v>1</v>
      </c>
      <c r="B25" s="44" t="s">
        <v>37</v>
      </c>
      <c r="C25" s="59">
        <v>0</v>
      </c>
      <c r="D25" s="60">
        <v>0</v>
      </c>
      <c r="E25" s="61">
        <f t="shared" si="0"/>
        <v>0</v>
      </c>
      <c r="F25" s="58">
        <v>0</v>
      </c>
      <c r="G25" s="59">
        <v>3591</v>
      </c>
      <c r="H25" s="59">
        <v>0</v>
      </c>
      <c r="I25" s="59">
        <v>0</v>
      </c>
      <c r="J25" s="71">
        <v>2492</v>
      </c>
      <c r="K25" s="61">
        <f t="shared" si="2"/>
        <v>6083</v>
      </c>
      <c r="L25" s="61">
        <f t="shared" si="1"/>
        <v>6083</v>
      </c>
    </row>
    <row r="26" spans="1:12">
      <c r="A26" s="1" t="s">
        <v>1</v>
      </c>
      <c r="B26" s="6" t="s">
        <v>28</v>
      </c>
      <c r="C26" s="32">
        <v>0</v>
      </c>
      <c r="D26" s="9">
        <v>0</v>
      </c>
      <c r="E26" s="10">
        <f t="shared" si="0"/>
        <v>0</v>
      </c>
      <c r="F26" s="31">
        <v>1176</v>
      </c>
      <c r="G26" s="32">
        <v>1140</v>
      </c>
      <c r="H26" s="32">
        <v>1435</v>
      </c>
      <c r="I26" s="32">
        <v>1425</v>
      </c>
      <c r="J26" s="72">
        <v>1020</v>
      </c>
      <c r="K26" s="10">
        <f t="shared" si="2"/>
        <v>6196</v>
      </c>
      <c r="L26" s="10">
        <f t="shared" si="1"/>
        <v>6196</v>
      </c>
    </row>
    <row r="27" spans="1:12">
      <c r="A27" s="1" t="s">
        <v>1</v>
      </c>
      <c r="B27" s="15" t="s">
        <v>38</v>
      </c>
      <c r="C27" s="34">
        <v>365000</v>
      </c>
      <c r="D27" s="18">
        <v>83640</v>
      </c>
      <c r="E27" s="19">
        <f t="shared" si="0"/>
        <v>448640</v>
      </c>
      <c r="F27" s="33">
        <v>333601</v>
      </c>
      <c r="G27" s="34">
        <v>353152</v>
      </c>
      <c r="H27" s="34">
        <v>348990</v>
      </c>
      <c r="I27" s="34">
        <v>334464</v>
      </c>
      <c r="J27" s="73">
        <v>302104</v>
      </c>
      <c r="K27" s="19">
        <f t="shared" si="2"/>
        <v>1672311</v>
      </c>
      <c r="L27" s="19">
        <f t="shared" si="1"/>
        <v>2120951</v>
      </c>
    </row>
    <row r="28" spans="1:12">
      <c r="A28" s="1" t="s">
        <v>1</v>
      </c>
      <c r="B28" s="53" t="s">
        <v>39</v>
      </c>
      <c r="C28" s="55">
        <v>5205</v>
      </c>
      <c r="D28" s="56">
        <v>3226</v>
      </c>
      <c r="E28" s="57">
        <f t="shared" si="0"/>
        <v>8431</v>
      </c>
      <c r="F28" s="54">
        <v>1871</v>
      </c>
      <c r="G28" s="55">
        <v>5612</v>
      </c>
      <c r="H28" s="55">
        <v>11060</v>
      </c>
      <c r="I28" s="55">
        <v>1871</v>
      </c>
      <c r="J28" s="70">
        <v>7808</v>
      </c>
      <c r="K28" s="57">
        <f t="shared" si="2"/>
        <v>28222</v>
      </c>
      <c r="L28" s="57">
        <f t="shared" si="1"/>
        <v>36653</v>
      </c>
    </row>
    <row r="29" spans="1:12">
      <c r="A29" s="1" t="s">
        <v>1</v>
      </c>
      <c r="B29" s="6" t="s">
        <v>40</v>
      </c>
      <c r="C29" s="32">
        <v>5205</v>
      </c>
      <c r="D29" s="9">
        <v>3226</v>
      </c>
      <c r="E29" s="10">
        <f t="shared" si="0"/>
        <v>8431</v>
      </c>
      <c r="F29" s="31">
        <v>1871</v>
      </c>
      <c r="G29" s="32">
        <v>5612</v>
      </c>
      <c r="H29" s="32">
        <v>11060</v>
      </c>
      <c r="I29" s="32">
        <v>1871</v>
      </c>
      <c r="J29" s="72">
        <v>7808</v>
      </c>
      <c r="K29" s="10">
        <f t="shared" si="2"/>
        <v>28222</v>
      </c>
      <c r="L29" s="10">
        <f t="shared" si="1"/>
        <v>36653</v>
      </c>
    </row>
    <row r="30" spans="1:12">
      <c r="A30" s="1" t="s">
        <v>1</v>
      </c>
      <c r="B30" s="20" t="s">
        <v>41</v>
      </c>
      <c r="C30" s="36">
        <v>370205</v>
      </c>
      <c r="D30" s="21">
        <v>86866</v>
      </c>
      <c r="E30" s="22">
        <f t="shared" si="0"/>
        <v>457071</v>
      </c>
      <c r="F30" s="35">
        <v>335472</v>
      </c>
      <c r="G30" s="36">
        <v>358764</v>
      </c>
      <c r="H30" s="36">
        <v>360050</v>
      </c>
      <c r="I30" s="36">
        <v>336335</v>
      </c>
      <c r="J30" s="74">
        <v>309912</v>
      </c>
      <c r="K30" s="22">
        <f t="shared" si="2"/>
        <v>1700533</v>
      </c>
      <c r="L30" s="22">
        <f t="shared" si="1"/>
        <v>2157604</v>
      </c>
    </row>
    <row r="31" spans="1:12">
      <c r="A31" s="1" t="s">
        <v>1</v>
      </c>
      <c r="B31" s="53" t="s">
        <v>42</v>
      </c>
      <c r="C31" s="55">
        <v>19380</v>
      </c>
      <c r="D31" s="56">
        <v>0</v>
      </c>
      <c r="E31" s="57">
        <f t="shared" si="0"/>
        <v>19380</v>
      </c>
      <c r="F31" s="54">
        <v>17340</v>
      </c>
      <c r="G31" s="55">
        <v>17340</v>
      </c>
      <c r="H31" s="55">
        <v>17340</v>
      </c>
      <c r="I31" s="55">
        <v>16320</v>
      </c>
      <c r="J31" s="70">
        <v>14280</v>
      </c>
      <c r="K31" s="57">
        <f t="shared" si="2"/>
        <v>82620</v>
      </c>
      <c r="L31" s="57">
        <f t="shared" si="1"/>
        <v>102000</v>
      </c>
    </row>
    <row r="32" spans="1:12">
      <c r="A32" s="1" t="s">
        <v>1</v>
      </c>
      <c r="B32" s="44" t="s">
        <v>43</v>
      </c>
      <c r="C32" s="59">
        <v>3420</v>
      </c>
      <c r="D32" s="60">
        <v>0</v>
      </c>
      <c r="E32" s="61">
        <f t="shared" si="0"/>
        <v>3420</v>
      </c>
      <c r="F32" s="58">
        <v>0</v>
      </c>
      <c r="G32" s="59">
        <v>3060</v>
      </c>
      <c r="H32" s="59">
        <v>3060</v>
      </c>
      <c r="I32" s="59">
        <v>2880</v>
      </c>
      <c r="J32" s="71">
        <v>2520</v>
      </c>
      <c r="K32" s="61">
        <f t="shared" si="2"/>
        <v>11520</v>
      </c>
      <c r="L32" s="61">
        <f t="shared" si="1"/>
        <v>14940</v>
      </c>
    </row>
    <row r="33" spans="1:12">
      <c r="A33" s="1" t="s">
        <v>1</v>
      </c>
      <c r="B33" s="44" t="s">
        <v>44</v>
      </c>
      <c r="C33" s="59">
        <v>34770</v>
      </c>
      <c r="D33" s="60">
        <v>0</v>
      </c>
      <c r="E33" s="61">
        <f t="shared" si="0"/>
        <v>34770</v>
      </c>
      <c r="F33" s="58">
        <v>31110</v>
      </c>
      <c r="G33" s="59">
        <v>31110</v>
      </c>
      <c r="H33" s="59">
        <v>31110</v>
      </c>
      <c r="I33" s="59">
        <v>29280</v>
      </c>
      <c r="J33" s="71">
        <v>25620</v>
      </c>
      <c r="K33" s="61">
        <f t="shared" si="2"/>
        <v>148230</v>
      </c>
      <c r="L33" s="61">
        <f t="shared" si="1"/>
        <v>183000</v>
      </c>
    </row>
    <row r="34" spans="1:12">
      <c r="A34" s="1" t="s">
        <v>1</v>
      </c>
      <c r="B34" s="6" t="s">
        <v>45</v>
      </c>
      <c r="C34" s="32">
        <v>2221</v>
      </c>
      <c r="D34" s="9">
        <v>521</v>
      </c>
      <c r="E34" s="10">
        <f t="shared" si="0"/>
        <v>2742</v>
      </c>
      <c r="F34" s="31">
        <v>2013</v>
      </c>
      <c r="G34" s="32">
        <v>2153</v>
      </c>
      <c r="H34" s="32">
        <v>2160</v>
      </c>
      <c r="I34" s="32">
        <v>2018</v>
      </c>
      <c r="J34" s="72">
        <v>1859</v>
      </c>
      <c r="K34" s="10">
        <f t="shared" si="2"/>
        <v>10203</v>
      </c>
      <c r="L34" s="10">
        <f t="shared" si="1"/>
        <v>12945</v>
      </c>
    </row>
    <row r="35" spans="1:12">
      <c r="A35" s="1" t="s">
        <v>1</v>
      </c>
      <c r="B35" s="15" t="s">
        <v>46</v>
      </c>
      <c r="C35" s="34">
        <v>59791</v>
      </c>
      <c r="D35" s="18">
        <v>521</v>
      </c>
      <c r="E35" s="19">
        <f t="shared" si="0"/>
        <v>60312</v>
      </c>
      <c r="F35" s="33">
        <v>50463</v>
      </c>
      <c r="G35" s="34">
        <v>53663</v>
      </c>
      <c r="H35" s="34">
        <v>53670</v>
      </c>
      <c r="I35" s="34">
        <v>50498</v>
      </c>
      <c r="J35" s="73">
        <v>44279</v>
      </c>
      <c r="K35" s="19">
        <f t="shared" si="2"/>
        <v>252573</v>
      </c>
      <c r="L35" s="19">
        <f t="shared" si="1"/>
        <v>312885</v>
      </c>
    </row>
    <row r="36" spans="1:12">
      <c r="A36" s="1" t="s">
        <v>1</v>
      </c>
      <c r="B36" s="53" t="s">
        <v>47</v>
      </c>
      <c r="C36" s="55">
        <v>8810</v>
      </c>
      <c r="D36" s="56">
        <v>0</v>
      </c>
      <c r="E36" s="57">
        <f t="shared" si="0"/>
        <v>8810</v>
      </c>
      <c r="F36" s="54">
        <v>7740</v>
      </c>
      <c r="G36" s="55">
        <v>6700</v>
      </c>
      <c r="H36" s="55">
        <v>8170</v>
      </c>
      <c r="I36" s="55">
        <v>6150</v>
      </c>
      <c r="J36" s="70">
        <v>6830</v>
      </c>
      <c r="K36" s="57">
        <f t="shared" si="2"/>
        <v>35590</v>
      </c>
      <c r="L36" s="57">
        <f t="shared" si="1"/>
        <v>44400</v>
      </c>
    </row>
    <row r="37" spans="1:12">
      <c r="A37" s="1" t="s">
        <v>1</v>
      </c>
      <c r="B37" s="6" t="s">
        <v>48</v>
      </c>
      <c r="C37" s="32">
        <v>20000</v>
      </c>
      <c r="D37" s="9">
        <v>500</v>
      </c>
      <c r="E37" s="10">
        <f t="shared" si="0"/>
        <v>20500</v>
      </c>
      <c r="F37" s="31">
        <v>11800</v>
      </c>
      <c r="G37" s="32">
        <v>10200</v>
      </c>
      <c r="H37" s="32">
        <v>3500</v>
      </c>
      <c r="I37" s="32">
        <v>4000</v>
      </c>
      <c r="J37" s="72">
        <v>11900</v>
      </c>
      <c r="K37" s="10">
        <f t="shared" si="2"/>
        <v>41400</v>
      </c>
      <c r="L37" s="10">
        <f t="shared" si="1"/>
        <v>61900</v>
      </c>
    </row>
    <row r="38" spans="1:12">
      <c r="A38" s="1" t="s">
        <v>1</v>
      </c>
      <c r="B38" s="15" t="s">
        <v>49</v>
      </c>
      <c r="C38" s="34">
        <v>88601</v>
      </c>
      <c r="D38" s="18">
        <v>1021</v>
      </c>
      <c r="E38" s="19">
        <f t="shared" si="0"/>
        <v>89622</v>
      </c>
      <c r="F38" s="33">
        <v>70003</v>
      </c>
      <c r="G38" s="34">
        <v>70563</v>
      </c>
      <c r="H38" s="34">
        <v>65340</v>
      </c>
      <c r="I38" s="34">
        <v>60648</v>
      </c>
      <c r="J38" s="73">
        <v>63009</v>
      </c>
      <c r="K38" s="19">
        <f t="shared" si="2"/>
        <v>329563</v>
      </c>
      <c r="L38" s="19">
        <f t="shared" si="1"/>
        <v>419185</v>
      </c>
    </row>
    <row r="39" spans="1:12">
      <c r="A39" s="1" t="s">
        <v>1</v>
      </c>
      <c r="B39" s="15" t="s">
        <v>50</v>
      </c>
      <c r="C39" s="34">
        <v>305209</v>
      </c>
      <c r="D39" s="18">
        <v>83119</v>
      </c>
      <c r="E39" s="19">
        <f t="shared" si="0"/>
        <v>388328</v>
      </c>
      <c r="F39" s="33">
        <v>283138</v>
      </c>
      <c r="G39" s="34">
        <v>299489</v>
      </c>
      <c r="H39" s="34">
        <v>295320</v>
      </c>
      <c r="I39" s="34">
        <v>283966</v>
      </c>
      <c r="J39" s="73">
        <v>257825</v>
      </c>
      <c r="K39" s="19">
        <f t="shared" si="2"/>
        <v>1419738</v>
      </c>
      <c r="L39" s="19">
        <f t="shared" si="1"/>
        <v>1808066</v>
      </c>
    </row>
    <row r="40" spans="1:12">
      <c r="A40" s="1" t="s">
        <v>1</v>
      </c>
      <c r="B40" s="15" t="s">
        <v>51</v>
      </c>
      <c r="C40" s="34">
        <v>281604</v>
      </c>
      <c r="D40" s="18">
        <v>85845</v>
      </c>
      <c r="E40" s="19">
        <f t="shared" si="0"/>
        <v>367449</v>
      </c>
      <c r="F40" s="33">
        <v>265469</v>
      </c>
      <c r="G40" s="34">
        <v>288201</v>
      </c>
      <c r="H40" s="34">
        <v>294710</v>
      </c>
      <c r="I40" s="34">
        <v>275687</v>
      </c>
      <c r="J40" s="73">
        <v>246903</v>
      </c>
      <c r="K40" s="19">
        <f t="shared" si="2"/>
        <v>1370970</v>
      </c>
      <c r="L40" s="19">
        <f t="shared" si="1"/>
        <v>1738419</v>
      </c>
    </row>
    <row r="41" spans="1:12">
      <c r="A41" s="1" t="s">
        <v>1</v>
      </c>
      <c r="B41" s="15" t="s">
        <v>52</v>
      </c>
      <c r="C41" s="34">
        <v>281604</v>
      </c>
      <c r="D41" s="18">
        <v>85845</v>
      </c>
      <c r="E41" s="19">
        <f t="shared" si="0"/>
        <v>367449</v>
      </c>
      <c r="F41" s="33">
        <v>265469</v>
      </c>
      <c r="G41" s="34">
        <v>288201</v>
      </c>
      <c r="H41" s="34">
        <v>294710</v>
      </c>
      <c r="I41" s="34">
        <v>275687</v>
      </c>
      <c r="J41" s="73">
        <v>246903</v>
      </c>
      <c r="K41" s="19">
        <f t="shared" si="2"/>
        <v>1370970</v>
      </c>
      <c r="L41" s="19">
        <f t="shared" si="1"/>
        <v>1738419</v>
      </c>
    </row>
    <row r="42" spans="1:12">
      <c r="A42" s="1" t="s">
        <v>1</v>
      </c>
      <c r="B42" s="15" t="s">
        <v>53</v>
      </c>
      <c r="C42" s="34">
        <v>0</v>
      </c>
      <c r="D42" s="18">
        <v>0</v>
      </c>
      <c r="E42" s="19">
        <f t="shared" si="0"/>
        <v>0</v>
      </c>
      <c r="F42" s="33">
        <v>0</v>
      </c>
      <c r="G42" s="34">
        <v>1</v>
      </c>
      <c r="H42" s="34">
        <v>0</v>
      </c>
      <c r="I42" s="34">
        <v>1</v>
      </c>
      <c r="J42" s="73">
        <v>0</v>
      </c>
      <c r="K42" s="19">
        <f t="shared" si="2"/>
        <v>2</v>
      </c>
      <c r="L42" s="19"/>
    </row>
    <row r="43" spans="1:12" ht="19.5" thickBot="1">
      <c r="A43" s="1" t="s">
        <v>1</v>
      </c>
      <c r="B43" s="11" t="s">
        <v>54</v>
      </c>
      <c r="C43" s="38" t="s">
        <v>55</v>
      </c>
      <c r="D43" s="12" t="s">
        <v>55</v>
      </c>
      <c r="E43" s="13"/>
      <c r="F43" s="37" t="s">
        <v>55</v>
      </c>
      <c r="G43" s="38" t="s">
        <v>55</v>
      </c>
      <c r="H43" s="38" t="s">
        <v>55</v>
      </c>
      <c r="I43" s="38" t="s">
        <v>55</v>
      </c>
      <c r="J43" s="75" t="s">
        <v>55</v>
      </c>
      <c r="K43" s="13"/>
      <c r="L43" s="13"/>
    </row>
  </sheetData>
  <phoneticPr fontId="4"/>
  <pageMargins left="0.51181102362204722" right="0.51181102362204722" top="0.55118110236220474" bottom="0.55118110236220474" header="0.31496062992125984" footer="0.31496062992125984"/>
  <pageSetup paperSize="12" scale="8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2023年11月度給与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2023-12-08T01:00:47Z</cp:lastPrinted>
  <dcterms:created xsi:type="dcterms:W3CDTF">2023-12-05T07:12:14Z</dcterms:created>
  <dcterms:modified xsi:type="dcterms:W3CDTF">2023-12-08T01:00:59Z</dcterms:modified>
</cp:coreProperties>
</file>